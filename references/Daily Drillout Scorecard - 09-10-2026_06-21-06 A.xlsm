
<file path=[Content_Types].xml><?xml version="1.0" encoding="utf-8"?>
<Types xmlns="http://schemas.openxmlformats.org/package/2006/content-types">
  <Default ContentType="application/vnd.openxmlformats-officedocument.spreadsheetml.printerSettings" Extension="bin"/>
  <Default ContentType="image/x-emf" Extension="emf"/>
  <Default ContentType="application/vnd.openxmlformats-package.relationships+xml" Extension="rels"/>
  <Default ContentType="application/vnd.openxmlformats-officedocument.vmlDrawing" Extension="vml"/>
  <Default ContentType="application/xml" Extension="x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theme+xml" PartName="/xl/theme/theme1.xml"/>
  <Override ContentType="application/vnd.openxmlformats-officedocument.spreadsheetml.styles+xml" PartName="/xl/styles.xml"/>
  <Override ContentType="application/vnd.openxmlformats-officedocument.spreadsheetml.sheetMetadata+xml" PartName="/xl/metadata.xml"/>
  <Override ContentType="application/vnd.openxmlformats-officedocument.drawing+xml" PartName="/xl/drawings/drawing1.xml"/>
  <Override ContentType="application/vnd.ms-excel.controlproperties+xml" PartName="/xl/ctrlProps/ctrlProp1.xml"/>
  <Override ContentType="application/vnd.ms-excel.controlproperties+xml" PartName="/xl/ctrlProps/ctrlProp2.xml"/>
  <Override ContentType="application/vnd.ms-excel.controlproperties+xml" PartName="/xl/ctrlProps/ctrlProp3.xml"/>
  <Override ContentType="application/vnd.openxmlformats-officedocument.drawing+xml" PartName="/xl/drawings/drawing2.xml"/>
  <Override ContentType="application/vnd.ms-office.activeX+xml" PartName="/xl/activeX/activeX1.xml"/>
  <Override ContentType="application/vnd.ms-office.activeX" PartName="/xl/activeX/activeX1.bin"/>
  <Override ContentType="application/vnd.openxmlformats-officedocument.spreadsheetml.sharedStrings+xml" PartName="/xl/sharedStrings.xml"/>
  <Override ContentType="application/vnd.ms-office.classificationlabels+xml" PartName="/docMetadata/LabelInfo.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Override ContentType="application/vnd.openxmlformats-officedocument.custom-properties+xml" PartName="/docProps/custom.xml"/>
</Types>
</file>

<file path=_rels/.rels><?xml version="1.0" encoding="UTF-8" standalone="yes"?><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showInkAnnotation="0" codeName="ThisWorkbook"/>
  <mc:AlternateContent xmlns:mc="http://schemas.openxmlformats.org/markup-compatibility/2006">
    <mc:Choice Requires="x15">
      <x15ac:absPath xmlns:x15ac="http://schemas.microsoft.com/office/spreadsheetml/2010/11/ac" url="K:\DRILLOUT OFFICE\DOSC\Daily Scorecard\Scorecard LH Template\"/>
    </mc:Choice>
  </mc:AlternateContent>
  <xr:revisionPtr revIDLastSave="0" documentId="13_ncr:1_{1855B552-B57C-45BB-9A3D-9095B2FB05C5}" xr6:coauthVersionLast="47" xr6:coauthVersionMax="47" xr10:uidLastSave="{00000000-0000-0000-0000-000000000000}"/>
  <workbookProtection workbookPassword="caf9"/>
  <bookViews>
    <workbookView xWindow="3285" yWindow="7500" windowWidth="21420" windowHeight="11775" xr2:uid="{00000000-000D-0000-FFFF-FFFF00000000}" activeTab="0"/>
  </bookViews>
  <sheets>
    <sheet name="Report" sheetId="2" r:id="rId1"/>
    <sheet name="Summary" sheetId="10" r:id="rId2"/>
    <sheet name="Inputs" sheetId="3" r:id="rId3"/>
    <sheet name="Cleanout Inputs" sheetId="9" r:id="rId4"/>
    <sheet name="Target Attainment" sheetId="6" r:id="rId5"/>
    <sheet name="Dropdown Lists" sheetId="7" state="hidden" r:id="rId6"/>
    <sheet name="_TemplateInfo" sheetId="8" state="hidden" r:id="rId7"/>
  </sheets>
  <functionGroups builtInGroupCount="19"/>
  <definedNames>
    <definedName name="_xleta.AVERAGE" hidden="1">#NAME?</definedName>
    <definedName name="_xleta.COUNT" hidden="1">#NAME?</definedName>
    <definedName name="_xleta.MAX" hidden="1">#NAME?</definedName>
    <definedName name="_xleta.N" hidden="1">#NAME?</definedName>
    <definedName name="_xleta.OFFSET" hidden="1">#NAME?</definedName>
    <definedName name="Date">'Report'!$A$2</definedName>
    <definedName name="Delaware">'Target Attainment'!#REF!</definedName>
    <definedName name="DOLOADER1">'Inputs'!$B$27</definedName>
    <definedName name="DOLOADERURL1">'Inputs'!$B$27</definedName>
    <definedName name="DOLOADERURL2">'Inputs'!$M$26</definedName>
    <definedName name="DOLOADERURL3">'Inputs'!$X$26</definedName>
    <definedName name="DOLOADERURL4">'Inputs'!$AI$26</definedName>
    <definedName name="Midland">'Target Attainment'!#REF!</definedName>
    <definedName name="MyDate">'Report'!$C$19</definedName>
    <definedName name="visible">'Report'!$AA$1</definedName>
    <definedName name="_xlnm._FilterDatabase" localSheetId="0" hidden="1">'Report'!$A$1:$AA$726</definedName>
    <definedName name="_xlnm.Print_Area" localSheetId="0">'Report'!$A$1:$V$42,'Report'!$A$44:$V$82,'Report'!$A$84:$V$122,'Report'!$A$124:$V$162,'Report'!$A$164:$V$202,'Report'!$A$204:$V$242,'Report'!$A$244:$V$282,'Report'!$A$284:$V$322,'Report'!$A$324:$V$362,'Report'!$A$364:$V$382,'Report'!$A$604:$V$635,'Report'!$A$637:$V$665,'Report'!$A$667:$V$695,'Report'!$A$697:$V$725</definedName>
  </definedNames>
  <calcPr calcId="191029" fullCalcOnLoad="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<sst xmlns="http://schemas.openxmlformats.org/spreadsheetml/2006/main" count="391" uniqueCount="391">
  <si>
    <t>Daily Drillout Scorecard</t>
  </si>
  <si>
    <t>Go in order</t>
  </si>
  <si>
    <t>Visible</t>
  </si>
  <si>
    <t>&lt;-- Filter out '0' to hide empty cards</t>
  </si>
  <si>
    <t>Operations Superintendent:</t>
  </si>
  <si>
    <t>Well Management Engineer:</t>
  </si>
  <si>
    <t>Well Information</t>
  </si>
  <si>
    <t>Target vs Actual</t>
  </si>
  <si>
    <t>NPT Report</t>
  </si>
  <si>
    <t>Well Start Date</t>
  </si>
  <si>
    <t>Step</t>
  </si>
  <si>
    <t>Start Date</t>
  </si>
  <si>
    <t>Start Time</t>
  </si>
  <si>
    <t>Targets</t>
  </si>
  <si>
    <t>Full Phase</t>
  </si>
  <si>
    <t>Last 24 Hrs</t>
  </si>
  <si>
    <t>% Attainment</t>
  </si>
  <si>
    <t>Cumulative NPT</t>
  </si>
  <si>
    <t>Well End Date</t>
  </si>
  <si>
    <t>TIH</t>
  </si>
  <si>
    <t/>
  </si>
  <si>
    <t>Formation</t>
  </si>
  <si>
    <t>Drill Plugs</t>
  </si>
  <si>
    <t>NPT Last 24 Hrs</t>
  </si>
  <si>
    <t>Lateral Length</t>
  </si>
  <si>
    <t>TOOH</t>
  </si>
  <si>
    <t>Plug Make/Model</t>
  </si>
  <si>
    <t>Run Prod</t>
  </si>
  <si>
    <t>Well Parameters</t>
  </si>
  <si>
    <t>Stage Spacing</t>
  </si>
  <si>
    <t>Operations Summary</t>
  </si>
  <si>
    <t>Avg Drill Time (mins)</t>
  </si>
  <si>
    <t>Target Duration</t>
  </si>
  <si>
    <t>Avg P2P Time (mins)</t>
  </si>
  <si>
    <t>Pad Information</t>
  </si>
  <si>
    <t>Cumulative Sand</t>
  </si>
  <si>
    <t>Wells/Pad</t>
  </si>
  <si>
    <t>Flare Volume (mcf)</t>
  </si>
  <si>
    <t>DO Number and Order</t>
  </si>
  <si>
    <t>Pump Rate (bpm)</t>
  </si>
  <si>
    <t>Plug Data</t>
  </si>
  <si>
    <t>Return Rate (bpm)</t>
  </si>
  <si>
    <t>Plugs Drilled Last 24 hrs</t>
  </si>
  <si>
    <t>Min Return Rate (bpm)</t>
  </si>
  <si>
    <t>Total Plugs Drilled</t>
  </si>
  <si>
    <t>Personnel (SSE / Total)</t>
  </si>
  <si>
    <t>Input</t>
  </si>
  <si>
    <t>Daily Cleanout Scorecard</t>
  </si>
  <si>
    <t>Cleanout Summary</t>
  </si>
  <si>
    <t>Total Mud Used</t>
  </si>
  <si>
    <t>Total Mud Lost</t>
  </si>
  <si>
    <t>Total Acid Used</t>
  </si>
  <si>
    <t>Total Solids Recovered</t>
  </si>
  <si>
    <t>Current (Daily)</t>
  </si>
  <si>
    <t>Rig</t>
  </si>
  <si>
    <t>Well</t>
  </si>
  <si>
    <t>Superintendent</t>
  </si>
  <si>
    <t>Engineer</t>
  </si>
  <si>
    <t>LL</t>
  </si>
  <si>
    <t>Overall</t>
  </si>
  <si>
    <t>Summary</t>
  </si>
  <si>
    <t>-</t>
  </si>
  <si>
    <t>Report Date</t>
  </si>
  <si>
    <t>Operation 1</t>
  </si>
  <si>
    <t>Operation 2</t>
  </si>
  <si>
    <t>Operation 3</t>
  </si>
  <si>
    <t>Operation 4</t>
  </si>
  <si>
    <t>Operation 5</t>
  </si>
  <si>
    <t>Operation 6</t>
  </si>
  <si>
    <t>Operation 7</t>
  </si>
  <si>
    <t>Operation 8</t>
  </si>
  <si>
    <t>Operation 9</t>
  </si>
  <si>
    <t>Operation 10</t>
  </si>
  <si>
    <t>Operation 11</t>
  </si>
  <si>
    <t>Operation 12</t>
  </si>
  <si>
    <t>Operation 13</t>
  </si>
  <si>
    <t>Operation 14</t>
  </si>
  <si>
    <t>Operation 15</t>
  </si>
  <si>
    <t>Operation 16</t>
  </si>
  <si>
    <t>Operation 17</t>
  </si>
  <si>
    <t>Operation 18</t>
  </si>
  <si>
    <t>Operation 19</t>
  </si>
  <si>
    <t>Operation 20</t>
  </si>
  <si>
    <t>Operation 21</t>
  </si>
  <si>
    <t>Operation 22</t>
  </si>
  <si>
    <t>Operation 23</t>
  </si>
  <si>
    <t>Operation 24</t>
  </si>
  <si>
    <t>Operation 25</t>
  </si>
  <si>
    <t>Operation 26</t>
  </si>
  <si>
    <t>Operation 27</t>
  </si>
  <si>
    <t>Operation 28</t>
  </si>
  <si>
    <t>Operation 29</t>
  </si>
  <si>
    <t>Operation 30</t>
  </si>
  <si>
    <t>Item</t>
  </si>
  <si>
    <t>Inputs</t>
  </si>
  <si>
    <t>Plug List</t>
  </si>
  <si>
    <t>Crew</t>
  </si>
  <si>
    <t>Plug #</t>
  </si>
  <si>
    <t>Plug Depth</t>
  </si>
  <si>
    <t>Drill Time</t>
  </si>
  <si>
    <t>Wash Time</t>
  </si>
  <si>
    <t>Sand (lbs)</t>
  </si>
  <si>
    <t>Pump Rate</t>
  </si>
  <si>
    <t>Return Rate</t>
  </si>
  <si>
    <t>Revs On Plug</t>
  </si>
  <si>
    <t>Sand (Klbs)</t>
  </si>
  <si>
    <t>Operator</t>
  </si>
  <si>
    <t>hPDX</t>
  </si>
  <si>
    <t>hXTO</t>
  </si>
  <si>
    <t>Vendor</t>
  </si>
  <si>
    <t>RANGER ENERGY SERVICES, INC</t>
  </si>
  <si>
    <t>COIL TUBING PARTNERS LLC</t>
  </si>
  <si>
    <t>KEY ENERGY SERVICES</t>
  </si>
  <si>
    <t>CARDINAL</t>
  </si>
  <si>
    <t>VICTORY WELL SERVICING</t>
  </si>
  <si>
    <t>Unit</t>
  </si>
  <si>
    <t xml:space="preserve"> 8554</t>
  </si>
  <si>
    <t>31</t>
  </si>
  <si>
    <t>42</t>
  </si>
  <si>
    <t>43</t>
  </si>
  <si>
    <t>8549</t>
  </si>
  <si>
    <t>8554</t>
  </si>
  <si>
    <t>27</t>
  </si>
  <si>
    <t>6125</t>
  </si>
  <si>
    <t>6134</t>
  </si>
  <si>
    <t>6136</t>
  </si>
  <si>
    <t>6355</t>
  </si>
  <si>
    <t>3</t>
  </si>
  <si>
    <t>106</t>
  </si>
  <si>
    <t>107</t>
  </si>
  <si>
    <t>Well Name</t>
  </si>
  <si>
    <t>WINDHAM 17F 206H</t>
  </si>
  <si>
    <t>MABEE W1C 103H</t>
  </si>
  <si>
    <t>RICHARDS-GRISHAM 24F 6H</t>
  </si>
  <si>
    <t>RICHARDS-GRISHAM 24H 8H</t>
  </si>
  <si>
    <t>DAVIDSON-HALE 62C 3H</t>
  </si>
  <si>
    <t>RICHARDS-GRISHAM 24K 11H</t>
  </si>
  <si>
    <t>WINDHAM 17D 204H</t>
  </si>
  <si>
    <t>BIG EDDY UNIT DI 33E 4-2 4H</t>
  </si>
  <si>
    <t>BIG EDDY UNIT 28 QR 301H</t>
  </si>
  <si>
    <t>DAVIDSON-HALE 62E 5H</t>
  </si>
  <si>
    <t>SKAGGS-ROBBIE 44D 104H</t>
  </si>
  <si>
    <t>SKAGGS-ROBBIE 44A 101H</t>
  </si>
  <si>
    <t>MABEE W1J 110H</t>
  </si>
  <si>
    <t>RICHARDS-GRISHAM 24B 2H</t>
  </si>
  <si>
    <t>CRAWFORD-WELCHEST 27S 19H</t>
  </si>
  <si>
    <t>CRAWFORD-WELCHEST 27T 20H</t>
  </si>
  <si>
    <t>RICHARDS-GRISHAM 24D 4H</t>
  </si>
  <si>
    <t>BRUNSON 40F 6H</t>
  </si>
  <si>
    <t>WOLFCAMP B3 (WFMP B3)</t>
  </si>
  <si>
    <t>JO MILL (SPBY L B1)</t>
  </si>
  <si>
    <t>DEAN</t>
  </si>
  <si>
    <t>BONE SPRING (BONE SPRING 2 SAND)</t>
  </si>
  <si>
    <t>WOLFCAMP (WOLFCAMP XY)</t>
  </si>
  <si>
    <t>WOLFCAMP B2 (WFMP B2)</t>
  </si>
  <si>
    <t>WOLFCAMP A2 (WFMP A2)</t>
  </si>
  <si>
    <t>MIDDLE SPRABERRY (SPBY M A1)</t>
  </si>
  <si>
    <t>WOLFCAMP D (WFMP D)</t>
  </si>
  <si>
    <t>Top Perf Depth (MD)</t>
  </si>
  <si>
    <t>Bottom Perf Depth (MD)</t>
  </si>
  <si>
    <t>Current Operation</t>
  </si>
  <si>
    <t>PRE OPS</t>
  </si>
  <si>
    <t>TRIP IN HOLE</t>
  </si>
  <si>
    <t>POST OPS</t>
  </si>
  <si>
    <t>DRL OUT</t>
  </si>
  <si>
    <t>SET PROD</t>
  </si>
  <si>
    <t>TRIP OUT OF HOLE</t>
  </si>
  <si>
    <t>Plug Model</t>
  </si>
  <si>
    <t>Halliburton Obsidian Prime</t>
  </si>
  <si>
    <t>SLB FracXion</t>
  </si>
  <si>
    <t>Phase Start Date</t>
  </si>
  <si>
    <t>Phase Start Time</t>
  </si>
  <si>
    <t>Most Recent Date</t>
  </si>
  <si>
    <t>Most Recent Time</t>
  </si>
  <si>
    <t>Current Day Start Depth</t>
  </si>
  <si>
    <t>Current Day Max Depth</t>
  </si>
  <si>
    <t>NPT Since Last Report</t>
  </si>
  <si>
    <t xml:space="preserve">NU BOPs, MIRU Ranger 8554,  Pressure Test  BOP, RIH with BHA #1. DO from xx'  to XX,XXX'  and CWC @RT.
Total Footage: X,XXX'
Goal last 24 hrs.- NU BOP's, MIRU 8554 WOR, RIH with BHA. #1, DO Plugs and CWC as Needed.
Goal next 24 hrs.- Drill Plugs and CWC as Needed.
COFO Functioning and Properly Set- Witnessed by OS
Day OS: Chad Wood
Night OS: Luis Simental
OS #1: Zach White</t>
  </si>
  <si>
    <t xml:space="preserve">NU &amp; PT BOPs, MIRU Ranger 31, MU DO BHA#1, RIH w/ 272 jts of 2-7/8 PH6, RU swivel
COFO set and tested. Functioning correctly, Witness by OS 
Goal last 24 hrs –  MIRU Ranger 31, RIH w/ DO BHA, RU swivel
Goal next 24 hrs - Displace WB w/ FLS, Drill plugs.
Day OS: Jeremy Vieth
Night OS: Jason Gunn/ Heath Wood</t>
  </si>
  <si>
    <t xml:space="preserve">N/U BOP's, MIRU Ranger #42, R/U Test motor 
Goal Last 24Hrs - N/U BOP's, MIRU, test motor 
Goal Next 24Hrs - RIH, Drill Plugs
Set &amp; V&amp;V COFO
OS Days - Manuel Barraza 
OS Nights - Bandon Wright </t>
  </si>
  <si>
    <t xml:space="preserve">Cont. RIH Production land hanger TOTP
Goal Last 24Hrs -  Continue to RIH, Land Hanger, TOTP
Goal Next 24Hrs - RDMO
Set &amp; V&amp;V COFO
OS Days - Manuel Barraza 
OS Nights - Bandon Wright </t>
  </si>
  <si>
    <t xml:space="preserve">Finish RU, RIH to KP, RU Swivel, DO from 8,585' to 12,606' 
Total Footage: 4,021'
NPT: 1 hour - Ranger
Goal last 24hr - RIH, DO Plugs
Goal next 24hr - Drill Out Plugs
Set &amp; V&amp;V COFO
OS Days: Keven Robertson
OS Nights:Dillon Hance</t>
  </si>
  <si>
    <t xml:space="preserve">Drill 11,323' - 21,363' , CWC as needed.
Total footage - 10,040'.
NPT - .5 HR. - ExxonMobil (Weather)
Goal Last 24 Hrs - Drill CFP's.
Goal Next 24 Hrs - Drill CFP's.
COFO Set and Tested. Functioning Correctly
AM OS: Sabas Vargas
PM  OS: Kendall McGuire</t>
  </si>
  <si>
    <t xml:space="preserve">POOH W/ BHA #1, MU ESP Per EOM Design, RIH w/ Production, Nd BOP, Nu prod tree @ RT
NPT:  
Goal last 24 hrs.- POOH W/ BHA #1, MU ESP Per Exxon Design, RIH w/ Production, Nd BOP, Nu prod tree.
Goal next 24 hrs.-  NU and PT prod tree. TOTP.
COFO Functioning and Properly Set- Witnessed by OS
Day OS: Chad Wood / Zach White
Night OS: Luis Simental</t>
  </si>
  <si>
    <t xml:space="preserve">Drill From: 16,049'  to 19,370'. 
Total Footage: 3,321'
NPT - 0 hrs
AM OS- Larry Wilhelm
PM OS- Thomas Cargill</t>
  </si>
  <si>
    <t xml:space="preserve">Drill from 17,508' to 23,427'
Drill Footage - 5,919'
NPT – 0 hrs   
AM OS: Eddie Kerney
PM OS: Ron wiliams</t>
  </si>
  <si>
    <t xml:space="preserve">Finish MIRU Key 6125, RIH to KP.  Begin drilling frac plugs. Drill From 8,606'  - 12,416'
Total Footage- 3,810'
Goal last 24hr - Finish Prepping pad, RIH to KP
Goal next 24hr - Drill Plugs 
Set &amp; V&amp;V COFO
OS Days: Kenny Stone / David Frezel
OS Nights: Shug Crochet
</t>
  </si>
  <si>
    <t xml:space="preserve">MIRU Key 6134. Function test BOP's and shell test 250 low/4500 high (Good Test). OW/RIH w/ BHA #1.
WH @ 0 psi
NPT 2 hours key energy
24 Hour Goal: Miru Key 6134, NU Bops Stack, Rih Wtih WS and Stealth Bha
Next 24 Hr Goal: Rih w? WS and Bha #1, RU swivel, Drill plugs
DAY OS: Jeremy Rusk/ Clint Rivers
Night OS: Symon Foster</t>
  </si>
  <si>
    <t xml:space="preserve">RIH ESP as per design. RD W/O Rig, ND Bops, NU Production tree, TOTP
Total footage drilled 24 hrs - N/A  
NPT: N/A  
24 HR OPS:  Finish RIH with ESP, RD W/O Rig, ND Bops, NU Production tree, TOTP
Ops next 24 HRS: TOTP.
Day OS: Jeremy Rusk/ Clint Rivers            
Night OS: Symon Foster </t>
  </si>
  <si>
    <t xml:space="preserve">Drill 11,901’-17,830’, CWC Displace FLS, TOOH LDWS
Drill Footage: 5,929’
NPT: x hrs, Key, rig clutch
COFO Set and tested, functioning properly
Goal This 24: Drill Plugs, CWC, Displace FLS, TOOH LDWS
Goal Next 24: TOOH LDWS, Run production, TOTP
AM OS: Chad Garrett
PM OS: Mike Rupp
</t>
  </si>
  <si>
    <t xml:space="preserve">Drill 16322-xxx,  CWC as needed 
Drill Footage: xxx
NPT
Goal This 24: Drill Plugs
Goal Next 24: Drill Plugs 
AM OS: Jesse Marett
PM OS: Brady Houle
</t>
  </si>
  <si>
    <t xml:space="preserve">POOH, Secure Well, RDMO Cardinal 3
NPT - 0.00
Surface: 800- 1200 Psi.
Intermediate: 200 - 400Psi.
OS Days: Omar Losoya 
OS Nights: Chris Patrick</t>
  </si>
  <si>
    <t xml:space="preserve">Drill form 13,291' - 21,815' CWC as need 
Total Footage: 8,524'
NPT - 0.00 Hrs.  
SICP: 2,640  Psi.
Surface: 1,085 Psi.
Intermediate: 81 Psi.
OS Days: Casey Brandolino 	
OS Nights: Robert Bass</t>
  </si>
  <si>
    <t xml:space="preserve">Drilled from 18,185' - , CWC as needed
Footage Drilled: XX'
NPT: 0
Goal last 24hrs: DO Plugs
Goal next 24hr: DO Plugs
0 incidents &amp; 0 spills 
Operator Set CoFo High/Low Settings and Witnessed by OS and RS. System is Functioning as Designed. 
Day OS: Jared Hale
Night OS: Ronnie Gilkey</t>
  </si>
  <si>
    <t xml:space="preserve"> TIH with ESP Catch. POOH w WS, TIH with Prod. 
NPT: 0hrs
Goal last 24 hrs -   RIH with ESP catch
Goal next 24 hrs –  RDMO
OS Days: Cris Larrazolo
OS1: Sam Ibrahim
OS Nights: Nathan Russell</t>
  </si>
  <si>
    <t>Basin</t>
  </si>
  <si>
    <t>Midland</t>
  </si>
  <si>
    <t>Delaware</t>
  </si>
  <si>
    <t>Top Interval</t>
  </si>
  <si>
    <t>Bottom Interval</t>
  </si>
  <si>
    <t>Total Wells on Pad</t>
  </si>
  <si>
    <t>60-200</t>
  </si>
  <si>
    <t>32-240</t>
  </si>
  <si>
    <t>40-200</t>
  </si>
  <si>
    <t>45-200</t>
  </si>
  <si>
    <t>39-200</t>
  </si>
  <si>
    <t>50-200</t>
  </si>
  <si>
    <t>55-200</t>
  </si>
  <si>
    <t>Do Order</t>
  </si>
  <si>
    <t>Plugs Drilled 24h</t>
  </si>
  <si>
    <t>Current Phase</t>
  </si>
  <si>
    <t>TIH Start Date</t>
  </si>
  <si>
    <t>TIH End Date</t>
  </si>
  <si>
    <t>TIH Current Depth</t>
  </si>
  <si>
    <t>TIH Max Depth</t>
  </si>
  <si>
    <t>Drill Plugs Start Date</t>
  </si>
  <si>
    <t>Drill Plugs End Date</t>
  </si>
  <si>
    <t>TOOH Start Date</t>
  </si>
  <si>
    <t>TOOH End Date</t>
  </si>
  <si>
    <t>Run Prod Start Date</t>
  </si>
  <si>
    <t>Run Prod End Date</t>
  </si>
  <si>
    <t>Flare Volume</t>
  </si>
  <si>
    <t>Total TIH Time</t>
  </si>
  <si>
    <t>0/79</t>
  </si>
  <si>
    <t>0/41</t>
  </si>
  <si>
    <t>0/104</t>
  </si>
  <si>
    <t>105/105</t>
  </si>
  <si>
    <t>20/106</t>
  </si>
  <si>
    <t>62/105</t>
  </si>
  <si>
    <t>106/107</t>
  </si>
  <si>
    <t>45/45</t>
  </si>
  <si>
    <t>65/77</t>
  </si>
  <si>
    <t>18/53</t>
  </si>
  <si>
    <t>0/102</t>
  </si>
  <si>
    <t>50/51</t>
  </si>
  <si>
    <t>48/50</t>
  </si>
  <si>
    <t>64/105</t>
  </si>
  <si>
    <t>73/74</t>
  </si>
  <si>
    <t>56/74</t>
  </si>
  <si>
    <t>40/88</t>
  </si>
  <si>
    <t>46/72</t>
  </si>
  <si>
    <t>Total Head Count</t>
  </si>
  <si>
    <t>SEE Head Count</t>
  </si>
  <si>
    <t>Operations Superintendent</t>
  </si>
  <si>
    <t>CLAYTON SNYDER</t>
  </si>
  <si>
    <t>DANNY THOMPSON</t>
  </si>
  <si>
    <t>MILO VALENZUELA</t>
  </si>
  <si>
    <t>ROBERT KEMPER</t>
  </si>
  <si>
    <t>Well Management Engineer</t>
  </si>
  <si>
    <t xml:space="preserve">CODY  HUFFMEISTER</t>
  </si>
  <si>
    <t>JEREMY PATE</t>
  </si>
  <si>
    <t>MATTHEW VOSS</t>
  </si>
  <si>
    <t>MARIO CASTILLO</t>
  </si>
  <si>
    <t>KAEGAN SHOEMAKE</t>
  </si>
  <si>
    <t>ALLY BIEGLER</t>
  </si>
  <si>
    <t>Calcs</t>
  </si>
  <si>
    <t>Formation Key</t>
  </si>
  <si>
    <t>Target Key</t>
  </si>
  <si>
    <t>Max Plug Depth</t>
  </si>
  <si>
    <t>Min Plug Depth</t>
  </si>
  <si>
    <t>Target Row</t>
  </si>
  <si>
    <t>Drillout Target Column</t>
  </si>
  <si>
    <t>TOOH Target Column</t>
  </si>
  <si>
    <t>Formation Row</t>
  </si>
  <si>
    <t>TIH Target</t>
  </si>
  <si>
    <t>TIH Full Phase</t>
  </si>
  <si>
    <t>Drillout Target</t>
  </si>
  <si>
    <t>Drillout Progress</t>
  </si>
  <si>
    <t>Drillout Full Phase</t>
  </si>
  <si>
    <t>Drillout Target Phase</t>
  </si>
  <si>
    <t>TOOH Target</t>
  </si>
  <si>
    <t>TOOH Full Phase</t>
  </si>
  <si>
    <t>Set Prod Target</t>
  </si>
  <si>
    <t>Set Prod Full Phase</t>
  </si>
  <si>
    <t>Lat Length</t>
  </si>
  <si>
    <t>Total Plugs</t>
  </si>
  <si>
    <t>Average Drill Time</t>
  </si>
  <si>
    <t>Cum Sand</t>
  </si>
  <si>
    <t>Avg Pump Rate</t>
  </si>
  <si>
    <t>Avg Return Rate</t>
  </si>
  <si>
    <t>Min Return Rate</t>
  </si>
  <si>
    <t>Well Attainment</t>
  </si>
  <si>
    <t>TOOH Ref Depth</t>
  </si>
  <si>
    <t>TOOH Calc</t>
  </si>
  <si>
    <t>P2P Calc</t>
  </si>
  <si>
    <t>Cleanout 1</t>
  </si>
  <si>
    <t>Cleanout 2</t>
  </si>
  <si>
    <t>Cleanout 3</t>
  </si>
  <si>
    <t>Cleanout 4</t>
  </si>
  <si>
    <t>Cleanout 5</t>
  </si>
  <si>
    <t>Cleanout 6</t>
  </si>
  <si>
    <t>Cleanout 7</t>
  </si>
  <si>
    <t>Cleanout 8</t>
  </si>
  <si>
    <t>AXIS ENERGY SERVICES, LLC</t>
  </si>
  <si>
    <t>2148</t>
  </si>
  <si>
    <t>3099</t>
  </si>
  <si>
    <t>Tarzan Unit 1 2071JH</t>
  </si>
  <si>
    <t>GERMANIA SPRABERRY UNIT 4501H</t>
  </si>
  <si>
    <t>Jo Mill Sand</t>
  </si>
  <si>
    <t xml:space="preserve">PTM/PTB V&amp;V.RIG INSPECTIONS, V&amp;V EQUIPMENT,POOH w/ fish (2 ESP motors)left sensor on bottom,RIH w/ screw grab,POOH w/screw grab,Make up new BHA 4-1/2 SHOE.RIH w/ 99 2-7/8 PH6 tubing,MIRU swivel on jt 100, start washing over fish at 3,159'.circulating clea Turn Over To Night Shift.
PTM/PTB, RIG INSPECTIONS AND V&amp;V EQUIPMENT, CONTINUE WASHING OVER FISH, MADE 8'' MORE, CIRCULATED, RDMO SWIVEL, POOH WITH SHOE, SHOE WORN OUT COMPLETELY, RIH WITH ANOTHER SHOE, MIRU SWIVEL, TAGGED UP ON JT 100 @ 3161', ESTABLISH CIRCULATION, STARTED FEATHERING SHOE OVER FISH, PICKED UP AND CIRCULATING TO DO SHIFT CHANGE, HAND OVER TO DAYS</t>
  </si>
  <si>
    <t xml:space="preserve">ND/Bop's, NU/WH Tree,  RDMO WSU &amp; Equip,  TOTP
NPT: Cactus Wellhead  1.5 hrs, Exxon - 4hrs repair CT port,
Goal in 24 hrs: Land Esp, ND/BOP, NU/Tree, RDMO , TOTP
Goal in next 24 hrs:  Pull Prod on next well.
COFO: set and function tested
Days: Victor Saucedo
Nights: Kasey Wood</t>
  </si>
  <si>
    <t>Divison</t>
  </si>
  <si>
    <t>Key</t>
  </si>
  <si>
    <t>Drillout Array - Formation and LL (ft/day)</t>
  </si>
  <si>
    <t>TOOH Targets - Total Depth (hr or ft)</t>
  </si>
  <si>
    <t>(hrs)</t>
  </si>
  <si>
    <t>D1</t>
  </si>
  <si>
    <t>D2</t>
  </si>
  <si>
    <t>D3</t>
  </si>
  <si>
    <t>D4</t>
  </si>
  <si>
    <t>D5</t>
  </si>
  <si>
    <t>D6</t>
  </si>
  <si>
    <t>D7</t>
  </si>
  <si>
    <t>D8</t>
  </si>
  <si>
    <t>Ref Depth</t>
  </si>
  <si>
    <t>TO1</t>
  </si>
  <si>
    <t>TO2</t>
  </si>
  <si>
    <t>TO3</t>
  </si>
  <si>
    <t>TO4</t>
  </si>
  <si>
    <t>TO5</t>
  </si>
  <si>
    <t>TO6</t>
  </si>
  <si>
    <t>TO7</t>
  </si>
  <si>
    <t>TO8</t>
  </si>
  <si>
    <t>MIDLAND</t>
  </si>
  <si>
    <t>Depth Ranges</t>
  </si>
  <si>
    <t>Bottom</t>
  </si>
  <si>
    <t>ft</t>
  </si>
  <si>
    <t>ATOKA</t>
  </si>
  <si>
    <t>ATOKABERRY</t>
  </si>
  <si>
    <t>BONE SPRING 1 (BSPG 1)</t>
  </si>
  <si>
    <t>BONE SPRING 2 (BSPG 2)</t>
  </si>
  <si>
    <t>BONE SPRING 3 (BSPG 3)</t>
  </si>
  <si>
    <t xml:space="preserve">CLEARFORK  (CLFK)</t>
  </si>
  <si>
    <t>DEVONIAN</t>
  </si>
  <si>
    <t>ELLENBURGER</t>
  </si>
  <si>
    <t>FUSSELMAN</t>
  </si>
  <si>
    <t>GRAYBERG</t>
  </si>
  <si>
    <t>JO MILL (SPBY L A1)</t>
  </si>
  <si>
    <t>LOWER SPRABERRY</t>
  </si>
  <si>
    <t>LOWER SPRABERRY A3 (SPBY L A3)</t>
  </si>
  <si>
    <t>LOWER SPRABERRY A5 (SBPY L A5)</t>
  </si>
  <si>
    <t>LOWER SPRABERRY A7 (SBPY L A7)</t>
  </si>
  <si>
    <t>LOWER SPRABERRY SHALE (SPBY L C1)</t>
  </si>
  <si>
    <t>MISSBERRY</t>
  </si>
  <si>
    <t>MISSISSIPPIAN</t>
  </si>
  <si>
    <t>PRE-WOODFORD FORMATIONS</t>
  </si>
  <si>
    <t>SAN ANDRES</t>
  </si>
  <si>
    <t>SPRABERRY</t>
  </si>
  <si>
    <t>STRAWBERRY</t>
  </si>
  <si>
    <t>STRAWN</t>
  </si>
  <si>
    <t>UPPER SPRABERRY</t>
  </si>
  <si>
    <t>WOLFBERRY</t>
  </si>
  <si>
    <t>WOLFCAMP</t>
  </si>
  <si>
    <t>WOLFCAMP A1 (WFMP A1)</t>
  </si>
  <si>
    <t>WOLFCAMP A3 (WFMP A3)</t>
  </si>
  <si>
    <t>WOLFCAMP B1 (WFMP B1)</t>
  </si>
  <si>
    <t>WOLFCAMP C1 (WFMP C1)</t>
  </si>
  <si>
    <t>WOLFCAMP C2 (WFMP C2)</t>
  </si>
  <si>
    <t>WOODFORD (WFRD)</t>
  </si>
  <si>
    <t>Jo Mill</t>
  </si>
  <si>
    <t>LSS</t>
  </si>
  <si>
    <t>Dean</t>
  </si>
  <si>
    <t>MSS</t>
  </si>
  <si>
    <t>Wolfcamp A</t>
  </si>
  <si>
    <t>Wolfcamp B</t>
  </si>
  <si>
    <t>Wolfcamp C</t>
  </si>
  <si>
    <t>Wolfcamp D</t>
  </si>
  <si>
    <t>Barnett</t>
  </si>
  <si>
    <t>Woodford</t>
  </si>
  <si>
    <t>Lateral</t>
  </si>
  <si>
    <t>hr</t>
  </si>
  <si>
    <t>BONE SPRING (AVALON)</t>
  </si>
  <si>
    <t>1st Bone Spring</t>
  </si>
  <si>
    <t>2nd Bone Spring</t>
  </si>
  <si>
    <t>3rd Bone Spring</t>
  </si>
  <si>
    <t>3rd Bone Spring Shale</t>
  </si>
  <si>
    <t>Wolfcamp X</t>
  </si>
  <si>
    <t>Wolfcamp Y</t>
  </si>
  <si>
    <t>Wolfcamp XY</t>
  </si>
  <si>
    <t>WOLFCAMP (WOLFCAMP DE)</t>
  </si>
  <si>
    <t>TemplateId</t>
  </si>
  <si>
    <t>DailyDrilloutScorecard</t>
  </si>
  <si>
    <t>Display Name</t>
  </si>
  <si>
    <t>Version</t>
  </si>
  <si>
    <t>1.0.0.0</t>
  </si>
  <si>
    <t>LoaderVersion</t>
  </si>
  <si>
    <t>1.0.0.208</t>
  </si>
  <si>
    <t>Job Query</t>
  </si>
  <si>
    <t xml:space="preserve">DECLARE @StartDate date = DATEADD(DAY, -2, CAST(GETDATE() AS date));
DECLARE @EndDate   date = DATEADD(DAY,  1, CAST(GETDATE() AS date));
;WITH DailyReports AS
(
SELECT
h.wellname,
r.idwell,
j.idrec AS jobIdrec,
r.idrec AS dailyIdrec,
r.dttmstart,
r.dttmend,
h.division,
ROW_NUMBER() OVER
(
PARTITION BY r.idwell
ORDER BY r.dttmstart DESC
) AS rn
FROM wvjobreport r WITH (NOLOCK)
JOIN wvjob j WITH (NOLOCK)
ON r.idwell = j.idwell
AND r.idrecparent = j.idrec
JOIN wvwellheader h WITH (NOLOCK)
ON r.idwell = h.idwell
WHERE j.jobtyp = 'OCMP'
AND h.division = 'PERMIAN'
AND r.dttmstart IS NOT NULL
AND r.dttmend IS NOT NULL
AND r.dttmend &gt;= @StartDate
AND r.dttmend &lt;  @EndDate
),
LatestDaily AS
(
SELECT *
FROM DailyReports
WHERE rn = 1
)
SELECT
d.idwell,
d.jobIdrec,
d.dailyIdrec
FROM LatestDaily d
OUTER APPLY
(
SELECT TOP (1)
r.contractor,
r.rigno,
r.typ1
FROM wvjobrig r WITH (NOLOCK)
WHERE r.idwell = d.idwell
AND r.idrecparent = d.jobIdrec
ORDER BY r.dttmstart
) rig
WHERE
EXISTS
(
SELECT 1
FROM wvjobprogramphase po WITH (NOLOCK)
WHERE po.idwell = d.idwell
AND po.idrecparent = d.jobIdrec
AND po.code2 = 'PRE OPS'
AND po.dttmstartactual IS NOT NULL
)
AND NOT EXISTS
(
SELECT 1
FROM wvjobprogramphase tooh WITH (NOLOCK)
WHERE tooh.idwell = d.idwell
AND tooh.idrecparent = d.jobIdrec
AND tooh.code2 = 'TRIP OUT OF HOLE'
AND tooh.dttmendactual IS NOT NULL
AND tooh.dttmendactual &lt;= @StartDate
)
AND (rig.typ1 IS NULL OR rig.typ1 &lt;&gt; 'WIRELINE') 
ORDER BY rig.contractor, rig.rigno;</t>
  </si>
  <si>
    <t>Cleanout Query</t>
  </si>
  <si>
    <t xml:space="preserve">;with DailyReports as (
   select
   h.wellname, r.idwell, j.idrec as jobIdrec, r.idrec as dailyIdrec, r.dttmstart, r.dttmend, h.division, ROW_NUMBER() over (partition by r.idwell order by r.dttmstart desc) as rnk
   from wvjobreport r
   join wvjob j on r.idwell = j.idwell and r.idrecparent = j.idrec
   join wvwellheader h on r.idwell = h.idwell
   where j.jobtyp = 'CLEAN OUT' and r.dttmstart is not null and r.dttmend is not null and CAST(r.dttmstart as DATE) &lt;= CAST(GETDATE()-1 as DATE) and CAST(r.dttmend as DATE) &gt; CAST(GETDATE()-1 as DATE)
   and h.division = 'PERMIAN'
), Rig as (
   select
   r.idwell, r.idrecparent, r.contractor, r.rigno, ROW_NUMBER() over (partition by r.idwell, r.idrecparent order by r.dttmstart) as rnk
   from DailyReports d
   join wvjobrig r on d.idwell = r.idwell and d.jobIdrec = r.idrecparent
)
select
d.idwell, d.jobIdrec, d.dailyIdrec
from DailyReports d
left join Rig r on d.idwell = r.idwell and d.jobIdrec = r.idrecparent and r.rnk = 1
order by r.contractor, r.rigno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</si>
</sst>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41" formatCode="_(* #,##0_);_(* \(#,##0\);_(* &quot;-&quot;_);_(@_)"/>
    <numFmt numFmtId="164" formatCode="0.0"/>
    <numFmt numFmtId="165" formatCode="_(* #,##0_);_(* \(#,##0\);_(* &quot;-&quot;??_);_(@_)"/>
    <numFmt numFmtId="166" formatCode="[$-10409]#,##0;\(#,##0\);&quot;&quot;"/>
    <numFmt numFmtId="167" formatCode="h:mm;@"/>
    <numFmt numFmtId="168" formatCode="0\ &quot;hrs&quot;"/>
    <numFmt numFmtId="169" formatCode="0&quot;'/day&quot;"/>
    <numFmt numFmtId="170" formatCode="0.00\ &quot;days&quot;"/>
    <numFmt numFmtId="171" formatCode="0.0\ &quot;hrs&quot;"/>
    <numFmt numFmtId="172" formatCode="[$-409]m/d/yy\ h:mm\ AM/PM;@"/>
  </numFmts>
  <fonts count="21">
    <font>
      <sz val="11"/>
      <color theme="1"/>
      <name val="Calibri"/>
      <family val="2"/>
      <scheme val="minor"/>
    </font>
    <font>
      <sz val="11"/>
      <color theme="1"/>
      <name val="Calibri"/>
      <family val="2"/>
      <scheme val="minor"/>
    </font>
    <font>
      <b/>
      <sz val="11"/>
      <color theme="1"/>
      <name val="Calibri"/>
      <family val="2"/>
      <scheme val="minor"/>
    </font>
    <font>
      <sz val="11"/>
      <color theme="1"/>
      <name val="Calibri"/>
      <family val="2"/>
    </font>
    <font>
      <b/>
      <sz val="11"/>
      <color theme="1"/>
      <name val="Calibri"/>
      <family val="2"/>
    </font>
    <font>
      <sz val="10"/>
      <name val="Arial"/>
      <family val="2"/>
    </font>
    <font>
      <u/>
      <sz val="11"/>
      <color theme="10"/>
      <name val="Calibri"/>
      <family val="2"/>
      <scheme val="minor"/>
    </font>
    <font>
      <b/>
      <sz val="11"/>
      <color rgb="FFFF0000"/>
      <name val="Calibri"/>
      <family val="2"/>
      <scheme val="minor"/>
    </font>
    <font>
      <sz val="12"/>
      <color theme="1"/>
      <name val="Calibri"/>
      <family val="2"/>
      <scheme val="minor"/>
    </font>
    <font>
      <b/>
      <sz val="12"/>
      <color rgb="FF000000"/>
      <name val="Verdana"/>
      <family val="2"/>
    </font>
    <font>
      <sz val="12"/>
      <name val="Calibri"/>
      <family val="2"/>
    </font>
    <font>
      <b/>
      <sz val="18"/>
      <color theme="1"/>
      <name val="Calibri"/>
      <family val="2"/>
      <scheme val="minor"/>
    </font>
    <font>
      <i/>
      <u/>
      <sz val="11"/>
      <color theme="10"/>
      <name val="Calibri"/>
      <family val="2"/>
      <scheme val="minor"/>
    </font>
    <font>
      <b/>
      <sz val="24"/>
      <color theme="1"/>
      <name val="Calibri"/>
      <family val="2"/>
      <scheme val="minor"/>
    </font>
    <font>
      <sz val="20"/>
      <color theme="1"/>
      <name val="Calibri"/>
      <family val="2"/>
      <scheme val="minor"/>
    </font>
    <font>
      <b/>
      <sz val="12"/>
      <color rgb="FFFFFFFF"/>
      <name val="Verdana"/>
      <family val="2"/>
    </font>
    <font>
      <sz val="12"/>
      <color theme="0"/>
      <name val="Calibri"/>
      <family val="2"/>
      <scheme val="minor"/>
    </font>
    <font>
      <b/>
      <sz val="12"/>
      <name val="Verdana"/>
      <family val="2"/>
    </font>
    <font>
      <sz val="11"/>
      <name val="Calibri"/>
      <family val="2"/>
      <scheme val="minor"/>
    </font>
    <font>
      <b/>
      <sz val="18"/>
      <color rgb="FFFF0000"/>
      <name val="Calibri"/>
      <family val="2"/>
      <scheme val="minor"/>
    </font>
    <font>
      <b/>
      <sz val="12"/>
      <color theme="1"/>
      <name val="Verdana"/>
      <family val="2"/>
    </font>
  </fonts>
  <fills count="15">
    <fill>
      <patternFill patternType="none"/>
    </fill>
    <fill>
      <patternFill patternType="gray125"/>
    </fill>
    <fill>
      <patternFill patternType="solid">
        <fgColor theme="0" tint="-0.34998626667073579"/>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rgb="FFFFFFD1"/>
        <bgColor indexed="64"/>
      </patternFill>
    </fill>
    <fill>
      <patternFill patternType="solid">
        <fgColor theme="3" tint="0.89996032593768116"/>
        <bgColor indexed="64"/>
      </patternFill>
    </fill>
    <fill>
      <patternFill patternType="solid">
        <fgColor theme="8" tint="0.79998168889431442"/>
        <bgColor indexed="64"/>
      </patternFill>
    </fill>
    <fill>
      <patternFill patternType="solid">
        <fgColor theme="0" tint="-0.14996795556505021"/>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2"/>
        <bgColor indexed="64"/>
      </patternFill>
    </fill>
    <fill>
      <patternFill patternType="solid">
        <fgColor rgb="FF4B623F"/>
        <bgColor rgb="FF4B623F"/>
      </patternFill>
    </fill>
    <fill>
      <patternFill patternType="solid">
        <fgColor theme="0"/>
        <bgColor indexed="64"/>
      </patternFill>
    </fill>
    <fill>
      <patternFill patternType="solid">
        <fgColor theme="0" tint="-0.049989318521683403"/>
        <bgColor indexed="64"/>
      </patternFill>
    </fill>
  </fills>
  <borders count="3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auto="1"/>
      </left>
      <right style="thin">
        <color auto="1"/>
      </right>
      <top/>
      <bottom style="thin">
        <color auto="1"/>
      </bottom>
      <diagonal/>
    </border>
    <border>
      <left/>
      <right style="thin">
        <color indexed="64"/>
      </right>
      <top/>
      <bottom/>
      <diagonal/>
    </border>
    <border>
      <left/>
      <right/>
      <top/>
      <bottom style="medium">
        <color indexed="64"/>
      </bottom>
      <diagonal/>
    </border>
    <border>
      <left style="medium">
        <color rgb="FF000000"/>
      </left>
      <right/>
      <top style="medium">
        <color rgb="FF000000"/>
      </top>
      <bottom/>
      <diagonal/>
    </border>
    <border>
      <left/>
      <right/>
      <top style="medium">
        <color rgb="FF000000"/>
      </top>
      <bottom/>
      <diagonal/>
    </border>
    <border>
      <left/>
      <right style="medium">
        <color rgb="FF000000"/>
      </right>
      <top style="medium">
        <color rgb="FF000000"/>
      </top>
      <bottom/>
      <diagonal/>
    </border>
    <border>
      <left style="medium">
        <color rgb="FF000000"/>
      </left>
      <right/>
      <top/>
      <bottom/>
      <diagonal/>
    </border>
    <border>
      <left/>
      <right style="medium">
        <color rgb="FF000000"/>
      </right>
      <top/>
      <bottom/>
      <diagonal/>
    </border>
    <border>
      <left style="medium">
        <color rgb="FF000000"/>
      </left>
      <right style="thin">
        <color rgb="FFFFFFFF"/>
      </right>
      <top/>
      <bottom/>
      <diagonal/>
    </border>
    <border>
      <left/>
      <right style="thin">
        <color rgb="FFFFFFFF"/>
      </right>
      <top/>
      <bottom/>
      <diagonal/>
    </border>
    <border>
      <left style="thin">
        <color rgb="FFFFFFFF"/>
      </left>
      <right style="thin">
        <color rgb="FFFFFFFF"/>
      </right>
      <top/>
      <bottom/>
      <diagonal/>
    </border>
    <border>
      <left style="thin">
        <color rgb="FFFFFFFF"/>
      </left>
      <right/>
      <top/>
      <bottom/>
      <diagonal/>
    </border>
    <border>
      <left style="thin">
        <color rgb="FFFFFFFF"/>
      </left>
      <right style="thin">
        <color rgb="FFFFFFFF"/>
      </right>
      <top style="thin">
        <color rgb="FFFFFFFF"/>
      </top>
      <bottom/>
      <diagonal/>
    </border>
    <border>
      <left/>
      <right/>
      <top style="thin">
        <color rgb="FFFFFFFF"/>
      </top>
      <bottom/>
      <diagonal/>
    </border>
    <border>
      <left/>
      <right style="thin">
        <color rgb="FFFFFFFF"/>
      </right>
      <top style="thin">
        <color rgb="FFFFFFFF"/>
      </top>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style="thin">
        <color rgb="FFFFFFFF"/>
      </right>
      <top/>
      <bottom/>
      <diagonal/>
    </border>
    <border>
      <left style="medium">
        <color indexed="64"/>
      </left>
      <right/>
      <top/>
      <bottom style="medium">
        <color indexed="64"/>
      </bottom>
      <diagonal/>
    </border>
    <border>
      <left/>
      <right style="medium">
        <color indexed="64"/>
      </right>
      <top/>
      <bottom style="medium">
        <color indexed="64"/>
      </bottom>
      <diagonal/>
    </border>
  </borders>
  <cellStyleXfs count="15">
    <xf numFmtId="0" fontId="0" fillId="0" borderId="0"/>
    <xf numFmtId="0" fontId="3" fillId="2" borderId="2">
      <alignment horizontal="center" vertical="center"/>
    </xf>
    <xf numFmtId="0" fontId="3" fillId="2" borderId="2">
      <alignment horizontal="center" vertical="center"/>
    </xf>
    <xf numFmtId="0" fontId="6" fillId="0" borderId="0"/>
    <xf numFmtId="0" fontId="1" fillId="0" borderId="0"/>
    <xf numFmtId="0" fontId="5" fillId="0" borderId="0"/>
    <xf numFmtId="0" fontId="3" fillId="0" borderId="0"/>
    <xf numFmtId="9" fontId="1" fillId="0" borderId="0"/>
    <xf numFmtId="0" fontId="3" fillId="3" borderId="2">
      <alignment horizontal="center" vertical="center" wrapText="1"/>
    </xf>
    <xf numFmtId="0" fontId="4" fillId="4" borderId="1">
      <alignment horizontal="center" vertical="center" wrapText="1"/>
    </xf>
    <xf numFmtId="0" fontId="4" fillId="3" borderId="1">
      <alignment horizontal="center" vertical="center" wrapText="1"/>
    </xf>
    <xf numFmtId="0" fontId="4" fillId="5" borderId="1">
      <alignment horizontal="center" vertical="center" wrapText="1"/>
    </xf>
    <xf numFmtId="0" fontId="4" fillId="6" borderId="1">
      <alignment horizontal="center" vertical="center" wrapText="1"/>
    </xf>
    <xf numFmtId="0" fontId="4" fillId="7" borderId="1">
      <alignment horizontal="center" vertical="center" wrapText="1"/>
    </xf>
    <xf numFmtId="0" fontId="4" fillId="8" borderId="1">
      <alignment horizontal="center" vertical="center" wrapText="1"/>
    </xf>
  </cellStyleXfs>
  <cellXfs count="211">
    <xf numFmtId="0" applyNumberFormat="1" fontId="0" applyFont="1" fillId="0" applyFill="1" borderId="0" applyBorder="1" xfId="0"/>
    <xf numFmtId="0" applyNumberFormat="1" fontId="3" applyFont="1" fillId="2" applyFill="1" borderId="2" applyBorder="1" xfId="1">
      <alignment horizontal="center" vertical="center"/>
    </xf>
    <xf numFmtId="0" applyNumberFormat="1" fontId="3" applyFont="1" fillId="2" applyFill="1" borderId="2" applyBorder="1" xfId="2">
      <alignment horizontal="center" vertical="center"/>
    </xf>
    <xf numFmtId="0" applyNumberFormat="1" fontId="6" applyFont="1" fillId="0" applyFill="1" borderId="0" applyBorder="1" xfId="3"/>
    <xf numFmtId="0" applyNumberFormat="1" fontId="1" applyFont="1" fillId="0" applyFill="1" borderId="0" applyBorder="1" xfId="4"/>
    <xf numFmtId="0" applyNumberFormat="1" fontId="5" applyFont="1" fillId="0" applyFill="1" borderId="0" applyBorder="1" xfId="5"/>
    <xf numFmtId="0" applyNumberFormat="1" fontId="3" applyFont="1" fillId="0" applyFill="1" borderId="0" applyBorder="1" xfId="6"/>
    <xf numFmtId="9" applyNumberFormat="1" fontId="1" applyFont="1" fillId="0" applyFill="1" borderId="0" applyBorder="1" xfId="7"/>
    <xf numFmtId="0" applyNumberFormat="1" fontId="3" applyFont="1" fillId="3" applyFill="1" borderId="2" applyBorder="1" xfId="8">
      <alignment horizontal="center" vertical="center" wrapText="1"/>
    </xf>
    <xf numFmtId="0" applyNumberFormat="1" fontId="4" applyFont="1" fillId="4" applyFill="1" borderId="1" applyBorder="1" xfId="9">
      <alignment horizontal="center" vertical="center" wrapText="1"/>
    </xf>
    <xf numFmtId="0" applyNumberFormat="1" fontId="4" applyFont="1" fillId="3" applyFill="1" borderId="1" applyBorder="1" xfId="10">
      <alignment horizontal="center" vertical="center" wrapText="1"/>
    </xf>
    <xf numFmtId="0" applyNumberFormat="1" fontId="4" applyFont="1" fillId="5" applyFill="1" borderId="1" applyBorder="1" xfId="11">
      <alignment horizontal="center" vertical="center" wrapText="1"/>
    </xf>
    <xf numFmtId="0" applyNumberFormat="1" fontId="4" applyFont="1" fillId="6" applyFill="1" borderId="1" applyBorder="1" xfId="12">
      <alignment horizontal="center" vertical="center" wrapText="1"/>
    </xf>
    <xf numFmtId="0" applyNumberFormat="1" fontId="4" applyFont="1" fillId="7" applyFill="1" borderId="1" applyBorder="1" xfId="13">
      <alignment horizontal="center" vertical="center" wrapText="1"/>
    </xf>
    <xf numFmtId="0" applyNumberFormat="1" fontId="4" applyFont="1" fillId="8" applyFill="1" borderId="1" applyBorder="1" xfId="14">
      <alignment horizontal="center" vertical="center" wrapText="1"/>
    </xf>
    <xf numFmtId="0" applyNumberFormat="1" fontId="2" applyFont="1" fillId="0" applyFill="1" borderId="0" applyBorder="1" xfId="0"/>
    <xf numFmtId="0" applyNumberFormat="1" fontId="0" applyFont="1" fillId="9" applyFill="1" borderId="1" applyBorder="1" xfId="0"/>
    <xf numFmtId="1" applyNumberFormat="1" fontId="0" applyFont="1" fillId="10" applyFill="1" borderId="1" applyBorder="1" xfId="0"/>
    <xf numFmtId="14" applyNumberFormat="1" fontId="0" applyFont="1" fillId="10" applyFill="1" borderId="1" applyBorder="1" xfId="0"/>
    <xf numFmtId="1" applyNumberFormat="1" fontId="0" applyFont="1" fillId="0" applyFill="1" borderId="0" applyBorder="1" xfId="0"/>
    <xf numFmtId="1" applyNumberFormat="1" fontId="2" applyFont="1" fillId="0" applyFill="1" borderId="0" applyBorder="1" xfId="0"/>
    <xf numFmtId="1" applyNumberFormat="1" fontId="0" applyFont="1" fillId="9" applyFill="1" borderId="1" applyBorder="1" xfId="0"/>
    <xf numFmtId="2" applyNumberFormat="1" fontId="0" applyFont="1" fillId="0" applyFill="1" borderId="0" applyBorder="1" xfId="0"/>
    <xf numFmtId="0" applyNumberFormat="1" fontId="2" applyFont="1" fillId="0" applyFill="1" borderId="0" applyBorder="1" xfId="0">
      <alignment horizontal="center"/>
    </xf>
    <xf numFmtId="1" applyNumberFormat="1" fontId="0" applyFont="1" fillId="10" applyFill="1" borderId="1" applyBorder="1" xfId="0">
      <alignment horizontal="right"/>
    </xf>
    <xf numFmtId="2" applyNumberFormat="1" fontId="2" applyFont="1" fillId="0" applyFill="1" borderId="0" applyBorder="1" xfId="0"/>
    <xf numFmtId="0" applyNumberFormat="1" fontId="6" applyFont="1" fillId="0" applyFill="1" borderId="0" applyBorder="1" xfId="3">
      <alignment wrapText="1"/>
    </xf>
    <xf numFmtId="0" applyNumberFormat="1" fontId="0" applyFont="1" fillId="0" applyFill="1" borderId="0" applyBorder="1" xfId="0">
      <alignment horizontal="center" vertical="center"/>
    </xf>
    <xf numFmtId="1" applyNumberFormat="1" fontId="0" applyFont="1" fillId="0" applyFill="1" borderId="0" applyBorder="1" xfId="0">
      <alignment horizontal="center" vertical="center"/>
    </xf>
    <xf numFmtId="0" applyNumberFormat="1" fontId="0" applyFont="1" fillId="0" applyFill="1" borderId="0" applyBorder="1" xfId="0">
      <alignment horizontal="center"/>
    </xf>
    <xf numFmtId="3" applyNumberFormat="1" fontId="0" applyFont="1" fillId="9" applyFill="1" borderId="1" applyBorder="1" xfId="0">
      <protection locked="0"/>
    </xf>
    <xf numFmtId="1" applyNumberFormat="1" fontId="0" applyFont="1" fillId="11" applyFill="1" borderId="1" applyBorder="1" xfId="0"/>
    <xf numFmtId="2" applyNumberFormat="1" fontId="0" applyFont="1" fillId="9" applyFill="1" borderId="3" applyBorder="1" xfId="0">
      <protection locked="0"/>
    </xf>
    <xf numFmtId="2" applyNumberFormat="1" fontId="0" applyFont="1" fillId="9" applyFill="1" borderId="1" applyBorder="1" xfId="0">
      <protection locked="0"/>
    </xf>
    <xf numFmtId="164" applyNumberFormat="1" fontId="0" applyFont="1" fillId="0" applyFill="1" borderId="0" applyBorder="1" xfId="0"/>
    <xf numFmtId="164" applyNumberFormat="1" fontId="2" applyFont="1" fillId="0" applyFill="1" borderId="0" applyBorder="1" xfId="0"/>
    <xf numFmtId="0" applyNumberFormat="1" fontId="8" applyFont="1" fillId="0" applyFill="1" borderId="0" applyBorder="1" xfId="0"/>
    <xf numFmtId="0" applyNumberFormat="1" fontId="12" applyFont="1" fillId="0" applyFill="1" borderId="0" applyBorder="1" xfId="3">
      <alignment wrapText="1"/>
    </xf>
    <xf numFmtId="0" applyNumberFormat="1" fontId="3" applyFont="1" fillId="0" applyFill="1" borderId="0" applyBorder="1" xfId="0">
      <alignment horizontal="center"/>
    </xf>
    <xf numFmtId="0" applyNumberFormat="1" fontId="0" applyFont="1" fillId="9" applyFill="1" borderId="1" applyBorder="1" xfId="0">
      <alignment wrapText="1"/>
    </xf>
    <xf numFmtId="41" applyNumberFormat="1" fontId="3" applyFont="1" fillId="9" applyFill="1" borderId="1" applyBorder="1" xfId="2">
      <protection locked="0"/>
    </xf>
    <xf numFmtId="41" applyNumberFormat="1" fontId="0" applyFont="1" fillId="9" applyFill="1" borderId="1" applyBorder="1" xfId="0">
      <protection locked="0"/>
    </xf>
    <xf numFmtId="165" applyNumberFormat="1" fontId="3" applyFont="1" fillId="0" applyFill="1" borderId="1" applyBorder="1" xfId="2">
      <protection locked="0"/>
    </xf>
    <xf numFmtId="165" applyNumberFormat="1" fontId="0" applyFont="1" fillId="0" applyFill="1" borderId="1" applyBorder="1" xfId="0">
      <protection locked="0"/>
    </xf>
    <xf numFmtId="4" applyNumberFormat="1" fontId="0" applyFont="1" fillId="9" applyFill="1" borderId="1" applyBorder="1" xfId="0">
      <protection locked="0"/>
    </xf>
    <xf numFmtId="0" applyNumberFormat="1" fontId="0" applyFont="1" fillId="0" applyFill="1" borderId="0" applyBorder="1" xfId="0">
      <alignment vertical="center"/>
    </xf>
    <xf numFmtId="0" applyNumberFormat="1" fontId="0" applyFont="1" fillId="0" applyFill="1" borderId="0" applyBorder="1" xfId="0">
      <alignment horizontal="left" vertical="top"/>
    </xf>
    <xf numFmtId="0" applyNumberFormat="1" fontId="0" applyFont="1" fillId="0" applyFill="1" borderId="0" applyBorder="1" xfId="0">
      <alignment horizontal="left" vertical="top" wrapText="1"/>
    </xf>
    <xf numFmtId="0" applyNumberFormat="1" fontId="0" applyFont="1" fillId="9" applyFill="1" borderId="1" applyBorder="1" xfId="0">
      <alignment horizontal="left" vertical="top"/>
    </xf>
    <xf numFmtId="0" applyNumberFormat="1" fontId="0" applyFont="1" fillId="9" applyFill="1" borderId="2" applyBorder="1" xfId="0">
      <alignment horizontal="left" vertical="top"/>
    </xf>
    <xf numFmtId="3" applyNumberFormat="1" fontId="0" applyFont="1" fillId="9" applyFill="1" borderId="2" applyBorder="1" xfId="0">
      <alignment horizontal="left" vertical="top"/>
    </xf>
    <xf numFmtId="14" applyNumberFormat="1" fontId="0" applyFont="1" fillId="9" applyFill="1" borderId="2" applyBorder="1" xfId="0">
      <alignment horizontal="left" vertical="top"/>
    </xf>
    <xf numFmtId="16" applyNumberFormat="1" fontId="0" applyFont="1" fillId="9" applyFill="1" borderId="2" applyBorder="1" xfId="0">
      <alignment horizontal="left" vertical="top"/>
    </xf>
    <xf numFmtId="20" applyNumberFormat="1" fontId="0" applyFont="1" fillId="9" applyFill="1" borderId="2" applyBorder="1" xfId="0">
      <alignment horizontal="left" vertical="top"/>
    </xf>
    <xf numFmtId="1" applyNumberFormat="1" fontId="0" applyFont="1" fillId="9" applyFill="1" borderId="2" applyBorder="1" xfId="0">
      <alignment horizontal="left" vertical="top"/>
    </xf>
    <xf numFmtId="22" applyNumberFormat="1" fontId="0" applyFont="1" fillId="9" applyFill="1" borderId="2" applyBorder="1" xfId="0">
      <alignment horizontal="left" vertical="top" wrapText="1"/>
    </xf>
    <xf numFmtId="0" applyNumberFormat="1" fontId="0" applyFont="1" fillId="9" applyFill="1" borderId="2" applyBorder="1" xfId="0">
      <alignment horizontal="left" vertical="top" wrapText="1"/>
    </xf>
    <xf numFmtId="2" applyNumberFormat="1" fontId="2" applyFont="1" fillId="0" applyFill="1" borderId="0" applyBorder="1" xfId="0">
      <alignment horizontal="center" vertical="center"/>
    </xf>
    <xf numFmtId="0" applyNumberFormat="1" fontId="16" applyFont="1" fillId="0" applyFill="1" borderId="0" applyBorder="1" xfId="0"/>
    <xf numFmtId="1" applyNumberFormat="1" fontId="0" applyFont="1" fillId="0" applyFill="1" borderId="1" applyBorder="1" xfId="0"/>
    <xf numFmtId="0" applyNumberFormat="1" fontId="0" applyFont="1" fillId="0" applyFill="1" borderId="1" applyBorder="1" xfId="0"/>
    <xf numFmtId="0" applyNumberFormat="1" fontId="0" applyFont="1" fillId="13" applyFill="1" borderId="1" applyBorder="1" xfId="0"/>
    <xf numFmtId="1" applyNumberFormat="1" fontId="0" applyFont="1" fillId="11" applyFill="1" borderId="1" applyBorder="1" xfId="0">
      <alignment horizontal="right"/>
    </xf>
    <xf numFmtId="0" applyNumberFormat="1" fontId="0" applyFont="1" fillId="11" applyFill="1" borderId="1" applyBorder="1" xfId="0">
      <protection locked="0"/>
    </xf>
    <xf numFmtId="1" applyNumberFormat="1" fontId="0" applyFont="1" fillId="13" applyFill="1" borderId="1" applyBorder="1" xfId="0"/>
    <xf numFmtId="3" applyNumberFormat="1" fontId="0" applyFont="1" fillId="13" applyFill="1" borderId="1" applyBorder="1" xfId="0">
      <protection locked="0"/>
    </xf>
    <xf numFmtId="0" applyNumberFormat="1" fontId="0" applyFont="1" fillId="10" applyFill="1" borderId="1" applyBorder="1" xfId="0">
      <protection locked="0"/>
    </xf>
    <xf numFmtId="165" applyNumberFormat="1" fontId="3" applyFont="1" fillId="13" applyFill="1" borderId="1" applyBorder="1" xfId="2">
      <protection locked="0"/>
    </xf>
    <xf numFmtId="165" applyNumberFormat="1" fontId="0" applyFont="1" fillId="13" applyFill="1" borderId="1" applyBorder="1" xfId="0">
      <protection locked="0"/>
    </xf>
    <xf numFmtId="0" applyNumberFormat="1" fontId="0" applyFont="1" fillId="0" applyFill="1" borderId="0" applyBorder="1" xfId="0">
      <alignment horizontal="left"/>
    </xf>
    <xf numFmtId="2" applyNumberFormat="1" fontId="0" applyFont="1" fillId="0" applyFill="1" borderId="0" applyBorder="1" xfId="0">
      <alignment horizontal="center" vertical="center"/>
    </xf>
    <xf numFmtId="1" applyNumberFormat="1" fontId="0" applyFont="1" fillId="0" applyFill="1" borderId="0" applyBorder="1" xfId="0">
      <alignment horizontal="left" vertical="top"/>
    </xf>
    <xf numFmtId="3" applyNumberFormat="1" fontId="0" applyFont="1" fillId="0" applyFill="1" borderId="0" applyBorder="1" xfId="0">
      <alignment horizontal="left" vertical="top"/>
    </xf>
    <xf numFmtId="0" applyNumberFormat="1" fontId="0" applyFont="1" fillId="14" applyFill="1" borderId="0" applyBorder="1" xfId="0"/>
    <xf numFmtId="0" applyNumberFormat="1" fontId="0" applyFont="1" fillId="14" applyFill="1" borderId="0" applyBorder="1" xfId="0">
      <alignment horizontal="left"/>
    </xf>
    <xf numFmtId="2" applyNumberFormat="1" fontId="0" applyFont="1" fillId="14" applyFill="1" borderId="0" applyBorder="1" xfId="0">
      <alignment horizontal="center" vertical="center"/>
    </xf>
    <xf numFmtId="1" applyNumberFormat="1" fontId="2" applyFont="1" fillId="0" applyFill="1" borderId="0" applyBorder="1" xfId="0">
      <alignment horizontal="center" vertical="center"/>
    </xf>
    <xf numFmtId="1" applyNumberFormat="1" fontId="0" applyFont="1" fillId="14" applyFill="1" borderId="0" applyBorder="1" xfId="0">
      <alignment horizontal="center" vertical="center"/>
    </xf>
    <xf numFmtId="0" applyNumberFormat="1" fontId="18" applyFont="1" fillId="0" applyFill="1" borderId="0" applyBorder="1" xfId="0"/>
    <xf numFmtId="0" applyNumberFormat="1" fontId="0" applyFont="1" fillId="0" applyFill="1" borderId="4" applyBorder="1" xfId="0">
      <alignment vertical="center"/>
    </xf>
    <xf numFmtId="0" applyNumberFormat="1" fontId="10" applyFont="1" fillId="0" applyFill="1" borderId="19" applyBorder="1" xfId="0">
      <alignment vertical="top" wrapText="1"/>
    </xf>
    <xf numFmtId="164" applyNumberFormat="1" fontId="10" applyFont="1" fillId="0" applyFill="1" borderId="19" applyBorder="1" xfId="0">
      <alignment vertical="top" wrapText="1"/>
    </xf>
    <xf numFmtId="164" applyNumberFormat="1" fontId="10" applyFont="1" fillId="0" applyFill="1" borderId="20" applyBorder="1" xfId="0">
      <alignment vertical="top" wrapText="1"/>
    </xf>
    <xf numFmtId="0" applyNumberFormat="1" fontId="11" applyFont="1" fillId="0" applyFill="1" borderId="0" applyBorder="1" xfId="0"/>
    <xf numFmtId="0" applyNumberFormat="1" fontId="19" applyFont="1" fillId="0" applyFill="1" borderId="0" applyBorder="1" xfId="0"/>
    <xf numFmtId="9" applyNumberFormat="1" fontId="17" applyFont="1" fillId="0" applyFill="1" borderId="9" applyBorder="1" xfId="0">
      <alignment horizontal="center" vertical="center" wrapText="1" readingOrder="1"/>
    </xf>
    <xf numFmtId="0" applyNumberFormat="1" fontId="17" applyFont="1" fillId="0" applyFill="1" borderId="11" applyBorder="1" xfId="0">
      <alignment horizontal="center" vertical="center" wrapText="1" readingOrder="1"/>
    </xf>
    <xf numFmtId="0" applyNumberFormat="1" fontId="17" applyFont="1" fillId="0" applyFill="1" borderId="9" applyBorder="1" xfId="0">
      <alignment horizontal="center" vertical="center" wrapText="1" readingOrder="1"/>
    </xf>
    <xf numFmtId="0" applyNumberFormat="1" fontId="17" applyFont="1" fillId="0" applyFill="1" borderId="18" applyBorder="1" xfId="0">
      <alignment horizontal="center" vertical="top" wrapText="1" readingOrder="1"/>
    </xf>
    <xf numFmtId="1" applyNumberFormat="1" fontId="17" applyFont="1" fillId="0" applyFill="1" borderId="5" applyBorder="1" xfId="0">
      <alignment vertical="top" wrapText="1" readingOrder="1"/>
    </xf>
    <xf numFmtId="0" applyNumberFormat="1" fontId="17" applyFont="1" fillId="0" applyFill="1" borderId="19" applyBorder="1" xfId="0">
      <alignment vertical="top" wrapText="1" readingOrder="1"/>
    </xf>
    <xf numFmtId="164" applyNumberFormat="1" fontId="17" applyFont="1" fillId="0" applyFill="1" borderId="19" applyBorder="1" xfId="0">
      <alignment vertical="top" wrapText="1" readingOrder="1"/>
    </xf>
    <xf numFmtId="3" applyNumberFormat="1" fontId="0" applyFont="1" fillId="9" applyFill="1" borderId="1" applyBorder="1" xfId="0">
      <alignment horizontal="left" vertical="top"/>
    </xf>
    <xf numFmtId="14" applyNumberFormat="1" fontId="0" applyFont="1" fillId="9" applyFill="1" borderId="1" applyBorder="1" xfId="0">
      <alignment horizontal="left" vertical="top"/>
    </xf>
    <xf numFmtId="16" applyNumberFormat="1" fontId="0" applyFont="1" fillId="9" applyFill="1" borderId="1" applyBorder="1" xfId="0">
      <alignment horizontal="left" vertical="top"/>
    </xf>
    <xf numFmtId="4" applyNumberFormat="1" fontId="0" applyFont="1" fillId="9" applyFill="1" borderId="1" applyBorder="1" xfId="0">
      <alignment horizontal="left" vertical="top"/>
    </xf>
    <xf numFmtId="9" applyNumberFormat="1" fontId="0" applyFont="1" fillId="0" applyFill="1" borderId="0" applyBorder="1" xfId="7"/>
    <xf numFmtId="0" applyNumberFormat="1" fontId="2" applyFont="1" fillId="0" applyFill="1" borderId="0" applyBorder="1" xfId="0">
      <alignment horizontal="center" vertical="center"/>
    </xf>
    <xf numFmtId="9" applyNumberFormat="1" fontId="2" applyFont="1" fillId="0" applyFill="1" borderId="0" applyBorder="1" xfId="7">
      <alignment horizontal="center" vertical="center"/>
    </xf>
    <xf numFmtId="0" applyNumberFormat="1" fontId="0" applyFont="1" fillId="0" applyFill="1" borderId="21" applyBorder="1" xfId="0"/>
    <xf numFmtId="0" applyNumberFormat="1" fontId="0" applyFont="1" fillId="0" applyFill="1" borderId="22" applyBorder="1" xfId="0"/>
    <xf numFmtId="0" applyNumberFormat="1" fontId="0" applyFont="1" fillId="0" applyFill="1" borderId="24" applyBorder="1" xfId="0"/>
    <xf numFmtId="0" applyNumberFormat="1" fontId="0" applyFont="1" fillId="0" applyFill="1" borderId="26" applyBorder="1" xfId="0"/>
    <xf numFmtId="0" applyNumberFormat="1" fontId="0" applyFont="1" fillId="0" applyFill="1" borderId="27" applyBorder="1" xfId="0"/>
    <xf numFmtId="0" applyNumberFormat="1" fontId="0" applyFont="1" fillId="0" applyFill="1" borderId="0" applyBorder="1" xfId="0">
      <alignment wrapText="1"/>
    </xf>
    <xf numFmtId="9" applyNumberFormat="1" fontId="2" applyFont="1" fillId="0" applyFill="1" borderId="0" applyBorder="1" xfId="0">
      <alignment horizontal="center" vertical="center" wrapText="1"/>
    </xf>
    <xf numFmtId="0" applyNumberFormat="1" fontId="0" applyFont="1" fillId="0" applyFill="1" borderId="23" applyBorder="1" xfId="0">
      <alignment wrapText="1"/>
    </xf>
    <xf numFmtId="0" applyNumberFormat="1" fontId="0" applyFont="1" fillId="0" applyFill="1" borderId="25" applyBorder="1" xfId="0">
      <alignment wrapText="1"/>
    </xf>
    <xf numFmtId="0" applyNumberFormat="1" fontId="0" applyFont="1" fillId="0" applyFill="1" borderId="28" applyBorder="1" xfId="0">
      <alignment wrapText="1"/>
    </xf>
    <xf numFmtId="0" applyNumberFormat="1" fontId="9" applyFont="1" fillId="0" applyFill="1" borderId="0" applyBorder="1" xfId="0">
      <alignment horizontal="center" vertical="center" wrapText="1" readingOrder="1"/>
    </xf>
    <xf numFmtId="0" applyNumberFormat="1" fontId="10" applyFont="1" fillId="0" applyFill="1" borderId="0" applyBorder="1" xfId="0"/>
    <xf numFmtId="0" applyNumberFormat="1" fontId="17" applyFont="1" fillId="0" applyFill="1" borderId="0" applyBorder="1" xfId="0">
      <alignment horizontal="center" vertical="center" wrapText="1" readingOrder="1"/>
    </xf>
    <xf numFmtId="9" applyNumberFormat="1" fontId="10" applyFont="1" fillId="0" applyFill="1" borderId="0" applyBorder="1" xfId="0"/>
    <xf numFmtId="0" applyNumberFormat="1" fontId="10" applyFont="1" fillId="0" applyFill="1" borderId="30" applyBorder="1" xfId="0">
      <alignment vertical="top" wrapText="1"/>
    </xf>
    <xf numFmtId="0" applyNumberFormat="1" fontId="10" applyFont="1" fillId="0" applyFill="1" borderId="31" applyBorder="1" xfId="0">
      <alignment vertical="top" wrapText="1"/>
    </xf>
    <xf numFmtId="0" applyNumberFormat="1" fontId="10" applyFont="1" fillId="0" applyFill="1" borderId="33" applyBorder="1" xfId="0">
      <alignment vertical="top" wrapText="1"/>
    </xf>
    <xf numFmtId="9" applyNumberFormat="1" fontId="10" applyFont="1" fillId="0" applyFill="1" borderId="33" applyBorder="1" xfId="0">
      <alignment vertical="top" wrapText="1"/>
    </xf>
    <xf numFmtId="0" applyNumberFormat="1" fontId="9" applyFont="1" fillId="0" applyFill="1" borderId="32" applyBorder="1" xfId="0">
      <alignment horizontal="center" vertical="center" wrapText="1" readingOrder="1"/>
    </xf>
    <xf numFmtId="167" applyNumberFormat="1" fontId="9" applyFont="1" fillId="0" applyFill="1" borderId="0" applyBorder="1" xfId="0">
      <alignment horizontal="center" vertical="center" wrapText="1" readingOrder="1"/>
    </xf>
    <xf numFmtId="171" applyNumberFormat="1" fontId="9" applyFont="1" fillId="0" applyFill="1" borderId="0" applyBorder="1" xfId="0">
      <alignment horizontal="center" vertical="center" wrapText="1" readingOrder="1"/>
    </xf>
    <xf numFmtId="169" applyNumberFormat="1" fontId="9" applyFont="1" fillId="0" applyFill="1" borderId="0" applyBorder="1" xfId="0">
      <alignment horizontal="center" vertical="center" wrapText="1" readingOrder="1"/>
    </xf>
    <xf numFmtId="168" applyNumberFormat="1" fontId="9" applyFont="1" fillId="0" applyFill="1" borderId="0" applyBorder="1" xfId="0">
      <alignment horizontal="center" vertical="center" wrapText="1" readingOrder="1"/>
    </xf>
    <xf numFmtId="0" applyNumberFormat="1" fontId="9" applyFont="1" fillId="0" applyFill="1" borderId="35" applyBorder="1" xfId="0">
      <alignment horizontal="center" vertical="top" wrapText="1" readingOrder="1"/>
    </xf>
    <xf numFmtId="0" applyNumberFormat="1" fontId="0" applyFont="1" fillId="0" applyFill="1" borderId="22" applyBorder="1" xfId="0">
      <alignment horizontal="center"/>
    </xf>
    <xf numFmtId="9" applyNumberFormat="1" fontId="0" applyFont="1" fillId="0" applyFill="1" borderId="22" applyBorder="1" xfId="7">
      <alignment horizontal="center"/>
    </xf>
    <xf numFmtId="0" applyNumberFormat="1" fontId="0" applyFont="1" fillId="0" applyFill="1" borderId="1" applyBorder="1" xfId="0">
      <alignment horizontal="center"/>
    </xf>
    <xf numFmtId="9" applyNumberFormat="1" fontId="0" applyFont="1" fillId="0" applyFill="1" borderId="1" applyBorder="1" xfId="7">
      <alignment horizontal="center"/>
    </xf>
    <xf numFmtId="0" applyNumberFormat="1" fontId="0" applyFont="1" fillId="0" applyFill="1" borderId="27" applyBorder="1" xfId="0">
      <alignment horizontal="center"/>
    </xf>
    <xf numFmtId="9" applyNumberFormat="1" fontId="0" applyFont="1" fillId="0" applyFill="1" borderId="27" applyBorder="1" xfId="7">
      <alignment horizontal="center"/>
    </xf>
    <xf numFmtId="1" applyNumberFormat="1" fontId="9" applyFont="1" fillId="0" applyFill="1" borderId="0" applyBorder="1" xfId="0">
      <alignment horizontal="center" vertical="top" wrapText="1" readingOrder="1"/>
    </xf>
    <xf numFmtId="0" applyNumberFormat="1" fontId="9" applyFont="1" fillId="0" applyFill="1" borderId="0" applyBorder="1" xfId="0">
      <alignment horizontal="center" vertical="top" wrapText="1" readingOrder="1"/>
    </xf>
    <xf numFmtId="0" applyNumberFormat="1" fontId="10" applyFont="1" fillId="0" applyFill="1" borderId="0" applyBorder="1" xfId="0">
      <alignment vertical="top" wrapText="1"/>
    </xf>
    <xf numFmtId="164" applyNumberFormat="1" fontId="9" applyFont="1" fillId="0" applyFill="1" borderId="0" applyBorder="1" xfId="0">
      <alignment horizontal="center" vertical="top" wrapText="1" readingOrder="1"/>
    </xf>
    <xf numFmtId="164" applyNumberFormat="1" fontId="10" applyFont="1" fillId="0" applyFill="1" borderId="0" applyBorder="1" xfId="0">
      <alignment vertical="top" wrapText="1"/>
    </xf>
    <xf numFmtId="0" applyNumberFormat="1" fontId="20" applyFont="1" fillId="0" applyFill="1" borderId="32" applyBorder="1" xfId="0">
      <alignment horizontal="center"/>
    </xf>
    <xf numFmtId="0" applyNumberFormat="1" fontId="20" applyFont="1" fillId="0" applyFill="1" borderId="0" applyBorder="1" xfId="0">
      <alignment horizontal="center"/>
    </xf>
    <xf numFmtId="0" applyNumberFormat="1" fontId="9" applyFont="1" fillId="0" applyFill="1" borderId="0" applyBorder="1" xfId="0">
      <alignment horizontal="center" vertical="center" wrapText="1" readingOrder="1"/>
    </xf>
    <xf numFmtId="0" applyNumberFormat="1" fontId="9" applyFont="1" fillId="0" applyFill="1" borderId="32" applyBorder="1" xfId="0">
      <alignment horizontal="center" vertical="center" wrapText="1" readingOrder="1"/>
    </xf>
    <xf numFmtId="9" applyNumberFormat="1" fontId="9" applyFont="1" fillId="0" applyFill="1" borderId="0" applyBorder="1" xfId="0">
      <alignment horizontal="center" vertical="center" wrapText="1" readingOrder="1"/>
    </xf>
    <xf numFmtId="0" applyNumberFormat="1" fontId="9" applyFont="1" fillId="0" applyFill="1" borderId="29" applyBorder="1" xfId="0">
      <alignment horizontal="center" vertical="center" wrapText="1" readingOrder="1"/>
    </xf>
    <xf numFmtId="0" applyNumberFormat="1" fontId="9" applyFont="1" fillId="0" applyFill="1" borderId="30" applyBorder="1" xfId="0">
      <alignment horizontal="center" vertical="center" wrapText="1" readingOrder="1"/>
    </xf>
    <xf numFmtId="1" applyNumberFormat="1" fontId="9" applyFont="1" fillId="0" applyFill="1" borderId="0" applyBorder="1" xfId="0">
      <alignment horizontal="center" vertical="center" wrapText="1" readingOrder="1"/>
    </xf>
    <xf numFmtId="14" applyNumberFormat="1" fontId="9" applyFont="1" fillId="0" applyFill="1" borderId="0" applyBorder="1" xfId="0">
      <alignment horizontal="center" vertical="center" wrapText="1" readingOrder="1"/>
    </xf>
    <xf numFmtId="14" applyNumberFormat="1" fontId="10" applyFont="1" fillId="0" applyFill="1" borderId="0" applyBorder="1" xfId="0"/>
    <xf numFmtId="2" applyNumberFormat="1" fontId="9" applyFont="1" fillId="0" applyFill="1" borderId="0" applyBorder="1" xfId="0">
      <alignment horizontal="center" vertical="center" wrapText="1" readingOrder="1"/>
    </xf>
    <xf numFmtId="2" applyNumberFormat="1" fontId="10" applyFont="1" fillId="0" applyFill="1" borderId="0" applyBorder="1" xfId="0"/>
    <xf numFmtId="0" applyNumberFormat="1" fontId="10" applyFont="1" fillId="0" applyFill="1" borderId="0" applyBorder="1" xfId="0"/>
    <xf numFmtId="9" applyNumberFormat="1" fontId="10" applyFont="1" fillId="0" applyFill="1" borderId="0" applyBorder="1" xfId="0"/>
    <xf numFmtId="170" applyNumberFormat="1" fontId="9" applyFont="1" fillId="0" applyFill="1" borderId="0" applyBorder="1" xfId="0">
      <alignment horizontal="center" vertical="center" wrapText="1" readingOrder="1"/>
    </xf>
    <xf numFmtId="170" applyNumberFormat="1" fontId="9" applyFont="1" fillId="0" applyFill="1" borderId="12" applyBorder="1" xfId="0">
      <alignment horizontal="center" vertical="center" wrapText="1" readingOrder="1"/>
    </xf>
    <xf numFmtId="0" applyNumberFormat="1" fontId="15" applyFont="1" fillId="12" applyFill="1" borderId="34" applyBorder="1" xfId="0">
      <alignment horizontal="center" vertical="top" wrapText="1" readingOrder="1"/>
    </xf>
    <xf numFmtId="0" applyNumberFormat="1" fontId="10" applyFont="1" fillId="0" applyFill="1" borderId="12" applyBorder="1" xfId="0">
      <alignment vertical="top" wrapText="1"/>
    </xf>
    <xf numFmtId="0" applyNumberFormat="1" fontId="15" applyFont="1" fillId="12" applyFill="1" borderId="32" applyBorder="1" xfId="0">
      <alignment horizontal="center" vertical="top" wrapText="1" readingOrder="1"/>
    </xf>
    <xf numFmtId="0" applyNumberFormat="1" fontId="15" applyFont="1" fillId="12" applyFill="1" borderId="0" applyBorder="1" xfId="0">
      <alignment horizontal="center" vertical="top" wrapText="1" readingOrder="1"/>
    </xf>
    <xf numFmtId="0" applyNumberFormat="1" fontId="15" applyFont="1" fillId="12" applyFill="1" borderId="12" applyBorder="1" xfId="0">
      <alignment horizontal="center" vertical="top" wrapText="1" readingOrder="1"/>
    </xf>
    <xf numFmtId="166" applyNumberFormat="1" fontId="9" applyFont="1" fillId="0" applyFill="1" borderId="0" applyBorder="1" xfId="0">
      <alignment horizontal="center" vertical="center" wrapText="1" readingOrder="1"/>
    </xf>
    <xf numFmtId="1" applyNumberFormat="1" fontId="9" applyFont="1" fillId="0" applyFill="1" borderId="0" applyBorder="1" xfId="0">
      <alignment horizontal="center" vertical="top" wrapText="1" readingOrder="1"/>
    </xf>
    <xf numFmtId="1" applyNumberFormat="1" fontId="9" applyFont="1" fillId="0" applyFill="1" borderId="5" applyBorder="1" xfId="0">
      <alignment horizontal="center" vertical="top" wrapText="1" readingOrder="1"/>
    </xf>
    <xf numFmtId="0" applyNumberFormat="1" fontId="9" applyFont="1" fillId="0" applyFill="1" borderId="0" applyBorder="1" xfId="0">
      <alignment horizontal="center" vertical="top" wrapText="1" readingOrder="1"/>
    </xf>
    <xf numFmtId="0" applyNumberFormat="1" fontId="9" applyFont="1" fillId="0" applyFill="1" borderId="5" applyBorder="1" xfId="0">
      <alignment horizontal="center" vertical="top" wrapText="1" readingOrder="1"/>
    </xf>
    <xf numFmtId="0" applyNumberFormat="1" fontId="7" applyFont="1" fillId="0" applyFill="1" borderId="0" applyBorder="1" xfId="0">
      <alignment horizontal="center"/>
    </xf>
    <xf numFmtId="0" applyNumberFormat="1" fontId="10" applyFont="1" fillId="0" applyFill="1" borderId="33" applyBorder="1" xfId="0">
      <alignment vertical="top" wrapText="1"/>
    </xf>
    <xf numFmtId="172" applyNumberFormat="1" fontId="9" applyFont="1" fillId="0" applyFill="1" borderId="0" applyBorder="1" xfId="0">
      <alignment horizontal="center" vertical="center" wrapText="1" readingOrder="1"/>
    </xf>
    <xf numFmtId="0" applyNumberFormat="1" fontId="11" applyFont="1" fillId="0" applyFill="1" borderId="0" applyBorder="1" xfId="0">
      <alignment horizontal="center"/>
    </xf>
    <xf numFmtId="14" applyNumberFormat="1" fontId="14" applyFont="1" fillId="0" applyFill="1" borderId="0" applyBorder="1" xfId="0">
      <alignment horizontal="center"/>
    </xf>
    <xf numFmtId="164" applyNumberFormat="1" fontId="9" applyFont="1" fillId="0" applyFill="1" borderId="0" applyBorder="1" xfId="0">
      <alignment horizontal="center" vertical="center" wrapText="1" readingOrder="1"/>
    </xf>
    <xf numFmtId="164" applyNumberFormat="1" fontId="10" applyFont="1" fillId="0" applyFill="1" borderId="0" applyBorder="1" xfId="0"/>
    <xf numFmtId="164" applyNumberFormat="1" fontId="10" applyFont="1" fillId="0" applyFill="1" borderId="33" applyBorder="1" xfId="0">
      <alignment vertical="top" wrapText="1"/>
    </xf>
    <xf numFmtId="0" applyNumberFormat="1" fontId="15" applyFont="1" fillId="12" applyFill="1" borderId="34" applyBorder="1" xfId="0">
      <alignment horizontal="center" vertical="center" wrapText="1" readingOrder="1"/>
    </xf>
    <xf numFmtId="0" applyNumberFormat="1" fontId="15" applyFont="1" fillId="12" applyFill="1" borderId="13" applyBorder="1" xfId="0">
      <alignment horizontal="center" vertical="top" wrapText="1" readingOrder="1"/>
    </xf>
    <xf numFmtId="0" applyNumberFormat="1" fontId="15" applyFont="1" fillId="12" applyFill="1" borderId="14" applyBorder="1" xfId="0">
      <alignment horizontal="center" vertical="center" wrapText="1" readingOrder="1"/>
    </xf>
    <xf numFmtId="0" applyNumberFormat="1" fontId="13" applyFont="1" fillId="0" applyFill="1" borderId="0" applyBorder="1" xfId="0">
      <alignment horizontal="center"/>
    </xf>
    <xf numFmtId="2" applyNumberFormat="1" fontId="10" applyFont="1" fillId="0" applyFill="1" borderId="33" applyBorder="1" xfId="0">
      <alignment vertical="top" wrapText="1"/>
    </xf>
    <xf numFmtId="0" applyNumberFormat="1" fontId="10" applyFont="1" fillId="0" applyFill="1" borderId="5" applyBorder="1" xfId="0">
      <alignment vertical="top" wrapText="1"/>
    </xf>
    <xf numFmtId="164" applyNumberFormat="1" fontId="9" applyFont="1" fillId="0" applyFill="1" borderId="5" applyBorder="1" xfId="0">
      <alignment horizontal="center" vertical="top" wrapText="1" readingOrder="1"/>
    </xf>
    <xf numFmtId="164" applyNumberFormat="1" fontId="10" applyFont="1" fillId="0" applyFill="1" borderId="5" applyBorder="1" xfId="0">
      <alignment vertical="top" wrapText="1"/>
    </xf>
    <xf numFmtId="164" applyNumberFormat="1" fontId="10" applyFont="1" fillId="0" applyFill="1" borderId="36" applyBorder="1" xfId="0">
      <alignment vertical="top" wrapText="1"/>
    </xf>
    <xf numFmtId="0" applyNumberFormat="1" fontId="15" applyFont="1" fillId="12" applyFill="1" borderId="14" applyBorder="1" xfId="0">
      <alignment horizontal="center" vertical="top" wrapText="1" readingOrder="1"/>
    </xf>
    <xf numFmtId="1" applyNumberFormat="1" fontId="9" applyFont="1" fillId="0" applyFill="1" borderId="12" applyBorder="1" xfId="0">
      <alignment horizontal="center" vertical="center" wrapText="1" readingOrder="1"/>
    </xf>
    <xf numFmtId="0" applyNumberFormat="1" fontId="15" applyFont="1" fillId="12" applyFill="1" borderId="15" applyBorder="1" xfId="0">
      <alignment horizontal="center" vertical="center" wrapText="1" readingOrder="1"/>
    </xf>
    <xf numFmtId="0" applyNumberFormat="1" fontId="10" applyFont="1" fillId="0" applyFill="1" borderId="16" applyBorder="1" xfId="0">
      <alignment vertical="top" wrapText="1"/>
    </xf>
    <xf numFmtId="0" applyNumberFormat="1" fontId="10" applyFont="1" fillId="0" applyFill="1" borderId="17" applyBorder="1" xfId="0">
      <alignment vertical="top" wrapText="1"/>
    </xf>
    <xf numFmtId="0" applyNumberFormat="1" fontId="15" applyFont="1" fillId="12" applyFill="1" borderId="32" applyBorder="1" xfId="0">
      <alignment horizontal="center" vertical="center" wrapText="1" readingOrder="1"/>
    </xf>
    <xf numFmtId="0" applyNumberFormat="1" fontId="10" applyFont="1" fillId="0" applyFill="1" borderId="0" applyBorder="1" xfId="0">
      <alignment vertical="top" wrapText="1"/>
    </xf>
    <xf numFmtId="0" applyNumberFormat="1" fontId="15" applyFont="1" fillId="12" applyFill="1" borderId="0" applyBorder="1" xfId="0">
      <alignment horizontal="center" vertical="center" wrapText="1" readingOrder="1"/>
    </xf>
    <xf numFmtId="0" applyNumberFormat="1" fontId="9" applyFont="1" fillId="0" applyFill="1" borderId="6" applyBorder="1" xfId="0">
      <alignment horizontal="center" vertical="center" wrapText="1" readingOrder="1"/>
    </xf>
    <xf numFmtId="0" applyNumberFormat="1" fontId="10" applyFont="1" fillId="0" applyFill="1" borderId="7" applyBorder="1" xfId="0">
      <alignment vertical="top" wrapText="1"/>
    </xf>
    <xf numFmtId="0" applyNumberFormat="1" fontId="10" applyFont="1" fillId="0" applyFill="1" borderId="8" applyBorder="1" xfId="0">
      <alignment vertical="top" wrapText="1"/>
    </xf>
    <xf numFmtId="0" applyNumberFormat="1" fontId="9" applyFont="1" fillId="0" applyFill="1" borderId="9" applyBorder="1" xfId="0">
      <alignment horizontal="center" vertical="center" wrapText="1" readingOrder="1"/>
    </xf>
    <xf numFmtId="0" applyNumberFormat="1" fontId="10" applyFont="1" fillId="0" applyFill="1" borderId="10" applyBorder="1" xfId="0">
      <alignment vertical="top" wrapText="1"/>
    </xf>
    <xf numFmtId="0" applyNumberFormat="1" fontId="17" applyFont="1" fillId="0" applyFill="1" borderId="0" applyBorder="1" xfId="0">
      <alignment horizontal="center" vertical="center" wrapText="1" readingOrder="1"/>
    </xf>
    <xf numFmtId="1" applyNumberFormat="1" fontId="17" applyFont="1" fillId="0" applyFill="1" borderId="0" applyBorder="1" xfId="0">
      <alignment horizontal="center" vertical="center" wrapText="1" readingOrder="1"/>
    </xf>
    <xf numFmtId="0" applyNumberFormat="1" fontId="15" applyFont="1" fillId="12" applyFill="1" borderId="9" applyBorder="1" xfId="0">
      <alignment horizontal="center" vertical="center" wrapText="1" readingOrder="1"/>
    </xf>
    <xf numFmtId="0" applyNumberFormat="1" fontId="15" applyFont="1" fillId="12" applyFill="1" borderId="10" applyBorder="1" xfId="0">
      <alignment horizontal="center" vertical="center" wrapText="1" readingOrder="1"/>
    </xf>
    <xf numFmtId="0" applyNumberFormat="1" fontId="17" applyFont="1" fillId="0" applyFill="1" borderId="9" applyBorder="1" xfId="0">
      <alignment horizontal="center" vertical="center" wrapText="1" readingOrder="1"/>
    </xf>
    <xf numFmtId="0" applyNumberFormat="1" fontId="17" applyFont="1" fillId="0" applyFill="1" borderId="10" applyBorder="1" xfId="0">
      <alignment horizontal="center" vertical="center" wrapText="1" readingOrder="1"/>
    </xf>
    <xf numFmtId="0" applyNumberFormat="1" fontId="17" applyFont="1" fillId="0" applyFill="1" borderId="12" applyBorder="1" xfId="0">
      <alignment horizontal="center" vertical="center" wrapText="1" readingOrder="1"/>
    </xf>
    <xf numFmtId="0" applyNumberFormat="1" fontId="17" applyFont="1" fillId="0" applyFill="1" borderId="14" applyBorder="1" xfId="0">
      <alignment horizontal="center" vertical="top" wrapText="1" readingOrder="1"/>
    </xf>
    <xf numFmtId="0" applyNumberFormat="1" fontId="17" applyFont="1" fillId="0" applyFill="1" borderId="0" applyBorder="1" xfId="0">
      <alignment horizontal="center" vertical="top" wrapText="1" readingOrder="1"/>
    </xf>
    <xf numFmtId="0" applyNumberFormat="1" fontId="17" applyFont="1" fillId="0" applyFill="1" borderId="10" applyBorder="1" xfId="0">
      <alignment horizontal="center" vertical="top" wrapText="1" readingOrder="1"/>
    </xf>
    <xf numFmtId="2" applyNumberFormat="1" fontId="17" applyFont="1" fillId="0" applyFill="1" borderId="14" applyBorder="1" xfId="0">
      <alignment horizontal="center" vertical="top" wrapText="1" readingOrder="1"/>
    </xf>
    <xf numFmtId="2" applyNumberFormat="1" fontId="17" applyFont="1" fillId="0" applyFill="1" borderId="0" applyBorder="1" xfId="0">
      <alignment horizontal="center" vertical="top" wrapText="1" readingOrder="1"/>
    </xf>
    <xf numFmtId="2" applyNumberFormat="1" fontId="17" applyFont="1" fillId="0" applyFill="1" borderId="10" applyBorder="1" xfId="0">
      <alignment horizontal="center" vertical="top" wrapText="1" readingOrder="1"/>
    </xf>
    <xf numFmtId="2" applyNumberFormat="1" fontId="17" applyFont="1" fillId="0" applyFill="1" borderId="9" applyBorder="1" xfId="0">
      <alignment horizontal="center" vertical="top" wrapText="1" readingOrder="1"/>
    </xf>
    <xf numFmtId="2" applyNumberFormat="1" fontId="17" applyFont="1" fillId="0" applyFill="1" borderId="12" applyBorder="1" xfId="0">
      <alignment horizontal="center" vertical="top" wrapText="1" readingOrder="1"/>
    </xf>
    <xf numFmtId="0" applyNumberFormat="1" fontId="15" applyFont="1" fillId="12" applyFill="1" borderId="11" applyBorder="1" xfId="0">
      <alignment horizontal="center" vertical="center" wrapText="1" readingOrder="1"/>
    </xf>
    <xf numFmtId="172" applyNumberFormat="1" fontId="17" applyFont="1" fillId="0" applyFill="1" borderId="0" applyBorder="1" xfId="0">
      <alignment horizontal="center" vertical="center" wrapText="1" readingOrder="1"/>
    </xf>
    <xf numFmtId="9" applyNumberFormat="1" fontId="2" applyFont="1" fillId="0" applyFill="1" borderId="0" applyBorder="1" xfId="7">
      <alignment horizontal="center"/>
    </xf>
    <xf numFmtId="0" applyNumberFormat="1" fontId="2" applyFont="1" fillId="0" applyFill="1" borderId="0" applyBorder="1" xfId="0">
      <alignment horizontal="center"/>
    </xf>
    <xf numFmtId="1" applyNumberFormat="1" fontId="2" applyFont="1" fillId="0" applyFill="1" borderId="0" applyBorder="1" xfId="0">
      <alignment horizontal="center" vertical="center"/>
    </xf>
    <xf numFmtId="0" applyNumberFormat="1" fontId="2" applyFont="1" fillId="0" applyFill="1" borderId="0" applyBorder="1" xfId="0">
      <alignment horizontal="center" vertical="center"/>
    </xf>
  </cellXfs>
  <cellStyles count="15">
    <cellStyle name="Calculated" xfId="1"/>
    <cellStyle name="Calculated 2" xfId="2"/>
    <cellStyle name="Hyperlink" xfId="3" builtinId="8"/>
    <cellStyle name="Normal" xfId="0" builtinId="0"/>
    <cellStyle name="Normal 2" xfId="4"/>
    <cellStyle name="Normal 3" xfId="5"/>
    <cellStyle name="Normal 4" xfId="6"/>
    <cellStyle name="Percent" xfId="7" builtinId="5"/>
    <cellStyle name="Summary" xfId="8"/>
    <cellStyle name="TableHeader" xfId="9"/>
    <cellStyle name="TableHeader 2" xfId="10"/>
    <cellStyle name="TableHeader 3" xfId="11"/>
    <cellStyle name="TableHeader 4" xfId="12"/>
    <cellStyle name="TableHeader 5" xfId="13"/>
    <cellStyle name="TableHeader 6" xfId="14"/>
  </cellStyles>
  <dxfs count="132">
    <dxf>
      <font>
        <color theme="0"/>
      </font>
      <fill>
        <patternFill>
          <bgColor rgb="FF4B623F"/>
        </patternFill>
      </fill>
    </dxf>
    <dxf>
      <font>
        <color theme="0"/>
      </font>
      <fill>
        <patternFill>
          <bgColor rgb="FF4B623F"/>
        </patternFill>
      </fill>
    </dxf>
    <dxf>
      <font>
        <color theme="0"/>
      </font>
      <fill>
        <patternFill>
          <bgColor rgb="FF4B623F"/>
        </patternFill>
      </fill>
    </dxf>
    <dxf>
      <font>
        <color theme="0"/>
      </font>
      <fill>
        <patternFill>
          <bgColor rgb="FF4B623F"/>
        </patternFill>
      </fill>
    </dxf>
    <dxf>
      <fill>
        <patternFill patternType="lightVertical">
          <fgColor rgb="FFC00000"/>
          <bgColor rgb="FFFFFF00"/>
        </patternFill>
      </fill>
    </dxf>
    <dxf>
      <font>
        <color theme="0"/>
      </font>
      <fill>
        <patternFill>
          <bgColor rgb="FF4B623F"/>
        </patternFill>
      </fill>
    </dxf>
    <dxf>
      <font>
        <color theme="0"/>
      </font>
      <fill>
        <patternFill>
          <bgColor rgb="FF4B623F"/>
        </patternFill>
      </fill>
    </dxf>
    <dxf>
      <font>
        <color theme="0"/>
      </font>
      <fill>
        <patternFill>
          <bgColor rgb="FF4B623F"/>
        </patternFill>
      </fill>
    </dxf>
    <dxf>
      <font>
        <color theme="0"/>
      </font>
      <fill>
        <patternFill>
          <bgColor rgb="FF4B623F"/>
        </patternFill>
      </fill>
    </dxf>
    <dxf>
      <fill>
        <patternFill patternType="lightVertical">
          <fgColor rgb="FFC00000"/>
          <bgColor rgb="FFFFFF00"/>
        </patternFill>
      </fill>
    </dxf>
    <dxf>
      <font>
        <color theme="0"/>
      </font>
      <fill>
        <patternFill>
          <bgColor rgb="FF4B623F"/>
        </patternFill>
      </fill>
    </dxf>
    <dxf>
      <font>
        <color theme="0"/>
      </font>
      <fill>
        <patternFill>
          <bgColor rgb="FF4B623F"/>
        </patternFill>
      </fill>
    </dxf>
    <dxf>
      <font>
        <color theme="0"/>
      </font>
      <fill>
        <patternFill>
          <bgColor rgb="FF4B623F"/>
        </patternFill>
      </fill>
    </dxf>
    <dxf>
      <font>
        <color theme="0"/>
      </font>
      <fill>
        <patternFill>
          <bgColor rgb="FF4B623F"/>
        </patternFill>
      </fill>
    </dxf>
    <dxf>
      <fill>
        <patternFill patternType="lightVertical">
          <fgColor rgb="FFC00000"/>
          <bgColor rgb="FFFFFF00"/>
        </patternFill>
      </fill>
    </dxf>
    <dxf>
      <font>
        <color theme="0"/>
      </font>
      <fill>
        <patternFill>
          <bgColor rgb="FF4B623F"/>
        </patternFill>
      </fill>
    </dxf>
    <dxf>
      <font>
        <color theme="0"/>
      </font>
      <fill>
        <patternFill>
          <bgColor rgb="FF4B623F"/>
        </patternFill>
      </fill>
    </dxf>
    <dxf>
      <font>
        <color theme="0"/>
      </font>
      <fill>
        <patternFill>
          <bgColor rgb="FF4B623F"/>
        </patternFill>
      </fill>
    </dxf>
    <dxf>
      <font>
        <color theme="0"/>
      </font>
      <fill>
        <patternFill>
          <bgColor rgb="FF4B623F"/>
        </patternFill>
      </fill>
    </dxf>
    <dxf>
      <fill>
        <patternFill patternType="lightVertical">
          <fgColor rgb="FFC00000"/>
          <bgColor rgb="FFFFFF00"/>
        </patternFill>
      </fill>
    </dxf>
    <dxf>
      <font>
        <color theme="0"/>
      </font>
      <fill>
        <patternFill>
          <bgColor rgb="FF4B623F"/>
        </patternFill>
      </fill>
    </dxf>
    <dxf>
      <font>
        <color theme="0"/>
      </font>
      <fill>
        <patternFill>
          <bgColor rgb="FF4B623F"/>
        </patternFill>
      </fill>
    </dxf>
    <dxf>
      <font>
        <color theme="0"/>
      </font>
      <fill>
        <patternFill>
          <bgColor rgb="FF4B623F"/>
        </patternFill>
      </fill>
    </dxf>
    <dxf>
      <font>
        <color theme="0"/>
      </font>
      <fill>
        <patternFill>
          <bgColor rgb="FF4B623F"/>
        </patternFill>
      </fill>
    </dxf>
    <dxf>
      <fill>
        <patternFill patternType="lightVertical">
          <fgColor rgb="FFC00000"/>
          <bgColor rgb="FFFFFF00"/>
        </patternFill>
      </fill>
    </dxf>
    <dxf>
      <font>
        <color theme="0"/>
      </font>
      <fill>
        <patternFill>
          <bgColor rgb="FF4B623F"/>
        </patternFill>
      </fill>
    </dxf>
    <dxf>
      <font>
        <color theme="0"/>
      </font>
      <fill>
        <patternFill>
          <bgColor rgb="FF4B623F"/>
        </patternFill>
      </fill>
    </dxf>
    <dxf>
      <font>
        <color theme="0"/>
      </font>
      <fill>
        <patternFill>
          <bgColor rgb="FF4B623F"/>
        </patternFill>
      </fill>
    </dxf>
    <dxf>
      <font>
        <color theme="0"/>
      </font>
      <fill>
        <patternFill>
          <bgColor rgb="FF4B623F"/>
        </patternFill>
      </fill>
    </dxf>
    <dxf>
      <fill>
        <patternFill patternType="lightVertical">
          <fgColor rgb="FFC00000"/>
          <bgColor rgb="FFFFFF00"/>
        </patternFill>
      </fill>
    </dxf>
    <dxf>
      <font>
        <color theme="0"/>
      </font>
      <fill>
        <patternFill>
          <bgColor rgb="FF4B623F"/>
        </patternFill>
      </fill>
    </dxf>
    <dxf>
      <font>
        <color theme="0"/>
      </font>
      <fill>
        <patternFill>
          <bgColor rgb="FF4B623F"/>
        </patternFill>
      </fill>
    </dxf>
    <dxf>
      <font>
        <color theme="0"/>
      </font>
      <fill>
        <patternFill>
          <bgColor rgb="FF4B623F"/>
        </patternFill>
      </fill>
    </dxf>
    <dxf>
      <font>
        <color theme="0"/>
      </font>
      <fill>
        <patternFill>
          <bgColor rgb="FF4B623F"/>
        </patternFill>
      </fill>
    </dxf>
    <dxf>
      <fill>
        <patternFill patternType="lightVertical">
          <fgColor rgb="FFC00000"/>
          <bgColor rgb="FFFFFF00"/>
        </patternFill>
      </fill>
    </dxf>
    <dxf>
      <font>
        <color theme="0"/>
      </font>
      <fill>
        <patternFill>
          <bgColor rgb="FF4B623F"/>
        </patternFill>
      </fill>
    </dxf>
    <dxf>
      <font>
        <color theme="0"/>
      </font>
      <fill>
        <patternFill>
          <bgColor rgb="FF4B623F"/>
        </patternFill>
      </fill>
    </dxf>
    <dxf>
      <font>
        <color theme="0"/>
      </font>
      <fill>
        <patternFill>
          <bgColor rgb="FF4B623F"/>
        </patternFill>
      </fill>
    </dxf>
    <dxf>
      <font>
        <color theme="0"/>
      </font>
      <fill>
        <patternFill>
          <bgColor rgb="FF4B623F"/>
        </patternFill>
      </fill>
    </dxf>
    <dxf>
      <fill>
        <patternFill patternType="lightVertical">
          <fgColor rgb="FFC00000"/>
          <bgColor rgb="FFFFFF00"/>
        </patternFill>
      </fill>
    </dxf>
    <dxf>
      <font>
        <color theme="0"/>
      </font>
      <fill>
        <patternFill>
          <bgColor rgb="FF4B623F"/>
        </patternFill>
      </fill>
    </dxf>
    <dxf>
      <font>
        <color theme="0"/>
      </font>
      <fill>
        <patternFill>
          <bgColor rgb="FF4B623F"/>
        </patternFill>
      </fill>
    </dxf>
    <dxf>
      <font>
        <color theme="0"/>
      </font>
      <fill>
        <patternFill>
          <bgColor rgb="FF4B623F"/>
        </patternFill>
      </fill>
    </dxf>
    <dxf>
      <font>
        <color theme="0"/>
      </font>
      <fill>
        <patternFill>
          <bgColor rgb="FF4B623F"/>
        </patternFill>
      </fill>
    </dxf>
    <dxf>
      <fill>
        <patternFill patternType="lightVertical">
          <fgColor rgb="FFC00000"/>
          <bgColor rgb="FFFFFF00"/>
        </patternFill>
      </fill>
    </dxf>
    <dxf>
      <font>
        <color theme="0"/>
      </font>
      <fill>
        <patternFill>
          <bgColor rgb="FF4B623F"/>
        </patternFill>
      </fill>
    </dxf>
    <dxf>
      <font>
        <color theme="0"/>
      </font>
      <fill>
        <patternFill>
          <bgColor rgb="FF4B623F"/>
        </patternFill>
      </fill>
    </dxf>
    <dxf>
      <font>
        <color theme="0"/>
      </font>
      <fill>
        <patternFill>
          <bgColor rgb="FF4B623F"/>
        </patternFill>
      </fill>
    </dxf>
    <dxf>
      <font>
        <color theme="0"/>
      </font>
      <fill>
        <patternFill>
          <bgColor rgb="FF4B623F"/>
        </patternFill>
      </fill>
    </dxf>
    <dxf>
      <fill>
        <patternFill patternType="lightVertical">
          <fgColor rgb="FFC00000"/>
          <bgColor rgb="FFFFFF00"/>
        </patternFill>
      </fill>
    </dxf>
    <dxf>
      <font>
        <color theme="0"/>
      </font>
      <fill>
        <patternFill>
          <bgColor rgb="FF4B623F"/>
        </patternFill>
      </fill>
    </dxf>
    <dxf>
      <font>
        <color theme="0"/>
      </font>
      <fill>
        <patternFill>
          <bgColor rgb="FF4B623F"/>
        </patternFill>
      </fill>
    </dxf>
    <dxf>
      <font>
        <color theme="0"/>
      </font>
      <fill>
        <patternFill>
          <bgColor rgb="FF4B623F"/>
        </patternFill>
      </fill>
    </dxf>
    <dxf>
      <font>
        <color theme="0"/>
      </font>
      <fill>
        <patternFill>
          <bgColor rgb="FF4B623F"/>
        </patternFill>
      </fill>
    </dxf>
    <dxf>
      <fill>
        <patternFill patternType="lightVertical">
          <fgColor rgb="FFC00000"/>
          <bgColor rgb="FFFFFF00"/>
        </patternFill>
      </fill>
    </dxf>
    <dxf>
      <font>
        <color theme="0"/>
      </font>
      <fill>
        <patternFill>
          <bgColor rgb="FF4B623F"/>
        </patternFill>
      </fill>
    </dxf>
    <dxf>
      <font>
        <color theme="0"/>
      </font>
      <fill>
        <patternFill>
          <bgColor rgb="FF4B623F"/>
        </patternFill>
      </fill>
    </dxf>
    <dxf>
      <font>
        <color theme="0"/>
      </font>
      <fill>
        <patternFill>
          <bgColor rgb="FF4B623F"/>
        </patternFill>
      </fill>
    </dxf>
    <dxf>
      <font>
        <color theme="0"/>
      </font>
      <fill>
        <patternFill>
          <bgColor rgb="FF4B623F"/>
        </patternFill>
      </fill>
    </dxf>
    <dxf>
      <font>
        <color theme="0"/>
      </font>
      <fill>
        <patternFill>
          <bgColor rgb="FF4B623F"/>
        </patternFill>
      </fill>
    </dxf>
    <dxf>
      <font>
        <color theme="0"/>
      </font>
      <fill>
        <patternFill>
          <bgColor rgb="FF4B623F"/>
        </patternFill>
      </fill>
    </dxf>
    <dxf>
      <font>
        <color theme="0"/>
      </font>
      <fill>
        <patternFill>
          <bgColor rgb="FF4B623F"/>
        </patternFill>
      </fill>
    </dxf>
    <dxf>
      <font>
        <color theme="0"/>
      </font>
      <fill>
        <patternFill>
          <bgColor rgb="FF4B623F"/>
        </patternFill>
      </fill>
    </dxf>
    <dxf>
      <font>
        <color theme="0"/>
      </font>
      <fill>
        <patternFill>
          <bgColor rgb="FF4B623F"/>
        </patternFill>
      </fill>
    </dxf>
    <dxf>
      <font>
        <color theme="0"/>
      </font>
      <fill>
        <patternFill>
          <bgColor rgb="FF4B623F"/>
        </patternFill>
      </fill>
    </dxf>
    <dxf>
      <font>
        <color theme="0"/>
      </font>
      <fill>
        <patternFill>
          <bgColor rgb="FF4B623F"/>
        </patternFill>
      </fill>
    </dxf>
    <dxf>
      <font>
        <color theme="0"/>
      </font>
      <fill>
        <patternFill>
          <bgColor rgb="FF4B623F"/>
        </patternFill>
      </fill>
    </dxf>
    <dxf>
      <font>
        <color theme="0"/>
      </font>
      <fill>
        <patternFill>
          <bgColor rgb="FF4B623F"/>
        </patternFill>
      </fill>
    </dxf>
    <dxf>
      <font>
        <color theme="0"/>
      </font>
      <fill>
        <patternFill>
          <bgColor rgb="FF4B623F"/>
        </patternFill>
      </fill>
    </dxf>
    <dxf>
      <font>
        <color theme="0"/>
      </font>
      <fill>
        <patternFill>
          <bgColor rgb="FF4B623F"/>
        </patternFill>
      </fill>
    </dxf>
    <dxf>
      <font>
        <color theme="0"/>
      </font>
      <fill>
        <patternFill>
          <bgColor rgb="FF4B623F"/>
        </patternFill>
      </fill>
    </dxf>
    <dxf>
      <font>
        <color theme="0"/>
      </font>
      <fill>
        <patternFill>
          <bgColor rgb="FF4B623F"/>
        </patternFill>
      </fill>
    </dxf>
    <dxf>
      <font>
        <color theme="0"/>
      </font>
      <fill>
        <patternFill>
          <bgColor rgb="FF4B623F"/>
        </patternFill>
      </fill>
    </dxf>
    <dxf>
      <font>
        <color theme="0"/>
      </font>
      <fill>
        <patternFill>
          <bgColor rgb="FF4B623F"/>
        </patternFill>
      </fill>
    </dxf>
    <dxf>
      <font>
        <color theme="0"/>
      </font>
      <fill>
        <patternFill>
          <bgColor rgb="FF4B623F"/>
        </patternFill>
      </fill>
    </dxf>
    <dxf>
      <font>
        <color theme="0"/>
      </font>
      <fill>
        <patternFill>
          <bgColor rgb="FF4B623F"/>
        </patternFill>
      </fill>
    </dxf>
    <dxf>
      <font>
        <color theme="0"/>
      </font>
      <fill>
        <patternFill>
          <bgColor rgb="FF4B623F"/>
        </patternFill>
      </fill>
    </dxf>
    <dxf>
      <font>
        <color theme="0"/>
      </font>
      <fill>
        <patternFill>
          <bgColor rgb="FF4B623F"/>
        </patternFill>
      </fill>
    </dxf>
    <dxf>
      <font>
        <color theme="0"/>
      </font>
      <fill>
        <patternFill>
          <bgColor rgb="FF4B623F"/>
        </patternFill>
      </fill>
    </dxf>
    <dxf>
      <font>
        <color theme="0"/>
      </font>
      <fill>
        <patternFill>
          <bgColor rgb="FF4B623F"/>
        </patternFill>
      </fill>
    </dxf>
    <dxf>
      <font>
        <color theme="0"/>
      </font>
      <fill>
        <patternFill>
          <bgColor rgb="FF4B623F"/>
        </patternFill>
      </fill>
    </dxf>
    <dxf>
      <font>
        <color theme="0"/>
      </font>
      <fill>
        <patternFill>
          <bgColor rgb="FF4B623F"/>
        </patternFill>
      </fill>
    </dxf>
    <dxf>
      <font>
        <color theme="0"/>
      </font>
      <fill>
        <patternFill>
          <bgColor rgb="FF4B623F"/>
        </patternFill>
      </fill>
    </dxf>
    <dxf>
      <font>
        <color theme="0"/>
      </font>
      <fill>
        <patternFill>
          <bgColor rgb="FF4B623F"/>
        </patternFill>
      </fill>
    </dxf>
    <dxf>
      <font>
        <color theme="0"/>
      </font>
      <fill>
        <patternFill>
          <bgColor rgb="FF4B623F"/>
        </patternFill>
      </fill>
    </dxf>
    <dxf>
      <font>
        <color theme="0"/>
      </font>
      <fill>
        <patternFill>
          <bgColor rgb="FF4B623F"/>
        </patternFill>
      </fill>
    </dxf>
    <dxf>
      <font>
        <color theme="0"/>
      </font>
      <fill>
        <patternFill>
          <bgColor rgb="FF4B623F"/>
        </patternFill>
      </fill>
    </dxf>
    <dxf>
      <font>
        <color theme="0"/>
      </font>
      <fill>
        <patternFill>
          <bgColor rgb="FF4B623F"/>
        </patternFill>
      </fill>
    </dxf>
    <dxf>
      <font>
        <color theme="0"/>
      </font>
      <fill>
        <patternFill>
          <bgColor rgb="FF4B623F"/>
        </patternFill>
      </fill>
    </dxf>
    <dxf>
      <font>
        <color theme="0"/>
      </font>
      <fill>
        <patternFill>
          <bgColor rgb="FF4B623F"/>
        </patternFill>
      </fill>
    </dxf>
    <dxf>
      <font>
        <color theme="0"/>
      </font>
      <fill>
        <patternFill>
          <bgColor rgb="FF4B623F"/>
        </patternFill>
      </fill>
    </dxf>
    <dxf>
      <font>
        <color theme="0"/>
      </font>
      <fill>
        <patternFill>
          <bgColor rgb="FF4B623F"/>
        </patternFill>
      </fill>
    </dxf>
    <dxf>
      <font>
        <color theme="0"/>
      </font>
      <fill>
        <patternFill>
          <bgColor rgb="FF4B623F"/>
        </patternFill>
      </fill>
    </dxf>
    <dxf>
      <font>
        <color theme="0"/>
      </font>
      <fill>
        <patternFill>
          <bgColor rgb="FF4B623F"/>
        </patternFill>
      </fill>
    </dxf>
    <dxf>
      <font>
        <color theme="0"/>
      </font>
      <fill>
        <patternFill>
          <bgColor rgb="FF4B623F"/>
        </patternFill>
      </fill>
    </dxf>
    <dxf>
      <font>
        <color theme="0"/>
      </font>
      <fill>
        <patternFill>
          <bgColor rgb="FF4B623F"/>
        </patternFill>
      </fill>
    </dxf>
    <dxf>
      <font>
        <color theme="0"/>
      </font>
      <fill>
        <patternFill>
          <bgColor rgb="FF4B623F"/>
        </patternFill>
      </fill>
    </dxf>
    <dxf>
      <font>
        <color theme="0"/>
      </font>
      <fill>
        <patternFill>
          <bgColor rgb="FF4B623F"/>
        </patternFill>
      </fill>
    </dxf>
    <dxf>
      <font>
        <color theme="0"/>
      </font>
      <fill>
        <patternFill>
          <bgColor rgb="FF4B623F"/>
        </patternFill>
      </fill>
    </dxf>
    <dxf>
      <font>
        <color theme="0"/>
      </font>
      <fill>
        <patternFill>
          <bgColor rgb="FF4B623F"/>
        </patternFill>
      </fill>
    </dxf>
    <dxf>
      <font>
        <color theme="0"/>
      </font>
      <fill>
        <patternFill>
          <bgColor rgb="FF4B623F"/>
        </patternFill>
      </fill>
    </dxf>
    <dxf>
      <font>
        <color theme="0"/>
      </font>
      <fill>
        <patternFill>
          <bgColor rgb="FF4B623F"/>
        </patternFill>
      </fill>
    </dxf>
    <dxf>
      <font>
        <color theme="0"/>
      </font>
      <fill>
        <patternFill>
          <bgColor rgb="FF4B623F"/>
        </patternFill>
      </fill>
    </dxf>
    <dxf>
      <font>
        <color theme="0"/>
      </font>
      <fill>
        <patternFill>
          <bgColor rgb="FF4B623F"/>
        </patternFill>
      </fill>
    </dxf>
    <dxf>
      <font>
        <color theme="0"/>
      </font>
      <fill>
        <patternFill>
          <bgColor rgb="FF4B623F"/>
        </patternFill>
      </fill>
    </dxf>
    <dxf>
      <font>
        <color theme="0"/>
      </font>
      <fill>
        <patternFill>
          <bgColor rgb="FF4B623F"/>
        </patternFill>
      </fill>
    </dxf>
    <dxf>
      <font>
        <color theme="0"/>
      </font>
      <fill>
        <patternFill>
          <bgColor rgb="FF4B623F"/>
        </patternFill>
      </fill>
    </dxf>
    <dxf>
      <fill>
        <patternFill patternType="lightVertical">
          <fgColor rgb="FFC00000"/>
          <bgColor rgb="FFFFFF00"/>
        </patternFill>
      </fill>
    </dxf>
    <dxf>
      <font>
        <color theme="0"/>
      </font>
      <fill>
        <patternFill>
          <bgColor rgb="FF4B623F"/>
        </patternFill>
      </fill>
    </dxf>
    <dxf>
      <font>
        <color theme="0"/>
      </font>
      <fill>
        <patternFill>
          <bgColor rgb="FF4B623F"/>
        </patternFill>
      </fill>
    </dxf>
    <dxf>
      <font>
        <color theme="0"/>
      </font>
      <fill>
        <patternFill>
          <bgColor rgb="FF4B623F"/>
        </patternFill>
      </fill>
    </dxf>
    <dxf>
      <font>
        <color theme="0"/>
      </font>
      <fill>
        <patternFill>
          <bgColor rgb="FF4B623F"/>
        </patternFill>
      </fill>
    </dxf>
    <dxf>
      <font>
        <color theme="0"/>
      </font>
      <fill>
        <patternFill>
          <bgColor rgb="FF4B623F"/>
        </patternFill>
      </fill>
    </dxf>
    <dxf>
      <font>
        <color theme="0"/>
      </font>
      <fill>
        <patternFill>
          <bgColor rgb="FF4B623F"/>
        </patternFill>
      </fill>
    </dxf>
    <dxf>
      <font>
        <color theme="0"/>
      </font>
      <fill>
        <patternFill>
          <bgColor rgb="FF4B623F"/>
        </patternFill>
      </fill>
    </dxf>
    <dxf>
      <font>
        <color theme="0"/>
      </font>
      <fill>
        <patternFill>
          <bgColor rgb="FF4B623F"/>
        </patternFill>
      </fill>
    </dxf>
    <dxf>
      <font>
        <color theme="0"/>
      </font>
      <fill>
        <patternFill>
          <bgColor rgb="FF4B623F"/>
        </patternFill>
      </fill>
    </dxf>
    <dxf>
      <font>
        <color theme="0"/>
      </font>
      <fill>
        <patternFill>
          <bgColor rgb="FF4B623F"/>
        </patternFill>
      </fill>
    </dxf>
    <dxf>
      <font>
        <color theme="0"/>
      </font>
      <fill>
        <patternFill>
          <bgColor rgb="FF4B623F"/>
        </patternFill>
      </fill>
    </dxf>
    <dxf>
      <font>
        <color theme="0"/>
      </font>
      <fill>
        <patternFill>
          <bgColor rgb="FF4B623F"/>
        </patternFill>
      </fill>
    </dxf>
    <dxf>
      <font>
        <color theme="0"/>
      </font>
      <fill>
        <patternFill>
          <bgColor rgb="FF4B623F"/>
        </patternFill>
      </fill>
    </dxf>
    <dxf>
      <font>
        <color theme="0"/>
      </font>
      <fill>
        <patternFill>
          <bgColor rgb="FF4B623F"/>
        </patternFill>
      </fill>
    </dxf>
    <dxf>
      <font>
        <color theme="0"/>
      </font>
      <fill>
        <patternFill>
          <bgColor rgb="FF4B623F"/>
        </patternFill>
      </fill>
    </dxf>
    <dxf>
      <font>
        <color theme="0"/>
      </font>
      <fill>
        <patternFill>
          <bgColor rgb="FF4B623F"/>
        </patternFill>
      </fill>
    </dxf>
    <dxf>
      <font>
        <color theme="0"/>
      </font>
      <fill>
        <patternFill>
          <bgColor rgb="FF4B623F"/>
        </patternFill>
      </fill>
    </dxf>
    <dxf>
      <font>
        <color theme="0"/>
      </font>
      <fill>
        <patternFill>
          <bgColor rgb="FF4B623F"/>
        </patternFill>
      </fill>
    </dxf>
    <dxf>
      <font>
        <color theme="0"/>
      </font>
      <fill>
        <patternFill>
          <bgColor rgb="FF4B623F"/>
        </patternFill>
      </fill>
    </dxf>
    <dxf>
      <font>
        <color theme="0"/>
      </font>
      <fill>
        <patternFill>
          <bgColor rgb="FF4B623F"/>
        </patternFill>
      </fill>
    </dxf>
    <dxf>
      <font>
        <color theme="0"/>
      </font>
      <fill>
        <patternFill>
          <bgColor rgb="FF4B623F"/>
        </patternFill>
      </fill>
    </dxf>
    <dxf>
      <font>
        <color theme="0"/>
      </font>
      <fill>
        <patternFill>
          <bgColor rgb="FF4B623F"/>
        </patternFill>
      </fill>
    </dxf>
    <dxf>
      <font>
        <color theme="0"/>
      </font>
      <fill>
        <patternFill>
          <bgColor rgb="FF4B623F"/>
        </patternFill>
      </fill>
    </dxf>
    <dxf>
      <font>
        <color theme="0"/>
      </font>
      <fill>
        <patternFill>
          <bgColor rgb="FF4B623F"/>
        </patternFill>
      </fill>
    </dxf>
  </dxfs>
  <tableStyles count="0" defaultTableStyle="TableStyleMedium2" defaultPivotStyle="PivotStyleLight16"/>
  <colors>
    <mruColors>
      <color rgb="FFC00000"/>
      <color rgb="FF4B623F"/>
      <color rgb="FFFF5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4"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22</xdr:col>
          <xdr:colOff>600075</xdr:colOff>
          <xdr:row>5</xdr:row>
          <xdr:rowOff>200025</xdr:rowOff>
        </xdr:from>
        <xdr:to>
          <xdr:col>25</xdr:col>
          <xdr:colOff>942975</xdr:colOff>
          <xdr:row>7</xdr:row>
          <xdr:rowOff>180975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000000"/>
                  </a:solidFill>
                  <a:latin typeface="Calibri"/>
                  <a:ea typeface="Calibri"/>
                  <a:cs typeface="Calibri"/>
                </a:rPr>
                <a:t>Generate Report Email</a:t>
              </a:r>
              <a:endParaRPr lang="en-US" sz="1400" b="0" i="0" u="none" strike="noStrike" baseline="0">
                <a:solidFill>
                  <a:srgbClr val="000000"/>
                </a:solidFill>
                <a:latin typeface="Calibri"/>
                <a:ea typeface="Calibri"/>
                <a:cs typeface="Calibri"/>
              </a:endParaRPr>
            </a:p>
            <a:p>
              <a:pPr algn="ctr" rtl="0">
                <a:defRPr sz="1000"/>
              </a:pPr>
              <a:endParaRPr lang="en-US" sz="14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600075</xdr:colOff>
          <xdr:row>3</xdr:row>
          <xdr:rowOff>161925</xdr:rowOff>
        </xdr:from>
        <xdr:to>
          <xdr:col>25</xdr:col>
          <xdr:colOff>952500</xdr:colOff>
          <xdr:row>5</xdr:row>
          <xdr:rowOff>104775</xdr:rowOff>
        </xdr:to>
        <xdr:sp macro="" textlink="">
          <xdr:nvSpPr>
            <xdr:cNvPr id="1037" name="Button 13"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ea typeface="Calibri"/>
                  <a:cs typeface="Calibri"/>
                </a:rPr>
                <a:t>Preview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600075</xdr:colOff>
          <xdr:row>1</xdr:row>
          <xdr:rowOff>219075</xdr:rowOff>
        </xdr:from>
        <xdr:to>
          <xdr:col>25</xdr:col>
          <xdr:colOff>952500</xdr:colOff>
          <xdr:row>3</xdr:row>
          <xdr:rowOff>85725</xdr:rowOff>
        </xdr:to>
        <xdr:sp macro="" textlink="">
          <xdr:nvSpPr>
            <xdr:cNvPr id="1038" name="Button 14" hidden="1">
              <a:extLst>
                <a:ext uri="{63B3BB69-23CF-44E3-9099-C40C66FF867C}">
                  <a14:compatExt spid="_x0000_s1038"/>
                </a:ext>
                <a:ext uri="{FF2B5EF4-FFF2-40B4-BE49-F238E27FC236}">
                  <a16:creationId xmlns:a16="http://schemas.microsoft.com/office/drawing/2014/main" id="{00000000-0008-0000-0000-00000E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ea typeface="Calibri"/>
                  <a:cs typeface="Calibri"/>
                </a:rPr>
                <a:t>Print Layout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0</xdr:colOff>
          <xdr:row>0</xdr:row>
          <xdr:rowOff>0</xdr:rowOff>
        </xdr:from>
        <xdr:to>
          <xdr:col>2</xdr:col>
          <xdr:colOff>0</xdr:colOff>
          <xdr:row>2</xdr:row>
          <xdr:rowOff>0</xdr:rowOff>
        </xdr:to>
        <xdr:sp macro="" textlink="">
          <xdr:nvSpPr>
            <xdr:cNvPr id="2049" name="CommandButton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5" Type="http://schemas.openxmlformats.org/officeDocument/2006/relationships/image" Target="../media/image1.emf"/><Relationship Id="rId4" Type="http://schemas.openxmlformats.org/officeDocument/2006/relationships/control" Target="../activeX/activeX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AD726"/>
  <sheetViews>
    <sheetView showGridLines="0" tabSelected="0" view="pageBreakPreview" zoomScale="60" zoomScaleNormal="80" zoomScalePageLayoutView="50" workbookViewId="0">
      <selection activeCell="O12" sqref="O12:P12"/>
    </sheetView>
  </sheetViews>
  <sheetFormatPr defaultRowHeight="15" x14ac:dyDescent="0.25"/>
  <cols>
    <col min="1" max="1" width="36.140625" customWidth="1"/>
    <col min="2" max="2" width="17.85546875" customWidth="1"/>
    <col min="3" max="3" width="17.85546875" customWidth="1"/>
    <col min="4" max="4" width="15.85546875" customWidth="1"/>
    <col min="5" max="5" bestFit="1" width="24.5703125" customWidth="1"/>
    <col min="6" max="6" width="0.140625" customWidth="1"/>
    <col min="7" max="7" hidden="1" width="3.85546875" customWidth="1"/>
    <col min="8" max="8" bestFit="1" width="25" customWidth="1"/>
    <col min="9" max="9" width="16.140625" customWidth="1"/>
    <col min="10" max="10" width="15" customWidth="1"/>
    <col min="11" max="11" width="3.140625" customWidth="1"/>
    <col min="12" max="12" width="7.140625" customWidth="1"/>
    <col min="13" max="13" width="7.140625" customWidth="1"/>
    <col min="14" max="14" width="3.85546875" customWidth="1"/>
    <col min="15" max="15" width="16.85546875" customWidth="1"/>
    <col min="16" max="16" width="6.5703125" customWidth="1"/>
    <col min="17" max="17" width="11.85546875" customWidth="1"/>
    <col min="18" max="18" width="10.85546875" customWidth="1"/>
    <col min="19" max="19" width="8.85546875" customWidth="1"/>
    <col min="20" max="20" width="4.85546875" customWidth="1"/>
    <col min="21" max="21" width="5.140625" customWidth="1"/>
    <col min="22" max="22" width="10.5703125" customWidth="1"/>
    <col min="25" max="25" width="10.85546875" customWidth="1"/>
    <col min="26" max="26" width="17.140625" customWidth="1"/>
    <col min="27" max="27" width="15.85546875" customWidth="1"/>
  </cols>
  <sheetData>
    <row r="1" ht="31.5">
      <c r="A1" s="171" t="s">
        <v>0</v>
      </c>
      <c r="B1" s="171"/>
      <c r="C1" s="171"/>
      <c r="D1" s="171"/>
      <c r="E1" s="171"/>
      <c r="F1" s="171"/>
      <c r="G1" s="171"/>
      <c r="H1" s="171"/>
      <c r="I1" s="171"/>
      <c r="J1" s="171"/>
      <c r="K1" s="171"/>
      <c r="L1" s="171"/>
      <c r="M1" s="171"/>
      <c r="N1" s="171"/>
      <c r="O1" s="171"/>
      <c r="P1" s="171"/>
      <c r="Q1" s="171"/>
      <c r="R1" s="171"/>
      <c r="S1" s="171"/>
      <c r="T1" s="171"/>
      <c r="U1" s="171"/>
      <c r="V1" s="171"/>
      <c r="X1" s="163" t="s">
        <v>1</v>
      </c>
      <c r="Y1" s="163"/>
      <c r="Z1" s="163"/>
      <c r="AA1" s="83" t="s">
        <v>2</v>
      </c>
      <c r="AB1" s="84" t="s">
        <v>3</v>
      </c>
      <c r="AC1" s="83"/>
    </row>
    <row r="2" ht="23.45" customHeight="1">
      <c r="A2" s="164">
        <f>Inputs!B1</f>
        <v>0</v>
      </c>
      <c r="B2" s="164"/>
      <c r="C2" s="164"/>
      <c r="D2" s="164"/>
      <c r="E2" s="164"/>
      <c r="F2" s="164"/>
      <c r="G2" s="164"/>
      <c r="H2" s="164"/>
      <c r="I2" s="164"/>
      <c r="J2" s="164"/>
      <c r="K2" s="164"/>
      <c r="L2" s="164"/>
      <c r="M2" s="164"/>
      <c r="N2" s="164"/>
      <c r="O2" s="164"/>
      <c r="P2" s="164"/>
      <c r="Q2" s="164"/>
      <c r="R2" s="164"/>
      <c r="S2" s="164"/>
      <c r="T2" s="164"/>
      <c r="U2" s="164"/>
      <c r="V2" s="164"/>
      <c r="W2" s="29"/>
      <c r="AA2" s="0">
        <v>1</v>
      </c>
      <c r="AC2" s="26"/>
    </row>
    <row r="3" ht="18" customHeight="1">
      <c r="A3" s="58"/>
      <c r="B3" s="36"/>
      <c r="C3" s="36"/>
      <c r="D3" s="36"/>
      <c r="E3" s="36"/>
      <c r="F3" s="36"/>
      <c r="G3" s="36"/>
      <c r="H3" s="36"/>
      <c r="I3" s="36"/>
      <c r="J3" s="36"/>
      <c r="K3" s="36"/>
      <c r="L3" s="36"/>
      <c r="M3" s="36"/>
      <c r="N3" s="36"/>
      <c r="O3" s="36"/>
      <c r="P3" s="36"/>
      <c r="Q3" s="36"/>
      <c r="R3" s="36"/>
      <c r="S3" s="36"/>
      <c r="T3" s="36"/>
      <c r="U3" s="36"/>
      <c r="V3" s="36"/>
      <c r="W3" s="23">
        <v>1</v>
      </c>
      <c r="AA3" s="0">
        <v>1</v>
      </c>
    </row>
    <row r="4" ht="18" customHeight="1">
      <c r="A4" s="139" t="s">
        <v>4</v>
      </c>
      <c r="B4" s="140"/>
      <c r="C4" s="140"/>
      <c r="D4" s="140" t="str">
        <f ref="D4:D4" t="array">CONCATENATE(INDIRECT(ADDRESS(6,X22,,,"Inputs"))," ",INDIRECT(ADDRESS(8,X22,,,"Inputs"))," ",INDIRECT(ADDRESS(9,X22,,,"Inputs")))</f>
      </c>
      <c r="E4" s="140"/>
      <c r="F4" s="140"/>
      <c r="G4" s="140"/>
      <c r="H4" s="140"/>
      <c r="I4" s="140"/>
      <c r="J4" s="140"/>
      <c r="K4" s="140"/>
      <c r="L4" s="140"/>
      <c r="M4" s="140"/>
      <c r="N4" s="140"/>
      <c r="O4" s="140"/>
      <c r="P4" s="140"/>
      <c r="Q4" s="113"/>
      <c r="R4" s="113"/>
      <c r="S4" s="113"/>
      <c r="T4" s="113"/>
      <c r="U4" s="113"/>
      <c r="V4" s="114"/>
      <c r="W4" s="23"/>
      <c r="AA4" s="0">
        <v>1</v>
      </c>
      <c r="AC4" s="26"/>
    </row>
    <row r="5" ht="18" customHeight="1">
      <c r="A5" s="134" t="str">
        <f ref="A5:A5" t="array">IF(INDIRECT(ADDRESS(50,X22,,,"Inputs"))=0,"",INDIRECT(ADDRESS(50,X22,,,"Inputs")))</f>
      </c>
      <c r="B5" s="135"/>
      <c r="C5" s="135"/>
      <c r="D5" s="136" t="str">
        <f ref="D5:D5" t="array">IF(INDIRECT(ADDRESS(10,X22,,,"Inputs"))=0,"",INDIRECT(ADDRESS(10,X22,,,"Inputs")))</f>
      </c>
      <c r="E5" s="136"/>
      <c r="F5" s="136"/>
      <c r="G5" s="136"/>
      <c r="H5" s="136"/>
      <c r="I5" s="136"/>
      <c r="J5" s="136"/>
      <c r="K5" s="136"/>
      <c r="L5" s="136"/>
      <c r="M5" s="136"/>
      <c r="N5" s="136"/>
      <c r="O5" s="136"/>
      <c r="P5" s="136"/>
      <c r="Q5" s="110"/>
      <c r="R5" s="110"/>
      <c r="S5" s="110"/>
      <c r="T5" s="110"/>
      <c r="U5" s="110"/>
      <c r="V5" s="115"/>
      <c r="W5" s="23">
        <v>2</v>
      </c>
      <c r="AA5" s="0">
        <f>AA4</f>
        <v>1</v>
      </c>
      <c r="AC5" s="3"/>
    </row>
    <row r="6" ht="18" customHeight="1">
      <c r="A6" s="137" t="s">
        <v>5</v>
      </c>
      <c r="B6" s="136"/>
      <c r="C6" s="136"/>
      <c r="D6" s="136" t="str">
        <f ref="D6:D6" t="array">IF(INDIRECT(ADDRESS(14,X22,,,"Inputs"))=0,"",INDIRECT(ADDRESS(14,X22,,,"Inputs")))</f>
      </c>
      <c r="E6" s="136"/>
      <c r="F6" s="136"/>
      <c r="G6" s="136"/>
      <c r="H6" s="136"/>
      <c r="I6" s="136"/>
      <c r="J6" s="136"/>
      <c r="K6" s="136"/>
      <c r="L6" s="136"/>
      <c r="M6" s="136"/>
      <c r="N6" s="136"/>
      <c r="O6" s="136"/>
      <c r="P6" s="136"/>
      <c r="Q6" s="110"/>
      <c r="R6" s="110"/>
      <c r="S6" s="110"/>
      <c r="T6" s="110"/>
      <c r="U6" s="110"/>
      <c r="V6" s="115"/>
      <c r="W6" s="23"/>
      <c r="AA6" s="0">
        <f>AA4</f>
        <v>1</v>
      </c>
      <c r="AB6" s="160"/>
      <c r="AC6" s="160"/>
      <c r="AD6" s="160"/>
    </row>
    <row r="7" ht="18" customHeight="1">
      <c r="A7" s="134" t="str">
        <f ref="A7:A7" t="array">IF(INDIRECT(ADDRESS(51,X22,,,"Inputs"))=0,"",INDIRECT(ADDRESS(51,X22,,,"Inputs")))</f>
      </c>
      <c r="B7" s="135"/>
      <c r="C7" s="135"/>
      <c r="D7" s="138" t="str">
        <f ref="D7:D7" t="array">INDIRECT(ADDRESS(82,X22,,,"Inputs"))</f>
      </c>
      <c r="E7" s="138"/>
      <c r="F7" s="138"/>
      <c r="G7" s="138"/>
      <c r="H7" s="138"/>
      <c r="I7" s="138"/>
      <c r="J7" s="138"/>
      <c r="K7" s="138"/>
      <c r="L7" s="138"/>
      <c r="M7" s="138"/>
      <c r="N7" s="138"/>
      <c r="O7" s="138"/>
      <c r="P7" s="138"/>
      <c r="Q7" s="112"/>
      <c r="R7" s="112"/>
      <c r="S7" s="112"/>
      <c r="T7" s="112"/>
      <c r="U7" s="112"/>
      <c r="V7" s="116"/>
      <c r="W7" s="23"/>
      <c r="AA7" s="0">
        <f>AA4</f>
        <v>1</v>
      </c>
      <c r="AC7" s="38"/>
    </row>
    <row r="8" ht="18" customHeight="1">
      <c r="A8" s="168" t="s">
        <v>6</v>
      </c>
      <c r="B8" s="146"/>
      <c r="C8" s="151"/>
      <c r="D8" s="169" t="s">
        <v>7</v>
      </c>
      <c r="E8" s="146"/>
      <c r="F8" s="146"/>
      <c r="G8" s="146"/>
      <c r="H8" s="146"/>
      <c r="I8" s="146"/>
      <c r="J8" s="146"/>
      <c r="K8" s="146"/>
      <c r="L8" s="146"/>
      <c r="M8" s="146"/>
      <c r="N8" s="146"/>
      <c r="O8" s="146"/>
      <c r="P8" s="151"/>
      <c r="Q8" s="170" t="s">
        <v>8</v>
      </c>
      <c r="R8" s="146"/>
      <c r="S8" s="146"/>
      <c r="T8" s="146"/>
      <c r="U8" s="146"/>
      <c r="V8" s="161"/>
      <c r="W8" s="23"/>
      <c r="AA8" s="0">
        <f>AA4</f>
        <v>1</v>
      </c>
    </row>
    <row r="9" ht="18" customHeight="1">
      <c r="A9" s="117" t="s">
        <v>9</v>
      </c>
      <c r="B9" s="162" t="str">
        <f ref="B9:B9" t="array">IF(INDIRECT(ADDRESS(15,X22,,,"Inputs"))=0,"",INDIRECT(ADDRESS(15,X22,,,"Inputs")))</f>
      </c>
      <c r="C9" s="162"/>
      <c r="D9" s="109" t="s">
        <v>10</v>
      </c>
      <c r="E9" s="136" t="s">
        <v>11</v>
      </c>
      <c r="F9" s="146"/>
      <c r="G9" s="146"/>
      <c r="H9" s="109" t="s">
        <v>12</v>
      </c>
      <c r="I9" s="109" t="s">
        <v>13</v>
      </c>
      <c r="J9" s="136" t="s">
        <v>14</v>
      </c>
      <c r="K9" s="146"/>
      <c r="L9" s="136" t="s">
        <v>15</v>
      </c>
      <c r="M9" s="146"/>
      <c r="N9" s="146"/>
      <c r="O9" s="136" t="s">
        <v>16</v>
      </c>
      <c r="P9" s="146"/>
      <c r="Q9" s="136" t="s">
        <v>17</v>
      </c>
      <c r="R9" s="146"/>
      <c r="S9" s="146"/>
      <c r="T9" s="146"/>
      <c r="U9" s="146"/>
      <c r="V9" s="161"/>
      <c r="W9" s="23"/>
      <c r="AA9" s="0">
        <f>AA4</f>
        <v>1</v>
      </c>
    </row>
    <row r="10" ht="18" customHeight="1">
      <c r="A10" s="117" t="s">
        <v>18</v>
      </c>
      <c r="B10" s="162" t="str">
        <f ref="B10:B10" t="array">IF(INDIRECT(ADDRESS(16,X22,,,"Inputs"))=0,"",INDIRECT(ADDRESS(16,X22,,,"Inputs")))</f>
      </c>
      <c r="C10" s="162"/>
      <c r="D10" s="109" t="s">
        <v>19</v>
      </c>
      <c r="E10" s="142" t="str">
        <f ref="E10:E10" t="array">IF(ISBLANK(INDIRECT(ADDRESS(35,X22,,,"Inputs"))),"",INDIRECT(ADDRESS(35,X22,,,"Inputs")))</f>
      </c>
      <c r="F10" s="143"/>
      <c r="G10" s="143"/>
      <c r="H10" s="118" t="str">
        <f ref="H10:H10" t="array">IF(ISBLANK(INDIRECT(ADDRESS(35,X22,,,"Inputs"))),"",INDIRECT(ADDRESS(35,X22,,,"Inputs")))</f>
      </c>
      <c r="I10" s="119">
        <f ref="I10:I10" t="array">IFERROR(INDIRECT(ADDRESS(65,X22,,,"Inputs")), "")</f>
        <v>0</v>
      </c>
      <c r="J10" s="144" t="str">
        <f ref="J10:J10" t="array">IFERROR(INDIRECT(ADDRESS(66,X22,,,"Inputs")), "")</f>
      </c>
      <c r="K10" s="145"/>
      <c r="L10" s="136" t="s">
        <v>20</v>
      </c>
      <c r="M10" s="146"/>
      <c r="N10" s="146"/>
      <c r="O10" s="138" t="str">
        <f ref="O10:O10" t="array">IF(ISBLANK(INDIRECT(ADDRESS(36,X22,,,"Inputs"))), "-", IFERROR(I10/J10, ""))</f>
        <v>-</v>
      </c>
      <c r="P10" s="147"/>
      <c r="Q10" s="144" t="str">
        <f ref="Q10:Q10" t="array">IF(INDIRECT(ADDRESS(25,X22,,,"Inputs"))=0,"0",INDIRECT(ADDRESS(25,X22,,,"Inputs")))</f>
        <v>0</v>
      </c>
      <c r="R10" s="145"/>
      <c r="S10" s="145"/>
      <c r="T10" s="145"/>
      <c r="U10" s="145"/>
      <c r="V10" s="172"/>
      <c r="W10" s="23"/>
      <c r="AA10" s="0">
        <f>AA4</f>
        <v>1</v>
      </c>
    </row>
    <row r="11" ht="36" customHeight="1">
      <c r="A11" s="117" t="s">
        <v>21</v>
      </c>
      <c r="B11" s="136" t="str">
        <f ref="B11:B11" t="array">IF(INDIRECT(ADDRESS(11,X22,,,"Inputs"))=0,"",INDIRECT(ADDRESS(11,X22,,,"Inputs")))</f>
      </c>
      <c r="C11" s="136"/>
      <c r="D11" s="109" t="s">
        <v>22</v>
      </c>
      <c r="E11" s="142" t="str">
        <f ref="E11:E11" t="array">IF(ISBLANK(INDIRECT(ADDRESS(39,X22,,,"Inputs"))),"",INDIRECT(ADDRESS(39,X22,,,"Inputs")))</f>
      </c>
      <c r="F11" s="143"/>
      <c r="G11" s="143"/>
      <c r="H11" s="118" t="str">
        <f ref="H11:H11" t="array">IF(ISBLANK(INDIRECT(ADDRESS(39,X22,,,"Inputs"))),"",INDIRECT(ADDRESS(39,X22,,,"Inputs")))</f>
      </c>
      <c r="I11" s="120" t="str">
        <f ref="I11:I11" t="array">IFERROR(INDIRECT(ADDRESS(67,X22,,,"Inputs")), "")</f>
      </c>
      <c r="J11" s="155" t="str">
        <f ref="J11:J11" t="array">IFERROR(INDIRECT(ADDRESS(68,X22,,,"Inputs")), "")</f>
      </c>
      <c r="K11" s="146"/>
      <c r="L11" s="136"/>
      <c r="M11" s="146"/>
      <c r="N11" s="146"/>
      <c r="O11" s="138" t="str">
        <f>IFERROR(J11/I11, "")</f>
      </c>
      <c r="P11" s="147"/>
      <c r="Q11" s="136" t="s">
        <v>23</v>
      </c>
      <c r="R11" s="146"/>
      <c r="S11" s="146"/>
      <c r="T11" s="146"/>
      <c r="U11" s="146"/>
      <c r="V11" s="161"/>
      <c r="W11" s="23"/>
      <c r="AA11" s="0">
        <f>AA4</f>
        <v>1</v>
      </c>
    </row>
    <row r="12" ht="18" customHeight="1">
      <c r="A12" s="117" t="s">
        <v>24</v>
      </c>
      <c r="B12" s="141" t="str">
        <f ref="B12:B12" t="array">IF(INDIRECT(ADDRESS(75,X22,,,"Inputs"))=0,"",INDIRECT(ADDRESS(75,X22,,,"Inputs")))</f>
      </c>
      <c r="C12" s="141"/>
      <c r="D12" s="109" t="s">
        <v>25</v>
      </c>
      <c r="E12" s="142" t="str">
        <f ref="E12:E12" t="array">IF(ISBLANK(INDIRECT(ADDRESS(41,X22,,,"Inputs"))),"",INDIRECT(ADDRESS(41,X22,,,"Inputs")))</f>
      </c>
      <c r="F12" s="143"/>
      <c r="G12" s="143"/>
      <c r="H12" s="118" t="str">
        <f ref="H12:H12" t="array">IF(ISBLANK(INDIRECT(ADDRESS(41,X22,,,"Inputs"))),"",INDIRECT(ADDRESS(41,X22,,,"Inputs")))</f>
      </c>
      <c r="I12" s="119" t="str">
        <f ref="I12:I12" t="array">IFERROR(INDIRECT(ADDRESS(71,X22,,,"Inputs")), "")</f>
      </c>
      <c r="J12" s="144" t="str">
        <f ref="J12:J12" t="array">IFERROR(INDIRECT(ADDRESS(72,X22,,,"Inputs")), "")</f>
      </c>
      <c r="K12" s="145"/>
      <c r="L12" s="136" t="s">
        <v>20</v>
      </c>
      <c r="M12" s="146"/>
      <c r="N12" s="146"/>
      <c r="O12" s="138" t="str">
        <f ref="O12:O12" t="array">IF(ISBLANK(INDIRECT(ADDRESS(42,X22,,,"Inputs"))), "-", IFERROR(I12 / J12, ""))</f>
        <v>-</v>
      </c>
      <c r="P12" s="147"/>
      <c r="Q12" s="144" t="str">
        <f ref="Q12:Q12" t="array">IF(INDIRECT(ADDRESS(24,X22,,,"Inputs"))=0,"0",INDIRECT(ADDRESS(24,X22,,,"Inputs")))</f>
        <v>0</v>
      </c>
      <c r="R12" s="145"/>
      <c r="S12" s="145"/>
      <c r="T12" s="145"/>
      <c r="U12" s="145"/>
      <c r="V12" s="172"/>
      <c r="W12" s="23"/>
      <c r="AA12" s="0">
        <f>AA4</f>
        <v>1</v>
      </c>
    </row>
    <row r="13" ht="36" customHeight="1">
      <c r="A13" s="117" t="s">
        <v>26</v>
      </c>
      <c r="B13" s="136" t="str">
        <f ref="B13:B13" t="array">IF(INDIRECT(ADDRESS(17,X22,,,"Inputs"))=0,"",INDIRECT(ADDRESS(17,X22,,,"Inputs")))</f>
      </c>
      <c r="C13" s="136"/>
      <c r="D13" s="111" t="s">
        <v>27</v>
      </c>
      <c r="E13" s="142" t="str">
        <f ref="E13:E13" t="array">IF(ISBLANK(INDIRECT(ADDRESS(43,X22,,,"Inputs"))),"",INDIRECT(ADDRESS(43,X22,,,"Inputs")))</f>
      </c>
      <c r="F13" s="143"/>
      <c r="G13" s="143"/>
      <c r="H13" s="118" t="str">
        <f ref="H13:H13" t="array">IF(ISBLANK(INDIRECT(ADDRESS(43,X22,,,"Inputs"))),"",INDIRECT(ADDRESS(43,X22,,,"Inputs")))</f>
      </c>
      <c r="I13" s="121" t="str">
        <f ref="I13:I13" t="array">IFERROR(INDIRECT(ADDRESS(73,X22,,,"Inputs")), "")</f>
      </c>
      <c r="J13" s="144" t="str">
        <f ref="J13:J13" t="array">IFERROR(INDIRECT(ADDRESS(74,X22,,,"Inputs")), "")</f>
      </c>
      <c r="K13" s="145"/>
      <c r="L13" s="136" t="s">
        <v>20</v>
      </c>
      <c r="M13" s="146"/>
      <c r="N13" s="146"/>
      <c r="O13" s="138" t="str">
        <f ref="O13:O13" t="array">IF(ISBLANK(INDIRECT(ADDRESS(44,X22,,,"Inputs"))), "-", IFERROR(I13 / J13, ""))</f>
        <v>-</v>
      </c>
      <c r="P13" s="147"/>
      <c r="Q13" s="177" t="s">
        <v>28</v>
      </c>
      <c r="R13" s="146"/>
      <c r="S13" s="146"/>
      <c r="T13" s="146"/>
      <c r="U13" s="146"/>
      <c r="V13" s="161"/>
      <c r="W13" s="23"/>
      <c r="AA13" s="0">
        <f>AA4</f>
        <v>1</v>
      </c>
    </row>
    <row r="14" ht="18" customHeight="1">
      <c r="A14" s="117" t="s">
        <v>29</v>
      </c>
      <c r="B14" s="141" t="str">
        <f ref="B14:B14" t="array">IF(INDIRECT(ADDRESS(31,X22,,,"Inputs"))=0,"",INDIRECT(ADDRESS(31,X22,,,"Inputs")))</f>
      </c>
      <c r="C14" s="178"/>
      <c r="D14" s="179" t="s">
        <v>30</v>
      </c>
      <c r="E14" s="180"/>
      <c r="F14" s="180"/>
      <c r="G14" s="180"/>
      <c r="H14" s="180"/>
      <c r="I14" s="180"/>
      <c r="J14" s="180"/>
      <c r="K14" s="180"/>
      <c r="L14" s="180"/>
      <c r="M14" s="180"/>
      <c r="N14" s="180"/>
      <c r="O14" s="180"/>
      <c r="P14" s="181"/>
      <c r="Q14" s="136" t="s">
        <v>31</v>
      </c>
      <c r="R14" s="146"/>
      <c r="S14" s="146"/>
      <c r="T14" s="165">
        <f ref="T14:T14" t="array">IFERROR(INDIRECT(ADDRESS(77,X22,,,"Inputs")), "")</f>
        <v>0</v>
      </c>
      <c r="U14" s="166"/>
      <c r="V14" s="167"/>
      <c r="W14" s="29"/>
      <c r="AA14" s="0">
        <f>AA4</f>
        <v>1</v>
      </c>
    </row>
    <row r="15" ht="18" customHeight="1">
      <c r="A15" s="117" t="s">
        <v>32</v>
      </c>
      <c r="B15" s="148" t="str">
        <f ref="B15:B15" t="array">IF(INDIRECT(ADDRESS(83,X22,,,"Inputs"))=0,"",INDIRECT(ADDRESS(83,X22,,,"Inputs")))</f>
      </c>
      <c r="C15" s="149"/>
      <c r="D15" s="158">
        <f ref="D15:D15" t="array">INDIRECT(ADDRESS(26,X22,,,"Inputs"))</f>
        <v>0</v>
      </c>
      <c r="E15" s="158"/>
      <c r="F15" s="158"/>
      <c r="G15" s="158"/>
      <c r="H15" s="158"/>
      <c r="I15" s="158"/>
      <c r="J15" s="158"/>
      <c r="K15" s="158"/>
      <c r="L15" s="158"/>
      <c r="M15" s="158"/>
      <c r="N15" s="158"/>
      <c r="O15" s="158"/>
      <c r="P15" s="158"/>
      <c r="Q15" s="136" t="s">
        <v>33</v>
      </c>
      <c r="R15" s="146"/>
      <c r="S15" s="146"/>
      <c r="T15" s="165">
        <f ref="T15:T15" t="array">IFERROR(INDIRECT(ADDRESS(86,X22,,,"Inputs")), "")</f>
        <v>0</v>
      </c>
      <c r="U15" s="166"/>
      <c r="V15" s="167"/>
      <c r="X15" s="26"/>
      <c r="AA15" s="0">
        <f>AA4</f>
        <v>1</v>
      </c>
    </row>
    <row r="16" ht="18" customHeight="1">
      <c r="A16" s="150" t="s">
        <v>34</v>
      </c>
      <c r="B16" s="146"/>
      <c r="C16" s="151"/>
      <c r="D16" s="158"/>
      <c r="E16" s="158"/>
      <c r="F16" s="158"/>
      <c r="G16" s="158"/>
      <c r="H16" s="158"/>
      <c r="I16" s="158"/>
      <c r="J16" s="158"/>
      <c r="K16" s="158"/>
      <c r="L16" s="158"/>
      <c r="M16" s="158"/>
      <c r="N16" s="158"/>
      <c r="O16" s="158"/>
      <c r="P16" s="158"/>
      <c r="Q16" s="136" t="s">
        <v>35</v>
      </c>
      <c r="R16" s="146"/>
      <c r="S16" s="146"/>
      <c r="T16" s="165">
        <f ref="T16:T16" t="array">IFERROR(INDIRECT(ADDRESS(78,X22,,,"Inputs")), "")</f>
        <v>0</v>
      </c>
      <c r="U16" s="166"/>
      <c r="V16" s="167"/>
      <c r="AA16" s="0">
        <f>AA4</f>
        <v>1</v>
      </c>
    </row>
    <row r="17" ht="18" customHeight="1">
      <c r="A17" s="117" t="s">
        <v>36</v>
      </c>
      <c r="B17" s="141" t="str">
        <f ref="B17:B17" t="array">IF(INDIRECT(ADDRESS(30,X22,,,"Inputs"))=0,"",INDIRECT(ADDRESS(30,X22,,,"Inputs")))</f>
      </c>
      <c r="C17" s="141"/>
      <c r="D17" s="158"/>
      <c r="E17" s="158"/>
      <c r="F17" s="158"/>
      <c r="G17" s="158"/>
      <c r="H17" s="158"/>
      <c r="I17" s="158"/>
      <c r="J17" s="158"/>
      <c r="K17" s="158"/>
      <c r="L17" s="158"/>
      <c r="M17" s="158"/>
      <c r="N17" s="158"/>
      <c r="O17" s="158"/>
      <c r="P17" s="158"/>
      <c r="Q17" s="136" t="s">
        <v>37</v>
      </c>
      <c r="R17" s="146"/>
      <c r="S17" s="146"/>
      <c r="T17" s="165">
        <f ref="T17:T17" t="array">IFERROR(INDIRECT(ADDRESS(45,X22,,,"Inputs")), "")</f>
        <v>0</v>
      </c>
      <c r="U17" s="166"/>
      <c r="V17" s="167"/>
      <c r="X17" s="38"/>
      <c r="AA17" s="0">
        <f>AA4</f>
        <v>1</v>
      </c>
    </row>
    <row r="18" ht="18" customHeight="1">
      <c r="A18" s="117" t="s">
        <v>38</v>
      </c>
      <c r="B18" s="136" t="str">
        <f ref="B18:B18" t="array">IF(INDIRECT(ADDRESS(32,X22,,,"Inputs"))=0,"",INDIRECT(ADDRESS(32,X22,,,"Inputs")))</f>
      </c>
      <c r="C18" s="136"/>
      <c r="D18" s="158"/>
      <c r="E18" s="158"/>
      <c r="F18" s="158"/>
      <c r="G18" s="158"/>
      <c r="H18" s="158"/>
      <c r="I18" s="158"/>
      <c r="J18" s="158"/>
      <c r="K18" s="158"/>
      <c r="L18" s="158"/>
      <c r="M18" s="158"/>
      <c r="N18" s="158"/>
      <c r="O18" s="158"/>
      <c r="P18" s="158"/>
      <c r="Q18" s="136" t="s">
        <v>39</v>
      </c>
      <c r="R18" s="146"/>
      <c r="S18" s="146"/>
      <c r="T18" s="165">
        <f ref="T18:T18" t="array">IFERROR(INDIRECT(ADDRESS(79,X22,,,"Inputs")), "")</f>
        <v>0</v>
      </c>
      <c r="U18" s="166"/>
      <c r="V18" s="167"/>
      <c r="X18" s="37"/>
      <c r="AA18" s="0">
        <f>AA4</f>
        <v>1</v>
      </c>
    </row>
    <row r="19" ht="18" customHeight="1">
      <c r="A19" s="152" t="s">
        <v>40</v>
      </c>
      <c r="B19" s="153"/>
      <c r="C19" s="154"/>
      <c r="D19" s="158"/>
      <c r="E19" s="158"/>
      <c r="F19" s="158"/>
      <c r="G19" s="158"/>
      <c r="H19" s="158"/>
      <c r="I19" s="158"/>
      <c r="J19" s="158"/>
      <c r="K19" s="158"/>
      <c r="L19" s="158"/>
      <c r="M19" s="158"/>
      <c r="N19" s="158"/>
      <c r="O19" s="158"/>
      <c r="P19" s="158"/>
      <c r="Q19" s="136" t="s">
        <v>41</v>
      </c>
      <c r="R19" s="146"/>
      <c r="S19" s="146"/>
      <c r="T19" s="165">
        <f ref="T19:T19" t="array">IFERROR(INDIRECT(ADDRESS(80,X22,,,"Inputs")), "")</f>
        <v>0</v>
      </c>
      <c r="U19" s="166"/>
      <c r="V19" s="167"/>
      <c r="W19" s="0">
        <f ref="W19:W19" t="array">INDIRECT(ADDRESS(34,X22,,,"Inputs"))</f>
        <v>0</v>
      </c>
      <c r="X19" s="3"/>
      <c r="AA19" s="0">
        <f>AA4</f>
        <v>1</v>
      </c>
    </row>
    <row r="20" ht="24" customHeight="1">
      <c r="A20" s="117" t="s">
        <v>42</v>
      </c>
      <c r="B20" s="141" t="str">
        <f ref="B20:B20" t="array">IF(INDIRECT(ADDRESS(33,X22,,,"Inputs"))=0,"",INDIRECT(ADDRESS(33,X22,,,"Inputs")))</f>
      </c>
      <c r="C20" s="141"/>
      <c r="D20" s="158"/>
      <c r="E20" s="158"/>
      <c r="F20" s="158"/>
      <c r="G20" s="158"/>
      <c r="H20" s="158"/>
      <c r="I20" s="158"/>
      <c r="J20" s="158"/>
      <c r="K20" s="158"/>
      <c r="L20" s="158"/>
      <c r="M20" s="158"/>
      <c r="N20" s="158"/>
      <c r="O20" s="158"/>
      <c r="P20" s="158"/>
      <c r="Q20" s="136" t="s">
        <v>43</v>
      </c>
      <c r="R20" s="146"/>
      <c r="S20" s="146"/>
      <c r="T20" s="165">
        <f ref="T20:T20" t="array">IFERROR(INDIRECT(ADDRESS(81,X22,,,"Inputs")), "")</f>
        <v>0</v>
      </c>
      <c r="U20" s="166"/>
      <c r="V20" s="167"/>
      <c r="X20" s="3"/>
      <c r="AA20" s="0">
        <f>AA4</f>
        <v>1</v>
      </c>
    </row>
    <row r="21" ht="36" customHeight="1">
      <c r="A21" s="117" t="s">
        <v>44</v>
      </c>
      <c r="B21" s="156" t="str">
        <f ref="B21:B21" t="array">IF(INDIRECT(ADDRESS(47,X22,,,"Inputs"))=0,"",INDIRECT(ADDRESS(47,X22,,,"Inputs")))</f>
      </c>
      <c r="C21" s="156"/>
      <c r="D21" s="158"/>
      <c r="E21" s="158"/>
      <c r="F21" s="158"/>
      <c r="G21" s="158"/>
      <c r="H21" s="158"/>
      <c r="I21" s="158"/>
      <c r="J21" s="158"/>
      <c r="K21" s="158"/>
      <c r="L21" s="158"/>
      <c r="M21" s="158"/>
      <c r="N21" s="158"/>
      <c r="O21" s="158"/>
      <c r="P21" s="158"/>
      <c r="Q21" s="136" t="s">
        <v>45</v>
      </c>
      <c r="R21" s="146"/>
      <c r="S21" s="146"/>
      <c r="T21" s="136" t="str">
        <f ref="T21:T21" t="array">_xlfn.CONCAT(IFERROR(INDIRECT(ADDRESS(49,X22,,,"Inputs")), ""), " / ", IFERROR(INDIRECT(ADDRESS(48,X22,,,"Inputs")), ""))</f>
        <v> / </v>
      </c>
      <c r="U21" s="146"/>
      <c r="V21" s="161"/>
      <c r="X21" s="3"/>
      <c r="AA21" s="0">
        <f>AA5</f>
        <v>1</v>
      </c>
    </row>
    <row r="22" ht="102" customHeight="1">
      <c r="A22" s="122"/>
      <c r="B22" s="157"/>
      <c r="C22" s="157"/>
      <c r="D22" s="159"/>
      <c r="E22" s="159"/>
      <c r="F22" s="159"/>
      <c r="G22" s="159"/>
      <c r="H22" s="159"/>
      <c r="I22" s="159"/>
      <c r="J22" s="159"/>
      <c r="K22" s="159"/>
      <c r="L22" s="159"/>
      <c r="M22" s="159"/>
      <c r="N22" s="159"/>
      <c r="O22" s="159"/>
      <c r="P22" s="159"/>
      <c r="Q22" s="159"/>
      <c r="R22" s="173"/>
      <c r="S22" s="173"/>
      <c r="T22" s="174"/>
      <c r="U22" s="175"/>
      <c r="V22" s="176"/>
      <c r="W22" s="78" t="s">
        <v>46</v>
      </c>
      <c r="X22" s="78">
        <f>COLUMN(Inputs!B5)</f>
        <v>2</v>
      </c>
      <c r="AA22" s="0">
        <f>AA6</f>
        <v>1</v>
      </c>
    </row>
    <row r="23" ht="18" customHeight="1">
      <c r="A23" s="58"/>
      <c r="B23" s="36"/>
      <c r="C23" s="36"/>
      <c r="D23" s="36"/>
      <c r="E23" s="36"/>
      <c r="F23" s="36"/>
      <c r="G23" s="36"/>
      <c r="H23" s="36"/>
      <c r="I23" s="36"/>
      <c r="J23" s="36"/>
      <c r="K23" s="36"/>
      <c r="L23" s="36"/>
      <c r="M23" s="36"/>
      <c r="N23" s="36"/>
      <c r="O23" s="36"/>
      <c r="P23" s="36"/>
      <c r="Q23" s="36"/>
      <c r="R23" s="36"/>
      <c r="S23" s="36"/>
      <c r="T23" s="36"/>
      <c r="U23" s="36"/>
      <c r="V23" s="36"/>
      <c r="AA23" s="0">
        <f>AA4</f>
        <v>1</v>
      </c>
    </row>
    <row r="24" ht="18" customHeight="1">
      <c r="A24" s="139" t="s">
        <v>4</v>
      </c>
      <c r="B24" s="140"/>
      <c r="C24" s="140"/>
      <c r="D24" s="140" t="str">
        <f ref="D24:D24" t="array">CONCATENATE(INDIRECT(ADDRESS(6,X42,,,"Inputs"))," ",INDIRECT(ADDRESS(8,X42,,,"Inputs"))," ",INDIRECT(ADDRESS(9,X42,,,"Inputs")))</f>
      </c>
      <c r="E24" s="140"/>
      <c r="F24" s="140"/>
      <c r="G24" s="140"/>
      <c r="H24" s="140"/>
      <c r="I24" s="140"/>
      <c r="J24" s="140"/>
      <c r="K24" s="140"/>
      <c r="L24" s="140"/>
      <c r="M24" s="140"/>
      <c r="N24" s="140"/>
      <c r="O24" s="140"/>
      <c r="P24" s="140"/>
      <c r="Q24" s="113"/>
      <c r="R24" s="113"/>
      <c r="S24" s="113"/>
      <c r="T24" s="113"/>
      <c r="U24" s="113"/>
      <c r="V24" s="114"/>
      <c r="AA24" s="0">
        <f>IF(LEN(TRIM(D24))=0,0,1)</f>
        <v>0</v>
      </c>
    </row>
    <row r="25" ht="18" customHeight="1">
      <c r="A25" s="134" t="str">
        <f ref="A25:A25" t="array">IF(INDIRECT(ADDRESS(50,X42,,,"Inputs"))=0,"",INDIRECT(ADDRESS(50,X42,,,"Inputs")))</f>
      </c>
      <c r="B25" s="135"/>
      <c r="C25" s="135"/>
      <c r="D25" s="136" t="str">
        <f ref="D25:D25" t="array">IF(INDIRECT(ADDRESS(10,X42,,,"Inputs"))=0,"",INDIRECT(ADDRESS(10,X42,,,"Inputs")))</f>
      </c>
      <c r="E25" s="136"/>
      <c r="F25" s="136"/>
      <c r="G25" s="136"/>
      <c r="H25" s="136"/>
      <c r="I25" s="136"/>
      <c r="J25" s="136"/>
      <c r="K25" s="136"/>
      <c r="L25" s="136"/>
      <c r="M25" s="136"/>
      <c r="N25" s="136"/>
      <c r="O25" s="136"/>
      <c r="P25" s="136"/>
      <c r="Q25" s="110"/>
      <c r="R25" s="110"/>
      <c r="S25" s="110"/>
      <c r="T25" s="110"/>
      <c r="U25" s="110"/>
      <c r="V25" s="115"/>
      <c r="AA25" s="0">
        <f>AA24</f>
        <v>0</v>
      </c>
    </row>
    <row r="26" ht="18" customHeight="1">
      <c r="A26" s="137" t="s">
        <v>5</v>
      </c>
      <c r="B26" s="136"/>
      <c r="C26" s="136"/>
      <c r="D26" s="136" t="str">
        <f ref="D26:D26" t="array">IF(INDIRECT(ADDRESS(14,X42,,,"Inputs"))=0,"",INDIRECT(ADDRESS(14,X42,,,"Inputs")))</f>
      </c>
      <c r="E26" s="136"/>
      <c r="F26" s="136"/>
      <c r="G26" s="136"/>
      <c r="H26" s="136"/>
      <c r="I26" s="136"/>
      <c r="J26" s="136"/>
      <c r="K26" s="136"/>
      <c r="L26" s="136"/>
      <c r="M26" s="136"/>
      <c r="N26" s="136"/>
      <c r="O26" s="136"/>
      <c r="P26" s="136"/>
      <c r="Q26" s="110"/>
      <c r="R26" s="110"/>
      <c r="S26" s="110"/>
      <c r="T26" s="110"/>
      <c r="U26" s="110"/>
      <c r="V26" s="115"/>
      <c r="AA26" s="0">
        <f>AA24</f>
        <v>0</v>
      </c>
    </row>
    <row r="27" ht="18" customHeight="1">
      <c r="A27" s="134" t="str">
        <f ref="A27:A27" t="array">IF(INDIRECT(ADDRESS(51,X42,,,"Inputs"))=0,"",INDIRECT(ADDRESS(51,X42,,,"Inputs")))</f>
      </c>
      <c r="B27" s="135"/>
      <c r="C27" s="135"/>
      <c r="D27" s="138" t="str">
        <f ref="D27:D27" t="array">INDIRECT(ADDRESS(82,X42,,,"Inputs"))</f>
      </c>
      <c r="E27" s="138"/>
      <c r="F27" s="138"/>
      <c r="G27" s="138"/>
      <c r="H27" s="138"/>
      <c r="I27" s="138"/>
      <c r="J27" s="138"/>
      <c r="K27" s="138"/>
      <c r="L27" s="138"/>
      <c r="M27" s="138"/>
      <c r="N27" s="138"/>
      <c r="O27" s="138"/>
      <c r="P27" s="138"/>
      <c r="Q27" s="112"/>
      <c r="R27" s="112"/>
      <c r="S27" s="112"/>
      <c r="T27" s="112"/>
      <c r="U27" s="112"/>
      <c r="V27" s="116"/>
      <c r="AA27" s="0">
        <f>AA24</f>
        <v>0</v>
      </c>
    </row>
    <row r="28" ht="18" customHeight="1">
      <c r="A28" s="168" t="s">
        <v>6</v>
      </c>
      <c r="B28" s="146"/>
      <c r="C28" s="151"/>
      <c r="D28" s="169" t="s">
        <v>7</v>
      </c>
      <c r="E28" s="146"/>
      <c r="F28" s="146"/>
      <c r="G28" s="146"/>
      <c r="H28" s="146"/>
      <c r="I28" s="146"/>
      <c r="J28" s="146"/>
      <c r="K28" s="146"/>
      <c r="L28" s="146"/>
      <c r="M28" s="146"/>
      <c r="N28" s="146"/>
      <c r="O28" s="146"/>
      <c r="P28" s="151"/>
      <c r="Q28" s="170" t="s">
        <v>8</v>
      </c>
      <c r="R28" s="146"/>
      <c r="S28" s="146"/>
      <c r="T28" s="146"/>
      <c r="U28" s="146"/>
      <c r="V28" s="161"/>
      <c r="AA28" s="0">
        <f>AA24</f>
        <v>0</v>
      </c>
    </row>
    <row r="29" ht="18" customHeight="1">
      <c r="A29" s="117" t="s">
        <v>9</v>
      </c>
      <c r="B29" s="162" t="str">
        <f ref="B29:B29" t="array">IF(INDIRECT(ADDRESS(15,X42,,,"Inputs"))=0,"",INDIRECT(ADDRESS(15,X42,,,"Inputs")))</f>
      </c>
      <c r="C29" s="162"/>
      <c r="D29" s="109" t="s">
        <v>10</v>
      </c>
      <c r="E29" s="136" t="s">
        <v>11</v>
      </c>
      <c r="F29" s="146"/>
      <c r="G29" s="146"/>
      <c r="H29" s="109" t="s">
        <v>12</v>
      </c>
      <c r="I29" s="109" t="s">
        <v>13</v>
      </c>
      <c r="J29" s="136" t="s">
        <v>14</v>
      </c>
      <c r="K29" s="146"/>
      <c r="L29" s="136" t="s">
        <v>15</v>
      </c>
      <c r="M29" s="146"/>
      <c r="N29" s="146"/>
      <c r="O29" s="136" t="s">
        <v>16</v>
      </c>
      <c r="P29" s="146"/>
      <c r="Q29" s="136" t="s">
        <v>17</v>
      </c>
      <c r="R29" s="146"/>
      <c r="S29" s="146"/>
      <c r="T29" s="146"/>
      <c r="U29" s="146"/>
      <c r="V29" s="161"/>
      <c r="AA29" s="0">
        <f>AA24</f>
        <v>0</v>
      </c>
    </row>
    <row r="30" ht="18" customHeight="1">
      <c r="A30" s="117" t="s">
        <v>18</v>
      </c>
      <c r="B30" s="162" t="str">
        <f ref="B30:B30" t="array">IF(INDIRECT(ADDRESS(16,X42,,,"Inputs"))=0,"",INDIRECT(ADDRESS(16,X42,,,"Inputs")))</f>
      </c>
      <c r="C30" s="162"/>
      <c r="D30" s="109" t="s">
        <v>19</v>
      </c>
      <c r="E30" s="142" t="str">
        <f ref="E30:E30" t="array">IF(ISBLANK(INDIRECT(ADDRESS(35,X42,,,"Inputs"))),"",INDIRECT(ADDRESS(35,X42,,,"Inputs")))</f>
      </c>
      <c r="F30" s="143"/>
      <c r="G30" s="143"/>
      <c r="H30" s="118" t="str">
        <f ref="H30:H30" t="array">IF(ISBLANK(INDIRECT(ADDRESS(35,X42,,,"Inputs"))),"",INDIRECT(ADDRESS(35,X42,,,"Inputs")))</f>
      </c>
      <c r="I30" s="119">
        <f ref="I30:I30" t="array">IFERROR(INDIRECT(ADDRESS(65,X42,,,"Inputs")), "")</f>
        <v>0</v>
      </c>
      <c r="J30" s="144" t="str">
        <f ref="J30:J30" t="array">IFERROR(INDIRECT(ADDRESS(66,X42,,,"Inputs")), "")</f>
      </c>
      <c r="K30" s="145"/>
      <c r="L30" s="136" t="s">
        <v>20</v>
      </c>
      <c r="M30" s="146"/>
      <c r="N30" s="146"/>
      <c r="O30" s="138" t="str">
        <f ref="O30:O30" t="array">IF(ISBLANK(INDIRECT(ADDRESS(36,X42,,,"Inputs"))), "-", IFERROR(I30/J30, ""))</f>
        <v>-</v>
      </c>
      <c r="P30" s="147"/>
      <c r="Q30" s="144" t="str">
        <f ref="Q30:Q30" t="array">IF(INDIRECT(ADDRESS(25,X42,,,"Inputs"))=0,"0",INDIRECT(ADDRESS(25,X42,,,"Inputs")))</f>
        <v>0</v>
      </c>
      <c r="R30" s="145"/>
      <c r="S30" s="145"/>
      <c r="T30" s="145"/>
      <c r="U30" s="145"/>
      <c r="V30" s="172"/>
      <c r="AA30" s="0">
        <f>AA24</f>
        <v>0</v>
      </c>
    </row>
    <row r="31" ht="36" customHeight="1">
      <c r="A31" s="117" t="s">
        <v>21</v>
      </c>
      <c r="B31" s="136" t="str">
        <f ref="B31:B31" t="array">IF(INDIRECT(ADDRESS(11,X42,,,"Inputs"))=0,"",INDIRECT(ADDRESS(11,X42,,,"Inputs")))</f>
      </c>
      <c r="C31" s="136"/>
      <c r="D31" s="109" t="s">
        <v>22</v>
      </c>
      <c r="E31" s="142" t="str">
        <f ref="E31:E31" t="array">IF(ISBLANK(INDIRECT(ADDRESS(39,X42,,,"Inputs"))),"",INDIRECT(ADDRESS(39,X42,,,"Inputs")))</f>
      </c>
      <c r="F31" s="143"/>
      <c r="G31" s="143"/>
      <c r="H31" s="118" t="str">
        <f ref="H31:H31" t="array">IF(ISBLANK(INDIRECT(ADDRESS(39,X42,,,"Inputs"))),"",INDIRECT(ADDRESS(39,X42,,,"Inputs")))</f>
      </c>
      <c r="I31" s="120" t="str">
        <f ref="I31:I31" t="array">IFERROR(INDIRECT(ADDRESS(67,X42,,,"Inputs")), "")</f>
      </c>
      <c r="J31" s="155" t="str">
        <f ref="J31:J31" t="array">IFERROR(INDIRECT(ADDRESS(68,X42,,,"Inputs")), "")</f>
      </c>
      <c r="K31" s="146"/>
      <c r="L31" s="136"/>
      <c r="M31" s="146"/>
      <c r="N31" s="146"/>
      <c r="O31" s="138" t="str">
        <f>IFERROR(J31/I31, "")</f>
      </c>
      <c r="P31" s="147"/>
      <c r="Q31" s="136" t="s">
        <v>23</v>
      </c>
      <c r="R31" s="146"/>
      <c r="S31" s="146"/>
      <c r="T31" s="146"/>
      <c r="U31" s="146"/>
      <c r="V31" s="161"/>
      <c r="AA31" s="0">
        <f>AA24</f>
        <v>0</v>
      </c>
    </row>
    <row r="32" ht="18" customHeight="1">
      <c r="A32" s="117" t="s">
        <v>24</v>
      </c>
      <c r="B32" s="141" t="str">
        <f ref="B32:B32" t="array">IF(INDIRECT(ADDRESS(75,X42,,,"Inputs"))=0,"",INDIRECT(ADDRESS(75,X42,,,"Inputs")))</f>
      </c>
      <c r="C32" s="141"/>
      <c r="D32" s="109" t="s">
        <v>25</v>
      </c>
      <c r="E32" s="142" t="str">
        <f ref="E32:E32" t="array">IF(ISBLANK(INDIRECT(ADDRESS(41,X42,,,"Inputs"))),"",INDIRECT(ADDRESS(41,X42,,,"Inputs")))</f>
      </c>
      <c r="F32" s="143"/>
      <c r="G32" s="143"/>
      <c r="H32" s="118" t="str">
        <f ref="H32:H32" t="array">IF(ISBLANK(INDIRECT(ADDRESS(41,X42,,,"Inputs"))),"",INDIRECT(ADDRESS(41,X42,,,"Inputs")))</f>
      </c>
      <c r="I32" s="119" t="str">
        <f ref="I32:I32" t="array">IFERROR(INDIRECT(ADDRESS(71,X42,,,"Inputs")), "")</f>
      </c>
      <c r="J32" s="144" t="str">
        <f ref="J32:J32" t="array">IFERROR(INDIRECT(ADDRESS(72,X42,,,"Inputs")), "")</f>
      </c>
      <c r="K32" s="145"/>
      <c r="L32" s="136" t="s">
        <v>20</v>
      </c>
      <c r="M32" s="146"/>
      <c r="N32" s="146"/>
      <c r="O32" s="138" t="str">
        <f ref="O32:O32" t="array">IF(ISBLANK(INDIRECT(ADDRESS(42,X42,,,"Inputs"))), "-", IFERROR(I32 / J32, ""))</f>
        <v>-</v>
      </c>
      <c r="P32" s="147"/>
      <c r="Q32" s="144" t="str">
        <f ref="Q32:Q32" t="array">IF(INDIRECT(ADDRESS(24,X42,,,"Inputs"))=0,"0",INDIRECT(ADDRESS(24,X42,,,"Inputs")))</f>
        <v>0</v>
      </c>
      <c r="R32" s="145"/>
      <c r="S32" s="145"/>
      <c r="T32" s="145"/>
      <c r="U32" s="145"/>
      <c r="V32" s="172"/>
      <c r="AA32" s="0">
        <f>AA24</f>
        <v>0</v>
      </c>
    </row>
    <row r="33" ht="36" customHeight="1">
      <c r="A33" s="117" t="s">
        <v>26</v>
      </c>
      <c r="B33" s="136" t="str">
        <f ref="B33:B33" t="array">IF(INDIRECT(ADDRESS(17,X42,,,"Inputs"))=0,"",INDIRECT(ADDRESS(17,X42,,,"Inputs")))</f>
      </c>
      <c r="C33" s="136"/>
      <c r="D33" s="111" t="s">
        <v>27</v>
      </c>
      <c r="E33" s="142" t="str">
        <f ref="E33:E33" t="array">IF(ISBLANK(INDIRECT(ADDRESS(43,X42,,,"Inputs"))),"",INDIRECT(ADDRESS(43,X42,,,"Inputs")))</f>
      </c>
      <c r="F33" s="143"/>
      <c r="G33" s="143"/>
      <c r="H33" s="118" t="str">
        <f ref="H33:H33" t="array">IF(ISBLANK(INDIRECT(ADDRESS(43,X42,,,"Inputs"))),"",INDIRECT(ADDRESS(43,X42,,,"Inputs")))</f>
      </c>
      <c r="I33" s="121" t="str">
        <f ref="I33:I33" t="array">IFERROR(INDIRECT(ADDRESS(73,X42,,,"Inputs")), "")</f>
      </c>
      <c r="J33" s="144" t="str">
        <f ref="J33:J33" t="array">IFERROR(INDIRECT(ADDRESS(74,X42,,,"Inputs")), "")</f>
      </c>
      <c r="K33" s="145"/>
      <c r="L33" s="136" t="s">
        <v>20</v>
      </c>
      <c r="M33" s="146"/>
      <c r="N33" s="146"/>
      <c r="O33" s="138" t="str">
        <f ref="O33:O33" t="array">IF(ISBLANK(INDIRECT(ADDRESS(44,X42,,,"Inputs"))), "-", IFERROR(I33 / J33, ""))</f>
        <v>-</v>
      </c>
      <c r="P33" s="147"/>
      <c r="Q33" s="177" t="s">
        <v>28</v>
      </c>
      <c r="R33" s="146"/>
      <c r="S33" s="146"/>
      <c r="T33" s="146"/>
      <c r="U33" s="146"/>
      <c r="V33" s="161"/>
      <c r="AA33" s="0">
        <f>AA24</f>
        <v>0</v>
      </c>
    </row>
    <row r="34" ht="18" customHeight="1">
      <c r="A34" s="117" t="s">
        <v>29</v>
      </c>
      <c r="B34" s="141" t="str">
        <f ref="B34:B34" t="array">IF(INDIRECT(ADDRESS(31,X42,,,"Inputs"))=0,"",INDIRECT(ADDRESS(31,X42,,,"Inputs")))</f>
      </c>
      <c r="C34" s="178"/>
      <c r="D34" s="179" t="s">
        <v>30</v>
      </c>
      <c r="E34" s="180"/>
      <c r="F34" s="180"/>
      <c r="G34" s="180"/>
      <c r="H34" s="180"/>
      <c r="I34" s="180"/>
      <c r="J34" s="180"/>
      <c r="K34" s="180"/>
      <c r="L34" s="180"/>
      <c r="M34" s="180"/>
      <c r="N34" s="180"/>
      <c r="O34" s="180"/>
      <c r="P34" s="181"/>
      <c r="Q34" s="136" t="s">
        <v>31</v>
      </c>
      <c r="R34" s="146"/>
      <c r="S34" s="146"/>
      <c r="T34" s="165">
        <f ref="T34:T34" t="array">IFERROR(INDIRECT(ADDRESS(77,X42,,,"Inputs")), "")</f>
        <v>0</v>
      </c>
      <c r="U34" s="166"/>
      <c r="V34" s="167"/>
      <c r="AA34" s="0">
        <f>AA24</f>
        <v>0</v>
      </c>
    </row>
    <row r="35" ht="18" customHeight="1">
      <c r="A35" s="117" t="s">
        <v>32</v>
      </c>
      <c r="B35" s="148" t="str">
        <f ref="B35:B35" t="array">IF(INDIRECT(ADDRESS(83,X42,,,"Inputs"))=0,"",INDIRECT(ADDRESS(83,X42,,,"Inputs")))</f>
      </c>
      <c r="C35" s="149"/>
      <c r="D35" s="158">
        <f ref="D35:D35" t="array">INDIRECT(ADDRESS(26,X42,,,"Inputs"))</f>
        <v>0</v>
      </c>
      <c r="E35" s="158"/>
      <c r="F35" s="158"/>
      <c r="G35" s="158"/>
      <c r="H35" s="158"/>
      <c r="I35" s="158"/>
      <c r="J35" s="158"/>
      <c r="K35" s="158"/>
      <c r="L35" s="158"/>
      <c r="M35" s="158"/>
      <c r="N35" s="158"/>
      <c r="O35" s="158"/>
      <c r="P35" s="158"/>
      <c r="Q35" s="136" t="s">
        <v>33</v>
      </c>
      <c r="R35" s="146"/>
      <c r="S35" s="146"/>
      <c r="T35" s="165">
        <f ref="T35:T35" t="array">IFERROR(INDIRECT(ADDRESS(86,X42,,,"Inputs")), "")</f>
        <v>0</v>
      </c>
      <c r="U35" s="166"/>
      <c r="V35" s="167"/>
      <c r="AA35" s="0">
        <f>AA24</f>
        <v>0</v>
      </c>
    </row>
    <row r="36" ht="18" customHeight="1">
      <c r="A36" s="150" t="s">
        <v>34</v>
      </c>
      <c r="B36" s="146"/>
      <c r="C36" s="151"/>
      <c r="D36" s="158"/>
      <c r="E36" s="158"/>
      <c r="F36" s="158"/>
      <c r="G36" s="158"/>
      <c r="H36" s="158"/>
      <c r="I36" s="158"/>
      <c r="J36" s="158"/>
      <c r="K36" s="158"/>
      <c r="L36" s="158"/>
      <c r="M36" s="158"/>
      <c r="N36" s="158"/>
      <c r="O36" s="158"/>
      <c r="P36" s="158"/>
      <c r="Q36" s="136" t="s">
        <v>35</v>
      </c>
      <c r="R36" s="146"/>
      <c r="S36" s="146"/>
      <c r="T36" s="165">
        <f ref="T36:T36" t="array">IFERROR(INDIRECT(ADDRESS(78,X42,,,"Inputs")), "")</f>
        <v>0</v>
      </c>
      <c r="U36" s="166"/>
      <c r="V36" s="167"/>
      <c r="AA36" s="0">
        <f>AA24</f>
        <v>0</v>
      </c>
    </row>
    <row r="37" ht="18" customHeight="1">
      <c r="A37" s="117" t="s">
        <v>36</v>
      </c>
      <c r="B37" s="141" t="str">
        <f ref="B37:B37" t="array">IF(INDIRECT(ADDRESS(30,X42,,,"Inputs"))=0,"",INDIRECT(ADDRESS(30,X42,,,"Inputs")))</f>
      </c>
      <c r="C37" s="141"/>
      <c r="D37" s="158"/>
      <c r="E37" s="158"/>
      <c r="F37" s="158"/>
      <c r="G37" s="158"/>
      <c r="H37" s="158"/>
      <c r="I37" s="158"/>
      <c r="J37" s="158"/>
      <c r="K37" s="158"/>
      <c r="L37" s="158"/>
      <c r="M37" s="158"/>
      <c r="N37" s="158"/>
      <c r="O37" s="158"/>
      <c r="P37" s="158"/>
      <c r="Q37" s="136" t="s">
        <v>37</v>
      </c>
      <c r="R37" s="146"/>
      <c r="S37" s="146"/>
      <c r="T37" s="165">
        <f ref="T37:T37" t="array">IFERROR(INDIRECT(ADDRESS(45,X42,,,"Inputs")), "")</f>
        <v>0</v>
      </c>
      <c r="U37" s="166"/>
      <c r="V37" s="167"/>
      <c r="AA37" s="0">
        <f>AA24</f>
        <v>0</v>
      </c>
    </row>
    <row r="38" ht="18" customHeight="1">
      <c r="A38" s="117" t="s">
        <v>38</v>
      </c>
      <c r="B38" s="136" t="str">
        <f ref="B38:B38" t="array">IF(INDIRECT(ADDRESS(32,X42,,,"Inputs"))=0,"",INDIRECT(ADDRESS(32,X42,,,"Inputs")))</f>
      </c>
      <c r="C38" s="136"/>
      <c r="D38" s="158"/>
      <c r="E38" s="158"/>
      <c r="F38" s="158"/>
      <c r="G38" s="158"/>
      <c r="H38" s="158"/>
      <c r="I38" s="158"/>
      <c r="J38" s="158"/>
      <c r="K38" s="158"/>
      <c r="L38" s="158"/>
      <c r="M38" s="158"/>
      <c r="N38" s="158"/>
      <c r="O38" s="158"/>
      <c r="P38" s="158"/>
      <c r="Q38" s="136" t="s">
        <v>39</v>
      </c>
      <c r="R38" s="146"/>
      <c r="S38" s="146"/>
      <c r="T38" s="165">
        <f ref="T38:T38" t="array">IFERROR(INDIRECT(ADDRESS(79,X42,,,"Inputs")), "")</f>
        <v>0</v>
      </c>
      <c r="U38" s="166"/>
      <c r="V38" s="167"/>
      <c r="AA38" s="0">
        <f>AA24</f>
        <v>0</v>
      </c>
    </row>
    <row r="39" ht="18" customHeight="1">
      <c r="A39" s="152" t="s">
        <v>40</v>
      </c>
      <c r="B39" s="153"/>
      <c r="C39" s="154"/>
      <c r="D39" s="158"/>
      <c r="E39" s="158"/>
      <c r="F39" s="158"/>
      <c r="G39" s="158"/>
      <c r="H39" s="158"/>
      <c r="I39" s="158"/>
      <c r="J39" s="158"/>
      <c r="K39" s="158"/>
      <c r="L39" s="158"/>
      <c r="M39" s="158"/>
      <c r="N39" s="158"/>
      <c r="O39" s="158"/>
      <c r="P39" s="158"/>
      <c r="Q39" s="136" t="s">
        <v>41</v>
      </c>
      <c r="R39" s="146"/>
      <c r="S39" s="146"/>
      <c r="T39" s="165">
        <f ref="T39:T39" t="array">IFERROR(INDIRECT(ADDRESS(80,X42,,,"Inputs")), "")</f>
        <v>0</v>
      </c>
      <c r="U39" s="166"/>
      <c r="V39" s="167"/>
      <c r="W39" s="0">
        <f ref="W39:W39" t="array">INDIRECT(ADDRESS(34,X42,,,"Inputs"))</f>
        <v>0</v>
      </c>
      <c r="X39" s="3"/>
      <c r="AA39" s="0">
        <f>AA24</f>
        <v>0</v>
      </c>
    </row>
    <row r="40" ht="18" customHeight="1">
      <c r="A40" s="117" t="s">
        <v>42</v>
      </c>
      <c r="B40" s="141" t="str">
        <f ref="B40:B40" t="array">IF(INDIRECT(ADDRESS(33,X42,,,"Inputs"))=0,"",INDIRECT(ADDRESS(33,X42,,,"Inputs")))</f>
      </c>
      <c r="C40" s="141"/>
      <c r="D40" s="158"/>
      <c r="E40" s="158"/>
      <c r="F40" s="158"/>
      <c r="G40" s="158"/>
      <c r="H40" s="158"/>
      <c r="I40" s="158"/>
      <c r="J40" s="158"/>
      <c r="K40" s="158"/>
      <c r="L40" s="158"/>
      <c r="M40" s="158"/>
      <c r="N40" s="158"/>
      <c r="O40" s="158"/>
      <c r="P40" s="158"/>
      <c r="Q40" s="136" t="s">
        <v>43</v>
      </c>
      <c r="R40" s="146"/>
      <c r="S40" s="146"/>
      <c r="T40" s="165">
        <f ref="T40:T40" t="array">IFERROR(INDIRECT(ADDRESS(81,X42,,,"Inputs")), "")</f>
        <v>0</v>
      </c>
      <c r="U40" s="166"/>
      <c r="V40" s="167"/>
      <c r="X40" s="3"/>
      <c r="AA40" s="0">
        <f>AA24</f>
        <v>0</v>
      </c>
    </row>
    <row r="41" ht="36" customHeight="1">
      <c r="A41" s="117" t="s">
        <v>44</v>
      </c>
      <c r="B41" s="156" t="str">
        <f ref="B41:B41" t="array">IF(INDIRECT(ADDRESS(47,X42,,,"Inputs"))=0,"",INDIRECT(ADDRESS(47,X42,,,"Inputs")))</f>
      </c>
      <c r="C41" s="156"/>
      <c r="D41" s="158"/>
      <c r="E41" s="158"/>
      <c r="F41" s="158"/>
      <c r="G41" s="158"/>
      <c r="H41" s="158"/>
      <c r="I41" s="158"/>
      <c r="J41" s="158"/>
      <c r="K41" s="158"/>
      <c r="L41" s="158"/>
      <c r="M41" s="158"/>
      <c r="N41" s="158"/>
      <c r="O41" s="158"/>
      <c r="P41" s="158"/>
      <c r="Q41" s="136" t="s">
        <v>45</v>
      </c>
      <c r="R41" s="146"/>
      <c r="S41" s="146"/>
      <c r="T41" s="136" t="str">
        <f ref="T41:T41" t="array">_xlfn.CONCAT(IFERROR(INDIRECT(ADDRESS(49,X42,,,"Inputs")), ""), " / ", IFERROR(INDIRECT(ADDRESS(48,X42,,,"Inputs")), ""))</f>
        <v> / </v>
      </c>
      <c r="U41" s="146"/>
      <c r="V41" s="161"/>
      <c r="X41" s="3"/>
      <c r="AA41" s="0">
        <f>AA24</f>
        <v>0</v>
      </c>
    </row>
    <row r="42" ht="102" customHeight="1">
      <c r="A42" s="122"/>
      <c r="B42" s="157"/>
      <c r="C42" s="157"/>
      <c r="D42" s="159"/>
      <c r="E42" s="159"/>
      <c r="F42" s="159"/>
      <c r="G42" s="159"/>
      <c r="H42" s="159"/>
      <c r="I42" s="159"/>
      <c r="J42" s="159"/>
      <c r="K42" s="159"/>
      <c r="L42" s="159"/>
      <c r="M42" s="159"/>
      <c r="N42" s="159"/>
      <c r="O42" s="159"/>
      <c r="P42" s="159"/>
      <c r="Q42" s="159"/>
      <c r="R42" s="173"/>
      <c r="S42" s="173"/>
      <c r="T42" s="174"/>
      <c r="U42" s="175"/>
      <c r="V42" s="176"/>
      <c r="W42" s="78" t="s">
        <v>46</v>
      </c>
      <c r="X42" s="78">
        <f>COLUMN(Inputs!M5)</f>
        <v>13</v>
      </c>
      <c r="AA42" s="0">
        <f>AA24</f>
        <v>0</v>
      </c>
    </row>
    <row r="43" ht="18" customHeight="1">
      <c r="A43" s="58"/>
      <c r="B43" s="36"/>
      <c r="C43" s="36"/>
      <c r="D43" s="36"/>
      <c r="E43" s="36"/>
      <c r="F43" s="36"/>
      <c r="G43" s="36"/>
      <c r="H43" s="36"/>
      <c r="I43" s="36"/>
      <c r="J43" s="36"/>
      <c r="K43" s="36"/>
      <c r="L43" s="36"/>
      <c r="M43" s="36"/>
      <c r="N43" s="36"/>
      <c r="O43" s="36"/>
      <c r="P43" s="36"/>
      <c r="Q43" s="36"/>
      <c r="R43" s="36"/>
      <c r="S43" s="36"/>
      <c r="T43" s="36"/>
      <c r="U43" s="36"/>
      <c r="V43" s="36"/>
      <c r="AA43" s="0">
        <f>AA24</f>
        <v>0</v>
      </c>
    </row>
    <row r="44" ht="18" customHeight="1">
      <c r="A44" s="139" t="s">
        <v>4</v>
      </c>
      <c r="B44" s="140"/>
      <c r="C44" s="140"/>
      <c r="D44" s="140" t="str">
        <f ref="D44:D44" t="array">CONCATENATE(INDIRECT(ADDRESS(6,X62,,,"Inputs"))," ",INDIRECT(ADDRESS(8,X62,,,"Inputs"))," ",INDIRECT(ADDRESS(9,X62,,,"Inputs")))</f>
      </c>
      <c r="E44" s="140"/>
      <c r="F44" s="140"/>
      <c r="G44" s="140"/>
      <c r="H44" s="140"/>
      <c r="I44" s="140"/>
      <c r="J44" s="140"/>
      <c r="K44" s="140"/>
      <c r="L44" s="140"/>
      <c r="M44" s="140"/>
      <c r="N44" s="140"/>
      <c r="O44" s="140"/>
      <c r="P44" s="140"/>
      <c r="Q44" s="113"/>
      <c r="R44" s="113"/>
      <c r="S44" s="113"/>
      <c r="T44" s="113"/>
      <c r="U44" s="113"/>
      <c r="V44" s="114"/>
      <c r="AA44" s="0">
        <f>IF(LEN(TRIM(D44))=0,0,1)</f>
        <v>0</v>
      </c>
    </row>
    <row r="45" ht="18" customHeight="1">
      <c r="A45" s="134" t="str">
        <f ref="A45:A45" t="array">IF(INDIRECT(ADDRESS(50,X62,,,"Inputs"))=0,"",INDIRECT(ADDRESS(50,X62,,,"Inputs")))</f>
      </c>
      <c r="B45" s="135"/>
      <c r="C45" s="135"/>
      <c r="D45" s="136" t="str">
        <f ref="D45:D45" t="array">IF(INDIRECT(ADDRESS(10,X62,,,"Inputs"))=0,"",INDIRECT(ADDRESS(10,X62,,,"Inputs")))</f>
      </c>
      <c r="E45" s="136"/>
      <c r="F45" s="136"/>
      <c r="G45" s="136"/>
      <c r="H45" s="136"/>
      <c r="I45" s="136"/>
      <c r="J45" s="136"/>
      <c r="K45" s="136"/>
      <c r="L45" s="136"/>
      <c r="M45" s="136"/>
      <c r="N45" s="136"/>
      <c r="O45" s="136"/>
      <c r="P45" s="136"/>
      <c r="Q45" s="110"/>
      <c r="R45" s="110"/>
      <c r="S45" s="110"/>
      <c r="T45" s="110"/>
      <c r="U45" s="110"/>
      <c r="V45" s="115"/>
      <c r="AA45" s="0">
        <f>AA44</f>
        <v>0</v>
      </c>
    </row>
    <row r="46" ht="18" customHeight="1">
      <c r="A46" s="137" t="s">
        <v>5</v>
      </c>
      <c r="B46" s="136"/>
      <c r="C46" s="136"/>
      <c r="D46" s="136" t="str">
        <f ref="D46:D46" t="array">IF(INDIRECT(ADDRESS(14,X62,,,"Inputs"))=0,"",INDIRECT(ADDRESS(14,X62,,,"Inputs")))</f>
      </c>
      <c r="E46" s="136"/>
      <c r="F46" s="136"/>
      <c r="G46" s="136"/>
      <c r="H46" s="136"/>
      <c r="I46" s="136"/>
      <c r="J46" s="136"/>
      <c r="K46" s="136"/>
      <c r="L46" s="136"/>
      <c r="M46" s="136"/>
      <c r="N46" s="136"/>
      <c r="O46" s="136"/>
      <c r="P46" s="136"/>
      <c r="Q46" s="110"/>
      <c r="R46" s="110"/>
      <c r="S46" s="110"/>
      <c r="T46" s="110"/>
      <c r="U46" s="110"/>
      <c r="V46" s="115"/>
      <c r="AA46" s="0">
        <f>AA44</f>
        <v>0</v>
      </c>
    </row>
    <row r="47" ht="18" customHeight="1">
      <c r="A47" s="134" t="str">
        <f ref="A47:A47" t="array">IF(INDIRECT(ADDRESS(51,X62,,,"Inputs"))=0,"",INDIRECT(ADDRESS(51,X62,,,"Inputs")))</f>
      </c>
      <c r="B47" s="135"/>
      <c r="C47" s="135"/>
      <c r="D47" s="138" t="str">
        <f ref="D47:D47" t="array">INDIRECT(ADDRESS(82,X62,,,"Inputs"))</f>
      </c>
      <c r="E47" s="138"/>
      <c r="F47" s="138"/>
      <c r="G47" s="138"/>
      <c r="H47" s="138"/>
      <c r="I47" s="138"/>
      <c r="J47" s="138"/>
      <c r="K47" s="138"/>
      <c r="L47" s="138"/>
      <c r="M47" s="138"/>
      <c r="N47" s="138"/>
      <c r="O47" s="138"/>
      <c r="P47" s="138"/>
      <c r="Q47" s="112"/>
      <c r="R47" s="112"/>
      <c r="S47" s="112"/>
      <c r="T47" s="112"/>
      <c r="U47" s="112"/>
      <c r="V47" s="116"/>
      <c r="AA47" s="0">
        <f>AA44</f>
        <v>0</v>
      </c>
    </row>
    <row r="48" ht="18" customHeight="1">
      <c r="A48" s="168" t="s">
        <v>6</v>
      </c>
      <c r="B48" s="146"/>
      <c r="C48" s="151"/>
      <c r="D48" s="177" t="s">
        <v>7</v>
      </c>
      <c r="E48" s="153"/>
      <c r="F48" s="153"/>
      <c r="G48" s="153"/>
      <c r="H48" s="153"/>
      <c r="I48" s="153"/>
      <c r="J48" s="153"/>
      <c r="K48" s="153"/>
      <c r="L48" s="153"/>
      <c r="M48" s="153"/>
      <c r="N48" s="153"/>
      <c r="O48" s="153"/>
      <c r="P48" s="154"/>
      <c r="Q48" s="170" t="s">
        <v>8</v>
      </c>
      <c r="R48" s="146"/>
      <c r="S48" s="146"/>
      <c r="T48" s="146"/>
      <c r="U48" s="146"/>
      <c r="V48" s="161"/>
      <c r="AA48" s="0">
        <f>AA44</f>
        <v>0</v>
      </c>
    </row>
    <row r="49" ht="18" customHeight="1">
      <c r="A49" s="117" t="s">
        <v>9</v>
      </c>
      <c r="B49" s="162" t="str">
        <f ref="B49:B49" t="array">IF(INDIRECT(ADDRESS(15,X62,,,"Inputs"))=0,"",INDIRECT(ADDRESS(15,X62,,,"Inputs")))</f>
      </c>
      <c r="C49" s="162"/>
      <c r="D49" s="109" t="s">
        <v>10</v>
      </c>
      <c r="E49" s="136" t="s">
        <v>11</v>
      </c>
      <c r="F49" s="146"/>
      <c r="G49" s="146"/>
      <c r="H49" s="109" t="s">
        <v>12</v>
      </c>
      <c r="I49" s="109" t="s">
        <v>13</v>
      </c>
      <c r="J49" s="136" t="s">
        <v>14</v>
      </c>
      <c r="K49" s="146"/>
      <c r="L49" s="136" t="s">
        <v>15</v>
      </c>
      <c r="M49" s="146"/>
      <c r="N49" s="146"/>
      <c r="O49" s="136" t="s">
        <v>16</v>
      </c>
      <c r="P49" s="146"/>
      <c r="Q49" s="136" t="s">
        <v>17</v>
      </c>
      <c r="R49" s="146"/>
      <c r="S49" s="146"/>
      <c r="T49" s="146"/>
      <c r="U49" s="146"/>
      <c r="V49" s="161"/>
      <c r="AA49" s="0">
        <f>AA44</f>
        <v>0</v>
      </c>
    </row>
    <row r="50" ht="18" customHeight="1">
      <c r="A50" s="117" t="s">
        <v>18</v>
      </c>
      <c r="B50" s="162" t="str">
        <f ref="B50:B50" t="array">IF(INDIRECT(ADDRESS(16,X62,,,"Inputs"))=0,"",INDIRECT(ADDRESS(16,X62,,,"Inputs")))</f>
      </c>
      <c r="C50" s="162"/>
      <c r="D50" s="109" t="s">
        <v>19</v>
      </c>
      <c r="E50" s="142" t="str">
        <f ref="E50:E50" t="array">IF(ISBLANK(INDIRECT(ADDRESS(35,X62,,,"Inputs"))),"",INDIRECT(ADDRESS(35,X62,,,"Inputs")))</f>
      </c>
      <c r="F50" s="143"/>
      <c r="G50" s="143"/>
      <c r="H50" s="118" t="str">
        <f ref="H50:H50" t="array">IF(ISBLANK(INDIRECT(ADDRESS(35,X62,,,"Inputs"))),"",INDIRECT(ADDRESS(35,X62,,,"Inputs")))</f>
      </c>
      <c r="I50" s="119">
        <f ref="I50:I50" t="array">IFERROR(INDIRECT(ADDRESS(65,X62,,,"Inputs")), "")</f>
        <v>0</v>
      </c>
      <c r="J50" s="144" t="str">
        <f ref="J50:J50" t="array">IFERROR(INDIRECT(ADDRESS(66,X62,,,"Inputs")), "")</f>
      </c>
      <c r="K50" s="145"/>
      <c r="L50" s="136" t="s">
        <v>20</v>
      </c>
      <c r="M50" s="146"/>
      <c r="N50" s="146"/>
      <c r="O50" s="138" t="str">
        <f ref="O50:O50" t="array">IF(ISBLANK(INDIRECT(ADDRESS(36,X62,,,"Inputs"))), "-", IFERROR(I50/J50, ""))</f>
        <v>-</v>
      </c>
      <c r="P50" s="147"/>
      <c r="Q50" s="144" t="str">
        <f ref="Q50:Q50" t="array">IF(INDIRECT(ADDRESS(25,X62,,,"Inputs"))=0,"0",INDIRECT(ADDRESS(25,X62,,,"Inputs")))</f>
        <v>0</v>
      </c>
      <c r="R50" s="145"/>
      <c r="S50" s="145"/>
      <c r="T50" s="145"/>
      <c r="U50" s="145"/>
      <c r="V50" s="172"/>
      <c r="AA50" s="0">
        <f>AA44</f>
        <v>0</v>
      </c>
    </row>
    <row r="51" ht="36" customHeight="1">
      <c r="A51" s="117" t="s">
        <v>21</v>
      </c>
      <c r="B51" s="136" t="str">
        <f ref="B51:B51" t="array">IF(INDIRECT(ADDRESS(11,X62,,,"Inputs"))=0,"",INDIRECT(ADDRESS(11,X62,,,"Inputs")))</f>
      </c>
      <c r="C51" s="136"/>
      <c r="D51" s="109" t="s">
        <v>22</v>
      </c>
      <c r="E51" s="142" t="str">
        <f ref="E51:E51" t="array">IF(ISBLANK(INDIRECT(ADDRESS(39,X62,,,"Inputs"))),"",INDIRECT(ADDRESS(39,X62,,,"Inputs")))</f>
      </c>
      <c r="F51" s="143"/>
      <c r="G51" s="143"/>
      <c r="H51" s="118" t="str">
        <f ref="H51:H51" t="array">IF(ISBLANK(INDIRECT(ADDRESS(39,X62,,,"Inputs"))),"",INDIRECT(ADDRESS(39,X62,,,"Inputs")))</f>
      </c>
      <c r="I51" s="120" t="str">
        <f ref="I51:I51" t="array">IFERROR(INDIRECT(ADDRESS(67,X62,,,"Inputs")), "")</f>
      </c>
      <c r="J51" s="155" t="str">
        <f ref="J51:J51" t="array">IFERROR(INDIRECT(ADDRESS(68,X62,,,"Inputs")), "")</f>
      </c>
      <c r="K51" s="146"/>
      <c r="L51" s="136"/>
      <c r="M51" s="146"/>
      <c r="N51" s="146"/>
      <c r="O51" s="138" t="str">
        <f>IFERROR(J51/I51, "")</f>
      </c>
      <c r="P51" s="147"/>
      <c r="Q51" s="136" t="s">
        <v>23</v>
      </c>
      <c r="R51" s="146"/>
      <c r="S51" s="146"/>
      <c r="T51" s="146"/>
      <c r="U51" s="146"/>
      <c r="V51" s="161"/>
      <c r="AA51" s="0">
        <f>AA44</f>
        <v>0</v>
      </c>
    </row>
    <row r="52" ht="18" customHeight="1">
      <c r="A52" s="117" t="s">
        <v>24</v>
      </c>
      <c r="B52" s="141" t="str">
        <f ref="B52:B52" t="array">IF(INDIRECT(ADDRESS(75,X62,,,"Inputs"))=0,"",INDIRECT(ADDRESS(75,X62,,,"Inputs")))</f>
      </c>
      <c r="C52" s="141"/>
      <c r="D52" s="109" t="s">
        <v>25</v>
      </c>
      <c r="E52" s="142" t="str">
        <f ref="E52:E52" t="array">IF(ISBLANK(INDIRECT(ADDRESS(41,X62,,,"Inputs"))),"",INDIRECT(ADDRESS(41,X62,,,"Inputs")))</f>
      </c>
      <c r="F52" s="143"/>
      <c r="G52" s="143"/>
      <c r="H52" s="118" t="str">
        <f ref="H52:H52" t="array">IF(ISBLANK(INDIRECT(ADDRESS(41,X62,,,"Inputs"))),"",INDIRECT(ADDRESS(41,X62,,,"Inputs")))</f>
      </c>
      <c r="I52" s="119" t="str">
        <f ref="I52:I52" t="array">IFERROR(INDIRECT(ADDRESS(71,X62,,,"Inputs")), "")</f>
      </c>
      <c r="J52" s="144" t="str">
        <f ref="J52:J52" t="array">IFERROR(INDIRECT(ADDRESS(72,X62,,,"Inputs")), "")</f>
      </c>
      <c r="K52" s="145"/>
      <c r="L52" s="136" t="s">
        <v>20</v>
      </c>
      <c r="M52" s="146"/>
      <c r="N52" s="146"/>
      <c r="O52" s="138" t="str">
        <f ref="O52:O52" t="array">IF(ISBLANK(INDIRECT(ADDRESS(42,X62,,,"Inputs"))), "-", IFERROR(I52 / J52, ""))</f>
        <v>-</v>
      </c>
      <c r="P52" s="147"/>
      <c r="Q52" s="144" t="str">
        <f ref="Q52:Q52" t="array">IF(INDIRECT(ADDRESS(24,X62,,,"Inputs"))=0,"0",INDIRECT(ADDRESS(24,X62,,,"Inputs")))</f>
        <v>0</v>
      </c>
      <c r="R52" s="145"/>
      <c r="S52" s="145"/>
      <c r="T52" s="145"/>
      <c r="U52" s="145"/>
      <c r="V52" s="172"/>
      <c r="AA52" s="0">
        <f>AA44</f>
        <v>0</v>
      </c>
    </row>
    <row r="53" ht="36" customHeight="1">
      <c r="A53" s="117" t="s">
        <v>26</v>
      </c>
      <c r="B53" s="136" t="str">
        <f ref="B53:B53" t="array">IF(INDIRECT(ADDRESS(17,X62,,,"Inputs"))=0,"",INDIRECT(ADDRESS(17,X62,,,"Inputs")))</f>
      </c>
      <c r="C53" s="136"/>
      <c r="D53" s="111" t="s">
        <v>27</v>
      </c>
      <c r="E53" s="142" t="str">
        <f ref="E53:E53" t="array">IF(ISBLANK(INDIRECT(ADDRESS(43,X62,,,"Inputs"))),"",INDIRECT(ADDRESS(43,X62,,,"Inputs")))</f>
      </c>
      <c r="F53" s="143"/>
      <c r="G53" s="143"/>
      <c r="H53" s="118" t="str">
        <f ref="H53:H53" t="array">IF(ISBLANK(INDIRECT(ADDRESS(43,X62,,,"Inputs"))),"",INDIRECT(ADDRESS(43,X62,,,"Inputs")))</f>
      </c>
      <c r="I53" s="121" t="str">
        <f ref="I53:I53" t="array">IFERROR(INDIRECT(ADDRESS(73,X62,,,"Inputs")), "")</f>
      </c>
      <c r="J53" s="144" t="str">
        <f ref="J53:J53" t="array">IFERROR(INDIRECT(ADDRESS(74,X62,,,"Inputs")), "")</f>
      </c>
      <c r="K53" s="145"/>
      <c r="L53" s="136" t="s">
        <v>20</v>
      </c>
      <c r="M53" s="146"/>
      <c r="N53" s="146"/>
      <c r="O53" s="138" t="str">
        <f ref="O53:O53" t="array">IF(ISBLANK(INDIRECT(ADDRESS(44,X62,,,"Inputs"))), "-", IFERROR(I53 / J53, ""))</f>
        <v>-</v>
      </c>
      <c r="P53" s="147"/>
      <c r="Q53" s="177" t="s">
        <v>28</v>
      </c>
      <c r="R53" s="146"/>
      <c r="S53" s="146"/>
      <c r="T53" s="146"/>
      <c r="U53" s="146"/>
      <c r="V53" s="161"/>
      <c r="AA53" s="0">
        <f>AA44</f>
        <v>0</v>
      </c>
    </row>
    <row r="54" ht="18" customHeight="1">
      <c r="A54" s="117" t="s">
        <v>29</v>
      </c>
      <c r="B54" s="141" t="str">
        <f ref="B54:B54" t="array">IF(INDIRECT(ADDRESS(31,X62,,,"Inputs"))=0,"",INDIRECT(ADDRESS(31,X62,,,"Inputs")))</f>
      </c>
      <c r="C54" s="178"/>
      <c r="D54" s="179" t="s">
        <v>30</v>
      </c>
      <c r="E54" s="180"/>
      <c r="F54" s="180"/>
      <c r="G54" s="180"/>
      <c r="H54" s="180"/>
      <c r="I54" s="180"/>
      <c r="J54" s="180"/>
      <c r="K54" s="180"/>
      <c r="L54" s="180"/>
      <c r="M54" s="180"/>
      <c r="N54" s="180"/>
      <c r="O54" s="180"/>
      <c r="P54" s="181"/>
      <c r="Q54" s="136" t="s">
        <v>31</v>
      </c>
      <c r="R54" s="146"/>
      <c r="S54" s="146"/>
      <c r="T54" s="165">
        <f ref="T54:T54" t="array">IFERROR(INDIRECT(ADDRESS(77,X62,,,"Inputs")), "")</f>
        <v>0</v>
      </c>
      <c r="U54" s="166"/>
      <c r="V54" s="167"/>
      <c r="AA54" s="0">
        <f>AA44</f>
        <v>0</v>
      </c>
    </row>
    <row r="55" ht="18" customHeight="1">
      <c r="A55" s="117" t="s">
        <v>32</v>
      </c>
      <c r="B55" s="148" t="str">
        <f ref="B55:B55" t="array">IF(INDIRECT(ADDRESS(83,X62,,,"Inputs"))=0,"",INDIRECT(ADDRESS(83,X62,,,"Inputs")))</f>
      </c>
      <c r="C55" s="149"/>
      <c r="D55" s="158">
        <f ref="D55:D55" t="array">INDIRECT(ADDRESS(26,X62,,,"Inputs"))</f>
        <v>0</v>
      </c>
      <c r="E55" s="158"/>
      <c r="F55" s="158"/>
      <c r="G55" s="158"/>
      <c r="H55" s="158"/>
      <c r="I55" s="158"/>
      <c r="J55" s="158"/>
      <c r="K55" s="158"/>
      <c r="L55" s="158"/>
      <c r="M55" s="158"/>
      <c r="N55" s="158"/>
      <c r="O55" s="158"/>
      <c r="P55" s="158"/>
      <c r="Q55" s="136" t="s">
        <v>33</v>
      </c>
      <c r="R55" s="146"/>
      <c r="S55" s="146"/>
      <c r="T55" s="165">
        <f ref="T55:T55" t="array">IFERROR(INDIRECT(ADDRESS(86,X62,,,"Inputs")), "")</f>
        <v>0</v>
      </c>
      <c r="U55" s="166"/>
      <c r="V55" s="167"/>
      <c r="AA55" s="0">
        <f>AA44</f>
        <v>0</v>
      </c>
    </row>
    <row r="56" ht="18" customHeight="1">
      <c r="A56" s="150" t="s">
        <v>34</v>
      </c>
      <c r="B56" s="146"/>
      <c r="C56" s="151"/>
      <c r="D56" s="158"/>
      <c r="E56" s="158"/>
      <c r="F56" s="158"/>
      <c r="G56" s="158"/>
      <c r="H56" s="158"/>
      <c r="I56" s="158"/>
      <c r="J56" s="158"/>
      <c r="K56" s="158"/>
      <c r="L56" s="158"/>
      <c r="M56" s="158"/>
      <c r="N56" s="158"/>
      <c r="O56" s="158"/>
      <c r="P56" s="158"/>
      <c r="Q56" s="136" t="s">
        <v>35</v>
      </c>
      <c r="R56" s="146"/>
      <c r="S56" s="146"/>
      <c r="T56" s="165">
        <f ref="T56:T56" t="array">IFERROR(INDIRECT(ADDRESS(78,X62,,,"Inputs")), "")</f>
        <v>0</v>
      </c>
      <c r="U56" s="166"/>
      <c r="V56" s="167"/>
      <c r="AA56" s="0">
        <f>AA44</f>
        <v>0</v>
      </c>
    </row>
    <row r="57" ht="18" customHeight="1">
      <c r="A57" s="117" t="s">
        <v>36</v>
      </c>
      <c r="B57" s="141" t="str">
        <f ref="B57:B57" t="array">IF(INDIRECT(ADDRESS(30,X62,,,"Inputs"))=0,"",INDIRECT(ADDRESS(30,X62,,,"Inputs")))</f>
      </c>
      <c r="C57" s="141"/>
      <c r="D57" s="158"/>
      <c r="E57" s="158"/>
      <c r="F57" s="158"/>
      <c r="G57" s="158"/>
      <c r="H57" s="158"/>
      <c r="I57" s="158"/>
      <c r="J57" s="158"/>
      <c r="K57" s="158"/>
      <c r="L57" s="158"/>
      <c r="M57" s="158"/>
      <c r="N57" s="158"/>
      <c r="O57" s="158"/>
      <c r="P57" s="158"/>
      <c r="Q57" s="136" t="s">
        <v>37</v>
      </c>
      <c r="R57" s="146"/>
      <c r="S57" s="146"/>
      <c r="T57" s="165">
        <f ref="T57:T57" t="array">IFERROR(INDIRECT(ADDRESS(45,X62,,,"Inputs")), "")</f>
        <v>0</v>
      </c>
      <c r="U57" s="166"/>
      <c r="V57" s="167"/>
      <c r="AA57" s="0">
        <f>AA44</f>
        <v>0</v>
      </c>
    </row>
    <row r="58" ht="18" customHeight="1">
      <c r="A58" s="117" t="s">
        <v>38</v>
      </c>
      <c r="B58" s="136" t="str">
        <f ref="B58:B58" t="array">IF(INDIRECT(ADDRESS(32,X62,,,"Inputs"))=0,"",INDIRECT(ADDRESS(32,X62,,,"Inputs")))</f>
      </c>
      <c r="C58" s="136"/>
      <c r="D58" s="158"/>
      <c r="E58" s="158"/>
      <c r="F58" s="158"/>
      <c r="G58" s="158"/>
      <c r="H58" s="158"/>
      <c r="I58" s="158"/>
      <c r="J58" s="158"/>
      <c r="K58" s="158"/>
      <c r="L58" s="158"/>
      <c r="M58" s="158"/>
      <c r="N58" s="158"/>
      <c r="O58" s="158"/>
      <c r="P58" s="158"/>
      <c r="Q58" s="136" t="s">
        <v>39</v>
      </c>
      <c r="R58" s="146"/>
      <c r="S58" s="146"/>
      <c r="T58" s="165">
        <f ref="T58:T58" t="array">IFERROR(INDIRECT(ADDRESS(79,X62,,,"Inputs")), "")</f>
        <v>0</v>
      </c>
      <c r="U58" s="166"/>
      <c r="V58" s="167"/>
      <c r="AA58" s="0">
        <f>AA44</f>
        <v>0</v>
      </c>
    </row>
    <row r="59" ht="18" customHeight="1">
      <c r="A59" s="152" t="s">
        <v>40</v>
      </c>
      <c r="B59" s="153"/>
      <c r="C59" s="154"/>
      <c r="D59" s="158"/>
      <c r="E59" s="158"/>
      <c r="F59" s="158"/>
      <c r="G59" s="158"/>
      <c r="H59" s="158"/>
      <c r="I59" s="158"/>
      <c r="J59" s="158"/>
      <c r="K59" s="158"/>
      <c r="L59" s="158"/>
      <c r="M59" s="158"/>
      <c r="N59" s="158"/>
      <c r="O59" s="158"/>
      <c r="P59" s="158"/>
      <c r="Q59" s="136" t="s">
        <v>41</v>
      </c>
      <c r="R59" s="146"/>
      <c r="S59" s="146"/>
      <c r="T59" s="165">
        <f ref="T59:T59" t="array">IFERROR(INDIRECT(ADDRESS(80,X62,,,"Inputs")), "")</f>
        <v>0</v>
      </c>
      <c r="U59" s="166"/>
      <c r="V59" s="167"/>
      <c r="W59" s="0">
        <f ref="W59:W59" t="array">INDIRECT(ADDRESS(34,X62,,,"Inputs"))</f>
        <v>0</v>
      </c>
      <c r="X59" s="3"/>
      <c r="AA59" s="0">
        <f>AA44</f>
        <v>0</v>
      </c>
    </row>
    <row r="60" ht="18" customHeight="1">
      <c r="A60" s="117" t="s">
        <v>42</v>
      </c>
      <c r="B60" s="141" t="str">
        <f ref="B60:B60" t="array">IF(INDIRECT(ADDRESS(33,X62,,,"Inputs"))=0,"",INDIRECT(ADDRESS(33,X62,,,"Inputs")))</f>
      </c>
      <c r="C60" s="141"/>
      <c r="D60" s="158"/>
      <c r="E60" s="158"/>
      <c r="F60" s="158"/>
      <c r="G60" s="158"/>
      <c r="H60" s="158"/>
      <c r="I60" s="158"/>
      <c r="J60" s="158"/>
      <c r="K60" s="158"/>
      <c r="L60" s="158"/>
      <c r="M60" s="158"/>
      <c r="N60" s="158"/>
      <c r="O60" s="158"/>
      <c r="P60" s="158"/>
      <c r="Q60" s="136" t="s">
        <v>43</v>
      </c>
      <c r="R60" s="146"/>
      <c r="S60" s="146"/>
      <c r="T60" s="165">
        <f ref="T60:T60" t="array">IFERROR(INDIRECT(ADDRESS(81,X62,,,"Inputs")), "")</f>
        <v>0</v>
      </c>
      <c r="U60" s="166"/>
      <c r="V60" s="167"/>
      <c r="X60" s="3"/>
      <c r="AA60" s="0">
        <f>AA44</f>
        <v>0</v>
      </c>
    </row>
    <row r="61" ht="36" customHeight="1">
      <c r="A61" s="117" t="s">
        <v>44</v>
      </c>
      <c r="B61" s="156" t="str">
        <f ref="B61:B61" t="array">IF(INDIRECT(ADDRESS(47,X62,,,"Inputs"))=0,"",INDIRECT(ADDRESS(47,X62,,,"Inputs")))</f>
      </c>
      <c r="C61" s="156"/>
      <c r="D61" s="158"/>
      <c r="E61" s="158"/>
      <c r="F61" s="158"/>
      <c r="G61" s="158"/>
      <c r="H61" s="158"/>
      <c r="I61" s="158"/>
      <c r="J61" s="158"/>
      <c r="K61" s="158"/>
      <c r="L61" s="158"/>
      <c r="M61" s="158"/>
      <c r="N61" s="158"/>
      <c r="O61" s="158"/>
      <c r="P61" s="158"/>
      <c r="Q61" s="136" t="s">
        <v>45</v>
      </c>
      <c r="R61" s="146"/>
      <c r="S61" s="146"/>
      <c r="T61" s="136" t="str">
        <f ref="T61:T61" t="array">_xlfn.CONCAT(IFERROR(INDIRECT(ADDRESS(49,X62,,,"Inputs")), ""), " / ", IFERROR(INDIRECT(ADDRESS(48,X62,,,"Inputs")), ""))</f>
        <v> / </v>
      </c>
      <c r="U61" s="146"/>
      <c r="V61" s="161"/>
      <c r="X61" s="3"/>
      <c r="AA61" s="0">
        <f>AA44</f>
        <v>0</v>
      </c>
    </row>
    <row r="62" ht="102" customHeight="1">
      <c r="A62" s="122"/>
      <c r="B62" s="157"/>
      <c r="C62" s="157"/>
      <c r="D62" s="159"/>
      <c r="E62" s="159"/>
      <c r="F62" s="159"/>
      <c r="G62" s="159"/>
      <c r="H62" s="159"/>
      <c r="I62" s="159"/>
      <c r="J62" s="159"/>
      <c r="K62" s="159"/>
      <c r="L62" s="159"/>
      <c r="M62" s="159"/>
      <c r="N62" s="159"/>
      <c r="O62" s="159"/>
      <c r="P62" s="159"/>
      <c r="Q62" s="159"/>
      <c r="R62" s="173"/>
      <c r="S62" s="173"/>
      <c r="T62" s="174"/>
      <c r="U62" s="175"/>
      <c r="V62" s="176"/>
      <c r="W62" s="78" t="s">
        <v>46</v>
      </c>
      <c r="X62" s="78">
        <f>COLUMN(Inputs!X5)</f>
        <v>24</v>
      </c>
      <c r="AA62" s="0">
        <f>AA44</f>
        <v>0</v>
      </c>
    </row>
    <row r="63" ht="18" customHeight="1">
      <c r="A63" s="58"/>
      <c r="B63" s="36"/>
      <c r="C63" s="36"/>
      <c r="D63" s="36"/>
      <c r="E63" s="36"/>
      <c r="F63" s="36"/>
      <c r="G63" s="36"/>
      <c r="H63" s="36"/>
      <c r="I63" s="36"/>
      <c r="J63" s="36"/>
      <c r="K63" s="36"/>
      <c r="L63" s="36"/>
      <c r="M63" s="36"/>
      <c r="N63" s="36"/>
      <c r="O63" s="36"/>
      <c r="P63" s="36"/>
      <c r="Q63" s="36"/>
      <c r="R63" s="36"/>
      <c r="S63" s="36"/>
      <c r="T63" s="36"/>
      <c r="U63" s="36"/>
      <c r="V63" s="36"/>
      <c r="AA63" s="0">
        <f>AA44</f>
        <v>0</v>
      </c>
    </row>
    <row r="64" ht="18" customHeight="1">
      <c r="A64" s="139" t="s">
        <v>4</v>
      </c>
      <c r="B64" s="140"/>
      <c r="C64" s="140"/>
      <c r="D64" s="140" t="str">
        <f ref="D64:D64" t="array">CONCATENATE(INDIRECT(ADDRESS(6,X82,,,"Inputs"))," ",INDIRECT(ADDRESS(8,X82,,,"Inputs"))," ",INDIRECT(ADDRESS(9,X82,,,"Inputs")))</f>
      </c>
      <c r="E64" s="140"/>
      <c r="F64" s="140"/>
      <c r="G64" s="140"/>
      <c r="H64" s="140"/>
      <c r="I64" s="140"/>
      <c r="J64" s="140"/>
      <c r="K64" s="140"/>
      <c r="L64" s="140"/>
      <c r="M64" s="140"/>
      <c r="N64" s="140"/>
      <c r="O64" s="140"/>
      <c r="P64" s="140"/>
      <c r="Q64" s="113"/>
      <c r="R64" s="113"/>
      <c r="S64" s="113"/>
      <c r="T64" s="113"/>
      <c r="U64" s="113"/>
      <c r="V64" s="114"/>
      <c r="AA64" s="0">
        <f>IF(LEN(TRIM(D64))=0,0,1)</f>
        <v>0</v>
      </c>
    </row>
    <row r="65" ht="18" customHeight="1">
      <c r="A65" s="134" t="str">
        <f ref="A65:A65" t="array">IF(INDIRECT(ADDRESS(50,X82,,,"Inputs"))=0,"",INDIRECT(ADDRESS(50,X82,,,"Inputs")))</f>
      </c>
      <c r="B65" s="135"/>
      <c r="C65" s="135"/>
      <c r="D65" s="136" t="str">
        <f ref="D65:D65" t="array">IF(INDIRECT(ADDRESS(10,X82,,,"Inputs"))=0,"",INDIRECT(ADDRESS(10,X82,,,"Inputs")))</f>
      </c>
      <c r="E65" s="136"/>
      <c r="F65" s="136"/>
      <c r="G65" s="136"/>
      <c r="H65" s="136"/>
      <c r="I65" s="136"/>
      <c r="J65" s="136"/>
      <c r="K65" s="136"/>
      <c r="L65" s="136"/>
      <c r="M65" s="136"/>
      <c r="N65" s="136"/>
      <c r="O65" s="136"/>
      <c r="P65" s="136"/>
      <c r="Q65" s="110"/>
      <c r="R65" s="110"/>
      <c r="S65" s="110"/>
      <c r="T65" s="110"/>
      <c r="U65" s="110"/>
      <c r="V65" s="115"/>
      <c r="AA65" s="0">
        <f>AA64</f>
        <v>0</v>
      </c>
    </row>
    <row r="66" ht="18" customHeight="1">
      <c r="A66" s="137" t="s">
        <v>5</v>
      </c>
      <c r="B66" s="136"/>
      <c r="C66" s="136"/>
      <c r="D66" s="136" t="str">
        <f ref="D66:D66" t="array">IF(INDIRECT(ADDRESS(14,X82,,,"Inputs"))=0,"",INDIRECT(ADDRESS(14,X82,,,"Inputs")))</f>
      </c>
      <c r="E66" s="136"/>
      <c r="F66" s="136"/>
      <c r="G66" s="136"/>
      <c r="H66" s="136"/>
      <c r="I66" s="136"/>
      <c r="J66" s="136"/>
      <c r="K66" s="136"/>
      <c r="L66" s="136"/>
      <c r="M66" s="136"/>
      <c r="N66" s="136"/>
      <c r="O66" s="136"/>
      <c r="P66" s="136"/>
      <c r="Q66" s="110"/>
      <c r="R66" s="110"/>
      <c r="S66" s="110"/>
      <c r="T66" s="110"/>
      <c r="U66" s="110"/>
      <c r="V66" s="115"/>
      <c r="AA66" s="0">
        <f>AA64</f>
        <v>0</v>
      </c>
    </row>
    <row r="67" ht="18" customHeight="1">
      <c r="A67" s="134" t="str">
        <f ref="A67:A67" t="array">IF(INDIRECT(ADDRESS(51,X82,,,"Inputs"))=0,"",INDIRECT(ADDRESS(51,X82,,,"Inputs")))</f>
      </c>
      <c r="B67" s="135"/>
      <c r="C67" s="135"/>
      <c r="D67" s="138" t="str">
        <f ref="D67:D67" t="array">INDIRECT(ADDRESS(82,X82,,,"Inputs"))</f>
      </c>
      <c r="E67" s="138"/>
      <c r="F67" s="138"/>
      <c r="G67" s="138"/>
      <c r="H67" s="138"/>
      <c r="I67" s="138"/>
      <c r="J67" s="138"/>
      <c r="K67" s="138"/>
      <c r="L67" s="138"/>
      <c r="M67" s="138"/>
      <c r="N67" s="138"/>
      <c r="O67" s="138"/>
      <c r="P67" s="138"/>
      <c r="Q67" s="112"/>
      <c r="R67" s="112"/>
      <c r="S67" s="112"/>
      <c r="T67" s="112"/>
      <c r="U67" s="112"/>
      <c r="V67" s="116"/>
      <c r="AA67" s="0">
        <f>AA64</f>
        <v>0</v>
      </c>
    </row>
    <row r="68" ht="18" customHeight="1">
      <c r="A68" s="182" t="s">
        <v>6</v>
      </c>
      <c r="B68" s="146"/>
      <c r="C68" s="183"/>
      <c r="D68" s="153" t="s">
        <v>7</v>
      </c>
      <c r="E68" s="146"/>
      <c r="F68" s="146"/>
      <c r="G68" s="146"/>
      <c r="H68" s="146"/>
      <c r="I68" s="146"/>
      <c r="J68" s="146"/>
      <c r="K68" s="146"/>
      <c r="L68" s="146"/>
      <c r="M68" s="146"/>
      <c r="N68" s="146"/>
      <c r="O68" s="146"/>
      <c r="P68" s="183"/>
      <c r="Q68" s="184" t="s">
        <v>8</v>
      </c>
      <c r="R68" s="146"/>
      <c r="S68" s="146"/>
      <c r="T68" s="146"/>
      <c r="U68" s="146"/>
      <c r="V68" s="161"/>
      <c r="AA68" s="0">
        <f>AA64</f>
        <v>0</v>
      </c>
    </row>
    <row r="69" ht="18" customHeight="1">
      <c r="A69" s="117" t="s">
        <v>9</v>
      </c>
      <c r="B69" s="162" t="str">
        <f ref="B69:B69" t="array">IF(INDIRECT(ADDRESS(15,X82,,,"Inputs"))=0,"",INDIRECT(ADDRESS(15,X82,,,"Inputs")))</f>
      </c>
      <c r="C69" s="162"/>
      <c r="D69" s="109" t="s">
        <v>10</v>
      </c>
      <c r="E69" s="136" t="s">
        <v>11</v>
      </c>
      <c r="F69" s="146"/>
      <c r="G69" s="146"/>
      <c r="H69" s="109" t="s">
        <v>12</v>
      </c>
      <c r="I69" s="109" t="s">
        <v>13</v>
      </c>
      <c r="J69" s="136" t="s">
        <v>14</v>
      </c>
      <c r="K69" s="146"/>
      <c r="L69" s="136" t="s">
        <v>15</v>
      </c>
      <c r="M69" s="146"/>
      <c r="N69" s="146"/>
      <c r="O69" s="136" t="s">
        <v>16</v>
      </c>
      <c r="P69" s="146"/>
      <c r="Q69" s="136" t="s">
        <v>17</v>
      </c>
      <c r="R69" s="146"/>
      <c r="S69" s="146"/>
      <c r="T69" s="146"/>
      <c r="U69" s="146"/>
      <c r="V69" s="161"/>
      <c r="AA69" s="0">
        <f>AA64</f>
        <v>0</v>
      </c>
    </row>
    <row r="70" ht="18" customHeight="1">
      <c r="A70" s="117" t="s">
        <v>18</v>
      </c>
      <c r="B70" s="162" t="str">
        <f ref="B70:B70" t="array">IF(INDIRECT(ADDRESS(16,X82,,,"Inputs"))=0,"",INDIRECT(ADDRESS(16,X82,,,"Inputs")))</f>
      </c>
      <c r="C70" s="162"/>
      <c r="D70" s="109" t="s">
        <v>19</v>
      </c>
      <c r="E70" s="142" t="str">
        <f ref="E70:E70" t="array">IF(ISBLANK(INDIRECT(ADDRESS(35,X82,,,"Inputs"))),"",INDIRECT(ADDRESS(35,X82,,,"Inputs")))</f>
      </c>
      <c r="F70" s="143"/>
      <c r="G70" s="143"/>
      <c r="H70" s="118" t="str">
        <f ref="H70:H70" t="array">IF(ISBLANK(INDIRECT(ADDRESS(35,X82,,,"Inputs"))),"",INDIRECT(ADDRESS(35,X82,,,"Inputs")))</f>
      </c>
      <c r="I70" s="119">
        <f ref="I70:I70" t="array">IFERROR(INDIRECT(ADDRESS(65,X82,,,"Inputs")), "")</f>
        <v>0</v>
      </c>
      <c r="J70" s="144" t="str">
        <f ref="J70:J70" t="array">IFERROR(INDIRECT(ADDRESS(66,X82,,,"Inputs")), "")</f>
      </c>
      <c r="K70" s="145"/>
      <c r="L70" s="136" t="s">
        <v>20</v>
      </c>
      <c r="M70" s="146"/>
      <c r="N70" s="146"/>
      <c r="O70" s="138" t="str">
        <f ref="O70:O70" t="array">IF(ISBLANK(INDIRECT(ADDRESS(36,X82,,,"Inputs"))), "-", IFERROR(I70/J70, ""))</f>
        <v>-</v>
      </c>
      <c r="P70" s="147"/>
      <c r="Q70" s="144" t="str">
        <f ref="Q70:Q70" t="array">IF(INDIRECT(ADDRESS(25,X82,,,"Inputs"))=0,"0",INDIRECT(ADDRESS(25,X82,,,"Inputs")))</f>
        <v>0</v>
      </c>
      <c r="R70" s="145"/>
      <c r="S70" s="145"/>
      <c r="T70" s="145"/>
      <c r="U70" s="145"/>
      <c r="V70" s="172"/>
      <c r="AA70" s="0">
        <f>AA64</f>
        <v>0</v>
      </c>
    </row>
    <row r="71" ht="36" customHeight="1">
      <c r="A71" s="117" t="s">
        <v>21</v>
      </c>
      <c r="B71" s="136" t="str">
        <f ref="B71:B71" t="array">IF(INDIRECT(ADDRESS(11,X82,,,"Inputs"))=0,"",INDIRECT(ADDRESS(11,X82,,,"Inputs")))</f>
      </c>
      <c r="C71" s="136"/>
      <c r="D71" s="109" t="s">
        <v>22</v>
      </c>
      <c r="E71" s="142" t="str">
        <f ref="E71:E71" t="array">IF(ISBLANK(INDIRECT(ADDRESS(39,X82,,,"Inputs"))),"",INDIRECT(ADDRESS(39,X82,,,"Inputs")))</f>
      </c>
      <c r="F71" s="143"/>
      <c r="G71" s="143"/>
      <c r="H71" s="118" t="str">
        <f ref="H71:H71" t="array">IF(ISBLANK(INDIRECT(ADDRESS(39,X82,,,"Inputs"))),"",INDIRECT(ADDRESS(39,X82,,,"Inputs")))</f>
      </c>
      <c r="I71" s="120" t="str">
        <f ref="I71:I71" t="array">IFERROR(INDIRECT(ADDRESS(67,X82,,,"Inputs")), "")</f>
      </c>
      <c r="J71" s="155" t="str">
        <f ref="J71:J71" t="array">IFERROR(INDIRECT(ADDRESS(68,X82,,,"Inputs")), "")</f>
      </c>
      <c r="K71" s="146"/>
      <c r="L71" s="136"/>
      <c r="M71" s="146"/>
      <c r="N71" s="146"/>
      <c r="O71" s="138" t="str">
        <f>IFERROR(J71/I71, "")</f>
      </c>
      <c r="P71" s="147"/>
      <c r="Q71" s="136" t="s">
        <v>23</v>
      </c>
      <c r="R71" s="146"/>
      <c r="S71" s="146"/>
      <c r="T71" s="146"/>
      <c r="U71" s="146"/>
      <c r="V71" s="161"/>
      <c r="AA71" s="0">
        <f>AA64</f>
        <v>0</v>
      </c>
    </row>
    <row r="72" ht="18" customHeight="1">
      <c r="A72" s="117" t="s">
        <v>24</v>
      </c>
      <c r="B72" s="141" t="str">
        <f ref="B72:B72" t="array">IF(INDIRECT(ADDRESS(75,X82,,,"Inputs"))=0,"",INDIRECT(ADDRESS(75,X82,,,"Inputs")))</f>
      </c>
      <c r="C72" s="141"/>
      <c r="D72" s="109" t="s">
        <v>25</v>
      </c>
      <c r="E72" s="142" t="str">
        <f ref="E72:E72" t="array">IF(ISBLANK(INDIRECT(ADDRESS(41,X82,,,"Inputs"))),"",INDIRECT(ADDRESS(41,X82,,,"Inputs")))</f>
      </c>
      <c r="F72" s="143"/>
      <c r="G72" s="143"/>
      <c r="H72" s="118" t="str">
        <f ref="H72:H72" t="array">IF(ISBLANK(INDIRECT(ADDRESS(41,X82,,,"Inputs"))),"",INDIRECT(ADDRESS(41,X82,,,"Inputs")))</f>
      </c>
      <c r="I72" s="119" t="str">
        <f ref="I72:I72" t="array">IFERROR(INDIRECT(ADDRESS(71,X82,,,"Inputs")), "")</f>
      </c>
      <c r="J72" s="144" t="str">
        <f ref="J72:J72" t="array">IFERROR(INDIRECT(ADDRESS(72,X82,,,"Inputs")), "")</f>
      </c>
      <c r="K72" s="145"/>
      <c r="L72" s="136" t="s">
        <v>20</v>
      </c>
      <c r="M72" s="146"/>
      <c r="N72" s="146"/>
      <c r="O72" s="138" t="str">
        <f ref="O72:O72" t="array">IF(ISBLANK(INDIRECT(ADDRESS(42,X82,,,"Inputs"))), "-", IFERROR(I72 / J72, ""))</f>
        <v>-</v>
      </c>
      <c r="P72" s="147"/>
      <c r="Q72" s="144" t="str">
        <f ref="Q72:Q72" t="array">IF(INDIRECT(ADDRESS(24,X82,,,"Inputs"))=0,"0",INDIRECT(ADDRESS(24,X82,,,"Inputs")))</f>
        <v>0</v>
      </c>
      <c r="R72" s="145"/>
      <c r="S72" s="145"/>
      <c r="T72" s="145"/>
      <c r="U72" s="145"/>
      <c r="V72" s="172"/>
      <c r="AA72" s="0">
        <f>AA64</f>
        <v>0</v>
      </c>
    </row>
    <row r="73" ht="36" customHeight="1">
      <c r="A73" s="117" t="s">
        <v>26</v>
      </c>
      <c r="B73" s="136" t="str">
        <f ref="B73:B73" t="array">IF(INDIRECT(ADDRESS(17,X82,,,"Inputs"))=0,"",INDIRECT(ADDRESS(17,X82,,,"Inputs")))</f>
      </c>
      <c r="C73" s="136"/>
      <c r="D73" s="111" t="s">
        <v>27</v>
      </c>
      <c r="E73" s="142" t="str">
        <f ref="E73:E73" t="array">IF(ISBLANK(INDIRECT(ADDRESS(43,X82,,,"Inputs"))),"",INDIRECT(ADDRESS(43,X82,,,"Inputs")))</f>
      </c>
      <c r="F73" s="143"/>
      <c r="G73" s="143"/>
      <c r="H73" s="118" t="str">
        <f ref="H73:H73" t="array">IF(ISBLANK(INDIRECT(ADDRESS(43,X82,,,"Inputs"))),"",INDIRECT(ADDRESS(43,X82,,,"Inputs")))</f>
      </c>
      <c r="I73" s="121" t="str">
        <f ref="I73:I73" t="array">IFERROR(INDIRECT(ADDRESS(73,X82,,,"Inputs")), "")</f>
      </c>
      <c r="J73" s="144" t="str">
        <f ref="J73:J73" t="array">IFERROR(INDIRECT(ADDRESS(74,X82,,,"Inputs")), "")</f>
      </c>
      <c r="K73" s="145"/>
      <c r="L73" s="136" t="s">
        <v>20</v>
      </c>
      <c r="M73" s="146"/>
      <c r="N73" s="146"/>
      <c r="O73" s="138" t="str">
        <f ref="O73:O73" t="array">IF(ISBLANK(INDIRECT(ADDRESS(44,X82,,,"Inputs"))), "-", IFERROR(I73 / J73, ""))</f>
        <v>-</v>
      </c>
      <c r="P73" s="147"/>
      <c r="Q73" s="153" t="s">
        <v>28</v>
      </c>
      <c r="R73" s="146"/>
      <c r="S73" s="146"/>
      <c r="T73" s="146"/>
      <c r="U73" s="146"/>
      <c r="V73" s="161"/>
      <c r="AA73" s="0">
        <f>AA64</f>
        <v>0</v>
      </c>
    </row>
    <row r="74" ht="18" customHeight="1">
      <c r="A74" s="117" t="s">
        <v>29</v>
      </c>
      <c r="B74" s="141" t="str">
        <f ref="B74:B74" t="array">IF(INDIRECT(ADDRESS(31,X82,,,"Inputs"))=0,"",INDIRECT(ADDRESS(31,X82,,,"Inputs")))</f>
      </c>
      <c r="C74" s="141"/>
      <c r="D74" s="184" t="s">
        <v>30</v>
      </c>
      <c r="E74" s="183"/>
      <c r="F74" s="183"/>
      <c r="G74" s="183"/>
      <c r="H74" s="183"/>
      <c r="I74" s="183"/>
      <c r="J74" s="183"/>
      <c r="K74" s="183"/>
      <c r="L74" s="183"/>
      <c r="M74" s="183"/>
      <c r="N74" s="183"/>
      <c r="O74" s="183"/>
      <c r="P74" s="183"/>
      <c r="Q74" s="136" t="s">
        <v>31</v>
      </c>
      <c r="R74" s="146"/>
      <c r="S74" s="146"/>
      <c r="T74" s="165">
        <f ref="T74:T74" t="array">IFERROR(INDIRECT(ADDRESS(77,X82,,,"Inputs")), "")</f>
        <v>0</v>
      </c>
      <c r="U74" s="166"/>
      <c r="V74" s="167"/>
      <c r="AA74" s="0">
        <f>AA64</f>
        <v>0</v>
      </c>
    </row>
    <row r="75" ht="18" customHeight="1">
      <c r="A75" s="117" t="s">
        <v>32</v>
      </c>
      <c r="B75" s="148" t="str">
        <f ref="B75:B75" t="array">IF(INDIRECT(ADDRESS(83,X82,,,"Inputs"))=0,"",INDIRECT(ADDRESS(83,X82,,,"Inputs")))</f>
      </c>
      <c r="C75" s="148"/>
      <c r="D75" s="158">
        <f ref="D75:D75" t="array">INDIRECT(ADDRESS(26,X82,,,"Inputs"))</f>
        <v>0</v>
      </c>
      <c r="E75" s="158"/>
      <c r="F75" s="158"/>
      <c r="G75" s="158"/>
      <c r="H75" s="158"/>
      <c r="I75" s="158"/>
      <c r="J75" s="158"/>
      <c r="K75" s="158"/>
      <c r="L75" s="158"/>
      <c r="M75" s="158"/>
      <c r="N75" s="158"/>
      <c r="O75" s="158"/>
      <c r="P75" s="158"/>
      <c r="Q75" s="136" t="s">
        <v>33</v>
      </c>
      <c r="R75" s="146"/>
      <c r="S75" s="146"/>
      <c r="T75" s="165">
        <f ref="T75:T75" t="array">IFERROR(INDIRECT(ADDRESS(86,X82,,,"Inputs")), "")</f>
        <v>0</v>
      </c>
      <c r="U75" s="166"/>
      <c r="V75" s="167"/>
      <c r="AA75" s="0">
        <f>AA64</f>
        <v>0</v>
      </c>
    </row>
    <row r="76" ht="18" customHeight="1">
      <c r="A76" s="152" t="s">
        <v>34</v>
      </c>
      <c r="B76" s="146"/>
      <c r="C76" s="183"/>
      <c r="D76" s="158"/>
      <c r="E76" s="158"/>
      <c r="F76" s="158"/>
      <c r="G76" s="158"/>
      <c r="H76" s="158"/>
      <c r="I76" s="158"/>
      <c r="J76" s="158"/>
      <c r="K76" s="158"/>
      <c r="L76" s="158"/>
      <c r="M76" s="158"/>
      <c r="N76" s="158"/>
      <c r="O76" s="158"/>
      <c r="P76" s="158"/>
      <c r="Q76" s="136" t="s">
        <v>35</v>
      </c>
      <c r="R76" s="146"/>
      <c r="S76" s="146"/>
      <c r="T76" s="165">
        <f ref="T76:T76" t="array">IFERROR(INDIRECT(ADDRESS(78,X82,,,"Inputs")), "")</f>
        <v>0</v>
      </c>
      <c r="U76" s="166"/>
      <c r="V76" s="167"/>
      <c r="AA76" s="0">
        <f>AA64</f>
        <v>0</v>
      </c>
    </row>
    <row r="77" ht="18" customHeight="1">
      <c r="A77" s="117" t="s">
        <v>36</v>
      </c>
      <c r="B77" s="141" t="str">
        <f ref="B77:B77" t="array">IF(INDIRECT(ADDRESS(30,X82,,,"Inputs"))=0,"",INDIRECT(ADDRESS(30,X82,,,"Inputs")))</f>
      </c>
      <c r="C77" s="141"/>
      <c r="D77" s="158"/>
      <c r="E77" s="158"/>
      <c r="F77" s="158"/>
      <c r="G77" s="158"/>
      <c r="H77" s="158"/>
      <c r="I77" s="158"/>
      <c r="J77" s="158"/>
      <c r="K77" s="158"/>
      <c r="L77" s="158"/>
      <c r="M77" s="158"/>
      <c r="N77" s="158"/>
      <c r="O77" s="158"/>
      <c r="P77" s="158"/>
      <c r="Q77" s="136" t="s">
        <v>37</v>
      </c>
      <c r="R77" s="146"/>
      <c r="S77" s="146"/>
      <c r="T77" s="165">
        <f ref="T77:T77" t="array">IFERROR(INDIRECT(ADDRESS(45,X82,,,"Inputs")), "")</f>
        <v>0</v>
      </c>
      <c r="U77" s="166"/>
      <c r="V77" s="167"/>
      <c r="AA77" s="0">
        <f>AA64</f>
        <v>0</v>
      </c>
    </row>
    <row r="78" ht="18" customHeight="1">
      <c r="A78" s="117" t="s">
        <v>38</v>
      </c>
      <c r="B78" s="136" t="str">
        <f ref="B78:B78" t="array">IF(INDIRECT(ADDRESS(32,X82,,,"Inputs"))=0,"",INDIRECT(ADDRESS(32,X82,,,"Inputs")))</f>
      </c>
      <c r="C78" s="136"/>
      <c r="D78" s="158"/>
      <c r="E78" s="158"/>
      <c r="F78" s="158"/>
      <c r="G78" s="158"/>
      <c r="H78" s="158"/>
      <c r="I78" s="158"/>
      <c r="J78" s="158"/>
      <c r="K78" s="158"/>
      <c r="L78" s="158"/>
      <c r="M78" s="158"/>
      <c r="N78" s="158"/>
      <c r="O78" s="158"/>
      <c r="P78" s="158"/>
      <c r="Q78" s="136" t="s">
        <v>39</v>
      </c>
      <c r="R78" s="146"/>
      <c r="S78" s="146"/>
      <c r="T78" s="165">
        <f ref="T78:T78" t="array">IFERROR(INDIRECT(ADDRESS(79,X82,,,"Inputs")), "")</f>
        <v>0</v>
      </c>
      <c r="U78" s="166"/>
      <c r="V78" s="167"/>
      <c r="AA78" s="0">
        <f>AA64</f>
        <v>0</v>
      </c>
    </row>
    <row r="79" ht="18" customHeight="1">
      <c r="A79" s="152" t="s">
        <v>40</v>
      </c>
      <c r="B79" s="153"/>
      <c r="C79" s="153"/>
      <c r="D79" s="158"/>
      <c r="E79" s="158"/>
      <c r="F79" s="158"/>
      <c r="G79" s="158"/>
      <c r="H79" s="158"/>
      <c r="I79" s="158"/>
      <c r="J79" s="158"/>
      <c r="K79" s="158"/>
      <c r="L79" s="158"/>
      <c r="M79" s="158"/>
      <c r="N79" s="158"/>
      <c r="O79" s="158"/>
      <c r="P79" s="158"/>
      <c r="Q79" s="136" t="s">
        <v>41</v>
      </c>
      <c r="R79" s="146"/>
      <c r="S79" s="146"/>
      <c r="T79" s="165">
        <f ref="T79:T79" t="array">IFERROR(INDIRECT(ADDRESS(80,X82,,,"Inputs")), "")</f>
        <v>0</v>
      </c>
      <c r="U79" s="166"/>
      <c r="V79" s="167"/>
      <c r="W79" s="0">
        <f ref="W79:W79" t="array">INDIRECT(ADDRESS(34,X82,,,"Inputs"))</f>
        <v>0</v>
      </c>
      <c r="X79" s="3"/>
      <c r="AA79" s="0">
        <f>AA64</f>
        <v>0</v>
      </c>
    </row>
    <row r="80" ht="18" customHeight="1">
      <c r="A80" s="117" t="s">
        <v>42</v>
      </c>
      <c r="B80" s="141" t="str">
        <f ref="B80:B80" t="array">IF(INDIRECT(ADDRESS(33,X82,,,"Inputs"))=0,"",INDIRECT(ADDRESS(33,X82,,,"Inputs")))</f>
      </c>
      <c r="C80" s="141"/>
      <c r="D80" s="158"/>
      <c r="E80" s="158"/>
      <c r="F80" s="158"/>
      <c r="G80" s="158"/>
      <c r="H80" s="158"/>
      <c r="I80" s="158"/>
      <c r="J80" s="158"/>
      <c r="K80" s="158"/>
      <c r="L80" s="158"/>
      <c r="M80" s="158"/>
      <c r="N80" s="158"/>
      <c r="O80" s="158"/>
      <c r="P80" s="158"/>
      <c r="Q80" s="136" t="s">
        <v>43</v>
      </c>
      <c r="R80" s="146"/>
      <c r="S80" s="146"/>
      <c r="T80" s="165">
        <f ref="T80:T80" t="array">IFERROR(INDIRECT(ADDRESS(81,X82,,,"Inputs")), "")</f>
        <v>0</v>
      </c>
      <c r="U80" s="166"/>
      <c r="V80" s="167"/>
      <c r="X80" s="3"/>
      <c r="AA80" s="0">
        <f>AA64</f>
        <v>0</v>
      </c>
    </row>
    <row r="81" ht="36" customHeight="1">
      <c r="A81" s="117" t="s">
        <v>44</v>
      </c>
      <c r="B81" s="156" t="str">
        <f ref="B81:B81" t="array">IF(INDIRECT(ADDRESS(47,X82,,,"Inputs"))=0,"",INDIRECT(ADDRESS(47,X82,,,"Inputs")))</f>
      </c>
      <c r="C81" s="156"/>
      <c r="D81" s="158"/>
      <c r="E81" s="158"/>
      <c r="F81" s="158"/>
      <c r="G81" s="158"/>
      <c r="H81" s="158"/>
      <c r="I81" s="158"/>
      <c r="J81" s="158"/>
      <c r="K81" s="158"/>
      <c r="L81" s="158"/>
      <c r="M81" s="158"/>
      <c r="N81" s="158"/>
      <c r="O81" s="158"/>
      <c r="P81" s="158"/>
      <c r="Q81" s="136" t="s">
        <v>45</v>
      </c>
      <c r="R81" s="146"/>
      <c r="S81" s="146"/>
      <c r="T81" s="136" t="str">
        <f ref="T81:T81" t="array">_xlfn.CONCAT(IFERROR(INDIRECT(ADDRESS(49,X82,,,"Inputs")), ""), " / ", IFERROR(INDIRECT(ADDRESS(48,X82,,,"Inputs")), ""))</f>
        <v> / </v>
      </c>
      <c r="U81" s="146"/>
      <c r="V81" s="161"/>
      <c r="X81" s="3"/>
      <c r="AA81" s="0">
        <f>AA64</f>
        <v>0</v>
      </c>
    </row>
    <row r="82" ht="102" customHeight="1">
      <c r="A82" s="122"/>
      <c r="B82" s="157"/>
      <c r="C82" s="157"/>
      <c r="D82" s="159"/>
      <c r="E82" s="159"/>
      <c r="F82" s="159"/>
      <c r="G82" s="159"/>
      <c r="H82" s="159"/>
      <c r="I82" s="159"/>
      <c r="J82" s="159"/>
      <c r="K82" s="159"/>
      <c r="L82" s="159"/>
      <c r="M82" s="159"/>
      <c r="N82" s="159"/>
      <c r="O82" s="159"/>
      <c r="P82" s="159"/>
      <c r="Q82" s="159"/>
      <c r="R82" s="173"/>
      <c r="S82" s="173"/>
      <c r="T82" s="174"/>
      <c r="U82" s="175"/>
      <c r="V82" s="176"/>
      <c r="W82" s="78" t="s">
        <v>46</v>
      </c>
      <c r="X82" s="78">
        <f>COLUMN(Inputs!AI5)</f>
        <v>35</v>
      </c>
      <c r="AA82" s="0">
        <f>AA64</f>
        <v>0</v>
      </c>
    </row>
    <row r="83" ht="18" customHeight="1">
      <c r="A83" s="58"/>
      <c r="B83" s="36"/>
      <c r="C83" s="36"/>
      <c r="D83" s="36"/>
      <c r="E83" s="36"/>
      <c r="F83" s="36"/>
      <c r="G83" s="36"/>
      <c r="H83" s="36"/>
      <c r="I83" s="36"/>
      <c r="J83" s="36"/>
      <c r="K83" s="36"/>
      <c r="L83" s="36"/>
      <c r="M83" s="36"/>
      <c r="N83" s="36"/>
      <c r="O83" s="36"/>
      <c r="P83" s="36"/>
      <c r="Q83" s="36"/>
      <c r="R83" s="36"/>
      <c r="S83" s="36"/>
      <c r="T83" s="36"/>
      <c r="U83" s="36"/>
      <c r="V83" s="36"/>
      <c r="AA83" s="0">
        <f>AA64</f>
        <v>0</v>
      </c>
    </row>
    <row r="84" ht="18" customHeight="1">
      <c r="A84" s="139" t="s">
        <v>4</v>
      </c>
      <c r="B84" s="140"/>
      <c r="C84" s="140"/>
      <c r="D84" s="140" t="str">
        <f ref="D84:D84" t="array">CONCATENATE(INDIRECT(ADDRESS(6,X102,,,"Inputs"))," ",INDIRECT(ADDRESS(8,X102,,,"Inputs"))," ",INDIRECT(ADDRESS(9,X102,,,"Inputs")))</f>
      </c>
      <c r="E84" s="140"/>
      <c r="F84" s="140"/>
      <c r="G84" s="140"/>
      <c r="H84" s="140"/>
      <c r="I84" s="140"/>
      <c r="J84" s="140"/>
      <c r="K84" s="140"/>
      <c r="L84" s="140"/>
      <c r="M84" s="140"/>
      <c r="N84" s="140"/>
      <c r="O84" s="140"/>
      <c r="P84" s="140"/>
      <c r="Q84" s="113"/>
      <c r="R84" s="113"/>
      <c r="S84" s="113"/>
      <c r="T84" s="113"/>
      <c r="U84" s="113"/>
      <c r="V84" s="114"/>
      <c r="AA84" s="0">
        <f>IF(LEN(TRIM(D84))=0,0,1)</f>
        <v>0</v>
      </c>
    </row>
    <row r="85" ht="18" customHeight="1">
      <c r="A85" s="134" t="str">
        <f ref="A85:A85" t="array">IF(INDIRECT(ADDRESS(50,X102,,,"Inputs"))=0,"",INDIRECT(ADDRESS(50,X102,,,"Inputs")))</f>
      </c>
      <c r="B85" s="135"/>
      <c r="C85" s="135"/>
      <c r="D85" s="136" t="str">
        <f ref="D85:D85" t="array">IF(INDIRECT(ADDRESS(10,X102,,,"Inputs"))=0,"",INDIRECT(ADDRESS(10,X102,,,"Inputs")))</f>
      </c>
      <c r="E85" s="136"/>
      <c r="F85" s="136"/>
      <c r="G85" s="136"/>
      <c r="H85" s="136"/>
      <c r="I85" s="136"/>
      <c r="J85" s="136"/>
      <c r="K85" s="136"/>
      <c r="L85" s="136"/>
      <c r="M85" s="136"/>
      <c r="N85" s="136"/>
      <c r="O85" s="136"/>
      <c r="P85" s="136"/>
      <c r="Q85" s="110"/>
      <c r="R85" s="110"/>
      <c r="S85" s="110"/>
      <c r="T85" s="110"/>
      <c r="U85" s="110"/>
      <c r="V85" s="115"/>
      <c r="AA85" s="0">
        <f>AA84</f>
        <v>0</v>
      </c>
    </row>
    <row r="86" ht="18" customHeight="1">
      <c r="A86" s="137" t="s">
        <v>5</v>
      </c>
      <c r="B86" s="136"/>
      <c r="C86" s="136"/>
      <c r="D86" s="136" t="str">
        <f ref="D86:D86" t="array">IF(INDIRECT(ADDRESS(14,X102,,,"Inputs"))=0,"",INDIRECT(ADDRESS(14,X102,,,"Inputs")))</f>
      </c>
      <c r="E86" s="136"/>
      <c r="F86" s="136"/>
      <c r="G86" s="136"/>
      <c r="H86" s="136"/>
      <c r="I86" s="136"/>
      <c r="J86" s="136"/>
      <c r="K86" s="136"/>
      <c r="L86" s="136"/>
      <c r="M86" s="136"/>
      <c r="N86" s="136"/>
      <c r="O86" s="136"/>
      <c r="P86" s="136"/>
      <c r="Q86" s="110"/>
      <c r="R86" s="110"/>
      <c r="S86" s="110"/>
      <c r="T86" s="110"/>
      <c r="U86" s="110"/>
      <c r="V86" s="115"/>
      <c r="AA86" s="0">
        <f>AA84</f>
        <v>0</v>
      </c>
    </row>
    <row r="87" ht="18" customHeight="1">
      <c r="A87" s="134" t="str">
        <f ref="A87:A87" t="array">IF(INDIRECT(ADDRESS(51,X102,,,"Inputs"))=0,"",INDIRECT(ADDRESS(51,X102,,,"Inputs")))</f>
      </c>
      <c r="B87" s="135"/>
      <c r="C87" s="135"/>
      <c r="D87" s="138" t="str">
        <f ref="D87:D87" t="array">INDIRECT(ADDRESS(82,X102,,,"Inputs"))</f>
      </c>
      <c r="E87" s="138"/>
      <c r="F87" s="138"/>
      <c r="G87" s="138"/>
      <c r="H87" s="138"/>
      <c r="I87" s="138"/>
      <c r="J87" s="138"/>
      <c r="K87" s="138"/>
      <c r="L87" s="138"/>
      <c r="M87" s="138"/>
      <c r="N87" s="138"/>
      <c r="O87" s="138"/>
      <c r="P87" s="138"/>
      <c r="Q87" s="112"/>
      <c r="R87" s="112"/>
      <c r="S87" s="112"/>
      <c r="T87" s="112"/>
      <c r="U87" s="112"/>
      <c r="V87" s="116"/>
      <c r="AA87" s="0">
        <f>AA84</f>
        <v>0</v>
      </c>
    </row>
    <row r="88" ht="18" customHeight="1">
      <c r="A88" s="168" t="s">
        <v>6</v>
      </c>
      <c r="B88" s="146"/>
      <c r="C88" s="151"/>
      <c r="D88" s="169" t="s">
        <v>7</v>
      </c>
      <c r="E88" s="146"/>
      <c r="F88" s="146"/>
      <c r="G88" s="146"/>
      <c r="H88" s="146"/>
      <c r="I88" s="146"/>
      <c r="J88" s="146"/>
      <c r="K88" s="146"/>
      <c r="L88" s="146"/>
      <c r="M88" s="146"/>
      <c r="N88" s="146"/>
      <c r="O88" s="146"/>
      <c r="P88" s="151"/>
      <c r="Q88" s="170" t="s">
        <v>8</v>
      </c>
      <c r="R88" s="146"/>
      <c r="S88" s="146"/>
      <c r="T88" s="146"/>
      <c r="U88" s="146"/>
      <c r="V88" s="161"/>
      <c r="AA88" s="0">
        <f>AA84</f>
        <v>0</v>
      </c>
    </row>
    <row r="89" ht="18" customHeight="1">
      <c r="A89" s="117" t="s">
        <v>9</v>
      </c>
      <c r="B89" s="162" t="str">
        <f ref="B89:B89" t="array">IF(INDIRECT(ADDRESS(15,X102,,,"Inputs"))=0,"",INDIRECT(ADDRESS(15,X102,,,"Inputs")))</f>
      </c>
      <c r="C89" s="162"/>
      <c r="D89" s="109" t="s">
        <v>10</v>
      </c>
      <c r="E89" s="136" t="s">
        <v>11</v>
      </c>
      <c r="F89" s="146"/>
      <c r="G89" s="146"/>
      <c r="H89" s="109" t="s">
        <v>12</v>
      </c>
      <c r="I89" s="109" t="s">
        <v>13</v>
      </c>
      <c r="J89" s="136" t="s">
        <v>14</v>
      </c>
      <c r="K89" s="146"/>
      <c r="L89" s="136" t="s">
        <v>15</v>
      </c>
      <c r="M89" s="146"/>
      <c r="N89" s="146"/>
      <c r="O89" s="136" t="s">
        <v>16</v>
      </c>
      <c r="P89" s="146"/>
      <c r="Q89" s="136" t="s">
        <v>17</v>
      </c>
      <c r="R89" s="146"/>
      <c r="S89" s="146"/>
      <c r="T89" s="146"/>
      <c r="U89" s="146"/>
      <c r="V89" s="161"/>
      <c r="AA89" s="0">
        <f>AA84</f>
        <v>0</v>
      </c>
    </row>
    <row r="90" ht="18" customHeight="1">
      <c r="A90" s="117" t="s">
        <v>18</v>
      </c>
      <c r="B90" s="162" t="str">
        <f ref="B90:B90" t="array">IF(INDIRECT(ADDRESS(16,X102,,,"Inputs"))=0,"",INDIRECT(ADDRESS(16,X102,,,"Inputs")))</f>
      </c>
      <c r="C90" s="162"/>
      <c r="D90" s="109" t="s">
        <v>19</v>
      </c>
      <c r="E90" s="142" t="str">
        <f ref="E90:E90" t="array">IF(ISBLANK(INDIRECT(ADDRESS(35,X102,,,"Inputs"))),"",INDIRECT(ADDRESS(35,X102,,,"Inputs")))</f>
      </c>
      <c r="F90" s="143"/>
      <c r="G90" s="143"/>
      <c r="H90" s="118" t="str">
        <f ref="H90:H90" t="array">IF(ISBLANK(INDIRECT(ADDRESS(35,X102,,,"Inputs"))),"",INDIRECT(ADDRESS(35,X102,,,"Inputs")))</f>
      </c>
      <c r="I90" s="119">
        <f ref="I90:I90" t="array">IFERROR(INDIRECT(ADDRESS(65,X102,,,"Inputs")), "")</f>
        <v>0</v>
      </c>
      <c r="J90" s="144" t="str">
        <f ref="J90:J90" t="array">IFERROR(INDIRECT(ADDRESS(66,X102,,,"Inputs")), "")</f>
      </c>
      <c r="K90" s="145"/>
      <c r="L90" s="136" t="s">
        <v>20</v>
      </c>
      <c r="M90" s="146"/>
      <c r="N90" s="146"/>
      <c r="O90" s="138" t="str">
        <f ref="O90:O90" t="array">IF(ISBLANK(INDIRECT(ADDRESS(36,X102,,,"Inputs"))), "-", IFERROR(I90/J90, ""))</f>
        <v>-</v>
      </c>
      <c r="P90" s="147"/>
      <c r="Q90" s="144" t="str">
        <f ref="Q90:Q90" t="array">IF(INDIRECT(ADDRESS(25,X102,,,"Inputs"))=0,"0",INDIRECT(ADDRESS(25,X102,,,"Inputs")))</f>
        <v>0</v>
      </c>
      <c r="R90" s="145"/>
      <c r="S90" s="145"/>
      <c r="T90" s="145"/>
      <c r="U90" s="145"/>
      <c r="V90" s="172"/>
      <c r="AA90" s="0">
        <f>AA84</f>
        <v>0</v>
      </c>
    </row>
    <row r="91" ht="36" customHeight="1">
      <c r="A91" s="117" t="s">
        <v>21</v>
      </c>
      <c r="B91" s="136" t="str">
        <f ref="B91:B91" t="array">IF(INDIRECT(ADDRESS(11,X102,,,"Inputs"))=0,"",INDIRECT(ADDRESS(11,X102,,,"Inputs")))</f>
      </c>
      <c r="C91" s="136"/>
      <c r="D91" s="109" t="s">
        <v>22</v>
      </c>
      <c r="E91" s="142" t="str">
        <f ref="E91:E91" t="array">IF(ISBLANK(INDIRECT(ADDRESS(39,X102,,,"Inputs"))),"",INDIRECT(ADDRESS(39,X102,,,"Inputs")))</f>
      </c>
      <c r="F91" s="143"/>
      <c r="G91" s="143"/>
      <c r="H91" s="118" t="str">
        <f ref="H91:H91" t="array">IF(ISBLANK(INDIRECT(ADDRESS(39,X102,,,"Inputs"))),"",INDIRECT(ADDRESS(39,X102,,,"Inputs")))</f>
      </c>
      <c r="I91" s="120" t="str">
        <f ref="I91:I91" t="array">IFERROR(INDIRECT(ADDRESS(67,X102,,,"Inputs")), "")</f>
      </c>
      <c r="J91" s="155" t="str">
        <f ref="J91:J91" t="array">IFERROR(INDIRECT(ADDRESS(68,X102,,,"Inputs")), "")</f>
      </c>
      <c r="K91" s="146"/>
      <c r="L91" s="136"/>
      <c r="M91" s="146"/>
      <c r="N91" s="146"/>
      <c r="O91" s="138" t="str">
        <f>IFERROR(J91/I91, "")</f>
      </c>
      <c r="P91" s="147"/>
      <c r="Q91" s="136" t="s">
        <v>23</v>
      </c>
      <c r="R91" s="146"/>
      <c r="S91" s="146"/>
      <c r="T91" s="146"/>
      <c r="U91" s="146"/>
      <c r="V91" s="161"/>
      <c r="AA91" s="0">
        <f>AA84</f>
        <v>0</v>
      </c>
    </row>
    <row r="92" ht="18" customHeight="1">
      <c r="A92" s="117" t="s">
        <v>24</v>
      </c>
      <c r="B92" s="141" t="str">
        <f ref="B92:B92" t="array">IF(INDIRECT(ADDRESS(75,X102,,,"Inputs"))=0,"",INDIRECT(ADDRESS(75,X102,,,"Inputs")))</f>
      </c>
      <c r="C92" s="141"/>
      <c r="D92" s="109" t="s">
        <v>25</v>
      </c>
      <c r="E92" s="142" t="str">
        <f ref="E92:E92" t="array">IF(ISBLANK(INDIRECT(ADDRESS(41,X102,,,"Inputs"))),"",INDIRECT(ADDRESS(41,X102,,,"Inputs")))</f>
      </c>
      <c r="F92" s="143"/>
      <c r="G92" s="143"/>
      <c r="H92" s="118" t="str">
        <f ref="H92:H92" t="array">IF(ISBLANK(INDIRECT(ADDRESS(41,X102,,,"Inputs"))),"",INDIRECT(ADDRESS(41,X102,,,"Inputs")))</f>
      </c>
      <c r="I92" s="119" t="str">
        <f ref="I92:I92" t="array">IFERROR(INDIRECT(ADDRESS(71,X102,,,"Inputs")), "")</f>
      </c>
      <c r="J92" s="144" t="str">
        <f ref="J92:J92" t="array">IFERROR(INDIRECT(ADDRESS(72,X102,,,"Inputs")), "")</f>
      </c>
      <c r="K92" s="145"/>
      <c r="L92" s="136" t="s">
        <v>20</v>
      </c>
      <c r="M92" s="146"/>
      <c r="N92" s="146"/>
      <c r="O92" s="138" t="str">
        <f ref="O92:O92" t="array">IF(ISBLANK(INDIRECT(ADDRESS(42,X102,,,"Inputs"))), "-", IFERROR(I92 / J92, ""))</f>
        <v>-</v>
      </c>
      <c r="P92" s="147"/>
      <c r="Q92" s="144" t="str">
        <f ref="Q92:Q92" t="array">IF(INDIRECT(ADDRESS(24,X102,,,"Inputs"))=0,"0",INDIRECT(ADDRESS(24,X102,,,"Inputs")))</f>
        <v>0</v>
      </c>
      <c r="R92" s="145"/>
      <c r="S92" s="145"/>
      <c r="T92" s="145"/>
      <c r="U92" s="145"/>
      <c r="V92" s="172"/>
      <c r="AA92" s="0">
        <f>AA84</f>
        <v>0</v>
      </c>
    </row>
    <row r="93" ht="36" customHeight="1">
      <c r="A93" s="117" t="s">
        <v>26</v>
      </c>
      <c r="B93" s="136" t="str">
        <f ref="B93:B93" t="array">IF(INDIRECT(ADDRESS(17,X102,,,"Inputs"))=0,"",INDIRECT(ADDRESS(17,X102,,,"Inputs")))</f>
      </c>
      <c r="C93" s="136"/>
      <c r="D93" s="111" t="s">
        <v>27</v>
      </c>
      <c r="E93" s="142" t="str">
        <f ref="E93:E93" t="array">IF(ISBLANK(INDIRECT(ADDRESS(43,X102,,,"Inputs"))),"",INDIRECT(ADDRESS(43,X102,,,"Inputs")))</f>
      </c>
      <c r="F93" s="143"/>
      <c r="G93" s="143"/>
      <c r="H93" s="118" t="str">
        <f ref="H93:H93" t="array">IF(ISBLANK(INDIRECT(ADDRESS(43,X102,,,"Inputs"))),"",INDIRECT(ADDRESS(43,X102,,,"Inputs")))</f>
      </c>
      <c r="I93" s="121" t="str">
        <f ref="I93:I93" t="array">IFERROR(INDIRECT(ADDRESS(73,X102,,,"Inputs")), "")</f>
      </c>
      <c r="J93" s="144" t="str">
        <f ref="J93:J93" t="array">IFERROR(INDIRECT(ADDRESS(74,X102,,,"Inputs")), "")</f>
      </c>
      <c r="K93" s="145"/>
      <c r="L93" s="136" t="s">
        <v>20</v>
      </c>
      <c r="M93" s="146"/>
      <c r="N93" s="146"/>
      <c r="O93" s="138" t="str">
        <f ref="O93:O93" t="array">IF(ISBLANK(INDIRECT(ADDRESS(44,X102,,,"Inputs"))), "-", IFERROR(I93 / J93, ""))</f>
        <v>-</v>
      </c>
      <c r="P93" s="147"/>
      <c r="Q93" s="177" t="s">
        <v>28</v>
      </c>
      <c r="R93" s="146"/>
      <c r="S93" s="146"/>
      <c r="T93" s="146"/>
      <c r="U93" s="146"/>
      <c r="V93" s="161"/>
      <c r="AA93" s="0">
        <f>AA84</f>
        <v>0</v>
      </c>
    </row>
    <row r="94" ht="18" customHeight="1">
      <c r="A94" s="117" t="s">
        <v>29</v>
      </c>
      <c r="B94" s="141" t="str">
        <f ref="B94:B94" t="array">IF(INDIRECT(ADDRESS(31,X102,,,"Inputs"))=0,"",INDIRECT(ADDRESS(31,X102,,,"Inputs")))</f>
      </c>
      <c r="C94" s="178"/>
      <c r="D94" s="179" t="s">
        <v>30</v>
      </c>
      <c r="E94" s="180"/>
      <c r="F94" s="180"/>
      <c r="G94" s="180"/>
      <c r="H94" s="180"/>
      <c r="I94" s="180"/>
      <c r="J94" s="180"/>
      <c r="K94" s="180"/>
      <c r="L94" s="180"/>
      <c r="M94" s="180"/>
      <c r="N94" s="180"/>
      <c r="O94" s="180"/>
      <c r="P94" s="181"/>
      <c r="Q94" s="136" t="s">
        <v>31</v>
      </c>
      <c r="R94" s="146"/>
      <c r="S94" s="146"/>
      <c r="T94" s="165">
        <f ref="T94:T94" t="array">IFERROR(INDIRECT(ADDRESS(77,X102,,,"Inputs")), "")</f>
        <v>0</v>
      </c>
      <c r="U94" s="166"/>
      <c r="V94" s="167"/>
      <c r="AA94" s="0">
        <f>AA84</f>
        <v>0</v>
      </c>
    </row>
    <row r="95" ht="18" customHeight="1">
      <c r="A95" s="117" t="s">
        <v>32</v>
      </c>
      <c r="B95" s="148" t="str">
        <f ref="B95:B95" t="array">IF(INDIRECT(ADDRESS(83,X102,,,"Inputs"))=0,"",INDIRECT(ADDRESS(83,X102,,,"Inputs")))</f>
      </c>
      <c r="C95" s="149"/>
      <c r="D95" s="158">
        <f ref="D95:D95" t="array">INDIRECT(ADDRESS(26,X102,,,"Inputs"))</f>
        <v>0</v>
      </c>
      <c r="E95" s="158"/>
      <c r="F95" s="158"/>
      <c r="G95" s="158"/>
      <c r="H95" s="158"/>
      <c r="I95" s="158"/>
      <c r="J95" s="158"/>
      <c r="K95" s="158"/>
      <c r="L95" s="158"/>
      <c r="M95" s="158"/>
      <c r="N95" s="158"/>
      <c r="O95" s="158"/>
      <c r="P95" s="158"/>
      <c r="Q95" s="136" t="s">
        <v>33</v>
      </c>
      <c r="R95" s="146"/>
      <c r="S95" s="146"/>
      <c r="T95" s="165">
        <f ref="T95:T95" t="array">IFERROR(INDIRECT(ADDRESS(86,X102,,,"Inputs")), "")</f>
        <v>0</v>
      </c>
      <c r="U95" s="166"/>
      <c r="V95" s="167"/>
      <c r="AA95" s="0">
        <f>AA84</f>
        <v>0</v>
      </c>
    </row>
    <row r="96" ht="18" customHeight="1">
      <c r="A96" s="150" t="s">
        <v>34</v>
      </c>
      <c r="B96" s="146"/>
      <c r="C96" s="151"/>
      <c r="D96" s="158"/>
      <c r="E96" s="158"/>
      <c r="F96" s="158"/>
      <c r="G96" s="158"/>
      <c r="H96" s="158"/>
      <c r="I96" s="158"/>
      <c r="J96" s="158"/>
      <c r="K96" s="158"/>
      <c r="L96" s="158"/>
      <c r="M96" s="158"/>
      <c r="N96" s="158"/>
      <c r="O96" s="158"/>
      <c r="P96" s="158"/>
      <c r="Q96" s="136" t="s">
        <v>35</v>
      </c>
      <c r="R96" s="146"/>
      <c r="S96" s="146"/>
      <c r="T96" s="165">
        <f ref="T96:T96" t="array">IFERROR(INDIRECT(ADDRESS(78,X102,,,"Inputs")), "")</f>
        <v>0</v>
      </c>
      <c r="U96" s="166"/>
      <c r="V96" s="167"/>
      <c r="AA96" s="0">
        <f>AA84</f>
        <v>0</v>
      </c>
    </row>
    <row r="97" ht="18" customHeight="1">
      <c r="A97" s="117" t="s">
        <v>36</v>
      </c>
      <c r="B97" s="141" t="str">
        <f ref="B97:B97" t="array">IF(INDIRECT(ADDRESS(30,X102,,,"Inputs"))=0,"",INDIRECT(ADDRESS(30,X102,,,"Inputs")))</f>
      </c>
      <c r="C97" s="141"/>
      <c r="D97" s="158"/>
      <c r="E97" s="158"/>
      <c r="F97" s="158"/>
      <c r="G97" s="158"/>
      <c r="H97" s="158"/>
      <c r="I97" s="158"/>
      <c r="J97" s="158"/>
      <c r="K97" s="158"/>
      <c r="L97" s="158"/>
      <c r="M97" s="158"/>
      <c r="N97" s="158"/>
      <c r="O97" s="158"/>
      <c r="P97" s="158"/>
      <c r="Q97" s="136" t="s">
        <v>37</v>
      </c>
      <c r="R97" s="146"/>
      <c r="S97" s="146"/>
      <c r="T97" s="165">
        <f ref="T97:T97" t="array">IFERROR(INDIRECT(ADDRESS(45,X102,,,"Inputs")), "")</f>
        <v>0</v>
      </c>
      <c r="U97" s="166"/>
      <c r="V97" s="167"/>
      <c r="AA97" s="0">
        <f>AA84</f>
        <v>0</v>
      </c>
    </row>
    <row r="98" ht="18" customHeight="1">
      <c r="A98" s="117" t="s">
        <v>38</v>
      </c>
      <c r="B98" s="136" t="str">
        <f ref="B98:B98" t="array">IF(INDIRECT(ADDRESS(32,X102,,,"Inputs"))=0,"",INDIRECT(ADDRESS(32,X102,,,"Inputs")))</f>
      </c>
      <c r="C98" s="136"/>
      <c r="D98" s="158"/>
      <c r="E98" s="158"/>
      <c r="F98" s="158"/>
      <c r="G98" s="158"/>
      <c r="H98" s="158"/>
      <c r="I98" s="158"/>
      <c r="J98" s="158"/>
      <c r="K98" s="158"/>
      <c r="L98" s="158"/>
      <c r="M98" s="158"/>
      <c r="N98" s="158"/>
      <c r="O98" s="158"/>
      <c r="P98" s="158"/>
      <c r="Q98" s="136" t="s">
        <v>39</v>
      </c>
      <c r="R98" s="146"/>
      <c r="S98" s="146"/>
      <c r="T98" s="165">
        <f ref="T98:T98" t="array">IFERROR(INDIRECT(ADDRESS(79,X102,,,"Inputs")), "")</f>
        <v>0</v>
      </c>
      <c r="U98" s="166"/>
      <c r="V98" s="167"/>
      <c r="AA98" s="0">
        <f>AA84</f>
        <v>0</v>
      </c>
    </row>
    <row r="99" ht="18" customHeight="1">
      <c r="A99" s="152" t="s">
        <v>40</v>
      </c>
      <c r="B99" s="153"/>
      <c r="C99" s="154"/>
      <c r="D99" s="158"/>
      <c r="E99" s="158"/>
      <c r="F99" s="158"/>
      <c r="G99" s="158"/>
      <c r="H99" s="158"/>
      <c r="I99" s="158"/>
      <c r="J99" s="158"/>
      <c r="K99" s="158"/>
      <c r="L99" s="158"/>
      <c r="M99" s="158"/>
      <c r="N99" s="158"/>
      <c r="O99" s="158"/>
      <c r="P99" s="158"/>
      <c r="Q99" s="136" t="s">
        <v>41</v>
      </c>
      <c r="R99" s="146"/>
      <c r="S99" s="146"/>
      <c r="T99" s="165">
        <f ref="T99:T99" t="array">IFERROR(INDIRECT(ADDRESS(80,X102,,,"Inputs")), "")</f>
        <v>0</v>
      </c>
      <c r="U99" s="166"/>
      <c r="V99" s="167"/>
      <c r="W99" s="0">
        <f ref="W99:W99" t="array">INDIRECT(ADDRESS(34,X102,,,"Inputs"))</f>
        <v>0</v>
      </c>
      <c r="X99" s="3"/>
      <c r="AA99" s="0">
        <f>AA84</f>
        <v>0</v>
      </c>
    </row>
    <row r="100" ht="18" customHeight="1">
      <c r="A100" s="117" t="s">
        <v>42</v>
      </c>
      <c r="B100" s="141" t="str">
        <f ref="B100:B100" t="array">IF(INDIRECT(ADDRESS(33,X102,,,"Inputs"))=0,"",INDIRECT(ADDRESS(33,X102,,,"Inputs")))</f>
      </c>
      <c r="C100" s="141"/>
      <c r="D100" s="158"/>
      <c r="E100" s="158"/>
      <c r="F100" s="158"/>
      <c r="G100" s="158"/>
      <c r="H100" s="158"/>
      <c r="I100" s="158"/>
      <c r="J100" s="158"/>
      <c r="K100" s="158"/>
      <c r="L100" s="158"/>
      <c r="M100" s="158"/>
      <c r="N100" s="158"/>
      <c r="O100" s="158"/>
      <c r="P100" s="158"/>
      <c r="Q100" s="136" t="s">
        <v>43</v>
      </c>
      <c r="R100" s="146"/>
      <c r="S100" s="146"/>
      <c r="T100" s="165">
        <f ref="T100:T100" t="array">IFERROR(INDIRECT(ADDRESS(81,X102,,,"Inputs")), "")</f>
        <v>0</v>
      </c>
      <c r="U100" s="166"/>
      <c r="V100" s="167"/>
      <c r="X100" s="3"/>
      <c r="AA100" s="0">
        <f>AA84</f>
        <v>0</v>
      </c>
    </row>
    <row r="101" ht="36" customHeight="1">
      <c r="A101" s="117" t="s">
        <v>44</v>
      </c>
      <c r="B101" s="156" t="str">
        <f ref="B101:B101" t="array">IF(INDIRECT(ADDRESS(47,X102,,,"Inputs"))=0,"",INDIRECT(ADDRESS(47,X102,,,"Inputs")))</f>
      </c>
      <c r="C101" s="156"/>
      <c r="D101" s="158"/>
      <c r="E101" s="158"/>
      <c r="F101" s="158"/>
      <c r="G101" s="158"/>
      <c r="H101" s="158"/>
      <c r="I101" s="158"/>
      <c r="J101" s="158"/>
      <c r="K101" s="158"/>
      <c r="L101" s="158"/>
      <c r="M101" s="158"/>
      <c r="N101" s="158"/>
      <c r="O101" s="158"/>
      <c r="P101" s="158"/>
      <c r="Q101" s="136" t="s">
        <v>45</v>
      </c>
      <c r="R101" s="146"/>
      <c r="S101" s="146"/>
      <c r="T101" s="136" t="str">
        <f ref="T101:T101" t="array">_xlfn.CONCAT(IFERROR(INDIRECT(ADDRESS(49,X102,,,"Inputs")), ""), " / ", IFERROR(INDIRECT(ADDRESS(48,X102,,,"Inputs")), ""))</f>
        <v> / </v>
      </c>
      <c r="U101" s="146"/>
      <c r="V101" s="161"/>
      <c r="X101" s="3"/>
      <c r="AA101" s="0">
        <f>AA84</f>
        <v>0</v>
      </c>
    </row>
    <row r="102" ht="102" customHeight="1">
      <c r="A102" s="122"/>
      <c r="B102" s="157"/>
      <c r="C102" s="157"/>
      <c r="D102" s="159"/>
      <c r="E102" s="159"/>
      <c r="F102" s="159"/>
      <c r="G102" s="159"/>
      <c r="H102" s="159"/>
      <c r="I102" s="159"/>
      <c r="J102" s="159"/>
      <c r="K102" s="159"/>
      <c r="L102" s="159"/>
      <c r="M102" s="159"/>
      <c r="N102" s="159"/>
      <c r="O102" s="159"/>
      <c r="P102" s="159"/>
      <c r="Q102" s="159"/>
      <c r="R102" s="173"/>
      <c r="S102" s="173"/>
      <c r="T102" s="174"/>
      <c r="U102" s="175"/>
      <c r="V102" s="176"/>
      <c r="W102" s="78" t="s">
        <v>46</v>
      </c>
      <c r="X102" s="78">
        <f>COLUMN(Inputs!AT5)</f>
        <v>46</v>
      </c>
      <c r="AA102" s="0">
        <f>AA84</f>
        <v>0</v>
      </c>
    </row>
    <row r="103" ht="18" customHeight="1">
      <c r="A103" s="58"/>
      <c r="B103" s="36"/>
      <c r="C103" s="36"/>
      <c r="D103" s="36"/>
      <c r="E103" s="36"/>
      <c r="F103" s="36"/>
      <c r="G103" s="36"/>
      <c r="H103" s="36"/>
      <c r="I103" s="36"/>
      <c r="J103" s="36"/>
      <c r="K103" s="36"/>
      <c r="L103" s="36"/>
      <c r="M103" s="36"/>
      <c r="N103" s="36"/>
      <c r="O103" s="36"/>
      <c r="P103" s="36"/>
      <c r="Q103" s="36"/>
      <c r="R103" s="36"/>
      <c r="S103" s="36"/>
      <c r="T103" s="36"/>
      <c r="U103" s="36"/>
      <c r="V103" s="36"/>
      <c r="AA103" s="0">
        <f>AA84</f>
        <v>0</v>
      </c>
    </row>
    <row r="104" ht="18" customHeight="1">
      <c r="A104" s="139" t="s">
        <v>4</v>
      </c>
      <c r="B104" s="140"/>
      <c r="C104" s="140"/>
      <c r="D104" s="140" t="str">
        <f ref="D104:D104" t="array">CONCATENATE(INDIRECT(ADDRESS(6,X122,,,"Inputs"))," ",INDIRECT(ADDRESS(8,X122,,,"Inputs"))," ",INDIRECT(ADDRESS(9,X122,,,"Inputs")))</f>
      </c>
      <c r="E104" s="140"/>
      <c r="F104" s="140"/>
      <c r="G104" s="140"/>
      <c r="H104" s="140"/>
      <c r="I104" s="140"/>
      <c r="J104" s="140"/>
      <c r="K104" s="140"/>
      <c r="L104" s="140"/>
      <c r="M104" s="140"/>
      <c r="N104" s="140"/>
      <c r="O104" s="140"/>
      <c r="P104" s="140"/>
      <c r="Q104" s="113"/>
      <c r="R104" s="113"/>
      <c r="S104" s="113"/>
      <c r="T104" s="113"/>
      <c r="U104" s="113"/>
      <c r="V104" s="114"/>
      <c r="AA104" s="0">
        <f>IF(LEN(TRIM(D104))=0,0,1)</f>
        <v>0</v>
      </c>
    </row>
    <row r="105" ht="18" customHeight="1">
      <c r="A105" s="134" t="str">
        <f ref="A105:A105" t="array">IF(INDIRECT(ADDRESS(50,X122,,,"Inputs"))=0,"",INDIRECT(ADDRESS(50,X122,,,"Inputs")))</f>
      </c>
      <c r="B105" s="135"/>
      <c r="C105" s="135"/>
      <c r="D105" s="136" t="str">
        <f ref="D105:D105" t="array">IF(INDIRECT(ADDRESS(10,X122,,,"Inputs"))=0,"",INDIRECT(ADDRESS(10,X122,,,"Inputs")))</f>
      </c>
      <c r="E105" s="136"/>
      <c r="F105" s="136"/>
      <c r="G105" s="136"/>
      <c r="H105" s="136"/>
      <c r="I105" s="136"/>
      <c r="J105" s="136"/>
      <c r="K105" s="136"/>
      <c r="L105" s="136"/>
      <c r="M105" s="136"/>
      <c r="N105" s="136"/>
      <c r="O105" s="136"/>
      <c r="P105" s="136"/>
      <c r="Q105" s="110"/>
      <c r="R105" s="110"/>
      <c r="S105" s="110"/>
      <c r="T105" s="110"/>
      <c r="U105" s="110"/>
      <c r="V105" s="115"/>
      <c r="AA105" s="0">
        <f>AA104</f>
        <v>0</v>
      </c>
    </row>
    <row r="106" ht="18" customHeight="1">
      <c r="A106" s="137" t="s">
        <v>5</v>
      </c>
      <c r="B106" s="136"/>
      <c r="C106" s="136"/>
      <c r="D106" s="136" t="str">
        <f ref="D106:D106" t="array">IF(INDIRECT(ADDRESS(14,X122,,,"Inputs"))=0,"",INDIRECT(ADDRESS(14,X122,,,"Inputs")))</f>
      </c>
      <c r="E106" s="136"/>
      <c r="F106" s="136"/>
      <c r="G106" s="136"/>
      <c r="H106" s="136"/>
      <c r="I106" s="136"/>
      <c r="J106" s="136"/>
      <c r="K106" s="136"/>
      <c r="L106" s="136"/>
      <c r="M106" s="136"/>
      <c r="N106" s="136"/>
      <c r="O106" s="136"/>
      <c r="P106" s="136"/>
      <c r="Q106" s="110"/>
      <c r="R106" s="110"/>
      <c r="S106" s="110"/>
      <c r="T106" s="110"/>
      <c r="U106" s="110"/>
      <c r="V106" s="115"/>
      <c r="AA106" s="0">
        <f>AA104</f>
        <v>0</v>
      </c>
    </row>
    <row r="107" ht="18" customHeight="1">
      <c r="A107" s="134" t="str">
        <f ref="A107:A107" t="array">IF(INDIRECT(ADDRESS(51,X122,,,"Inputs"))=0,"",INDIRECT(ADDRESS(51,X122,,,"Inputs")))</f>
      </c>
      <c r="B107" s="135"/>
      <c r="C107" s="135"/>
      <c r="D107" s="138" t="str">
        <f ref="D107:D107" t="array">INDIRECT(ADDRESS(82,X122,,,"Inputs"))</f>
      </c>
      <c r="E107" s="138"/>
      <c r="F107" s="138"/>
      <c r="G107" s="138"/>
      <c r="H107" s="138"/>
      <c r="I107" s="138"/>
      <c r="J107" s="138"/>
      <c r="K107" s="138"/>
      <c r="L107" s="138"/>
      <c r="M107" s="138"/>
      <c r="N107" s="138"/>
      <c r="O107" s="138"/>
      <c r="P107" s="138"/>
      <c r="Q107" s="112"/>
      <c r="R107" s="112"/>
      <c r="S107" s="112"/>
      <c r="T107" s="112"/>
      <c r="U107" s="112"/>
      <c r="V107" s="116"/>
      <c r="AA107" s="0">
        <f>AA104</f>
        <v>0</v>
      </c>
    </row>
    <row r="108" ht="18" customHeight="1">
      <c r="A108" s="168" t="s">
        <v>6</v>
      </c>
      <c r="B108" s="146"/>
      <c r="C108" s="151"/>
      <c r="D108" s="169" t="s">
        <v>7</v>
      </c>
      <c r="E108" s="146"/>
      <c r="F108" s="146"/>
      <c r="G108" s="146"/>
      <c r="H108" s="146"/>
      <c r="I108" s="146"/>
      <c r="J108" s="146"/>
      <c r="K108" s="146"/>
      <c r="L108" s="146"/>
      <c r="M108" s="146"/>
      <c r="N108" s="146"/>
      <c r="O108" s="146"/>
      <c r="P108" s="151"/>
      <c r="Q108" s="170" t="s">
        <v>8</v>
      </c>
      <c r="R108" s="146"/>
      <c r="S108" s="146"/>
      <c r="T108" s="146"/>
      <c r="U108" s="146"/>
      <c r="V108" s="161"/>
      <c r="AA108" s="0">
        <f>AA104</f>
        <v>0</v>
      </c>
    </row>
    <row r="109" ht="18" customHeight="1">
      <c r="A109" s="117" t="s">
        <v>9</v>
      </c>
      <c r="B109" s="162" t="str">
        <f ref="B109:B109" t="array">IF(INDIRECT(ADDRESS(15,X122,,,"Inputs"))=0,"",INDIRECT(ADDRESS(15,X122,,,"Inputs")))</f>
      </c>
      <c r="C109" s="162"/>
      <c r="D109" s="109" t="s">
        <v>10</v>
      </c>
      <c r="E109" s="136" t="s">
        <v>11</v>
      </c>
      <c r="F109" s="146"/>
      <c r="G109" s="146"/>
      <c r="H109" s="109" t="s">
        <v>12</v>
      </c>
      <c r="I109" s="109" t="s">
        <v>13</v>
      </c>
      <c r="J109" s="136" t="s">
        <v>14</v>
      </c>
      <c r="K109" s="146"/>
      <c r="L109" s="136" t="s">
        <v>15</v>
      </c>
      <c r="M109" s="146"/>
      <c r="N109" s="146"/>
      <c r="O109" s="136" t="s">
        <v>16</v>
      </c>
      <c r="P109" s="146"/>
      <c r="Q109" s="136" t="s">
        <v>17</v>
      </c>
      <c r="R109" s="146"/>
      <c r="S109" s="146"/>
      <c r="T109" s="146"/>
      <c r="U109" s="146"/>
      <c r="V109" s="161"/>
      <c r="AA109" s="0">
        <f>AA104</f>
        <v>0</v>
      </c>
    </row>
    <row r="110" ht="18" customHeight="1">
      <c r="A110" s="117" t="s">
        <v>18</v>
      </c>
      <c r="B110" s="162" t="str">
        <f ref="B110:B110" t="array">IF(INDIRECT(ADDRESS(16,X122,,,"Inputs"))=0,"",INDIRECT(ADDRESS(16,X122,,,"Inputs")))</f>
      </c>
      <c r="C110" s="162"/>
      <c r="D110" s="109" t="s">
        <v>19</v>
      </c>
      <c r="E110" s="142" t="str">
        <f ref="E110:E110" t="array">IF(ISBLANK(INDIRECT(ADDRESS(35,X122,,,"Inputs"))),"",INDIRECT(ADDRESS(35,X122,,,"Inputs")))</f>
      </c>
      <c r="F110" s="143"/>
      <c r="G110" s="143"/>
      <c r="H110" s="118" t="str">
        <f ref="H110:H110" t="array">IF(ISBLANK(INDIRECT(ADDRESS(35,X122,,,"Inputs"))),"",INDIRECT(ADDRESS(35,X122,,,"Inputs")))</f>
      </c>
      <c r="I110" s="119">
        <f ref="I110:I110" t="array">IFERROR(INDIRECT(ADDRESS(65,X122,,,"Inputs")), "")</f>
        <v>0</v>
      </c>
      <c r="J110" s="144" t="str">
        <f ref="J110:J110" t="array">IFERROR(INDIRECT(ADDRESS(66,X122,,,"Inputs")), "")</f>
      </c>
      <c r="K110" s="145"/>
      <c r="L110" s="136" t="s">
        <v>20</v>
      </c>
      <c r="M110" s="146"/>
      <c r="N110" s="146"/>
      <c r="O110" s="138" t="str">
        <f ref="O110:O110" t="array">IF(ISBLANK(INDIRECT(ADDRESS(36,X122,,,"Inputs"))), "-", IFERROR(I110/J110, ""))</f>
        <v>-</v>
      </c>
      <c r="P110" s="147"/>
      <c r="Q110" s="144" t="str">
        <f ref="Q110:Q110" t="array">IF(INDIRECT(ADDRESS(25,X122,,,"Inputs"))=0,"0",INDIRECT(ADDRESS(25,X122,,,"Inputs")))</f>
        <v>0</v>
      </c>
      <c r="R110" s="145"/>
      <c r="S110" s="145"/>
      <c r="T110" s="145"/>
      <c r="U110" s="145"/>
      <c r="V110" s="172"/>
      <c r="AA110" s="0">
        <f>AA104</f>
        <v>0</v>
      </c>
    </row>
    <row r="111" ht="36" customHeight="1">
      <c r="A111" s="117" t="s">
        <v>21</v>
      </c>
      <c r="B111" s="136" t="str">
        <f ref="B111:B111" t="array">IF(INDIRECT(ADDRESS(11,X122,,,"Inputs"))=0,"",INDIRECT(ADDRESS(11,X122,,,"Inputs")))</f>
      </c>
      <c r="C111" s="136"/>
      <c r="D111" s="109" t="s">
        <v>22</v>
      </c>
      <c r="E111" s="142" t="str">
        <f ref="E111:E111" t="array">IF(ISBLANK(INDIRECT(ADDRESS(39,X122,,,"Inputs"))),"",INDIRECT(ADDRESS(39,X122,,,"Inputs")))</f>
      </c>
      <c r="F111" s="143"/>
      <c r="G111" s="143"/>
      <c r="H111" s="118" t="str">
        <f ref="H111:H111" t="array">IF(ISBLANK(INDIRECT(ADDRESS(39,X122,,,"Inputs"))),"",INDIRECT(ADDRESS(39,X122,,,"Inputs")))</f>
      </c>
      <c r="I111" s="120" t="str">
        <f ref="I111:I111" t="array">IFERROR(INDIRECT(ADDRESS(67,X122,,,"Inputs")), "")</f>
      </c>
      <c r="J111" s="155" t="str">
        <f ref="J111:J111" t="array">IFERROR(INDIRECT(ADDRESS(68,X122,,,"Inputs")), "")</f>
      </c>
      <c r="K111" s="146"/>
      <c r="L111" s="136"/>
      <c r="M111" s="146"/>
      <c r="N111" s="146"/>
      <c r="O111" s="138" t="str">
        <f>IFERROR(J111/I111, "")</f>
      </c>
      <c r="P111" s="147"/>
      <c r="Q111" s="136" t="s">
        <v>23</v>
      </c>
      <c r="R111" s="146"/>
      <c r="S111" s="146"/>
      <c r="T111" s="146"/>
      <c r="U111" s="146"/>
      <c r="V111" s="161"/>
      <c r="AA111" s="0">
        <f>AA104</f>
        <v>0</v>
      </c>
    </row>
    <row r="112" ht="18" customHeight="1">
      <c r="A112" s="117" t="s">
        <v>24</v>
      </c>
      <c r="B112" s="141" t="str">
        <f ref="B112:B112" t="array">IF(INDIRECT(ADDRESS(75,X122,,,"Inputs"))=0,"",INDIRECT(ADDRESS(75,X122,,,"Inputs")))</f>
      </c>
      <c r="C112" s="141"/>
      <c r="D112" s="109" t="s">
        <v>25</v>
      </c>
      <c r="E112" s="142" t="str">
        <f ref="E112:E112" t="array">IF(ISBLANK(INDIRECT(ADDRESS(41,X122,,,"Inputs"))),"",INDIRECT(ADDRESS(41,X122,,,"Inputs")))</f>
      </c>
      <c r="F112" s="143"/>
      <c r="G112" s="143"/>
      <c r="H112" s="118" t="str">
        <f ref="H112:H112" t="array">IF(ISBLANK(INDIRECT(ADDRESS(41,X122,,,"Inputs"))),"",INDIRECT(ADDRESS(41,X122,,,"Inputs")))</f>
      </c>
      <c r="I112" s="119" t="str">
        <f ref="I112:I112" t="array">IFERROR(INDIRECT(ADDRESS(71,X122,,,"Inputs")), "")</f>
      </c>
      <c r="J112" s="144" t="str">
        <f ref="J112:J112" t="array">IFERROR(INDIRECT(ADDRESS(72,X122,,,"Inputs")), "")</f>
      </c>
      <c r="K112" s="145"/>
      <c r="L112" s="136" t="s">
        <v>20</v>
      </c>
      <c r="M112" s="146"/>
      <c r="N112" s="146"/>
      <c r="O112" s="138" t="str">
        <f ref="O112:O112" t="array">IF(ISBLANK(INDIRECT(ADDRESS(42,X122,,,"Inputs"))), "-", IFERROR(I112 / J112, ""))</f>
        <v>-</v>
      </c>
      <c r="P112" s="147"/>
      <c r="Q112" s="144" t="str">
        <f ref="Q112:Q112" t="array">IF(INDIRECT(ADDRESS(24,X122,,,"Inputs"))=0,"0",INDIRECT(ADDRESS(24,X122,,,"Inputs")))</f>
        <v>0</v>
      </c>
      <c r="R112" s="145"/>
      <c r="S112" s="145"/>
      <c r="T112" s="145"/>
      <c r="U112" s="145"/>
      <c r="V112" s="172"/>
      <c r="AA112" s="0">
        <f>AA104</f>
        <v>0</v>
      </c>
    </row>
    <row r="113" ht="36" customHeight="1">
      <c r="A113" s="117" t="s">
        <v>26</v>
      </c>
      <c r="B113" s="136" t="str">
        <f ref="B113:B113" t="array">IF(INDIRECT(ADDRESS(17,X122,,,"Inputs"))=0,"",INDIRECT(ADDRESS(17,X122,,,"Inputs")))</f>
      </c>
      <c r="C113" s="136"/>
      <c r="D113" s="111" t="s">
        <v>27</v>
      </c>
      <c r="E113" s="142" t="str">
        <f ref="E113:E113" t="array">IF(ISBLANK(INDIRECT(ADDRESS(43,X122,,,"Inputs"))),"",INDIRECT(ADDRESS(43,X122,,,"Inputs")))</f>
      </c>
      <c r="F113" s="143"/>
      <c r="G113" s="143"/>
      <c r="H113" s="118" t="str">
        <f ref="H113:H113" t="array">IF(ISBLANK(INDIRECT(ADDRESS(43,X122,,,"Inputs"))),"",INDIRECT(ADDRESS(43,X122,,,"Inputs")))</f>
      </c>
      <c r="I113" s="121" t="str">
        <f ref="I113:I113" t="array">IFERROR(INDIRECT(ADDRESS(73,X122,,,"Inputs")), "")</f>
      </c>
      <c r="J113" s="144" t="str">
        <f ref="J113:J113" t="array">IFERROR(INDIRECT(ADDRESS(74,X122,,,"Inputs")), "")</f>
      </c>
      <c r="K113" s="145"/>
      <c r="L113" s="136" t="s">
        <v>20</v>
      </c>
      <c r="M113" s="146"/>
      <c r="N113" s="146"/>
      <c r="O113" s="138" t="str">
        <f ref="O113:O113" t="array">IF(ISBLANK(INDIRECT(ADDRESS(44,X122,,,"Inputs"))), "-", IFERROR(I113 / J113, ""))</f>
        <v>-</v>
      </c>
      <c r="P113" s="147"/>
      <c r="Q113" s="177" t="s">
        <v>28</v>
      </c>
      <c r="R113" s="146"/>
      <c r="S113" s="146"/>
      <c r="T113" s="146"/>
      <c r="U113" s="146"/>
      <c r="V113" s="161"/>
      <c r="AA113" s="0">
        <f>AA104</f>
        <v>0</v>
      </c>
    </row>
    <row r="114" ht="18" customHeight="1">
      <c r="A114" s="117" t="s">
        <v>29</v>
      </c>
      <c r="B114" s="141" t="str">
        <f ref="B114:B114" t="array">IF(INDIRECT(ADDRESS(31,X122,,,"Inputs"))=0,"",INDIRECT(ADDRESS(31,X122,,,"Inputs")))</f>
      </c>
      <c r="C114" s="178"/>
      <c r="D114" s="179" t="s">
        <v>30</v>
      </c>
      <c r="E114" s="180"/>
      <c r="F114" s="180"/>
      <c r="G114" s="180"/>
      <c r="H114" s="180"/>
      <c r="I114" s="180"/>
      <c r="J114" s="180"/>
      <c r="K114" s="180"/>
      <c r="L114" s="180"/>
      <c r="M114" s="180"/>
      <c r="N114" s="180"/>
      <c r="O114" s="180"/>
      <c r="P114" s="181"/>
      <c r="Q114" s="136" t="s">
        <v>31</v>
      </c>
      <c r="R114" s="146"/>
      <c r="S114" s="146"/>
      <c r="T114" s="165">
        <f ref="T114:T114" t="array">IFERROR(INDIRECT(ADDRESS(77,X122,,,"Inputs")), "")</f>
        <v>0</v>
      </c>
      <c r="U114" s="166"/>
      <c r="V114" s="167"/>
      <c r="AA114" s="0">
        <f>AA104</f>
        <v>0</v>
      </c>
    </row>
    <row r="115" ht="18" customHeight="1">
      <c r="A115" s="117" t="s">
        <v>32</v>
      </c>
      <c r="B115" s="148" t="str">
        <f ref="B115:B115" t="array">IF(INDIRECT(ADDRESS(83,X122,,,"Inputs"))=0,"",INDIRECT(ADDRESS(83,X122,,,"Inputs")))</f>
      </c>
      <c r="C115" s="149"/>
      <c r="D115" s="158">
        <f ref="D115:D115" t="array">INDIRECT(ADDRESS(26,X122,,,"Inputs"))</f>
        <v>0</v>
      </c>
      <c r="E115" s="158"/>
      <c r="F115" s="158"/>
      <c r="G115" s="158"/>
      <c r="H115" s="158"/>
      <c r="I115" s="158"/>
      <c r="J115" s="158"/>
      <c r="K115" s="158"/>
      <c r="L115" s="158"/>
      <c r="M115" s="158"/>
      <c r="N115" s="158"/>
      <c r="O115" s="158"/>
      <c r="P115" s="158"/>
      <c r="Q115" s="136" t="s">
        <v>33</v>
      </c>
      <c r="R115" s="146"/>
      <c r="S115" s="146"/>
      <c r="T115" s="165">
        <f ref="T115:T115" t="array">IFERROR(INDIRECT(ADDRESS(86,X122,,,"Inputs")), "")</f>
        <v>0</v>
      </c>
      <c r="U115" s="166"/>
      <c r="V115" s="167"/>
      <c r="AA115" s="0">
        <f>AA104</f>
        <v>0</v>
      </c>
    </row>
    <row r="116" ht="18" customHeight="1">
      <c r="A116" s="150" t="s">
        <v>34</v>
      </c>
      <c r="B116" s="146"/>
      <c r="C116" s="151"/>
      <c r="D116" s="158"/>
      <c r="E116" s="158"/>
      <c r="F116" s="158"/>
      <c r="G116" s="158"/>
      <c r="H116" s="158"/>
      <c r="I116" s="158"/>
      <c r="J116" s="158"/>
      <c r="K116" s="158"/>
      <c r="L116" s="158"/>
      <c r="M116" s="158"/>
      <c r="N116" s="158"/>
      <c r="O116" s="158"/>
      <c r="P116" s="158"/>
      <c r="Q116" s="136" t="s">
        <v>35</v>
      </c>
      <c r="R116" s="146"/>
      <c r="S116" s="146"/>
      <c r="T116" s="165">
        <f ref="T116:T116" t="array">IFERROR(INDIRECT(ADDRESS(78,X122,,,"Inputs")), "")</f>
        <v>0</v>
      </c>
      <c r="U116" s="166"/>
      <c r="V116" s="167"/>
      <c r="AA116" s="0">
        <f>AA104</f>
        <v>0</v>
      </c>
    </row>
    <row r="117" ht="18" customHeight="1">
      <c r="A117" s="117" t="s">
        <v>36</v>
      </c>
      <c r="B117" s="141" t="str">
        <f ref="B117:B117" t="array">IF(INDIRECT(ADDRESS(30,X122,,,"Inputs"))=0,"",INDIRECT(ADDRESS(30,X122,,,"Inputs")))</f>
      </c>
      <c r="C117" s="141"/>
      <c r="D117" s="158"/>
      <c r="E117" s="158"/>
      <c r="F117" s="158"/>
      <c r="G117" s="158"/>
      <c r="H117" s="158"/>
      <c r="I117" s="158"/>
      <c r="J117" s="158"/>
      <c r="K117" s="158"/>
      <c r="L117" s="158"/>
      <c r="M117" s="158"/>
      <c r="N117" s="158"/>
      <c r="O117" s="158"/>
      <c r="P117" s="158"/>
      <c r="Q117" s="136" t="s">
        <v>37</v>
      </c>
      <c r="R117" s="146"/>
      <c r="S117" s="146"/>
      <c r="T117" s="165">
        <f ref="T117:T117" t="array">IFERROR(INDIRECT(ADDRESS(45,X122,,,"Inputs")), "")</f>
        <v>0</v>
      </c>
      <c r="U117" s="166"/>
      <c r="V117" s="167"/>
      <c r="AA117" s="0">
        <f>AA104</f>
        <v>0</v>
      </c>
    </row>
    <row r="118" ht="18" customHeight="1">
      <c r="A118" s="117" t="s">
        <v>38</v>
      </c>
      <c r="B118" s="136" t="str">
        <f ref="B118:B118" t="array">IF(INDIRECT(ADDRESS(32,X122,,,"Inputs"))=0,"",INDIRECT(ADDRESS(32,X122,,,"Inputs")))</f>
      </c>
      <c r="C118" s="136"/>
      <c r="D118" s="158"/>
      <c r="E118" s="158"/>
      <c r="F118" s="158"/>
      <c r="G118" s="158"/>
      <c r="H118" s="158"/>
      <c r="I118" s="158"/>
      <c r="J118" s="158"/>
      <c r="K118" s="158"/>
      <c r="L118" s="158"/>
      <c r="M118" s="158"/>
      <c r="N118" s="158"/>
      <c r="O118" s="158"/>
      <c r="P118" s="158"/>
      <c r="Q118" s="136" t="s">
        <v>39</v>
      </c>
      <c r="R118" s="146"/>
      <c r="S118" s="146"/>
      <c r="T118" s="165">
        <f ref="T118:T118" t="array">IFERROR(INDIRECT(ADDRESS(79,X122,,,"Inputs")), "")</f>
        <v>0</v>
      </c>
      <c r="U118" s="166"/>
      <c r="V118" s="167"/>
      <c r="AA118" s="0">
        <f>AA104</f>
        <v>0</v>
      </c>
    </row>
    <row r="119" ht="18" customHeight="1">
      <c r="A119" s="152" t="s">
        <v>40</v>
      </c>
      <c r="B119" s="153"/>
      <c r="C119" s="154"/>
      <c r="D119" s="158"/>
      <c r="E119" s="158"/>
      <c r="F119" s="158"/>
      <c r="G119" s="158"/>
      <c r="H119" s="158"/>
      <c r="I119" s="158"/>
      <c r="J119" s="158"/>
      <c r="K119" s="158"/>
      <c r="L119" s="158"/>
      <c r="M119" s="158"/>
      <c r="N119" s="158"/>
      <c r="O119" s="158"/>
      <c r="P119" s="158"/>
      <c r="Q119" s="136" t="s">
        <v>41</v>
      </c>
      <c r="R119" s="146"/>
      <c r="S119" s="146"/>
      <c r="T119" s="165">
        <f ref="T119:T119" t="array">IFERROR(INDIRECT(ADDRESS(80,X122,,,"Inputs")), "")</f>
        <v>0</v>
      </c>
      <c r="U119" s="166"/>
      <c r="V119" s="167"/>
      <c r="W119" s="0">
        <f ref="W119:W119" t="array">INDIRECT(ADDRESS(34,X122,,,"Inputs"))</f>
        <v>0</v>
      </c>
      <c r="X119" s="3"/>
      <c r="AA119" s="0">
        <f>AA104</f>
        <v>0</v>
      </c>
    </row>
    <row r="120" ht="18" customHeight="1">
      <c r="A120" s="117" t="s">
        <v>42</v>
      </c>
      <c r="B120" s="141" t="str">
        <f ref="B120:B120" t="array">IF(INDIRECT(ADDRESS(33,X122,,,"Inputs"))=0,"",INDIRECT(ADDRESS(33,X122,,,"Inputs")))</f>
      </c>
      <c r="C120" s="141"/>
      <c r="D120" s="158"/>
      <c r="E120" s="158"/>
      <c r="F120" s="158"/>
      <c r="G120" s="158"/>
      <c r="H120" s="158"/>
      <c r="I120" s="158"/>
      <c r="J120" s="158"/>
      <c r="K120" s="158"/>
      <c r="L120" s="158"/>
      <c r="M120" s="158"/>
      <c r="N120" s="158"/>
      <c r="O120" s="158"/>
      <c r="P120" s="158"/>
      <c r="Q120" s="136" t="s">
        <v>43</v>
      </c>
      <c r="R120" s="146"/>
      <c r="S120" s="146"/>
      <c r="T120" s="165">
        <f ref="T120:T120" t="array">IFERROR(INDIRECT(ADDRESS(81,X122,,,"Inputs")), "")</f>
        <v>0</v>
      </c>
      <c r="U120" s="166"/>
      <c r="V120" s="167"/>
      <c r="X120" s="3"/>
      <c r="AA120" s="0">
        <f>AA104</f>
        <v>0</v>
      </c>
    </row>
    <row r="121" ht="36" customHeight="1">
      <c r="A121" s="117" t="s">
        <v>44</v>
      </c>
      <c r="B121" s="156" t="str">
        <f ref="B121:B121" t="array">IF(INDIRECT(ADDRESS(47,X122,,,"Inputs"))=0,"",INDIRECT(ADDRESS(47,X122,,,"Inputs")))</f>
      </c>
      <c r="C121" s="156"/>
      <c r="D121" s="158"/>
      <c r="E121" s="158"/>
      <c r="F121" s="158"/>
      <c r="G121" s="158"/>
      <c r="H121" s="158"/>
      <c r="I121" s="158"/>
      <c r="J121" s="158"/>
      <c r="K121" s="158"/>
      <c r="L121" s="158"/>
      <c r="M121" s="158"/>
      <c r="N121" s="158"/>
      <c r="O121" s="158"/>
      <c r="P121" s="158"/>
      <c r="Q121" s="136" t="s">
        <v>45</v>
      </c>
      <c r="R121" s="146"/>
      <c r="S121" s="146"/>
      <c r="T121" s="136" t="str">
        <f ref="T121:T121" t="array">_xlfn.CONCAT(IFERROR(INDIRECT(ADDRESS(49,X122,,,"Inputs")), ""), " / ", IFERROR(INDIRECT(ADDRESS(48,X122,,,"Inputs")), ""))</f>
        <v> / </v>
      </c>
      <c r="U121" s="146"/>
      <c r="V121" s="161"/>
      <c r="X121" s="3"/>
      <c r="AA121" s="0">
        <f>AA104</f>
        <v>0</v>
      </c>
    </row>
    <row r="122" ht="102" customHeight="1">
      <c r="A122" s="122"/>
      <c r="B122" s="157"/>
      <c r="C122" s="157"/>
      <c r="D122" s="159"/>
      <c r="E122" s="159"/>
      <c r="F122" s="159"/>
      <c r="G122" s="159"/>
      <c r="H122" s="159"/>
      <c r="I122" s="159"/>
      <c r="J122" s="159"/>
      <c r="K122" s="159"/>
      <c r="L122" s="159"/>
      <c r="M122" s="159"/>
      <c r="N122" s="159"/>
      <c r="O122" s="159"/>
      <c r="P122" s="159"/>
      <c r="Q122" s="159"/>
      <c r="R122" s="173"/>
      <c r="S122" s="173"/>
      <c r="T122" s="174"/>
      <c r="U122" s="175"/>
      <c r="V122" s="176"/>
      <c r="W122" s="78" t="s">
        <v>46</v>
      </c>
      <c r="X122" s="78">
        <f>COLUMN(Inputs!BE5)</f>
        <v>57</v>
      </c>
      <c r="AA122" s="0">
        <f>AA104</f>
        <v>0</v>
      </c>
    </row>
    <row r="123" ht="18" customHeight="1">
      <c r="A123" s="58"/>
      <c r="B123" s="36"/>
      <c r="C123" s="36"/>
      <c r="D123" s="36"/>
      <c r="E123" s="36"/>
      <c r="F123" s="36"/>
      <c r="G123" s="36"/>
      <c r="H123" s="36"/>
      <c r="I123" s="36"/>
      <c r="J123" s="36"/>
      <c r="K123" s="36"/>
      <c r="L123" s="36"/>
      <c r="M123" s="36"/>
      <c r="N123" s="36"/>
      <c r="O123" s="36"/>
      <c r="P123" s="36"/>
      <c r="Q123" s="36"/>
      <c r="R123" s="36"/>
      <c r="S123" s="36"/>
      <c r="T123" s="36"/>
      <c r="U123" s="36"/>
      <c r="V123" s="36"/>
      <c r="AA123" s="0">
        <f>AA104</f>
        <v>0</v>
      </c>
    </row>
    <row r="124" ht="18" customHeight="1">
      <c r="A124" s="139" t="s">
        <v>4</v>
      </c>
      <c r="B124" s="140"/>
      <c r="C124" s="140"/>
      <c r="D124" s="140" t="str">
        <f ref="D124:D124" t="array">CONCATENATE(INDIRECT(ADDRESS(6,X142,,,"Inputs"))," ",INDIRECT(ADDRESS(8,X142,,,"Inputs"))," ",INDIRECT(ADDRESS(9,X142,,,"Inputs")))</f>
      </c>
      <c r="E124" s="140"/>
      <c r="F124" s="140"/>
      <c r="G124" s="140"/>
      <c r="H124" s="140"/>
      <c r="I124" s="140"/>
      <c r="J124" s="140"/>
      <c r="K124" s="140"/>
      <c r="L124" s="140"/>
      <c r="M124" s="140"/>
      <c r="N124" s="140"/>
      <c r="O124" s="140"/>
      <c r="P124" s="140"/>
      <c r="Q124" s="113"/>
      <c r="R124" s="113"/>
      <c r="S124" s="113"/>
      <c r="T124" s="113"/>
      <c r="U124" s="113"/>
      <c r="V124" s="114"/>
      <c r="AA124" s="0">
        <f>IF(LEN(TRIM(A124))=0,0,1)</f>
        <v>1</v>
      </c>
    </row>
    <row r="125" ht="18" customHeight="1">
      <c r="A125" s="134" t="str">
        <f ref="A125:A125" t="array">IF(INDIRECT(ADDRESS(50,X142,,,"Inputs"))=0,"",INDIRECT(ADDRESS(50,X142,,,"Inputs")))</f>
      </c>
      <c r="B125" s="135"/>
      <c r="C125" s="135"/>
      <c r="D125" s="136" t="str">
        <f ref="D125:D125" t="array">IF(INDIRECT(ADDRESS(10,X142,,,"Inputs"))=0,"",INDIRECT(ADDRESS(10,X142,,,"Inputs")))</f>
      </c>
      <c r="E125" s="136"/>
      <c r="F125" s="136"/>
      <c r="G125" s="136"/>
      <c r="H125" s="136"/>
      <c r="I125" s="136"/>
      <c r="J125" s="136"/>
      <c r="K125" s="136"/>
      <c r="L125" s="136"/>
      <c r="M125" s="136"/>
      <c r="N125" s="136"/>
      <c r="O125" s="136"/>
      <c r="P125" s="136"/>
      <c r="Q125" s="110"/>
      <c r="R125" s="110"/>
      <c r="S125" s="110"/>
      <c r="T125" s="110"/>
      <c r="U125" s="110"/>
      <c r="V125" s="115"/>
      <c r="AA125" s="0">
        <f>AA124</f>
        <v>1</v>
      </c>
    </row>
    <row r="126" ht="18" customHeight="1" s="27" customFormat="1">
      <c r="A126" s="137" t="s">
        <v>5</v>
      </c>
      <c r="B126" s="136"/>
      <c r="C126" s="136"/>
      <c r="D126" s="136" t="str">
        <f ref="D126:D126" t="array">IF(INDIRECT(ADDRESS(14,X142,,,"Inputs"))=0,"",INDIRECT(ADDRESS(14,X142,,,"Inputs")))</f>
      </c>
      <c r="E126" s="136"/>
      <c r="F126" s="136"/>
      <c r="G126" s="136"/>
      <c r="H126" s="136"/>
      <c r="I126" s="136"/>
      <c r="J126" s="136"/>
      <c r="K126" s="136"/>
      <c r="L126" s="136"/>
      <c r="M126" s="136"/>
      <c r="N126" s="136"/>
      <c r="O126" s="136"/>
      <c r="P126" s="136"/>
      <c r="Q126" s="110"/>
      <c r="R126" s="110"/>
      <c r="S126" s="110"/>
      <c r="T126" s="110"/>
      <c r="U126" s="110"/>
      <c r="V126" s="115"/>
      <c r="AA126" s="27">
        <f>AA124</f>
        <v>1</v>
      </c>
    </row>
    <row r="127" ht="18" customHeight="1">
      <c r="A127" s="134" t="str">
        <f ref="A127:A127" t="array">IF(INDIRECT(ADDRESS(51,X142,,,"Inputs"))=0,"",INDIRECT(ADDRESS(51,X142,,,"Inputs")))</f>
      </c>
      <c r="B127" s="135"/>
      <c r="C127" s="135"/>
      <c r="D127" s="138" t="str">
        <f ref="D127:D127" t="array">INDIRECT(ADDRESS(82,X142,,,"Inputs"))</f>
      </c>
      <c r="E127" s="138"/>
      <c r="F127" s="138"/>
      <c r="G127" s="138"/>
      <c r="H127" s="138"/>
      <c r="I127" s="138"/>
      <c r="J127" s="138"/>
      <c r="K127" s="138"/>
      <c r="L127" s="138"/>
      <c r="M127" s="138"/>
      <c r="N127" s="138"/>
      <c r="O127" s="138"/>
      <c r="P127" s="138"/>
      <c r="Q127" s="112"/>
      <c r="R127" s="112"/>
      <c r="S127" s="112"/>
      <c r="T127" s="112"/>
      <c r="U127" s="112"/>
      <c r="V127" s="116"/>
      <c r="AA127" s="0">
        <f>AA124</f>
        <v>1</v>
      </c>
    </row>
    <row r="128" ht="18" customHeight="1">
      <c r="A128" s="168" t="s">
        <v>6</v>
      </c>
      <c r="B128" s="146"/>
      <c r="C128" s="151"/>
      <c r="D128" s="169" t="s">
        <v>7</v>
      </c>
      <c r="E128" s="146"/>
      <c r="F128" s="146"/>
      <c r="G128" s="146"/>
      <c r="H128" s="146"/>
      <c r="I128" s="146"/>
      <c r="J128" s="146"/>
      <c r="K128" s="146"/>
      <c r="L128" s="146"/>
      <c r="M128" s="146"/>
      <c r="N128" s="146"/>
      <c r="O128" s="146"/>
      <c r="P128" s="151"/>
      <c r="Q128" s="170" t="s">
        <v>8</v>
      </c>
      <c r="R128" s="146"/>
      <c r="S128" s="146"/>
      <c r="T128" s="146"/>
      <c r="U128" s="146"/>
      <c r="V128" s="161"/>
      <c r="AA128" s="0">
        <f>AA124</f>
        <v>1</v>
      </c>
    </row>
    <row r="129" ht="18" customHeight="1">
      <c r="A129" s="117" t="s">
        <v>9</v>
      </c>
      <c r="B129" s="162" t="str">
        <f ref="B129:B129" t="array">IF(INDIRECT(ADDRESS(15,X142,,,"Inputs"))=0,"",INDIRECT(ADDRESS(15,X142,,,"Inputs")))</f>
      </c>
      <c r="C129" s="162"/>
      <c r="D129" s="109" t="s">
        <v>10</v>
      </c>
      <c r="E129" s="136" t="s">
        <v>11</v>
      </c>
      <c r="F129" s="146"/>
      <c r="G129" s="146"/>
      <c r="H129" s="109" t="s">
        <v>12</v>
      </c>
      <c r="I129" s="109" t="s">
        <v>13</v>
      </c>
      <c r="J129" s="136" t="s">
        <v>14</v>
      </c>
      <c r="K129" s="146"/>
      <c r="L129" s="136" t="s">
        <v>15</v>
      </c>
      <c r="M129" s="146"/>
      <c r="N129" s="146"/>
      <c r="O129" s="136" t="s">
        <v>16</v>
      </c>
      <c r="P129" s="146"/>
      <c r="Q129" s="136" t="s">
        <v>17</v>
      </c>
      <c r="R129" s="146"/>
      <c r="S129" s="146"/>
      <c r="T129" s="146"/>
      <c r="U129" s="146"/>
      <c r="V129" s="161"/>
      <c r="AA129" s="0">
        <f>AA124</f>
        <v>1</v>
      </c>
    </row>
    <row r="130" ht="18" customHeight="1">
      <c r="A130" s="117" t="s">
        <v>18</v>
      </c>
      <c r="B130" s="162" t="str">
        <f ref="B130:B130" t="array">IF(INDIRECT(ADDRESS(16,X142,,,"Inputs"))=0,"",INDIRECT(ADDRESS(16,X142,,,"Inputs")))</f>
      </c>
      <c r="C130" s="162"/>
      <c r="D130" s="109" t="s">
        <v>19</v>
      </c>
      <c r="E130" s="142" t="str">
        <f ref="E130:E130" t="array">IF(ISBLANK(INDIRECT(ADDRESS(35,X142,,,"Inputs"))),"",INDIRECT(ADDRESS(35,X142,,,"Inputs")))</f>
      </c>
      <c r="F130" s="143"/>
      <c r="G130" s="143"/>
      <c r="H130" s="118" t="str">
        <f ref="H130:H130" t="array">IF(ISBLANK(INDIRECT(ADDRESS(35,X142,,,"Inputs"))),"",INDIRECT(ADDRESS(35,X142,,,"Inputs")))</f>
      </c>
      <c r="I130" s="119">
        <f ref="I130:I130" t="array">IFERROR(INDIRECT(ADDRESS(65,X142,,,"Inputs")), "")</f>
        <v>0</v>
      </c>
      <c r="J130" s="144" t="str">
        <f ref="J130:J130" t="array">IFERROR(INDIRECT(ADDRESS(66,X142,,,"Inputs")), "")</f>
      </c>
      <c r="K130" s="145"/>
      <c r="L130" s="136" t="s">
        <v>20</v>
      </c>
      <c r="M130" s="146"/>
      <c r="N130" s="146"/>
      <c r="O130" s="138" t="str">
        <f ref="O130:O130" t="array">IF(ISBLANK(INDIRECT(ADDRESS(36,X142,,,"Inputs"))), "-", IFERROR(I130/J130, ""))</f>
        <v>-</v>
      </c>
      <c r="P130" s="147"/>
      <c r="Q130" s="144" t="str">
        <f ref="Q130:Q130" t="array">IF(INDIRECT(ADDRESS(25,X142,,,"Inputs"))=0,"0",INDIRECT(ADDRESS(25,X142,,,"Inputs")))</f>
        <v>0</v>
      </c>
      <c r="R130" s="145"/>
      <c r="S130" s="145"/>
      <c r="T130" s="145"/>
      <c r="U130" s="145"/>
      <c r="V130" s="172"/>
      <c r="AA130" s="0">
        <f>AA124</f>
        <v>1</v>
      </c>
    </row>
    <row r="131" ht="36" customHeight="1">
      <c r="A131" s="117" t="s">
        <v>21</v>
      </c>
      <c r="B131" s="136" t="str">
        <f ref="B131:B131" t="array">IF(INDIRECT(ADDRESS(11,X142,,,"Inputs"))=0,"",INDIRECT(ADDRESS(11,X142,,,"Inputs")))</f>
      </c>
      <c r="C131" s="136"/>
      <c r="D131" s="109" t="s">
        <v>22</v>
      </c>
      <c r="E131" s="142" t="str">
        <f ref="E131:E131" t="array">IF(ISBLANK(INDIRECT(ADDRESS(39,X142,,,"Inputs"))),"",INDIRECT(ADDRESS(39,X142,,,"Inputs")))</f>
      </c>
      <c r="F131" s="143"/>
      <c r="G131" s="143"/>
      <c r="H131" s="118" t="str">
        <f ref="H131:H131" t="array">IF(ISBLANK(INDIRECT(ADDRESS(39,X142,,,"Inputs"))),"",INDIRECT(ADDRESS(39,X142,,,"Inputs")))</f>
      </c>
      <c r="I131" s="120" t="str">
        <f ref="I131:I131" t="array">IFERROR(INDIRECT(ADDRESS(67,X142,,,"Inputs")), "")</f>
      </c>
      <c r="J131" s="155" t="str">
        <f ref="J131:J131" t="array">IFERROR(INDIRECT(ADDRESS(68,X142,,,"Inputs")), "")</f>
      </c>
      <c r="K131" s="146"/>
      <c r="L131" s="136"/>
      <c r="M131" s="146"/>
      <c r="N131" s="146"/>
      <c r="O131" s="138" t="str">
        <f>IFERROR(J131/I131, "")</f>
      </c>
      <c r="P131" s="147"/>
      <c r="Q131" s="136" t="s">
        <v>23</v>
      </c>
      <c r="R131" s="146"/>
      <c r="S131" s="146"/>
      <c r="T131" s="146"/>
      <c r="U131" s="146"/>
      <c r="V131" s="161"/>
      <c r="AA131" s="0">
        <f>AA124</f>
        <v>1</v>
      </c>
    </row>
    <row r="132" ht="18" customHeight="1">
      <c r="A132" s="117" t="s">
        <v>24</v>
      </c>
      <c r="B132" s="141" t="str">
        <f ref="B132:B132" t="array">IF(INDIRECT(ADDRESS(75,X142,,,"Inputs"))=0,"",INDIRECT(ADDRESS(75,X142,,,"Inputs")))</f>
      </c>
      <c r="C132" s="141"/>
      <c r="D132" s="109" t="s">
        <v>25</v>
      </c>
      <c r="E132" s="142" t="str">
        <f ref="E132:E132" t="array">IF(ISBLANK(INDIRECT(ADDRESS(41,X142,,,"Inputs"))),"",INDIRECT(ADDRESS(41,X142,,,"Inputs")))</f>
      </c>
      <c r="F132" s="143"/>
      <c r="G132" s="143"/>
      <c r="H132" s="118" t="str">
        <f ref="H132:H132" t="array">IF(ISBLANK(INDIRECT(ADDRESS(41,X142,,,"Inputs"))),"",INDIRECT(ADDRESS(41,X142,,,"Inputs")))</f>
      </c>
      <c r="I132" s="119" t="str">
        <f ref="I132:I132" t="array">IFERROR(INDIRECT(ADDRESS(71,X142,,,"Inputs")), "")</f>
      </c>
      <c r="J132" s="144" t="str">
        <f ref="J132:J132" t="array">IFERROR(INDIRECT(ADDRESS(72,X142,,,"Inputs")), "")</f>
      </c>
      <c r="K132" s="145"/>
      <c r="L132" s="136" t="s">
        <v>20</v>
      </c>
      <c r="M132" s="146"/>
      <c r="N132" s="146"/>
      <c r="O132" s="138" t="str">
        <f ref="O132:O132" t="array">IF(ISBLANK(INDIRECT(ADDRESS(42,X142,,,"Inputs"))), "-", IFERROR(I132 / J132, ""))</f>
        <v>-</v>
      </c>
      <c r="P132" s="147"/>
      <c r="Q132" s="144" t="str">
        <f ref="Q132:Q132" t="array">IF(INDIRECT(ADDRESS(24,X142,,,"Inputs"))=0,"0",INDIRECT(ADDRESS(24,X142,,,"Inputs")))</f>
        <v>0</v>
      </c>
      <c r="R132" s="145"/>
      <c r="S132" s="145"/>
      <c r="T132" s="145"/>
      <c r="U132" s="145"/>
      <c r="V132" s="172"/>
      <c r="AA132" s="0">
        <f>AA124</f>
        <v>1</v>
      </c>
    </row>
    <row r="133" ht="36" customHeight="1">
      <c r="A133" s="117" t="s">
        <v>26</v>
      </c>
      <c r="B133" s="136" t="str">
        <f ref="B133:B133" t="array">IF(INDIRECT(ADDRESS(17,X142,,,"Inputs"))=0,"",INDIRECT(ADDRESS(17,X142,,,"Inputs")))</f>
      </c>
      <c r="C133" s="136"/>
      <c r="D133" s="111" t="s">
        <v>27</v>
      </c>
      <c r="E133" s="142" t="str">
        <f ref="E133:E133" t="array">IF(ISBLANK(INDIRECT(ADDRESS(43,X142,,,"Inputs"))),"",INDIRECT(ADDRESS(43,X142,,,"Inputs")))</f>
      </c>
      <c r="F133" s="143"/>
      <c r="G133" s="143"/>
      <c r="H133" s="118" t="str">
        <f ref="H133:H133" t="array">IF(ISBLANK(INDIRECT(ADDRESS(43,X142,,,"Inputs"))),"",INDIRECT(ADDRESS(43,X142,,,"Inputs")))</f>
      </c>
      <c r="I133" s="121" t="str">
        <f ref="I133:I133" t="array">IFERROR(INDIRECT(ADDRESS(73,X142,,,"Inputs")), "")</f>
      </c>
      <c r="J133" s="144" t="str">
        <f ref="J133:J133" t="array">IFERROR(INDIRECT(ADDRESS(74,X142,,,"Inputs")), "")</f>
      </c>
      <c r="K133" s="145"/>
      <c r="L133" s="136" t="s">
        <v>20</v>
      </c>
      <c r="M133" s="146"/>
      <c r="N133" s="146"/>
      <c r="O133" s="138" t="str">
        <f ref="O133:O133" t="array">IF(ISBLANK(INDIRECT(ADDRESS(44,X142,,,"Inputs"))), "-", IFERROR(I133 / J133, ""))</f>
        <v>-</v>
      </c>
      <c r="P133" s="147"/>
      <c r="Q133" s="177" t="s">
        <v>28</v>
      </c>
      <c r="R133" s="146"/>
      <c r="S133" s="146"/>
      <c r="T133" s="146"/>
      <c r="U133" s="146"/>
      <c r="V133" s="161"/>
      <c r="AA133" s="0">
        <f>AA124</f>
        <v>1</v>
      </c>
    </row>
    <row r="134" ht="18" customHeight="1">
      <c r="A134" s="117" t="s">
        <v>29</v>
      </c>
      <c r="B134" s="141" t="str">
        <f ref="B134:B134" t="array">IF(INDIRECT(ADDRESS(31,X142,,,"Inputs"))=0,"",INDIRECT(ADDRESS(31,X142,,,"Inputs")))</f>
      </c>
      <c r="C134" s="178"/>
      <c r="D134" s="179" t="s">
        <v>30</v>
      </c>
      <c r="E134" s="180"/>
      <c r="F134" s="180"/>
      <c r="G134" s="180"/>
      <c r="H134" s="180"/>
      <c r="I134" s="180"/>
      <c r="J134" s="180"/>
      <c r="K134" s="180"/>
      <c r="L134" s="180"/>
      <c r="M134" s="180"/>
      <c r="N134" s="180"/>
      <c r="O134" s="180"/>
      <c r="P134" s="181"/>
      <c r="Q134" s="136" t="s">
        <v>31</v>
      </c>
      <c r="R134" s="146"/>
      <c r="S134" s="146"/>
      <c r="T134" s="165">
        <f ref="T134:T134" t="array">IFERROR(INDIRECT(ADDRESS(77,X142,,,"Inputs")), "")</f>
        <v>0</v>
      </c>
      <c r="U134" s="166"/>
      <c r="V134" s="167"/>
      <c r="AA134" s="0">
        <f>AA124</f>
        <v>1</v>
      </c>
    </row>
    <row r="135" ht="18" customHeight="1">
      <c r="A135" s="117" t="s">
        <v>32</v>
      </c>
      <c r="B135" s="148" t="str">
        <f ref="B135:B135" t="array">IF(INDIRECT(ADDRESS(83,X142,,,"Inputs"))=0,"",INDIRECT(ADDRESS(83,X142,,,"Inputs")))</f>
      </c>
      <c r="C135" s="149"/>
      <c r="D135" s="158">
        <f ref="D135:D135" t="array">INDIRECT(ADDRESS(26,X142,,,"Inputs"))</f>
        <v>0</v>
      </c>
      <c r="E135" s="158"/>
      <c r="F135" s="158"/>
      <c r="G135" s="158"/>
      <c r="H135" s="158"/>
      <c r="I135" s="158"/>
      <c r="J135" s="158"/>
      <c r="K135" s="158"/>
      <c r="L135" s="158"/>
      <c r="M135" s="158"/>
      <c r="N135" s="158"/>
      <c r="O135" s="158"/>
      <c r="P135" s="158"/>
      <c r="Q135" s="136" t="s">
        <v>33</v>
      </c>
      <c r="R135" s="146"/>
      <c r="S135" s="146"/>
      <c r="T135" s="165">
        <f ref="T135:T135" t="array">IFERROR(INDIRECT(ADDRESS(86,X142,,,"Inputs")), "")</f>
        <v>0</v>
      </c>
      <c r="U135" s="166"/>
      <c r="V135" s="167"/>
      <c r="AA135" s="0">
        <f>AA124</f>
        <v>1</v>
      </c>
    </row>
    <row r="136" ht="18" customHeight="1">
      <c r="A136" s="150" t="s">
        <v>34</v>
      </c>
      <c r="B136" s="146"/>
      <c r="C136" s="151"/>
      <c r="D136" s="158"/>
      <c r="E136" s="158"/>
      <c r="F136" s="158"/>
      <c r="G136" s="158"/>
      <c r="H136" s="158"/>
      <c r="I136" s="158"/>
      <c r="J136" s="158"/>
      <c r="K136" s="158"/>
      <c r="L136" s="158"/>
      <c r="M136" s="158"/>
      <c r="N136" s="158"/>
      <c r="O136" s="158"/>
      <c r="P136" s="158"/>
      <c r="Q136" s="136" t="s">
        <v>35</v>
      </c>
      <c r="R136" s="146"/>
      <c r="S136" s="146"/>
      <c r="T136" s="165">
        <f ref="T136:T136" t="array">IFERROR(INDIRECT(ADDRESS(78,X142,,,"Inputs")), "")</f>
        <v>0</v>
      </c>
      <c r="U136" s="166"/>
      <c r="V136" s="167"/>
      <c r="AA136" s="0">
        <f>AA124</f>
        <v>1</v>
      </c>
    </row>
    <row r="137" ht="18" customHeight="1">
      <c r="A137" s="117" t="s">
        <v>36</v>
      </c>
      <c r="B137" s="141" t="str">
        <f ref="B137:B137" t="array">IF(INDIRECT(ADDRESS(30,X142,,,"Inputs"))=0,"",INDIRECT(ADDRESS(30,X142,,,"Inputs")))</f>
      </c>
      <c r="C137" s="141"/>
      <c r="D137" s="158"/>
      <c r="E137" s="158"/>
      <c r="F137" s="158"/>
      <c r="G137" s="158"/>
      <c r="H137" s="158"/>
      <c r="I137" s="158"/>
      <c r="J137" s="158"/>
      <c r="K137" s="158"/>
      <c r="L137" s="158"/>
      <c r="M137" s="158"/>
      <c r="N137" s="158"/>
      <c r="O137" s="158"/>
      <c r="P137" s="158"/>
      <c r="Q137" s="136" t="s">
        <v>37</v>
      </c>
      <c r="R137" s="146"/>
      <c r="S137" s="146"/>
      <c r="T137" s="165">
        <f ref="T137:T137" t="array">IFERROR(INDIRECT(ADDRESS(45,X142,,,"Inputs")), "")</f>
        <v>0</v>
      </c>
      <c r="U137" s="166"/>
      <c r="V137" s="167"/>
      <c r="AA137" s="0">
        <f>AA124</f>
        <v>1</v>
      </c>
    </row>
    <row r="138" ht="18" customHeight="1">
      <c r="A138" s="117" t="s">
        <v>38</v>
      </c>
      <c r="B138" s="136" t="str">
        <f ref="B138:B138" t="array">IF(INDIRECT(ADDRESS(32,X142,,,"Inputs"))=0,"",INDIRECT(ADDRESS(32,X142,,,"Inputs")))</f>
      </c>
      <c r="C138" s="136"/>
      <c r="D138" s="158"/>
      <c r="E138" s="158"/>
      <c r="F138" s="158"/>
      <c r="G138" s="158"/>
      <c r="H138" s="158"/>
      <c r="I138" s="158"/>
      <c r="J138" s="158"/>
      <c r="K138" s="158"/>
      <c r="L138" s="158"/>
      <c r="M138" s="158"/>
      <c r="N138" s="158"/>
      <c r="O138" s="158"/>
      <c r="P138" s="158"/>
      <c r="Q138" s="136" t="s">
        <v>39</v>
      </c>
      <c r="R138" s="146"/>
      <c r="S138" s="146"/>
      <c r="T138" s="165">
        <f ref="T138:T138" t="array">IFERROR(INDIRECT(ADDRESS(79,X142,,,"Inputs")), "")</f>
        <v>0</v>
      </c>
      <c r="U138" s="166"/>
      <c r="V138" s="167"/>
      <c r="AA138" s="0">
        <f>AA124</f>
        <v>1</v>
      </c>
    </row>
    <row r="139" ht="18" customHeight="1">
      <c r="A139" s="152" t="s">
        <v>40</v>
      </c>
      <c r="B139" s="153"/>
      <c r="C139" s="154"/>
      <c r="D139" s="158"/>
      <c r="E139" s="158"/>
      <c r="F139" s="158"/>
      <c r="G139" s="158"/>
      <c r="H139" s="158"/>
      <c r="I139" s="158"/>
      <c r="J139" s="158"/>
      <c r="K139" s="158"/>
      <c r="L139" s="158"/>
      <c r="M139" s="158"/>
      <c r="N139" s="158"/>
      <c r="O139" s="158"/>
      <c r="P139" s="158"/>
      <c r="Q139" s="136" t="s">
        <v>41</v>
      </c>
      <c r="R139" s="146"/>
      <c r="S139" s="146"/>
      <c r="T139" s="165">
        <f ref="T139:T139" t="array">IFERROR(INDIRECT(ADDRESS(80,X142,,,"Inputs")), "")</f>
        <v>0</v>
      </c>
      <c r="U139" s="166"/>
      <c r="V139" s="167"/>
      <c r="W139" s="0">
        <f ref="W139:W139" t="array">INDIRECT(ADDRESS(34,X142,,,"Inputs"))</f>
        <v>0</v>
      </c>
      <c r="X139" s="3"/>
      <c r="AA139" s="0">
        <f>AA124</f>
        <v>1</v>
      </c>
    </row>
    <row r="140" ht="18" customHeight="1">
      <c r="A140" s="117" t="s">
        <v>42</v>
      </c>
      <c r="B140" s="141" t="str">
        <f ref="B140:B140" t="array">IF(INDIRECT(ADDRESS(33,X142,,,"Inputs"))=0,"",INDIRECT(ADDRESS(33,X142,,,"Inputs")))</f>
      </c>
      <c r="C140" s="141"/>
      <c r="D140" s="158"/>
      <c r="E140" s="158"/>
      <c r="F140" s="158"/>
      <c r="G140" s="158"/>
      <c r="H140" s="158"/>
      <c r="I140" s="158"/>
      <c r="J140" s="158"/>
      <c r="K140" s="158"/>
      <c r="L140" s="158"/>
      <c r="M140" s="158"/>
      <c r="N140" s="158"/>
      <c r="O140" s="158"/>
      <c r="P140" s="158"/>
      <c r="Q140" s="136" t="s">
        <v>43</v>
      </c>
      <c r="R140" s="146"/>
      <c r="S140" s="146"/>
      <c r="T140" s="165">
        <f ref="T140:T140" t="array">IFERROR(INDIRECT(ADDRESS(81,X142,,,"Inputs")), "")</f>
        <v>0</v>
      </c>
      <c r="U140" s="166"/>
      <c r="V140" s="167"/>
      <c r="X140" s="3"/>
      <c r="AA140" s="0">
        <f>AA124</f>
        <v>1</v>
      </c>
    </row>
    <row r="141" ht="36" customHeight="1">
      <c r="A141" s="117" t="s">
        <v>44</v>
      </c>
      <c r="B141" s="156" t="str">
        <f ref="B141:B141" t="array">IF(INDIRECT(ADDRESS(47,X142,,,"Inputs"))=0,"",INDIRECT(ADDRESS(47,X142,,,"Inputs")))</f>
      </c>
      <c r="C141" s="156"/>
      <c r="D141" s="158"/>
      <c r="E141" s="158"/>
      <c r="F141" s="158"/>
      <c r="G141" s="158"/>
      <c r="H141" s="158"/>
      <c r="I141" s="158"/>
      <c r="J141" s="158"/>
      <c r="K141" s="158"/>
      <c r="L141" s="158"/>
      <c r="M141" s="158"/>
      <c r="N141" s="158"/>
      <c r="O141" s="158"/>
      <c r="P141" s="158"/>
      <c r="Q141" s="136" t="s">
        <v>45</v>
      </c>
      <c r="R141" s="146"/>
      <c r="S141" s="146"/>
      <c r="T141" s="136" t="str">
        <f ref="T141:T141" t="array">_xlfn.CONCAT(IFERROR(INDIRECT(ADDRESS(49,X142,,,"Inputs")), ""), " / ", IFERROR(INDIRECT(ADDRESS(48,X142,,,"Inputs")), ""))</f>
        <v> / </v>
      </c>
      <c r="U141" s="146"/>
      <c r="V141" s="161"/>
      <c r="X141" s="3"/>
      <c r="AA141" s="0">
        <f>AA124</f>
        <v>1</v>
      </c>
    </row>
    <row r="142" ht="102" customHeight="1">
      <c r="A142" s="122"/>
      <c r="B142" s="157"/>
      <c r="C142" s="157"/>
      <c r="D142" s="159"/>
      <c r="E142" s="159"/>
      <c r="F142" s="159"/>
      <c r="G142" s="159"/>
      <c r="H142" s="159"/>
      <c r="I142" s="159"/>
      <c r="J142" s="159"/>
      <c r="K142" s="159"/>
      <c r="L142" s="159"/>
      <c r="M142" s="159"/>
      <c r="N142" s="159"/>
      <c r="O142" s="159"/>
      <c r="P142" s="159"/>
      <c r="Q142" s="159"/>
      <c r="R142" s="173"/>
      <c r="S142" s="173"/>
      <c r="T142" s="174"/>
      <c r="U142" s="175"/>
      <c r="V142" s="176"/>
      <c r="W142" s="78" t="s">
        <v>46</v>
      </c>
      <c r="X142" s="78">
        <f>COLUMN(Inputs!BP5)</f>
        <v>68</v>
      </c>
      <c r="AA142" s="0">
        <f>AA124</f>
        <v>1</v>
      </c>
    </row>
    <row r="143" ht="18" customHeight="1">
      <c r="A143" s="58"/>
      <c r="B143" s="36"/>
      <c r="C143" s="36"/>
      <c r="D143" s="36"/>
      <c r="E143" s="36"/>
      <c r="F143" s="36"/>
      <c r="G143" s="36"/>
      <c r="H143" s="36"/>
      <c r="I143" s="36"/>
      <c r="J143" s="36"/>
      <c r="K143" s="36"/>
      <c r="L143" s="36"/>
      <c r="M143" s="36"/>
      <c r="N143" s="36"/>
      <c r="O143" s="36"/>
      <c r="P143" s="36"/>
      <c r="Q143" s="36"/>
      <c r="R143" s="36"/>
      <c r="S143" s="36"/>
      <c r="T143" s="36"/>
      <c r="U143" s="36"/>
      <c r="V143" s="36"/>
      <c r="AA143" s="0">
        <f>AA124</f>
        <v>1</v>
      </c>
    </row>
    <row r="144" ht="18" customHeight="1" s="45" customFormat="1">
      <c r="A144" s="139" t="s">
        <v>4</v>
      </c>
      <c r="B144" s="140"/>
      <c r="C144" s="140"/>
      <c r="D144" s="140" t="str">
        <f ref="D144:D144" t="array">CONCATENATE(INDIRECT(ADDRESS(6,X162,,,"Inputs"))," ",INDIRECT(ADDRESS(8,X162,,,"Inputs"))," ",INDIRECT(ADDRESS(9,X162,,,"Inputs")))</f>
      </c>
      <c r="E144" s="140"/>
      <c r="F144" s="140"/>
      <c r="G144" s="140"/>
      <c r="H144" s="140"/>
      <c r="I144" s="140"/>
      <c r="J144" s="140"/>
      <c r="K144" s="140"/>
      <c r="L144" s="140"/>
      <c r="M144" s="140"/>
      <c r="N144" s="140"/>
      <c r="O144" s="140"/>
      <c r="P144" s="140"/>
      <c r="Q144" s="113"/>
      <c r="R144" s="113"/>
      <c r="S144" s="113"/>
      <c r="T144" s="113"/>
      <c r="U144" s="113"/>
      <c r="V144" s="114"/>
      <c r="AA144" s="45">
        <f>IF(LEN(TRIM(A144))=0,0,1)</f>
        <v>1</v>
      </c>
    </row>
    <row r="145" ht="18" customHeight="1">
      <c r="A145" s="134" t="str">
        <f ref="A145:A145" t="array">IF(INDIRECT(ADDRESS(50,X162,,,"Inputs"))=0,"",INDIRECT(ADDRESS(50,X162,,,"Inputs")))</f>
      </c>
      <c r="B145" s="135"/>
      <c r="C145" s="135"/>
      <c r="D145" s="136" t="str">
        <f ref="D145:D145" t="array">IF(INDIRECT(ADDRESS(10,X162,,,"Inputs"))=0,"",INDIRECT(ADDRESS(10,X162,,,"Inputs")))</f>
      </c>
      <c r="E145" s="136"/>
      <c r="F145" s="136"/>
      <c r="G145" s="136"/>
      <c r="H145" s="136"/>
      <c r="I145" s="136"/>
      <c r="J145" s="136"/>
      <c r="K145" s="136"/>
      <c r="L145" s="136"/>
      <c r="M145" s="136"/>
      <c r="N145" s="136"/>
      <c r="O145" s="136"/>
      <c r="P145" s="136"/>
      <c r="Q145" s="110"/>
      <c r="R145" s="110"/>
      <c r="S145" s="110"/>
      <c r="T145" s="110"/>
      <c r="U145" s="110"/>
      <c r="V145" s="115"/>
      <c r="AA145" s="0">
        <f>AA144</f>
        <v>1</v>
      </c>
    </row>
    <row r="146" ht="18" customHeight="1">
      <c r="A146" s="137" t="s">
        <v>5</v>
      </c>
      <c r="B146" s="136"/>
      <c r="C146" s="136"/>
      <c r="D146" s="136" t="str">
        <f ref="D146:D146" t="array">IF(INDIRECT(ADDRESS(14,X162,,,"Inputs"))=0,"",INDIRECT(ADDRESS(14,X162,,,"Inputs")))</f>
      </c>
      <c r="E146" s="136"/>
      <c r="F146" s="136"/>
      <c r="G146" s="136"/>
      <c r="H146" s="136"/>
      <c r="I146" s="136"/>
      <c r="J146" s="136"/>
      <c r="K146" s="136"/>
      <c r="L146" s="136"/>
      <c r="M146" s="136"/>
      <c r="N146" s="136"/>
      <c r="O146" s="136"/>
      <c r="P146" s="136"/>
      <c r="Q146" s="110"/>
      <c r="R146" s="110"/>
      <c r="S146" s="110"/>
      <c r="T146" s="110"/>
      <c r="U146" s="110"/>
      <c r="V146" s="115"/>
      <c r="AA146" s="0">
        <f>AA144</f>
        <v>1</v>
      </c>
    </row>
    <row r="147" ht="18" customHeight="1">
      <c r="A147" s="134" t="str">
        <f ref="A147:A147" t="array">IF(INDIRECT(ADDRESS(51,X162,,,"Inputs"))=0,"",INDIRECT(ADDRESS(51,X162,,,"Inputs")))</f>
      </c>
      <c r="B147" s="135"/>
      <c r="C147" s="135"/>
      <c r="D147" s="138" t="str">
        <f ref="D147:D147" t="array">INDIRECT(ADDRESS(82,X162,,,"Inputs"))</f>
      </c>
      <c r="E147" s="138"/>
      <c r="F147" s="138"/>
      <c r="G147" s="138"/>
      <c r="H147" s="138"/>
      <c r="I147" s="138"/>
      <c r="J147" s="138"/>
      <c r="K147" s="138"/>
      <c r="L147" s="138"/>
      <c r="M147" s="138"/>
      <c r="N147" s="138"/>
      <c r="O147" s="138"/>
      <c r="P147" s="138"/>
      <c r="Q147" s="112"/>
      <c r="R147" s="112"/>
      <c r="S147" s="112"/>
      <c r="T147" s="112"/>
      <c r="U147" s="112"/>
      <c r="V147" s="116"/>
      <c r="AA147" s="0">
        <f>AA144</f>
        <v>1</v>
      </c>
    </row>
    <row r="148" ht="18" customHeight="1">
      <c r="A148" s="168" t="s">
        <v>6</v>
      </c>
      <c r="B148" s="146"/>
      <c r="C148" s="151"/>
      <c r="D148" s="169" t="s">
        <v>7</v>
      </c>
      <c r="E148" s="146"/>
      <c r="F148" s="146"/>
      <c r="G148" s="146"/>
      <c r="H148" s="146"/>
      <c r="I148" s="146"/>
      <c r="J148" s="146"/>
      <c r="K148" s="146"/>
      <c r="L148" s="146"/>
      <c r="M148" s="146"/>
      <c r="N148" s="146"/>
      <c r="O148" s="146"/>
      <c r="P148" s="151"/>
      <c r="Q148" s="170" t="s">
        <v>8</v>
      </c>
      <c r="R148" s="146"/>
      <c r="S148" s="146"/>
      <c r="T148" s="146"/>
      <c r="U148" s="146"/>
      <c r="V148" s="161"/>
      <c r="AA148" s="0">
        <f>AA144</f>
        <v>1</v>
      </c>
    </row>
    <row r="149" ht="18" customHeight="1">
      <c r="A149" s="117" t="s">
        <v>9</v>
      </c>
      <c r="B149" s="162" t="str">
        <f ref="B149:B149" t="array">IF(INDIRECT(ADDRESS(15,X162,,,"Inputs"))=0,"",INDIRECT(ADDRESS(15,X162,,,"Inputs")))</f>
      </c>
      <c r="C149" s="162"/>
      <c r="D149" s="109" t="s">
        <v>10</v>
      </c>
      <c r="E149" s="136" t="s">
        <v>11</v>
      </c>
      <c r="F149" s="146"/>
      <c r="G149" s="146"/>
      <c r="H149" s="109" t="s">
        <v>12</v>
      </c>
      <c r="I149" s="109" t="s">
        <v>13</v>
      </c>
      <c r="J149" s="136" t="s">
        <v>14</v>
      </c>
      <c r="K149" s="146"/>
      <c r="L149" s="136" t="s">
        <v>15</v>
      </c>
      <c r="M149" s="146"/>
      <c r="N149" s="146"/>
      <c r="O149" s="136" t="s">
        <v>16</v>
      </c>
      <c r="P149" s="146"/>
      <c r="Q149" s="136" t="s">
        <v>17</v>
      </c>
      <c r="R149" s="146"/>
      <c r="S149" s="146"/>
      <c r="T149" s="146"/>
      <c r="U149" s="146"/>
      <c r="V149" s="161"/>
      <c r="AA149" s="0">
        <f>AA144</f>
        <v>1</v>
      </c>
    </row>
    <row r="150" ht="18" customHeight="1">
      <c r="A150" s="117" t="s">
        <v>18</v>
      </c>
      <c r="B150" s="162" t="str">
        <f ref="B150:B150" t="array">IF(INDIRECT(ADDRESS(16,X162,,,"Inputs"))=0,"",INDIRECT(ADDRESS(16,X162,,,"Inputs")))</f>
      </c>
      <c r="C150" s="162"/>
      <c r="D150" s="109" t="s">
        <v>19</v>
      </c>
      <c r="E150" s="142" t="str">
        <f ref="E150:E150" t="array">IF(ISBLANK(INDIRECT(ADDRESS(35,X162,,,"Inputs"))),"",INDIRECT(ADDRESS(35,X162,,,"Inputs")))</f>
      </c>
      <c r="F150" s="143"/>
      <c r="G150" s="143"/>
      <c r="H150" s="118" t="str">
        <f ref="H150:H150" t="array">IF(ISBLANK(INDIRECT(ADDRESS(35,X162,,,"Inputs"))),"",INDIRECT(ADDRESS(35,X162,,,"Inputs")))</f>
      </c>
      <c r="I150" s="119">
        <f ref="I150:I150" t="array">IFERROR(INDIRECT(ADDRESS(65,X162,,,"Inputs")), "")</f>
        <v>0</v>
      </c>
      <c r="J150" s="144" t="str">
        <f ref="J150:J150" t="array">IFERROR(INDIRECT(ADDRESS(66,X162,,,"Inputs")), "")</f>
      </c>
      <c r="K150" s="145"/>
      <c r="L150" s="136" t="s">
        <v>20</v>
      </c>
      <c r="M150" s="146"/>
      <c r="N150" s="146"/>
      <c r="O150" s="138" t="str">
        <f ref="O150:O150" t="array">IF(ISBLANK(INDIRECT(ADDRESS(36,X162,,,"Inputs"))), "-", IFERROR(I150/J150, ""))</f>
        <v>-</v>
      </c>
      <c r="P150" s="147"/>
      <c r="Q150" s="144" t="str">
        <f ref="Q150:Q150" t="array">IF(INDIRECT(ADDRESS(25,X162,,,"Inputs"))=0,"0",INDIRECT(ADDRESS(25,X162,,,"Inputs")))</f>
        <v>0</v>
      </c>
      <c r="R150" s="145"/>
      <c r="S150" s="145"/>
      <c r="T150" s="145"/>
      <c r="U150" s="145"/>
      <c r="V150" s="172"/>
      <c r="AA150" s="0">
        <f>AA144</f>
        <v>1</v>
      </c>
    </row>
    <row r="151" ht="36" customHeight="1">
      <c r="A151" s="117" t="s">
        <v>21</v>
      </c>
      <c r="B151" s="136" t="str">
        <f ref="B151:B151" t="array">IF(INDIRECT(ADDRESS(11,X162,,,"Inputs"))=0,"",INDIRECT(ADDRESS(11,X162,,,"Inputs")))</f>
      </c>
      <c r="C151" s="136"/>
      <c r="D151" s="109" t="s">
        <v>22</v>
      </c>
      <c r="E151" s="142" t="str">
        <f ref="E151:E151" t="array">IF(ISBLANK(INDIRECT(ADDRESS(39,X162,,,"Inputs"))),"",INDIRECT(ADDRESS(39,X162,,,"Inputs")))</f>
      </c>
      <c r="F151" s="143"/>
      <c r="G151" s="143"/>
      <c r="H151" s="118" t="str">
        <f ref="H151:H151" t="array">IF(ISBLANK(INDIRECT(ADDRESS(39,X162,,,"Inputs"))),"",INDIRECT(ADDRESS(39,X162,,,"Inputs")))</f>
      </c>
      <c r="I151" s="120" t="str">
        <f ref="I151:I151" t="array">IFERROR(INDIRECT(ADDRESS(67,X162,,,"Inputs")), "")</f>
      </c>
      <c r="J151" s="155" t="str">
        <f ref="J151:J151" t="array">IFERROR(INDIRECT(ADDRESS(68,X162,,,"Inputs")), "")</f>
      </c>
      <c r="K151" s="146"/>
      <c r="L151" s="136"/>
      <c r="M151" s="146"/>
      <c r="N151" s="146"/>
      <c r="O151" s="138" t="str">
        <f>IFERROR(J151/I151, "")</f>
      </c>
      <c r="P151" s="147"/>
      <c r="Q151" s="136" t="s">
        <v>23</v>
      </c>
      <c r="R151" s="146"/>
      <c r="S151" s="146"/>
      <c r="T151" s="146"/>
      <c r="U151" s="146"/>
      <c r="V151" s="161"/>
      <c r="AA151" s="0">
        <f>AA144</f>
        <v>1</v>
      </c>
    </row>
    <row r="152" ht="18" customHeight="1">
      <c r="A152" s="117" t="s">
        <v>24</v>
      </c>
      <c r="B152" s="141" t="str">
        <f ref="B152:B152" t="array">IF(INDIRECT(ADDRESS(75,X162,,,"Inputs"))=0,"",INDIRECT(ADDRESS(75,X162,,,"Inputs")))</f>
      </c>
      <c r="C152" s="141"/>
      <c r="D152" s="109" t="s">
        <v>25</v>
      </c>
      <c r="E152" s="142" t="str">
        <f ref="E152:E152" t="array">IF(ISBLANK(INDIRECT(ADDRESS(41,X162,,,"Inputs"))),"",INDIRECT(ADDRESS(41,X162,,,"Inputs")))</f>
      </c>
      <c r="F152" s="143"/>
      <c r="G152" s="143"/>
      <c r="H152" s="118" t="str">
        <f ref="H152:H152" t="array">IF(ISBLANK(INDIRECT(ADDRESS(41,X162,,,"Inputs"))),"",INDIRECT(ADDRESS(41,X162,,,"Inputs")))</f>
      </c>
      <c r="I152" s="119" t="str">
        <f ref="I152:I152" t="array">IFERROR(INDIRECT(ADDRESS(71,X162,,,"Inputs")), "")</f>
      </c>
      <c r="J152" s="144" t="str">
        <f ref="J152:J152" t="array">IFERROR(INDIRECT(ADDRESS(72,X162,,,"Inputs")), "")</f>
      </c>
      <c r="K152" s="145"/>
      <c r="L152" s="136" t="s">
        <v>20</v>
      </c>
      <c r="M152" s="146"/>
      <c r="N152" s="146"/>
      <c r="O152" s="138" t="str">
        <f ref="O152:O152" t="array">IF(ISBLANK(INDIRECT(ADDRESS(42,X162,,,"Inputs"))), "-", IFERROR(I152 / J152, ""))</f>
        <v>-</v>
      </c>
      <c r="P152" s="147"/>
      <c r="Q152" s="144" t="str">
        <f ref="Q152:Q152" t="array">IF(INDIRECT(ADDRESS(24,X162,,,"Inputs"))=0,"0",INDIRECT(ADDRESS(24,X162,,,"Inputs")))</f>
        <v>0</v>
      </c>
      <c r="R152" s="145"/>
      <c r="S152" s="145"/>
      <c r="T152" s="145"/>
      <c r="U152" s="145"/>
      <c r="V152" s="172"/>
      <c r="AA152" s="0">
        <f>AA144</f>
        <v>1</v>
      </c>
    </row>
    <row r="153" ht="36" customHeight="1">
      <c r="A153" s="117" t="s">
        <v>26</v>
      </c>
      <c r="B153" s="136" t="str">
        <f ref="B153:B153" t="array">IF(INDIRECT(ADDRESS(17,X162,,,"Inputs"))=0,"",INDIRECT(ADDRESS(17,X162,,,"Inputs")))</f>
      </c>
      <c r="C153" s="136"/>
      <c r="D153" s="111" t="s">
        <v>27</v>
      </c>
      <c r="E153" s="142" t="str">
        <f ref="E153:E153" t="array">IF(ISBLANK(INDIRECT(ADDRESS(43,X162,,,"Inputs"))),"",INDIRECT(ADDRESS(43,X162,,,"Inputs")))</f>
      </c>
      <c r="F153" s="143"/>
      <c r="G153" s="143"/>
      <c r="H153" s="118" t="str">
        <f ref="H153:H153" t="array">IF(ISBLANK(INDIRECT(ADDRESS(43,X162,,,"Inputs"))),"",INDIRECT(ADDRESS(43,X162,,,"Inputs")))</f>
      </c>
      <c r="I153" s="121" t="str">
        <f ref="I153:I153" t="array">IFERROR(INDIRECT(ADDRESS(73,X162,,,"Inputs")), "")</f>
      </c>
      <c r="J153" s="144" t="str">
        <f ref="J153:J153" t="array">IFERROR(INDIRECT(ADDRESS(74,X162,,,"Inputs")), "")</f>
      </c>
      <c r="K153" s="145"/>
      <c r="L153" s="136" t="s">
        <v>20</v>
      </c>
      <c r="M153" s="146"/>
      <c r="N153" s="146"/>
      <c r="O153" s="138" t="str">
        <f ref="O153:O153" t="array">IF(ISBLANK(INDIRECT(ADDRESS(44,X162,,,"Inputs"))), "-", IFERROR(I153 / J153, ""))</f>
        <v>-</v>
      </c>
      <c r="P153" s="147"/>
      <c r="Q153" s="177" t="s">
        <v>28</v>
      </c>
      <c r="R153" s="146"/>
      <c r="S153" s="146"/>
      <c r="T153" s="146"/>
      <c r="U153" s="146"/>
      <c r="V153" s="161"/>
      <c r="AA153" s="0">
        <f>AA144</f>
        <v>1</v>
      </c>
    </row>
    <row r="154" ht="18" customHeight="1">
      <c r="A154" s="117" t="s">
        <v>29</v>
      </c>
      <c r="B154" s="141" t="str">
        <f ref="B154:B154" t="array">IF(INDIRECT(ADDRESS(31,X162,,,"Inputs"))=0,"",INDIRECT(ADDRESS(31,X162,,,"Inputs")))</f>
      </c>
      <c r="C154" s="178"/>
      <c r="D154" s="179" t="s">
        <v>30</v>
      </c>
      <c r="E154" s="180"/>
      <c r="F154" s="180"/>
      <c r="G154" s="180"/>
      <c r="H154" s="180"/>
      <c r="I154" s="180"/>
      <c r="J154" s="180"/>
      <c r="K154" s="180"/>
      <c r="L154" s="180"/>
      <c r="M154" s="180"/>
      <c r="N154" s="180"/>
      <c r="O154" s="180"/>
      <c r="P154" s="181"/>
      <c r="Q154" s="136" t="s">
        <v>31</v>
      </c>
      <c r="R154" s="146"/>
      <c r="S154" s="146"/>
      <c r="T154" s="165">
        <f ref="T154:T154" t="array">IFERROR(INDIRECT(ADDRESS(77,X162,,,"Inputs")), "")</f>
        <v>0</v>
      </c>
      <c r="U154" s="166"/>
      <c r="V154" s="167"/>
      <c r="AA154" s="0">
        <f>AA144</f>
        <v>1</v>
      </c>
    </row>
    <row r="155" ht="18" customHeight="1">
      <c r="A155" s="117" t="s">
        <v>32</v>
      </c>
      <c r="B155" s="148" t="str">
        <f ref="B155:B155" t="array">IF(INDIRECT(ADDRESS(83,X162,,,"Inputs"))=0,"",INDIRECT(ADDRESS(83,X162,,,"Inputs")))</f>
      </c>
      <c r="C155" s="149"/>
      <c r="D155" s="158">
        <f ref="D155:D155" t="array">INDIRECT(ADDRESS(26,X162,,,"Inputs"))</f>
        <v>0</v>
      </c>
      <c r="E155" s="158"/>
      <c r="F155" s="158"/>
      <c r="G155" s="158"/>
      <c r="H155" s="158"/>
      <c r="I155" s="158"/>
      <c r="J155" s="158"/>
      <c r="K155" s="158"/>
      <c r="L155" s="158"/>
      <c r="M155" s="158"/>
      <c r="N155" s="158"/>
      <c r="O155" s="158"/>
      <c r="P155" s="158"/>
      <c r="Q155" s="136" t="s">
        <v>33</v>
      </c>
      <c r="R155" s="146"/>
      <c r="S155" s="146"/>
      <c r="T155" s="165">
        <f ref="T155:T155" t="array">IFERROR(INDIRECT(ADDRESS(86,X162,,,"Inputs")), "")</f>
        <v>0</v>
      </c>
      <c r="U155" s="166"/>
      <c r="V155" s="167"/>
      <c r="AA155" s="0">
        <f>AA144</f>
        <v>1</v>
      </c>
    </row>
    <row r="156" ht="18" customHeight="1" s="27" customFormat="1">
      <c r="A156" s="150" t="s">
        <v>34</v>
      </c>
      <c r="B156" s="146"/>
      <c r="C156" s="151"/>
      <c r="D156" s="158"/>
      <c r="E156" s="158"/>
      <c r="F156" s="158"/>
      <c r="G156" s="158"/>
      <c r="H156" s="158"/>
      <c r="I156" s="158"/>
      <c r="J156" s="158"/>
      <c r="K156" s="158"/>
      <c r="L156" s="158"/>
      <c r="M156" s="158"/>
      <c r="N156" s="158"/>
      <c r="O156" s="158"/>
      <c r="P156" s="158"/>
      <c r="Q156" s="136" t="s">
        <v>35</v>
      </c>
      <c r="R156" s="146"/>
      <c r="S156" s="146"/>
      <c r="T156" s="165">
        <f ref="T156:T156" t="array">IFERROR(INDIRECT(ADDRESS(78,X162,,,"Inputs")), "")</f>
        <v>0</v>
      </c>
      <c r="U156" s="166"/>
      <c r="V156" s="167"/>
      <c r="AA156" s="27">
        <f>AA144</f>
        <v>1</v>
      </c>
    </row>
    <row r="157" ht="18" customHeight="1">
      <c r="A157" s="117" t="s">
        <v>36</v>
      </c>
      <c r="B157" s="141" t="str">
        <f ref="B157:B157" t="array">IF(INDIRECT(ADDRESS(30,X162,,,"Inputs"))=0,"",INDIRECT(ADDRESS(30,X162,,,"Inputs")))</f>
      </c>
      <c r="C157" s="141"/>
      <c r="D157" s="158"/>
      <c r="E157" s="158"/>
      <c r="F157" s="158"/>
      <c r="G157" s="158"/>
      <c r="H157" s="158"/>
      <c r="I157" s="158"/>
      <c r="J157" s="158"/>
      <c r="K157" s="158"/>
      <c r="L157" s="158"/>
      <c r="M157" s="158"/>
      <c r="N157" s="158"/>
      <c r="O157" s="158"/>
      <c r="P157" s="158"/>
      <c r="Q157" s="136" t="s">
        <v>37</v>
      </c>
      <c r="R157" s="146"/>
      <c r="S157" s="146"/>
      <c r="T157" s="165">
        <f ref="T157:T157" t="array">IFERROR(INDIRECT(ADDRESS(45,X162,,,"Inputs")), "")</f>
        <v>0</v>
      </c>
      <c r="U157" s="166"/>
      <c r="V157" s="167"/>
      <c r="AA157" s="0">
        <f>AA144</f>
        <v>1</v>
      </c>
    </row>
    <row r="158" ht="18" customHeight="1">
      <c r="A158" s="117" t="s">
        <v>38</v>
      </c>
      <c r="B158" s="136" t="str">
        <f ref="B158:B158" t="array">IF(INDIRECT(ADDRESS(32,X162,,,"Inputs"))=0,"",INDIRECT(ADDRESS(32,X162,,,"Inputs")))</f>
      </c>
      <c r="C158" s="136"/>
      <c r="D158" s="158"/>
      <c r="E158" s="158"/>
      <c r="F158" s="158"/>
      <c r="G158" s="158"/>
      <c r="H158" s="158"/>
      <c r="I158" s="158"/>
      <c r="J158" s="158"/>
      <c r="K158" s="158"/>
      <c r="L158" s="158"/>
      <c r="M158" s="158"/>
      <c r="N158" s="158"/>
      <c r="O158" s="158"/>
      <c r="P158" s="158"/>
      <c r="Q158" s="136" t="s">
        <v>39</v>
      </c>
      <c r="R158" s="146"/>
      <c r="S158" s="146"/>
      <c r="T158" s="165">
        <f ref="T158:T158" t="array">IFERROR(INDIRECT(ADDRESS(79,X162,,,"Inputs")), "")</f>
        <v>0</v>
      </c>
      <c r="U158" s="166"/>
      <c r="V158" s="167"/>
      <c r="AA158" s="0">
        <f>AA144</f>
        <v>1</v>
      </c>
    </row>
    <row r="159" ht="18" customHeight="1">
      <c r="A159" s="152" t="s">
        <v>40</v>
      </c>
      <c r="B159" s="153"/>
      <c r="C159" s="154"/>
      <c r="D159" s="158"/>
      <c r="E159" s="158"/>
      <c r="F159" s="158"/>
      <c r="G159" s="158"/>
      <c r="H159" s="158"/>
      <c r="I159" s="158"/>
      <c r="J159" s="158"/>
      <c r="K159" s="158"/>
      <c r="L159" s="158"/>
      <c r="M159" s="158"/>
      <c r="N159" s="158"/>
      <c r="O159" s="158"/>
      <c r="P159" s="158"/>
      <c r="Q159" s="136" t="s">
        <v>41</v>
      </c>
      <c r="R159" s="146"/>
      <c r="S159" s="146"/>
      <c r="T159" s="165">
        <f ref="T159:T159" t="array">IFERROR(INDIRECT(ADDRESS(80,X162,,,"Inputs")), "")</f>
        <v>0</v>
      </c>
      <c r="U159" s="166"/>
      <c r="V159" s="167"/>
      <c r="W159" s="0">
        <f ref="W159:W159" t="array">INDIRECT(ADDRESS(34,X162,,,"Inputs"))</f>
        <v>0</v>
      </c>
      <c r="X159" s="3"/>
      <c r="AA159" s="0">
        <f>AA144</f>
        <v>1</v>
      </c>
    </row>
    <row r="160" ht="18" customHeight="1">
      <c r="A160" s="117" t="s">
        <v>42</v>
      </c>
      <c r="B160" s="141" t="str">
        <f ref="B160:B160" t="array">IF(INDIRECT(ADDRESS(33,X162,,,"Inputs"))=0,"",INDIRECT(ADDRESS(33,X162,,,"Inputs")))</f>
      </c>
      <c r="C160" s="141"/>
      <c r="D160" s="158"/>
      <c r="E160" s="158"/>
      <c r="F160" s="158"/>
      <c r="G160" s="158"/>
      <c r="H160" s="158"/>
      <c r="I160" s="158"/>
      <c r="J160" s="158"/>
      <c r="K160" s="158"/>
      <c r="L160" s="158"/>
      <c r="M160" s="158"/>
      <c r="N160" s="158"/>
      <c r="O160" s="158"/>
      <c r="P160" s="158"/>
      <c r="Q160" s="136" t="s">
        <v>43</v>
      </c>
      <c r="R160" s="146"/>
      <c r="S160" s="146"/>
      <c r="T160" s="165">
        <f ref="T160:T160" t="array">IFERROR(INDIRECT(ADDRESS(81,X162,,,"Inputs")), "")</f>
        <v>0</v>
      </c>
      <c r="U160" s="166"/>
      <c r="V160" s="167"/>
      <c r="X160" s="3"/>
      <c r="AA160" s="0">
        <f>AA144</f>
        <v>1</v>
      </c>
    </row>
    <row r="161" ht="36" customHeight="1">
      <c r="A161" s="117" t="s">
        <v>44</v>
      </c>
      <c r="B161" s="156" t="str">
        <f ref="B161:B161" t="array">IF(INDIRECT(ADDRESS(47,X162,,,"Inputs"))=0,"",INDIRECT(ADDRESS(47,X162,,,"Inputs")))</f>
      </c>
      <c r="C161" s="156"/>
      <c r="D161" s="158"/>
      <c r="E161" s="158"/>
      <c r="F161" s="158"/>
      <c r="G161" s="158"/>
      <c r="H161" s="158"/>
      <c r="I161" s="158"/>
      <c r="J161" s="158"/>
      <c r="K161" s="158"/>
      <c r="L161" s="158"/>
      <c r="M161" s="158"/>
      <c r="N161" s="158"/>
      <c r="O161" s="158"/>
      <c r="P161" s="158"/>
      <c r="Q161" s="136" t="s">
        <v>45</v>
      </c>
      <c r="R161" s="146"/>
      <c r="S161" s="146"/>
      <c r="T161" s="136" t="str">
        <f ref="T161:T161" t="array">_xlfn.CONCAT(IFERROR(INDIRECT(ADDRESS(49,X162,,,"Inputs")), ""), " / ", IFERROR(INDIRECT(ADDRESS(48,X162,,,"Inputs")), ""))</f>
        <v> / </v>
      </c>
      <c r="U161" s="146"/>
      <c r="V161" s="161"/>
      <c r="X161" s="3"/>
      <c r="AA161" s="0">
        <f>AA144</f>
        <v>1</v>
      </c>
    </row>
    <row r="162" ht="102" customHeight="1">
      <c r="A162" s="122"/>
      <c r="B162" s="157"/>
      <c r="C162" s="157"/>
      <c r="D162" s="159"/>
      <c r="E162" s="159"/>
      <c r="F162" s="159"/>
      <c r="G162" s="159"/>
      <c r="H162" s="159"/>
      <c r="I162" s="159"/>
      <c r="J162" s="159"/>
      <c r="K162" s="159"/>
      <c r="L162" s="159"/>
      <c r="M162" s="159"/>
      <c r="N162" s="159"/>
      <c r="O162" s="159"/>
      <c r="P162" s="159"/>
      <c r="Q162" s="159"/>
      <c r="R162" s="173"/>
      <c r="S162" s="173"/>
      <c r="T162" s="174"/>
      <c r="U162" s="175"/>
      <c r="V162" s="176"/>
      <c r="W162" s="78" t="s">
        <v>46</v>
      </c>
      <c r="X162" s="78">
        <f>COLUMN(Inputs!CA5)</f>
        <v>79</v>
      </c>
      <c r="AA162" s="0">
        <f>AA144</f>
        <v>1</v>
      </c>
    </row>
    <row r="163" ht="18" customHeight="1">
      <c r="A163" s="58"/>
      <c r="B163" s="36"/>
      <c r="C163" s="36"/>
      <c r="D163" s="36"/>
      <c r="E163" s="36"/>
      <c r="F163" s="36"/>
      <c r="G163" s="36"/>
      <c r="H163" s="36"/>
      <c r="I163" s="36"/>
      <c r="J163" s="36"/>
      <c r="K163" s="36"/>
      <c r="L163" s="36"/>
      <c r="M163" s="36"/>
      <c r="N163" s="36"/>
      <c r="O163" s="36"/>
      <c r="P163" s="36"/>
      <c r="Q163" s="36"/>
      <c r="R163" s="36"/>
      <c r="S163" s="36"/>
      <c r="T163" s="36"/>
      <c r="U163" s="36"/>
      <c r="V163" s="36"/>
      <c r="AA163" s="0">
        <f>AA144</f>
        <v>1</v>
      </c>
    </row>
    <row r="164" ht="18" customHeight="1">
      <c r="A164" s="139" t="s">
        <v>4</v>
      </c>
      <c r="B164" s="140"/>
      <c r="C164" s="140"/>
      <c r="D164" s="140" t="str">
        <f ref="D164:D164" t="array">CONCATENATE(INDIRECT(ADDRESS(6,X182,,,"Inputs"))," ",INDIRECT(ADDRESS(8,X182,,,"Inputs"))," ",INDIRECT(ADDRESS(9,X182,,,"Inputs")))</f>
      </c>
      <c r="E164" s="140"/>
      <c r="F164" s="140"/>
      <c r="G164" s="140"/>
      <c r="H164" s="140"/>
      <c r="I164" s="140"/>
      <c r="J164" s="140"/>
      <c r="K164" s="140"/>
      <c r="L164" s="140"/>
      <c r="M164" s="140"/>
      <c r="N164" s="140"/>
      <c r="O164" s="140"/>
      <c r="P164" s="140"/>
      <c r="Q164" s="113"/>
      <c r="R164" s="113"/>
      <c r="S164" s="113"/>
      <c r="T164" s="113"/>
      <c r="U164" s="113"/>
      <c r="V164" s="114"/>
      <c r="AA164" s="0">
        <f>IF(LEN(TRIM(A164))=0,0,1)</f>
        <v>1</v>
      </c>
    </row>
    <row r="165" ht="18" customHeight="1">
      <c r="A165" s="134" t="str">
        <f ref="A165:A165" t="array">IF(INDIRECT(ADDRESS(50,X182,,,"Inputs"))=0,"",INDIRECT(ADDRESS(50,X182,,,"Inputs")))</f>
      </c>
      <c r="B165" s="135"/>
      <c r="C165" s="135"/>
      <c r="D165" s="136" t="str">
        <f ref="D165:D165" t="array">IF(INDIRECT(ADDRESS(10,X182,,,"Inputs"))=0,"",INDIRECT(ADDRESS(10,X182,,,"Inputs")))</f>
      </c>
      <c r="E165" s="136"/>
      <c r="F165" s="136"/>
      <c r="G165" s="136"/>
      <c r="H165" s="136"/>
      <c r="I165" s="136"/>
      <c r="J165" s="136"/>
      <c r="K165" s="136"/>
      <c r="L165" s="136"/>
      <c r="M165" s="136"/>
      <c r="N165" s="136"/>
      <c r="O165" s="136"/>
      <c r="P165" s="136"/>
      <c r="Q165" s="110"/>
      <c r="R165" s="110"/>
      <c r="S165" s="110"/>
      <c r="T165" s="110"/>
      <c r="U165" s="110"/>
      <c r="V165" s="115"/>
      <c r="AA165" s="0">
        <f>AA164</f>
        <v>1</v>
      </c>
    </row>
    <row r="166" ht="18" customHeight="1">
      <c r="A166" s="137" t="s">
        <v>5</v>
      </c>
      <c r="B166" s="136"/>
      <c r="C166" s="136"/>
      <c r="D166" s="136" t="str">
        <f ref="D166:D166" t="array">IF(INDIRECT(ADDRESS(14,X182,,,"Inputs"))=0,"",INDIRECT(ADDRESS(14,X182,,,"Inputs")))</f>
      </c>
      <c r="E166" s="136"/>
      <c r="F166" s="136"/>
      <c r="G166" s="136"/>
      <c r="H166" s="136"/>
      <c r="I166" s="136"/>
      <c r="J166" s="136"/>
      <c r="K166" s="136"/>
      <c r="L166" s="136"/>
      <c r="M166" s="136"/>
      <c r="N166" s="136"/>
      <c r="O166" s="136"/>
      <c r="P166" s="136"/>
      <c r="Q166" s="110"/>
      <c r="R166" s="110"/>
      <c r="S166" s="110"/>
      <c r="T166" s="110"/>
      <c r="U166" s="110"/>
      <c r="V166" s="115"/>
      <c r="AA166" s="0">
        <f>AA164</f>
        <v>1</v>
      </c>
    </row>
    <row r="167" ht="18" customHeight="1">
      <c r="A167" s="134" t="str">
        <f ref="A167:A167" t="array">IF(INDIRECT(ADDRESS(51,X182,,,"Inputs"))=0,"",INDIRECT(ADDRESS(51,X182,,,"Inputs")))</f>
      </c>
      <c r="B167" s="135"/>
      <c r="C167" s="135"/>
      <c r="D167" s="138" t="str">
        <f ref="D167:D167" t="array">INDIRECT(ADDRESS(82,X182,,,"Inputs"))</f>
      </c>
      <c r="E167" s="138"/>
      <c r="F167" s="138"/>
      <c r="G167" s="138"/>
      <c r="H167" s="138"/>
      <c r="I167" s="138"/>
      <c r="J167" s="138"/>
      <c r="K167" s="138"/>
      <c r="L167" s="138"/>
      <c r="M167" s="138"/>
      <c r="N167" s="138"/>
      <c r="O167" s="138"/>
      <c r="P167" s="138"/>
      <c r="Q167" s="112"/>
      <c r="R167" s="112"/>
      <c r="S167" s="112"/>
      <c r="T167" s="112"/>
      <c r="U167" s="112"/>
      <c r="V167" s="116"/>
      <c r="AA167" s="0">
        <f>AA164</f>
        <v>1</v>
      </c>
    </row>
    <row r="168" ht="18" customHeight="1">
      <c r="A168" s="168" t="s">
        <v>6</v>
      </c>
      <c r="B168" s="146"/>
      <c r="C168" s="151"/>
      <c r="D168" s="169" t="s">
        <v>7</v>
      </c>
      <c r="E168" s="146"/>
      <c r="F168" s="146"/>
      <c r="G168" s="146"/>
      <c r="H168" s="146"/>
      <c r="I168" s="146"/>
      <c r="J168" s="146"/>
      <c r="K168" s="146"/>
      <c r="L168" s="146"/>
      <c r="M168" s="146"/>
      <c r="N168" s="146"/>
      <c r="O168" s="146"/>
      <c r="P168" s="151"/>
      <c r="Q168" s="170" t="s">
        <v>8</v>
      </c>
      <c r="R168" s="146"/>
      <c r="S168" s="146"/>
      <c r="T168" s="146"/>
      <c r="U168" s="146"/>
      <c r="V168" s="161"/>
      <c r="AA168" s="0">
        <f>AA164</f>
        <v>1</v>
      </c>
    </row>
    <row r="169" ht="18" customHeight="1">
      <c r="A169" s="117" t="s">
        <v>9</v>
      </c>
      <c r="B169" s="162" t="str">
        <f ref="B169:B169" t="array">IF(INDIRECT(ADDRESS(15,X182,,,"Inputs"))=0,"",INDIRECT(ADDRESS(15,X182,,,"Inputs")))</f>
      </c>
      <c r="C169" s="162"/>
      <c r="D169" s="109" t="s">
        <v>10</v>
      </c>
      <c r="E169" s="136" t="s">
        <v>11</v>
      </c>
      <c r="F169" s="146"/>
      <c r="G169" s="146"/>
      <c r="H169" s="109" t="s">
        <v>12</v>
      </c>
      <c r="I169" s="109" t="s">
        <v>13</v>
      </c>
      <c r="J169" s="136" t="s">
        <v>14</v>
      </c>
      <c r="K169" s="146"/>
      <c r="L169" s="136" t="s">
        <v>15</v>
      </c>
      <c r="M169" s="146"/>
      <c r="N169" s="146"/>
      <c r="O169" s="136" t="s">
        <v>16</v>
      </c>
      <c r="P169" s="146"/>
      <c r="Q169" s="136" t="s">
        <v>17</v>
      </c>
      <c r="R169" s="146"/>
      <c r="S169" s="146"/>
      <c r="T169" s="146"/>
      <c r="U169" s="146"/>
      <c r="V169" s="161"/>
      <c r="AA169" s="0">
        <f>AA164</f>
        <v>1</v>
      </c>
    </row>
    <row r="170" ht="18" customHeight="1">
      <c r="A170" s="117" t="s">
        <v>18</v>
      </c>
      <c r="B170" s="162" t="str">
        <f ref="B170:B170" t="array">IF(INDIRECT(ADDRESS(16,X182,,,"Inputs"))=0,"",INDIRECT(ADDRESS(16,X182,,,"Inputs")))</f>
      </c>
      <c r="C170" s="162"/>
      <c r="D170" s="109" t="s">
        <v>19</v>
      </c>
      <c r="E170" s="142" t="str">
        <f ref="E170:E170" t="array">IF(ISBLANK(INDIRECT(ADDRESS(35,X182,,,"Inputs"))),"",INDIRECT(ADDRESS(35,X182,,,"Inputs")))</f>
      </c>
      <c r="F170" s="143"/>
      <c r="G170" s="143"/>
      <c r="H170" s="118" t="str">
        <f ref="H170:H170" t="array">IF(ISBLANK(INDIRECT(ADDRESS(35,X182,,,"Inputs"))),"",INDIRECT(ADDRESS(35,X182,,,"Inputs")))</f>
      </c>
      <c r="I170" s="119">
        <f ref="I170:I170" t="array">IFERROR(INDIRECT(ADDRESS(65,X182,,,"Inputs")), "")</f>
        <v>0</v>
      </c>
      <c r="J170" s="144" t="str">
        <f ref="J170:J170" t="array">IFERROR(INDIRECT(ADDRESS(66,X182,,,"Inputs")), "")</f>
      </c>
      <c r="K170" s="145"/>
      <c r="L170" s="136" t="s">
        <v>20</v>
      </c>
      <c r="M170" s="146"/>
      <c r="N170" s="146"/>
      <c r="O170" s="138" t="str">
        <f ref="O170:O170" t="array">IF(ISBLANK(INDIRECT(ADDRESS(36,X182,,,"Inputs"))), "-", IFERROR(I170/J170, ""))</f>
        <v>-</v>
      </c>
      <c r="P170" s="147"/>
      <c r="Q170" s="144" t="str">
        <f ref="Q170:Q170" t="array">IF(INDIRECT(ADDRESS(25,X182,,,"Inputs"))=0,"0",INDIRECT(ADDRESS(25,X182,,,"Inputs")))</f>
        <v>0</v>
      </c>
      <c r="R170" s="145"/>
      <c r="S170" s="145"/>
      <c r="T170" s="145"/>
      <c r="U170" s="145"/>
      <c r="V170" s="172"/>
      <c r="AA170" s="0">
        <f>AA164</f>
        <v>1</v>
      </c>
    </row>
    <row r="171" ht="36" customHeight="1">
      <c r="A171" s="117" t="s">
        <v>21</v>
      </c>
      <c r="B171" s="136" t="str">
        <f ref="B171:B171" t="array">IF(INDIRECT(ADDRESS(11,X182,,,"Inputs"))=0,"",INDIRECT(ADDRESS(11,X182,,,"Inputs")))</f>
      </c>
      <c r="C171" s="136"/>
      <c r="D171" s="109" t="s">
        <v>22</v>
      </c>
      <c r="E171" s="142" t="str">
        <f ref="E171:E171" t="array">IF(ISBLANK(INDIRECT(ADDRESS(39,X182,,,"Inputs"))),"",INDIRECT(ADDRESS(39,X182,,,"Inputs")))</f>
      </c>
      <c r="F171" s="143"/>
      <c r="G171" s="143"/>
      <c r="H171" s="118" t="str">
        <f ref="H171:H171" t="array">IF(ISBLANK(INDIRECT(ADDRESS(39,X182,,,"Inputs"))),"",INDIRECT(ADDRESS(39,X182,,,"Inputs")))</f>
      </c>
      <c r="I171" s="120" t="str">
        <f ref="I171:I171" t="array">IFERROR(INDIRECT(ADDRESS(67,X182,,,"Inputs")), "")</f>
      </c>
      <c r="J171" s="155" t="str">
        <f ref="J171:J171" t="array">IFERROR(INDIRECT(ADDRESS(68,X182,,,"Inputs")), "")</f>
      </c>
      <c r="K171" s="146"/>
      <c r="L171" s="136"/>
      <c r="M171" s="146"/>
      <c r="N171" s="146"/>
      <c r="O171" s="138" t="str">
        <f>IFERROR(J171/I171, "")</f>
      </c>
      <c r="P171" s="147"/>
      <c r="Q171" s="136" t="s">
        <v>23</v>
      </c>
      <c r="R171" s="146"/>
      <c r="S171" s="146"/>
      <c r="T171" s="146"/>
      <c r="U171" s="146"/>
      <c r="V171" s="161"/>
      <c r="AA171" s="0">
        <f>AA164</f>
        <v>1</v>
      </c>
    </row>
    <row r="172" ht="18" customHeight="1">
      <c r="A172" s="117" t="s">
        <v>24</v>
      </c>
      <c r="B172" s="141" t="str">
        <f ref="B172:B172" t="array">IF(INDIRECT(ADDRESS(75,X182,,,"Inputs"))=0,"",INDIRECT(ADDRESS(75,X182,,,"Inputs")))</f>
      </c>
      <c r="C172" s="141"/>
      <c r="D172" s="109" t="s">
        <v>25</v>
      </c>
      <c r="E172" s="142" t="str">
        <f ref="E172:E172" t="array">IF(ISBLANK(INDIRECT(ADDRESS(41,X182,,,"Inputs"))),"",INDIRECT(ADDRESS(41,X182,,,"Inputs")))</f>
      </c>
      <c r="F172" s="143"/>
      <c r="G172" s="143"/>
      <c r="H172" s="118" t="str">
        <f ref="H172:H172" t="array">IF(ISBLANK(INDIRECT(ADDRESS(41,X182,,,"Inputs"))),"",INDIRECT(ADDRESS(41,X182,,,"Inputs")))</f>
      </c>
      <c r="I172" s="119" t="str">
        <f ref="I172:I172" t="array">IFERROR(INDIRECT(ADDRESS(71,X182,,,"Inputs")), "")</f>
      </c>
      <c r="J172" s="144" t="str">
        <f ref="J172:J172" t="array">IFERROR(INDIRECT(ADDRESS(72,X182,,,"Inputs")), "")</f>
      </c>
      <c r="K172" s="145"/>
      <c r="L172" s="136" t="s">
        <v>20</v>
      </c>
      <c r="M172" s="146"/>
      <c r="N172" s="146"/>
      <c r="O172" s="138" t="str">
        <f ref="O172:O172" t="array">IF(ISBLANK(INDIRECT(ADDRESS(42,X182,,,"Inputs"))), "-", IFERROR(I172 / J172, ""))</f>
        <v>-</v>
      </c>
      <c r="P172" s="147"/>
      <c r="Q172" s="144" t="str">
        <f ref="Q172:Q172" t="array">IF(INDIRECT(ADDRESS(24,X182,,,"Inputs"))=0,"0",INDIRECT(ADDRESS(24,X182,,,"Inputs")))</f>
        <v>0</v>
      </c>
      <c r="R172" s="145"/>
      <c r="S172" s="145"/>
      <c r="T172" s="145"/>
      <c r="U172" s="145"/>
      <c r="V172" s="172"/>
      <c r="AA172" s="0">
        <f>AA164</f>
        <v>1</v>
      </c>
    </row>
    <row r="173" ht="36" customHeight="1">
      <c r="A173" s="117" t="s">
        <v>26</v>
      </c>
      <c r="B173" s="136" t="str">
        <f ref="B173:B173" t="array">IF(INDIRECT(ADDRESS(17,X182,,,"Inputs"))=0,"",INDIRECT(ADDRESS(17,X182,,,"Inputs")))</f>
      </c>
      <c r="C173" s="136"/>
      <c r="D173" s="111" t="s">
        <v>27</v>
      </c>
      <c r="E173" s="142" t="str">
        <f ref="E173:E173" t="array">IF(ISBLANK(INDIRECT(ADDRESS(43,X182,,,"Inputs"))),"",INDIRECT(ADDRESS(43,X182,,,"Inputs")))</f>
      </c>
      <c r="F173" s="143"/>
      <c r="G173" s="143"/>
      <c r="H173" s="118" t="str">
        <f ref="H173:H173" t="array">IF(ISBLANK(INDIRECT(ADDRESS(43,X182,,,"Inputs"))),"",INDIRECT(ADDRESS(43,X182,,,"Inputs")))</f>
      </c>
      <c r="I173" s="121" t="str">
        <f ref="I173:I173" t="array">IFERROR(INDIRECT(ADDRESS(73,X182,,,"Inputs")), "")</f>
      </c>
      <c r="J173" s="144" t="str">
        <f ref="J173:J173" t="array">IFERROR(INDIRECT(ADDRESS(74,X182,,,"Inputs")), "")</f>
      </c>
      <c r="K173" s="145"/>
      <c r="L173" s="136" t="s">
        <v>20</v>
      </c>
      <c r="M173" s="146"/>
      <c r="N173" s="146"/>
      <c r="O173" s="138" t="str">
        <f ref="O173:O173" t="array">IF(ISBLANK(INDIRECT(ADDRESS(44,X182,,,"Inputs"))), "-", IFERROR(I173 / J173, ""))</f>
        <v>-</v>
      </c>
      <c r="P173" s="147"/>
      <c r="Q173" s="177" t="s">
        <v>28</v>
      </c>
      <c r="R173" s="146"/>
      <c r="S173" s="146"/>
      <c r="T173" s="146"/>
      <c r="U173" s="146"/>
      <c r="V173" s="161"/>
      <c r="AA173" s="0">
        <f>AA164</f>
        <v>1</v>
      </c>
    </row>
    <row r="174" ht="18" customHeight="1">
      <c r="A174" s="117" t="s">
        <v>29</v>
      </c>
      <c r="B174" s="141" t="str">
        <f ref="B174:B174" t="array">IF(INDIRECT(ADDRESS(31,X182,,,"Inputs"))=0,"",INDIRECT(ADDRESS(31,X182,,,"Inputs")))</f>
      </c>
      <c r="C174" s="178"/>
      <c r="D174" s="179" t="s">
        <v>30</v>
      </c>
      <c r="E174" s="180"/>
      <c r="F174" s="180"/>
      <c r="G174" s="180"/>
      <c r="H174" s="180"/>
      <c r="I174" s="180"/>
      <c r="J174" s="180"/>
      <c r="K174" s="180"/>
      <c r="L174" s="180"/>
      <c r="M174" s="180"/>
      <c r="N174" s="180"/>
      <c r="O174" s="180"/>
      <c r="P174" s="181"/>
      <c r="Q174" s="136" t="s">
        <v>31</v>
      </c>
      <c r="R174" s="146"/>
      <c r="S174" s="146"/>
      <c r="T174" s="165">
        <f ref="T174:T174" t="array">IFERROR(INDIRECT(ADDRESS(77,X182,,,"Inputs")), "")</f>
        <v>0</v>
      </c>
      <c r="U174" s="166"/>
      <c r="V174" s="167"/>
      <c r="AA174" s="0">
        <f>AA164</f>
        <v>1</v>
      </c>
    </row>
    <row r="175" ht="18" customHeight="1">
      <c r="A175" s="117" t="s">
        <v>32</v>
      </c>
      <c r="B175" s="148" t="str">
        <f ref="B175:B175" t="array">IF(INDIRECT(ADDRESS(83,X182,,,"Inputs"))=0,"",INDIRECT(ADDRESS(83,X182,,,"Inputs")))</f>
      </c>
      <c r="C175" s="149"/>
      <c r="D175" s="158">
        <f ref="D175:D175" t="array">INDIRECT(ADDRESS(26,X182,,,"Inputs"))</f>
        <v>0</v>
      </c>
      <c r="E175" s="158"/>
      <c r="F175" s="158"/>
      <c r="G175" s="158"/>
      <c r="H175" s="158"/>
      <c r="I175" s="158"/>
      <c r="J175" s="158"/>
      <c r="K175" s="158"/>
      <c r="L175" s="158"/>
      <c r="M175" s="158"/>
      <c r="N175" s="158"/>
      <c r="O175" s="158"/>
      <c r="P175" s="158"/>
      <c r="Q175" s="136" t="s">
        <v>33</v>
      </c>
      <c r="R175" s="146"/>
      <c r="S175" s="146"/>
      <c r="T175" s="165">
        <f ref="T175:T175" t="array">IFERROR(INDIRECT(ADDRESS(86,X182,,,"Inputs")), "")</f>
        <v>0</v>
      </c>
      <c r="U175" s="166"/>
      <c r="V175" s="167"/>
      <c r="AA175" s="0">
        <f>AA164</f>
        <v>1</v>
      </c>
    </row>
    <row r="176" ht="18" customHeight="1">
      <c r="A176" s="150" t="s">
        <v>34</v>
      </c>
      <c r="B176" s="146"/>
      <c r="C176" s="151"/>
      <c r="D176" s="158"/>
      <c r="E176" s="158"/>
      <c r="F176" s="158"/>
      <c r="G176" s="158"/>
      <c r="H176" s="158"/>
      <c r="I176" s="158"/>
      <c r="J176" s="158"/>
      <c r="K176" s="158"/>
      <c r="L176" s="158"/>
      <c r="M176" s="158"/>
      <c r="N176" s="158"/>
      <c r="O176" s="158"/>
      <c r="P176" s="158"/>
      <c r="Q176" s="136" t="s">
        <v>35</v>
      </c>
      <c r="R176" s="146"/>
      <c r="S176" s="146"/>
      <c r="T176" s="165">
        <f ref="T176:T176" t="array">IFERROR(INDIRECT(ADDRESS(78,X182,,,"Inputs")), "")</f>
        <v>0</v>
      </c>
      <c r="U176" s="166"/>
      <c r="V176" s="167"/>
      <c r="AA176" s="0">
        <f>AA164</f>
        <v>1</v>
      </c>
    </row>
    <row r="177" ht="18" customHeight="1">
      <c r="A177" s="117" t="s">
        <v>36</v>
      </c>
      <c r="B177" s="141" t="str">
        <f ref="B177:B177" t="array">IF(INDIRECT(ADDRESS(30,X182,,,"Inputs"))=0,"",INDIRECT(ADDRESS(30,X182,,,"Inputs")))</f>
      </c>
      <c r="C177" s="141"/>
      <c r="D177" s="158"/>
      <c r="E177" s="158"/>
      <c r="F177" s="158"/>
      <c r="G177" s="158"/>
      <c r="H177" s="158"/>
      <c r="I177" s="158"/>
      <c r="J177" s="158"/>
      <c r="K177" s="158"/>
      <c r="L177" s="158"/>
      <c r="M177" s="158"/>
      <c r="N177" s="158"/>
      <c r="O177" s="158"/>
      <c r="P177" s="158"/>
      <c r="Q177" s="136" t="s">
        <v>37</v>
      </c>
      <c r="R177" s="146"/>
      <c r="S177" s="146"/>
      <c r="T177" s="165">
        <f ref="T177:T177" t="array">IFERROR(INDIRECT(ADDRESS(45,X182,,,"Inputs")), "")</f>
        <v>0</v>
      </c>
      <c r="U177" s="166"/>
      <c r="V177" s="167"/>
      <c r="AA177" s="0">
        <f>AA164</f>
        <v>1</v>
      </c>
    </row>
    <row r="178" ht="18" customHeight="1">
      <c r="A178" s="117" t="s">
        <v>38</v>
      </c>
      <c r="B178" s="136" t="str">
        <f ref="B178:B178" t="array">IF(INDIRECT(ADDRESS(32,X182,,,"Inputs"))=0,"",INDIRECT(ADDRESS(32,X182,,,"Inputs")))</f>
      </c>
      <c r="C178" s="136"/>
      <c r="D178" s="158"/>
      <c r="E178" s="158"/>
      <c r="F178" s="158"/>
      <c r="G178" s="158"/>
      <c r="H178" s="158"/>
      <c r="I178" s="158"/>
      <c r="J178" s="158"/>
      <c r="K178" s="158"/>
      <c r="L178" s="158"/>
      <c r="M178" s="158"/>
      <c r="N178" s="158"/>
      <c r="O178" s="158"/>
      <c r="P178" s="158"/>
      <c r="Q178" s="136" t="s">
        <v>39</v>
      </c>
      <c r="R178" s="146"/>
      <c r="S178" s="146"/>
      <c r="T178" s="165">
        <f ref="T178:T178" t="array">IFERROR(INDIRECT(ADDRESS(79,X182,,,"Inputs")), "")</f>
        <v>0</v>
      </c>
      <c r="U178" s="166"/>
      <c r="V178" s="167"/>
      <c r="AA178" s="0">
        <f>AA164</f>
        <v>1</v>
      </c>
    </row>
    <row r="179" ht="18" customHeight="1">
      <c r="A179" s="152" t="s">
        <v>40</v>
      </c>
      <c r="B179" s="153"/>
      <c r="C179" s="154"/>
      <c r="D179" s="158"/>
      <c r="E179" s="158"/>
      <c r="F179" s="158"/>
      <c r="G179" s="158"/>
      <c r="H179" s="158"/>
      <c r="I179" s="158"/>
      <c r="J179" s="158"/>
      <c r="K179" s="158"/>
      <c r="L179" s="158"/>
      <c r="M179" s="158"/>
      <c r="N179" s="158"/>
      <c r="O179" s="158"/>
      <c r="P179" s="158"/>
      <c r="Q179" s="136" t="s">
        <v>41</v>
      </c>
      <c r="R179" s="146"/>
      <c r="S179" s="146"/>
      <c r="T179" s="165">
        <f ref="T179:T179" t="array">IFERROR(INDIRECT(ADDRESS(80,X182,,,"Inputs")), "")</f>
        <v>0</v>
      </c>
      <c r="U179" s="166"/>
      <c r="V179" s="167"/>
      <c r="W179" s="0">
        <f ref="W179:W179" t="array">INDIRECT(ADDRESS(34,X182,,,"Inputs"))</f>
        <v>0</v>
      </c>
      <c r="X179" s="3"/>
      <c r="AA179" s="0">
        <f>AA164</f>
        <v>1</v>
      </c>
    </row>
    <row r="180" ht="18" customHeight="1">
      <c r="A180" s="117" t="s">
        <v>42</v>
      </c>
      <c r="B180" s="141" t="str">
        <f ref="B180:B180" t="array">IF(INDIRECT(ADDRESS(33,X182,,,"Inputs"))=0,"",INDIRECT(ADDRESS(33,X182,,,"Inputs")))</f>
      </c>
      <c r="C180" s="141"/>
      <c r="D180" s="158"/>
      <c r="E180" s="158"/>
      <c r="F180" s="158"/>
      <c r="G180" s="158"/>
      <c r="H180" s="158"/>
      <c r="I180" s="158"/>
      <c r="J180" s="158"/>
      <c r="K180" s="158"/>
      <c r="L180" s="158"/>
      <c r="M180" s="158"/>
      <c r="N180" s="158"/>
      <c r="O180" s="158"/>
      <c r="P180" s="158"/>
      <c r="Q180" s="136" t="s">
        <v>43</v>
      </c>
      <c r="R180" s="146"/>
      <c r="S180" s="146"/>
      <c r="T180" s="165">
        <f ref="T180:T180" t="array">IFERROR(INDIRECT(ADDRESS(81,X182,,,"Inputs")), "")</f>
        <v>0</v>
      </c>
      <c r="U180" s="166"/>
      <c r="V180" s="167"/>
      <c r="X180" s="3"/>
      <c r="AA180" s="0">
        <f>AA164</f>
        <v>1</v>
      </c>
    </row>
    <row r="181" ht="36" customHeight="1">
      <c r="A181" s="117" t="s">
        <v>44</v>
      </c>
      <c r="B181" s="156" t="str">
        <f ref="B181:B181" t="array">IF(INDIRECT(ADDRESS(47,X182,,,"Inputs"))=0,"",INDIRECT(ADDRESS(47,X182,,,"Inputs")))</f>
      </c>
      <c r="C181" s="156"/>
      <c r="D181" s="158"/>
      <c r="E181" s="158"/>
      <c r="F181" s="158"/>
      <c r="G181" s="158"/>
      <c r="H181" s="158"/>
      <c r="I181" s="158"/>
      <c r="J181" s="158"/>
      <c r="K181" s="158"/>
      <c r="L181" s="158"/>
      <c r="M181" s="158"/>
      <c r="N181" s="158"/>
      <c r="O181" s="158"/>
      <c r="P181" s="158"/>
      <c r="Q181" s="136" t="s">
        <v>45</v>
      </c>
      <c r="R181" s="146"/>
      <c r="S181" s="146"/>
      <c r="T181" s="136" t="str">
        <f ref="T181:T181" t="array">_xlfn.CONCAT(IFERROR(INDIRECT(ADDRESS(49,X182,,,"Inputs")), ""), " / ", IFERROR(INDIRECT(ADDRESS(48,X182,,,"Inputs")), ""))</f>
        <v> / </v>
      </c>
      <c r="U181" s="146"/>
      <c r="V181" s="161"/>
      <c r="X181" s="3"/>
      <c r="AA181" s="0">
        <f>AA164</f>
        <v>1</v>
      </c>
    </row>
    <row r="182" ht="102" customHeight="1">
      <c r="A182" s="122"/>
      <c r="B182" s="157"/>
      <c r="C182" s="157"/>
      <c r="D182" s="159"/>
      <c r="E182" s="159"/>
      <c r="F182" s="159"/>
      <c r="G182" s="159"/>
      <c r="H182" s="159"/>
      <c r="I182" s="159"/>
      <c r="J182" s="159"/>
      <c r="K182" s="159"/>
      <c r="L182" s="159"/>
      <c r="M182" s="159"/>
      <c r="N182" s="159"/>
      <c r="O182" s="159"/>
      <c r="P182" s="159"/>
      <c r="Q182" s="159"/>
      <c r="R182" s="173"/>
      <c r="S182" s="173"/>
      <c r="T182" s="174"/>
      <c r="U182" s="175"/>
      <c r="V182" s="176"/>
      <c r="W182" s="78" t="s">
        <v>46</v>
      </c>
      <c r="X182" s="78">
        <f>COLUMN(Inputs!CL5)</f>
        <v>90</v>
      </c>
      <c r="AA182" s="0">
        <f>AA164</f>
        <v>1</v>
      </c>
    </row>
    <row r="183" ht="18" customHeight="1">
      <c r="A183" s="58"/>
      <c r="B183" s="36"/>
      <c r="C183" s="36"/>
      <c r="D183" s="36"/>
      <c r="E183" s="36"/>
      <c r="F183" s="36"/>
      <c r="G183" s="36"/>
      <c r="H183" s="36"/>
      <c r="I183" s="36"/>
      <c r="J183" s="36"/>
      <c r="K183" s="36"/>
      <c r="L183" s="36"/>
      <c r="M183" s="36"/>
      <c r="N183" s="36"/>
      <c r="O183" s="36"/>
      <c r="P183" s="36"/>
      <c r="Q183" s="36"/>
      <c r="R183" s="36"/>
      <c r="S183" s="36"/>
      <c r="T183" s="36"/>
      <c r="U183" s="36"/>
      <c r="V183" s="36"/>
      <c r="AA183" s="0">
        <f>AA164</f>
        <v>1</v>
      </c>
    </row>
    <row r="184" ht="18" customHeight="1">
      <c r="A184" s="139" t="s">
        <v>4</v>
      </c>
      <c r="B184" s="140"/>
      <c r="C184" s="140"/>
      <c r="D184" s="140" t="str">
        <f ref="D184:D184" t="array">CONCATENATE(INDIRECT(ADDRESS(6,X202,,,"Inputs"))," ",INDIRECT(ADDRESS(8,X202,,,"Inputs"))," ",INDIRECT(ADDRESS(9,X202,,,"Inputs")))</f>
      </c>
      <c r="E184" s="140"/>
      <c r="F184" s="140"/>
      <c r="G184" s="140"/>
      <c r="H184" s="140"/>
      <c r="I184" s="140"/>
      <c r="J184" s="140"/>
      <c r="K184" s="140"/>
      <c r="L184" s="140"/>
      <c r="M184" s="140"/>
      <c r="N184" s="140"/>
      <c r="O184" s="140"/>
      <c r="P184" s="140"/>
      <c r="Q184" s="113"/>
      <c r="R184" s="113"/>
      <c r="S184" s="113"/>
      <c r="T184" s="113"/>
      <c r="U184" s="113"/>
      <c r="V184" s="114"/>
      <c r="AA184" s="0">
        <f>IF(LEN(TRIM(A184))=0,0,1)</f>
        <v>1</v>
      </c>
    </row>
    <row r="185" ht="18" customHeight="1">
      <c r="A185" s="134" t="str">
        <f ref="A185:A185" t="array">IF(INDIRECT(ADDRESS(50,X202,,,"Inputs"))=0,"",INDIRECT(ADDRESS(50,X202,,,"Inputs")))</f>
      </c>
      <c r="B185" s="135"/>
      <c r="C185" s="135"/>
      <c r="D185" s="136" t="str">
        <f ref="D185:D185" t="array">IF(INDIRECT(ADDRESS(10,X202,,,"Inputs"))=0,"",INDIRECT(ADDRESS(10,X202,,,"Inputs")))</f>
      </c>
      <c r="E185" s="136"/>
      <c r="F185" s="136"/>
      <c r="G185" s="136"/>
      <c r="H185" s="136"/>
      <c r="I185" s="136"/>
      <c r="J185" s="136"/>
      <c r="K185" s="136"/>
      <c r="L185" s="136"/>
      <c r="M185" s="136"/>
      <c r="N185" s="136"/>
      <c r="O185" s="136"/>
      <c r="P185" s="136"/>
      <c r="Q185" s="110"/>
      <c r="R185" s="110"/>
      <c r="S185" s="110"/>
      <c r="T185" s="110"/>
      <c r="U185" s="110"/>
      <c r="V185" s="115"/>
      <c r="AA185" s="0">
        <f>AA184</f>
        <v>1</v>
      </c>
    </row>
    <row r="186" ht="18" customHeight="1">
      <c r="A186" s="137" t="s">
        <v>5</v>
      </c>
      <c r="B186" s="136"/>
      <c r="C186" s="136"/>
      <c r="D186" s="136" t="str">
        <f ref="D186:D186" t="array">IF(INDIRECT(ADDRESS(14,X202,,,"Inputs"))=0,"",INDIRECT(ADDRESS(14,X202,,,"Inputs")))</f>
      </c>
      <c r="E186" s="136"/>
      <c r="F186" s="136"/>
      <c r="G186" s="136"/>
      <c r="H186" s="136"/>
      <c r="I186" s="136"/>
      <c r="J186" s="136"/>
      <c r="K186" s="136"/>
      <c r="L186" s="136"/>
      <c r="M186" s="136"/>
      <c r="N186" s="136"/>
      <c r="O186" s="136"/>
      <c r="P186" s="136"/>
      <c r="Q186" s="110"/>
      <c r="R186" s="110"/>
      <c r="S186" s="110"/>
      <c r="T186" s="110"/>
      <c r="U186" s="110"/>
      <c r="V186" s="115"/>
      <c r="AA186" s="0">
        <f>AA184</f>
        <v>1</v>
      </c>
    </row>
    <row r="187" ht="18" customHeight="1">
      <c r="A187" s="134" t="str">
        <f ref="A187:A187" t="array">IF(INDIRECT(ADDRESS(51,X202,,,"Inputs"))=0,"",INDIRECT(ADDRESS(51,X202,,,"Inputs")))</f>
      </c>
      <c r="B187" s="135"/>
      <c r="C187" s="135"/>
      <c r="D187" s="138" t="str">
        <f ref="D187:D187" t="array">INDIRECT(ADDRESS(82,X202,,,"Inputs"))</f>
      </c>
      <c r="E187" s="138"/>
      <c r="F187" s="138"/>
      <c r="G187" s="138"/>
      <c r="H187" s="138"/>
      <c r="I187" s="138"/>
      <c r="J187" s="138"/>
      <c r="K187" s="138"/>
      <c r="L187" s="138"/>
      <c r="M187" s="138"/>
      <c r="N187" s="138"/>
      <c r="O187" s="138"/>
      <c r="P187" s="138"/>
      <c r="Q187" s="112"/>
      <c r="R187" s="112"/>
      <c r="S187" s="112"/>
      <c r="T187" s="112"/>
      <c r="U187" s="112"/>
      <c r="V187" s="116"/>
      <c r="AA187" s="0">
        <f>AA184</f>
        <v>1</v>
      </c>
    </row>
    <row r="188" ht="18" customHeight="1">
      <c r="A188" s="168" t="s">
        <v>6</v>
      </c>
      <c r="B188" s="146"/>
      <c r="C188" s="151"/>
      <c r="D188" s="169" t="s">
        <v>7</v>
      </c>
      <c r="E188" s="146"/>
      <c r="F188" s="146"/>
      <c r="G188" s="146"/>
      <c r="H188" s="146"/>
      <c r="I188" s="146"/>
      <c r="J188" s="146"/>
      <c r="K188" s="146"/>
      <c r="L188" s="146"/>
      <c r="M188" s="146"/>
      <c r="N188" s="146"/>
      <c r="O188" s="146"/>
      <c r="P188" s="151"/>
      <c r="Q188" s="170" t="s">
        <v>8</v>
      </c>
      <c r="R188" s="146"/>
      <c r="S188" s="146"/>
      <c r="T188" s="146"/>
      <c r="U188" s="146"/>
      <c r="V188" s="161"/>
      <c r="AA188" s="0">
        <f>AA184</f>
        <v>1</v>
      </c>
    </row>
    <row r="189" ht="18" customHeight="1">
      <c r="A189" s="117" t="s">
        <v>9</v>
      </c>
      <c r="B189" s="162" t="str">
        <f ref="B189:B189" t="array">IF(INDIRECT(ADDRESS(15,X202,,,"Inputs"))=0,"",INDIRECT(ADDRESS(15,X202,,,"Inputs")))</f>
      </c>
      <c r="C189" s="162"/>
      <c r="D189" s="109" t="s">
        <v>10</v>
      </c>
      <c r="E189" s="136" t="s">
        <v>11</v>
      </c>
      <c r="F189" s="146"/>
      <c r="G189" s="146"/>
      <c r="H189" s="109" t="s">
        <v>12</v>
      </c>
      <c r="I189" s="109" t="s">
        <v>13</v>
      </c>
      <c r="J189" s="136" t="s">
        <v>14</v>
      </c>
      <c r="K189" s="146"/>
      <c r="L189" s="136" t="s">
        <v>15</v>
      </c>
      <c r="M189" s="146"/>
      <c r="N189" s="146"/>
      <c r="O189" s="136" t="s">
        <v>16</v>
      </c>
      <c r="P189" s="146"/>
      <c r="Q189" s="136" t="s">
        <v>17</v>
      </c>
      <c r="R189" s="146"/>
      <c r="S189" s="146"/>
      <c r="T189" s="146"/>
      <c r="U189" s="146"/>
      <c r="V189" s="161"/>
      <c r="AA189" s="0">
        <f>AA184</f>
        <v>1</v>
      </c>
    </row>
    <row r="190" ht="18" customHeight="1">
      <c r="A190" s="117" t="s">
        <v>18</v>
      </c>
      <c r="B190" s="162" t="str">
        <f ref="B190:B190" t="array">IF(INDIRECT(ADDRESS(16,X202,,,"Inputs"))=0,"",INDIRECT(ADDRESS(16,X202,,,"Inputs")))</f>
      </c>
      <c r="C190" s="162"/>
      <c r="D190" s="109" t="s">
        <v>19</v>
      </c>
      <c r="E190" s="142" t="str">
        <f ref="E190:E190" t="array">IF(ISBLANK(INDIRECT(ADDRESS(35,X202,,,"Inputs"))),"",INDIRECT(ADDRESS(35,X202,,,"Inputs")))</f>
      </c>
      <c r="F190" s="143"/>
      <c r="G190" s="143"/>
      <c r="H190" s="118" t="str">
        <f ref="H190:H190" t="array">IF(ISBLANK(INDIRECT(ADDRESS(35,X202,,,"Inputs"))),"",INDIRECT(ADDRESS(35,X202,,,"Inputs")))</f>
      </c>
      <c r="I190" s="119">
        <f ref="I190:I190" t="array">IFERROR(INDIRECT(ADDRESS(65,X202,,,"Inputs")), "")</f>
        <v>0</v>
      </c>
      <c r="J190" s="144" t="str">
        <f ref="J190:J190" t="array">IFERROR(INDIRECT(ADDRESS(66,X202,,,"Inputs")), "")</f>
      </c>
      <c r="K190" s="145"/>
      <c r="L190" s="136" t="s">
        <v>20</v>
      </c>
      <c r="M190" s="146"/>
      <c r="N190" s="146"/>
      <c r="O190" s="138" t="str">
        <f ref="O190:O190" t="array">IF(ISBLANK(INDIRECT(ADDRESS(36,X202,,,"Inputs"))), "-", IFERROR(I190/J190, ""))</f>
        <v>-</v>
      </c>
      <c r="P190" s="147"/>
      <c r="Q190" s="144" t="str">
        <f ref="Q190:Q190" t="array">IF(INDIRECT(ADDRESS(25,X202,,,"Inputs"))=0,"0",INDIRECT(ADDRESS(25,X202,,,"Inputs")))</f>
        <v>0</v>
      </c>
      <c r="R190" s="145"/>
      <c r="S190" s="145"/>
      <c r="T190" s="145"/>
      <c r="U190" s="145"/>
      <c r="V190" s="172"/>
      <c r="AA190" s="0">
        <f>AA184</f>
        <v>1</v>
      </c>
    </row>
    <row r="191" ht="36" customHeight="1">
      <c r="A191" s="117" t="s">
        <v>21</v>
      </c>
      <c r="B191" s="136" t="str">
        <f ref="B191:B191" t="array">IF(INDIRECT(ADDRESS(11,X202,,,"Inputs"))=0,"",INDIRECT(ADDRESS(11,X202,,,"Inputs")))</f>
      </c>
      <c r="C191" s="136"/>
      <c r="D191" s="109" t="s">
        <v>22</v>
      </c>
      <c r="E191" s="142" t="str">
        <f ref="E191:E191" t="array">IF(ISBLANK(INDIRECT(ADDRESS(39,X202,,,"Inputs"))),"",INDIRECT(ADDRESS(39,X202,,,"Inputs")))</f>
      </c>
      <c r="F191" s="143"/>
      <c r="G191" s="143"/>
      <c r="H191" s="118" t="str">
        <f ref="H191:H191" t="array">IF(ISBLANK(INDIRECT(ADDRESS(39,X202,,,"Inputs"))),"",INDIRECT(ADDRESS(39,X202,,,"Inputs")))</f>
      </c>
      <c r="I191" s="120" t="str">
        <f ref="I191:I191" t="array">IFERROR(INDIRECT(ADDRESS(67,X202,,,"Inputs")), "")</f>
      </c>
      <c r="J191" s="155" t="str">
        <f ref="J191:J191" t="array">IFERROR(INDIRECT(ADDRESS(68,X202,,,"Inputs")), "")</f>
      </c>
      <c r="K191" s="146"/>
      <c r="L191" s="136"/>
      <c r="M191" s="146"/>
      <c r="N191" s="146"/>
      <c r="O191" s="138" t="str">
        <f>IFERROR(J191/I191, "")</f>
      </c>
      <c r="P191" s="147"/>
      <c r="Q191" s="136" t="s">
        <v>23</v>
      </c>
      <c r="R191" s="146"/>
      <c r="S191" s="146"/>
      <c r="T191" s="146"/>
      <c r="U191" s="146"/>
      <c r="V191" s="161"/>
      <c r="AA191" s="0">
        <f>AA184</f>
        <v>1</v>
      </c>
    </row>
    <row r="192" ht="18" customHeight="1">
      <c r="A192" s="117" t="s">
        <v>24</v>
      </c>
      <c r="B192" s="141" t="str">
        <f ref="B192:B192" t="array">IF(INDIRECT(ADDRESS(75,X202,,,"Inputs"))=0,"",INDIRECT(ADDRESS(75,X202,,,"Inputs")))</f>
      </c>
      <c r="C192" s="141"/>
      <c r="D192" s="109" t="s">
        <v>25</v>
      </c>
      <c r="E192" s="142" t="str">
        <f ref="E192:E192" t="array">IF(ISBLANK(INDIRECT(ADDRESS(41,X202,,,"Inputs"))),"",INDIRECT(ADDRESS(41,X202,,,"Inputs")))</f>
      </c>
      <c r="F192" s="143"/>
      <c r="G192" s="143"/>
      <c r="H192" s="118" t="str">
        <f ref="H192:H192" t="array">IF(ISBLANK(INDIRECT(ADDRESS(41,X202,,,"Inputs"))),"",INDIRECT(ADDRESS(41,X202,,,"Inputs")))</f>
      </c>
      <c r="I192" s="119" t="str">
        <f ref="I192:I192" t="array">IFERROR(INDIRECT(ADDRESS(71,X202,,,"Inputs")), "")</f>
      </c>
      <c r="J192" s="144" t="str">
        <f ref="J192:J192" t="array">IFERROR(INDIRECT(ADDRESS(72,X202,,,"Inputs")), "")</f>
      </c>
      <c r="K192" s="145"/>
      <c r="L192" s="136" t="s">
        <v>20</v>
      </c>
      <c r="M192" s="146"/>
      <c r="N192" s="146"/>
      <c r="O192" s="138" t="str">
        <f ref="O192:O192" t="array">IF(ISBLANK(INDIRECT(ADDRESS(42,X202,,,"Inputs"))), "-", IFERROR(I192 / J192, ""))</f>
        <v>-</v>
      </c>
      <c r="P192" s="147"/>
      <c r="Q192" s="144" t="str">
        <f ref="Q192:Q192" t="array">IF(INDIRECT(ADDRESS(24,X202,,,"Inputs"))=0,"0",INDIRECT(ADDRESS(24,X202,,,"Inputs")))</f>
        <v>0</v>
      </c>
      <c r="R192" s="145"/>
      <c r="S192" s="145"/>
      <c r="T192" s="145"/>
      <c r="U192" s="145"/>
      <c r="V192" s="172"/>
      <c r="AA192" s="0">
        <f>AA184</f>
        <v>1</v>
      </c>
    </row>
    <row r="193" ht="36" customHeight="1">
      <c r="A193" s="117" t="s">
        <v>26</v>
      </c>
      <c r="B193" s="136" t="str">
        <f ref="B193:B193" t="array">IF(INDIRECT(ADDRESS(17,X202,,,"Inputs"))=0,"",INDIRECT(ADDRESS(17,X202,,,"Inputs")))</f>
      </c>
      <c r="C193" s="136"/>
      <c r="D193" s="111" t="s">
        <v>27</v>
      </c>
      <c r="E193" s="142" t="str">
        <f ref="E193:E193" t="array">IF(ISBLANK(INDIRECT(ADDRESS(43,X202,,,"Inputs"))),"",INDIRECT(ADDRESS(43,X202,,,"Inputs")))</f>
      </c>
      <c r="F193" s="143"/>
      <c r="G193" s="143"/>
      <c r="H193" s="118" t="str">
        <f ref="H193:H193" t="array">IF(ISBLANK(INDIRECT(ADDRESS(43,X202,,,"Inputs"))),"",INDIRECT(ADDRESS(43,X202,,,"Inputs")))</f>
      </c>
      <c r="I193" s="121" t="str">
        <f ref="I193:I193" t="array">IFERROR(INDIRECT(ADDRESS(73,X202,,,"Inputs")), "")</f>
      </c>
      <c r="J193" s="144" t="str">
        <f ref="J193:J193" t="array">IFERROR(INDIRECT(ADDRESS(74,X202,,,"Inputs")), "")</f>
      </c>
      <c r="K193" s="145"/>
      <c r="L193" s="136" t="s">
        <v>20</v>
      </c>
      <c r="M193" s="146"/>
      <c r="N193" s="146"/>
      <c r="O193" s="138" t="str">
        <f ref="O193:O193" t="array">IF(ISBLANK(INDIRECT(ADDRESS(44,X202,,,"Inputs"))), "-", IFERROR(I193 / J193, ""))</f>
        <v>-</v>
      </c>
      <c r="P193" s="147"/>
      <c r="Q193" s="177" t="s">
        <v>28</v>
      </c>
      <c r="R193" s="146"/>
      <c r="S193" s="146"/>
      <c r="T193" s="146"/>
      <c r="U193" s="146"/>
      <c r="V193" s="161"/>
      <c r="AA193" s="0">
        <f>AA184</f>
        <v>1</v>
      </c>
    </row>
    <row r="194" ht="18" customHeight="1">
      <c r="A194" s="117" t="s">
        <v>29</v>
      </c>
      <c r="B194" s="141" t="str">
        <f ref="B194:B194" t="array">IF(INDIRECT(ADDRESS(31,X202,,,"Inputs"))=0,"",INDIRECT(ADDRESS(31,X202,,,"Inputs")))</f>
      </c>
      <c r="C194" s="178"/>
      <c r="D194" s="179" t="s">
        <v>30</v>
      </c>
      <c r="E194" s="180"/>
      <c r="F194" s="180"/>
      <c r="G194" s="180"/>
      <c r="H194" s="180"/>
      <c r="I194" s="180"/>
      <c r="J194" s="180"/>
      <c r="K194" s="180"/>
      <c r="L194" s="180"/>
      <c r="M194" s="180"/>
      <c r="N194" s="180"/>
      <c r="O194" s="180"/>
      <c r="P194" s="181"/>
      <c r="Q194" s="136" t="s">
        <v>31</v>
      </c>
      <c r="R194" s="146"/>
      <c r="S194" s="146"/>
      <c r="T194" s="165">
        <f ref="T194:T194" t="array">IFERROR(INDIRECT(ADDRESS(77,X202,,,"Inputs")), "")</f>
        <v>0</v>
      </c>
      <c r="U194" s="166"/>
      <c r="V194" s="167"/>
      <c r="AA194" s="0">
        <f>AA184</f>
        <v>1</v>
      </c>
    </row>
    <row r="195" ht="18" customHeight="1">
      <c r="A195" s="117" t="s">
        <v>32</v>
      </c>
      <c r="B195" s="148" t="str">
        <f ref="B195:B195" t="array">IF(INDIRECT(ADDRESS(83,X202,,,"Inputs"))=0,"",INDIRECT(ADDRESS(83,X202,,,"Inputs")))</f>
      </c>
      <c r="C195" s="149"/>
      <c r="D195" s="158">
        <f ref="D195:D195" t="array">INDIRECT(ADDRESS(26,X202,,,"Inputs"))</f>
        <v>0</v>
      </c>
      <c r="E195" s="158"/>
      <c r="F195" s="158"/>
      <c r="G195" s="158"/>
      <c r="H195" s="158"/>
      <c r="I195" s="158"/>
      <c r="J195" s="158"/>
      <c r="K195" s="158"/>
      <c r="L195" s="158"/>
      <c r="M195" s="158"/>
      <c r="N195" s="158"/>
      <c r="O195" s="158"/>
      <c r="P195" s="158"/>
      <c r="Q195" s="136" t="s">
        <v>33</v>
      </c>
      <c r="R195" s="146"/>
      <c r="S195" s="146"/>
      <c r="T195" s="165">
        <f ref="T195:T195" t="array">IFERROR(INDIRECT(ADDRESS(86,X202,,,"Inputs")), "")</f>
        <v>0</v>
      </c>
      <c r="U195" s="166"/>
      <c r="V195" s="167"/>
      <c r="AA195" s="0">
        <f>AA184</f>
        <v>1</v>
      </c>
    </row>
    <row r="196" ht="18" customHeight="1">
      <c r="A196" s="150" t="s">
        <v>34</v>
      </c>
      <c r="B196" s="146"/>
      <c r="C196" s="151"/>
      <c r="D196" s="158"/>
      <c r="E196" s="158"/>
      <c r="F196" s="158"/>
      <c r="G196" s="158"/>
      <c r="H196" s="158"/>
      <c r="I196" s="158"/>
      <c r="J196" s="158"/>
      <c r="K196" s="158"/>
      <c r="L196" s="158"/>
      <c r="M196" s="158"/>
      <c r="N196" s="158"/>
      <c r="O196" s="158"/>
      <c r="P196" s="158"/>
      <c r="Q196" s="136" t="s">
        <v>35</v>
      </c>
      <c r="R196" s="146"/>
      <c r="S196" s="146"/>
      <c r="T196" s="165">
        <f ref="T196:T196" t="array">IFERROR(INDIRECT(ADDRESS(78,X202,,,"Inputs")), "")</f>
        <v>0</v>
      </c>
      <c r="U196" s="166"/>
      <c r="V196" s="167"/>
      <c r="AA196" s="0">
        <f>AA184</f>
        <v>1</v>
      </c>
    </row>
    <row r="197" ht="18" customHeight="1">
      <c r="A197" s="117" t="s">
        <v>36</v>
      </c>
      <c r="B197" s="141" t="str">
        <f ref="B197:B197" t="array">IF(INDIRECT(ADDRESS(30,X202,,,"Inputs"))=0,"",INDIRECT(ADDRESS(30,X202,,,"Inputs")))</f>
      </c>
      <c r="C197" s="141"/>
      <c r="D197" s="158"/>
      <c r="E197" s="158"/>
      <c r="F197" s="158"/>
      <c r="G197" s="158"/>
      <c r="H197" s="158"/>
      <c r="I197" s="158"/>
      <c r="J197" s="158"/>
      <c r="K197" s="158"/>
      <c r="L197" s="158"/>
      <c r="M197" s="158"/>
      <c r="N197" s="158"/>
      <c r="O197" s="158"/>
      <c r="P197" s="158"/>
      <c r="Q197" s="136" t="s">
        <v>37</v>
      </c>
      <c r="R197" s="146"/>
      <c r="S197" s="146"/>
      <c r="T197" s="165">
        <f ref="T197:T197" t="array">IFERROR(INDIRECT(ADDRESS(45,X202,,,"Inputs")), "")</f>
        <v>0</v>
      </c>
      <c r="U197" s="166"/>
      <c r="V197" s="167"/>
      <c r="AA197" s="0">
        <f>AA184</f>
        <v>1</v>
      </c>
    </row>
    <row r="198" ht="18" customHeight="1">
      <c r="A198" s="117" t="s">
        <v>38</v>
      </c>
      <c r="B198" s="136" t="str">
        <f ref="B198:B198" t="array">IF(INDIRECT(ADDRESS(32,X202,,,"Inputs"))=0,"",INDIRECT(ADDRESS(32,X202,,,"Inputs")))</f>
      </c>
      <c r="C198" s="136"/>
      <c r="D198" s="158"/>
      <c r="E198" s="158"/>
      <c r="F198" s="158"/>
      <c r="G198" s="158"/>
      <c r="H198" s="158"/>
      <c r="I198" s="158"/>
      <c r="J198" s="158"/>
      <c r="K198" s="158"/>
      <c r="L198" s="158"/>
      <c r="M198" s="158"/>
      <c r="N198" s="158"/>
      <c r="O198" s="158"/>
      <c r="P198" s="158"/>
      <c r="Q198" s="136" t="s">
        <v>39</v>
      </c>
      <c r="R198" s="146"/>
      <c r="S198" s="146"/>
      <c r="T198" s="165">
        <f ref="T198:T198" t="array">IFERROR(INDIRECT(ADDRESS(79,X202,,,"Inputs")), "")</f>
        <v>0</v>
      </c>
      <c r="U198" s="166"/>
      <c r="V198" s="167"/>
      <c r="AA198" s="0">
        <f>AA184</f>
        <v>1</v>
      </c>
    </row>
    <row r="199" ht="18" customHeight="1">
      <c r="A199" s="152" t="s">
        <v>40</v>
      </c>
      <c r="B199" s="153"/>
      <c r="C199" s="154"/>
      <c r="D199" s="158"/>
      <c r="E199" s="158"/>
      <c r="F199" s="158"/>
      <c r="G199" s="158"/>
      <c r="H199" s="158"/>
      <c r="I199" s="158"/>
      <c r="J199" s="158"/>
      <c r="K199" s="158"/>
      <c r="L199" s="158"/>
      <c r="M199" s="158"/>
      <c r="N199" s="158"/>
      <c r="O199" s="158"/>
      <c r="P199" s="158"/>
      <c r="Q199" s="136" t="s">
        <v>41</v>
      </c>
      <c r="R199" s="146"/>
      <c r="S199" s="146"/>
      <c r="T199" s="165">
        <f ref="T199:T199" t="array">IFERROR(INDIRECT(ADDRESS(80,X202,,,"Inputs")), "")</f>
        <v>0</v>
      </c>
      <c r="U199" s="166"/>
      <c r="V199" s="167"/>
      <c r="W199" s="0">
        <f ref="W199:W199" t="array">INDIRECT(ADDRESS(34,X202,,,"Inputs"))</f>
        <v>0</v>
      </c>
      <c r="X199" s="3"/>
      <c r="AA199" s="0">
        <f>AA184</f>
        <v>1</v>
      </c>
    </row>
    <row r="200" ht="18" customHeight="1">
      <c r="A200" s="117" t="s">
        <v>42</v>
      </c>
      <c r="B200" s="141" t="str">
        <f ref="B200:B200" t="array">IF(INDIRECT(ADDRESS(33,X202,,,"Inputs"))=0,"",INDIRECT(ADDRESS(33,X202,,,"Inputs")))</f>
      </c>
      <c r="C200" s="141"/>
      <c r="D200" s="158"/>
      <c r="E200" s="158"/>
      <c r="F200" s="158"/>
      <c r="G200" s="158"/>
      <c r="H200" s="158"/>
      <c r="I200" s="158"/>
      <c r="J200" s="158"/>
      <c r="K200" s="158"/>
      <c r="L200" s="158"/>
      <c r="M200" s="158"/>
      <c r="N200" s="158"/>
      <c r="O200" s="158"/>
      <c r="P200" s="158"/>
      <c r="Q200" s="136" t="s">
        <v>43</v>
      </c>
      <c r="R200" s="146"/>
      <c r="S200" s="146"/>
      <c r="T200" s="165">
        <f ref="T200:T200" t="array">IFERROR(INDIRECT(ADDRESS(81,X202,,,"Inputs")), "")</f>
        <v>0</v>
      </c>
      <c r="U200" s="166"/>
      <c r="V200" s="167"/>
      <c r="X200" s="3"/>
      <c r="AA200" s="0">
        <f>AA184</f>
        <v>1</v>
      </c>
    </row>
    <row r="201" ht="36" customHeight="1">
      <c r="A201" s="117" t="s">
        <v>44</v>
      </c>
      <c r="B201" s="156" t="str">
        <f ref="B201:B201" t="array">IF(INDIRECT(ADDRESS(47,X202,,,"Inputs"))=0,"",INDIRECT(ADDRESS(47,X202,,,"Inputs")))</f>
      </c>
      <c r="C201" s="156"/>
      <c r="D201" s="158"/>
      <c r="E201" s="158"/>
      <c r="F201" s="158"/>
      <c r="G201" s="158"/>
      <c r="H201" s="158"/>
      <c r="I201" s="158"/>
      <c r="J201" s="158"/>
      <c r="K201" s="158"/>
      <c r="L201" s="158"/>
      <c r="M201" s="158"/>
      <c r="N201" s="158"/>
      <c r="O201" s="158"/>
      <c r="P201" s="158"/>
      <c r="Q201" s="136" t="s">
        <v>45</v>
      </c>
      <c r="R201" s="146"/>
      <c r="S201" s="146"/>
      <c r="T201" s="136" t="str">
        <f ref="T201:T201" t="array">_xlfn.CONCAT(IFERROR(INDIRECT(ADDRESS(49,X202,,,"Inputs")), ""), " / ", IFERROR(INDIRECT(ADDRESS(48,X202,,,"Inputs")), ""))</f>
        <v> / </v>
      </c>
      <c r="U201" s="146"/>
      <c r="V201" s="161"/>
      <c r="X201" s="3"/>
      <c r="AA201" s="0">
        <f>AA184</f>
        <v>1</v>
      </c>
    </row>
    <row r="202" ht="102" customHeight="1">
      <c r="A202" s="122"/>
      <c r="B202" s="157"/>
      <c r="C202" s="157"/>
      <c r="D202" s="159"/>
      <c r="E202" s="159"/>
      <c r="F202" s="159"/>
      <c r="G202" s="159"/>
      <c r="H202" s="159"/>
      <c r="I202" s="159"/>
      <c r="J202" s="159"/>
      <c r="K202" s="159"/>
      <c r="L202" s="159"/>
      <c r="M202" s="159"/>
      <c r="N202" s="159"/>
      <c r="O202" s="159"/>
      <c r="P202" s="159"/>
      <c r="Q202" s="159"/>
      <c r="R202" s="173"/>
      <c r="S202" s="173"/>
      <c r="T202" s="174"/>
      <c r="U202" s="175"/>
      <c r="V202" s="176"/>
      <c r="W202" s="78" t="s">
        <v>46</v>
      </c>
      <c r="X202" s="78">
        <f>COLUMN(Inputs!CW5)</f>
        <v>101</v>
      </c>
      <c r="AA202" s="0">
        <f>AA184</f>
        <v>1</v>
      </c>
    </row>
    <row r="203" ht="18" customHeight="1">
      <c r="A203" s="58"/>
      <c r="B203" s="36"/>
      <c r="C203" s="36"/>
      <c r="D203" s="36"/>
      <c r="E203" s="36"/>
      <c r="F203" s="36"/>
      <c r="G203" s="36"/>
      <c r="H203" s="36"/>
      <c r="I203" s="36"/>
      <c r="J203" s="36"/>
      <c r="K203" s="36"/>
      <c r="L203" s="36"/>
      <c r="M203" s="36"/>
      <c r="N203" s="36"/>
      <c r="O203" s="36"/>
      <c r="P203" s="36"/>
      <c r="Q203" s="36"/>
      <c r="R203" s="36"/>
      <c r="S203" s="36"/>
      <c r="T203" s="36"/>
      <c r="U203" s="36"/>
      <c r="V203" s="36"/>
      <c r="AA203" s="0">
        <f>AA184</f>
        <v>1</v>
      </c>
    </row>
    <row r="204" ht="18" customHeight="1">
      <c r="A204" s="139" t="s">
        <v>4</v>
      </c>
      <c r="B204" s="140"/>
      <c r="C204" s="140"/>
      <c r="D204" s="140" t="str">
        <f ref="D204:D204" t="array">CONCATENATE(INDIRECT(ADDRESS(6,X222,,,"Inputs"))," ",INDIRECT(ADDRESS(8,X222,,,"Inputs"))," ",INDIRECT(ADDRESS(9,X222,,,"Inputs")))</f>
      </c>
      <c r="E204" s="140"/>
      <c r="F204" s="140"/>
      <c r="G204" s="140"/>
      <c r="H204" s="140"/>
      <c r="I204" s="140"/>
      <c r="J204" s="140"/>
      <c r="K204" s="140"/>
      <c r="L204" s="140"/>
      <c r="M204" s="140"/>
      <c r="N204" s="140"/>
      <c r="O204" s="140"/>
      <c r="P204" s="140"/>
      <c r="Q204" s="113"/>
      <c r="R204" s="113"/>
      <c r="S204" s="113"/>
      <c r="T204" s="113"/>
      <c r="U204" s="113"/>
      <c r="V204" s="114"/>
      <c r="AA204" s="0">
        <f>IF(LEN(TRIM(A204))=0,0,1)</f>
        <v>1</v>
      </c>
    </row>
    <row r="205" ht="18" customHeight="1">
      <c r="A205" s="134" t="str">
        <f ref="A205:A205" t="array">IF(INDIRECT(ADDRESS(50,X222,,,"Inputs"))=0,"",INDIRECT(ADDRESS(50,X222,,,"Inputs")))</f>
      </c>
      <c r="B205" s="135"/>
      <c r="C205" s="135"/>
      <c r="D205" s="136" t="str">
        <f ref="D205:D205" t="array">IF(INDIRECT(ADDRESS(10,X222,,,"Inputs"))=0,"",INDIRECT(ADDRESS(10,X222,,,"Inputs")))</f>
      </c>
      <c r="E205" s="136"/>
      <c r="F205" s="136"/>
      <c r="G205" s="136"/>
      <c r="H205" s="136"/>
      <c r="I205" s="136"/>
      <c r="J205" s="136"/>
      <c r="K205" s="136"/>
      <c r="L205" s="136"/>
      <c r="M205" s="136"/>
      <c r="N205" s="136"/>
      <c r="O205" s="136"/>
      <c r="P205" s="136"/>
      <c r="Q205" s="110"/>
      <c r="R205" s="110"/>
      <c r="S205" s="110"/>
      <c r="T205" s="110"/>
      <c r="U205" s="110"/>
      <c r="V205" s="115"/>
      <c r="AA205" s="0">
        <f>AA204</f>
        <v>1</v>
      </c>
    </row>
    <row r="206" ht="18" customHeight="1">
      <c r="A206" s="137" t="s">
        <v>5</v>
      </c>
      <c r="B206" s="136"/>
      <c r="C206" s="136"/>
      <c r="D206" s="136" t="str">
        <f ref="D206:D206" t="array">IF(INDIRECT(ADDRESS(14,X222,,,"Inputs"))=0,"",INDIRECT(ADDRESS(14,X222,,,"Inputs")))</f>
      </c>
      <c r="E206" s="136"/>
      <c r="F206" s="136"/>
      <c r="G206" s="136"/>
      <c r="H206" s="136"/>
      <c r="I206" s="136"/>
      <c r="J206" s="136"/>
      <c r="K206" s="136"/>
      <c r="L206" s="136"/>
      <c r="M206" s="136"/>
      <c r="N206" s="136"/>
      <c r="O206" s="136"/>
      <c r="P206" s="136"/>
      <c r="Q206" s="110"/>
      <c r="R206" s="110"/>
      <c r="S206" s="110"/>
      <c r="T206" s="110"/>
      <c r="U206" s="110"/>
      <c r="V206" s="115"/>
      <c r="AA206" s="0">
        <f>AA204</f>
        <v>1</v>
      </c>
    </row>
    <row r="207" ht="18" customHeight="1">
      <c r="A207" s="134" t="str">
        <f ref="A207:A207" t="array">IF(INDIRECT(ADDRESS(51,X222,,,"Inputs"))=0,"",INDIRECT(ADDRESS(51,X222,,,"Inputs")))</f>
      </c>
      <c r="B207" s="135"/>
      <c r="C207" s="135"/>
      <c r="D207" s="138" t="str">
        <f ref="D207:D207" t="array">INDIRECT(ADDRESS(82,X222,,,"Inputs"))</f>
      </c>
      <c r="E207" s="138"/>
      <c r="F207" s="138"/>
      <c r="G207" s="138"/>
      <c r="H207" s="138"/>
      <c r="I207" s="138"/>
      <c r="J207" s="138"/>
      <c r="K207" s="138"/>
      <c r="L207" s="138"/>
      <c r="M207" s="138"/>
      <c r="N207" s="138"/>
      <c r="O207" s="138"/>
      <c r="P207" s="138"/>
      <c r="Q207" s="112"/>
      <c r="R207" s="112"/>
      <c r="S207" s="112"/>
      <c r="T207" s="112"/>
      <c r="U207" s="112"/>
      <c r="V207" s="116"/>
      <c r="AA207" s="0">
        <f>AA204</f>
        <v>1</v>
      </c>
    </row>
    <row r="208" ht="18" customHeight="1">
      <c r="A208" s="168" t="s">
        <v>6</v>
      </c>
      <c r="B208" s="146"/>
      <c r="C208" s="151"/>
      <c r="D208" s="169" t="s">
        <v>7</v>
      </c>
      <c r="E208" s="146"/>
      <c r="F208" s="146"/>
      <c r="G208" s="146"/>
      <c r="H208" s="146"/>
      <c r="I208" s="146"/>
      <c r="J208" s="146"/>
      <c r="K208" s="146"/>
      <c r="L208" s="146"/>
      <c r="M208" s="146"/>
      <c r="N208" s="146"/>
      <c r="O208" s="146"/>
      <c r="P208" s="151"/>
      <c r="Q208" s="170" t="s">
        <v>8</v>
      </c>
      <c r="R208" s="146"/>
      <c r="S208" s="146"/>
      <c r="T208" s="146"/>
      <c r="U208" s="146"/>
      <c r="V208" s="161"/>
      <c r="AA208" s="0">
        <f>AA204</f>
        <v>1</v>
      </c>
    </row>
    <row r="209" ht="18" customHeight="1">
      <c r="A209" s="117" t="s">
        <v>9</v>
      </c>
      <c r="B209" s="162" t="str">
        <f ref="B209:B209" t="array">IF(INDIRECT(ADDRESS(15,X222,,,"Inputs"))=0,"",INDIRECT(ADDRESS(15,X222,,,"Inputs")))</f>
      </c>
      <c r="C209" s="162"/>
      <c r="D209" s="109" t="s">
        <v>10</v>
      </c>
      <c r="E209" s="136" t="s">
        <v>11</v>
      </c>
      <c r="F209" s="146"/>
      <c r="G209" s="146"/>
      <c r="H209" s="109" t="s">
        <v>12</v>
      </c>
      <c r="I209" s="109" t="s">
        <v>13</v>
      </c>
      <c r="J209" s="136" t="s">
        <v>14</v>
      </c>
      <c r="K209" s="146"/>
      <c r="L209" s="136" t="s">
        <v>15</v>
      </c>
      <c r="M209" s="146"/>
      <c r="N209" s="146"/>
      <c r="O209" s="136" t="s">
        <v>16</v>
      </c>
      <c r="P209" s="146"/>
      <c r="Q209" s="136" t="s">
        <v>17</v>
      </c>
      <c r="R209" s="146"/>
      <c r="S209" s="146"/>
      <c r="T209" s="146"/>
      <c r="U209" s="146"/>
      <c r="V209" s="161"/>
      <c r="AA209" s="0">
        <f>AA204</f>
        <v>1</v>
      </c>
    </row>
    <row r="210" ht="18" customHeight="1">
      <c r="A210" s="117" t="s">
        <v>18</v>
      </c>
      <c r="B210" s="162" t="str">
        <f ref="B210:B210" t="array">IF(INDIRECT(ADDRESS(16,X222,,,"Inputs"))=0,"",INDIRECT(ADDRESS(16,X222,,,"Inputs")))</f>
      </c>
      <c r="C210" s="162"/>
      <c r="D210" s="109" t="s">
        <v>19</v>
      </c>
      <c r="E210" s="142" t="str">
        <f ref="E210:E210" t="array">IF(ISBLANK(INDIRECT(ADDRESS(35,X222,,,"Inputs"))),"",INDIRECT(ADDRESS(35,X222,,,"Inputs")))</f>
      </c>
      <c r="F210" s="143"/>
      <c r="G210" s="143"/>
      <c r="H210" s="118" t="str">
        <f ref="H210:H210" t="array">IF(ISBLANK(INDIRECT(ADDRESS(35,X222,,,"Inputs"))),"",INDIRECT(ADDRESS(35,X222,,,"Inputs")))</f>
      </c>
      <c r="I210" s="119">
        <f ref="I210:I210" t="array">IFERROR(INDIRECT(ADDRESS(65,X222,,,"Inputs")), "")</f>
        <v>0</v>
      </c>
      <c r="J210" s="144" t="str">
        <f ref="J210:J210" t="array">IFERROR(INDIRECT(ADDRESS(66,X222,,,"Inputs")), "")</f>
      </c>
      <c r="K210" s="145"/>
      <c r="L210" s="136" t="s">
        <v>20</v>
      </c>
      <c r="M210" s="146"/>
      <c r="N210" s="146"/>
      <c r="O210" s="138" t="str">
        <f ref="O210:O210" t="array">IF(ISBLANK(INDIRECT(ADDRESS(36,X222,,,"Inputs"))), "-", IFERROR(I210/J210, ""))</f>
        <v>-</v>
      </c>
      <c r="P210" s="147"/>
      <c r="Q210" s="144" t="str">
        <f ref="Q210:Q210" t="array">IF(INDIRECT(ADDRESS(25,X222,,,"Inputs"))=0,"0",INDIRECT(ADDRESS(25,X222,,,"Inputs")))</f>
        <v>0</v>
      </c>
      <c r="R210" s="145"/>
      <c r="S210" s="145"/>
      <c r="T210" s="145"/>
      <c r="U210" s="145"/>
      <c r="V210" s="172"/>
      <c r="AA210" s="0">
        <f>AA204</f>
        <v>1</v>
      </c>
    </row>
    <row r="211" ht="36" customHeight="1">
      <c r="A211" s="117" t="s">
        <v>21</v>
      </c>
      <c r="B211" s="136" t="str">
        <f ref="B211:B211" t="array">IF(INDIRECT(ADDRESS(11,X222,,,"Inputs"))=0,"",INDIRECT(ADDRESS(11,X222,,,"Inputs")))</f>
      </c>
      <c r="C211" s="136"/>
      <c r="D211" s="109" t="s">
        <v>22</v>
      </c>
      <c r="E211" s="142" t="str">
        <f ref="E211:E211" t="array">IF(ISBLANK(INDIRECT(ADDRESS(39,X222,,,"Inputs"))),"",INDIRECT(ADDRESS(39,X222,,,"Inputs")))</f>
      </c>
      <c r="F211" s="143"/>
      <c r="G211" s="143"/>
      <c r="H211" s="118" t="str">
        <f ref="H211:H211" t="array">IF(ISBLANK(INDIRECT(ADDRESS(39,X222,,,"Inputs"))),"",INDIRECT(ADDRESS(39,X222,,,"Inputs")))</f>
      </c>
      <c r="I211" s="120" t="str">
        <f ref="I211:I211" t="array">IFERROR(INDIRECT(ADDRESS(67,X222,,,"Inputs")), "")</f>
      </c>
      <c r="J211" s="155" t="str">
        <f ref="J211:J211" t="array">IFERROR(INDIRECT(ADDRESS(68,X222,,,"Inputs")), "")</f>
      </c>
      <c r="K211" s="146"/>
      <c r="L211" s="136"/>
      <c r="M211" s="146"/>
      <c r="N211" s="146"/>
      <c r="O211" s="138" t="str">
        <f>IFERROR(J211/I211, "")</f>
      </c>
      <c r="P211" s="147"/>
      <c r="Q211" s="136" t="s">
        <v>23</v>
      </c>
      <c r="R211" s="146"/>
      <c r="S211" s="146"/>
      <c r="T211" s="146"/>
      <c r="U211" s="146"/>
      <c r="V211" s="161"/>
      <c r="AA211" s="0">
        <f>AA204</f>
        <v>1</v>
      </c>
    </row>
    <row r="212" ht="18" customHeight="1">
      <c r="A212" s="117" t="s">
        <v>24</v>
      </c>
      <c r="B212" s="141" t="str">
        <f ref="B212:B212" t="array">IF(INDIRECT(ADDRESS(75,X222,,,"Inputs"))=0,"",INDIRECT(ADDRESS(75,X222,,,"Inputs")))</f>
      </c>
      <c r="C212" s="141"/>
      <c r="D212" s="109" t="s">
        <v>25</v>
      </c>
      <c r="E212" s="142" t="str">
        <f ref="E212:E212" t="array">IF(ISBLANK(INDIRECT(ADDRESS(41,X222,,,"Inputs"))),"",INDIRECT(ADDRESS(41,X222,,,"Inputs")))</f>
      </c>
      <c r="F212" s="143"/>
      <c r="G212" s="143"/>
      <c r="H212" s="118" t="str">
        <f ref="H212:H212" t="array">IF(ISBLANK(INDIRECT(ADDRESS(41,X222,,,"Inputs"))),"",INDIRECT(ADDRESS(41,X222,,,"Inputs")))</f>
      </c>
      <c r="I212" s="119" t="str">
        <f ref="I212:I212" t="array">IFERROR(INDIRECT(ADDRESS(71,X222,,,"Inputs")), "")</f>
      </c>
      <c r="J212" s="144" t="str">
        <f ref="J212:J212" t="array">IFERROR(INDIRECT(ADDRESS(72,X222,,,"Inputs")), "")</f>
      </c>
      <c r="K212" s="145"/>
      <c r="L212" s="136" t="s">
        <v>20</v>
      </c>
      <c r="M212" s="146"/>
      <c r="N212" s="146"/>
      <c r="O212" s="138" t="str">
        <f ref="O212:O212" t="array">IF(ISBLANK(INDIRECT(ADDRESS(42,X222,,,"Inputs"))), "-", IFERROR(I212 / J212, ""))</f>
        <v>-</v>
      </c>
      <c r="P212" s="147"/>
      <c r="Q212" s="144" t="str">
        <f ref="Q212:Q212" t="array">IF(INDIRECT(ADDRESS(24,X222,,,"Inputs"))=0,"0",INDIRECT(ADDRESS(24,X222,,,"Inputs")))</f>
        <v>0</v>
      </c>
      <c r="R212" s="145"/>
      <c r="S212" s="145"/>
      <c r="T212" s="145"/>
      <c r="U212" s="145"/>
      <c r="V212" s="172"/>
      <c r="AA212" s="0">
        <f>AA204</f>
        <v>1</v>
      </c>
    </row>
    <row r="213" ht="36" customHeight="1">
      <c r="A213" s="117" t="s">
        <v>26</v>
      </c>
      <c r="B213" s="136" t="str">
        <f ref="B213:B213" t="array">IF(INDIRECT(ADDRESS(17,X222,,,"Inputs"))=0,"",INDIRECT(ADDRESS(17,X222,,,"Inputs")))</f>
      </c>
      <c r="C213" s="136"/>
      <c r="D213" s="111" t="s">
        <v>27</v>
      </c>
      <c r="E213" s="142" t="str">
        <f ref="E213:E213" t="array">IF(ISBLANK(INDIRECT(ADDRESS(43,X222,,,"Inputs"))),"",INDIRECT(ADDRESS(43,X222,,,"Inputs")))</f>
      </c>
      <c r="F213" s="143"/>
      <c r="G213" s="143"/>
      <c r="H213" s="118" t="str">
        <f ref="H213:H213" t="array">IF(ISBLANK(INDIRECT(ADDRESS(43,X222,,,"Inputs"))),"",INDIRECT(ADDRESS(43,X222,,,"Inputs")))</f>
      </c>
      <c r="I213" s="121" t="str">
        <f ref="I213:I213" t="array">IFERROR(INDIRECT(ADDRESS(73,X222,,,"Inputs")), "")</f>
      </c>
      <c r="J213" s="144" t="str">
        <f ref="J213:J213" t="array">IFERROR(INDIRECT(ADDRESS(74,X222,,,"Inputs")), "")</f>
      </c>
      <c r="K213" s="145"/>
      <c r="L213" s="136" t="s">
        <v>20</v>
      </c>
      <c r="M213" s="146"/>
      <c r="N213" s="146"/>
      <c r="O213" s="138" t="str">
        <f ref="O213:O213" t="array">IF(ISBLANK(INDIRECT(ADDRESS(44,X222,,,"Inputs"))), "-", IFERROR(I213 / J213, ""))</f>
        <v>-</v>
      </c>
      <c r="P213" s="147"/>
      <c r="Q213" s="177" t="s">
        <v>28</v>
      </c>
      <c r="R213" s="146"/>
      <c r="S213" s="146"/>
      <c r="T213" s="146"/>
      <c r="U213" s="146"/>
      <c r="V213" s="161"/>
      <c r="AA213" s="0">
        <f>AA204</f>
        <v>1</v>
      </c>
    </row>
    <row r="214" ht="18" customHeight="1">
      <c r="A214" s="117" t="s">
        <v>29</v>
      </c>
      <c r="B214" s="141" t="str">
        <f ref="B214:B214" t="array">IF(INDIRECT(ADDRESS(31,X222,,,"Inputs"))=0,"",INDIRECT(ADDRESS(31,X222,,,"Inputs")))</f>
      </c>
      <c r="C214" s="178"/>
      <c r="D214" s="179" t="s">
        <v>30</v>
      </c>
      <c r="E214" s="180"/>
      <c r="F214" s="180"/>
      <c r="G214" s="180"/>
      <c r="H214" s="180"/>
      <c r="I214" s="180"/>
      <c r="J214" s="180"/>
      <c r="K214" s="180"/>
      <c r="L214" s="180"/>
      <c r="M214" s="180"/>
      <c r="N214" s="180"/>
      <c r="O214" s="180"/>
      <c r="P214" s="181"/>
      <c r="Q214" s="136" t="s">
        <v>31</v>
      </c>
      <c r="R214" s="146"/>
      <c r="S214" s="146"/>
      <c r="T214" s="165">
        <f ref="T214:T214" t="array">IFERROR(INDIRECT(ADDRESS(77,X222,,,"Inputs")), "")</f>
        <v>0</v>
      </c>
      <c r="U214" s="166"/>
      <c r="V214" s="167"/>
      <c r="AA214" s="0">
        <f>AA204</f>
        <v>1</v>
      </c>
    </row>
    <row r="215" ht="18" customHeight="1">
      <c r="A215" s="117" t="s">
        <v>32</v>
      </c>
      <c r="B215" s="148" t="str">
        <f ref="B215:B215" t="array">IF(INDIRECT(ADDRESS(83,X222,,,"Inputs"))=0,"",INDIRECT(ADDRESS(83,X222,,,"Inputs")))</f>
      </c>
      <c r="C215" s="149"/>
      <c r="D215" s="158">
        <f ref="D215:D215" t="array">INDIRECT(ADDRESS(26,X222,,,"Inputs"))</f>
        <v>0</v>
      </c>
      <c r="E215" s="158"/>
      <c r="F215" s="158"/>
      <c r="G215" s="158"/>
      <c r="H215" s="158"/>
      <c r="I215" s="158"/>
      <c r="J215" s="158"/>
      <c r="K215" s="158"/>
      <c r="L215" s="158"/>
      <c r="M215" s="158"/>
      <c r="N215" s="158"/>
      <c r="O215" s="158"/>
      <c r="P215" s="158"/>
      <c r="Q215" s="136" t="s">
        <v>33</v>
      </c>
      <c r="R215" s="146"/>
      <c r="S215" s="146"/>
      <c r="T215" s="165">
        <f ref="T215:T215" t="array">IFERROR(INDIRECT(ADDRESS(86,X222,,,"Inputs")), "")</f>
        <v>0</v>
      </c>
      <c r="U215" s="166"/>
      <c r="V215" s="167"/>
      <c r="AA215" s="0">
        <f>AA204</f>
        <v>1</v>
      </c>
    </row>
    <row r="216" ht="18" customHeight="1">
      <c r="A216" s="150" t="s">
        <v>34</v>
      </c>
      <c r="B216" s="146"/>
      <c r="C216" s="151"/>
      <c r="D216" s="158"/>
      <c r="E216" s="158"/>
      <c r="F216" s="158"/>
      <c r="G216" s="158"/>
      <c r="H216" s="158"/>
      <c r="I216" s="158"/>
      <c r="J216" s="158"/>
      <c r="K216" s="158"/>
      <c r="L216" s="158"/>
      <c r="M216" s="158"/>
      <c r="N216" s="158"/>
      <c r="O216" s="158"/>
      <c r="P216" s="158"/>
      <c r="Q216" s="136" t="s">
        <v>35</v>
      </c>
      <c r="R216" s="146"/>
      <c r="S216" s="146"/>
      <c r="T216" s="165">
        <f ref="T216:T216" t="array">IFERROR(INDIRECT(ADDRESS(78,X222,,,"Inputs")), "")</f>
        <v>0</v>
      </c>
      <c r="U216" s="166"/>
      <c r="V216" s="167"/>
      <c r="AA216" s="0">
        <f>AA204</f>
        <v>1</v>
      </c>
    </row>
    <row r="217" ht="18" customHeight="1">
      <c r="A217" s="117" t="s">
        <v>36</v>
      </c>
      <c r="B217" s="141" t="str">
        <f ref="B217:B217" t="array">IF(INDIRECT(ADDRESS(30,X222,,,"Inputs"))=0,"",INDIRECT(ADDRESS(30,X222,,,"Inputs")))</f>
      </c>
      <c r="C217" s="141"/>
      <c r="D217" s="158"/>
      <c r="E217" s="158"/>
      <c r="F217" s="158"/>
      <c r="G217" s="158"/>
      <c r="H217" s="158"/>
      <c r="I217" s="158"/>
      <c r="J217" s="158"/>
      <c r="K217" s="158"/>
      <c r="L217" s="158"/>
      <c r="M217" s="158"/>
      <c r="N217" s="158"/>
      <c r="O217" s="158"/>
      <c r="P217" s="158"/>
      <c r="Q217" s="136" t="s">
        <v>37</v>
      </c>
      <c r="R217" s="146"/>
      <c r="S217" s="146"/>
      <c r="T217" s="165">
        <f ref="T217:T217" t="array">IFERROR(INDIRECT(ADDRESS(45,X222,,,"Inputs")), "")</f>
        <v>0</v>
      </c>
      <c r="U217" s="166"/>
      <c r="V217" s="167"/>
      <c r="AA217" s="0">
        <f>AA204</f>
        <v>1</v>
      </c>
    </row>
    <row r="218" ht="18" customHeight="1">
      <c r="A218" s="117" t="s">
        <v>38</v>
      </c>
      <c r="B218" s="136" t="str">
        <f ref="B218:B218" t="array">IF(INDIRECT(ADDRESS(32,X222,,,"Inputs"))=0,"",INDIRECT(ADDRESS(32,X222,,,"Inputs")))</f>
      </c>
      <c r="C218" s="136"/>
      <c r="D218" s="158"/>
      <c r="E218" s="158"/>
      <c r="F218" s="158"/>
      <c r="G218" s="158"/>
      <c r="H218" s="158"/>
      <c r="I218" s="158"/>
      <c r="J218" s="158"/>
      <c r="K218" s="158"/>
      <c r="L218" s="158"/>
      <c r="M218" s="158"/>
      <c r="N218" s="158"/>
      <c r="O218" s="158"/>
      <c r="P218" s="158"/>
      <c r="Q218" s="136" t="s">
        <v>39</v>
      </c>
      <c r="R218" s="146"/>
      <c r="S218" s="146"/>
      <c r="T218" s="165">
        <f ref="T218:T218" t="array">IFERROR(INDIRECT(ADDRESS(79,X222,,,"Inputs")), "")</f>
        <v>0</v>
      </c>
      <c r="U218" s="166"/>
      <c r="V218" s="167"/>
      <c r="AA218" s="0">
        <f>AA204</f>
        <v>1</v>
      </c>
    </row>
    <row r="219" ht="18" customHeight="1">
      <c r="A219" s="152" t="s">
        <v>40</v>
      </c>
      <c r="B219" s="153"/>
      <c r="C219" s="154"/>
      <c r="D219" s="158"/>
      <c r="E219" s="158"/>
      <c r="F219" s="158"/>
      <c r="G219" s="158"/>
      <c r="H219" s="158"/>
      <c r="I219" s="158"/>
      <c r="J219" s="158"/>
      <c r="K219" s="158"/>
      <c r="L219" s="158"/>
      <c r="M219" s="158"/>
      <c r="N219" s="158"/>
      <c r="O219" s="158"/>
      <c r="P219" s="158"/>
      <c r="Q219" s="136" t="s">
        <v>41</v>
      </c>
      <c r="R219" s="146"/>
      <c r="S219" s="146"/>
      <c r="T219" s="165">
        <f ref="T219:T219" t="array">IFERROR(INDIRECT(ADDRESS(80,X222,,,"Inputs")), "")</f>
        <v>0</v>
      </c>
      <c r="U219" s="166"/>
      <c r="V219" s="167"/>
      <c r="W219" s="0">
        <f ref="W219:W219" t="array">INDIRECT(ADDRESS(34,X222,,,"Inputs"))</f>
        <v>0</v>
      </c>
      <c r="X219" s="3"/>
      <c r="AA219" s="0">
        <f>AA204</f>
        <v>1</v>
      </c>
    </row>
    <row r="220" ht="18" customHeight="1">
      <c r="A220" s="117" t="s">
        <v>42</v>
      </c>
      <c r="B220" s="141" t="str">
        <f ref="B220:B220" t="array">IF(INDIRECT(ADDRESS(33,X222,,,"Inputs"))=0,"",INDIRECT(ADDRESS(33,X222,,,"Inputs")))</f>
      </c>
      <c r="C220" s="141"/>
      <c r="D220" s="158"/>
      <c r="E220" s="158"/>
      <c r="F220" s="158"/>
      <c r="G220" s="158"/>
      <c r="H220" s="158"/>
      <c r="I220" s="158"/>
      <c r="J220" s="158"/>
      <c r="K220" s="158"/>
      <c r="L220" s="158"/>
      <c r="M220" s="158"/>
      <c r="N220" s="158"/>
      <c r="O220" s="158"/>
      <c r="P220" s="158"/>
      <c r="Q220" s="136" t="s">
        <v>43</v>
      </c>
      <c r="R220" s="146"/>
      <c r="S220" s="146"/>
      <c r="T220" s="165">
        <f ref="T220:T220" t="array">IFERROR(INDIRECT(ADDRESS(81,X222,,,"Inputs")), "")</f>
        <v>0</v>
      </c>
      <c r="U220" s="166"/>
      <c r="V220" s="167"/>
      <c r="X220" s="3"/>
      <c r="AA220" s="0">
        <f>AA204</f>
        <v>1</v>
      </c>
    </row>
    <row r="221" ht="36" customHeight="1">
      <c r="A221" s="117" t="s">
        <v>44</v>
      </c>
      <c r="B221" s="156" t="str">
        <f ref="B221:B221" t="array">IF(INDIRECT(ADDRESS(47,X222,,,"Inputs"))=0,"",INDIRECT(ADDRESS(47,X222,,,"Inputs")))</f>
      </c>
      <c r="C221" s="156"/>
      <c r="D221" s="158"/>
      <c r="E221" s="158"/>
      <c r="F221" s="158"/>
      <c r="G221" s="158"/>
      <c r="H221" s="158"/>
      <c r="I221" s="158"/>
      <c r="J221" s="158"/>
      <c r="K221" s="158"/>
      <c r="L221" s="158"/>
      <c r="M221" s="158"/>
      <c r="N221" s="158"/>
      <c r="O221" s="158"/>
      <c r="P221" s="158"/>
      <c r="Q221" s="136" t="s">
        <v>45</v>
      </c>
      <c r="R221" s="146"/>
      <c r="S221" s="146"/>
      <c r="T221" s="136" t="str">
        <f ref="T221:T221" t="array">_xlfn.CONCAT(IFERROR(INDIRECT(ADDRESS(49,X222,,,"Inputs")), ""), " / ", IFERROR(INDIRECT(ADDRESS(48,X222,,,"Inputs")), ""))</f>
        <v> / </v>
      </c>
      <c r="U221" s="146"/>
      <c r="V221" s="161"/>
      <c r="X221" s="3"/>
      <c r="AA221" s="0">
        <f>AA204</f>
        <v>1</v>
      </c>
    </row>
    <row r="222" ht="102" customHeight="1">
      <c r="A222" s="122"/>
      <c r="B222" s="157"/>
      <c r="C222" s="157"/>
      <c r="D222" s="159"/>
      <c r="E222" s="159"/>
      <c r="F222" s="159"/>
      <c r="G222" s="159"/>
      <c r="H222" s="159"/>
      <c r="I222" s="159"/>
      <c r="J222" s="159"/>
      <c r="K222" s="159"/>
      <c r="L222" s="159"/>
      <c r="M222" s="159"/>
      <c r="N222" s="159"/>
      <c r="O222" s="159"/>
      <c r="P222" s="159"/>
      <c r="Q222" s="159"/>
      <c r="R222" s="173"/>
      <c r="S222" s="173"/>
      <c r="T222" s="174"/>
      <c r="U222" s="175"/>
      <c r="V222" s="176"/>
      <c r="W222" s="78" t="s">
        <v>46</v>
      </c>
      <c r="X222" s="78">
        <f>COLUMN(Inputs!DH5)</f>
        <v>112</v>
      </c>
      <c r="AA222" s="0">
        <f>AA204</f>
        <v>1</v>
      </c>
    </row>
    <row r="223" ht="18" customHeight="1">
      <c r="A223" s="58"/>
      <c r="B223" s="36"/>
      <c r="C223" s="36"/>
      <c r="D223" s="36"/>
      <c r="E223" s="36"/>
      <c r="F223" s="36"/>
      <c r="G223" s="36"/>
      <c r="H223" s="36"/>
      <c r="I223" s="36"/>
      <c r="J223" s="36"/>
      <c r="K223" s="36"/>
      <c r="L223" s="36"/>
      <c r="M223" s="36"/>
      <c r="N223" s="36"/>
      <c r="O223" s="36"/>
      <c r="P223" s="36"/>
      <c r="Q223" s="36"/>
      <c r="R223" s="36"/>
      <c r="S223" s="36"/>
      <c r="T223" s="36"/>
      <c r="U223" s="36"/>
      <c r="V223" s="36"/>
      <c r="AA223" s="0">
        <f>AA204</f>
        <v>1</v>
      </c>
    </row>
    <row r="224" ht="18" customHeight="1">
      <c r="A224" s="139" t="s">
        <v>4</v>
      </c>
      <c r="B224" s="140"/>
      <c r="C224" s="140"/>
      <c r="D224" s="140" t="str">
        <f ref="D224:D224" t="array">CONCATENATE(INDIRECT(ADDRESS(6,X242,,,"Inputs"))," ",INDIRECT(ADDRESS(8,X242,,,"Inputs"))," ",INDIRECT(ADDRESS(9,X242,,,"Inputs")))</f>
      </c>
      <c r="E224" s="140"/>
      <c r="F224" s="140"/>
      <c r="G224" s="140"/>
      <c r="H224" s="140"/>
      <c r="I224" s="140"/>
      <c r="J224" s="140"/>
      <c r="K224" s="140"/>
      <c r="L224" s="140"/>
      <c r="M224" s="140"/>
      <c r="N224" s="140"/>
      <c r="O224" s="140"/>
      <c r="P224" s="140"/>
      <c r="Q224" s="113"/>
      <c r="R224" s="113"/>
      <c r="S224" s="113"/>
      <c r="T224" s="113"/>
      <c r="U224" s="113"/>
      <c r="V224" s="114"/>
      <c r="AA224" s="0">
        <f>IF(LEN(TRIM(A224))=0,0,1)</f>
        <v>1</v>
      </c>
    </row>
    <row r="225" ht="18" customHeight="1">
      <c r="A225" s="134" t="str">
        <f ref="A225:A225" t="array">IF(INDIRECT(ADDRESS(50,X242,,,"Inputs"))=0,"",INDIRECT(ADDRESS(50,X242,,,"Inputs")))</f>
      </c>
      <c r="B225" s="135"/>
      <c r="C225" s="135"/>
      <c r="D225" s="136" t="str">
        <f ref="D225:D225" t="array">IF(INDIRECT(ADDRESS(10,X242,,,"Inputs"))=0,"",INDIRECT(ADDRESS(10,X242,,,"Inputs")))</f>
      </c>
      <c r="E225" s="136"/>
      <c r="F225" s="136"/>
      <c r="G225" s="136"/>
      <c r="H225" s="136"/>
      <c r="I225" s="136"/>
      <c r="J225" s="136"/>
      <c r="K225" s="136"/>
      <c r="L225" s="136"/>
      <c r="M225" s="136"/>
      <c r="N225" s="136"/>
      <c r="O225" s="136"/>
      <c r="P225" s="136"/>
      <c r="Q225" s="110"/>
      <c r="R225" s="110"/>
      <c r="S225" s="110"/>
      <c r="T225" s="110"/>
      <c r="U225" s="110"/>
      <c r="V225" s="115"/>
      <c r="AA225" s="0">
        <f>AA224</f>
        <v>1</v>
      </c>
    </row>
    <row r="226" ht="18" customHeight="1">
      <c r="A226" s="137" t="s">
        <v>5</v>
      </c>
      <c r="B226" s="136"/>
      <c r="C226" s="136"/>
      <c r="D226" s="136" t="str">
        <f ref="D226:D226" t="array">IF(INDIRECT(ADDRESS(14,X242,,,"Inputs"))=0,"",INDIRECT(ADDRESS(14,X242,,,"Inputs")))</f>
      </c>
      <c r="E226" s="136"/>
      <c r="F226" s="136"/>
      <c r="G226" s="136"/>
      <c r="H226" s="136"/>
      <c r="I226" s="136"/>
      <c r="J226" s="136"/>
      <c r="K226" s="136"/>
      <c r="L226" s="136"/>
      <c r="M226" s="136"/>
      <c r="N226" s="136"/>
      <c r="O226" s="136"/>
      <c r="P226" s="136"/>
      <c r="Q226" s="110"/>
      <c r="R226" s="110"/>
      <c r="S226" s="110"/>
      <c r="T226" s="110"/>
      <c r="U226" s="110"/>
      <c r="V226" s="115"/>
      <c r="AA226" s="0">
        <f>AA224</f>
        <v>1</v>
      </c>
    </row>
    <row r="227" ht="18" customHeight="1">
      <c r="A227" s="134" t="str">
        <f ref="A227:A227" t="array">IF(INDIRECT(ADDRESS(51,X242,,,"Inputs"))=0,"",INDIRECT(ADDRESS(51,X242,,,"Inputs")))</f>
      </c>
      <c r="B227" s="135"/>
      <c r="C227" s="135"/>
      <c r="D227" s="138" t="str">
        <f ref="D227:D227" t="array">INDIRECT(ADDRESS(82,X242,,,"Inputs"))</f>
      </c>
      <c r="E227" s="138"/>
      <c r="F227" s="138"/>
      <c r="G227" s="138"/>
      <c r="H227" s="138"/>
      <c r="I227" s="138"/>
      <c r="J227" s="138"/>
      <c r="K227" s="138"/>
      <c r="L227" s="138"/>
      <c r="M227" s="138"/>
      <c r="N227" s="138"/>
      <c r="O227" s="138"/>
      <c r="P227" s="138"/>
      <c r="Q227" s="112"/>
      <c r="R227" s="112"/>
      <c r="S227" s="112"/>
      <c r="T227" s="112"/>
      <c r="U227" s="112"/>
      <c r="V227" s="116"/>
      <c r="AA227" s="0">
        <f>AA224</f>
        <v>1</v>
      </c>
    </row>
    <row r="228" ht="18" customHeight="1">
      <c r="A228" s="168" t="s">
        <v>6</v>
      </c>
      <c r="B228" s="146"/>
      <c r="C228" s="151"/>
      <c r="D228" s="169" t="s">
        <v>7</v>
      </c>
      <c r="E228" s="146"/>
      <c r="F228" s="146"/>
      <c r="G228" s="146"/>
      <c r="H228" s="146"/>
      <c r="I228" s="146"/>
      <c r="J228" s="146"/>
      <c r="K228" s="146"/>
      <c r="L228" s="146"/>
      <c r="M228" s="146"/>
      <c r="N228" s="146"/>
      <c r="O228" s="146"/>
      <c r="P228" s="151"/>
      <c r="Q228" s="170" t="s">
        <v>8</v>
      </c>
      <c r="R228" s="146"/>
      <c r="S228" s="146"/>
      <c r="T228" s="146"/>
      <c r="U228" s="146"/>
      <c r="V228" s="161"/>
      <c r="AA228" s="0">
        <f>AA224</f>
        <v>1</v>
      </c>
    </row>
    <row r="229" ht="18" customHeight="1">
      <c r="A229" s="117" t="s">
        <v>9</v>
      </c>
      <c r="B229" s="162" t="str">
        <f ref="B229:B229" t="array">IF(INDIRECT(ADDRESS(15,X242,,,"Inputs"))=0,"",INDIRECT(ADDRESS(15,X242,,,"Inputs")))</f>
      </c>
      <c r="C229" s="162"/>
      <c r="D229" s="109" t="s">
        <v>10</v>
      </c>
      <c r="E229" s="136" t="s">
        <v>11</v>
      </c>
      <c r="F229" s="146"/>
      <c r="G229" s="146"/>
      <c r="H229" s="109" t="s">
        <v>12</v>
      </c>
      <c r="I229" s="109" t="s">
        <v>13</v>
      </c>
      <c r="J229" s="136" t="s">
        <v>14</v>
      </c>
      <c r="K229" s="146"/>
      <c r="L229" s="136" t="s">
        <v>15</v>
      </c>
      <c r="M229" s="146"/>
      <c r="N229" s="146"/>
      <c r="O229" s="136" t="s">
        <v>16</v>
      </c>
      <c r="P229" s="146"/>
      <c r="Q229" s="136" t="s">
        <v>17</v>
      </c>
      <c r="R229" s="146"/>
      <c r="S229" s="146"/>
      <c r="T229" s="146"/>
      <c r="U229" s="146"/>
      <c r="V229" s="161"/>
      <c r="AA229" s="0">
        <f>AA224</f>
        <v>1</v>
      </c>
    </row>
    <row r="230" ht="18" customHeight="1">
      <c r="A230" s="117" t="s">
        <v>18</v>
      </c>
      <c r="B230" s="162" t="str">
        <f ref="B230:B230" t="array">IF(INDIRECT(ADDRESS(16,X242,,,"Inputs"))=0,"",INDIRECT(ADDRESS(16,X242,,,"Inputs")))</f>
      </c>
      <c r="C230" s="162"/>
      <c r="D230" s="109" t="s">
        <v>19</v>
      </c>
      <c r="E230" s="142" t="str">
        <f ref="E230:E230" t="array">IF(ISBLANK(INDIRECT(ADDRESS(35,X242,,,"Inputs"))),"",INDIRECT(ADDRESS(35,X242,,,"Inputs")))</f>
      </c>
      <c r="F230" s="143"/>
      <c r="G230" s="143"/>
      <c r="H230" s="118" t="str">
        <f ref="H230:H230" t="array">IF(ISBLANK(INDIRECT(ADDRESS(35,X242,,,"Inputs"))),"",INDIRECT(ADDRESS(35,X242,,,"Inputs")))</f>
      </c>
      <c r="I230" s="119">
        <f ref="I230:I230" t="array">IFERROR(INDIRECT(ADDRESS(65,X242,,,"Inputs")), "")</f>
        <v>0</v>
      </c>
      <c r="J230" s="144" t="str">
        <f ref="J230:J230" t="array">IFERROR(INDIRECT(ADDRESS(66,X242,,,"Inputs")), "")</f>
      </c>
      <c r="K230" s="145"/>
      <c r="L230" s="136" t="s">
        <v>20</v>
      </c>
      <c r="M230" s="146"/>
      <c r="N230" s="146"/>
      <c r="O230" s="138" t="str">
        <f ref="O230:O230" t="array">IF(ISBLANK(INDIRECT(ADDRESS(36,X242,,,"Inputs"))), "-", IFERROR(I230/J230, ""))</f>
        <v>-</v>
      </c>
      <c r="P230" s="147"/>
      <c r="Q230" s="144" t="str">
        <f ref="Q230:Q230" t="array">IF(INDIRECT(ADDRESS(25,X242,,,"Inputs"))=0,"0",INDIRECT(ADDRESS(25,X242,,,"Inputs")))</f>
        <v>0</v>
      </c>
      <c r="R230" s="145"/>
      <c r="S230" s="145"/>
      <c r="T230" s="145"/>
      <c r="U230" s="145"/>
      <c r="V230" s="172"/>
      <c r="AA230" s="0">
        <f>AA224</f>
        <v>1</v>
      </c>
    </row>
    <row r="231" ht="36" customHeight="1">
      <c r="A231" s="117" t="s">
        <v>21</v>
      </c>
      <c r="B231" s="136" t="str">
        <f ref="B231:B231" t="array">IF(INDIRECT(ADDRESS(11,X242,,,"Inputs"))=0,"",INDIRECT(ADDRESS(11,X242,,,"Inputs")))</f>
      </c>
      <c r="C231" s="136"/>
      <c r="D231" s="109" t="s">
        <v>22</v>
      </c>
      <c r="E231" s="142" t="str">
        <f ref="E231:E231" t="array">IF(ISBLANK(INDIRECT(ADDRESS(39,X242,,,"Inputs"))),"",INDIRECT(ADDRESS(39,X242,,,"Inputs")))</f>
      </c>
      <c r="F231" s="143"/>
      <c r="G231" s="143"/>
      <c r="H231" s="118" t="str">
        <f ref="H231:H231" t="array">IF(ISBLANK(INDIRECT(ADDRESS(39,X242,,,"Inputs"))),"",INDIRECT(ADDRESS(39,X242,,,"Inputs")))</f>
      </c>
      <c r="I231" s="120" t="str">
        <f ref="I231:I231" t="array">IFERROR(INDIRECT(ADDRESS(67,X242,,,"Inputs")), "")</f>
      </c>
      <c r="J231" s="155" t="str">
        <f ref="J231:J231" t="array">IFERROR(INDIRECT(ADDRESS(68,X242,,,"Inputs")), "")</f>
      </c>
      <c r="K231" s="146"/>
      <c r="L231" s="136"/>
      <c r="M231" s="146"/>
      <c r="N231" s="146"/>
      <c r="O231" s="138" t="str">
        <f>IFERROR(J231/I231, "")</f>
      </c>
      <c r="P231" s="147"/>
      <c r="Q231" s="136" t="s">
        <v>23</v>
      </c>
      <c r="R231" s="146"/>
      <c r="S231" s="146"/>
      <c r="T231" s="146"/>
      <c r="U231" s="146"/>
      <c r="V231" s="161"/>
      <c r="AA231" s="0">
        <f>AA224</f>
        <v>1</v>
      </c>
    </row>
    <row r="232" ht="18" customHeight="1">
      <c r="A232" s="117" t="s">
        <v>24</v>
      </c>
      <c r="B232" s="141" t="str">
        <f ref="B232:B232" t="array">IF(INDIRECT(ADDRESS(75,X242,,,"Inputs"))=0,"",INDIRECT(ADDRESS(75,X242,,,"Inputs")))</f>
      </c>
      <c r="C232" s="141"/>
      <c r="D232" s="109" t="s">
        <v>25</v>
      </c>
      <c r="E232" s="142" t="str">
        <f ref="E232:E232" t="array">IF(ISBLANK(INDIRECT(ADDRESS(41,X242,,,"Inputs"))),"",INDIRECT(ADDRESS(41,X242,,,"Inputs")))</f>
      </c>
      <c r="F232" s="143"/>
      <c r="G232" s="143"/>
      <c r="H232" s="118" t="str">
        <f ref="H232:H232" t="array">IF(ISBLANK(INDIRECT(ADDRESS(41,X242,,,"Inputs"))),"",INDIRECT(ADDRESS(41,X242,,,"Inputs")))</f>
      </c>
      <c r="I232" s="119" t="str">
        <f ref="I232:I232" t="array">IFERROR(INDIRECT(ADDRESS(71,X242,,,"Inputs")), "")</f>
      </c>
      <c r="J232" s="144" t="str">
        <f ref="J232:J232" t="array">IFERROR(INDIRECT(ADDRESS(72,X242,,,"Inputs")), "")</f>
      </c>
      <c r="K232" s="145"/>
      <c r="L232" s="136" t="s">
        <v>20</v>
      </c>
      <c r="M232" s="146"/>
      <c r="N232" s="146"/>
      <c r="O232" s="138" t="str">
        <f ref="O232:O232" t="array">IF(ISBLANK(INDIRECT(ADDRESS(42,X242,,,"Inputs"))), "-", IFERROR(I232 / J232, ""))</f>
        <v>-</v>
      </c>
      <c r="P232" s="147"/>
      <c r="Q232" s="144" t="str">
        <f ref="Q232:Q232" t="array">IF(INDIRECT(ADDRESS(24,X242,,,"Inputs"))=0,"0",INDIRECT(ADDRESS(24,X242,,,"Inputs")))</f>
        <v>0</v>
      </c>
      <c r="R232" s="145"/>
      <c r="S232" s="145"/>
      <c r="T232" s="145"/>
      <c r="U232" s="145"/>
      <c r="V232" s="172"/>
      <c r="AA232" s="0">
        <f>AA224</f>
        <v>1</v>
      </c>
    </row>
    <row r="233" ht="36" customHeight="1">
      <c r="A233" s="117" t="s">
        <v>26</v>
      </c>
      <c r="B233" s="136" t="str">
        <f ref="B233:B233" t="array">IF(INDIRECT(ADDRESS(17,X242,,,"Inputs"))=0,"",INDIRECT(ADDRESS(17,X242,,,"Inputs")))</f>
      </c>
      <c r="C233" s="136"/>
      <c r="D233" s="111" t="s">
        <v>27</v>
      </c>
      <c r="E233" s="142" t="str">
        <f ref="E233:E233" t="array">IF(ISBLANK(INDIRECT(ADDRESS(43,X242,,,"Inputs"))),"",INDIRECT(ADDRESS(43,X242,,,"Inputs")))</f>
      </c>
      <c r="F233" s="143"/>
      <c r="G233" s="143"/>
      <c r="H233" s="118" t="str">
        <f ref="H233:H233" t="array">IF(ISBLANK(INDIRECT(ADDRESS(43,X242,,,"Inputs"))),"",INDIRECT(ADDRESS(43,X242,,,"Inputs")))</f>
      </c>
      <c r="I233" s="121" t="str">
        <f ref="I233:I233" t="array">IFERROR(INDIRECT(ADDRESS(73,X242,,,"Inputs")), "")</f>
      </c>
      <c r="J233" s="144" t="str">
        <f ref="J233:J233" t="array">IFERROR(INDIRECT(ADDRESS(74,X242,,,"Inputs")), "")</f>
      </c>
      <c r="K233" s="145"/>
      <c r="L233" s="136" t="s">
        <v>20</v>
      </c>
      <c r="M233" s="146"/>
      <c r="N233" s="146"/>
      <c r="O233" s="138" t="str">
        <f ref="O233:O233" t="array">IF(ISBLANK(INDIRECT(ADDRESS(44,X242,,,"Inputs"))), "-", IFERROR(I233 / J233, ""))</f>
        <v>-</v>
      </c>
      <c r="P233" s="147"/>
      <c r="Q233" s="177" t="s">
        <v>28</v>
      </c>
      <c r="R233" s="146"/>
      <c r="S233" s="146"/>
      <c r="T233" s="146"/>
      <c r="U233" s="146"/>
      <c r="V233" s="161"/>
      <c r="AA233" s="0">
        <f>AA224</f>
        <v>1</v>
      </c>
    </row>
    <row r="234" ht="18" customHeight="1">
      <c r="A234" s="117" t="s">
        <v>29</v>
      </c>
      <c r="B234" s="141" t="str">
        <f ref="B234:B234" t="array">IF(INDIRECT(ADDRESS(31,X242,,,"Inputs"))=0,"",INDIRECT(ADDRESS(31,X242,,,"Inputs")))</f>
      </c>
      <c r="C234" s="178"/>
      <c r="D234" s="179" t="s">
        <v>30</v>
      </c>
      <c r="E234" s="180"/>
      <c r="F234" s="180"/>
      <c r="G234" s="180"/>
      <c r="H234" s="180"/>
      <c r="I234" s="180"/>
      <c r="J234" s="180"/>
      <c r="K234" s="180"/>
      <c r="L234" s="180"/>
      <c r="M234" s="180"/>
      <c r="N234" s="180"/>
      <c r="O234" s="180"/>
      <c r="P234" s="181"/>
      <c r="Q234" s="136" t="s">
        <v>31</v>
      </c>
      <c r="R234" s="146"/>
      <c r="S234" s="146"/>
      <c r="T234" s="165">
        <f ref="T234:T234" t="array">IFERROR(INDIRECT(ADDRESS(77,X242,,,"Inputs")), "")</f>
        <v>0</v>
      </c>
      <c r="U234" s="166"/>
      <c r="V234" s="167"/>
      <c r="AA234" s="0">
        <f>AA224</f>
        <v>1</v>
      </c>
    </row>
    <row r="235" ht="18" customHeight="1">
      <c r="A235" s="117" t="s">
        <v>32</v>
      </c>
      <c r="B235" s="148" t="str">
        <f ref="B235:B235" t="array">IF(INDIRECT(ADDRESS(83,X242,,,"Inputs"))=0,"",INDIRECT(ADDRESS(83,X242,,,"Inputs")))</f>
      </c>
      <c r="C235" s="149"/>
      <c r="D235" s="158">
        <f ref="D235:D235" t="array">INDIRECT(ADDRESS(26,X242,,,"Inputs"))</f>
        <v>0</v>
      </c>
      <c r="E235" s="158"/>
      <c r="F235" s="158"/>
      <c r="G235" s="158"/>
      <c r="H235" s="158"/>
      <c r="I235" s="158"/>
      <c r="J235" s="158"/>
      <c r="K235" s="158"/>
      <c r="L235" s="158"/>
      <c r="M235" s="158"/>
      <c r="N235" s="158"/>
      <c r="O235" s="158"/>
      <c r="P235" s="158"/>
      <c r="Q235" s="136" t="s">
        <v>33</v>
      </c>
      <c r="R235" s="146"/>
      <c r="S235" s="146"/>
      <c r="T235" s="165">
        <f ref="T235:T235" t="array">IFERROR(INDIRECT(ADDRESS(86,X242,,,"Inputs")), "")</f>
        <v>0</v>
      </c>
      <c r="U235" s="166"/>
      <c r="V235" s="167"/>
      <c r="AA235" s="0">
        <f>AA224</f>
        <v>1</v>
      </c>
    </row>
    <row r="236" ht="18" customHeight="1">
      <c r="A236" s="150" t="s">
        <v>34</v>
      </c>
      <c r="B236" s="146"/>
      <c r="C236" s="151"/>
      <c r="D236" s="158"/>
      <c r="E236" s="158"/>
      <c r="F236" s="158"/>
      <c r="G236" s="158"/>
      <c r="H236" s="158"/>
      <c r="I236" s="158"/>
      <c r="J236" s="158"/>
      <c r="K236" s="158"/>
      <c r="L236" s="158"/>
      <c r="M236" s="158"/>
      <c r="N236" s="158"/>
      <c r="O236" s="158"/>
      <c r="P236" s="158"/>
      <c r="Q236" s="136" t="s">
        <v>35</v>
      </c>
      <c r="R236" s="146"/>
      <c r="S236" s="146"/>
      <c r="T236" s="165">
        <f ref="T236:T236" t="array">IFERROR(INDIRECT(ADDRESS(78,X242,,,"Inputs")), "")</f>
        <v>0</v>
      </c>
      <c r="U236" s="166"/>
      <c r="V236" s="167"/>
      <c r="AA236" s="0">
        <f>AA224</f>
        <v>1</v>
      </c>
    </row>
    <row r="237" ht="18" customHeight="1">
      <c r="A237" s="117" t="s">
        <v>36</v>
      </c>
      <c r="B237" s="141" t="str">
        <f ref="B237:B237" t="array">IF(INDIRECT(ADDRESS(30,X242,,,"Inputs"))=0,"",INDIRECT(ADDRESS(30,X242,,,"Inputs")))</f>
      </c>
      <c r="C237" s="141"/>
      <c r="D237" s="158"/>
      <c r="E237" s="158"/>
      <c r="F237" s="158"/>
      <c r="G237" s="158"/>
      <c r="H237" s="158"/>
      <c r="I237" s="158"/>
      <c r="J237" s="158"/>
      <c r="K237" s="158"/>
      <c r="L237" s="158"/>
      <c r="M237" s="158"/>
      <c r="N237" s="158"/>
      <c r="O237" s="158"/>
      <c r="P237" s="158"/>
      <c r="Q237" s="136" t="s">
        <v>37</v>
      </c>
      <c r="R237" s="146"/>
      <c r="S237" s="146"/>
      <c r="T237" s="165">
        <f ref="T237:T237" t="array">IFERROR(INDIRECT(ADDRESS(45,X242,,,"Inputs")), "")</f>
        <v>0</v>
      </c>
      <c r="U237" s="166"/>
      <c r="V237" s="167"/>
      <c r="AA237" s="0">
        <f>AA224</f>
        <v>1</v>
      </c>
    </row>
    <row r="238" ht="18" customHeight="1">
      <c r="A238" s="117" t="s">
        <v>38</v>
      </c>
      <c r="B238" s="136" t="str">
        <f ref="B238:B238" t="array">IF(INDIRECT(ADDRESS(32,X242,,,"Inputs"))=0,"",INDIRECT(ADDRESS(32,X242,,,"Inputs")))</f>
      </c>
      <c r="C238" s="136"/>
      <c r="D238" s="158"/>
      <c r="E238" s="158"/>
      <c r="F238" s="158"/>
      <c r="G238" s="158"/>
      <c r="H238" s="158"/>
      <c r="I238" s="158"/>
      <c r="J238" s="158"/>
      <c r="K238" s="158"/>
      <c r="L238" s="158"/>
      <c r="M238" s="158"/>
      <c r="N238" s="158"/>
      <c r="O238" s="158"/>
      <c r="P238" s="158"/>
      <c r="Q238" s="136" t="s">
        <v>39</v>
      </c>
      <c r="R238" s="146"/>
      <c r="S238" s="146"/>
      <c r="T238" s="165">
        <f ref="T238:T238" t="array">IFERROR(INDIRECT(ADDRESS(79,X242,,,"Inputs")), "")</f>
        <v>0</v>
      </c>
      <c r="U238" s="166"/>
      <c r="V238" s="167"/>
      <c r="AA238" s="0">
        <f>AA224</f>
        <v>1</v>
      </c>
    </row>
    <row r="239" ht="18" customHeight="1">
      <c r="A239" s="152" t="s">
        <v>40</v>
      </c>
      <c r="B239" s="153"/>
      <c r="C239" s="154"/>
      <c r="D239" s="158"/>
      <c r="E239" s="158"/>
      <c r="F239" s="158"/>
      <c r="G239" s="158"/>
      <c r="H239" s="158"/>
      <c r="I239" s="158"/>
      <c r="J239" s="158"/>
      <c r="K239" s="158"/>
      <c r="L239" s="158"/>
      <c r="M239" s="158"/>
      <c r="N239" s="158"/>
      <c r="O239" s="158"/>
      <c r="P239" s="158"/>
      <c r="Q239" s="136" t="s">
        <v>41</v>
      </c>
      <c r="R239" s="146"/>
      <c r="S239" s="146"/>
      <c r="T239" s="165">
        <f ref="T239:T239" t="array">IFERROR(INDIRECT(ADDRESS(80,X242,,,"Inputs")), "")</f>
        <v>0</v>
      </c>
      <c r="U239" s="166"/>
      <c r="V239" s="167"/>
      <c r="W239" s="0">
        <f ref="W239:W239" t="array">INDIRECT(ADDRESS(34,X242,,,"Inputs"))</f>
        <v>0</v>
      </c>
      <c r="X239" s="3"/>
      <c r="AA239" s="0">
        <f>AA224</f>
        <v>1</v>
      </c>
    </row>
    <row r="240" ht="18" customHeight="1">
      <c r="A240" s="117" t="s">
        <v>42</v>
      </c>
      <c r="B240" s="141" t="str">
        <f ref="B240:B240" t="array">IF(INDIRECT(ADDRESS(33,X242,,,"Inputs"))=0,"",INDIRECT(ADDRESS(33,X242,,,"Inputs")))</f>
      </c>
      <c r="C240" s="141"/>
      <c r="D240" s="158"/>
      <c r="E240" s="158"/>
      <c r="F240" s="158"/>
      <c r="G240" s="158"/>
      <c r="H240" s="158"/>
      <c r="I240" s="158"/>
      <c r="J240" s="158"/>
      <c r="K240" s="158"/>
      <c r="L240" s="158"/>
      <c r="M240" s="158"/>
      <c r="N240" s="158"/>
      <c r="O240" s="158"/>
      <c r="P240" s="158"/>
      <c r="Q240" s="136" t="s">
        <v>43</v>
      </c>
      <c r="R240" s="146"/>
      <c r="S240" s="146"/>
      <c r="T240" s="165">
        <f ref="T240:T240" t="array">IFERROR(INDIRECT(ADDRESS(81,X242,,,"Inputs")), "")</f>
        <v>0</v>
      </c>
      <c r="U240" s="166"/>
      <c r="V240" s="167"/>
      <c r="X240" s="3"/>
      <c r="AA240" s="0">
        <f>AA224</f>
        <v>1</v>
      </c>
    </row>
    <row r="241" ht="36" customHeight="1">
      <c r="A241" s="117" t="s">
        <v>44</v>
      </c>
      <c r="B241" s="156" t="str">
        <f ref="B241:B241" t="array">IF(INDIRECT(ADDRESS(47,X242,,,"Inputs"))=0,"",INDIRECT(ADDRESS(47,X242,,,"Inputs")))</f>
      </c>
      <c r="C241" s="156"/>
      <c r="D241" s="158"/>
      <c r="E241" s="158"/>
      <c r="F241" s="158"/>
      <c r="G241" s="158"/>
      <c r="H241" s="158"/>
      <c r="I241" s="158"/>
      <c r="J241" s="158"/>
      <c r="K241" s="158"/>
      <c r="L241" s="158"/>
      <c r="M241" s="158"/>
      <c r="N241" s="158"/>
      <c r="O241" s="158"/>
      <c r="P241" s="158"/>
      <c r="Q241" s="136" t="s">
        <v>45</v>
      </c>
      <c r="R241" s="146"/>
      <c r="S241" s="146"/>
      <c r="T241" s="136" t="str">
        <f ref="T241:T241" t="array">_xlfn.CONCAT(IFERROR(INDIRECT(ADDRESS(49,X242,,,"Inputs")), ""), " / ", IFERROR(INDIRECT(ADDRESS(48,X242,,,"Inputs")), ""))</f>
        <v> / </v>
      </c>
      <c r="U241" s="146"/>
      <c r="V241" s="161"/>
      <c r="X241" s="3"/>
      <c r="AA241" s="0">
        <f>AA224</f>
        <v>1</v>
      </c>
    </row>
    <row r="242" ht="102" customHeight="1">
      <c r="A242" s="122"/>
      <c r="B242" s="157"/>
      <c r="C242" s="157"/>
      <c r="D242" s="159"/>
      <c r="E242" s="159"/>
      <c r="F242" s="159"/>
      <c r="G242" s="159"/>
      <c r="H242" s="159"/>
      <c r="I242" s="159"/>
      <c r="J242" s="159"/>
      <c r="K242" s="159"/>
      <c r="L242" s="159"/>
      <c r="M242" s="159"/>
      <c r="N242" s="159"/>
      <c r="O242" s="159"/>
      <c r="P242" s="159"/>
      <c r="Q242" s="159"/>
      <c r="R242" s="173"/>
      <c r="S242" s="173"/>
      <c r="T242" s="174"/>
      <c r="U242" s="175"/>
      <c r="V242" s="176"/>
      <c r="W242" s="78" t="s">
        <v>46</v>
      </c>
      <c r="X242" s="78">
        <f>COLUMN(Inputs!DS5)</f>
        <v>123</v>
      </c>
      <c r="AA242" s="0">
        <f>AA224</f>
        <v>1</v>
      </c>
    </row>
    <row r="243" ht="18" customHeight="1">
      <c r="A243" s="58"/>
      <c r="B243" s="36"/>
      <c r="C243" s="36"/>
      <c r="D243" s="36"/>
      <c r="E243" s="36"/>
      <c r="F243" s="36"/>
      <c r="G243" s="36"/>
      <c r="H243" s="36"/>
      <c r="I243" s="36"/>
      <c r="J243" s="36"/>
      <c r="K243" s="36"/>
      <c r="L243" s="36"/>
      <c r="M243" s="36"/>
      <c r="N243" s="36"/>
      <c r="O243" s="36"/>
      <c r="P243" s="36"/>
      <c r="Q243" s="36"/>
      <c r="R243" s="36"/>
      <c r="S243" s="36"/>
      <c r="T243" s="36"/>
      <c r="U243" s="36"/>
      <c r="V243" s="36"/>
      <c r="AA243" s="0">
        <f>AA224</f>
        <v>1</v>
      </c>
    </row>
    <row r="244" ht="18" customHeight="1">
      <c r="A244" s="139" t="s">
        <v>4</v>
      </c>
      <c r="B244" s="140"/>
      <c r="C244" s="140"/>
      <c r="D244" s="140" t="str">
        <f ref="D244:D244" t="array">CONCATENATE(INDIRECT(ADDRESS(6,X262,,,"Inputs"))," ",INDIRECT(ADDRESS(8,X262,,,"Inputs"))," ",INDIRECT(ADDRESS(9,X262,,,"Inputs")))</f>
      </c>
      <c r="E244" s="140"/>
      <c r="F244" s="140"/>
      <c r="G244" s="140"/>
      <c r="H244" s="140"/>
      <c r="I244" s="140"/>
      <c r="J244" s="140"/>
      <c r="K244" s="140"/>
      <c r="L244" s="140"/>
      <c r="M244" s="140"/>
      <c r="N244" s="140"/>
      <c r="O244" s="140"/>
      <c r="P244" s="140"/>
      <c r="Q244" s="113"/>
      <c r="R244" s="113"/>
      <c r="S244" s="113"/>
      <c r="T244" s="113"/>
      <c r="U244" s="113"/>
      <c r="V244" s="114"/>
      <c r="AA244" s="0">
        <f>IF(LEN(TRIM(A244))=0,0,1)</f>
        <v>1</v>
      </c>
    </row>
    <row r="245" ht="18" customHeight="1">
      <c r="A245" s="134" t="str">
        <f ref="A245:A245" t="array">IF(INDIRECT(ADDRESS(50,X262,,,"Inputs"))=0,"",INDIRECT(ADDRESS(50,X262,,,"Inputs")))</f>
      </c>
      <c r="B245" s="135"/>
      <c r="C245" s="135"/>
      <c r="D245" s="136" t="str">
        <f ref="D245:D245" t="array">IF(INDIRECT(ADDRESS(10,X262,,,"Inputs"))=0,"",INDIRECT(ADDRESS(10,X262,,,"Inputs")))</f>
      </c>
      <c r="E245" s="136"/>
      <c r="F245" s="136"/>
      <c r="G245" s="136"/>
      <c r="H245" s="136"/>
      <c r="I245" s="136"/>
      <c r="J245" s="136"/>
      <c r="K245" s="136"/>
      <c r="L245" s="136"/>
      <c r="M245" s="136"/>
      <c r="N245" s="136"/>
      <c r="O245" s="136"/>
      <c r="P245" s="136"/>
      <c r="Q245" s="110"/>
      <c r="R245" s="110"/>
      <c r="S245" s="110"/>
      <c r="T245" s="110"/>
      <c r="U245" s="110"/>
      <c r="V245" s="115"/>
      <c r="AA245" s="0">
        <f>AA244</f>
        <v>1</v>
      </c>
    </row>
    <row r="246" ht="18" customHeight="1">
      <c r="A246" s="137" t="s">
        <v>5</v>
      </c>
      <c r="B246" s="136"/>
      <c r="C246" s="136"/>
      <c r="D246" s="136" t="str">
        <f ref="D246:D246" t="array">IF(INDIRECT(ADDRESS(14,X262,,,"Inputs"))=0,"",INDIRECT(ADDRESS(14,X262,,,"Inputs")))</f>
      </c>
      <c r="E246" s="136"/>
      <c r="F246" s="136"/>
      <c r="G246" s="136"/>
      <c r="H246" s="136"/>
      <c r="I246" s="136"/>
      <c r="J246" s="136"/>
      <c r="K246" s="136"/>
      <c r="L246" s="136"/>
      <c r="M246" s="136"/>
      <c r="N246" s="136"/>
      <c r="O246" s="136"/>
      <c r="P246" s="136"/>
      <c r="Q246" s="110"/>
      <c r="R246" s="110"/>
      <c r="S246" s="110"/>
      <c r="T246" s="110"/>
      <c r="U246" s="110"/>
      <c r="V246" s="115"/>
      <c r="AA246" s="0">
        <f>AA244</f>
        <v>1</v>
      </c>
    </row>
    <row r="247" ht="18" customHeight="1">
      <c r="A247" s="134" t="str">
        <f ref="A247:A247" t="array">IF(INDIRECT(ADDRESS(51,X262,,,"Inputs"))=0,"",INDIRECT(ADDRESS(51,X262,,,"Inputs")))</f>
      </c>
      <c r="B247" s="135"/>
      <c r="C247" s="135"/>
      <c r="D247" s="138" t="str">
        <f ref="D247:D247" t="array">INDIRECT(ADDRESS(82,X262,,,"Inputs"))</f>
      </c>
      <c r="E247" s="138"/>
      <c r="F247" s="138"/>
      <c r="G247" s="138"/>
      <c r="H247" s="138"/>
      <c r="I247" s="138"/>
      <c r="J247" s="138"/>
      <c r="K247" s="138"/>
      <c r="L247" s="138"/>
      <c r="M247" s="138"/>
      <c r="N247" s="138"/>
      <c r="O247" s="138"/>
      <c r="P247" s="138"/>
      <c r="Q247" s="112"/>
      <c r="R247" s="112"/>
      <c r="S247" s="112"/>
      <c r="T247" s="112"/>
      <c r="U247" s="112"/>
      <c r="V247" s="116"/>
      <c r="AA247" s="0">
        <f>AA244</f>
        <v>1</v>
      </c>
    </row>
    <row r="248" ht="18" customHeight="1">
      <c r="A248" s="168" t="s">
        <v>6</v>
      </c>
      <c r="B248" s="146"/>
      <c r="C248" s="151"/>
      <c r="D248" s="169" t="s">
        <v>7</v>
      </c>
      <c r="E248" s="146"/>
      <c r="F248" s="146"/>
      <c r="G248" s="146"/>
      <c r="H248" s="146"/>
      <c r="I248" s="146"/>
      <c r="J248" s="146"/>
      <c r="K248" s="146"/>
      <c r="L248" s="146"/>
      <c r="M248" s="146"/>
      <c r="N248" s="146"/>
      <c r="O248" s="146"/>
      <c r="P248" s="151"/>
      <c r="Q248" s="170" t="s">
        <v>8</v>
      </c>
      <c r="R248" s="146"/>
      <c r="S248" s="146"/>
      <c r="T248" s="146"/>
      <c r="U248" s="146"/>
      <c r="V248" s="161"/>
      <c r="AA248" s="0">
        <f>AA244</f>
        <v>1</v>
      </c>
    </row>
    <row r="249" ht="18" customHeight="1">
      <c r="A249" s="117" t="s">
        <v>9</v>
      </c>
      <c r="B249" s="162" t="str">
        <f ref="B249:B249" t="array">IF(INDIRECT(ADDRESS(15,X262,,,"Inputs"))=0,"",INDIRECT(ADDRESS(15,X262,,,"Inputs")))</f>
      </c>
      <c r="C249" s="162"/>
      <c r="D249" s="109" t="s">
        <v>10</v>
      </c>
      <c r="E249" s="136" t="s">
        <v>11</v>
      </c>
      <c r="F249" s="146"/>
      <c r="G249" s="146"/>
      <c r="H249" s="109" t="s">
        <v>12</v>
      </c>
      <c r="I249" s="109" t="s">
        <v>13</v>
      </c>
      <c r="J249" s="136" t="s">
        <v>14</v>
      </c>
      <c r="K249" s="146"/>
      <c r="L249" s="136" t="s">
        <v>15</v>
      </c>
      <c r="M249" s="146"/>
      <c r="N249" s="146"/>
      <c r="O249" s="136" t="s">
        <v>16</v>
      </c>
      <c r="P249" s="146"/>
      <c r="Q249" s="136" t="s">
        <v>17</v>
      </c>
      <c r="R249" s="146"/>
      <c r="S249" s="146"/>
      <c r="T249" s="146"/>
      <c r="U249" s="146"/>
      <c r="V249" s="161"/>
      <c r="AA249" s="0">
        <f>AA244</f>
        <v>1</v>
      </c>
    </row>
    <row r="250" ht="18" customHeight="1">
      <c r="A250" s="117" t="s">
        <v>18</v>
      </c>
      <c r="B250" s="162" t="str">
        <f ref="B250:B250" t="array">IF(INDIRECT(ADDRESS(16,X262,,,"Inputs"))=0,"",INDIRECT(ADDRESS(16,X262,,,"Inputs")))</f>
      </c>
      <c r="C250" s="162"/>
      <c r="D250" s="109" t="s">
        <v>19</v>
      </c>
      <c r="E250" s="142" t="str">
        <f ref="E250:E250" t="array">IF(ISBLANK(INDIRECT(ADDRESS(35,X262,,,"Inputs"))),"",INDIRECT(ADDRESS(35,X262,,,"Inputs")))</f>
      </c>
      <c r="F250" s="143"/>
      <c r="G250" s="143"/>
      <c r="H250" s="118" t="str">
        <f ref="H250:H250" t="array">IF(ISBLANK(INDIRECT(ADDRESS(35,X262,,,"Inputs"))),"",INDIRECT(ADDRESS(35,X262,,,"Inputs")))</f>
      </c>
      <c r="I250" s="119">
        <f ref="I250:I250" t="array">IFERROR(INDIRECT(ADDRESS(65,X262,,,"Inputs")), "")</f>
        <v>0</v>
      </c>
      <c r="J250" s="144" t="str">
        <f ref="J250:J250" t="array">IFERROR(INDIRECT(ADDRESS(66,X262,,,"Inputs")), "")</f>
      </c>
      <c r="K250" s="145"/>
      <c r="L250" s="136" t="s">
        <v>20</v>
      </c>
      <c r="M250" s="146"/>
      <c r="N250" s="146"/>
      <c r="O250" s="138" t="str">
        <f ref="O250:O250" t="array">IF(ISBLANK(INDIRECT(ADDRESS(36,X262,,,"Inputs"))), "-", IFERROR(I250/J250, ""))</f>
        <v>-</v>
      </c>
      <c r="P250" s="147"/>
      <c r="Q250" s="144" t="str">
        <f ref="Q250:Q250" t="array">IF(INDIRECT(ADDRESS(25,X262,,,"Inputs"))=0,"0",INDIRECT(ADDRESS(25,X262,,,"Inputs")))</f>
        <v>0</v>
      </c>
      <c r="R250" s="145"/>
      <c r="S250" s="145"/>
      <c r="T250" s="145"/>
      <c r="U250" s="145"/>
      <c r="V250" s="172"/>
      <c r="AA250" s="0">
        <f>AA244</f>
        <v>1</v>
      </c>
    </row>
    <row r="251" ht="36" customHeight="1">
      <c r="A251" s="117" t="s">
        <v>21</v>
      </c>
      <c r="B251" s="136" t="str">
        <f ref="B251:B251" t="array">IF(INDIRECT(ADDRESS(11,X262,,,"Inputs"))=0,"",INDIRECT(ADDRESS(11,X262,,,"Inputs")))</f>
      </c>
      <c r="C251" s="136"/>
      <c r="D251" s="109" t="s">
        <v>22</v>
      </c>
      <c r="E251" s="142" t="str">
        <f ref="E251:E251" t="array">IF(ISBLANK(INDIRECT(ADDRESS(39,X262,,,"Inputs"))),"",INDIRECT(ADDRESS(39,X262,,,"Inputs")))</f>
      </c>
      <c r="F251" s="143"/>
      <c r="G251" s="143"/>
      <c r="H251" s="118" t="str">
        <f ref="H251:H251" t="array">IF(ISBLANK(INDIRECT(ADDRESS(39,X262,,,"Inputs"))),"",INDIRECT(ADDRESS(39,X262,,,"Inputs")))</f>
      </c>
      <c r="I251" s="120" t="str">
        <f ref="I251:I251" t="array">IFERROR(INDIRECT(ADDRESS(67,X262,,,"Inputs")), "")</f>
      </c>
      <c r="J251" s="155" t="str">
        <f ref="J251:J251" t="array">IFERROR(INDIRECT(ADDRESS(68,X262,,,"Inputs")), "")</f>
      </c>
      <c r="K251" s="146"/>
      <c r="L251" s="136"/>
      <c r="M251" s="146"/>
      <c r="N251" s="146"/>
      <c r="O251" s="138" t="str">
        <f>IFERROR(J251/I251, "")</f>
      </c>
      <c r="P251" s="147"/>
      <c r="Q251" s="136" t="s">
        <v>23</v>
      </c>
      <c r="R251" s="146"/>
      <c r="S251" s="146"/>
      <c r="T251" s="146"/>
      <c r="U251" s="146"/>
      <c r="V251" s="161"/>
      <c r="AA251" s="0">
        <f>AA244</f>
        <v>1</v>
      </c>
    </row>
    <row r="252" ht="18" customHeight="1">
      <c r="A252" s="117" t="s">
        <v>24</v>
      </c>
      <c r="B252" s="141" t="str">
        <f ref="B252:B252" t="array">IF(INDIRECT(ADDRESS(75,X262,,,"Inputs"))=0,"",INDIRECT(ADDRESS(75,X262,,,"Inputs")))</f>
      </c>
      <c r="C252" s="141"/>
      <c r="D252" s="109" t="s">
        <v>25</v>
      </c>
      <c r="E252" s="142" t="str">
        <f ref="E252:E252" t="array">IF(ISBLANK(INDIRECT(ADDRESS(41,X262,,,"Inputs"))),"",INDIRECT(ADDRESS(41,X262,,,"Inputs")))</f>
      </c>
      <c r="F252" s="143"/>
      <c r="G252" s="143"/>
      <c r="H252" s="118" t="str">
        <f ref="H252:H252" t="array">IF(ISBLANK(INDIRECT(ADDRESS(41,X262,,,"Inputs"))),"",INDIRECT(ADDRESS(41,X262,,,"Inputs")))</f>
      </c>
      <c r="I252" s="119" t="str">
        <f ref="I252:I252" t="array">IFERROR(INDIRECT(ADDRESS(71,X262,,,"Inputs")), "")</f>
      </c>
      <c r="J252" s="144" t="str">
        <f ref="J252:J252" t="array">IFERROR(INDIRECT(ADDRESS(72,X262,,,"Inputs")), "")</f>
      </c>
      <c r="K252" s="145"/>
      <c r="L252" s="136" t="s">
        <v>20</v>
      </c>
      <c r="M252" s="146"/>
      <c r="N252" s="146"/>
      <c r="O252" s="138" t="str">
        <f ref="O252:O252" t="array">IF(ISBLANK(INDIRECT(ADDRESS(42,X262,,,"Inputs"))), "-", IFERROR(I252 / J252, ""))</f>
        <v>-</v>
      </c>
      <c r="P252" s="147"/>
      <c r="Q252" s="144" t="str">
        <f ref="Q252:Q252" t="array">IF(INDIRECT(ADDRESS(24,X262,,,"Inputs"))=0,"0",INDIRECT(ADDRESS(24,X262,,,"Inputs")))</f>
        <v>0</v>
      </c>
      <c r="R252" s="145"/>
      <c r="S252" s="145"/>
      <c r="T252" s="145"/>
      <c r="U252" s="145"/>
      <c r="V252" s="172"/>
      <c r="AA252" s="0">
        <f>AA244</f>
        <v>1</v>
      </c>
    </row>
    <row r="253" ht="36" customHeight="1">
      <c r="A253" s="117" t="s">
        <v>26</v>
      </c>
      <c r="B253" s="136" t="str">
        <f ref="B253:B253" t="array">IF(INDIRECT(ADDRESS(17,X262,,,"Inputs"))=0,"",INDIRECT(ADDRESS(17,X262,,,"Inputs")))</f>
      </c>
      <c r="C253" s="136"/>
      <c r="D253" s="111" t="s">
        <v>27</v>
      </c>
      <c r="E253" s="142" t="str">
        <f ref="E253:E253" t="array">IF(ISBLANK(INDIRECT(ADDRESS(43,X262,,,"Inputs"))),"",INDIRECT(ADDRESS(43,X262,,,"Inputs")))</f>
      </c>
      <c r="F253" s="143"/>
      <c r="G253" s="143"/>
      <c r="H253" s="118" t="str">
        <f ref="H253:H253" t="array">IF(ISBLANK(INDIRECT(ADDRESS(43,X262,,,"Inputs"))),"",INDIRECT(ADDRESS(43,X262,,,"Inputs")))</f>
      </c>
      <c r="I253" s="121" t="str">
        <f ref="I253:I253" t="array">IFERROR(INDIRECT(ADDRESS(73,X262,,,"Inputs")), "")</f>
      </c>
      <c r="J253" s="144" t="str">
        <f ref="J253:J253" t="array">IFERROR(INDIRECT(ADDRESS(74,X262,,,"Inputs")), "")</f>
      </c>
      <c r="K253" s="145"/>
      <c r="L253" s="136" t="s">
        <v>20</v>
      </c>
      <c r="M253" s="146"/>
      <c r="N253" s="146"/>
      <c r="O253" s="138" t="str">
        <f ref="O253:O253" t="array">IF(ISBLANK(INDIRECT(ADDRESS(44,X262,,,"Inputs"))), "-", IFERROR(I253 / J253, ""))</f>
        <v>-</v>
      </c>
      <c r="P253" s="147"/>
      <c r="Q253" s="177" t="s">
        <v>28</v>
      </c>
      <c r="R253" s="146"/>
      <c r="S253" s="146"/>
      <c r="T253" s="146"/>
      <c r="U253" s="146"/>
      <c r="V253" s="161"/>
      <c r="AA253" s="0">
        <f>AA244</f>
        <v>1</v>
      </c>
    </row>
    <row r="254" ht="18" customHeight="1">
      <c r="A254" s="117" t="s">
        <v>29</v>
      </c>
      <c r="B254" s="141" t="str">
        <f ref="B254:B254" t="array">IF(INDIRECT(ADDRESS(31,X262,,,"Inputs"))=0,"",INDIRECT(ADDRESS(31,X262,,,"Inputs")))</f>
      </c>
      <c r="C254" s="178"/>
      <c r="D254" s="179" t="s">
        <v>30</v>
      </c>
      <c r="E254" s="180"/>
      <c r="F254" s="180"/>
      <c r="G254" s="180"/>
      <c r="H254" s="180"/>
      <c r="I254" s="180"/>
      <c r="J254" s="180"/>
      <c r="K254" s="180"/>
      <c r="L254" s="180"/>
      <c r="M254" s="180"/>
      <c r="N254" s="180"/>
      <c r="O254" s="180"/>
      <c r="P254" s="181"/>
      <c r="Q254" s="136" t="s">
        <v>31</v>
      </c>
      <c r="R254" s="146"/>
      <c r="S254" s="146"/>
      <c r="T254" s="165">
        <f ref="T254:T254" t="array">IFERROR(INDIRECT(ADDRESS(77,X262,,,"Inputs")), "")</f>
        <v>0</v>
      </c>
      <c r="U254" s="166"/>
      <c r="V254" s="167"/>
      <c r="AA254" s="0">
        <f>AA244</f>
        <v>1</v>
      </c>
    </row>
    <row r="255" ht="18" customHeight="1">
      <c r="A255" s="117" t="s">
        <v>32</v>
      </c>
      <c r="B255" s="148" t="str">
        <f ref="B255:B255" t="array">IF(INDIRECT(ADDRESS(83,X262,,,"Inputs"))=0,"",INDIRECT(ADDRESS(83,X262,,,"Inputs")))</f>
      </c>
      <c r="C255" s="149"/>
      <c r="D255" s="158">
        <f ref="D255:D255" t="array">INDIRECT(ADDRESS(26,X262,,,"Inputs"))</f>
        <v>0</v>
      </c>
      <c r="E255" s="158"/>
      <c r="F255" s="158"/>
      <c r="G255" s="158"/>
      <c r="H255" s="158"/>
      <c r="I255" s="158"/>
      <c r="J255" s="158"/>
      <c r="K255" s="158"/>
      <c r="L255" s="158"/>
      <c r="M255" s="158"/>
      <c r="N255" s="158"/>
      <c r="O255" s="158"/>
      <c r="P255" s="158"/>
      <c r="Q255" s="136" t="s">
        <v>33</v>
      </c>
      <c r="R255" s="146"/>
      <c r="S255" s="146"/>
      <c r="T255" s="165">
        <f ref="T255:T255" t="array">IFERROR(INDIRECT(ADDRESS(86,X262,,,"Inputs")), "")</f>
        <v>0</v>
      </c>
      <c r="U255" s="166"/>
      <c r="V255" s="167"/>
      <c r="AA255" s="0">
        <f>AA244</f>
        <v>1</v>
      </c>
    </row>
    <row r="256" ht="18" customHeight="1">
      <c r="A256" s="150" t="s">
        <v>34</v>
      </c>
      <c r="B256" s="146"/>
      <c r="C256" s="151"/>
      <c r="D256" s="158"/>
      <c r="E256" s="158"/>
      <c r="F256" s="158"/>
      <c r="G256" s="158"/>
      <c r="H256" s="158"/>
      <c r="I256" s="158"/>
      <c r="J256" s="158"/>
      <c r="K256" s="158"/>
      <c r="L256" s="158"/>
      <c r="M256" s="158"/>
      <c r="N256" s="158"/>
      <c r="O256" s="158"/>
      <c r="P256" s="158"/>
      <c r="Q256" s="136" t="s">
        <v>35</v>
      </c>
      <c r="R256" s="146"/>
      <c r="S256" s="146"/>
      <c r="T256" s="165">
        <f ref="T256:T256" t="array">IFERROR(INDIRECT(ADDRESS(78,X262,,,"Inputs")), "")</f>
        <v>0</v>
      </c>
      <c r="U256" s="166"/>
      <c r="V256" s="167"/>
      <c r="AA256" s="0">
        <f>AA244</f>
        <v>1</v>
      </c>
    </row>
    <row r="257" ht="18" customHeight="1">
      <c r="A257" s="117" t="s">
        <v>36</v>
      </c>
      <c r="B257" s="141" t="str">
        <f ref="B257:B257" t="array">IF(INDIRECT(ADDRESS(30,X262,,,"Inputs"))=0,"",INDIRECT(ADDRESS(30,X262,,,"Inputs")))</f>
      </c>
      <c r="C257" s="141"/>
      <c r="D257" s="158"/>
      <c r="E257" s="158"/>
      <c r="F257" s="158"/>
      <c r="G257" s="158"/>
      <c r="H257" s="158"/>
      <c r="I257" s="158"/>
      <c r="J257" s="158"/>
      <c r="K257" s="158"/>
      <c r="L257" s="158"/>
      <c r="M257" s="158"/>
      <c r="N257" s="158"/>
      <c r="O257" s="158"/>
      <c r="P257" s="158"/>
      <c r="Q257" s="136" t="s">
        <v>37</v>
      </c>
      <c r="R257" s="146"/>
      <c r="S257" s="146"/>
      <c r="T257" s="165">
        <f ref="T257:T257" t="array">IFERROR(INDIRECT(ADDRESS(45,X262,,,"Inputs")), "")</f>
        <v>0</v>
      </c>
      <c r="U257" s="166"/>
      <c r="V257" s="167"/>
      <c r="AA257" s="0">
        <f>AA244</f>
        <v>1</v>
      </c>
    </row>
    <row r="258" ht="18" customHeight="1">
      <c r="A258" s="117" t="s">
        <v>38</v>
      </c>
      <c r="B258" s="136" t="str">
        <f ref="B258:B258" t="array">IF(INDIRECT(ADDRESS(32,X262,,,"Inputs"))=0,"",INDIRECT(ADDRESS(32,X262,,,"Inputs")))</f>
      </c>
      <c r="C258" s="136"/>
      <c r="D258" s="158"/>
      <c r="E258" s="158"/>
      <c r="F258" s="158"/>
      <c r="G258" s="158"/>
      <c r="H258" s="158"/>
      <c r="I258" s="158"/>
      <c r="J258" s="158"/>
      <c r="K258" s="158"/>
      <c r="L258" s="158"/>
      <c r="M258" s="158"/>
      <c r="N258" s="158"/>
      <c r="O258" s="158"/>
      <c r="P258" s="158"/>
      <c r="Q258" s="136" t="s">
        <v>39</v>
      </c>
      <c r="R258" s="146"/>
      <c r="S258" s="146"/>
      <c r="T258" s="165">
        <f ref="T258:T258" t="array">IFERROR(INDIRECT(ADDRESS(79,X262,,,"Inputs")), "")</f>
        <v>0</v>
      </c>
      <c r="U258" s="166"/>
      <c r="V258" s="167"/>
      <c r="AA258" s="0">
        <f>AA244</f>
        <v>1</v>
      </c>
    </row>
    <row r="259" ht="18" customHeight="1">
      <c r="A259" s="152" t="s">
        <v>40</v>
      </c>
      <c r="B259" s="153"/>
      <c r="C259" s="154"/>
      <c r="D259" s="158"/>
      <c r="E259" s="158"/>
      <c r="F259" s="158"/>
      <c r="G259" s="158"/>
      <c r="H259" s="158"/>
      <c r="I259" s="158"/>
      <c r="J259" s="158"/>
      <c r="K259" s="158"/>
      <c r="L259" s="158"/>
      <c r="M259" s="158"/>
      <c r="N259" s="158"/>
      <c r="O259" s="158"/>
      <c r="P259" s="158"/>
      <c r="Q259" s="136" t="s">
        <v>41</v>
      </c>
      <c r="R259" s="146"/>
      <c r="S259" s="146"/>
      <c r="T259" s="165">
        <f ref="T259:T259" t="array">IFERROR(INDIRECT(ADDRESS(80,X262,,,"Inputs")), "")</f>
        <v>0</v>
      </c>
      <c r="U259" s="166"/>
      <c r="V259" s="167"/>
      <c r="W259" s="0">
        <f ref="W259:W259" t="array">INDIRECT(ADDRESS(34,X262,,,"Inputs"))</f>
        <v>0</v>
      </c>
      <c r="X259" s="3"/>
      <c r="AA259" s="0">
        <f>AA244</f>
        <v>1</v>
      </c>
    </row>
    <row r="260" ht="18" customHeight="1">
      <c r="A260" s="117" t="s">
        <v>42</v>
      </c>
      <c r="B260" s="141" t="str">
        <f ref="B260:B260" t="array">IF(INDIRECT(ADDRESS(33,X262,,,"Inputs"))=0,"",INDIRECT(ADDRESS(33,X262,,,"Inputs")))</f>
      </c>
      <c r="C260" s="141"/>
      <c r="D260" s="158"/>
      <c r="E260" s="158"/>
      <c r="F260" s="158"/>
      <c r="G260" s="158"/>
      <c r="H260" s="158"/>
      <c r="I260" s="158"/>
      <c r="J260" s="158"/>
      <c r="K260" s="158"/>
      <c r="L260" s="158"/>
      <c r="M260" s="158"/>
      <c r="N260" s="158"/>
      <c r="O260" s="158"/>
      <c r="P260" s="158"/>
      <c r="Q260" s="136" t="s">
        <v>43</v>
      </c>
      <c r="R260" s="146"/>
      <c r="S260" s="146"/>
      <c r="T260" s="165">
        <f ref="T260:T260" t="array">IFERROR(INDIRECT(ADDRESS(81,X262,,,"Inputs")), "")</f>
        <v>0</v>
      </c>
      <c r="U260" s="166"/>
      <c r="V260" s="167"/>
      <c r="X260" s="3"/>
      <c r="AA260" s="0">
        <f>AA244</f>
        <v>1</v>
      </c>
    </row>
    <row r="261" ht="36" customHeight="1">
      <c r="A261" s="117" t="s">
        <v>44</v>
      </c>
      <c r="B261" s="156" t="str">
        <f ref="B261:B261" t="array">IF(INDIRECT(ADDRESS(47,X262,,,"Inputs"))=0,"",INDIRECT(ADDRESS(47,X262,,,"Inputs")))</f>
      </c>
      <c r="C261" s="156"/>
      <c r="D261" s="158"/>
      <c r="E261" s="158"/>
      <c r="F261" s="158"/>
      <c r="G261" s="158"/>
      <c r="H261" s="158"/>
      <c r="I261" s="158"/>
      <c r="J261" s="158"/>
      <c r="K261" s="158"/>
      <c r="L261" s="158"/>
      <c r="M261" s="158"/>
      <c r="N261" s="158"/>
      <c r="O261" s="158"/>
      <c r="P261" s="158"/>
      <c r="Q261" s="136" t="s">
        <v>45</v>
      </c>
      <c r="R261" s="146"/>
      <c r="S261" s="146"/>
      <c r="T261" s="136" t="str">
        <f ref="T261:T261" t="array">_xlfn.CONCAT(IFERROR(INDIRECT(ADDRESS(49,X262,,,"Inputs")), ""), " / ", IFERROR(INDIRECT(ADDRESS(48,X262,,,"Inputs")), ""))</f>
        <v> / </v>
      </c>
      <c r="U261" s="146"/>
      <c r="V261" s="161"/>
      <c r="X261" s="3"/>
      <c r="AA261" s="0">
        <f>AA244</f>
        <v>1</v>
      </c>
    </row>
    <row r="262" ht="102" customHeight="1">
      <c r="A262" s="122"/>
      <c r="B262" s="157"/>
      <c r="C262" s="157"/>
      <c r="D262" s="159"/>
      <c r="E262" s="159"/>
      <c r="F262" s="159"/>
      <c r="G262" s="159"/>
      <c r="H262" s="159"/>
      <c r="I262" s="159"/>
      <c r="J262" s="159"/>
      <c r="K262" s="159"/>
      <c r="L262" s="159"/>
      <c r="M262" s="159"/>
      <c r="N262" s="159"/>
      <c r="O262" s="159"/>
      <c r="P262" s="159"/>
      <c r="Q262" s="159"/>
      <c r="R262" s="173"/>
      <c r="S262" s="173"/>
      <c r="T262" s="174"/>
      <c r="U262" s="175"/>
      <c r="V262" s="176"/>
      <c r="W262" s="78" t="s">
        <v>46</v>
      </c>
      <c r="X262" s="78">
        <f>COLUMN(Inputs!ED5)</f>
        <v>134</v>
      </c>
      <c r="AA262" s="0">
        <f>AA244</f>
        <v>1</v>
      </c>
    </row>
    <row r="263" ht="18" customHeight="1">
      <c r="A263" s="58"/>
      <c r="B263" s="36"/>
      <c r="C263" s="36"/>
      <c r="D263" s="36"/>
      <c r="E263" s="36"/>
      <c r="F263" s="36"/>
      <c r="G263" s="36"/>
      <c r="H263" s="36"/>
      <c r="I263" s="36"/>
      <c r="J263" s="36"/>
      <c r="K263" s="36"/>
      <c r="L263" s="36"/>
      <c r="M263" s="36"/>
      <c r="N263" s="36"/>
      <c r="O263" s="36"/>
      <c r="P263" s="36"/>
      <c r="Q263" s="36"/>
      <c r="R263" s="36"/>
      <c r="S263" s="36"/>
      <c r="T263" s="36"/>
      <c r="U263" s="36"/>
      <c r="V263" s="36"/>
      <c r="AA263" s="0">
        <f>AA244</f>
        <v>1</v>
      </c>
    </row>
    <row r="264" ht="18" customHeight="1">
      <c r="A264" s="139" t="s">
        <v>4</v>
      </c>
      <c r="B264" s="140"/>
      <c r="C264" s="140"/>
      <c r="D264" s="140" t="str">
        <f ref="D264:D264" t="array">CONCATENATE(INDIRECT(ADDRESS(6,X282,,,"Inputs"))," ",INDIRECT(ADDRESS(8,X282,,,"Inputs"))," ",INDIRECT(ADDRESS(9,X282,,,"Inputs")))</f>
      </c>
      <c r="E264" s="140"/>
      <c r="F264" s="140"/>
      <c r="G264" s="140"/>
      <c r="H264" s="140"/>
      <c r="I264" s="140"/>
      <c r="J264" s="140"/>
      <c r="K264" s="140"/>
      <c r="L264" s="140"/>
      <c r="M264" s="140"/>
      <c r="N264" s="140"/>
      <c r="O264" s="140"/>
      <c r="P264" s="140"/>
      <c r="Q264" s="113"/>
      <c r="R264" s="113"/>
      <c r="S264" s="113"/>
      <c r="T264" s="113"/>
      <c r="U264" s="113"/>
      <c r="V264" s="114"/>
      <c r="AA264" s="0">
        <f>IF(LEN(TRIM(A264))=0,0,1)</f>
        <v>1</v>
      </c>
    </row>
    <row r="265" ht="18" customHeight="1">
      <c r="A265" s="134" t="str">
        <f ref="A265:A265" t="array">IF(INDIRECT(ADDRESS(50,X282,,,"Inputs"))=0,"",INDIRECT(ADDRESS(50,X282,,,"Inputs")))</f>
      </c>
      <c r="B265" s="135"/>
      <c r="C265" s="135"/>
      <c r="D265" s="136" t="str">
        <f ref="D265:D265" t="array">IF(INDIRECT(ADDRESS(10,X282,,,"Inputs"))=0,"",INDIRECT(ADDRESS(10,X282,,,"Inputs")))</f>
      </c>
      <c r="E265" s="136"/>
      <c r="F265" s="136"/>
      <c r="G265" s="136"/>
      <c r="H265" s="136"/>
      <c r="I265" s="136"/>
      <c r="J265" s="136"/>
      <c r="K265" s="136"/>
      <c r="L265" s="136"/>
      <c r="M265" s="136"/>
      <c r="N265" s="136"/>
      <c r="O265" s="136"/>
      <c r="P265" s="136"/>
      <c r="Q265" s="110"/>
      <c r="R265" s="110"/>
      <c r="S265" s="110"/>
      <c r="T265" s="110"/>
      <c r="U265" s="110"/>
      <c r="V265" s="115"/>
      <c r="AA265" s="0">
        <f>AA264</f>
        <v>1</v>
      </c>
    </row>
    <row r="266" ht="18" customHeight="1">
      <c r="A266" s="137" t="s">
        <v>5</v>
      </c>
      <c r="B266" s="136"/>
      <c r="C266" s="136"/>
      <c r="D266" s="136" t="str">
        <f ref="D266:D266" t="array">IF(INDIRECT(ADDRESS(14,X282,,,"Inputs"))=0,"",INDIRECT(ADDRESS(14,X282,,,"Inputs")))</f>
      </c>
      <c r="E266" s="136"/>
      <c r="F266" s="136"/>
      <c r="G266" s="136"/>
      <c r="H266" s="136"/>
      <c r="I266" s="136"/>
      <c r="J266" s="136"/>
      <c r="K266" s="136"/>
      <c r="L266" s="136"/>
      <c r="M266" s="136"/>
      <c r="N266" s="136"/>
      <c r="O266" s="136"/>
      <c r="P266" s="136"/>
      <c r="Q266" s="110"/>
      <c r="R266" s="110"/>
      <c r="S266" s="110"/>
      <c r="T266" s="110"/>
      <c r="U266" s="110"/>
      <c r="V266" s="115"/>
      <c r="AA266" s="0">
        <f>AA264</f>
        <v>1</v>
      </c>
    </row>
    <row r="267" ht="18" customHeight="1">
      <c r="A267" s="134" t="str">
        <f ref="A267:A267" t="array">IF(INDIRECT(ADDRESS(51,X282,,,"Inputs"))=0,"",INDIRECT(ADDRESS(51,X282,,,"Inputs")))</f>
      </c>
      <c r="B267" s="135"/>
      <c r="C267" s="135"/>
      <c r="D267" s="138" t="str">
        <f ref="D267:D267" t="array">INDIRECT(ADDRESS(82,X282,,,"Inputs"))</f>
      </c>
      <c r="E267" s="138"/>
      <c r="F267" s="138"/>
      <c r="G267" s="138"/>
      <c r="H267" s="138"/>
      <c r="I267" s="138"/>
      <c r="J267" s="138"/>
      <c r="K267" s="138"/>
      <c r="L267" s="138"/>
      <c r="M267" s="138"/>
      <c r="N267" s="138"/>
      <c r="O267" s="138"/>
      <c r="P267" s="138"/>
      <c r="Q267" s="112"/>
      <c r="R267" s="112"/>
      <c r="S267" s="112"/>
      <c r="T267" s="112"/>
      <c r="U267" s="112"/>
      <c r="V267" s="116"/>
      <c r="AA267" s="0">
        <f>AA264</f>
        <v>1</v>
      </c>
    </row>
    <row r="268" ht="18" customHeight="1">
      <c r="A268" s="168" t="s">
        <v>6</v>
      </c>
      <c r="B268" s="146"/>
      <c r="C268" s="151"/>
      <c r="D268" s="169" t="s">
        <v>7</v>
      </c>
      <c r="E268" s="146"/>
      <c r="F268" s="146"/>
      <c r="G268" s="146"/>
      <c r="H268" s="146"/>
      <c r="I268" s="146"/>
      <c r="J268" s="146"/>
      <c r="K268" s="146"/>
      <c r="L268" s="146"/>
      <c r="M268" s="146"/>
      <c r="N268" s="146"/>
      <c r="O268" s="146"/>
      <c r="P268" s="151"/>
      <c r="Q268" s="170" t="s">
        <v>8</v>
      </c>
      <c r="R268" s="146"/>
      <c r="S268" s="146"/>
      <c r="T268" s="146"/>
      <c r="U268" s="146"/>
      <c r="V268" s="161"/>
      <c r="AA268" s="0">
        <f>AA264</f>
        <v>1</v>
      </c>
    </row>
    <row r="269" ht="18" customHeight="1">
      <c r="A269" s="117" t="s">
        <v>9</v>
      </c>
      <c r="B269" s="162" t="str">
        <f ref="B269:B269" t="array">IF(INDIRECT(ADDRESS(15,X282,,,"Inputs"))=0,"",INDIRECT(ADDRESS(15,X282,,,"Inputs")))</f>
      </c>
      <c r="C269" s="162"/>
      <c r="D269" s="109" t="s">
        <v>10</v>
      </c>
      <c r="E269" s="136" t="s">
        <v>11</v>
      </c>
      <c r="F269" s="146"/>
      <c r="G269" s="146"/>
      <c r="H269" s="109" t="s">
        <v>12</v>
      </c>
      <c r="I269" s="109" t="s">
        <v>13</v>
      </c>
      <c r="J269" s="136" t="s">
        <v>14</v>
      </c>
      <c r="K269" s="146"/>
      <c r="L269" s="136" t="s">
        <v>15</v>
      </c>
      <c r="M269" s="146"/>
      <c r="N269" s="146"/>
      <c r="O269" s="136" t="s">
        <v>16</v>
      </c>
      <c r="P269" s="146"/>
      <c r="Q269" s="136" t="s">
        <v>17</v>
      </c>
      <c r="R269" s="146"/>
      <c r="S269" s="146"/>
      <c r="T269" s="146"/>
      <c r="U269" s="146"/>
      <c r="V269" s="161"/>
      <c r="AA269" s="0">
        <f>AA264</f>
        <v>1</v>
      </c>
    </row>
    <row r="270" ht="18" customHeight="1">
      <c r="A270" s="117" t="s">
        <v>18</v>
      </c>
      <c r="B270" s="162" t="str">
        <f ref="B270:B270" t="array">IF(INDIRECT(ADDRESS(16,X282,,,"Inputs"))=0,"",INDIRECT(ADDRESS(16,X282,,,"Inputs")))</f>
      </c>
      <c r="C270" s="162"/>
      <c r="D270" s="109" t="s">
        <v>19</v>
      </c>
      <c r="E270" s="142" t="str">
        <f ref="E270:E270" t="array">IF(ISBLANK(INDIRECT(ADDRESS(35,X282,,,"Inputs"))),"",INDIRECT(ADDRESS(35,X282,,,"Inputs")))</f>
      </c>
      <c r="F270" s="143"/>
      <c r="G270" s="143"/>
      <c r="H270" s="118" t="str">
        <f ref="H270:H270" t="array">IF(ISBLANK(INDIRECT(ADDRESS(35,X282,,,"Inputs"))),"",INDIRECT(ADDRESS(35,X282,,,"Inputs")))</f>
      </c>
      <c r="I270" s="119">
        <f ref="I270:I270" t="array">IFERROR(INDIRECT(ADDRESS(65,X282,,,"Inputs")), "")</f>
        <v>0</v>
      </c>
      <c r="J270" s="144" t="str">
        <f ref="J270:J270" t="array">IFERROR(INDIRECT(ADDRESS(66,X282,,,"Inputs")), "")</f>
      </c>
      <c r="K270" s="145"/>
      <c r="L270" s="136" t="s">
        <v>20</v>
      </c>
      <c r="M270" s="146"/>
      <c r="N270" s="146"/>
      <c r="O270" s="138" t="str">
        <f ref="O270:O270" t="array">IF(ISBLANK(INDIRECT(ADDRESS(36,X282,,,"Inputs"))), "-", IFERROR(I270/J270, ""))</f>
        <v>-</v>
      </c>
      <c r="P270" s="147"/>
      <c r="Q270" s="144" t="str">
        <f ref="Q270:Q270" t="array">IF(INDIRECT(ADDRESS(25,X282,,,"Inputs"))=0,"0",INDIRECT(ADDRESS(25,X282,,,"Inputs")))</f>
        <v>0</v>
      </c>
      <c r="R270" s="145"/>
      <c r="S270" s="145"/>
      <c r="T270" s="145"/>
      <c r="U270" s="145"/>
      <c r="V270" s="172"/>
      <c r="AA270" s="0">
        <f>AA264</f>
        <v>1</v>
      </c>
    </row>
    <row r="271" ht="36" customHeight="1">
      <c r="A271" s="117" t="s">
        <v>21</v>
      </c>
      <c r="B271" s="136" t="str">
        <f ref="B271:B271" t="array">IF(INDIRECT(ADDRESS(11,X282,,,"Inputs"))=0,"",INDIRECT(ADDRESS(11,X282,,,"Inputs")))</f>
      </c>
      <c r="C271" s="136"/>
      <c r="D271" s="109" t="s">
        <v>22</v>
      </c>
      <c r="E271" s="142" t="str">
        <f ref="E271:E271" t="array">IF(ISBLANK(INDIRECT(ADDRESS(39,X282,,,"Inputs"))),"",INDIRECT(ADDRESS(39,X282,,,"Inputs")))</f>
      </c>
      <c r="F271" s="143"/>
      <c r="G271" s="143"/>
      <c r="H271" s="118" t="str">
        <f ref="H271:H271" t="array">IF(ISBLANK(INDIRECT(ADDRESS(39,X282,,,"Inputs"))),"",INDIRECT(ADDRESS(39,X282,,,"Inputs")))</f>
      </c>
      <c r="I271" s="120" t="str">
        <f ref="I271:I271" t="array">IFERROR(INDIRECT(ADDRESS(67,X282,,,"Inputs")), "")</f>
      </c>
      <c r="J271" s="155" t="str">
        <f ref="J271:J271" t="array">IFERROR(INDIRECT(ADDRESS(68,X282,,,"Inputs")), "")</f>
      </c>
      <c r="K271" s="146"/>
      <c r="L271" s="136"/>
      <c r="M271" s="146"/>
      <c r="N271" s="146"/>
      <c r="O271" s="138" t="str">
        <f>IFERROR(J271/I271, "")</f>
      </c>
      <c r="P271" s="147"/>
      <c r="Q271" s="136" t="s">
        <v>23</v>
      </c>
      <c r="R271" s="146"/>
      <c r="S271" s="146"/>
      <c r="T271" s="146"/>
      <c r="U271" s="146"/>
      <c r="V271" s="161"/>
      <c r="AA271" s="0">
        <f>AA264</f>
        <v>1</v>
      </c>
    </row>
    <row r="272" ht="18" customHeight="1">
      <c r="A272" s="117" t="s">
        <v>24</v>
      </c>
      <c r="B272" s="141" t="str">
        <f ref="B272:B272" t="array">IF(INDIRECT(ADDRESS(75,X282,,,"Inputs"))=0,"",INDIRECT(ADDRESS(75,X282,,,"Inputs")))</f>
      </c>
      <c r="C272" s="141"/>
      <c r="D272" s="109" t="s">
        <v>25</v>
      </c>
      <c r="E272" s="142" t="str">
        <f ref="E272:E272" t="array">IF(ISBLANK(INDIRECT(ADDRESS(41,X282,,,"Inputs"))),"",INDIRECT(ADDRESS(41,X282,,,"Inputs")))</f>
      </c>
      <c r="F272" s="143"/>
      <c r="G272" s="143"/>
      <c r="H272" s="118" t="str">
        <f ref="H272:H272" t="array">IF(ISBLANK(INDIRECT(ADDRESS(41,X282,,,"Inputs"))),"",INDIRECT(ADDRESS(41,X282,,,"Inputs")))</f>
      </c>
      <c r="I272" s="119" t="str">
        <f ref="I272:I272" t="array">IFERROR(INDIRECT(ADDRESS(71,X282,,,"Inputs")), "")</f>
      </c>
      <c r="J272" s="144" t="str">
        <f ref="J272:J272" t="array">IFERROR(INDIRECT(ADDRESS(72,X282,,,"Inputs")), "")</f>
      </c>
      <c r="K272" s="145"/>
      <c r="L272" s="136" t="s">
        <v>20</v>
      </c>
      <c r="M272" s="146"/>
      <c r="N272" s="146"/>
      <c r="O272" s="138" t="str">
        <f ref="O272:O272" t="array">IF(ISBLANK(INDIRECT(ADDRESS(42,X282,,,"Inputs"))), "-", IFERROR(I272 / J272, ""))</f>
        <v>-</v>
      </c>
      <c r="P272" s="147"/>
      <c r="Q272" s="144" t="str">
        <f ref="Q272:Q272" t="array">IF(INDIRECT(ADDRESS(24,X282,,,"Inputs"))=0,"0",INDIRECT(ADDRESS(24,X282,,,"Inputs")))</f>
        <v>0</v>
      </c>
      <c r="R272" s="145"/>
      <c r="S272" s="145"/>
      <c r="T272" s="145"/>
      <c r="U272" s="145"/>
      <c r="V272" s="172"/>
      <c r="AA272" s="0">
        <f>AA264</f>
        <v>1</v>
      </c>
    </row>
    <row r="273" ht="36" customHeight="1">
      <c r="A273" s="117" t="s">
        <v>26</v>
      </c>
      <c r="B273" s="136" t="str">
        <f ref="B273:B273" t="array">IF(INDIRECT(ADDRESS(17,X282,,,"Inputs"))=0,"",INDIRECT(ADDRESS(17,X282,,,"Inputs")))</f>
      </c>
      <c r="C273" s="136"/>
      <c r="D273" s="111" t="s">
        <v>27</v>
      </c>
      <c r="E273" s="142" t="str">
        <f ref="E273:E273" t="array">IF(ISBLANK(INDIRECT(ADDRESS(43,X282,,,"Inputs"))),"",INDIRECT(ADDRESS(43,X282,,,"Inputs")))</f>
      </c>
      <c r="F273" s="143"/>
      <c r="G273" s="143"/>
      <c r="H273" s="118" t="str">
        <f ref="H273:H273" t="array">IF(ISBLANK(INDIRECT(ADDRESS(43,X282,,,"Inputs"))),"",INDIRECT(ADDRESS(43,X282,,,"Inputs")))</f>
      </c>
      <c r="I273" s="121" t="str">
        <f ref="I273:I273" t="array">IFERROR(INDIRECT(ADDRESS(73,X282,,,"Inputs")), "")</f>
      </c>
      <c r="J273" s="144" t="str">
        <f ref="J273:J273" t="array">IFERROR(INDIRECT(ADDRESS(74,X282,,,"Inputs")), "")</f>
      </c>
      <c r="K273" s="145"/>
      <c r="L273" s="136" t="s">
        <v>20</v>
      </c>
      <c r="M273" s="146"/>
      <c r="N273" s="146"/>
      <c r="O273" s="138" t="str">
        <f ref="O273:O273" t="array">IF(ISBLANK(INDIRECT(ADDRESS(44,X282,,,"Inputs"))), "-", IFERROR(I273 / J273, ""))</f>
        <v>-</v>
      </c>
      <c r="P273" s="147"/>
      <c r="Q273" s="177" t="s">
        <v>28</v>
      </c>
      <c r="R273" s="146"/>
      <c r="S273" s="146"/>
      <c r="T273" s="146"/>
      <c r="U273" s="146"/>
      <c r="V273" s="161"/>
      <c r="AA273" s="0">
        <f>AA264</f>
        <v>1</v>
      </c>
    </row>
    <row r="274" ht="18" customHeight="1">
      <c r="A274" s="117" t="s">
        <v>29</v>
      </c>
      <c r="B274" s="141" t="str">
        <f ref="B274:B274" t="array">IF(INDIRECT(ADDRESS(31,X282,,,"Inputs"))=0,"",INDIRECT(ADDRESS(31,X282,,,"Inputs")))</f>
      </c>
      <c r="C274" s="178"/>
      <c r="D274" s="179" t="s">
        <v>30</v>
      </c>
      <c r="E274" s="180"/>
      <c r="F274" s="180"/>
      <c r="G274" s="180"/>
      <c r="H274" s="180"/>
      <c r="I274" s="180"/>
      <c r="J274" s="180"/>
      <c r="K274" s="180"/>
      <c r="L274" s="180"/>
      <c r="M274" s="180"/>
      <c r="N274" s="180"/>
      <c r="O274" s="180"/>
      <c r="P274" s="181"/>
      <c r="Q274" s="136" t="s">
        <v>31</v>
      </c>
      <c r="R274" s="146"/>
      <c r="S274" s="146"/>
      <c r="T274" s="165">
        <f ref="T274:T274" t="array">IFERROR(INDIRECT(ADDRESS(77,X282,,,"Inputs")), "")</f>
        <v>0</v>
      </c>
      <c r="U274" s="166"/>
      <c r="V274" s="167"/>
      <c r="AA274" s="0">
        <f>AA264</f>
        <v>1</v>
      </c>
    </row>
    <row r="275" ht="18" customHeight="1">
      <c r="A275" s="117" t="s">
        <v>32</v>
      </c>
      <c r="B275" s="148" t="str">
        <f ref="B275:B275" t="array">IF(INDIRECT(ADDRESS(83,X282,,,"Inputs"))=0,"",INDIRECT(ADDRESS(83,X282,,,"Inputs")))</f>
      </c>
      <c r="C275" s="149"/>
      <c r="D275" s="158">
        <f ref="D275:D275" t="array">INDIRECT(ADDRESS(26,X282,,,"Inputs"))</f>
        <v>0</v>
      </c>
      <c r="E275" s="158"/>
      <c r="F275" s="158"/>
      <c r="G275" s="158"/>
      <c r="H275" s="158"/>
      <c r="I275" s="158"/>
      <c r="J275" s="158"/>
      <c r="K275" s="158"/>
      <c r="L275" s="158"/>
      <c r="M275" s="158"/>
      <c r="N275" s="158"/>
      <c r="O275" s="158"/>
      <c r="P275" s="158"/>
      <c r="Q275" s="136" t="s">
        <v>33</v>
      </c>
      <c r="R275" s="146"/>
      <c r="S275" s="146"/>
      <c r="T275" s="165">
        <f ref="T275:T275" t="array">IFERROR(INDIRECT(ADDRESS(86,X282,,,"Inputs")), "")</f>
        <v>0</v>
      </c>
      <c r="U275" s="166"/>
      <c r="V275" s="167"/>
      <c r="AA275" s="0">
        <f>AA264</f>
        <v>1</v>
      </c>
    </row>
    <row r="276" ht="18" customHeight="1">
      <c r="A276" s="150" t="s">
        <v>34</v>
      </c>
      <c r="B276" s="146"/>
      <c r="C276" s="151"/>
      <c r="D276" s="158"/>
      <c r="E276" s="158"/>
      <c r="F276" s="158"/>
      <c r="G276" s="158"/>
      <c r="H276" s="158"/>
      <c r="I276" s="158"/>
      <c r="J276" s="158"/>
      <c r="K276" s="158"/>
      <c r="L276" s="158"/>
      <c r="M276" s="158"/>
      <c r="N276" s="158"/>
      <c r="O276" s="158"/>
      <c r="P276" s="158"/>
      <c r="Q276" s="136" t="s">
        <v>35</v>
      </c>
      <c r="R276" s="146"/>
      <c r="S276" s="146"/>
      <c r="T276" s="165">
        <f ref="T276:T276" t="array">IFERROR(INDIRECT(ADDRESS(78,X282,,,"Inputs")), "")</f>
        <v>0</v>
      </c>
      <c r="U276" s="166"/>
      <c r="V276" s="167"/>
      <c r="AA276" s="0">
        <f>AA264</f>
        <v>1</v>
      </c>
    </row>
    <row r="277" ht="18" customHeight="1">
      <c r="A277" s="117" t="s">
        <v>36</v>
      </c>
      <c r="B277" s="141" t="str">
        <f ref="B277:B277" t="array">IF(INDIRECT(ADDRESS(30,X282,,,"Inputs"))=0,"",INDIRECT(ADDRESS(30,X282,,,"Inputs")))</f>
      </c>
      <c r="C277" s="141"/>
      <c r="D277" s="158"/>
      <c r="E277" s="158"/>
      <c r="F277" s="158"/>
      <c r="G277" s="158"/>
      <c r="H277" s="158"/>
      <c r="I277" s="158"/>
      <c r="J277" s="158"/>
      <c r="K277" s="158"/>
      <c r="L277" s="158"/>
      <c r="M277" s="158"/>
      <c r="N277" s="158"/>
      <c r="O277" s="158"/>
      <c r="P277" s="158"/>
      <c r="Q277" s="136" t="s">
        <v>37</v>
      </c>
      <c r="R277" s="146"/>
      <c r="S277" s="146"/>
      <c r="T277" s="165">
        <f ref="T277:T277" t="array">IFERROR(INDIRECT(ADDRESS(45,X282,,,"Inputs")), "")</f>
        <v>0</v>
      </c>
      <c r="U277" s="166"/>
      <c r="V277" s="167"/>
      <c r="AA277" s="0">
        <f>AA264</f>
        <v>1</v>
      </c>
    </row>
    <row r="278" ht="18" customHeight="1">
      <c r="A278" s="117" t="s">
        <v>38</v>
      </c>
      <c r="B278" s="136" t="str">
        <f ref="B278:B278" t="array">IF(INDIRECT(ADDRESS(32,X282,,,"Inputs"))=0,"",INDIRECT(ADDRESS(32,X282,,,"Inputs")))</f>
      </c>
      <c r="C278" s="136"/>
      <c r="D278" s="158"/>
      <c r="E278" s="158"/>
      <c r="F278" s="158"/>
      <c r="G278" s="158"/>
      <c r="H278" s="158"/>
      <c r="I278" s="158"/>
      <c r="J278" s="158"/>
      <c r="K278" s="158"/>
      <c r="L278" s="158"/>
      <c r="M278" s="158"/>
      <c r="N278" s="158"/>
      <c r="O278" s="158"/>
      <c r="P278" s="158"/>
      <c r="Q278" s="136" t="s">
        <v>39</v>
      </c>
      <c r="R278" s="146"/>
      <c r="S278" s="146"/>
      <c r="T278" s="165">
        <f ref="T278:T278" t="array">IFERROR(INDIRECT(ADDRESS(79,X282,,,"Inputs")), "")</f>
        <v>0</v>
      </c>
      <c r="U278" s="166"/>
      <c r="V278" s="167"/>
      <c r="AA278" s="0">
        <f>AA264</f>
        <v>1</v>
      </c>
    </row>
    <row r="279" ht="18" customHeight="1">
      <c r="A279" s="152" t="s">
        <v>40</v>
      </c>
      <c r="B279" s="153"/>
      <c r="C279" s="154"/>
      <c r="D279" s="158"/>
      <c r="E279" s="158"/>
      <c r="F279" s="158"/>
      <c r="G279" s="158"/>
      <c r="H279" s="158"/>
      <c r="I279" s="158"/>
      <c r="J279" s="158"/>
      <c r="K279" s="158"/>
      <c r="L279" s="158"/>
      <c r="M279" s="158"/>
      <c r="N279" s="158"/>
      <c r="O279" s="158"/>
      <c r="P279" s="158"/>
      <c r="Q279" s="136" t="s">
        <v>41</v>
      </c>
      <c r="R279" s="146"/>
      <c r="S279" s="146"/>
      <c r="T279" s="165">
        <f ref="T279:T279" t="array">IFERROR(INDIRECT(ADDRESS(80,X282,,,"Inputs")), "")</f>
        <v>0</v>
      </c>
      <c r="U279" s="166"/>
      <c r="V279" s="167"/>
      <c r="W279" s="0">
        <f ref="W279:W279" t="array">INDIRECT(ADDRESS(34,X282,,,"Inputs"))</f>
        <v>0</v>
      </c>
      <c r="X279" s="3"/>
      <c r="AA279" s="0">
        <f>AA264</f>
        <v>1</v>
      </c>
    </row>
    <row r="280" ht="18" customHeight="1">
      <c r="A280" s="117" t="s">
        <v>42</v>
      </c>
      <c r="B280" s="141" t="str">
        <f ref="B280:B280" t="array">IF(INDIRECT(ADDRESS(33,X282,,,"Inputs"))=0,"",INDIRECT(ADDRESS(33,X282,,,"Inputs")))</f>
      </c>
      <c r="C280" s="141"/>
      <c r="D280" s="158"/>
      <c r="E280" s="158"/>
      <c r="F280" s="158"/>
      <c r="G280" s="158"/>
      <c r="H280" s="158"/>
      <c r="I280" s="158"/>
      <c r="J280" s="158"/>
      <c r="K280" s="158"/>
      <c r="L280" s="158"/>
      <c r="M280" s="158"/>
      <c r="N280" s="158"/>
      <c r="O280" s="158"/>
      <c r="P280" s="158"/>
      <c r="Q280" s="136" t="s">
        <v>43</v>
      </c>
      <c r="R280" s="146"/>
      <c r="S280" s="146"/>
      <c r="T280" s="165">
        <f ref="T280:T280" t="array">IFERROR(INDIRECT(ADDRESS(81,X282,,,"Inputs")), "")</f>
        <v>0</v>
      </c>
      <c r="U280" s="166"/>
      <c r="V280" s="167"/>
      <c r="X280" s="3"/>
      <c r="AA280" s="0">
        <f>AA264</f>
        <v>1</v>
      </c>
    </row>
    <row r="281" ht="36" customHeight="1">
      <c r="A281" s="117" t="s">
        <v>44</v>
      </c>
      <c r="B281" s="156" t="str">
        <f ref="B281:B281" t="array">IF(INDIRECT(ADDRESS(47,X282,,,"Inputs"))=0,"",INDIRECT(ADDRESS(47,X282,,,"Inputs")))</f>
      </c>
      <c r="C281" s="156"/>
      <c r="D281" s="158"/>
      <c r="E281" s="158"/>
      <c r="F281" s="158"/>
      <c r="G281" s="158"/>
      <c r="H281" s="158"/>
      <c r="I281" s="158"/>
      <c r="J281" s="158"/>
      <c r="K281" s="158"/>
      <c r="L281" s="158"/>
      <c r="M281" s="158"/>
      <c r="N281" s="158"/>
      <c r="O281" s="158"/>
      <c r="P281" s="158"/>
      <c r="Q281" s="136" t="s">
        <v>45</v>
      </c>
      <c r="R281" s="146"/>
      <c r="S281" s="146"/>
      <c r="T281" s="136" t="str">
        <f ref="T281:T281" t="array">_xlfn.CONCAT(IFERROR(INDIRECT(ADDRESS(49,X282,,,"Inputs")), ""), " / ", IFERROR(INDIRECT(ADDRESS(48,X282,,,"Inputs")), ""))</f>
        <v> / </v>
      </c>
      <c r="U281" s="146"/>
      <c r="V281" s="161"/>
      <c r="X281" s="3"/>
      <c r="AA281" s="0">
        <f>AA264</f>
        <v>1</v>
      </c>
    </row>
    <row r="282" ht="102" customHeight="1">
      <c r="A282" s="122"/>
      <c r="B282" s="157"/>
      <c r="C282" s="157"/>
      <c r="D282" s="159"/>
      <c r="E282" s="159"/>
      <c r="F282" s="159"/>
      <c r="G282" s="159"/>
      <c r="H282" s="159"/>
      <c r="I282" s="159"/>
      <c r="J282" s="159"/>
      <c r="K282" s="159"/>
      <c r="L282" s="159"/>
      <c r="M282" s="159"/>
      <c r="N282" s="159"/>
      <c r="O282" s="159"/>
      <c r="P282" s="159"/>
      <c r="Q282" s="159"/>
      <c r="R282" s="173"/>
      <c r="S282" s="173"/>
      <c r="T282" s="174"/>
      <c r="U282" s="175"/>
      <c r="V282" s="176"/>
      <c r="W282" s="78" t="s">
        <v>46</v>
      </c>
      <c r="X282" s="78">
        <f>COLUMN(Inputs!EO5)</f>
        <v>145</v>
      </c>
      <c r="AA282" s="0">
        <f>AA264</f>
        <v>1</v>
      </c>
    </row>
    <row r="283" ht="18" customHeight="1">
      <c r="A283" s="58"/>
      <c r="B283" s="36"/>
      <c r="C283" s="36"/>
      <c r="D283" s="36"/>
      <c r="E283" s="36"/>
      <c r="F283" s="36"/>
      <c r="G283" s="36"/>
      <c r="H283" s="36"/>
      <c r="I283" s="36"/>
      <c r="J283" s="36"/>
      <c r="K283" s="36"/>
      <c r="L283" s="36"/>
      <c r="M283" s="36"/>
      <c r="N283" s="36"/>
      <c r="O283" s="36"/>
      <c r="P283" s="36"/>
      <c r="Q283" s="36"/>
      <c r="R283" s="36"/>
      <c r="S283" s="36"/>
      <c r="T283" s="36"/>
      <c r="U283" s="36"/>
      <c r="V283" s="36"/>
      <c r="AA283" s="0">
        <f>AA264</f>
        <v>1</v>
      </c>
    </row>
    <row r="284" ht="18" customHeight="1">
      <c r="A284" s="139" t="s">
        <v>4</v>
      </c>
      <c r="B284" s="140"/>
      <c r="C284" s="140"/>
      <c r="D284" s="140" t="str">
        <f ref="D284:D284" t="array">CONCATENATE(INDIRECT(ADDRESS(6,X302,,,"Inputs"))," ",INDIRECT(ADDRESS(8,X302,,,"Inputs"))," ",INDIRECT(ADDRESS(9,X302,,,"Inputs")))</f>
      </c>
      <c r="E284" s="140"/>
      <c r="F284" s="140"/>
      <c r="G284" s="140"/>
      <c r="H284" s="140"/>
      <c r="I284" s="140"/>
      <c r="J284" s="140"/>
      <c r="K284" s="140"/>
      <c r="L284" s="140"/>
      <c r="M284" s="140"/>
      <c r="N284" s="140"/>
      <c r="O284" s="140"/>
      <c r="P284" s="140"/>
      <c r="Q284" s="113"/>
      <c r="R284" s="113"/>
      <c r="S284" s="113"/>
      <c r="T284" s="113"/>
      <c r="U284" s="113"/>
      <c r="V284" s="114"/>
      <c r="AA284" s="0">
        <f>IF(LEN(TRIM(A284))=0,0,1)</f>
        <v>1</v>
      </c>
    </row>
    <row r="285" ht="18" customHeight="1">
      <c r="A285" s="134" t="str">
        <f ref="A285:A285" t="array">IF(INDIRECT(ADDRESS(50,X302,,,"Inputs"))=0,"",INDIRECT(ADDRESS(50,X302,,,"Inputs")))</f>
      </c>
      <c r="B285" s="135"/>
      <c r="C285" s="135"/>
      <c r="D285" s="136" t="str">
        <f ref="D285:D285" t="array">IF(INDIRECT(ADDRESS(10,X302,,,"Inputs"))=0,"",INDIRECT(ADDRESS(10,X302,,,"Inputs")))</f>
      </c>
      <c r="E285" s="136"/>
      <c r="F285" s="136"/>
      <c r="G285" s="136"/>
      <c r="H285" s="136"/>
      <c r="I285" s="136"/>
      <c r="J285" s="136"/>
      <c r="K285" s="136"/>
      <c r="L285" s="136"/>
      <c r="M285" s="136"/>
      <c r="N285" s="136"/>
      <c r="O285" s="136"/>
      <c r="P285" s="136"/>
      <c r="Q285" s="110"/>
      <c r="R285" s="110"/>
      <c r="S285" s="110"/>
      <c r="T285" s="110"/>
      <c r="U285" s="110"/>
      <c r="V285" s="115"/>
      <c r="AA285" s="0">
        <f>AA284</f>
        <v>1</v>
      </c>
    </row>
    <row r="286" ht="18" customHeight="1">
      <c r="A286" s="137" t="s">
        <v>5</v>
      </c>
      <c r="B286" s="136"/>
      <c r="C286" s="136"/>
      <c r="D286" s="136" t="str">
        <f ref="D286:D286" t="array">IF(INDIRECT(ADDRESS(14,X302,,,"Inputs"))=0,"",INDIRECT(ADDRESS(14,X302,,,"Inputs")))</f>
      </c>
      <c r="E286" s="136"/>
      <c r="F286" s="136"/>
      <c r="G286" s="136"/>
      <c r="H286" s="136"/>
      <c r="I286" s="136"/>
      <c r="J286" s="136"/>
      <c r="K286" s="136"/>
      <c r="L286" s="136"/>
      <c r="M286" s="136"/>
      <c r="N286" s="136"/>
      <c r="O286" s="136"/>
      <c r="P286" s="136"/>
      <c r="Q286" s="110"/>
      <c r="R286" s="110"/>
      <c r="S286" s="110"/>
      <c r="T286" s="110"/>
      <c r="U286" s="110"/>
      <c r="V286" s="115"/>
      <c r="AA286" s="0">
        <f>AA284</f>
        <v>1</v>
      </c>
    </row>
    <row r="287" ht="18" customHeight="1">
      <c r="A287" s="134" t="str">
        <f ref="A287:A287" t="array">IF(INDIRECT(ADDRESS(51,X302,,,"Inputs"))=0,"",INDIRECT(ADDRESS(51,X302,,,"Inputs")))</f>
      </c>
      <c r="B287" s="135"/>
      <c r="C287" s="135"/>
      <c r="D287" s="138" t="str">
        <f ref="D287:D287" t="array">INDIRECT(ADDRESS(82,X302,,,"Inputs"))</f>
      </c>
      <c r="E287" s="138"/>
      <c r="F287" s="138"/>
      <c r="G287" s="138"/>
      <c r="H287" s="138"/>
      <c r="I287" s="138"/>
      <c r="J287" s="138"/>
      <c r="K287" s="138"/>
      <c r="L287" s="138"/>
      <c r="M287" s="138"/>
      <c r="N287" s="138"/>
      <c r="O287" s="138"/>
      <c r="P287" s="138"/>
      <c r="Q287" s="112"/>
      <c r="R287" s="112"/>
      <c r="S287" s="112"/>
      <c r="T287" s="112"/>
      <c r="U287" s="112"/>
      <c r="V287" s="116"/>
      <c r="AA287" s="0">
        <f>AA284</f>
        <v>1</v>
      </c>
    </row>
    <row r="288" ht="18" customHeight="1">
      <c r="A288" s="168" t="s">
        <v>6</v>
      </c>
      <c r="B288" s="146"/>
      <c r="C288" s="151"/>
      <c r="D288" s="169" t="s">
        <v>7</v>
      </c>
      <c r="E288" s="146"/>
      <c r="F288" s="146"/>
      <c r="G288" s="146"/>
      <c r="H288" s="146"/>
      <c r="I288" s="146"/>
      <c r="J288" s="146"/>
      <c r="K288" s="146"/>
      <c r="L288" s="146"/>
      <c r="M288" s="146"/>
      <c r="N288" s="146"/>
      <c r="O288" s="146"/>
      <c r="P288" s="151"/>
      <c r="Q288" s="170" t="s">
        <v>8</v>
      </c>
      <c r="R288" s="146"/>
      <c r="S288" s="146"/>
      <c r="T288" s="146"/>
      <c r="U288" s="146"/>
      <c r="V288" s="161"/>
      <c r="AA288" s="0">
        <f>AA284</f>
        <v>1</v>
      </c>
    </row>
    <row r="289" ht="18" customHeight="1">
      <c r="A289" s="117" t="s">
        <v>9</v>
      </c>
      <c r="B289" s="162" t="str">
        <f ref="B289:B289" t="array">IF(INDIRECT(ADDRESS(15,X302,,,"Inputs"))=0,"",INDIRECT(ADDRESS(15,X302,,,"Inputs")))</f>
      </c>
      <c r="C289" s="162"/>
      <c r="D289" s="109" t="s">
        <v>10</v>
      </c>
      <c r="E289" s="136" t="s">
        <v>11</v>
      </c>
      <c r="F289" s="146"/>
      <c r="G289" s="146"/>
      <c r="H289" s="109" t="s">
        <v>12</v>
      </c>
      <c r="I289" s="109" t="s">
        <v>13</v>
      </c>
      <c r="J289" s="136" t="s">
        <v>14</v>
      </c>
      <c r="K289" s="146"/>
      <c r="L289" s="136" t="s">
        <v>15</v>
      </c>
      <c r="M289" s="146"/>
      <c r="N289" s="146"/>
      <c r="O289" s="136" t="s">
        <v>16</v>
      </c>
      <c r="P289" s="146"/>
      <c r="Q289" s="136" t="s">
        <v>17</v>
      </c>
      <c r="R289" s="146"/>
      <c r="S289" s="146"/>
      <c r="T289" s="146"/>
      <c r="U289" s="146"/>
      <c r="V289" s="161"/>
      <c r="AA289" s="0">
        <f>AA284</f>
        <v>1</v>
      </c>
    </row>
    <row r="290" ht="18" customHeight="1">
      <c r="A290" s="117" t="s">
        <v>18</v>
      </c>
      <c r="B290" s="162" t="str">
        <f ref="B290:B290" t="array">IF(INDIRECT(ADDRESS(16,X302,,,"Inputs"))=0,"",INDIRECT(ADDRESS(16,X302,,,"Inputs")))</f>
      </c>
      <c r="C290" s="162"/>
      <c r="D290" s="109" t="s">
        <v>19</v>
      </c>
      <c r="E290" s="142" t="str">
        <f ref="E290:E290" t="array">IF(ISBLANK(INDIRECT(ADDRESS(35,X302,,,"Inputs"))),"",INDIRECT(ADDRESS(35,X302,,,"Inputs")))</f>
      </c>
      <c r="F290" s="143"/>
      <c r="G290" s="143"/>
      <c r="H290" s="118" t="str">
        <f ref="H290:H290" t="array">IF(ISBLANK(INDIRECT(ADDRESS(35,X302,,,"Inputs"))),"",INDIRECT(ADDRESS(35,X302,,,"Inputs")))</f>
      </c>
      <c r="I290" s="119">
        <f ref="I290:I290" t="array">IFERROR(INDIRECT(ADDRESS(65,X302,,,"Inputs")), "")</f>
        <v>0</v>
      </c>
      <c r="J290" s="144" t="str">
        <f ref="J290:J290" t="array">IFERROR(INDIRECT(ADDRESS(66,X302,,,"Inputs")), "")</f>
      </c>
      <c r="K290" s="145"/>
      <c r="L290" s="136" t="s">
        <v>20</v>
      </c>
      <c r="M290" s="146"/>
      <c r="N290" s="146"/>
      <c r="O290" s="138" t="str">
        <f ref="O290:O290" t="array">IF(ISBLANK(INDIRECT(ADDRESS(36,X302,,,"Inputs"))), "-", IFERROR(I290/J290, ""))</f>
        <v>-</v>
      </c>
      <c r="P290" s="147"/>
      <c r="Q290" s="144" t="str">
        <f ref="Q290:Q290" t="array">IF(INDIRECT(ADDRESS(25,X302,,,"Inputs"))=0,"0",INDIRECT(ADDRESS(25,X302,,,"Inputs")))</f>
        <v>0</v>
      </c>
      <c r="R290" s="145"/>
      <c r="S290" s="145"/>
      <c r="T290" s="145"/>
      <c r="U290" s="145"/>
      <c r="V290" s="172"/>
      <c r="AA290" s="0">
        <f>AA284</f>
        <v>1</v>
      </c>
    </row>
    <row r="291" ht="36" customHeight="1">
      <c r="A291" s="117" t="s">
        <v>21</v>
      </c>
      <c r="B291" s="136" t="str">
        <f ref="B291:B291" t="array">IF(INDIRECT(ADDRESS(11,X302,,,"Inputs"))=0,"",INDIRECT(ADDRESS(11,X302,,,"Inputs")))</f>
      </c>
      <c r="C291" s="136"/>
      <c r="D291" s="109" t="s">
        <v>22</v>
      </c>
      <c r="E291" s="142" t="str">
        <f ref="E291:E291" t="array">IF(ISBLANK(INDIRECT(ADDRESS(39,X302,,,"Inputs"))),"",INDIRECT(ADDRESS(39,X302,,,"Inputs")))</f>
      </c>
      <c r="F291" s="143"/>
      <c r="G291" s="143"/>
      <c r="H291" s="118" t="str">
        <f ref="H291:H291" t="array">IF(ISBLANK(INDIRECT(ADDRESS(39,X302,,,"Inputs"))),"",INDIRECT(ADDRESS(39,X302,,,"Inputs")))</f>
      </c>
      <c r="I291" s="120" t="str">
        <f ref="I291:I291" t="array">IFERROR(INDIRECT(ADDRESS(67,X302,,,"Inputs")), "")</f>
      </c>
      <c r="J291" s="155" t="str">
        <f ref="J291:J291" t="array">IFERROR(INDIRECT(ADDRESS(68,X302,,,"Inputs")), "")</f>
      </c>
      <c r="K291" s="146"/>
      <c r="L291" s="136"/>
      <c r="M291" s="146"/>
      <c r="N291" s="146"/>
      <c r="O291" s="138" t="str">
        <f>IFERROR(J291/I291, "")</f>
      </c>
      <c r="P291" s="147"/>
      <c r="Q291" s="136" t="s">
        <v>23</v>
      </c>
      <c r="R291" s="146"/>
      <c r="S291" s="146"/>
      <c r="T291" s="146"/>
      <c r="U291" s="146"/>
      <c r="V291" s="161"/>
      <c r="AA291" s="0">
        <f>AA284</f>
        <v>1</v>
      </c>
    </row>
    <row r="292" ht="18" customHeight="1">
      <c r="A292" s="117" t="s">
        <v>24</v>
      </c>
      <c r="B292" s="141" t="str">
        <f ref="B292:B292" t="array">IF(INDIRECT(ADDRESS(75,X302,,,"Inputs"))=0,"",INDIRECT(ADDRESS(75,X302,,,"Inputs")))</f>
      </c>
      <c r="C292" s="141"/>
      <c r="D292" s="109" t="s">
        <v>25</v>
      </c>
      <c r="E292" s="142" t="str">
        <f ref="E292:E292" t="array">IF(ISBLANK(INDIRECT(ADDRESS(41,X302,,,"Inputs"))),"",INDIRECT(ADDRESS(41,X302,,,"Inputs")))</f>
      </c>
      <c r="F292" s="143"/>
      <c r="G292" s="143"/>
      <c r="H292" s="118" t="str">
        <f ref="H292:H292" t="array">IF(ISBLANK(INDIRECT(ADDRESS(41,X302,,,"Inputs"))),"",INDIRECT(ADDRESS(41,X302,,,"Inputs")))</f>
      </c>
      <c r="I292" s="119" t="str">
        <f ref="I292:I292" t="array">IFERROR(INDIRECT(ADDRESS(71,X302,,,"Inputs")), "")</f>
      </c>
      <c r="J292" s="144" t="str">
        <f ref="J292:J292" t="array">IFERROR(INDIRECT(ADDRESS(72,X302,,,"Inputs")), "")</f>
      </c>
      <c r="K292" s="145"/>
      <c r="L292" s="136" t="s">
        <v>20</v>
      </c>
      <c r="M292" s="146"/>
      <c r="N292" s="146"/>
      <c r="O292" s="138" t="str">
        <f ref="O292:O292" t="array">IF(ISBLANK(INDIRECT(ADDRESS(42,X302,,,"Inputs"))), "-", IFERROR(I292 / J292, ""))</f>
        <v>-</v>
      </c>
      <c r="P292" s="147"/>
      <c r="Q292" s="144" t="str">
        <f ref="Q292:Q292" t="array">IF(INDIRECT(ADDRESS(24,X302,,,"Inputs"))=0,"0",INDIRECT(ADDRESS(24,X302,,,"Inputs")))</f>
        <v>0</v>
      </c>
      <c r="R292" s="145"/>
      <c r="S292" s="145"/>
      <c r="T292" s="145"/>
      <c r="U292" s="145"/>
      <c r="V292" s="172"/>
      <c r="AA292" s="0">
        <f>AA284</f>
        <v>1</v>
      </c>
    </row>
    <row r="293" ht="36" customHeight="1">
      <c r="A293" s="117" t="s">
        <v>26</v>
      </c>
      <c r="B293" s="136" t="str">
        <f ref="B293:B293" t="array">IF(INDIRECT(ADDRESS(17,X302,,,"Inputs"))=0,"",INDIRECT(ADDRESS(17,X302,,,"Inputs")))</f>
      </c>
      <c r="C293" s="136"/>
      <c r="D293" s="111" t="s">
        <v>27</v>
      </c>
      <c r="E293" s="142" t="str">
        <f ref="E293:E293" t="array">IF(ISBLANK(INDIRECT(ADDRESS(43,X302,,,"Inputs"))),"",INDIRECT(ADDRESS(43,X302,,,"Inputs")))</f>
      </c>
      <c r="F293" s="143"/>
      <c r="G293" s="143"/>
      <c r="H293" s="118" t="str">
        <f ref="H293:H293" t="array">IF(ISBLANK(INDIRECT(ADDRESS(43,X302,,,"Inputs"))),"",INDIRECT(ADDRESS(43,X302,,,"Inputs")))</f>
      </c>
      <c r="I293" s="121" t="str">
        <f ref="I293:I293" t="array">IFERROR(INDIRECT(ADDRESS(73,X302,,,"Inputs")), "")</f>
      </c>
      <c r="J293" s="144" t="str">
        <f ref="J293:J293" t="array">IFERROR(INDIRECT(ADDRESS(74,X302,,,"Inputs")), "")</f>
      </c>
      <c r="K293" s="145"/>
      <c r="L293" s="136" t="s">
        <v>20</v>
      </c>
      <c r="M293" s="146"/>
      <c r="N293" s="146"/>
      <c r="O293" s="138" t="str">
        <f ref="O293:O293" t="array">IF(ISBLANK(INDIRECT(ADDRESS(44,X302,,,"Inputs"))), "-", IFERROR(I293 / J293, ""))</f>
        <v>-</v>
      </c>
      <c r="P293" s="147"/>
      <c r="Q293" s="177" t="s">
        <v>28</v>
      </c>
      <c r="R293" s="146"/>
      <c r="S293" s="146"/>
      <c r="T293" s="146"/>
      <c r="U293" s="146"/>
      <c r="V293" s="161"/>
      <c r="AA293" s="0">
        <f>AA284</f>
        <v>1</v>
      </c>
    </row>
    <row r="294" ht="18" customHeight="1">
      <c r="A294" s="117" t="s">
        <v>29</v>
      </c>
      <c r="B294" s="141" t="str">
        <f ref="B294:B294" t="array">IF(INDIRECT(ADDRESS(31,X302,,,"Inputs"))=0,"",INDIRECT(ADDRESS(31,X302,,,"Inputs")))</f>
      </c>
      <c r="C294" s="178"/>
      <c r="D294" s="179" t="s">
        <v>30</v>
      </c>
      <c r="E294" s="180"/>
      <c r="F294" s="180"/>
      <c r="G294" s="180"/>
      <c r="H294" s="180"/>
      <c r="I294" s="180"/>
      <c r="J294" s="180"/>
      <c r="K294" s="180"/>
      <c r="L294" s="180"/>
      <c r="M294" s="180"/>
      <c r="N294" s="180"/>
      <c r="O294" s="180"/>
      <c r="P294" s="181"/>
      <c r="Q294" s="136" t="s">
        <v>31</v>
      </c>
      <c r="R294" s="146"/>
      <c r="S294" s="146"/>
      <c r="T294" s="165">
        <f ref="T294:T294" t="array">IFERROR(INDIRECT(ADDRESS(77,X302,,,"Inputs")), "")</f>
        <v>0</v>
      </c>
      <c r="U294" s="166"/>
      <c r="V294" s="167"/>
      <c r="AA294" s="0">
        <f>AA284</f>
        <v>1</v>
      </c>
    </row>
    <row r="295" ht="18" customHeight="1">
      <c r="A295" s="117" t="s">
        <v>32</v>
      </c>
      <c r="B295" s="148" t="str">
        <f ref="B295:B295" t="array">IF(INDIRECT(ADDRESS(83,X302,,,"Inputs"))=0,"",INDIRECT(ADDRESS(83,X302,,,"Inputs")))</f>
      </c>
      <c r="C295" s="149"/>
      <c r="D295" s="158">
        <f ref="D295:D295" t="array">INDIRECT(ADDRESS(26,X302,,,"Inputs"))</f>
        <v>0</v>
      </c>
      <c r="E295" s="158"/>
      <c r="F295" s="158"/>
      <c r="G295" s="158"/>
      <c r="H295" s="158"/>
      <c r="I295" s="158"/>
      <c r="J295" s="158"/>
      <c r="K295" s="158"/>
      <c r="L295" s="158"/>
      <c r="M295" s="158"/>
      <c r="N295" s="158"/>
      <c r="O295" s="158"/>
      <c r="P295" s="158"/>
      <c r="Q295" s="136" t="s">
        <v>33</v>
      </c>
      <c r="R295" s="146"/>
      <c r="S295" s="146"/>
      <c r="T295" s="165">
        <f ref="T295:T295" t="array">IFERROR(INDIRECT(ADDRESS(86,X302,,,"Inputs")), "")</f>
        <v>0</v>
      </c>
      <c r="U295" s="166"/>
      <c r="V295" s="167"/>
      <c r="AA295" s="0">
        <f>AA284</f>
        <v>1</v>
      </c>
    </row>
    <row r="296" ht="18" customHeight="1">
      <c r="A296" s="150" t="s">
        <v>34</v>
      </c>
      <c r="B296" s="146"/>
      <c r="C296" s="151"/>
      <c r="D296" s="158"/>
      <c r="E296" s="158"/>
      <c r="F296" s="158"/>
      <c r="G296" s="158"/>
      <c r="H296" s="158"/>
      <c r="I296" s="158"/>
      <c r="J296" s="158"/>
      <c r="K296" s="158"/>
      <c r="L296" s="158"/>
      <c r="M296" s="158"/>
      <c r="N296" s="158"/>
      <c r="O296" s="158"/>
      <c r="P296" s="158"/>
      <c r="Q296" s="136" t="s">
        <v>35</v>
      </c>
      <c r="R296" s="146"/>
      <c r="S296" s="146"/>
      <c r="T296" s="165">
        <f ref="T296:T296" t="array">IFERROR(INDIRECT(ADDRESS(78,X302,,,"Inputs")), "")</f>
        <v>0</v>
      </c>
      <c r="U296" s="166"/>
      <c r="V296" s="167"/>
      <c r="AA296" s="0">
        <f>AA284</f>
        <v>1</v>
      </c>
    </row>
    <row r="297" ht="18" customHeight="1">
      <c r="A297" s="117" t="s">
        <v>36</v>
      </c>
      <c r="B297" s="141" t="str">
        <f ref="B297:B297" t="array">IF(INDIRECT(ADDRESS(30,X302,,,"Inputs"))=0,"",INDIRECT(ADDRESS(30,X302,,,"Inputs")))</f>
      </c>
      <c r="C297" s="141"/>
      <c r="D297" s="158"/>
      <c r="E297" s="158"/>
      <c r="F297" s="158"/>
      <c r="G297" s="158"/>
      <c r="H297" s="158"/>
      <c r="I297" s="158"/>
      <c r="J297" s="158"/>
      <c r="K297" s="158"/>
      <c r="L297" s="158"/>
      <c r="M297" s="158"/>
      <c r="N297" s="158"/>
      <c r="O297" s="158"/>
      <c r="P297" s="158"/>
      <c r="Q297" s="136" t="s">
        <v>37</v>
      </c>
      <c r="R297" s="146"/>
      <c r="S297" s="146"/>
      <c r="T297" s="165">
        <f ref="T297:T297" t="array">IFERROR(INDIRECT(ADDRESS(45,X302,,,"Inputs")), "")</f>
        <v>0</v>
      </c>
      <c r="U297" s="166"/>
      <c r="V297" s="167"/>
      <c r="AA297" s="0">
        <f>AA284</f>
        <v>1</v>
      </c>
    </row>
    <row r="298" ht="18" customHeight="1">
      <c r="A298" s="117" t="s">
        <v>38</v>
      </c>
      <c r="B298" s="136" t="str">
        <f ref="B298:B298" t="array">IF(INDIRECT(ADDRESS(32,X302,,,"Inputs"))=0,"",INDIRECT(ADDRESS(32,X302,,,"Inputs")))</f>
      </c>
      <c r="C298" s="136"/>
      <c r="D298" s="158"/>
      <c r="E298" s="158"/>
      <c r="F298" s="158"/>
      <c r="G298" s="158"/>
      <c r="H298" s="158"/>
      <c r="I298" s="158"/>
      <c r="J298" s="158"/>
      <c r="K298" s="158"/>
      <c r="L298" s="158"/>
      <c r="M298" s="158"/>
      <c r="N298" s="158"/>
      <c r="O298" s="158"/>
      <c r="P298" s="158"/>
      <c r="Q298" s="136" t="s">
        <v>39</v>
      </c>
      <c r="R298" s="146"/>
      <c r="S298" s="146"/>
      <c r="T298" s="165">
        <f ref="T298:T298" t="array">IFERROR(INDIRECT(ADDRESS(79,X302,,,"Inputs")), "")</f>
        <v>0</v>
      </c>
      <c r="U298" s="166"/>
      <c r="V298" s="167"/>
      <c r="AA298" s="0">
        <f>AA284</f>
        <v>1</v>
      </c>
    </row>
    <row r="299" ht="18" customHeight="1">
      <c r="A299" s="152" t="s">
        <v>40</v>
      </c>
      <c r="B299" s="153"/>
      <c r="C299" s="154"/>
      <c r="D299" s="158"/>
      <c r="E299" s="158"/>
      <c r="F299" s="158"/>
      <c r="G299" s="158"/>
      <c r="H299" s="158"/>
      <c r="I299" s="158"/>
      <c r="J299" s="158"/>
      <c r="K299" s="158"/>
      <c r="L299" s="158"/>
      <c r="M299" s="158"/>
      <c r="N299" s="158"/>
      <c r="O299" s="158"/>
      <c r="P299" s="158"/>
      <c r="Q299" s="136" t="s">
        <v>41</v>
      </c>
      <c r="R299" s="146"/>
      <c r="S299" s="146"/>
      <c r="T299" s="165">
        <f ref="T299:T299" t="array">IFERROR(INDIRECT(ADDRESS(80,X302,,,"Inputs")), "")</f>
        <v>0</v>
      </c>
      <c r="U299" s="166"/>
      <c r="V299" s="167"/>
      <c r="W299" s="0">
        <f ref="W299:W299" t="array">INDIRECT(ADDRESS(34,X302,,,"Inputs"))</f>
        <v>0</v>
      </c>
      <c r="X299" s="3"/>
      <c r="AA299" s="0">
        <f>AA284</f>
        <v>1</v>
      </c>
    </row>
    <row r="300" ht="18" customHeight="1">
      <c r="A300" s="117" t="s">
        <v>42</v>
      </c>
      <c r="B300" s="141" t="str">
        <f ref="B300:B300" t="array">IF(INDIRECT(ADDRESS(33,X302,,,"Inputs"))=0,"",INDIRECT(ADDRESS(33,X302,,,"Inputs")))</f>
      </c>
      <c r="C300" s="141"/>
      <c r="D300" s="158"/>
      <c r="E300" s="158"/>
      <c r="F300" s="158"/>
      <c r="G300" s="158"/>
      <c r="H300" s="158"/>
      <c r="I300" s="158"/>
      <c r="J300" s="158"/>
      <c r="K300" s="158"/>
      <c r="L300" s="158"/>
      <c r="M300" s="158"/>
      <c r="N300" s="158"/>
      <c r="O300" s="158"/>
      <c r="P300" s="158"/>
      <c r="Q300" s="136" t="s">
        <v>43</v>
      </c>
      <c r="R300" s="146"/>
      <c r="S300" s="146"/>
      <c r="T300" s="165">
        <f ref="T300:T300" t="array">IFERROR(INDIRECT(ADDRESS(81,X302,,,"Inputs")), "")</f>
        <v>0</v>
      </c>
      <c r="U300" s="166"/>
      <c r="V300" s="167"/>
      <c r="X300" s="3"/>
      <c r="AA300" s="0">
        <f>AA284</f>
        <v>1</v>
      </c>
    </row>
    <row r="301" ht="36" customHeight="1">
      <c r="A301" s="117" t="s">
        <v>44</v>
      </c>
      <c r="B301" s="156" t="str">
        <f ref="B301:B301" t="array">IF(INDIRECT(ADDRESS(47,X302,,,"Inputs"))=0,"",INDIRECT(ADDRESS(47,X302,,,"Inputs")))</f>
      </c>
      <c r="C301" s="156"/>
      <c r="D301" s="158"/>
      <c r="E301" s="158"/>
      <c r="F301" s="158"/>
      <c r="G301" s="158"/>
      <c r="H301" s="158"/>
      <c r="I301" s="158"/>
      <c r="J301" s="158"/>
      <c r="K301" s="158"/>
      <c r="L301" s="158"/>
      <c r="M301" s="158"/>
      <c r="N301" s="158"/>
      <c r="O301" s="158"/>
      <c r="P301" s="158"/>
      <c r="Q301" s="136" t="s">
        <v>45</v>
      </c>
      <c r="R301" s="146"/>
      <c r="S301" s="146"/>
      <c r="T301" s="136" t="str">
        <f ref="T301:T301" t="array">_xlfn.CONCAT(IFERROR(INDIRECT(ADDRESS(49,X302,,,"Inputs")), ""), " / ", IFERROR(INDIRECT(ADDRESS(48,X302,,,"Inputs")), ""))</f>
        <v> / </v>
      </c>
      <c r="U301" s="146"/>
      <c r="V301" s="161"/>
      <c r="X301" s="3"/>
      <c r="AA301" s="0">
        <f>AA284</f>
        <v>1</v>
      </c>
    </row>
    <row r="302" ht="102" customHeight="1">
      <c r="A302" s="122"/>
      <c r="B302" s="157"/>
      <c r="C302" s="157"/>
      <c r="D302" s="159"/>
      <c r="E302" s="159"/>
      <c r="F302" s="159"/>
      <c r="G302" s="159"/>
      <c r="H302" s="159"/>
      <c r="I302" s="159"/>
      <c r="J302" s="159"/>
      <c r="K302" s="159"/>
      <c r="L302" s="159"/>
      <c r="M302" s="159"/>
      <c r="N302" s="159"/>
      <c r="O302" s="159"/>
      <c r="P302" s="159"/>
      <c r="Q302" s="159"/>
      <c r="R302" s="173"/>
      <c r="S302" s="173"/>
      <c r="T302" s="174"/>
      <c r="U302" s="175"/>
      <c r="V302" s="176"/>
      <c r="W302" s="78" t="s">
        <v>46</v>
      </c>
      <c r="X302" s="78">
        <f>COLUMN(Inputs!EZ5)</f>
        <v>156</v>
      </c>
      <c r="AA302" s="0">
        <f>AA284</f>
        <v>1</v>
      </c>
    </row>
    <row r="303" ht="18" customHeight="1">
      <c r="A303" s="58"/>
      <c r="B303" s="36"/>
      <c r="C303" s="36"/>
      <c r="D303" s="36"/>
      <c r="E303" s="36"/>
      <c r="F303" s="36"/>
      <c r="G303" s="36"/>
      <c r="H303" s="36"/>
      <c r="I303" s="36"/>
      <c r="J303" s="36"/>
      <c r="K303" s="36"/>
      <c r="L303" s="36"/>
      <c r="M303" s="36"/>
      <c r="N303" s="36"/>
      <c r="O303" s="36"/>
      <c r="P303" s="36"/>
      <c r="Q303" s="36"/>
      <c r="R303" s="36"/>
      <c r="S303" s="36"/>
      <c r="T303" s="36"/>
      <c r="U303" s="36"/>
      <c r="V303" s="36"/>
      <c r="AA303" s="0">
        <f>AA284</f>
        <v>1</v>
      </c>
    </row>
    <row r="304" ht="18" customHeight="1">
      <c r="A304" s="139" t="s">
        <v>4</v>
      </c>
      <c r="B304" s="140"/>
      <c r="C304" s="140"/>
      <c r="D304" s="140" t="str">
        <f ref="D304:D304" t="array">CONCATENATE(INDIRECT(ADDRESS(6,X322,,,"Inputs"))," ",INDIRECT(ADDRESS(8,X322,,,"Inputs"))," ",INDIRECT(ADDRESS(9,X322,,,"Inputs")))</f>
      </c>
      <c r="E304" s="140"/>
      <c r="F304" s="140"/>
      <c r="G304" s="140"/>
      <c r="H304" s="140"/>
      <c r="I304" s="140"/>
      <c r="J304" s="140"/>
      <c r="K304" s="140"/>
      <c r="L304" s="140"/>
      <c r="M304" s="140"/>
      <c r="N304" s="140"/>
      <c r="O304" s="140"/>
      <c r="P304" s="140"/>
      <c r="Q304" s="113"/>
      <c r="R304" s="113"/>
      <c r="S304" s="113"/>
      <c r="T304" s="113"/>
      <c r="U304" s="113"/>
      <c r="V304" s="114"/>
      <c r="AA304" s="0">
        <f>IF(LEN(TRIM(A304))=0,0,1)</f>
        <v>1</v>
      </c>
    </row>
    <row r="305" ht="18" customHeight="1">
      <c r="A305" s="134" t="str">
        <f ref="A305:A305" t="array">IF(INDIRECT(ADDRESS(50,X322,,,"Inputs"))=0,"",INDIRECT(ADDRESS(50,X322,,,"Inputs")))</f>
      </c>
      <c r="B305" s="135"/>
      <c r="C305" s="135"/>
      <c r="D305" s="136" t="str">
        <f ref="D305:D305" t="array">IF(INDIRECT(ADDRESS(10,X322,,,"Inputs"))=0,"",INDIRECT(ADDRESS(10,X322,,,"Inputs")))</f>
      </c>
      <c r="E305" s="136"/>
      <c r="F305" s="136"/>
      <c r="G305" s="136"/>
      <c r="H305" s="136"/>
      <c r="I305" s="136"/>
      <c r="J305" s="136"/>
      <c r="K305" s="136"/>
      <c r="L305" s="136"/>
      <c r="M305" s="136"/>
      <c r="N305" s="136"/>
      <c r="O305" s="136"/>
      <c r="P305" s="136"/>
      <c r="Q305" s="110"/>
      <c r="R305" s="110"/>
      <c r="S305" s="110"/>
      <c r="T305" s="110"/>
      <c r="U305" s="110"/>
      <c r="V305" s="115"/>
      <c r="AA305" s="0">
        <f>AA304</f>
        <v>1</v>
      </c>
    </row>
    <row r="306" ht="18" customHeight="1">
      <c r="A306" s="137" t="s">
        <v>5</v>
      </c>
      <c r="B306" s="136"/>
      <c r="C306" s="136"/>
      <c r="D306" s="136" t="str">
        <f ref="D306:D306" t="array">IF(INDIRECT(ADDRESS(14,X322,,,"Inputs"))=0,"",INDIRECT(ADDRESS(14,X322,,,"Inputs")))</f>
      </c>
      <c r="E306" s="136"/>
      <c r="F306" s="136"/>
      <c r="G306" s="136"/>
      <c r="H306" s="136"/>
      <c r="I306" s="136"/>
      <c r="J306" s="136"/>
      <c r="K306" s="136"/>
      <c r="L306" s="136"/>
      <c r="M306" s="136"/>
      <c r="N306" s="136"/>
      <c r="O306" s="136"/>
      <c r="P306" s="136"/>
      <c r="Q306" s="110"/>
      <c r="R306" s="110"/>
      <c r="S306" s="110"/>
      <c r="T306" s="110"/>
      <c r="U306" s="110"/>
      <c r="V306" s="115"/>
      <c r="AA306" s="0">
        <f>AA304</f>
        <v>1</v>
      </c>
    </row>
    <row r="307" ht="18" customHeight="1">
      <c r="A307" s="134" t="str">
        <f ref="A307:A307" t="array">IF(INDIRECT(ADDRESS(51,X322,,,"Inputs"))=0,"",INDIRECT(ADDRESS(51,X322,,,"Inputs")))</f>
      </c>
      <c r="B307" s="135"/>
      <c r="C307" s="135"/>
      <c r="D307" s="138" t="str">
        <f ref="D307:D307" t="array">INDIRECT(ADDRESS(82,X322,,,"Inputs"))</f>
      </c>
      <c r="E307" s="138"/>
      <c r="F307" s="138"/>
      <c r="G307" s="138"/>
      <c r="H307" s="138"/>
      <c r="I307" s="138"/>
      <c r="J307" s="138"/>
      <c r="K307" s="138"/>
      <c r="L307" s="138"/>
      <c r="M307" s="138"/>
      <c r="N307" s="138"/>
      <c r="O307" s="138"/>
      <c r="P307" s="138"/>
      <c r="Q307" s="112"/>
      <c r="R307" s="112"/>
      <c r="S307" s="112"/>
      <c r="T307" s="112"/>
      <c r="U307" s="112"/>
      <c r="V307" s="116"/>
      <c r="AA307" s="0">
        <f>AA304</f>
        <v>1</v>
      </c>
    </row>
    <row r="308" ht="18" customHeight="1">
      <c r="A308" s="168" t="s">
        <v>6</v>
      </c>
      <c r="B308" s="146"/>
      <c r="C308" s="151"/>
      <c r="D308" s="169" t="s">
        <v>7</v>
      </c>
      <c r="E308" s="146"/>
      <c r="F308" s="146"/>
      <c r="G308" s="146"/>
      <c r="H308" s="146"/>
      <c r="I308" s="146"/>
      <c r="J308" s="146"/>
      <c r="K308" s="146"/>
      <c r="L308" s="146"/>
      <c r="M308" s="146"/>
      <c r="N308" s="146"/>
      <c r="O308" s="146"/>
      <c r="P308" s="151"/>
      <c r="Q308" s="170" t="s">
        <v>8</v>
      </c>
      <c r="R308" s="146"/>
      <c r="S308" s="146"/>
      <c r="T308" s="146"/>
      <c r="U308" s="146"/>
      <c r="V308" s="161"/>
      <c r="AA308" s="0">
        <f>AA304</f>
        <v>1</v>
      </c>
    </row>
    <row r="309" ht="18" customHeight="1">
      <c r="A309" s="117" t="s">
        <v>9</v>
      </c>
      <c r="B309" s="162" t="str">
        <f ref="B309:B309" t="array">IF(INDIRECT(ADDRESS(15,X322,,,"Inputs"))=0,"",INDIRECT(ADDRESS(15,X322,,,"Inputs")))</f>
      </c>
      <c r="C309" s="162"/>
      <c r="D309" s="109" t="s">
        <v>10</v>
      </c>
      <c r="E309" s="136" t="s">
        <v>11</v>
      </c>
      <c r="F309" s="146"/>
      <c r="G309" s="146"/>
      <c r="H309" s="109" t="s">
        <v>12</v>
      </c>
      <c r="I309" s="109" t="s">
        <v>13</v>
      </c>
      <c r="J309" s="136" t="s">
        <v>14</v>
      </c>
      <c r="K309" s="146"/>
      <c r="L309" s="136" t="s">
        <v>15</v>
      </c>
      <c r="M309" s="146"/>
      <c r="N309" s="146"/>
      <c r="O309" s="136" t="s">
        <v>16</v>
      </c>
      <c r="P309" s="146"/>
      <c r="Q309" s="136" t="s">
        <v>17</v>
      </c>
      <c r="R309" s="146"/>
      <c r="S309" s="146"/>
      <c r="T309" s="146"/>
      <c r="U309" s="146"/>
      <c r="V309" s="161"/>
      <c r="AA309" s="0">
        <f>AA304</f>
        <v>1</v>
      </c>
    </row>
    <row r="310" ht="18" customHeight="1">
      <c r="A310" s="117" t="s">
        <v>18</v>
      </c>
      <c r="B310" s="162" t="str">
        <f ref="B310:B310" t="array">IF(INDIRECT(ADDRESS(16,X322,,,"Inputs"))=0,"",INDIRECT(ADDRESS(16,X322,,,"Inputs")))</f>
      </c>
      <c r="C310" s="162"/>
      <c r="D310" s="109" t="s">
        <v>19</v>
      </c>
      <c r="E310" s="142" t="str">
        <f ref="E310:E310" t="array">IF(ISBLANK(INDIRECT(ADDRESS(35,X322,,,"Inputs"))),"",INDIRECT(ADDRESS(35,X322,,,"Inputs")))</f>
      </c>
      <c r="F310" s="143"/>
      <c r="G310" s="143"/>
      <c r="H310" s="118" t="str">
        <f ref="H310:H310" t="array">IF(ISBLANK(INDIRECT(ADDRESS(35,X322,,,"Inputs"))),"",INDIRECT(ADDRESS(35,X322,,,"Inputs")))</f>
      </c>
      <c r="I310" s="119">
        <f ref="I310:I310" t="array">IFERROR(INDIRECT(ADDRESS(65,X322,,,"Inputs")), "")</f>
        <v>0</v>
      </c>
      <c r="J310" s="144" t="str">
        <f ref="J310:J310" t="array">IFERROR(INDIRECT(ADDRESS(66,X322,,,"Inputs")), "")</f>
      </c>
      <c r="K310" s="145"/>
      <c r="L310" s="136" t="s">
        <v>20</v>
      </c>
      <c r="M310" s="146"/>
      <c r="N310" s="146"/>
      <c r="O310" s="138" t="str">
        <f ref="O310:O310" t="array">IF(ISBLANK(INDIRECT(ADDRESS(36,X322,,,"Inputs"))), "-", IFERROR(I310/J310, ""))</f>
        <v>-</v>
      </c>
      <c r="P310" s="147"/>
      <c r="Q310" s="144" t="str">
        <f ref="Q310:Q310" t="array">IF(INDIRECT(ADDRESS(25,X322,,,"Inputs"))=0,"0",INDIRECT(ADDRESS(25,X322,,,"Inputs")))</f>
        <v>0</v>
      </c>
      <c r="R310" s="145"/>
      <c r="S310" s="145"/>
      <c r="T310" s="145"/>
      <c r="U310" s="145"/>
      <c r="V310" s="172"/>
      <c r="AA310" s="0">
        <f>AA304</f>
        <v>1</v>
      </c>
    </row>
    <row r="311" ht="36" customHeight="1">
      <c r="A311" s="117" t="s">
        <v>21</v>
      </c>
      <c r="B311" s="136" t="str">
        <f ref="B311:B311" t="array">IF(INDIRECT(ADDRESS(11,X322,,,"Inputs"))=0,"",INDIRECT(ADDRESS(11,X322,,,"Inputs")))</f>
      </c>
      <c r="C311" s="136"/>
      <c r="D311" s="109" t="s">
        <v>22</v>
      </c>
      <c r="E311" s="142" t="str">
        <f ref="E311:E311" t="array">IF(ISBLANK(INDIRECT(ADDRESS(39,X322,,,"Inputs"))),"",INDIRECT(ADDRESS(39,X322,,,"Inputs")))</f>
      </c>
      <c r="F311" s="143"/>
      <c r="G311" s="143"/>
      <c r="H311" s="118" t="str">
        <f ref="H311:H311" t="array">IF(ISBLANK(INDIRECT(ADDRESS(39,X322,,,"Inputs"))),"",INDIRECT(ADDRESS(39,X322,,,"Inputs")))</f>
      </c>
      <c r="I311" s="120" t="str">
        <f ref="I311:I311" t="array">IFERROR(INDIRECT(ADDRESS(67,X322,,,"Inputs")), "")</f>
      </c>
      <c r="J311" s="155" t="str">
        <f ref="J311:J311" t="array">IFERROR(INDIRECT(ADDRESS(68,X322,,,"Inputs")), "")</f>
      </c>
      <c r="K311" s="146"/>
      <c r="L311" s="136"/>
      <c r="M311" s="146"/>
      <c r="N311" s="146"/>
      <c r="O311" s="138" t="str">
        <f>IFERROR(J311/I311, "")</f>
      </c>
      <c r="P311" s="147"/>
      <c r="Q311" s="136" t="s">
        <v>23</v>
      </c>
      <c r="R311" s="146"/>
      <c r="S311" s="146"/>
      <c r="T311" s="146"/>
      <c r="U311" s="146"/>
      <c r="V311" s="161"/>
      <c r="AA311" s="0">
        <f>AA304</f>
        <v>1</v>
      </c>
    </row>
    <row r="312" ht="18" customHeight="1">
      <c r="A312" s="117" t="s">
        <v>24</v>
      </c>
      <c r="B312" s="141" t="str">
        <f ref="B312:B312" t="array">IF(INDIRECT(ADDRESS(75,X322,,,"Inputs"))=0,"",INDIRECT(ADDRESS(75,X322,,,"Inputs")))</f>
      </c>
      <c r="C312" s="141"/>
      <c r="D312" s="109" t="s">
        <v>25</v>
      </c>
      <c r="E312" s="142" t="str">
        <f ref="E312:E312" t="array">IF(ISBLANK(INDIRECT(ADDRESS(41,X322,,,"Inputs"))),"",INDIRECT(ADDRESS(41,X322,,,"Inputs")))</f>
      </c>
      <c r="F312" s="143"/>
      <c r="G312" s="143"/>
      <c r="H312" s="118" t="str">
        <f ref="H312:H312" t="array">IF(ISBLANK(INDIRECT(ADDRESS(41,X322,,,"Inputs"))),"",INDIRECT(ADDRESS(41,X322,,,"Inputs")))</f>
      </c>
      <c r="I312" s="119" t="str">
        <f ref="I312:I312" t="array">IFERROR(INDIRECT(ADDRESS(71,X322,,,"Inputs")), "")</f>
      </c>
      <c r="J312" s="144" t="str">
        <f ref="J312:J312" t="array">IFERROR(INDIRECT(ADDRESS(72,X322,,,"Inputs")), "")</f>
      </c>
      <c r="K312" s="145"/>
      <c r="L312" s="136" t="s">
        <v>20</v>
      </c>
      <c r="M312" s="146"/>
      <c r="N312" s="146"/>
      <c r="O312" s="138" t="str">
        <f ref="O312:O312" t="array">IF(ISBLANK(INDIRECT(ADDRESS(42,X322,,,"Inputs"))), "-", IFERROR(I312 / J312, ""))</f>
        <v>-</v>
      </c>
      <c r="P312" s="147"/>
      <c r="Q312" s="144" t="str">
        <f ref="Q312:Q312" t="array">IF(INDIRECT(ADDRESS(24,X322,,,"Inputs"))=0,"0",INDIRECT(ADDRESS(24,X322,,,"Inputs")))</f>
        <v>0</v>
      </c>
      <c r="R312" s="145"/>
      <c r="S312" s="145"/>
      <c r="T312" s="145"/>
      <c r="U312" s="145"/>
      <c r="V312" s="172"/>
      <c r="AA312" s="0">
        <f>AA304</f>
        <v>1</v>
      </c>
    </row>
    <row r="313" ht="36" customHeight="1">
      <c r="A313" s="117" t="s">
        <v>26</v>
      </c>
      <c r="B313" s="136" t="str">
        <f ref="B313:B313" t="array">IF(INDIRECT(ADDRESS(17,X322,,,"Inputs"))=0,"",INDIRECT(ADDRESS(17,X322,,,"Inputs")))</f>
      </c>
      <c r="C313" s="136"/>
      <c r="D313" s="111" t="s">
        <v>27</v>
      </c>
      <c r="E313" s="142" t="str">
        <f ref="E313:E313" t="array">IF(ISBLANK(INDIRECT(ADDRESS(43,X322,,,"Inputs"))),"",INDIRECT(ADDRESS(43,X322,,,"Inputs")))</f>
      </c>
      <c r="F313" s="143"/>
      <c r="G313" s="143"/>
      <c r="H313" s="118" t="str">
        <f ref="H313:H313" t="array">IF(ISBLANK(INDIRECT(ADDRESS(43,X322,,,"Inputs"))),"",INDIRECT(ADDRESS(43,X322,,,"Inputs")))</f>
      </c>
      <c r="I313" s="121" t="str">
        <f ref="I313:I313" t="array">IFERROR(INDIRECT(ADDRESS(73,X322,,,"Inputs")), "")</f>
      </c>
      <c r="J313" s="144" t="str">
        <f ref="J313:J313" t="array">IFERROR(INDIRECT(ADDRESS(74,X322,,,"Inputs")), "")</f>
      </c>
      <c r="K313" s="145"/>
      <c r="L313" s="136" t="s">
        <v>20</v>
      </c>
      <c r="M313" s="146"/>
      <c r="N313" s="146"/>
      <c r="O313" s="138" t="str">
        <f ref="O313:O313" t="array">IF(ISBLANK(INDIRECT(ADDRESS(44,X322,,,"Inputs"))), "-", IFERROR(I313 / J313, ""))</f>
        <v>-</v>
      </c>
      <c r="P313" s="147"/>
      <c r="Q313" s="177" t="s">
        <v>28</v>
      </c>
      <c r="R313" s="146"/>
      <c r="S313" s="146"/>
      <c r="T313" s="146"/>
      <c r="U313" s="146"/>
      <c r="V313" s="161"/>
      <c r="AA313" s="0">
        <f>AA304</f>
        <v>1</v>
      </c>
    </row>
    <row r="314" ht="18" customHeight="1">
      <c r="A314" s="117" t="s">
        <v>29</v>
      </c>
      <c r="B314" s="141" t="str">
        <f ref="B314:B314" t="array">IF(INDIRECT(ADDRESS(31,X322,,,"Inputs"))=0,"",INDIRECT(ADDRESS(31,X322,,,"Inputs")))</f>
      </c>
      <c r="C314" s="178"/>
      <c r="D314" s="179" t="s">
        <v>30</v>
      </c>
      <c r="E314" s="180"/>
      <c r="F314" s="180"/>
      <c r="G314" s="180"/>
      <c r="H314" s="180"/>
      <c r="I314" s="180"/>
      <c r="J314" s="180"/>
      <c r="K314" s="180"/>
      <c r="L314" s="180"/>
      <c r="M314" s="180"/>
      <c r="N314" s="180"/>
      <c r="O314" s="180"/>
      <c r="P314" s="181"/>
      <c r="Q314" s="136" t="s">
        <v>31</v>
      </c>
      <c r="R314" s="146"/>
      <c r="S314" s="146"/>
      <c r="T314" s="165">
        <f ref="T314:T314" t="array">IFERROR(INDIRECT(ADDRESS(77,X322,,,"Inputs")), "")</f>
        <v>0</v>
      </c>
      <c r="U314" s="166"/>
      <c r="V314" s="167"/>
      <c r="AA314" s="0">
        <f>AA304</f>
        <v>1</v>
      </c>
    </row>
    <row r="315" ht="18" customHeight="1">
      <c r="A315" s="117" t="s">
        <v>32</v>
      </c>
      <c r="B315" s="148" t="str">
        <f ref="B315:B315" t="array">IF(INDIRECT(ADDRESS(83,X322,,,"Inputs"))=0,"",INDIRECT(ADDRESS(83,X322,,,"Inputs")))</f>
      </c>
      <c r="C315" s="149"/>
      <c r="D315" s="158">
        <f ref="D315:D315" t="array">INDIRECT(ADDRESS(26,X322,,,"Inputs"))</f>
        <v>0</v>
      </c>
      <c r="E315" s="158"/>
      <c r="F315" s="158"/>
      <c r="G315" s="158"/>
      <c r="H315" s="158"/>
      <c r="I315" s="158"/>
      <c r="J315" s="158"/>
      <c r="K315" s="158"/>
      <c r="L315" s="158"/>
      <c r="M315" s="158"/>
      <c r="N315" s="158"/>
      <c r="O315" s="158"/>
      <c r="P315" s="158"/>
      <c r="Q315" s="136" t="s">
        <v>33</v>
      </c>
      <c r="R315" s="146"/>
      <c r="S315" s="146"/>
      <c r="T315" s="165">
        <f ref="T315:T315" t="array">IFERROR(INDIRECT(ADDRESS(86,X322,,,"Inputs")), "")</f>
        <v>0</v>
      </c>
      <c r="U315" s="166"/>
      <c r="V315" s="167"/>
      <c r="AA315" s="0">
        <f>AA304</f>
        <v>1</v>
      </c>
    </row>
    <row r="316" ht="18" customHeight="1">
      <c r="A316" s="150" t="s">
        <v>34</v>
      </c>
      <c r="B316" s="146"/>
      <c r="C316" s="151"/>
      <c r="D316" s="158"/>
      <c r="E316" s="158"/>
      <c r="F316" s="158"/>
      <c r="G316" s="158"/>
      <c r="H316" s="158"/>
      <c r="I316" s="158"/>
      <c r="J316" s="158"/>
      <c r="K316" s="158"/>
      <c r="L316" s="158"/>
      <c r="M316" s="158"/>
      <c r="N316" s="158"/>
      <c r="O316" s="158"/>
      <c r="P316" s="158"/>
      <c r="Q316" s="136" t="s">
        <v>35</v>
      </c>
      <c r="R316" s="146"/>
      <c r="S316" s="146"/>
      <c r="T316" s="165">
        <f ref="T316:T316" t="array">IFERROR(INDIRECT(ADDRESS(78,X322,,,"Inputs")), "")</f>
        <v>0</v>
      </c>
      <c r="U316" s="166"/>
      <c r="V316" s="167"/>
      <c r="AA316" s="0">
        <f>AA304</f>
        <v>1</v>
      </c>
    </row>
    <row r="317" ht="18" customHeight="1">
      <c r="A317" s="117" t="s">
        <v>36</v>
      </c>
      <c r="B317" s="141" t="str">
        <f ref="B317:B317" t="array">IF(INDIRECT(ADDRESS(30,X322,,,"Inputs"))=0,"",INDIRECT(ADDRESS(30,X322,,,"Inputs")))</f>
      </c>
      <c r="C317" s="141"/>
      <c r="D317" s="158"/>
      <c r="E317" s="158"/>
      <c r="F317" s="158"/>
      <c r="G317" s="158"/>
      <c r="H317" s="158"/>
      <c r="I317" s="158"/>
      <c r="J317" s="158"/>
      <c r="K317" s="158"/>
      <c r="L317" s="158"/>
      <c r="M317" s="158"/>
      <c r="N317" s="158"/>
      <c r="O317" s="158"/>
      <c r="P317" s="158"/>
      <c r="Q317" s="136" t="s">
        <v>37</v>
      </c>
      <c r="R317" s="146"/>
      <c r="S317" s="146"/>
      <c r="T317" s="165">
        <f ref="T317:T317" t="array">IFERROR(INDIRECT(ADDRESS(45,X322,,,"Inputs")), "")</f>
        <v>0</v>
      </c>
      <c r="U317" s="166"/>
      <c r="V317" s="167"/>
      <c r="AA317" s="0">
        <f>AA304</f>
        <v>1</v>
      </c>
    </row>
    <row r="318" ht="18" customHeight="1">
      <c r="A318" s="117" t="s">
        <v>38</v>
      </c>
      <c r="B318" s="136" t="str">
        <f ref="B318:B318" t="array">IF(INDIRECT(ADDRESS(32,X322,,,"Inputs"))=0,"",INDIRECT(ADDRESS(32,X322,,,"Inputs")))</f>
      </c>
      <c r="C318" s="136"/>
      <c r="D318" s="158"/>
      <c r="E318" s="158"/>
      <c r="F318" s="158"/>
      <c r="G318" s="158"/>
      <c r="H318" s="158"/>
      <c r="I318" s="158"/>
      <c r="J318" s="158"/>
      <c r="K318" s="158"/>
      <c r="L318" s="158"/>
      <c r="M318" s="158"/>
      <c r="N318" s="158"/>
      <c r="O318" s="158"/>
      <c r="P318" s="158"/>
      <c r="Q318" s="136" t="s">
        <v>39</v>
      </c>
      <c r="R318" s="146"/>
      <c r="S318" s="146"/>
      <c r="T318" s="165">
        <f ref="T318:T318" t="array">IFERROR(INDIRECT(ADDRESS(79,X322,,,"Inputs")), "")</f>
        <v>0</v>
      </c>
      <c r="U318" s="166"/>
      <c r="V318" s="167"/>
      <c r="AA318" s="0">
        <f>AA304</f>
        <v>1</v>
      </c>
    </row>
    <row r="319" ht="18" customHeight="1">
      <c r="A319" s="152" t="s">
        <v>40</v>
      </c>
      <c r="B319" s="153"/>
      <c r="C319" s="154"/>
      <c r="D319" s="158"/>
      <c r="E319" s="158"/>
      <c r="F319" s="158"/>
      <c r="G319" s="158"/>
      <c r="H319" s="158"/>
      <c r="I319" s="158"/>
      <c r="J319" s="158"/>
      <c r="K319" s="158"/>
      <c r="L319" s="158"/>
      <c r="M319" s="158"/>
      <c r="N319" s="158"/>
      <c r="O319" s="158"/>
      <c r="P319" s="158"/>
      <c r="Q319" s="136" t="s">
        <v>41</v>
      </c>
      <c r="R319" s="146"/>
      <c r="S319" s="146"/>
      <c r="T319" s="165">
        <f ref="T319:T319" t="array">IFERROR(INDIRECT(ADDRESS(80,X322,,,"Inputs")), "")</f>
        <v>0</v>
      </c>
      <c r="U319" s="166"/>
      <c r="V319" s="167"/>
      <c r="W319" s="0">
        <f ref="W319:W319" t="array">INDIRECT(ADDRESS(34,X322,,,"Inputs"))</f>
        <v>0</v>
      </c>
      <c r="X319" s="3"/>
      <c r="AA319" s="0">
        <f>AA304</f>
        <v>1</v>
      </c>
    </row>
    <row r="320" ht="18" customHeight="1">
      <c r="A320" s="117" t="s">
        <v>42</v>
      </c>
      <c r="B320" s="141" t="str">
        <f ref="B320:B320" t="array">IF(INDIRECT(ADDRESS(33,X322,,,"Inputs"))=0,"",INDIRECT(ADDRESS(33,X322,,,"Inputs")))</f>
      </c>
      <c r="C320" s="141"/>
      <c r="D320" s="158"/>
      <c r="E320" s="158"/>
      <c r="F320" s="158"/>
      <c r="G320" s="158"/>
      <c r="H320" s="158"/>
      <c r="I320" s="158"/>
      <c r="J320" s="158"/>
      <c r="K320" s="158"/>
      <c r="L320" s="158"/>
      <c r="M320" s="158"/>
      <c r="N320" s="158"/>
      <c r="O320" s="158"/>
      <c r="P320" s="158"/>
      <c r="Q320" s="136" t="s">
        <v>43</v>
      </c>
      <c r="R320" s="146"/>
      <c r="S320" s="146"/>
      <c r="T320" s="165">
        <f ref="T320:T320" t="array">IFERROR(INDIRECT(ADDRESS(81,X322,,,"Inputs")), "")</f>
        <v>0</v>
      </c>
      <c r="U320" s="166"/>
      <c r="V320" s="167"/>
      <c r="X320" s="3"/>
      <c r="AA320" s="0">
        <f>AA304</f>
        <v>1</v>
      </c>
    </row>
    <row r="321" ht="36" customHeight="1">
      <c r="A321" s="117" t="s">
        <v>44</v>
      </c>
      <c r="B321" s="156" t="str">
        <f ref="B321:B321" t="array">IF(INDIRECT(ADDRESS(47,X322,,,"Inputs"))=0,"",INDIRECT(ADDRESS(47,X322,,,"Inputs")))</f>
      </c>
      <c r="C321" s="156"/>
      <c r="D321" s="158"/>
      <c r="E321" s="158"/>
      <c r="F321" s="158"/>
      <c r="G321" s="158"/>
      <c r="H321" s="158"/>
      <c r="I321" s="158"/>
      <c r="J321" s="158"/>
      <c r="K321" s="158"/>
      <c r="L321" s="158"/>
      <c r="M321" s="158"/>
      <c r="N321" s="158"/>
      <c r="O321" s="158"/>
      <c r="P321" s="158"/>
      <c r="Q321" s="136" t="s">
        <v>45</v>
      </c>
      <c r="R321" s="146"/>
      <c r="S321" s="146"/>
      <c r="T321" s="136" t="str">
        <f ref="T321:T321" t="array">_xlfn.CONCAT(IFERROR(INDIRECT(ADDRESS(49,X322,,,"Inputs")), ""), " / ", IFERROR(INDIRECT(ADDRESS(48,X322,,,"Inputs")), ""))</f>
        <v> / </v>
      </c>
      <c r="U321" s="146"/>
      <c r="V321" s="161"/>
      <c r="X321" s="3"/>
      <c r="AA321" s="0">
        <f>AA304</f>
        <v>1</v>
      </c>
    </row>
    <row r="322" ht="102" customHeight="1">
      <c r="A322" s="122"/>
      <c r="B322" s="157"/>
      <c r="C322" s="157"/>
      <c r="D322" s="159"/>
      <c r="E322" s="159"/>
      <c r="F322" s="159"/>
      <c r="G322" s="159"/>
      <c r="H322" s="159"/>
      <c r="I322" s="159"/>
      <c r="J322" s="159"/>
      <c r="K322" s="159"/>
      <c r="L322" s="159"/>
      <c r="M322" s="159"/>
      <c r="N322" s="159"/>
      <c r="O322" s="159"/>
      <c r="P322" s="159"/>
      <c r="Q322" s="159"/>
      <c r="R322" s="173"/>
      <c r="S322" s="173"/>
      <c r="T322" s="174"/>
      <c r="U322" s="175"/>
      <c r="V322" s="176"/>
      <c r="W322" s="78" t="s">
        <v>46</v>
      </c>
      <c r="X322" s="78">
        <f>COLUMN(Inputs!FK5)</f>
        <v>167</v>
      </c>
      <c r="AA322" s="0">
        <f>AA304</f>
        <v>1</v>
      </c>
    </row>
    <row r="323" ht="18" customHeight="1">
      <c r="A323" s="58"/>
      <c r="B323" s="36"/>
      <c r="C323" s="36"/>
      <c r="D323" s="36"/>
      <c r="E323" s="36"/>
      <c r="F323" s="36"/>
      <c r="G323" s="36"/>
      <c r="H323" s="36"/>
      <c r="I323" s="36"/>
      <c r="J323" s="36"/>
      <c r="K323" s="36"/>
      <c r="L323" s="36"/>
      <c r="M323" s="36"/>
      <c r="N323" s="36"/>
      <c r="O323" s="36"/>
      <c r="P323" s="36"/>
      <c r="Q323" s="36"/>
      <c r="R323" s="36"/>
      <c r="S323" s="36"/>
      <c r="T323" s="36"/>
      <c r="U323" s="36"/>
      <c r="V323" s="36"/>
      <c r="AA323" s="0">
        <f>AA304</f>
        <v>1</v>
      </c>
    </row>
    <row r="324" ht="18" customHeight="1">
      <c r="A324" s="139" t="s">
        <v>4</v>
      </c>
      <c r="B324" s="140"/>
      <c r="C324" s="140"/>
      <c r="D324" s="140" t="str">
        <f ref="D324:D324" t="array">CONCATENATE(INDIRECT(ADDRESS(6,X342,,,"Inputs"))," ",INDIRECT(ADDRESS(8,X342,,,"Inputs"))," ",INDIRECT(ADDRESS(9,X342,,,"Inputs")))</f>
      </c>
      <c r="E324" s="140"/>
      <c r="F324" s="140"/>
      <c r="G324" s="140"/>
      <c r="H324" s="140"/>
      <c r="I324" s="140"/>
      <c r="J324" s="140"/>
      <c r="K324" s="140"/>
      <c r="L324" s="140"/>
      <c r="M324" s="140"/>
      <c r="N324" s="140"/>
      <c r="O324" s="140"/>
      <c r="P324" s="140"/>
      <c r="Q324" s="113"/>
      <c r="R324" s="113"/>
      <c r="S324" s="113"/>
      <c r="T324" s="113"/>
      <c r="U324" s="113"/>
      <c r="V324" s="114"/>
      <c r="AA324" s="0">
        <f>IF(LEN(TRIM(A324))=0,0,1)</f>
        <v>1</v>
      </c>
    </row>
    <row r="325" ht="18" customHeight="1">
      <c r="A325" s="134" t="str">
        <f ref="A325:A325" t="array">IF(INDIRECT(ADDRESS(50,X342,,,"Inputs"))=0,"",INDIRECT(ADDRESS(50,X342,,,"Inputs")))</f>
      </c>
      <c r="B325" s="135"/>
      <c r="C325" s="135"/>
      <c r="D325" s="136" t="str">
        <f ref="D325:D325" t="array">IF(INDIRECT(ADDRESS(10,X342,,,"Inputs"))=0,"",INDIRECT(ADDRESS(10,X342,,,"Inputs")))</f>
      </c>
      <c r="E325" s="136"/>
      <c r="F325" s="136"/>
      <c r="G325" s="136"/>
      <c r="H325" s="136"/>
      <c r="I325" s="136"/>
      <c r="J325" s="136"/>
      <c r="K325" s="136"/>
      <c r="L325" s="136"/>
      <c r="M325" s="136"/>
      <c r="N325" s="136"/>
      <c r="O325" s="136"/>
      <c r="P325" s="136"/>
      <c r="Q325" s="110"/>
      <c r="R325" s="110"/>
      <c r="S325" s="110"/>
      <c r="T325" s="110"/>
      <c r="U325" s="110"/>
      <c r="V325" s="115"/>
      <c r="AA325" s="0">
        <f>AA324</f>
        <v>1</v>
      </c>
    </row>
    <row r="326" ht="18" customHeight="1">
      <c r="A326" s="137" t="s">
        <v>5</v>
      </c>
      <c r="B326" s="136"/>
      <c r="C326" s="136"/>
      <c r="D326" s="136" t="str">
        <f ref="D326:D326" t="array">IF(INDIRECT(ADDRESS(14,X342,,,"Inputs"))=0,"",INDIRECT(ADDRESS(14,X342,,,"Inputs")))</f>
      </c>
      <c r="E326" s="136"/>
      <c r="F326" s="136"/>
      <c r="G326" s="136"/>
      <c r="H326" s="136"/>
      <c r="I326" s="136"/>
      <c r="J326" s="136"/>
      <c r="K326" s="136"/>
      <c r="L326" s="136"/>
      <c r="M326" s="136"/>
      <c r="N326" s="136"/>
      <c r="O326" s="136"/>
      <c r="P326" s="136"/>
      <c r="Q326" s="110"/>
      <c r="R326" s="110"/>
      <c r="S326" s="110"/>
      <c r="T326" s="110"/>
      <c r="U326" s="110"/>
      <c r="V326" s="115"/>
      <c r="AA326" s="0">
        <f>AA324</f>
        <v>1</v>
      </c>
    </row>
    <row r="327" ht="18" customHeight="1">
      <c r="A327" s="134" t="str">
        <f ref="A327:A327" t="array">IF(INDIRECT(ADDRESS(51,X342,,,"Inputs"))=0,"",INDIRECT(ADDRESS(51,X342,,,"Inputs")))</f>
      </c>
      <c r="B327" s="135"/>
      <c r="C327" s="135"/>
      <c r="D327" s="138" t="str">
        <f ref="D327:D327" t="array">INDIRECT(ADDRESS(82,X342,,,"Inputs"))</f>
      </c>
      <c r="E327" s="138"/>
      <c r="F327" s="138"/>
      <c r="G327" s="138"/>
      <c r="H327" s="138"/>
      <c r="I327" s="138"/>
      <c r="J327" s="138"/>
      <c r="K327" s="138"/>
      <c r="L327" s="138"/>
      <c r="M327" s="138"/>
      <c r="N327" s="138"/>
      <c r="O327" s="138"/>
      <c r="P327" s="138"/>
      <c r="Q327" s="112"/>
      <c r="R327" s="112"/>
      <c r="S327" s="112"/>
      <c r="T327" s="112"/>
      <c r="U327" s="112"/>
      <c r="V327" s="116"/>
      <c r="AA327" s="0">
        <f>AA324</f>
        <v>1</v>
      </c>
    </row>
    <row r="328" ht="18" customHeight="1">
      <c r="A328" s="168" t="s">
        <v>6</v>
      </c>
      <c r="B328" s="146"/>
      <c r="C328" s="151"/>
      <c r="D328" s="169" t="s">
        <v>7</v>
      </c>
      <c r="E328" s="146"/>
      <c r="F328" s="146"/>
      <c r="G328" s="146"/>
      <c r="H328" s="146"/>
      <c r="I328" s="146"/>
      <c r="J328" s="146"/>
      <c r="K328" s="146"/>
      <c r="L328" s="146"/>
      <c r="M328" s="146"/>
      <c r="N328" s="146"/>
      <c r="O328" s="146"/>
      <c r="P328" s="151"/>
      <c r="Q328" s="170" t="s">
        <v>8</v>
      </c>
      <c r="R328" s="146"/>
      <c r="S328" s="146"/>
      <c r="T328" s="146"/>
      <c r="U328" s="146"/>
      <c r="V328" s="161"/>
      <c r="AA328" s="0">
        <f>AA324</f>
        <v>1</v>
      </c>
    </row>
    <row r="329" ht="18" customHeight="1">
      <c r="A329" s="117" t="s">
        <v>9</v>
      </c>
      <c r="B329" s="162" t="str">
        <f ref="B329:B329" t="array">IF(INDIRECT(ADDRESS(15,X342,,,"Inputs"))=0,"",INDIRECT(ADDRESS(15,X342,,,"Inputs")))</f>
      </c>
      <c r="C329" s="162"/>
      <c r="D329" s="109" t="s">
        <v>10</v>
      </c>
      <c r="E329" s="136" t="s">
        <v>11</v>
      </c>
      <c r="F329" s="146"/>
      <c r="G329" s="146"/>
      <c r="H329" s="109" t="s">
        <v>12</v>
      </c>
      <c r="I329" s="109" t="s">
        <v>13</v>
      </c>
      <c r="J329" s="136" t="s">
        <v>14</v>
      </c>
      <c r="K329" s="146"/>
      <c r="L329" s="136" t="s">
        <v>15</v>
      </c>
      <c r="M329" s="146"/>
      <c r="N329" s="146"/>
      <c r="O329" s="136" t="s">
        <v>16</v>
      </c>
      <c r="P329" s="146"/>
      <c r="Q329" s="136" t="s">
        <v>17</v>
      </c>
      <c r="R329" s="146"/>
      <c r="S329" s="146"/>
      <c r="T329" s="146"/>
      <c r="U329" s="146"/>
      <c r="V329" s="161"/>
      <c r="AA329" s="0">
        <f>AA324</f>
        <v>1</v>
      </c>
    </row>
    <row r="330" ht="18" customHeight="1">
      <c r="A330" s="117" t="s">
        <v>18</v>
      </c>
      <c r="B330" s="162" t="str">
        <f ref="B330:B330" t="array">IF(INDIRECT(ADDRESS(16,X342,,,"Inputs"))=0,"",INDIRECT(ADDRESS(16,X342,,,"Inputs")))</f>
      </c>
      <c r="C330" s="162"/>
      <c r="D330" s="109" t="s">
        <v>19</v>
      </c>
      <c r="E330" s="142" t="str">
        <f ref="E330:E330" t="array">IF(ISBLANK(INDIRECT(ADDRESS(35,X342,,,"Inputs"))),"",INDIRECT(ADDRESS(35,X342,,,"Inputs")))</f>
      </c>
      <c r="F330" s="143"/>
      <c r="G330" s="143"/>
      <c r="H330" s="118" t="str">
        <f ref="H330:H330" t="array">IF(ISBLANK(INDIRECT(ADDRESS(35,X342,,,"Inputs"))),"",INDIRECT(ADDRESS(35,X342,,,"Inputs")))</f>
      </c>
      <c r="I330" s="119">
        <f ref="I330:I330" t="array">IFERROR(INDIRECT(ADDRESS(65,X342,,,"Inputs")), "")</f>
        <v>0</v>
      </c>
      <c r="J330" s="144" t="str">
        <f ref="J330:J330" t="array">IFERROR(INDIRECT(ADDRESS(66,X342,,,"Inputs")), "")</f>
      </c>
      <c r="K330" s="145"/>
      <c r="L330" s="136" t="s">
        <v>20</v>
      </c>
      <c r="M330" s="146"/>
      <c r="N330" s="146"/>
      <c r="O330" s="138" t="str">
        <f ref="O330:O330" t="array">IF(ISBLANK(INDIRECT(ADDRESS(36,X342,,,"Inputs"))), "-", IFERROR(I330/J330, ""))</f>
        <v>-</v>
      </c>
      <c r="P330" s="147"/>
      <c r="Q330" s="144" t="str">
        <f ref="Q330:Q330" t="array">IF(INDIRECT(ADDRESS(25,X342,,,"Inputs"))=0,"0",INDIRECT(ADDRESS(25,X342,,,"Inputs")))</f>
        <v>0</v>
      </c>
      <c r="R330" s="145"/>
      <c r="S330" s="145"/>
      <c r="T330" s="145"/>
      <c r="U330" s="145"/>
      <c r="V330" s="172"/>
      <c r="AA330" s="0">
        <f>AA324</f>
        <v>1</v>
      </c>
    </row>
    <row r="331" ht="36" customHeight="1">
      <c r="A331" s="117" t="s">
        <v>21</v>
      </c>
      <c r="B331" s="136" t="str">
        <f ref="B331:B331" t="array">IF(INDIRECT(ADDRESS(11,X342,,,"Inputs"))=0,"",INDIRECT(ADDRESS(11,X342,,,"Inputs")))</f>
      </c>
      <c r="C331" s="136"/>
      <c r="D331" s="109" t="s">
        <v>22</v>
      </c>
      <c r="E331" s="142" t="str">
        <f ref="E331:E331" t="array">IF(ISBLANK(INDIRECT(ADDRESS(39,X342,,,"Inputs"))),"",INDIRECT(ADDRESS(39,X342,,,"Inputs")))</f>
      </c>
      <c r="F331" s="143"/>
      <c r="G331" s="143"/>
      <c r="H331" s="118" t="str">
        <f ref="H331:H331" t="array">IF(ISBLANK(INDIRECT(ADDRESS(39,X342,,,"Inputs"))),"",INDIRECT(ADDRESS(39,X342,,,"Inputs")))</f>
      </c>
      <c r="I331" s="120" t="str">
        <f ref="I331:I331" t="array">IFERROR(INDIRECT(ADDRESS(67,X342,,,"Inputs")), "")</f>
      </c>
      <c r="J331" s="155" t="str">
        <f ref="J331:J331" t="array">IFERROR(INDIRECT(ADDRESS(68,X342,,,"Inputs")), "")</f>
      </c>
      <c r="K331" s="146"/>
      <c r="L331" s="136"/>
      <c r="M331" s="146"/>
      <c r="N331" s="146"/>
      <c r="O331" s="138" t="str">
        <f>IFERROR(J331/I331, "")</f>
      </c>
      <c r="P331" s="147"/>
      <c r="Q331" s="136" t="s">
        <v>23</v>
      </c>
      <c r="R331" s="146"/>
      <c r="S331" s="146"/>
      <c r="T331" s="146"/>
      <c r="U331" s="146"/>
      <c r="V331" s="161"/>
      <c r="AA331" s="0">
        <f>AA324</f>
        <v>1</v>
      </c>
    </row>
    <row r="332" ht="18" customHeight="1">
      <c r="A332" s="117" t="s">
        <v>24</v>
      </c>
      <c r="B332" s="141" t="str">
        <f ref="B332:B332" t="array">IF(INDIRECT(ADDRESS(75,X342,,,"Inputs"))=0,"",INDIRECT(ADDRESS(75,X342,,,"Inputs")))</f>
      </c>
      <c r="C332" s="141"/>
      <c r="D332" s="109" t="s">
        <v>25</v>
      </c>
      <c r="E332" s="142" t="str">
        <f ref="E332:E332" t="array">IF(ISBLANK(INDIRECT(ADDRESS(41,X342,,,"Inputs"))),"",INDIRECT(ADDRESS(41,X342,,,"Inputs")))</f>
      </c>
      <c r="F332" s="143"/>
      <c r="G332" s="143"/>
      <c r="H332" s="118" t="str">
        <f ref="H332:H332" t="array">IF(ISBLANK(INDIRECT(ADDRESS(41,X342,,,"Inputs"))),"",INDIRECT(ADDRESS(41,X342,,,"Inputs")))</f>
      </c>
      <c r="I332" s="119" t="str">
        <f ref="I332:I332" t="array">IFERROR(INDIRECT(ADDRESS(71,X342,,,"Inputs")), "")</f>
      </c>
      <c r="J332" s="144" t="str">
        <f ref="J332:J332" t="array">IFERROR(INDIRECT(ADDRESS(72,X342,,,"Inputs")), "")</f>
      </c>
      <c r="K332" s="145"/>
      <c r="L332" s="136" t="s">
        <v>20</v>
      </c>
      <c r="M332" s="146"/>
      <c r="N332" s="146"/>
      <c r="O332" s="138" t="str">
        <f ref="O332:O332" t="array">IF(ISBLANK(INDIRECT(ADDRESS(42,X342,,,"Inputs"))), "-", IFERROR(I332 / J332, ""))</f>
        <v>-</v>
      </c>
      <c r="P332" s="147"/>
      <c r="Q332" s="144" t="str">
        <f ref="Q332:Q332" t="array">IF(INDIRECT(ADDRESS(24,X342,,,"Inputs"))=0,"0",INDIRECT(ADDRESS(24,X342,,,"Inputs")))</f>
        <v>0</v>
      </c>
      <c r="R332" s="145"/>
      <c r="S332" s="145"/>
      <c r="T332" s="145"/>
      <c r="U332" s="145"/>
      <c r="V332" s="172"/>
      <c r="AA332" s="0">
        <f>AA324</f>
        <v>1</v>
      </c>
    </row>
    <row r="333" ht="36" customHeight="1">
      <c r="A333" s="117" t="s">
        <v>26</v>
      </c>
      <c r="B333" s="136" t="str">
        <f ref="B333:B333" t="array">IF(INDIRECT(ADDRESS(17,X342,,,"Inputs"))=0,"",INDIRECT(ADDRESS(17,X342,,,"Inputs")))</f>
      </c>
      <c r="C333" s="136"/>
      <c r="D333" s="111" t="s">
        <v>27</v>
      </c>
      <c r="E333" s="142" t="str">
        <f ref="E333:E333" t="array">IF(ISBLANK(INDIRECT(ADDRESS(43,X342,,,"Inputs"))),"",INDIRECT(ADDRESS(43,X342,,,"Inputs")))</f>
      </c>
      <c r="F333" s="143"/>
      <c r="G333" s="143"/>
      <c r="H333" s="118" t="str">
        <f ref="H333:H333" t="array">IF(ISBLANK(INDIRECT(ADDRESS(43,X342,,,"Inputs"))),"",INDIRECT(ADDRESS(43,X342,,,"Inputs")))</f>
      </c>
      <c r="I333" s="121" t="str">
        <f ref="I333:I333" t="array">IFERROR(INDIRECT(ADDRESS(73,X342,,,"Inputs")), "")</f>
      </c>
      <c r="J333" s="144" t="str">
        <f ref="J333:J333" t="array">IFERROR(INDIRECT(ADDRESS(74,X342,,,"Inputs")), "")</f>
      </c>
      <c r="K333" s="145"/>
      <c r="L333" s="136" t="s">
        <v>20</v>
      </c>
      <c r="M333" s="146"/>
      <c r="N333" s="146"/>
      <c r="O333" s="138" t="str">
        <f ref="O333:O333" t="array">IF(ISBLANK(INDIRECT(ADDRESS(44,X342,,,"Inputs"))), "-", IFERROR(I333 / J333, ""))</f>
        <v>-</v>
      </c>
      <c r="P333" s="147"/>
      <c r="Q333" s="177" t="s">
        <v>28</v>
      </c>
      <c r="R333" s="146"/>
      <c r="S333" s="146"/>
      <c r="T333" s="146"/>
      <c r="U333" s="146"/>
      <c r="V333" s="161"/>
      <c r="AA333" s="0">
        <f>AA324</f>
        <v>1</v>
      </c>
    </row>
    <row r="334" ht="18" customHeight="1">
      <c r="A334" s="117" t="s">
        <v>29</v>
      </c>
      <c r="B334" s="141" t="str">
        <f ref="B334:B334" t="array">IF(INDIRECT(ADDRESS(31,X342,,,"Inputs"))=0,"",INDIRECT(ADDRESS(31,X342,,,"Inputs")))</f>
      </c>
      <c r="C334" s="178"/>
      <c r="D334" s="179" t="s">
        <v>30</v>
      </c>
      <c r="E334" s="180"/>
      <c r="F334" s="180"/>
      <c r="G334" s="180"/>
      <c r="H334" s="180"/>
      <c r="I334" s="180"/>
      <c r="J334" s="180"/>
      <c r="K334" s="180"/>
      <c r="L334" s="180"/>
      <c r="M334" s="180"/>
      <c r="N334" s="180"/>
      <c r="O334" s="180"/>
      <c r="P334" s="181"/>
      <c r="Q334" s="136" t="s">
        <v>31</v>
      </c>
      <c r="R334" s="146"/>
      <c r="S334" s="146"/>
      <c r="T334" s="165">
        <f ref="T334:T334" t="array">IFERROR(INDIRECT(ADDRESS(77,X342,,,"Inputs")), "")</f>
        <v>0</v>
      </c>
      <c r="U334" s="166"/>
      <c r="V334" s="167"/>
      <c r="AA334" s="0">
        <f>AA324</f>
        <v>1</v>
      </c>
    </row>
    <row r="335" ht="18" customHeight="1">
      <c r="A335" s="117" t="s">
        <v>32</v>
      </c>
      <c r="B335" s="148" t="str">
        <f ref="B335:B335" t="array">IF(INDIRECT(ADDRESS(83,X342,,,"Inputs"))=0,"",INDIRECT(ADDRESS(83,X342,,,"Inputs")))</f>
      </c>
      <c r="C335" s="149"/>
      <c r="D335" s="158">
        <f ref="D335:D335" t="array">INDIRECT(ADDRESS(26,X342,,,"Inputs"))</f>
        <v>0</v>
      </c>
      <c r="E335" s="158"/>
      <c r="F335" s="158"/>
      <c r="G335" s="158"/>
      <c r="H335" s="158"/>
      <c r="I335" s="158"/>
      <c r="J335" s="158"/>
      <c r="K335" s="158"/>
      <c r="L335" s="158"/>
      <c r="M335" s="158"/>
      <c r="N335" s="158"/>
      <c r="O335" s="158"/>
      <c r="P335" s="158"/>
      <c r="Q335" s="136" t="s">
        <v>33</v>
      </c>
      <c r="R335" s="146"/>
      <c r="S335" s="146"/>
      <c r="T335" s="165">
        <f ref="T335:T335" t="array">IFERROR(INDIRECT(ADDRESS(86,X342,,,"Inputs")), "")</f>
        <v>0</v>
      </c>
      <c r="U335" s="166"/>
      <c r="V335" s="167"/>
      <c r="AA335" s="0">
        <f>AA324</f>
        <v>1</v>
      </c>
    </row>
    <row r="336" ht="18" customHeight="1">
      <c r="A336" s="150" t="s">
        <v>34</v>
      </c>
      <c r="B336" s="146"/>
      <c r="C336" s="151"/>
      <c r="D336" s="158"/>
      <c r="E336" s="158"/>
      <c r="F336" s="158"/>
      <c r="G336" s="158"/>
      <c r="H336" s="158"/>
      <c r="I336" s="158"/>
      <c r="J336" s="158"/>
      <c r="K336" s="158"/>
      <c r="L336" s="158"/>
      <c r="M336" s="158"/>
      <c r="N336" s="158"/>
      <c r="O336" s="158"/>
      <c r="P336" s="158"/>
      <c r="Q336" s="136" t="s">
        <v>35</v>
      </c>
      <c r="R336" s="146"/>
      <c r="S336" s="146"/>
      <c r="T336" s="165">
        <f ref="T336:T336" t="array">IFERROR(INDIRECT(ADDRESS(78,X342,,,"Inputs")), "")</f>
        <v>0</v>
      </c>
      <c r="U336" s="166"/>
      <c r="V336" s="167"/>
      <c r="AA336" s="0">
        <f>AA324</f>
        <v>1</v>
      </c>
    </row>
    <row r="337" ht="18" customHeight="1">
      <c r="A337" s="117" t="s">
        <v>36</v>
      </c>
      <c r="B337" s="141" t="str">
        <f ref="B337:B337" t="array">IF(INDIRECT(ADDRESS(30,X342,,,"Inputs"))=0,"",INDIRECT(ADDRESS(30,X342,,,"Inputs")))</f>
      </c>
      <c r="C337" s="141"/>
      <c r="D337" s="158"/>
      <c r="E337" s="158"/>
      <c r="F337" s="158"/>
      <c r="G337" s="158"/>
      <c r="H337" s="158"/>
      <c r="I337" s="158"/>
      <c r="J337" s="158"/>
      <c r="K337" s="158"/>
      <c r="L337" s="158"/>
      <c r="M337" s="158"/>
      <c r="N337" s="158"/>
      <c r="O337" s="158"/>
      <c r="P337" s="158"/>
      <c r="Q337" s="136" t="s">
        <v>37</v>
      </c>
      <c r="R337" s="146"/>
      <c r="S337" s="146"/>
      <c r="T337" s="165">
        <f ref="T337:T337" t="array">IFERROR(INDIRECT(ADDRESS(45,X342,,,"Inputs")), "")</f>
        <v>0</v>
      </c>
      <c r="U337" s="166"/>
      <c r="V337" s="167"/>
      <c r="AA337" s="0">
        <f>AA324</f>
        <v>1</v>
      </c>
    </row>
    <row r="338" ht="18" customHeight="1">
      <c r="A338" s="117" t="s">
        <v>38</v>
      </c>
      <c r="B338" s="136" t="str">
        <f ref="B338:B338" t="array">IF(INDIRECT(ADDRESS(32,X342,,,"Inputs"))=0,"",INDIRECT(ADDRESS(32,X342,,,"Inputs")))</f>
      </c>
      <c r="C338" s="136"/>
      <c r="D338" s="158"/>
      <c r="E338" s="158"/>
      <c r="F338" s="158"/>
      <c r="G338" s="158"/>
      <c r="H338" s="158"/>
      <c r="I338" s="158"/>
      <c r="J338" s="158"/>
      <c r="K338" s="158"/>
      <c r="L338" s="158"/>
      <c r="M338" s="158"/>
      <c r="N338" s="158"/>
      <c r="O338" s="158"/>
      <c r="P338" s="158"/>
      <c r="Q338" s="136" t="s">
        <v>39</v>
      </c>
      <c r="R338" s="146"/>
      <c r="S338" s="146"/>
      <c r="T338" s="165">
        <f ref="T338:T338" t="array">IFERROR(INDIRECT(ADDRESS(79,X342,,,"Inputs")), "")</f>
        <v>0</v>
      </c>
      <c r="U338" s="166"/>
      <c r="V338" s="167"/>
      <c r="AA338" s="0">
        <f>AA324</f>
        <v>1</v>
      </c>
    </row>
    <row r="339" ht="18" customHeight="1">
      <c r="A339" s="152" t="s">
        <v>40</v>
      </c>
      <c r="B339" s="153"/>
      <c r="C339" s="154"/>
      <c r="D339" s="158"/>
      <c r="E339" s="158"/>
      <c r="F339" s="158"/>
      <c r="G339" s="158"/>
      <c r="H339" s="158"/>
      <c r="I339" s="158"/>
      <c r="J339" s="158"/>
      <c r="K339" s="158"/>
      <c r="L339" s="158"/>
      <c r="M339" s="158"/>
      <c r="N339" s="158"/>
      <c r="O339" s="158"/>
      <c r="P339" s="158"/>
      <c r="Q339" s="136" t="s">
        <v>41</v>
      </c>
      <c r="R339" s="146"/>
      <c r="S339" s="146"/>
      <c r="T339" s="165">
        <f ref="T339:T339" t="array">IFERROR(INDIRECT(ADDRESS(80,X342,,,"Inputs")), "")</f>
        <v>0</v>
      </c>
      <c r="U339" s="166"/>
      <c r="V339" s="167"/>
      <c r="W339" s="0">
        <f ref="W339:W339" t="array">INDIRECT(ADDRESS(34,X342,,,"Inputs"))</f>
        <v>0</v>
      </c>
      <c r="X339" s="3"/>
      <c r="AA339" s="0">
        <f>AA324</f>
        <v>1</v>
      </c>
    </row>
    <row r="340" ht="18" customHeight="1">
      <c r="A340" s="117" t="s">
        <v>42</v>
      </c>
      <c r="B340" s="141" t="str">
        <f ref="B340:B340" t="array">IF(INDIRECT(ADDRESS(33,X342,,,"Inputs"))=0,"",INDIRECT(ADDRESS(33,X342,,,"Inputs")))</f>
      </c>
      <c r="C340" s="141"/>
      <c r="D340" s="158"/>
      <c r="E340" s="158"/>
      <c r="F340" s="158"/>
      <c r="G340" s="158"/>
      <c r="H340" s="158"/>
      <c r="I340" s="158"/>
      <c r="J340" s="158"/>
      <c r="K340" s="158"/>
      <c r="L340" s="158"/>
      <c r="M340" s="158"/>
      <c r="N340" s="158"/>
      <c r="O340" s="158"/>
      <c r="P340" s="158"/>
      <c r="Q340" s="136" t="s">
        <v>43</v>
      </c>
      <c r="R340" s="146"/>
      <c r="S340" s="146"/>
      <c r="T340" s="165">
        <f ref="T340:T340" t="array">IFERROR(INDIRECT(ADDRESS(81,X342,,,"Inputs")), "")</f>
        <v>0</v>
      </c>
      <c r="U340" s="166"/>
      <c r="V340" s="167"/>
      <c r="X340" s="3"/>
      <c r="AA340" s="0">
        <f>AA324</f>
        <v>1</v>
      </c>
    </row>
    <row r="341" ht="36" customHeight="1">
      <c r="A341" s="117" t="s">
        <v>44</v>
      </c>
      <c r="B341" s="156" t="str">
        <f ref="B341:B341" t="array">IF(INDIRECT(ADDRESS(47,X342,,,"Inputs"))=0,"",INDIRECT(ADDRESS(47,X342,,,"Inputs")))</f>
      </c>
      <c r="C341" s="156"/>
      <c r="D341" s="158"/>
      <c r="E341" s="158"/>
      <c r="F341" s="158"/>
      <c r="G341" s="158"/>
      <c r="H341" s="158"/>
      <c r="I341" s="158"/>
      <c r="J341" s="158"/>
      <c r="K341" s="158"/>
      <c r="L341" s="158"/>
      <c r="M341" s="158"/>
      <c r="N341" s="158"/>
      <c r="O341" s="158"/>
      <c r="P341" s="158"/>
      <c r="Q341" s="136" t="s">
        <v>45</v>
      </c>
      <c r="R341" s="146"/>
      <c r="S341" s="146"/>
      <c r="T341" s="136" t="str">
        <f ref="T341:T341" t="array">_xlfn.CONCAT(IFERROR(INDIRECT(ADDRESS(49,X342,,,"Inputs")), ""), " / ", IFERROR(INDIRECT(ADDRESS(48,X342,,,"Inputs")), ""))</f>
        <v> / </v>
      </c>
      <c r="U341" s="146"/>
      <c r="V341" s="161"/>
      <c r="X341" s="3"/>
      <c r="AA341" s="0">
        <f>AA324</f>
        <v>1</v>
      </c>
    </row>
    <row r="342" ht="102" customHeight="1">
      <c r="A342" s="122"/>
      <c r="B342" s="157"/>
      <c r="C342" s="157"/>
      <c r="D342" s="159"/>
      <c r="E342" s="159"/>
      <c r="F342" s="159"/>
      <c r="G342" s="159"/>
      <c r="H342" s="159"/>
      <c r="I342" s="159"/>
      <c r="J342" s="159"/>
      <c r="K342" s="159"/>
      <c r="L342" s="159"/>
      <c r="M342" s="159"/>
      <c r="N342" s="159"/>
      <c r="O342" s="159"/>
      <c r="P342" s="159"/>
      <c r="Q342" s="159"/>
      <c r="R342" s="173"/>
      <c r="S342" s="173"/>
      <c r="T342" s="174"/>
      <c r="U342" s="175"/>
      <c r="V342" s="176"/>
      <c r="W342" s="78" t="s">
        <v>46</v>
      </c>
      <c r="X342" s="78">
        <f>COLUMN(Inputs!FV5)</f>
        <v>178</v>
      </c>
      <c r="AA342" s="0">
        <f>AA324</f>
        <v>1</v>
      </c>
    </row>
    <row r="343" ht="18" customHeight="1">
      <c r="A343" s="58"/>
      <c r="B343" s="36"/>
      <c r="C343" s="36"/>
      <c r="D343" s="36"/>
      <c r="E343" s="36"/>
      <c r="F343" s="36"/>
      <c r="G343" s="36"/>
      <c r="H343" s="36"/>
      <c r="I343" s="36"/>
      <c r="J343" s="36"/>
      <c r="K343" s="36"/>
      <c r="L343" s="36"/>
      <c r="M343" s="36"/>
      <c r="N343" s="36"/>
      <c r="O343" s="36"/>
      <c r="P343" s="36"/>
      <c r="Q343" s="36"/>
      <c r="R343" s="36"/>
      <c r="S343" s="36"/>
      <c r="T343" s="36"/>
      <c r="U343" s="36"/>
      <c r="V343" s="36"/>
      <c r="AA343" s="0">
        <f>AA324</f>
        <v>1</v>
      </c>
    </row>
    <row r="344" ht="18" customHeight="1">
      <c r="A344" s="139" t="s">
        <v>4</v>
      </c>
      <c r="B344" s="140"/>
      <c r="C344" s="140"/>
      <c r="D344" s="140" t="str">
        <f ref="D344:D344" t="array">CONCATENATE(INDIRECT(ADDRESS(6,X362,,,"Inputs"))," ",INDIRECT(ADDRESS(8,X362,,,"Inputs"))," ",INDIRECT(ADDRESS(9,X362,,,"Inputs")))</f>
      </c>
      <c r="E344" s="140"/>
      <c r="F344" s="140"/>
      <c r="G344" s="140"/>
      <c r="H344" s="140"/>
      <c r="I344" s="140"/>
      <c r="J344" s="140"/>
      <c r="K344" s="140"/>
      <c r="L344" s="140"/>
      <c r="M344" s="140"/>
      <c r="N344" s="140"/>
      <c r="O344" s="140"/>
      <c r="P344" s="140"/>
      <c r="Q344" s="113"/>
      <c r="R344" s="113"/>
      <c r="S344" s="113"/>
      <c r="T344" s="113"/>
      <c r="U344" s="113"/>
      <c r="V344" s="114"/>
      <c r="AA344" s="0">
        <f>IF(LEN(TRIM(A344))=0,0,1)</f>
        <v>1</v>
      </c>
    </row>
    <row r="345" ht="18" customHeight="1">
      <c r="A345" s="134" t="str">
        <f ref="A345:A345" t="array">IF(INDIRECT(ADDRESS(50,X362,,,"Inputs"))=0,"",INDIRECT(ADDRESS(50,X362,,,"Inputs")))</f>
      </c>
      <c r="B345" s="135"/>
      <c r="C345" s="135"/>
      <c r="D345" s="136" t="str">
        <f ref="D345:D345" t="array">IF(INDIRECT(ADDRESS(10,X362,,,"Inputs"))=0,"",INDIRECT(ADDRESS(10,X362,,,"Inputs")))</f>
      </c>
      <c r="E345" s="136"/>
      <c r="F345" s="136"/>
      <c r="G345" s="136"/>
      <c r="H345" s="136"/>
      <c r="I345" s="136"/>
      <c r="J345" s="136"/>
      <c r="K345" s="136"/>
      <c r="L345" s="136"/>
      <c r="M345" s="136"/>
      <c r="N345" s="136"/>
      <c r="O345" s="136"/>
      <c r="P345" s="136"/>
      <c r="Q345" s="110"/>
      <c r="R345" s="110"/>
      <c r="S345" s="110"/>
      <c r="T345" s="110"/>
      <c r="U345" s="110"/>
      <c r="V345" s="115"/>
      <c r="AA345" s="0">
        <f>AA344</f>
        <v>1</v>
      </c>
    </row>
    <row r="346" ht="18" customHeight="1">
      <c r="A346" s="137" t="s">
        <v>5</v>
      </c>
      <c r="B346" s="136"/>
      <c r="C346" s="136"/>
      <c r="D346" s="136" t="str">
        <f ref="D346:D346" t="array">IF(INDIRECT(ADDRESS(14,X362,,,"Inputs"))=0,"",INDIRECT(ADDRESS(14,X362,,,"Inputs")))</f>
      </c>
      <c r="E346" s="136"/>
      <c r="F346" s="136"/>
      <c r="G346" s="136"/>
      <c r="H346" s="136"/>
      <c r="I346" s="136"/>
      <c r="J346" s="136"/>
      <c r="K346" s="136"/>
      <c r="L346" s="136"/>
      <c r="M346" s="136"/>
      <c r="N346" s="136"/>
      <c r="O346" s="136"/>
      <c r="P346" s="136"/>
      <c r="Q346" s="110"/>
      <c r="R346" s="110"/>
      <c r="S346" s="110"/>
      <c r="T346" s="110"/>
      <c r="U346" s="110"/>
      <c r="V346" s="115"/>
      <c r="AA346" s="0">
        <f>AA344</f>
        <v>1</v>
      </c>
    </row>
    <row r="347" ht="18" customHeight="1">
      <c r="A347" s="134" t="str">
        <f ref="A347:A347" t="array">IF(INDIRECT(ADDRESS(51,X362,,,"Inputs"))=0,"",INDIRECT(ADDRESS(51,X362,,,"Inputs")))</f>
      </c>
      <c r="B347" s="135"/>
      <c r="C347" s="135"/>
      <c r="D347" s="138" t="str">
        <f ref="D347:D347" t="array">INDIRECT(ADDRESS(82,X362,,,"Inputs"))</f>
      </c>
      <c r="E347" s="138"/>
      <c r="F347" s="138"/>
      <c r="G347" s="138"/>
      <c r="H347" s="138"/>
      <c r="I347" s="138"/>
      <c r="J347" s="138"/>
      <c r="K347" s="138"/>
      <c r="L347" s="138"/>
      <c r="M347" s="138"/>
      <c r="N347" s="138"/>
      <c r="O347" s="138"/>
      <c r="P347" s="138"/>
      <c r="Q347" s="112"/>
      <c r="R347" s="112"/>
      <c r="S347" s="112"/>
      <c r="T347" s="112"/>
      <c r="U347" s="112"/>
      <c r="V347" s="116"/>
      <c r="AA347" s="0">
        <f>AA344</f>
        <v>1</v>
      </c>
    </row>
    <row r="348" ht="18" customHeight="1">
      <c r="A348" s="168" t="s">
        <v>6</v>
      </c>
      <c r="B348" s="146"/>
      <c r="C348" s="151"/>
      <c r="D348" s="169" t="s">
        <v>7</v>
      </c>
      <c r="E348" s="146"/>
      <c r="F348" s="146"/>
      <c r="G348" s="146"/>
      <c r="H348" s="146"/>
      <c r="I348" s="146"/>
      <c r="J348" s="146"/>
      <c r="K348" s="146"/>
      <c r="L348" s="146"/>
      <c r="M348" s="146"/>
      <c r="N348" s="146"/>
      <c r="O348" s="146"/>
      <c r="P348" s="151"/>
      <c r="Q348" s="170" t="s">
        <v>8</v>
      </c>
      <c r="R348" s="146"/>
      <c r="S348" s="146"/>
      <c r="T348" s="146"/>
      <c r="U348" s="146"/>
      <c r="V348" s="161"/>
      <c r="AA348" s="0">
        <f>AA344</f>
        <v>1</v>
      </c>
    </row>
    <row r="349" ht="18" customHeight="1">
      <c r="A349" s="117" t="s">
        <v>9</v>
      </c>
      <c r="B349" s="162" t="str">
        <f ref="B349:B349" t="array">IF(INDIRECT(ADDRESS(15,X362,,,"Inputs"))=0,"",INDIRECT(ADDRESS(15,X362,,,"Inputs")))</f>
      </c>
      <c r="C349" s="162"/>
      <c r="D349" s="109" t="s">
        <v>10</v>
      </c>
      <c r="E349" s="136" t="s">
        <v>11</v>
      </c>
      <c r="F349" s="146"/>
      <c r="G349" s="146"/>
      <c r="H349" s="109" t="s">
        <v>12</v>
      </c>
      <c r="I349" s="109" t="s">
        <v>13</v>
      </c>
      <c r="J349" s="136" t="s">
        <v>14</v>
      </c>
      <c r="K349" s="146"/>
      <c r="L349" s="136" t="s">
        <v>15</v>
      </c>
      <c r="M349" s="146"/>
      <c r="N349" s="146"/>
      <c r="O349" s="136" t="s">
        <v>16</v>
      </c>
      <c r="P349" s="146"/>
      <c r="Q349" s="136" t="s">
        <v>17</v>
      </c>
      <c r="R349" s="146"/>
      <c r="S349" s="146"/>
      <c r="T349" s="146"/>
      <c r="U349" s="146"/>
      <c r="V349" s="161"/>
      <c r="AA349" s="0">
        <f>AA344</f>
        <v>1</v>
      </c>
    </row>
    <row r="350" ht="18" customHeight="1">
      <c r="A350" s="117" t="s">
        <v>18</v>
      </c>
      <c r="B350" s="162" t="str">
        <f ref="B350:B350" t="array">IF(INDIRECT(ADDRESS(16,X362,,,"Inputs"))=0,"",INDIRECT(ADDRESS(16,X362,,,"Inputs")))</f>
      </c>
      <c r="C350" s="162"/>
      <c r="D350" s="109" t="s">
        <v>19</v>
      </c>
      <c r="E350" s="142" t="str">
        <f ref="E350:E350" t="array">IF(ISBLANK(INDIRECT(ADDRESS(35,X362,,,"Inputs"))),"",INDIRECT(ADDRESS(35,X362,,,"Inputs")))</f>
      </c>
      <c r="F350" s="143"/>
      <c r="G350" s="143"/>
      <c r="H350" s="118" t="str">
        <f ref="H350:H350" t="array">IF(ISBLANK(INDIRECT(ADDRESS(35,X362,,,"Inputs"))),"",INDIRECT(ADDRESS(35,X362,,,"Inputs")))</f>
      </c>
      <c r="I350" s="119">
        <f ref="I350:I350" t="array">IFERROR(INDIRECT(ADDRESS(65,X362,,,"Inputs")), "")</f>
        <v>0</v>
      </c>
      <c r="J350" s="144" t="str">
        <f ref="J350:J350" t="array">IFERROR(INDIRECT(ADDRESS(66,X362,,,"Inputs")), "")</f>
      </c>
      <c r="K350" s="145"/>
      <c r="L350" s="136" t="s">
        <v>20</v>
      </c>
      <c r="M350" s="146"/>
      <c r="N350" s="146"/>
      <c r="O350" s="138" t="str">
        <f ref="O350:O350" t="array">IF(ISBLANK(INDIRECT(ADDRESS(36,X362,,,"Inputs"))), "-", IFERROR(I350/J350, ""))</f>
        <v>-</v>
      </c>
      <c r="P350" s="147"/>
      <c r="Q350" s="144" t="str">
        <f ref="Q350:Q350" t="array">IF(INDIRECT(ADDRESS(25,X362,,,"Inputs"))=0,"0",INDIRECT(ADDRESS(25,X362,,,"Inputs")))</f>
        <v>0</v>
      </c>
      <c r="R350" s="145"/>
      <c r="S350" s="145"/>
      <c r="T350" s="145"/>
      <c r="U350" s="145"/>
      <c r="V350" s="172"/>
      <c r="AA350" s="0">
        <f>AA344</f>
        <v>1</v>
      </c>
    </row>
    <row r="351" ht="36" customHeight="1">
      <c r="A351" s="117" t="s">
        <v>21</v>
      </c>
      <c r="B351" s="136" t="str">
        <f ref="B351:B351" t="array">IF(INDIRECT(ADDRESS(11,X362,,,"Inputs"))=0,"",INDIRECT(ADDRESS(11,X362,,,"Inputs")))</f>
      </c>
      <c r="C351" s="136"/>
      <c r="D351" s="109" t="s">
        <v>22</v>
      </c>
      <c r="E351" s="142" t="str">
        <f ref="E351:E351" t="array">IF(ISBLANK(INDIRECT(ADDRESS(39,X362,,,"Inputs"))),"",INDIRECT(ADDRESS(39,X362,,,"Inputs")))</f>
      </c>
      <c r="F351" s="143"/>
      <c r="G351" s="143"/>
      <c r="H351" s="118" t="str">
        <f ref="H351:H351" t="array">IF(ISBLANK(INDIRECT(ADDRESS(39,X362,,,"Inputs"))),"",INDIRECT(ADDRESS(39,X362,,,"Inputs")))</f>
      </c>
      <c r="I351" s="120" t="str">
        <f ref="I351:I351" t="array">IFERROR(INDIRECT(ADDRESS(67,X362,,,"Inputs")), "")</f>
      </c>
      <c r="J351" s="155" t="str">
        <f ref="J351:J351" t="array">IFERROR(INDIRECT(ADDRESS(68,X362,,,"Inputs")), "")</f>
      </c>
      <c r="K351" s="146"/>
      <c r="L351" s="136"/>
      <c r="M351" s="146"/>
      <c r="N351" s="146"/>
      <c r="O351" s="138" t="str">
        <f>IFERROR(J351/I351, "")</f>
      </c>
      <c r="P351" s="147"/>
      <c r="Q351" s="136" t="s">
        <v>23</v>
      </c>
      <c r="R351" s="146"/>
      <c r="S351" s="146"/>
      <c r="T351" s="146"/>
      <c r="U351" s="146"/>
      <c r="V351" s="161"/>
      <c r="AA351" s="0">
        <f>AA344</f>
        <v>1</v>
      </c>
    </row>
    <row r="352" ht="18" customHeight="1">
      <c r="A352" s="117" t="s">
        <v>24</v>
      </c>
      <c r="B352" s="141" t="str">
        <f ref="B352:B352" t="array">IF(INDIRECT(ADDRESS(75,X362,,,"Inputs"))=0,"",INDIRECT(ADDRESS(75,X362,,,"Inputs")))</f>
      </c>
      <c r="C352" s="141"/>
      <c r="D352" s="109" t="s">
        <v>25</v>
      </c>
      <c r="E352" s="142" t="str">
        <f ref="E352:E352" t="array">IF(ISBLANK(INDIRECT(ADDRESS(41,X362,,,"Inputs"))),"",INDIRECT(ADDRESS(41,X362,,,"Inputs")))</f>
      </c>
      <c r="F352" s="143"/>
      <c r="G352" s="143"/>
      <c r="H352" s="118" t="str">
        <f ref="H352:H352" t="array">IF(ISBLANK(INDIRECT(ADDRESS(41,X362,,,"Inputs"))),"",INDIRECT(ADDRESS(41,X362,,,"Inputs")))</f>
      </c>
      <c r="I352" s="119" t="str">
        <f ref="I352:I352" t="array">IFERROR(INDIRECT(ADDRESS(71,X362,,,"Inputs")), "")</f>
      </c>
      <c r="J352" s="144" t="str">
        <f ref="J352:J352" t="array">IFERROR(INDIRECT(ADDRESS(72,X362,,,"Inputs")), "")</f>
      </c>
      <c r="K352" s="145"/>
      <c r="L352" s="136" t="s">
        <v>20</v>
      </c>
      <c r="M352" s="146"/>
      <c r="N352" s="146"/>
      <c r="O352" s="138" t="str">
        <f ref="O352:O352" t="array">IF(ISBLANK(INDIRECT(ADDRESS(42,X362,,,"Inputs"))), "-", IFERROR(I352 / J352, ""))</f>
        <v>-</v>
      </c>
      <c r="P352" s="147"/>
      <c r="Q352" s="144" t="str">
        <f ref="Q352:Q352" t="array">IF(INDIRECT(ADDRESS(24,X362,,,"Inputs"))=0,"0",INDIRECT(ADDRESS(24,X362,,,"Inputs")))</f>
        <v>0</v>
      </c>
      <c r="R352" s="145"/>
      <c r="S352" s="145"/>
      <c r="T352" s="145"/>
      <c r="U352" s="145"/>
      <c r="V352" s="172"/>
      <c r="AA352" s="0">
        <f>AA344</f>
        <v>1</v>
      </c>
    </row>
    <row r="353" ht="36" customHeight="1">
      <c r="A353" s="117" t="s">
        <v>26</v>
      </c>
      <c r="B353" s="136" t="str">
        <f ref="B353:B353" t="array">IF(INDIRECT(ADDRESS(17,X362,,,"Inputs"))=0,"",INDIRECT(ADDRESS(17,X362,,,"Inputs")))</f>
      </c>
      <c r="C353" s="136"/>
      <c r="D353" s="111" t="s">
        <v>27</v>
      </c>
      <c r="E353" s="142" t="str">
        <f ref="E353:E353" t="array">IF(ISBLANK(INDIRECT(ADDRESS(43,X362,,,"Inputs"))),"",INDIRECT(ADDRESS(43,X362,,,"Inputs")))</f>
      </c>
      <c r="F353" s="143"/>
      <c r="G353" s="143"/>
      <c r="H353" s="118" t="str">
        <f ref="H353:H353" t="array">IF(ISBLANK(INDIRECT(ADDRESS(43,X362,,,"Inputs"))),"",INDIRECT(ADDRESS(43,X362,,,"Inputs")))</f>
      </c>
      <c r="I353" s="121" t="str">
        <f ref="I353:I353" t="array">IFERROR(INDIRECT(ADDRESS(73,X362,,,"Inputs")), "")</f>
      </c>
      <c r="J353" s="144" t="str">
        <f ref="J353:J353" t="array">IFERROR(INDIRECT(ADDRESS(74,X362,,,"Inputs")), "")</f>
      </c>
      <c r="K353" s="145"/>
      <c r="L353" s="136" t="s">
        <v>20</v>
      </c>
      <c r="M353" s="146"/>
      <c r="N353" s="146"/>
      <c r="O353" s="138" t="str">
        <f ref="O353:O353" t="array">IF(ISBLANK(INDIRECT(ADDRESS(44,X362,,,"Inputs"))), "-", IFERROR(I353 / J353, ""))</f>
        <v>-</v>
      </c>
      <c r="P353" s="147"/>
      <c r="Q353" s="177" t="s">
        <v>28</v>
      </c>
      <c r="R353" s="146"/>
      <c r="S353" s="146"/>
      <c r="T353" s="146"/>
      <c r="U353" s="146"/>
      <c r="V353" s="161"/>
      <c r="AA353" s="0">
        <f>AA344</f>
        <v>1</v>
      </c>
    </row>
    <row r="354" ht="18" customHeight="1">
      <c r="A354" s="117" t="s">
        <v>29</v>
      </c>
      <c r="B354" s="141" t="str">
        <f ref="B354:B354" t="array">IF(INDIRECT(ADDRESS(31,X362,,,"Inputs"))=0,"",INDIRECT(ADDRESS(31,X362,,,"Inputs")))</f>
      </c>
      <c r="C354" s="178"/>
      <c r="D354" s="179" t="s">
        <v>30</v>
      </c>
      <c r="E354" s="180"/>
      <c r="F354" s="180"/>
      <c r="G354" s="180"/>
      <c r="H354" s="180"/>
      <c r="I354" s="180"/>
      <c r="J354" s="180"/>
      <c r="K354" s="180"/>
      <c r="L354" s="180"/>
      <c r="M354" s="180"/>
      <c r="N354" s="180"/>
      <c r="O354" s="180"/>
      <c r="P354" s="181"/>
      <c r="Q354" s="136" t="s">
        <v>31</v>
      </c>
      <c r="R354" s="146"/>
      <c r="S354" s="146"/>
      <c r="T354" s="165">
        <f ref="T354:T354" t="array">IFERROR(INDIRECT(ADDRESS(77,X362,,,"Inputs")), "")</f>
        <v>0</v>
      </c>
      <c r="U354" s="166"/>
      <c r="V354" s="167"/>
      <c r="AA354" s="0">
        <f>AA344</f>
        <v>1</v>
      </c>
    </row>
    <row r="355" ht="18" customHeight="1">
      <c r="A355" s="117" t="s">
        <v>32</v>
      </c>
      <c r="B355" s="148" t="str">
        <f ref="B355:B355" t="array">IF(INDIRECT(ADDRESS(83,X362,,,"Inputs"))=0,"",INDIRECT(ADDRESS(83,X362,,,"Inputs")))</f>
      </c>
      <c r="C355" s="149"/>
      <c r="D355" s="158">
        <f ref="D355:D355" t="array">INDIRECT(ADDRESS(26,X362,,,"Inputs"))</f>
        <v>0</v>
      </c>
      <c r="E355" s="158"/>
      <c r="F355" s="158"/>
      <c r="G355" s="158"/>
      <c r="H355" s="158"/>
      <c r="I355" s="158"/>
      <c r="J355" s="158"/>
      <c r="K355" s="158"/>
      <c r="L355" s="158"/>
      <c r="M355" s="158"/>
      <c r="N355" s="158"/>
      <c r="O355" s="158"/>
      <c r="P355" s="158"/>
      <c r="Q355" s="136" t="s">
        <v>33</v>
      </c>
      <c r="R355" s="146"/>
      <c r="S355" s="146"/>
      <c r="T355" s="165">
        <f ref="T355:T355" t="array">IFERROR(INDIRECT(ADDRESS(86,X362,,,"Inputs")), "")</f>
        <v>0</v>
      </c>
      <c r="U355" s="166"/>
      <c r="V355" s="167"/>
      <c r="AA355" s="0">
        <f>AA344</f>
        <v>1</v>
      </c>
    </row>
    <row r="356" ht="18" customHeight="1">
      <c r="A356" s="150" t="s">
        <v>34</v>
      </c>
      <c r="B356" s="146"/>
      <c r="C356" s="151"/>
      <c r="D356" s="158"/>
      <c r="E356" s="158"/>
      <c r="F356" s="158"/>
      <c r="G356" s="158"/>
      <c r="H356" s="158"/>
      <c r="I356" s="158"/>
      <c r="J356" s="158"/>
      <c r="K356" s="158"/>
      <c r="L356" s="158"/>
      <c r="M356" s="158"/>
      <c r="N356" s="158"/>
      <c r="O356" s="158"/>
      <c r="P356" s="158"/>
      <c r="Q356" s="136" t="s">
        <v>35</v>
      </c>
      <c r="R356" s="146"/>
      <c r="S356" s="146"/>
      <c r="T356" s="165">
        <f ref="T356:T356" t="array">IFERROR(INDIRECT(ADDRESS(78,X362,,,"Inputs")), "")</f>
        <v>0</v>
      </c>
      <c r="U356" s="166"/>
      <c r="V356" s="167"/>
      <c r="AA356" s="0">
        <f>AA344</f>
        <v>1</v>
      </c>
    </row>
    <row r="357" ht="18" customHeight="1">
      <c r="A357" s="117" t="s">
        <v>36</v>
      </c>
      <c r="B357" s="141" t="str">
        <f ref="B357:B357" t="array">IF(INDIRECT(ADDRESS(30,X362,,,"Inputs"))=0,"",INDIRECT(ADDRESS(30,X362,,,"Inputs")))</f>
      </c>
      <c r="C357" s="141"/>
      <c r="D357" s="158"/>
      <c r="E357" s="158"/>
      <c r="F357" s="158"/>
      <c r="G357" s="158"/>
      <c r="H357" s="158"/>
      <c r="I357" s="158"/>
      <c r="J357" s="158"/>
      <c r="K357" s="158"/>
      <c r="L357" s="158"/>
      <c r="M357" s="158"/>
      <c r="N357" s="158"/>
      <c r="O357" s="158"/>
      <c r="P357" s="158"/>
      <c r="Q357" s="136" t="s">
        <v>37</v>
      </c>
      <c r="R357" s="146"/>
      <c r="S357" s="146"/>
      <c r="T357" s="165">
        <f ref="T357:T357" t="array">IFERROR(INDIRECT(ADDRESS(45,X362,,,"Inputs")), "")</f>
        <v>0</v>
      </c>
      <c r="U357" s="166"/>
      <c r="V357" s="167"/>
      <c r="AA357" s="0">
        <f>AA344</f>
        <v>1</v>
      </c>
    </row>
    <row r="358" ht="18" customHeight="1">
      <c r="A358" s="117" t="s">
        <v>38</v>
      </c>
      <c r="B358" s="136" t="str">
        <f ref="B358:B358" t="array">IF(INDIRECT(ADDRESS(32,X362,,,"Inputs"))=0,"",INDIRECT(ADDRESS(32,X362,,,"Inputs")))</f>
      </c>
      <c r="C358" s="136"/>
      <c r="D358" s="158"/>
      <c r="E358" s="158"/>
      <c r="F358" s="158"/>
      <c r="G358" s="158"/>
      <c r="H358" s="158"/>
      <c r="I358" s="158"/>
      <c r="J358" s="158"/>
      <c r="K358" s="158"/>
      <c r="L358" s="158"/>
      <c r="M358" s="158"/>
      <c r="N358" s="158"/>
      <c r="O358" s="158"/>
      <c r="P358" s="158"/>
      <c r="Q358" s="136" t="s">
        <v>39</v>
      </c>
      <c r="R358" s="146"/>
      <c r="S358" s="146"/>
      <c r="T358" s="165">
        <f ref="T358:T358" t="array">IFERROR(INDIRECT(ADDRESS(79,X362,,,"Inputs")), "")</f>
        <v>0</v>
      </c>
      <c r="U358" s="166"/>
      <c r="V358" s="167"/>
      <c r="AA358" s="0">
        <f>AA344</f>
        <v>1</v>
      </c>
    </row>
    <row r="359" ht="18" customHeight="1">
      <c r="A359" s="152" t="s">
        <v>40</v>
      </c>
      <c r="B359" s="153"/>
      <c r="C359" s="154"/>
      <c r="D359" s="158"/>
      <c r="E359" s="158"/>
      <c r="F359" s="158"/>
      <c r="G359" s="158"/>
      <c r="H359" s="158"/>
      <c r="I359" s="158"/>
      <c r="J359" s="158"/>
      <c r="K359" s="158"/>
      <c r="L359" s="158"/>
      <c r="M359" s="158"/>
      <c r="N359" s="158"/>
      <c r="O359" s="158"/>
      <c r="P359" s="158"/>
      <c r="Q359" s="136" t="s">
        <v>41</v>
      </c>
      <c r="R359" s="146"/>
      <c r="S359" s="146"/>
      <c r="T359" s="165">
        <f ref="T359:T359" t="array">IFERROR(INDIRECT(ADDRESS(80,X362,,,"Inputs")), "")</f>
        <v>0</v>
      </c>
      <c r="U359" s="166"/>
      <c r="V359" s="167"/>
      <c r="W359" s="0">
        <f ref="W359:W359" t="array">INDIRECT(ADDRESS(34,X362,,,"Inputs"))</f>
        <v>0</v>
      </c>
      <c r="X359" s="3"/>
      <c r="AA359" s="0">
        <f>AA344</f>
        <v>1</v>
      </c>
    </row>
    <row r="360" ht="18" customHeight="1">
      <c r="A360" s="117" t="s">
        <v>42</v>
      </c>
      <c r="B360" s="141" t="str">
        <f ref="B360:B360" t="array">IF(INDIRECT(ADDRESS(33,X362,,,"Inputs"))=0,"",INDIRECT(ADDRESS(33,X362,,,"Inputs")))</f>
      </c>
      <c r="C360" s="141"/>
      <c r="D360" s="158"/>
      <c r="E360" s="158"/>
      <c r="F360" s="158"/>
      <c r="G360" s="158"/>
      <c r="H360" s="158"/>
      <c r="I360" s="158"/>
      <c r="J360" s="158"/>
      <c r="K360" s="158"/>
      <c r="L360" s="158"/>
      <c r="M360" s="158"/>
      <c r="N360" s="158"/>
      <c r="O360" s="158"/>
      <c r="P360" s="158"/>
      <c r="Q360" s="136" t="s">
        <v>43</v>
      </c>
      <c r="R360" s="146"/>
      <c r="S360" s="146"/>
      <c r="T360" s="165">
        <f ref="T360:T360" t="array">IFERROR(INDIRECT(ADDRESS(81,X362,,,"Inputs")), "")</f>
        <v>0</v>
      </c>
      <c r="U360" s="166"/>
      <c r="V360" s="167"/>
      <c r="X360" s="3"/>
      <c r="AA360" s="0">
        <f>AA344</f>
        <v>1</v>
      </c>
    </row>
    <row r="361" ht="36" customHeight="1">
      <c r="A361" s="117" t="s">
        <v>44</v>
      </c>
      <c r="B361" s="156" t="str">
        <f ref="B361:B361" t="array">IF(INDIRECT(ADDRESS(47,X362,,,"Inputs"))=0,"",INDIRECT(ADDRESS(47,X362,,,"Inputs")))</f>
      </c>
      <c r="C361" s="156"/>
      <c r="D361" s="158"/>
      <c r="E361" s="158"/>
      <c r="F361" s="158"/>
      <c r="G361" s="158"/>
      <c r="H361" s="158"/>
      <c r="I361" s="158"/>
      <c r="J361" s="158"/>
      <c r="K361" s="158"/>
      <c r="L361" s="158"/>
      <c r="M361" s="158"/>
      <c r="N361" s="158"/>
      <c r="O361" s="158"/>
      <c r="P361" s="158"/>
      <c r="Q361" s="136" t="s">
        <v>45</v>
      </c>
      <c r="R361" s="146"/>
      <c r="S361" s="146"/>
      <c r="T361" s="136" t="str">
        <f ref="T361:T361" t="array">_xlfn.CONCAT(IFERROR(INDIRECT(ADDRESS(49,X362,,,"Inputs")), ""), " / ", IFERROR(INDIRECT(ADDRESS(48,X362,,,"Inputs")), ""))</f>
        <v> / </v>
      </c>
      <c r="U361" s="146"/>
      <c r="V361" s="161"/>
      <c r="X361" s="3"/>
      <c r="AA361" s="0">
        <f>AA344</f>
        <v>1</v>
      </c>
    </row>
    <row r="362" ht="102" customHeight="1">
      <c r="A362" s="122"/>
      <c r="B362" s="157"/>
      <c r="C362" s="157"/>
      <c r="D362" s="159"/>
      <c r="E362" s="159"/>
      <c r="F362" s="159"/>
      <c r="G362" s="159"/>
      <c r="H362" s="159"/>
      <c r="I362" s="159"/>
      <c r="J362" s="159"/>
      <c r="K362" s="159"/>
      <c r="L362" s="159"/>
      <c r="M362" s="159"/>
      <c r="N362" s="159"/>
      <c r="O362" s="159"/>
      <c r="P362" s="159"/>
      <c r="Q362" s="159"/>
      <c r="R362" s="173"/>
      <c r="S362" s="173"/>
      <c r="T362" s="174"/>
      <c r="U362" s="175"/>
      <c r="V362" s="176"/>
      <c r="W362" s="78" t="s">
        <v>46</v>
      </c>
      <c r="X362" s="78">
        <f>COLUMN(Inputs!GG5)</f>
        <v>189</v>
      </c>
      <c r="AA362" s="0">
        <f>AA344</f>
        <v>1</v>
      </c>
    </row>
    <row r="363" ht="18" customHeight="1">
      <c r="A363" s="58"/>
      <c r="B363" s="36"/>
      <c r="C363" s="36"/>
      <c r="D363" s="36"/>
      <c r="E363" s="36"/>
      <c r="F363" s="36"/>
      <c r="G363" s="36"/>
      <c r="H363" s="36"/>
      <c r="I363" s="36"/>
      <c r="J363" s="36"/>
      <c r="K363" s="36"/>
      <c r="L363" s="36"/>
      <c r="M363" s="36"/>
      <c r="N363" s="36"/>
      <c r="O363" s="36"/>
      <c r="P363" s="36"/>
      <c r="Q363" s="36"/>
      <c r="R363" s="36"/>
      <c r="S363" s="36"/>
      <c r="T363" s="36"/>
      <c r="U363" s="36"/>
      <c r="V363" s="36"/>
      <c r="AA363" s="0">
        <f>AA344</f>
        <v>1</v>
      </c>
    </row>
    <row r="364" ht="18" customHeight="1">
      <c r="A364" s="139" t="s">
        <v>4</v>
      </c>
      <c r="B364" s="140"/>
      <c r="C364" s="140"/>
      <c r="D364" s="140" t="str">
        <f ref="D364:D364" t="array">CONCATENATE(INDIRECT(ADDRESS(6,X382,,,"Inputs"))," ",INDIRECT(ADDRESS(8,X382,,,"Inputs"))," ",INDIRECT(ADDRESS(9,X382,,,"Inputs")))</f>
      </c>
      <c r="E364" s="140"/>
      <c r="F364" s="140"/>
      <c r="G364" s="140"/>
      <c r="H364" s="140"/>
      <c r="I364" s="140"/>
      <c r="J364" s="140"/>
      <c r="K364" s="140"/>
      <c r="L364" s="140"/>
      <c r="M364" s="140"/>
      <c r="N364" s="140"/>
      <c r="O364" s="140"/>
      <c r="P364" s="140"/>
      <c r="Q364" s="113"/>
      <c r="R364" s="113"/>
      <c r="S364" s="113"/>
      <c r="T364" s="113"/>
      <c r="U364" s="113"/>
      <c r="V364" s="114"/>
      <c r="AA364" s="0">
        <f>IF(LEN(TRIM(A364))=0,0,1)</f>
        <v>1</v>
      </c>
    </row>
    <row r="365" ht="18" customHeight="1">
      <c r="A365" s="134" t="str">
        <f ref="A365:A365" t="array">IF(INDIRECT(ADDRESS(50,X382,,,"Inputs"))=0,"",INDIRECT(ADDRESS(50,X382,,,"Inputs")))</f>
      </c>
      <c r="B365" s="135"/>
      <c r="C365" s="135"/>
      <c r="D365" s="136" t="str">
        <f ref="D365:D365" t="array">IF(INDIRECT(ADDRESS(10,X382,,,"Inputs"))=0,"",INDIRECT(ADDRESS(10,X382,,,"Inputs")))</f>
      </c>
      <c r="E365" s="136"/>
      <c r="F365" s="136"/>
      <c r="G365" s="136"/>
      <c r="H365" s="136"/>
      <c r="I365" s="136"/>
      <c r="J365" s="136"/>
      <c r="K365" s="136"/>
      <c r="L365" s="136"/>
      <c r="M365" s="136"/>
      <c r="N365" s="136"/>
      <c r="O365" s="136"/>
      <c r="P365" s="136"/>
      <c r="Q365" s="110"/>
      <c r="R365" s="110"/>
      <c r="S365" s="110"/>
      <c r="T365" s="110"/>
      <c r="U365" s="110"/>
      <c r="V365" s="115"/>
      <c r="AA365" s="0">
        <f>AA364</f>
        <v>1</v>
      </c>
    </row>
    <row r="366" ht="18" customHeight="1">
      <c r="A366" s="137" t="s">
        <v>5</v>
      </c>
      <c r="B366" s="136"/>
      <c r="C366" s="136"/>
      <c r="D366" s="136" t="str">
        <f ref="D366:D366" t="array">IF(INDIRECT(ADDRESS(14,X382,,,"Inputs"))=0,"",INDIRECT(ADDRESS(14,X382,,,"Inputs")))</f>
      </c>
      <c r="E366" s="136"/>
      <c r="F366" s="136"/>
      <c r="G366" s="136"/>
      <c r="H366" s="136"/>
      <c r="I366" s="136"/>
      <c r="J366" s="136"/>
      <c r="K366" s="136"/>
      <c r="L366" s="136"/>
      <c r="M366" s="136"/>
      <c r="N366" s="136"/>
      <c r="O366" s="136"/>
      <c r="P366" s="136"/>
      <c r="Q366" s="110"/>
      <c r="R366" s="110"/>
      <c r="S366" s="110"/>
      <c r="T366" s="110"/>
      <c r="U366" s="110"/>
      <c r="V366" s="115"/>
      <c r="AA366" s="0">
        <f>AA364</f>
        <v>1</v>
      </c>
    </row>
    <row r="367" ht="18" customHeight="1">
      <c r="A367" s="134" t="str">
        <f ref="A367:A367" t="array">IF(INDIRECT(ADDRESS(51,X382,,,"Inputs"))=0,"",INDIRECT(ADDRESS(51,X382,,,"Inputs")))</f>
      </c>
      <c r="B367" s="135"/>
      <c r="C367" s="135"/>
      <c r="D367" s="138" t="str">
        <f ref="D367:D367" t="array">INDIRECT(ADDRESS(82,X382,,,"Inputs"))</f>
      </c>
      <c r="E367" s="138"/>
      <c r="F367" s="138"/>
      <c r="G367" s="138"/>
      <c r="H367" s="138"/>
      <c r="I367" s="138"/>
      <c r="J367" s="138"/>
      <c r="K367" s="138"/>
      <c r="L367" s="138"/>
      <c r="M367" s="138"/>
      <c r="N367" s="138"/>
      <c r="O367" s="138"/>
      <c r="P367" s="138"/>
      <c r="Q367" s="112"/>
      <c r="R367" s="112"/>
      <c r="S367" s="112"/>
      <c r="T367" s="112"/>
      <c r="U367" s="112"/>
      <c r="V367" s="116"/>
      <c r="AA367" s="0">
        <f>AA364</f>
        <v>1</v>
      </c>
    </row>
    <row r="368" ht="18" customHeight="1">
      <c r="A368" s="168" t="s">
        <v>6</v>
      </c>
      <c r="B368" s="146"/>
      <c r="C368" s="151"/>
      <c r="D368" s="169" t="s">
        <v>7</v>
      </c>
      <c r="E368" s="146"/>
      <c r="F368" s="146"/>
      <c r="G368" s="146"/>
      <c r="H368" s="146"/>
      <c r="I368" s="146"/>
      <c r="J368" s="146"/>
      <c r="K368" s="146"/>
      <c r="L368" s="146"/>
      <c r="M368" s="146"/>
      <c r="N368" s="146"/>
      <c r="O368" s="146"/>
      <c r="P368" s="151"/>
      <c r="Q368" s="170" t="s">
        <v>8</v>
      </c>
      <c r="R368" s="146"/>
      <c r="S368" s="146"/>
      <c r="T368" s="146"/>
      <c r="U368" s="146"/>
      <c r="V368" s="161"/>
      <c r="AA368" s="0">
        <f>AA364</f>
        <v>1</v>
      </c>
    </row>
    <row r="369" ht="18" customHeight="1">
      <c r="A369" s="117" t="s">
        <v>9</v>
      </c>
      <c r="B369" s="162" t="str">
        <f ref="B369:B369" t="array">IF(INDIRECT(ADDRESS(15,X382,,,"Inputs"))=0,"",INDIRECT(ADDRESS(15,X382,,,"Inputs")))</f>
      </c>
      <c r="C369" s="162"/>
      <c r="D369" s="109" t="s">
        <v>10</v>
      </c>
      <c r="E369" s="136" t="s">
        <v>11</v>
      </c>
      <c r="F369" s="146"/>
      <c r="G369" s="146"/>
      <c r="H369" s="109" t="s">
        <v>12</v>
      </c>
      <c r="I369" s="109" t="s">
        <v>13</v>
      </c>
      <c r="J369" s="136" t="s">
        <v>14</v>
      </c>
      <c r="K369" s="146"/>
      <c r="L369" s="136" t="s">
        <v>15</v>
      </c>
      <c r="M369" s="146"/>
      <c r="N369" s="146"/>
      <c r="O369" s="136" t="s">
        <v>16</v>
      </c>
      <c r="P369" s="146"/>
      <c r="Q369" s="136" t="s">
        <v>17</v>
      </c>
      <c r="R369" s="146"/>
      <c r="S369" s="146"/>
      <c r="T369" s="146"/>
      <c r="U369" s="146"/>
      <c r="V369" s="161"/>
      <c r="AA369" s="0">
        <f>AA364</f>
        <v>1</v>
      </c>
    </row>
    <row r="370" ht="18" customHeight="1">
      <c r="A370" s="117" t="s">
        <v>18</v>
      </c>
      <c r="B370" s="162" t="str">
        <f ref="B370:B370" t="array">IF(INDIRECT(ADDRESS(16,X382,,,"Inputs"))=0,"",INDIRECT(ADDRESS(16,X382,,,"Inputs")))</f>
      </c>
      <c r="C370" s="162"/>
      <c r="D370" s="109" t="s">
        <v>19</v>
      </c>
      <c r="E370" s="142" t="str">
        <f ref="E370:E370" t="array">IF(ISBLANK(INDIRECT(ADDRESS(35,X382,,,"Inputs"))),"",INDIRECT(ADDRESS(35,X382,,,"Inputs")))</f>
      </c>
      <c r="F370" s="143"/>
      <c r="G370" s="143"/>
      <c r="H370" s="118" t="str">
        <f ref="H370:H370" t="array">IF(ISBLANK(INDIRECT(ADDRESS(35,X382,,,"Inputs"))),"",INDIRECT(ADDRESS(35,X382,,,"Inputs")))</f>
      </c>
      <c r="I370" s="119">
        <f ref="I370:I370" t="array">IFERROR(INDIRECT(ADDRESS(65,X382,,,"Inputs")), "")</f>
        <v>0</v>
      </c>
      <c r="J370" s="144" t="str">
        <f ref="J370:J370" t="array">IFERROR(INDIRECT(ADDRESS(66,X382,,,"Inputs")), "")</f>
      </c>
      <c r="K370" s="145"/>
      <c r="L370" s="136" t="s">
        <v>20</v>
      </c>
      <c r="M370" s="146"/>
      <c r="N370" s="146"/>
      <c r="O370" s="138" t="str">
        <f ref="O370:O370" t="array">IF(ISBLANK(INDIRECT(ADDRESS(36,X382,,,"Inputs"))), "-", IFERROR(I370/J370, ""))</f>
        <v>-</v>
      </c>
      <c r="P370" s="147"/>
      <c r="Q370" s="144" t="str">
        <f ref="Q370:Q370" t="array">IF(INDIRECT(ADDRESS(25,X382,,,"Inputs"))=0,"0",INDIRECT(ADDRESS(25,X382,,,"Inputs")))</f>
        <v>0</v>
      </c>
      <c r="R370" s="145"/>
      <c r="S370" s="145"/>
      <c r="T370" s="145"/>
      <c r="U370" s="145"/>
      <c r="V370" s="172"/>
      <c r="AA370" s="0">
        <f>AA364</f>
        <v>1</v>
      </c>
    </row>
    <row r="371" ht="36" customHeight="1">
      <c r="A371" s="117" t="s">
        <v>21</v>
      </c>
      <c r="B371" s="136" t="str">
        <f ref="B371:B371" t="array">IF(INDIRECT(ADDRESS(11,X382,,,"Inputs"))=0,"",INDIRECT(ADDRESS(11,X382,,,"Inputs")))</f>
      </c>
      <c r="C371" s="136"/>
      <c r="D371" s="109" t="s">
        <v>22</v>
      </c>
      <c r="E371" s="142" t="str">
        <f ref="E371:E371" t="array">IF(ISBLANK(INDIRECT(ADDRESS(39,X382,,,"Inputs"))),"",INDIRECT(ADDRESS(39,X382,,,"Inputs")))</f>
      </c>
      <c r="F371" s="143"/>
      <c r="G371" s="143"/>
      <c r="H371" s="118" t="str">
        <f ref="H371:H371" t="array">IF(ISBLANK(INDIRECT(ADDRESS(39,X382,,,"Inputs"))),"",INDIRECT(ADDRESS(39,X382,,,"Inputs")))</f>
      </c>
      <c r="I371" s="120" t="str">
        <f ref="I371:I371" t="array">IFERROR(INDIRECT(ADDRESS(67,X382,,,"Inputs")), "")</f>
      </c>
      <c r="J371" s="155" t="str">
        <f ref="J371:J371" t="array">IFERROR(INDIRECT(ADDRESS(68,X382,,,"Inputs")), "")</f>
      </c>
      <c r="K371" s="146"/>
      <c r="L371" s="136"/>
      <c r="M371" s="146"/>
      <c r="N371" s="146"/>
      <c r="O371" s="138" t="str">
        <f>IFERROR(J371/I371, "")</f>
      </c>
      <c r="P371" s="147"/>
      <c r="Q371" s="136" t="s">
        <v>23</v>
      </c>
      <c r="R371" s="146"/>
      <c r="S371" s="146"/>
      <c r="T371" s="146"/>
      <c r="U371" s="146"/>
      <c r="V371" s="161"/>
      <c r="AA371" s="0">
        <f>AA364</f>
        <v>1</v>
      </c>
    </row>
    <row r="372" ht="18" customHeight="1">
      <c r="A372" s="117" t="s">
        <v>24</v>
      </c>
      <c r="B372" s="141" t="str">
        <f ref="B372:B372" t="array">IF(INDIRECT(ADDRESS(75,X382,,,"Inputs"))=0,"",INDIRECT(ADDRESS(75,X382,,,"Inputs")))</f>
      </c>
      <c r="C372" s="141"/>
      <c r="D372" s="109" t="s">
        <v>25</v>
      </c>
      <c r="E372" s="142" t="str">
        <f ref="E372:E372" t="array">IF(ISBLANK(INDIRECT(ADDRESS(41,X382,,,"Inputs"))),"",INDIRECT(ADDRESS(41,X382,,,"Inputs")))</f>
      </c>
      <c r="F372" s="143"/>
      <c r="G372" s="143"/>
      <c r="H372" s="118" t="str">
        <f ref="H372:H372" t="array">IF(ISBLANK(INDIRECT(ADDRESS(41,X382,,,"Inputs"))),"",INDIRECT(ADDRESS(41,X382,,,"Inputs")))</f>
      </c>
      <c r="I372" s="119" t="str">
        <f ref="I372:I372" t="array">IFERROR(INDIRECT(ADDRESS(71,X382,,,"Inputs")), "")</f>
      </c>
      <c r="J372" s="144" t="str">
        <f ref="J372:J372" t="array">IFERROR(INDIRECT(ADDRESS(72,X382,,,"Inputs")), "")</f>
      </c>
      <c r="K372" s="145"/>
      <c r="L372" s="136" t="s">
        <v>20</v>
      </c>
      <c r="M372" s="146"/>
      <c r="N372" s="146"/>
      <c r="O372" s="138" t="str">
        <f ref="O372:O372" t="array">IF(ISBLANK(INDIRECT(ADDRESS(42,X382,,,"Inputs"))), "-", IFERROR(I372 / J372, ""))</f>
        <v>-</v>
      </c>
      <c r="P372" s="147"/>
      <c r="Q372" s="144" t="str">
        <f ref="Q372:Q372" t="array">IF(INDIRECT(ADDRESS(24,X382,,,"Inputs"))=0,"0",INDIRECT(ADDRESS(24,X382,,,"Inputs")))</f>
        <v>0</v>
      </c>
      <c r="R372" s="145"/>
      <c r="S372" s="145"/>
      <c r="T372" s="145"/>
      <c r="U372" s="145"/>
      <c r="V372" s="172"/>
      <c r="AA372" s="0">
        <f>AA364</f>
        <v>1</v>
      </c>
    </row>
    <row r="373" ht="36" customHeight="1">
      <c r="A373" s="117" t="s">
        <v>26</v>
      </c>
      <c r="B373" s="136" t="str">
        <f ref="B373:B373" t="array">IF(INDIRECT(ADDRESS(17,X382,,,"Inputs"))=0,"",INDIRECT(ADDRESS(17,X382,,,"Inputs")))</f>
      </c>
      <c r="C373" s="136"/>
      <c r="D373" s="111" t="s">
        <v>27</v>
      </c>
      <c r="E373" s="142" t="str">
        <f ref="E373:E373" t="array">IF(ISBLANK(INDIRECT(ADDRESS(43,X382,,,"Inputs"))),"",INDIRECT(ADDRESS(43,X382,,,"Inputs")))</f>
      </c>
      <c r="F373" s="143"/>
      <c r="G373" s="143"/>
      <c r="H373" s="118" t="str">
        <f ref="H373:H373" t="array">IF(ISBLANK(INDIRECT(ADDRESS(43,X382,,,"Inputs"))),"",INDIRECT(ADDRESS(43,X382,,,"Inputs")))</f>
      </c>
      <c r="I373" s="121" t="str">
        <f ref="I373:I373" t="array">IFERROR(INDIRECT(ADDRESS(73,X382,,,"Inputs")), "")</f>
      </c>
      <c r="J373" s="144" t="str">
        <f ref="J373:J373" t="array">IFERROR(INDIRECT(ADDRESS(74,X382,,,"Inputs")), "")</f>
      </c>
      <c r="K373" s="145"/>
      <c r="L373" s="136" t="s">
        <v>20</v>
      </c>
      <c r="M373" s="146"/>
      <c r="N373" s="146"/>
      <c r="O373" s="138" t="str">
        <f ref="O373:O373" t="array">IF(ISBLANK(INDIRECT(ADDRESS(44,X382,,,"Inputs"))), "-", IFERROR(I373 / J373, ""))</f>
        <v>-</v>
      </c>
      <c r="P373" s="147"/>
      <c r="Q373" s="177" t="s">
        <v>28</v>
      </c>
      <c r="R373" s="146"/>
      <c r="S373" s="146"/>
      <c r="T373" s="146"/>
      <c r="U373" s="146"/>
      <c r="V373" s="161"/>
      <c r="AA373" s="0">
        <f>AA364</f>
        <v>1</v>
      </c>
    </row>
    <row r="374" ht="18" customHeight="1">
      <c r="A374" s="117" t="s">
        <v>29</v>
      </c>
      <c r="B374" s="141" t="str">
        <f ref="B374:B374" t="array">IF(INDIRECT(ADDRESS(31,X382,,,"Inputs"))=0,"",INDIRECT(ADDRESS(31,X382,,,"Inputs")))</f>
      </c>
      <c r="C374" s="178"/>
      <c r="D374" s="179" t="s">
        <v>30</v>
      </c>
      <c r="E374" s="180"/>
      <c r="F374" s="180"/>
      <c r="G374" s="180"/>
      <c r="H374" s="180"/>
      <c r="I374" s="180"/>
      <c r="J374" s="180"/>
      <c r="K374" s="180"/>
      <c r="L374" s="180"/>
      <c r="M374" s="180"/>
      <c r="N374" s="180"/>
      <c r="O374" s="180"/>
      <c r="P374" s="181"/>
      <c r="Q374" s="136" t="s">
        <v>31</v>
      </c>
      <c r="R374" s="146"/>
      <c r="S374" s="146"/>
      <c r="T374" s="165">
        <f ref="T374:T374" t="array">IFERROR(INDIRECT(ADDRESS(77,X382,,,"Inputs")), "")</f>
        <v>0</v>
      </c>
      <c r="U374" s="166"/>
      <c r="V374" s="167"/>
      <c r="AA374" s="0">
        <f>AA364</f>
        <v>1</v>
      </c>
    </row>
    <row r="375" ht="18" customHeight="1">
      <c r="A375" s="117" t="s">
        <v>32</v>
      </c>
      <c r="B375" s="148" t="str">
        <f ref="B375:B375" t="array">IF(INDIRECT(ADDRESS(83,X382,,,"Inputs"))=0,"",INDIRECT(ADDRESS(83,X382,,,"Inputs")))</f>
      </c>
      <c r="C375" s="149"/>
      <c r="D375" s="158">
        <f ref="D375:D375" t="array">INDIRECT(ADDRESS(26,X382,,,"Inputs"))</f>
        <v>0</v>
      </c>
      <c r="E375" s="158"/>
      <c r="F375" s="158"/>
      <c r="G375" s="158"/>
      <c r="H375" s="158"/>
      <c r="I375" s="158"/>
      <c r="J375" s="158"/>
      <c r="K375" s="158"/>
      <c r="L375" s="158"/>
      <c r="M375" s="158"/>
      <c r="N375" s="158"/>
      <c r="O375" s="158"/>
      <c r="P375" s="158"/>
      <c r="Q375" s="136" t="s">
        <v>33</v>
      </c>
      <c r="R375" s="146"/>
      <c r="S375" s="146"/>
      <c r="T375" s="165">
        <f ref="T375:T375" t="array">IFERROR(INDIRECT(ADDRESS(86,X382,,,"Inputs")), "")</f>
        <v>0</v>
      </c>
      <c r="U375" s="166"/>
      <c r="V375" s="167"/>
      <c r="AA375" s="0">
        <f>AA364</f>
        <v>1</v>
      </c>
    </row>
    <row r="376" ht="18" customHeight="1">
      <c r="A376" s="150" t="s">
        <v>34</v>
      </c>
      <c r="B376" s="146"/>
      <c r="C376" s="151"/>
      <c r="D376" s="158"/>
      <c r="E376" s="158"/>
      <c r="F376" s="158"/>
      <c r="G376" s="158"/>
      <c r="H376" s="158"/>
      <c r="I376" s="158"/>
      <c r="J376" s="158"/>
      <c r="K376" s="158"/>
      <c r="L376" s="158"/>
      <c r="M376" s="158"/>
      <c r="N376" s="158"/>
      <c r="O376" s="158"/>
      <c r="P376" s="158"/>
      <c r="Q376" s="136" t="s">
        <v>35</v>
      </c>
      <c r="R376" s="146"/>
      <c r="S376" s="146"/>
      <c r="T376" s="165">
        <f ref="T376:T376" t="array">IFERROR(INDIRECT(ADDRESS(78,X382,,,"Inputs")), "")</f>
        <v>0</v>
      </c>
      <c r="U376" s="166"/>
      <c r="V376" s="167"/>
      <c r="AA376" s="0">
        <f>AA364</f>
        <v>1</v>
      </c>
    </row>
    <row r="377" ht="18" customHeight="1">
      <c r="A377" s="117" t="s">
        <v>36</v>
      </c>
      <c r="B377" s="141" t="str">
        <f ref="B377:B377" t="array">IF(INDIRECT(ADDRESS(30,X382,,,"Inputs"))=0,"",INDIRECT(ADDRESS(30,X382,,,"Inputs")))</f>
      </c>
      <c r="C377" s="141"/>
      <c r="D377" s="158"/>
      <c r="E377" s="158"/>
      <c r="F377" s="158"/>
      <c r="G377" s="158"/>
      <c r="H377" s="158"/>
      <c r="I377" s="158"/>
      <c r="J377" s="158"/>
      <c r="K377" s="158"/>
      <c r="L377" s="158"/>
      <c r="M377" s="158"/>
      <c r="N377" s="158"/>
      <c r="O377" s="158"/>
      <c r="P377" s="158"/>
      <c r="Q377" s="136" t="s">
        <v>37</v>
      </c>
      <c r="R377" s="146"/>
      <c r="S377" s="146"/>
      <c r="T377" s="165">
        <f ref="T377:T377" t="array">IFERROR(INDIRECT(ADDRESS(45,X382,,,"Inputs")), "")</f>
        <v>0</v>
      </c>
      <c r="U377" s="166"/>
      <c r="V377" s="167"/>
      <c r="AA377" s="0">
        <f>AA364</f>
        <v>1</v>
      </c>
    </row>
    <row r="378" ht="18" customHeight="1">
      <c r="A378" s="117" t="s">
        <v>38</v>
      </c>
      <c r="B378" s="136" t="str">
        <f ref="B378:B378" t="array">IF(INDIRECT(ADDRESS(32,X382,,,"Inputs"))=0,"",INDIRECT(ADDRESS(32,X382,,,"Inputs")))</f>
      </c>
      <c r="C378" s="136"/>
      <c r="D378" s="158"/>
      <c r="E378" s="158"/>
      <c r="F378" s="158"/>
      <c r="G378" s="158"/>
      <c r="H378" s="158"/>
      <c r="I378" s="158"/>
      <c r="J378" s="158"/>
      <c r="K378" s="158"/>
      <c r="L378" s="158"/>
      <c r="M378" s="158"/>
      <c r="N378" s="158"/>
      <c r="O378" s="158"/>
      <c r="P378" s="158"/>
      <c r="Q378" s="136" t="s">
        <v>39</v>
      </c>
      <c r="R378" s="146"/>
      <c r="S378" s="146"/>
      <c r="T378" s="165">
        <f ref="T378:T378" t="array">IFERROR(INDIRECT(ADDRESS(79,X382,,,"Inputs")), "")</f>
        <v>0</v>
      </c>
      <c r="U378" s="166"/>
      <c r="V378" s="167"/>
      <c r="AA378" s="0">
        <f>AA364</f>
        <v>1</v>
      </c>
    </row>
    <row r="379" ht="18" customHeight="1">
      <c r="A379" s="152" t="s">
        <v>40</v>
      </c>
      <c r="B379" s="153"/>
      <c r="C379" s="154"/>
      <c r="D379" s="158"/>
      <c r="E379" s="158"/>
      <c r="F379" s="158"/>
      <c r="G379" s="158"/>
      <c r="H379" s="158"/>
      <c r="I379" s="158"/>
      <c r="J379" s="158"/>
      <c r="K379" s="158"/>
      <c r="L379" s="158"/>
      <c r="M379" s="158"/>
      <c r="N379" s="158"/>
      <c r="O379" s="158"/>
      <c r="P379" s="158"/>
      <c r="Q379" s="136" t="s">
        <v>41</v>
      </c>
      <c r="R379" s="146"/>
      <c r="S379" s="146"/>
      <c r="T379" s="165">
        <f ref="T379:T379" t="array">IFERROR(INDIRECT(ADDRESS(80,X382,,,"Inputs")), "")</f>
        <v>0</v>
      </c>
      <c r="U379" s="166"/>
      <c r="V379" s="167"/>
      <c r="W379" s="0">
        <f ref="W379:W379" t="array">INDIRECT(ADDRESS(34,X382,,,"Inputs"))</f>
        <v>0</v>
      </c>
      <c r="X379" s="3"/>
      <c r="AA379" s="0">
        <f>AA364</f>
        <v>1</v>
      </c>
    </row>
    <row r="380" ht="18" customHeight="1">
      <c r="A380" s="117" t="s">
        <v>42</v>
      </c>
      <c r="B380" s="141" t="str">
        <f ref="B380:B380" t="array">IF(INDIRECT(ADDRESS(33,X382,,,"Inputs"))=0,"",INDIRECT(ADDRESS(33,X382,,,"Inputs")))</f>
      </c>
      <c r="C380" s="141"/>
      <c r="D380" s="158"/>
      <c r="E380" s="158"/>
      <c r="F380" s="158"/>
      <c r="G380" s="158"/>
      <c r="H380" s="158"/>
      <c r="I380" s="158"/>
      <c r="J380" s="158"/>
      <c r="K380" s="158"/>
      <c r="L380" s="158"/>
      <c r="M380" s="158"/>
      <c r="N380" s="158"/>
      <c r="O380" s="158"/>
      <c r="P380" s="158"/>
      <c r="Q380" s="136" t="s">
        <v>43</v>
      </c>
      <c r="R380" s="146"/>
      <c r="S380" s="146"/>
      <c r="T380" s="165">
        <f ref="T380:T380" t="array">IFERROR(INDIRECT(ADDRESS(81,X382,,,"Inputs")), "")</f>
        <v>0</v>
      </c>
      <c r="U380" s="166"/>
      <c r="V380" s="167"/>
      <c r="X380" s="3"/>
      <c r="AA380" s="0">
        <f>AA364</f>
        <v>1</v>
      </c>
    </row>
    <row r="381" ht="36" customHeight="1">
      <c r="A381" s="117" t="s">
        <v>44</v>
      </c>
      <c r="B381" s="156" t="str">
        <f ref="B381:B381" t="array">IF(INDIRECT(ADDRESS(47,X382,,,"Inputs"))=0,"",INDIRECT(ADDRESS(47,X382,,,"Inputs")))</f>
      </c>
      <c r="C381" s="156"/>
      <c r="D381" s="158"/>
      <c r="E381" s="158"/>
      <c r="F381" s="158"/>
      <c r="G381" s="158"/>
      <c r="H381" s="158"/>
      <c r="I381" s="158"/>
      <c r="J381" s="158"/>
      <c r="K381" s="158"/>
      <c r="L381" s="158"/>
      <c r="M381" s="158"/>
      <c r="N381" s="158"/>
      <c r="O381" s="158"/>
      <c r="P381" s="158"/>
      <c r="Q381" s="136" t="s">
        <v>45</v>
      </c>
      <c r="R381" s="146"/>
      <c r="S381" s="146"/>
      <c r="T381" s="136" t="str">
        <f ref="T381:T381" t="array">_xlfn.CONCAT(IFERROR(INDIRECT(ADDRESS(49,X382,,,"Inputs")), ""), " / ", IFERROR(INDIRECT(ADDRESS(48,X382,,,"Inputs")), ""))</f>
        <v> / </v>
      </c>
      <c r="U381" s="146"/>
      <c r="V381" s="161"/>
      <c r="X381" s="3"/>
      <c r="AA381" s="0">
        <f>AA364</f>
        <v>1</v>
      </c>
    </row>
    <row r="382" ht="102" customHeight="1">
      <c r="A382" s="122"/>
      <c r="B382" s="157"/>
      <c r="C382" s="157"/>
      <c r="D382" s="159"/>
      <c r="E382" s="159"/>
      <c r="F382" s="159"/>
      <c r="G382" s="159"/>
      <c r="H382" s="159"/>
      <c r="I382" s="159"/>
      <c r="J382" s="159"/>
      <c r="K382" s="159"/>
      <c r="L382" s="159"/>
      <c r="M382" s="159"/>
      <c r="N382" s="159"/>
      <c r="O382" s="159"/>
      <c r="P382" s="159"/>
      <c r="Q382" s="159"/>
      <c r="R382" s="173"/>
      <c r="S382" s="173"/>
      <c r="T382" s="174"/>
      <c r="U382" s="175"/>
      <c r="V382" s="176"/>
      <c r="W382" s="78" t="s">
        <v>46</v>
      </c>
      <c r="X382" s="78">
        <f>COLUMN(Inputs!GR5)</f>
        <v>200</v>
      </c>
      <c r="AA382" s="0">
        <f>AA364</f>
        <v>1</v>
      </c>
    </row>
    <row r="383" ht="17.25" customHeight="1">
      <c r="AA383" s="0">
        <f>AA364</f>
        <v>1</v>
      </c>
    </row>
    <row r="384" ht="18" customHeight="1">
      <c r="A384" s="139" t="s">
        <v>4</v>
      </c>
      <c r="B384" s="140"/>
      <c r="C384" s="140"/>
      <c r="D384" s="140" t="str">
        <f ref="D384:D384" t="array">CONCATENATE(INDIRECT(ADDRESS(6,X402,,,"Inputs"))," ",INDIRECT(ADDRESS(8,X402,,,"Inputs"))," ",INDIRECT(ADDRESS(9,X402,,,"Inputs")))</f>
      </c>
      <c r="E384" s="140"/>
      <c r="F384" s="140"/>
      <c r="G384" s="140"/>
      <c r="H384" s="140"/>
      <c r="I384" s="140"/>
      <c r="J384" s="140"/>
      <c r="K384" s="140"/>
      <c r="L384" s="140"/>
      <c r="M384" s="140"/>
      <c r="N384" s="140"/>
      <c r="O384" s="140"/>
      <c r="P384" s="140"/>
      <c r="Q384" s="113"/>
      <c r="R384" s="113"/>
      <c r="S384" s="113"/>
      <c r="T384" s="113"/>
      <c r="U384" s="113"/>
      <c r="V384" s="114"/>
      <c r="AA384" s="0">
        <f>IF(LEN(TRIM(A384))=0,0,1)</f>
        <v>1</v>
      </c>
    </row>
    <row r="385" ht="18" customHeight="1">
      <c r="A385" s="134" t="str">
        <f ref="A385:A385" t="array">IF(INDIRECT(ADDRESS(50,X402,,,"Inputs"))=0,"",INDIRECT(ADDRESS(50,X402,,,"Inputs")))</f>
      </c>
      <c r="B385" s="135"/>
      <c r="C385" s="135"/>
      <c r="D385" s="136" t="str">
        <f ref="D385:D385" t="array">IF(INDIRECT(ADDRESS(10,X402,,,"Inputs"))=0,"",INDIRECT(ADDRESS(10,X402,,,"Inputs")))</f>
      </c>
      <c r="E385" s="136"/>
      <c r="F385" s="136"/>
      <c r="G385" s="136"/>
      <c r="H385" s="136"/>
      <c r="I385" s="136"/>
      <c r="J385" s="136"/>
      <c r="K385" s="136"/>
      <c r="L385" s="136"/>
      <c r="M385" s="136"/>
      <c r="N385" s="136"/>
      <c r="O385" s="136"/>
      <c r="P385" s="136"/>
      <c r="Q385" s="110"/>
      <c r="R385" s="110"/>
      <c r="S385" s="110"/>
      <c r="T385" s="110"/>
      <c r="U385" s="110"/>
      <c r="V385" s="115"/>
      <c r="AA385" s="0">
        <f>AA384</f>
        <v>1</v>
      </c>
    </row>
    <row r="386" ht="18" customHeight="1">
      <c r="A386" s="137" t="s">
        <v>5</v>
      </c>
      <c r="B386" s="136"/>
      <c r="C386" s="136"/>
      <c r="D386" s="136" t="str">
        <f ref="D386:D386" t="array">IF(INDIRECT(ADDRESS(14,X402,,,"Inputs"))=0,"",INDIRECT(ADDRESS(14,X402,,,"Inputs")))</f>
      </c>
      <c r="E386" s="136"/>
      <c r="F386" s="136"/>
      <c r="G386" s="136"/>
      <c r="H386" s="136"/>
      <c r="I386" s="136"/>
      <c r="J386" s="136"/>
      <c r="K386" s="136"/>
      <c r="L386" s="136"/>
      <c r="M386" s="136"/>
      <c r="N386" s="136"/>
      <c r="O386" s="136"/>
      <c r="P386" s="136"/>
      <c r="Q386" s="110"/>
      <c r="R386" s="110"/>
      <c r="S386" s="110"/>
      <c r="T386" s="110"/>
      <c r="U386" s="110"/>
      <c r="V386" s="115"/>
      <c r="AA386" s="0">
        <f>AA384</f>
        <v>1</v>
      </c>
    </row>
    <row r="387" ht="18" customHeight="1">
      <c r="A387" s="134" t="str">
        <f ref="A387:A387" t="array">IF(INDIRECT(ADDRESS(51,X402,,,"Inputs"))=0,"",INDIRECT(ADDRESS(51,X402,,,"Inputs")))</f>
      </c>
      <c r="B387" s="135"/>
      <c r="C387" s="135"/>
      <c r="D387" s="138" t="str">
        <f ref="D387:D387" t="array">INDIRECT(ADDRESS(82,X402,,,"Inputs"))</f>
      </c>
      <c r="E387" s="138"/>
      <c r="F387" s="138"/>
      <c r="G387" s="138"/>
      <c r="H387" s="138"/>
      <c r="I387" s="138"/>
      <c r="J387" s="138"/>
      <c r="K387" s="138"/>
      <c r="L387" s="138"/>
      <c r="M387" s="138"/>
      <c r="N387" s="138"/>
      <c r="O387" s="138"/>
      <c r="P387" s="138"/>
      <c r="Q387" s="112"/>
      <c r="R387" s="112"/>
      <c r="S387" s="112"/>
      <c r="T387" s="112"/>
      <c r="U387" s="112"/>
      <c r="V387" s="116"/>
      <c r="AA387" s="0">
        <f>AA384</f>
        <v>1</v>
      </c>
    </row>
    <row r="388" ht="18" customHeight="1">
      <c r="A388" s="168" t="s">
        <v>6</v>
      </c>
      <c r="B388" s="146"/>
      <c r="C388" s="151"/>
      <c r="D388" s="169" t="s">
        <v>7</v>
      </c>
      <c r="E388" s="146"/>
      <c r="F388" s="146"/>
      <c r="G388" s="146"/>
      <c r="H388" s="146"/>
      <c r="I388" s="146"/>
      <c r="J388" s="146"/>
      <c r="K388" s="146"/>
      <c r="L388" s="146"/>
      <c r="M388" s="146"/>
      <c r="N388" s="146"/>
      <c r="O388" s="146"/>
      <c r="P388" s="151"/>
      <c r="Q388" s="170" t="s">
        <v>8</v>
      </c>
      <c r="R388" s="146"/>
      <c r="S388" s="146"/>
      <c r="T388" s="146"/>
      <c r="U388" s="146"/>
      <c r="V388" s="161"/>
      <c r="AA388" s="0">
        <f>AA384</f>
        <v>1</v>
      </c>
    </row>
    <row r="389" ht="18" customHeight="1">
      <c r="A389" s="117" t="s">
        <v>9</v>
      </c>
      <c r="B389" s="162" t="str">
        <f ref="B389:B389" t="array">IF(INDIRECT(ADDRESS(15,X402,,,"Inputs"))=0,"",INDIRECT(ADDRESS(15,X402,,,"Inputs")))</f>
      </c>
      <c r="C389" s="162"/>
      <c r="D389" s="109" t="s">
        <v>10</v>
      </c>
      <c r="E389" s="136" t="s">
        <v>11</v>
      </c>
      <c r="F389" s="146"/>
      <c r="G389" s="146"/>
      <c r="H389" s="109" t="s">
        <v>12</v>
      </c>
      <c r="I389" s="109" t="s">
        <v>13</v>
      </c>
      <c r="J389" s="136" t="s">
        <v>14</v>
      </c>
      <c r="K389" s="146"/>
      <c r="L389" s="136" t="s">
        <v>15</v>
      </c>
      <c r="M389" s="146"/>
      <c r="N389" s="146"/>
      <c r="O389" s="136" t="s">
        <v>16</v>
      </c>
      <c r="P389" s="146"/>
      <c r="Q389" s="136" t="s">
        <v>17</v>
      </c>
      <c r="R389" s="146"/>
      <c r="S389" s="146"/>
      <c r="T389" s="146"/>
      <c r="U389" s="146"/>
      <c r="V389" s="161"/>
      <c r="AA389" s="0">
        <f>AA384</f>
        <v>1</v>
      </c>
    </row>
    <row r="390" ht="18" customHeight="1">
      <c r="A390" s="117" t="s">
        <v>18</v>
      </c>
      <c r="B390" s="162" t="str">
        <f ref="B390:B390" t="array">IF(INDIRECT(ADDRESS(16,X402,,,"Inputs"))=0,"",INDIRECT(ADDRESS(16,X402,,,"Inputs")))</f>
      </c>
      <c r="C390" s="162"/>
      <c r="D390" s="109" t="s">
        <v>19</v>
      </c>
      <c r="E390" s="142" t="str">
        <f ref="E390:E390" t="array">IF(ISBLANK(INDIRECT(ADDRESS(35,X402,,,"Inputs"))),"",INDIRECT(ADDRESS(35,X402,,,"Inputs")))</f>
      </c>
      <c r="F390" s="143"/>
      <c r="G390" s="143"/>
      <c r="H390" s="118" t="str">
        <f ref="H390:H390" t="array">IF(ISBLANK(INDIRECT(ADDRESS(35,X402,,,"Inputs"))),"",INDIRECT(ADDRESS(35,X402,,,"Inputs")))</f>
      </c>
      <c r="I390" s="119">
        <f ref="I390:I390" t="array">IFERROR(INDIRECT(ADDRESS(65,X402,,,"Inputs")), "")</f>
        <v>0</v>
      </c>
      <c r="J390" s="144" t="str">
        <f ref="J390:J390" t="array">IFERROR(INDIRECT(ADDRESS(66,X402,,,"Inputs")), "")</f>
      </c>
      <c r="K390" s="145"/>
      <c r="L390" s="136" t="s">
        <v>20</v>
      </c>
      <c r="M390" s="146"/>
      <c r="N390" s="146"/>
      <c r="O390" s="138" t="str">
        <f ref="O390:O390" t="array">IF(ISBLANK(INDIRECT(ADDRESS(36,X402,,,"Inputs"))), "-", IFERROR(I390/J390, ""))</f>
        <v>-</v>
      </c>
      <c r="P390" s="147"/>
      <c r="Q390" s="144" t="str">
        <f ref="Q390:Q390" t="array">IF(INDIRECT(ADDRESS(25,X402,,,"Inputs"))=0,"0",INDIRECT(ADDRESS(25,X402,,,"Inputs")))</f>
        <v>0</v>
      </c>
      <c r="R390" s="145"/>
      <c r="S390" s="145"/>
      <c r="T390" s="145"/>
      <c r="U390" s="145"/>
      <c r="V390" s="172"/>
      <c r="AA390" s="0">
        <f>AA384</f>
        <v>1</v>
      </c>
    </row>
    <row r="391" ht="36" customHeight="1">
      <c r="A391" s="117" t="s">
        <v>21</v>
      </c>
      <c r="B391" s="136" t="str">
        <f ref="B391:B391" t="array">IF(INDIRECT(ADDRESS(11,X402,,,"Inputs"))=0,"",INDIRECT(ADDRESS(11,X402,,,"Inputs")))</f>
      </c>
      <c r="C391" s="136"/>
      <c r="D391" s="109" t="s">
        <v>22</v>
      </c>
      <c r="E391" s="142" t="str">
        <f ref="E391:E391" t="array">IF(ISBLANK(INDIRECT(ADDRESS(39,X402,,,"Inputs"))),"",INDIRECT(ADDRESS(39,X402,,,"Inputs")))</f>
      </c>
      <c r="F391" s="143"/>
      <c r="G391" s="143"/>
      <c r="H391" s="118" t="str">
        <f ref="H391:H391" t="array">IF(ISBLANK(INDIRECT(ADDRESS(39,X402,,,"Inputs"))),"",INDIRECT(ADDRESS(39,X402,,,"Inputs")))</f>
      </c>
      <c r="I391" s="120" t="str">
        <f ref="I391:I391" t="array">IFERROR(INDIRECT(ADDRESS(67,X402,,,"Inputs")), "")</f>
      </c>
      <c r="J391" s="155" t="str">
        <f ref="J391:J391" t="array">IFERROR(INDIRECT(ADDRESS(68,X402,,,"Inputs")), "")</f>
      </c>
      <c r="K391" s="146"/>
      <c r="L391" s="136"/>
      <c r="M391" s="146"/>
      <c r="N391" s="146"/>
      <c r="O391" s="138" t="str">
        <f>IFERROR(J391/I391, "")</f>
      </c>
      <c r="P391" s="147"/>
      <c r="Q391" s="136" t="s">
        <v>23</v>
      </c>
      <c r="R391" s="146"/>
      <c r="S391" s="146"/>
      <c r="T391" s="146"/>
      <c r="U391" s="146"/>
      <c r="V391" s="161"/>
      <c r="AA391" s="0">
        <f>AA384</f>
        <v>1</v>
      </c>
    </row>
    <row r="392" ht="18" customHeight="1">
      <c r="A392" s="117" t="s">
        <v>24</v>
      </c>
      <c r="B392" s="141" t="str">
        <f ref="B392:B392" t="array">IF(INDIRECT(ADDRESS(75,X402,,,"Inputs"))=0,"",INDIRECT(ADDRESS(75,X402,,,"Inputs")))</f>
      </c>
      <c r="C392" s="141"/>
      <c r="D392" s="109" t="s">
        <v>25</v>
      </c>
      <c r="E392" s="142" t="str">
        <f ref="E392:E392" t="array">IF(ISBLANK(INDIRECT(ADDRESS(41,X402,,,"Inputs"))),"",INDIRECT(ADDRESS(41,X402,,,"Inputs")))</f>
      </c>
      <c r="F392" s="143"/>
      <c r="G392" s="143"/>
      <c r="H392" s="118" t="str">
        <f ref="H392:H392" t="array">IF(ISBLANK(INDIRECT(ADDRESS(41,X402,,,"Inputs"))),"",INDIRECT(ADDRESS(41,X402,,,"Inputs")))</f>
      </c>
      <c r="I392" s="119" t="str">
        <f ref="I392:I392" t="array">IFERROR(INDIRECT(ADDRESS(71,X402,,,"Inputs")), "")</f>
      </c>
      <c r="J392" s="144" t="str">
        <f ref="J392:J392" t="array">IFERROR(INDIRECT(ADDRESS(72,X402,,,"Inputs")), "")</f>
      </c>
      <c r="K392" s="145"/>
      <c r="L392" s="136" t="s">
        <v>20</v>
      </c>
      <c r="M392" s="146"/>
      <c r="N392" s="146"/>
      <c r="O392" s="138" t="str">
        <f ref="O392:O392" t="array">IF(ISBLANK(INDIRECT(ADDRESS(42,X402,,,"Inputs"))), "-", IFERROR(I392 / J392, ""))</f>
        <v>-</v>
      </c>
      <c r="P392" s="147"/>
      <c r="Q392" s="144" t="str">
        <f ref="Q392:Q392" t="array">IF(INDIRECT(ADDRESS(24,X402,,,"Inputs"))=0,"0",INDIRECT(ADDRESS(24,X402,,,"Inputs")))</f>
        <v>0</v>
      </c>
      <c r="R392" s="145"/>
      <c r="S392" s="145"/>
      <c r="T392" s="145"/>
      <c r="U392" s="145"/>
      <c r="V392" s="172"/>
      <c r="AA392" s="0">
        <f>AA384</f>
        <v>1</v>
      </c>
    </row>
    <row r="393" ht="36" customHeight="1">
      <c r="A393" s="117" t="s">
        <v>26</v>
      </c>
      <c r="B393" s="136" t="str">
        <f ref="B393:B393" t="array">IF(INDIRECT(ADDRESS(17,X402,,,"Inputs"))=0,"",INDIRECT(ADDRESS(17,X402,,,"Inputs")))</f>
      </c>
      <c r="C393" s="136"/>
      <c r="D393" s="111" t="s">
        <v>27</v>
      </c>
      <c r="E393" s="142" t="str">
        <f ref="E393:E393" t="array">IF(ISBLANK(INDIRECT(ADDRESS(43,X402,,,"Inputs"))),"",INDIRECT(ADDRESS(43,X402,,,"Inputs")))</f>
      </c>
      <c r="F393" s="143"/>
      <c r="G393" s="143"/>
      <c r="H393" s="118" t="str">
        <f ref="H393:H393" t="array">IF(ISBLANK(INDIRECT(ADDRESS(43,X402,,,"Inputs"))),"",INDIRECT(ADDRESS(43,X402,,,"Inputs")))</f>
      </c>
      <c r="I393" s="121" t="str">
        <f ref="I393:I393" t="array">IFERROR(INDIRECT(ADDRESS(73,X402,,,"Inputs")), "")</f>
      </c>
      <c r="J393" s="144" t="str">
        <f ref="J393:J393" t="array">IFERROR(INDIRECT(ADDRESS(74,X402,,,"Inputs")), "")</f>
      </c>
      <c r="K393" s="145"/>
      <c r="L393" s="136" t="s">
        <v>20</v>
      </c>
      <c r="M393" s="146"/>
      <c r="N393" s="146"/>
      <c r="O393" s="138" t="str">
        <f ref="O393:O393" t="array">IF(ISBLANK(INDIRECT(ADDRESS(44,X402,,,"Inputs"))), "-", IFERROR(I393 / J393, ""))</f>
        <v>-</v>
      </c>
      <c r="P393" s="147"/>
      <c r="Q393" s="177" t="s">
        <v>28</v>
      </c>
      <c r="R393" s="146"/>
      <c r="S393" s="146"/>
      <c r="T393" s="146"/>
      <c r="U393" s="146"/>
      <c r="V393" s="161"/>
      <c r="AA393" s="0">
        <f>AA384</f>
        <v>1</v>
      </c>
    </row>
    <row r="394" ht="18" customHeight="1">
      <c r="A394" s="117" t="s">
        <v>29</v>
      </c>
      <c r="B394" s="141" t="str">
        <f ref="B394:B394" t="array">IF(INDIRECT(ADDRESS(31,X402,,,"Inputs"))=0,"",INDIRECT(ADDRESS(31,X402,,,"Inputs")))</f>
      </c>
      <c r="C394" s="178"/>
      <c r="D394" s="179" t="s">
        <v>30</v>
      </c>
      <c r="E394" s="180"/>
      <c r="F394" s="180"/>
      <c r="G394" s="180"/>
      <c r="H394" s="180"/>
      <c r="I394" s="180"/>
      <c r="J394" s="180"/>
      <c r="K394" s="180"/>
      <c r="L394" s="180"/>
      <c r="M394" s="180"/>
      <c r="N394" s="180"/>
      <c r="O394" s="180"/>
      <c r="P394" s="181"/>
      <c r="Q394" s="136" t="s">
        <v>31</v>
      </c>
      <c r="R394" s="146"/>
      <c r="S394" s="146"/>
      <c r="T394" s="165">
        <f ref="T394:T394" t="array">IFERROR(INDIRECT(ADDRESS(77,X402,,,"Inputs")), "")</f>
        <v>0</v>
      </c>
      <c r="U394" s="166"/>
      <c r="V394" s="167"/>
      <c r="AA394" s="0">
        <f>AA384</f>
        <v>1</v>
      </c>
    </row>
    <row r="395" ht="18" customHeight="1">
      <c r="A395" s="117" t="s">
        <v>32</v>
      </c>
      <c r="B395" s="148" t="str">
        <f ref="B395:B395" t="array">IF(INDIRECT(ADDRESS(83,X402,,,"Inputs"))=0,"",INDIRECT(ADDRESS(83,X402,,,"Inputs")))</f>
      </c>
      <c r="C395" s="149"/>
      <c r="D395" s="158">
        <f ref="D395:D395" t="array">INDIRECT(ADDRESS(26,X402,,,"Inputs"))</f>
        <v>0</v>
      </c>
      <c r="E395" s="158"/>
      <c r="F395" s="158"/>
      <c r="G395" s="158"/>
      <c r="H395" s="158"/>
      <c r="I395" s="158"/>
      <c r="J395" s="158"/>
      <c r="K395" s="158"/>
      <c r="L395" s="158"/>
      <c r="M395" s="158"/>
      <c r="N395" s="158"/>
      <c r="O395" s="158"/>
      <c r="P395" s="158"/>
      <c r="Q395" s="136" t="s">
        <v>33</v>
      </c>
      <c r="R395" s="146"/>
      <c r="S395" s="146"/>
      <c r="T395" s="165">
        <f ref="T395:T395" t="array">IFERROR(INDIRECT(ADDRESS(86,X402,,,"Inputs")), "")</f>
        <v>0</v>
      </c>
      <c r="U395" s="166"/>
      <c r="V395" s="167"/>
      <c r="AA395" s="0">
        <f>AA384</f>
        <v>1</v>
      </c>
    </row>
    <row r="396" ht="18" customHeight="1">
      <c r="A396" s="150" t="s">
        <v>34</v>
      </c>
      <c r="B396" s="146"/>
      <c r="C396" s="151"/>
      <c r="D396" s="158"/>
      <c r="E396" s="158"/>
      <c r="F396" s="158"/>
      <c r="G396" s="158"/>
      <c r="H396" s="158"/>
      <c r="I396" s="158"/>
      <c r="J396" s="158"/>
      <c r="K396" s="158"/>
      <c r="L396" s="158"/>
      <c r="M396" s="158"/>
      <c r="N396" s="158"/>
      <c r="O396" s="158"/>
      <c r="P396" s="158"/>
      <c r="Q396" s="136" t="s">
        <v>35</v>
      </c>
      <c r="R396" s="146"/>
      <c r="S396" s="146"/>
      <c r="T396" s="165">
        <f ref="T396:T396" t="array">IFERROR(INDIRECT(ADDRESS(78,X402,,,"Inputs")), "")</f>
        <v>0</v>
      </c>
      <c r="U396" s="166"/>
      <c r="V396" s="167"/>
      <c r="AA396" s="0">
        <f>AA384</f>
        <v>1</v>
      </c>
    </row>
    <row r="397" ht="18" customHeight="1">
      <c r="A397" s="117" t="s">
        <v>36</v>
      </c>
      <c r="B397" s="141" t="str">
        <f ref="B397:B397" t="array">IF(INDIRECT(ADDRESS(30,X402,,,"Inputs"))=0,"",INDIRECT(ADDRESS(30,X402,,,"Inputs")))</f>
      </c>
      <c r="C397" s="141"/>
      <c r="D397" s="158"/>
      <c r="E397" s="158"/>
      <c r="F397" s="158"/>
      <c r="G397" s="158"/>
      <c r="H397" s="158"/>
      <c r="I397" s="158"/>
      <c r="J397" s="158"/>
      <c r="K397" s="158"/>
      <c r="L397" s="158"/>
      <c r="M397" s="158"/>
      <c r="N397" s="158"/>
      <c r="O397" s="158"/>
      <c r="P397" s="158"/>
      <c r="Q397" s="136" t="s">
        <v>37</v>
      </c>
      <c r="R397" s="146"/>
      <c r="S397" s="146"/>
      <c r="T397" s="165">
        <f ref="T397:T397" t="array">IFERROR(INDIRECT(ADDRESS(45,X402,,,"Inputs")), "")</f>
        <v>0</v>
      </c>
      <c r="U397" s="166"/>
      <c r="V397" s="167"/>
      <c r="AA397" s="0">
        <f>AA384</f>
        <v>1</v>
      </c>
    </row>
    <row r="398" ht="18" customHeight="1">
      <c r="A398" s="117" t="s">
        <v>38</v>
      </c>
      <c r="B398" s="136" t="str">
        <f ref="B398:B398" t="array">IF(INDIRECT(ADDRESS(32,X402,,,"Inputs"))=0,"",INDIRECT(ADDRESS(32,X402,,,"Inputs")))</f>
      </c>
      <c r="C398" s="136"/>
      <c r="D398" s="158"/>
      <c r="E398" s="158"/>
      <c r="F398" s="158"/>
      <c r="G398" s="158"/>
      <c r="H398" s="158"/>
      <c r="I398" s="158"/>
      <c r="J398" s="158"/>
      <c r="K398" s="158"/>
      <c r="L398" s="158"/>
      <c r="M398" s="158"/>
      <c r="N398" s="158"/>
      <c r="O398" s="158"/>
      <c r="P398" s="158"/>
      <c r="Q398" s="136" t="s">
        <v>39</v>
      </c>
      <c r="R398" s="146"/>
      <c r="S398" s="146"/>
      <c r="T398" s="165">
        <f ref="T398:T398" t="array">IFERROR(INDIRECT(ADDRESS(79,X402,,,"Inputs")), "")</f>
        <v>0</v>
      </c>
      <c r="U398" s="166"/>
      <c r="V398" s="167"/>
      <c r="AA398" s="0">
        <f>AA384</f>
        <v>1</v>
      </c>
    </row>
    <row r="399" ht="18" customHeight="1">
      <c r="A399" s="152" t="s">
        <v>40</v>
      </c>
      <c r="B399" s="153"/>
      <c r="C399" s="154"/>
      <c r="D399" s="158"/>
      <c r="E399" s="158"/>
      <c r="F399" s="158"/>
      <c r="G399" s="158"/>
      <c r="H399" s="158"/>
      <c r="I399" s="158"/>
      <c r="J399" s="158"/>
      <c r="K399" s="158"/>
      <c r="L399" s="158"/>
      <c r="M399" s="158"/>
      <c r="N399" s="158"/>
      <c r="O399" s="158"/>
      <c r="P399" s="158"/>
      <c r="Q399" s="136" t="s">
        <v>41</v>
      </c>
      <c r="R399" s="146"/>
      <c r="S399" s="146"/>
      <c r="T399" s="165">
        <f ref="T399:T399" t="array">IFERROR(INDIRECT(ADDRESS(80,X402,,,"Inputs")), "")</f>
        <v>0</v>
      </c>
      <c r="U399" s="166"/>
      <c r="V399" s="167"/>
      <c r="W399" s="0">
        <f ref="W399:W399" t="array">INDIRECT(ADDRESS(34,X402,,,"Inputs"))</f>
        <v>0</v>
      </c>
      <c r="X399" s="3"/>
      <c r="AA399" s="0">
        <f>AA384</f>
        <v>1</v>
      </c>
    </row>
    <row r="400" ht="18" customHeight="1">
      <c r="A400" s="117" t="s">
        <v>42</v>
      </c>
      <c r="B400" s="141" t="str">
        <f ref="B400:B400" t="array">IF(INDIRECT(ADDRESS(33,X402,,,"Inputs"))=0,"",INDIRECT(ADDRESS(33,X402,,,"Inputs")))</f>
      </c>
      <c r="C400" s="141"/>
      <c r="D400" s="158"/>
      <c r="E400" s="158"/>
      <c r="F400" s="158"/>
      <c r="G400" s="158"/>
      <c r="H400" s="158"/>
      <c r="I400" s="158"/>
      <c r="J400" s="158"/>
      <c r="K400" s="158"/>
      <c r="L400" s="158"/>
      <c r="M400" s="158"/>
      <c r="N400" s="158"/>
      <c r="O400" s="158"/>
      <c r="P400" s="158"/>
      <c r="Q400" s="136" t="s">
        <v>43</v>
      </c>
      <c r="R400" s="146"/>
      <c r="S400" s="146"/>
      <c r="T400" s="165">
        <f ref="T400:T400" t="array">IFERROR(INDIRECT(ADDRESS(81,X402,,,"Inputs")), "")</f>
        <v>0</v>
      </c>
      <c r="U400" s="166"/>
      <c r="V400" s="167"/>
      <c r="X400" s="3"/>
      <c r="AA400" s="0">
        <f>AA384</f>
        <v>1</v>
      </c>
    </row>
    <row r="401" ht="36" customHeight="1">
      <c r="A401" s="117" t="s">
        <v>44</v>
      </c>
      <c r="B401" s="156" t="str">
        <f ref="B401:B401" t="array">IF(INDIRECT(ADDRESS(47,X402,,,"Inputs"))=0,"",INDIRECT(ADDRESS(47,X402,,,"Inputs")))</f>
      </c>
      <c r="C401" s="156"/>
      <c r="D401" s="158"/>
      <c r="E401" s="158"/>
      <c r="F401" s="158"/>
      <c r="G401" s="158"/>
      <c r="H401" s="158"/>
      <c r="I401" s="158"/>
      <c r="J401" s="158"/>
      <c r="K401" s="158"/>
      <c r="L401" s="158"/>
      <c r="M401" s="158"/>
      <c r="N401" s="158"/>
      <c r="O401" s="158"/>
      <c r="P401" s="158"/>
      <c r="Q401" s="136" t="s">
        <v>45</v>
      </c>
      <c r="R401" s="146"/>
      <c r="S401" s="146"/>
      <c r="T401" s="136" t="str">
        <f ref="T401:T401" t="array">_xlfn.CONCAT(IFERROR(INDIRECT(ADDRESS(49,X402,,,"Inputs")), ""), " / ", IFERROR(INDIRECT(ADDRESS(48,X402,,,"Inputs")), ""))</f>
        <v> / </v>
      </c>
      <c r="U401" s="146"/>
      <c r="V401" s="161"/>
      <c r="X401" s="3"/>
      <c r="AA401" s="0">
        <f>AA384</f>
        <v>1</v>
      </c>
    </row>
    <row r="402" ht="102" customHeight="1">
      <c r="A402" s="122"/>
      <c r="B402" s="157"/>
      <c r="C402" s="157"/>
      <c r="D402" s="159"/>
      <c r="E402" s="159"/>
      <c r="F402" s="159"/>
      <c r="G402" s="159"/>
      <c r="H402" s="159"/>
      <c r="I402" s="159"/>
      <c r="J402" s="159"/>
      <c r="K402" s="159"/>
      <c r="L402" s="159"/>
      <c r="M402" s="159"/>
      <c r="N402" s="159"/>
      <c r="O402" s="159"/>
      <c r="P402" s="159"/>
      <c r="Q402" s="159"/>
      <c r="R402" s="173"/>
      <c r="S402" s="173"/>
      <c r="T402" s="174"/>
      <c r="U402" s="175"/>
      <c r="V402" s="176"/>
      <c r="W402" s="78" t="s">
        <v>46</v>
      </c>
      <c r="X402" s="78">
        <f>COLUMN(Inputs!HC5)</f>
        <v>211</v>
      </c>
      <c r="AA402" s="0">
        <f>AA384</f>
        <v>1</v>
      </c>
    </row>
    <row r="403" ht="16.5">
      <c r="A403" s="130"/>
      <c r="B403" s="129"/>
      <c r="C403" s="129"/>
      <c r="D403" s="130"/>
      <c r="E403" s="130"/>
      <c r="F403" s="130"/>
      <c r="G403" s="130"/>
      <c r="H403" s="130"/>
      <c r="I403" s="130"/>
      <c r="J403" s="130"/>
      <c r="K403" s="130"/>
      <c r="L403" s="130"/>
      <c r="M403" s="130"/>
      <c r="N403" s="130"/>
      <c r="O403" s="130"/>
      <c r="P403" s="130"/>
      <c r="Q403" s="130"/>
      <c r="R403" s="131"/>
      <c r="S403" s="131"/>
      <c r="T403" s="132"/>
      <c r="U403" s="133"/>
      <c r="V403" s="133"/>
      <c r="W403" s="78"/>
      <c r="X403" s="78"/>
      <c r="AA403" s="0">
        <f ref="AA403:AA404" t="shared" si="1">AA385</f>
        <v>1</v>
      </c>
    </row>
    <row r="404" ht="18" customHeight="1">
      <c r="A404" s="139" t="s">
        <v>4</v>
      </c>
      <c r="B404" s="140"/>
      <c r="C404" s="140"/>
      <c r="D404" s="140" t="str">
        <f ref="D404:D404" t="array">CONCATENATE(INDIRECT(ADDRESS(6,X422,,,"Inputs"))," ",INDIRECT(ADDRESS(8,X422,,,"Inputs"))," ",INDIRECT(ADDRESS(9,X422,,,"Inputs")))</f>
      </c>
      <c r="E404" s="140"/>
      <c r="F404" s="140"/>
      <c r="G404" s="140"/>
      <c r="H404" s="140"/>
      <c r="I404" s="140"/>
      <c r="J404" s="140"/>
      <c r="K404" s="140"/>
      <c r="L404" s="140"/>
      <c r="M404" s="140"/>
      <c r="N404" s="140"/>
      <c r="O404" s="140"/>
      <c r="P404" s="140"/>
      <c r="Q404" s="113"/>
      <c r="R404" s="113"/>
      <c r="S404" s="113"/>
      <c r="T404" s="113"/>
      <c r="U404" s="113"/>
      <c r="V404" s="114"/>
      <c r="AA404" s="0">
        <f t="shared" si="1"/>
        <v>1</v>
      </c>
    </row>
    <row r="405" ht="18" customHeight="1">
      <c r="A405" s="134" t="str">
        <f ref="A405:A405" t="array">IF(INDIRECT(ADDRESS(50,X422,,,"Inputs"))=0,"",INDIRECT(ADDRESS(50,X422,,,"Inputs")))</f>
      </c>
      <c r="B405" s="135"/>
      <c r="C405" s="135"/>
      <c r="D405" s="136" t="str">
        <f ref="D405:D405" t="array">IF(INDIRECT(ADDRESS(10,X422,,,"Inputs"))=0,"",INDIRECT(ADDRESS(10,X422,,,"Inputs")))</f>
      </c>
      <c r="E405" s="136"/>
      <c r="F405" s="136"/>
      <c r="G405" s="136"/>
      <c r="H405" s="136"/>
      <c r="I405" s="136"/>
      <c r="J405" s="136"/>
      <c r="K405" s="136"/>
      <c r="L405" s="136"/>
      <c r="M405" s="136"/>
      <c r="N405" s="136"/>
      <c r="O405" s="136"/>
      <c r="P405" s="136"/>
      <c r="Q405" s="110"/>
      <c r="R405" s="110"/>
      <c r="S405" s="110"/>
      <c r="T405" s="110"/>
      <c r="U405" s="110"/>
      <c r="V405" s="115"/>
      <c r="AA405" s="0">
        <f>AA404</f>
        <v>1</v>
      </c>
    </row>
    <row r="406" ht="18" customHeight="1">
      <c r="A406" s="137" t="s">
        <v>5</v>
      </c>
      <c r="B406" s="136"/>
      <c r="C406" s="136"/>
      <c r="D406" s="136" t="str">
        <f ref="D406:D406" t="array">IF(INDIRECT(ADDRESS(14,X422,,,"Inputs"))=0,"",INDIRECT(ADDRESS(14,X422,,,"Inputs")))</f>
      </c>
      <c r="E406" s="136"/>
      <c r="F406" s="136"/>
      <c r="G406" s="136"/>
      <c r="H406" s="136"/>
      <c r="I406" s="136"/>
      <c r="J406" s="136"/>
      <c r="K406" s="136"/>
      <c r="L406" s="136"/>
      <c r="M406" s="136"/>
      <c r="N406" s="136"/>
      <c r="O406" s="136"/>
      <c r="P406" s="136"/>
      <c r="Q406" s="110"/>
      <c r="R406" s="110"/>
      <c r="S406" s="110"/>
      <c r="T406" s="110"/>
      <c r="U406" s="110"/>
      <c r="V406" s="115"/>
      <c r="AA406" s="0">
        <f>AA404</f>
        <v>1</v>
      </c>
    </row>
    <row r="407" ht="18" customHeight="1">
      <c r="A407" s="134" t="str">
        <f ref="A407:A407" t="array">IF(INDIRECT(ADDRESS(51,X422,,,"Inputs"))=0,"",INDIRECT(ADDRESS(51,X422,,,"Inputs")))</f>
      </c>
      <c r="B407" s="135"/>
      <c r="C407" s="135"/>
      <c r="D407" s="138" t="str">
        <f ref="D407:D407" t="array">INDIRECT(ADDRESS(82,X422,,,"Inputs"))</f>
      </c>
      <c r="E407" s="138"/>
      <c r="F407" s="138"/>
      <c r="G407" s="138"/>
      <c r="H407" s="138"/>
      <c r="I407" s="138"/>
      <c r="J407" s="138"/>
      <c r="K407" s="138"/>
      <c r="L407" s="138"/>
      <c r="M407" s="138"/>
      <c r="N407" s="138"/>
      <c r="O407" s="138"/>
      <c r="P407" s="138"/>
      <c r="Q407" s="112"/>
      <c r="R407" s="112"/>
      <c r="S407" s="112"/>
      <c r="T407" s="112"/>
      <c r="U407" s="112"/>
      <c r="V407" s="116"/>
      <c r="AA407" s="0">
        <f>AA404</f>
        <v>1</v>
      </c>
    </row>
    <row r="408" ht="18" customHeight="1">
      <c r="A408" s="168" t="s">
        <v>6</v>
      </c>
      <c r="B408" s="146"/>
      <c r="C408" s="151"/>
      <c r="D408" s="169" t="s">
        <v>7</v>
      </c>
      <c r="E408" s="146"/>
      <c r="F408" s="146"/>
      <c r="G408" s="146"/>
      <c r="H408" s="146"/>
      <c r="I408" s="146"/>
      <c r="J408" s="146"/>
      <c r="K408" s="146"/>
      <c r="L408" s="146"/>
      <c r="M408" s="146"/>
      <c r="N408" s="146"/>
      <c r="O408" s="146"/>
      <c r="P408" s="151"/>
      <c r="Q408" s="170" t="s">
        <v>8</v>
      </c>
      <c r="R408" s="146"/>
      <c r="S408" s="146"/>
      <c r="T408" s="146"/>
      <c r="U408" s="146"/>
      <c r="V408" s="161"/>
      <c r="AA408" s="0">
        <f>AA404</f>
        <v>1</v>
      </c>
    </row>
    <row r="409" ht="18" customHeight="1">
      <c r="A409" s="117" t="s">
        <v>9</v>
      </c>
      <c r="B409" s="162" t="str">
        <f ref="B409:B409" t="array">IF(INDIRECT(ADDRESS(15,X422,,,"Inputs"))=0,"",INDIRECT(ADDRESS(15,X422,,,"Inputs")))</f>
      </c>
      <c r="C409" s="162"/>
      <c r="D409" s="109" t="s">
        <v>10</v>
      </c>
      <c r="E409" s="136" t="s">
        <v>11</v>
      </c>
      <c r="F409" s="146"/>
      <c r="G409" s="146"/>
      <c r="H409" s="109" t="s">
        <v>12</v>
      </c>
      <c r="I409" s="109" t="s">
        <v>13</v>
      </c>
      <c r="J409" s="136" t="s">
        <v>14</v>
      </c>
      <c r="K409" s="146"/>
      <c r="L409" s="136" t="s">
        <v>15</v>
      </c>
      <c r="M409" s="146"/>
      <c r="N409" s="146"/>
      <c r="O409" s="136" t="s">
        <v>16</v>
      </c>
      <c r="P409" s="146"/>
      <c r="Q409" s="136" t="s">
        <v>17</v>
      </c>
      <c r="R409" s="146"/>
      <c r="S409" s="146"/>
      <c r="T409" s="146"/>
      <c r="U409" s="146"/>
      <c r="V409" s="161"/>
      <c r="AA409" s="0">
        <f>AA404</f>
        <v>1</v>
      </c>
    </row>
    <row r="410" ht="18" customHeight="1">
      <c r="A410" s="117" t="s">
        <v>18</v>
      </c>
      <c r="B410" s="162" t="str">
        <f ref="B410:B410" t="array">IF(INDIRECT(ADDRESS(16,X422,,,"Inputs"))=0,"",INDIRECT(ADDRESS(16,X422,,,"Inputs")))</f>
      </c>
      <c r="C410" s="162"/>
      <c r="D410" s="109" t="s">
        <v>19</v>
      </c>
      <c r="E410" s="142" t="str">
        <f ref="E410:E410" t="array">IF(ISBLANK(INDIRECT(ADDRESS(35,X422,,,"Inputs"))),"",INDIRECT(ADDRESS(35,X422,,,"Inputs")))</f>
      </c>
      <c r="F410" s="143"/>
      <c r="G410" s="143"/>
      <c r="H410" s="118" t="str">
        <f ref="H410:H410" t="array">IF(ISBLANK(INDIRECT(ADDRESS(35,X422,,,"Inputs"))),"",INDIRECT(ADDRESS(35,X422,,,"Inputs")))</f>
      </c>
      <c r="I410" s="119">
        <f ref="I410:I410" t="array">IFERROR(INDIRECT(ADDRESS(65,X422,,,"Inputs")), "")</f>
        <v>0</v>
      </c>
      <c r="J410" s="144" t="str">
        <f ref="J410:J410" t="array">IFERROR(INDIRECT(ADDRESS(66,X422,,,"Inputs")), "")</f>
      </c>
      <c r="K410" s="145"/>
      <c r="L410" s="136" t="s">
        <v>20</v>
      </c>
      <c r="M410" s="146"/>
      <c r="N410" s="146"/>
      <c r="O410" s="138" t="str">
        <f ref="O410:O410" t="array">IF(ISBLANK(INDIRECT(ADDRESS(36,X422,,,"Inputs"))), "-", IFERROR(I410/J410, ""))</f>
        <v>-</v>
      </c>
      <c r="P410" s="147"/>
      <c r="Q410" s="144" t="str">
        <f ref="Q410:Q410" t="array">IF(INDIRECT(ADDRESS(25,X422,,,"Inputs"))=0,"0",INDIRECT(ADDRESS(25,X422,,,"Inputs")))</f>
        <v>0</v>
      </c>
      <c r="R410" s="145"/>
      <c r="S410" s="145"/>
      <c r="T410" s="145"/>
      <c r="U410" s="145"/>
      <c r="V410" s="172"/>
      <c r="AA410" s="0">
        <f>AA404</f>
        <v>1</v>
      </c>
    </row>
    <row r="411" ht="36" customHeight="1">
      <c r="A411" s="117" t="s">
        <v>21</v>
      </c>
      <c r="B411" s="136" t="str">
        <f ref="B411:B411" t="array">IF(INDIRECT(ADDRESS(11,X422,,,"Inputs"))=0,"",INDIRECT(ADDRESS(11,X422,,,"Inputs")))</f>
      </c>
      <c r="C411" s="136"/>
      <c r="D411" s="109" t="s">
        <v>22</v>
      </c>
      <c r="E411" s="142" t="str">
        <f ref="E411:E411" t="array">IF(ISBLANK(INDIRECT(ADDRESS(39,X422,,,"Inputs"))),"",INDIRECT(ADDRESS(39,X422,,,"Inputs")))</f>
      </c>
      <c r="F411" s="143"/>
      <c r="G411" s="143"/>
      <c r="H411" s="118" t="str">
        <f ref="H411:H411" t="array">IF(ISBLANK(INDIRECT(ADDRESS(39,X422,,,"Inputs"))),"",INDIRECT(ADDRESS(39,X422,,,"Inputs")))</f>
      </c>
      <c r="I411" s="120" t="str">
        <f ref="I411:I411" t="array">IFERROR(INDIRECT(ADDRESS(67,X422,,,"Inputs")), "")</f>
      </c>
      <c r="J411" s="155" t="str">
        <f ref="J411:J411" t="array">IFERROR(INDIRECT(ADDRESS(68,X422,,,"Inputs")), "")</f>
      </c>
      <c r="K411" s="146"/>
      <c r="L411" s="136"/>
      <c r="M411" s="146"/>
      <c r="N411" s="146"/>
      <c r="O411" s="138" t="str">
        <f>IFERROR(J411/I411, "")</f>
      </c>
      <c r="P411" s="147"/>
      <c r="Q411" s="136" t="s">
        <v>23</v>
      </c>
      <c r="R411" s="146"/>
      <c r="S411" s="146"/>
      <c r="T411" s="146"/>
      <c r="U411" s="146"/>
      <c r="V411" s="161"/>
      <c r="AA411" s="0">
        <f>AA404</f>
        <v>1</v>
      </c>
    </row>
    <row r="412" ht="18" customHeight="1">
      <c r="A412" s="117" t="s">
        <v>24</v>
      </c>
      <c r="B412" s="141" t="str">
        <f ref="B412:B412" t="array">IF(INDIRECT(ADDRESS(75,X422,,,"Inputs"))=0,"",INDIRECT(ADDRESS(75,X422,,,"Inputs")))</f>
      </c>
      <c r="C412" s="141"/>
      <c r="D412" s="109" t="s">
        <v>25</v>
      </c>
      <c r="E412" s="142" t="str">
        <f ref="E412:E412" t="array">IF(ISBLANK(INDIRECT(ADDRESS(41,X422,,,"Inputs"))),"",INDIRECT(ADDRESS(41,X422,,,"Inputs")))</f>
      </c>
      <c r="F412" s="143"/>
      <c r="G412" s="143"/>
      <c r="H412" s="118" t="str">
        <f ref="H412:H412" t="array">IF(ISBLANK(INDIRECT(ADDRESS(41,X422,,,"Inputs"))),"",INDIRECT(ADDRESS(41,X422,,,"Inputs")))</f>
      </c>
      <c r="I412" s="119" t="str">
        <f ref="I412:I412" t="array">IFERROR(INDIRECT(ADDRESS(71,X422,,,"Inputs")), "")</f>
      </c>
      <c r="J412" s="144" t="str">
        <f ref="J412:J412" t="array">IFERROR(INDIRECT(ADDRESS(72,X422,,,"Inputs")), "")</f>
      </c>
      <c r="K412" s="145"/>
      <c r="L412" s="136" t="s">
        <v>20</v>
      </c>
      <c r="M412" s="146"/>
      <c r="N412" s="146"/>
      <c r="O412" s="138" t="str">
        <f ref="O412:O412" t="array">IF(ISBLANK(INDIRECT(ADDRESS(42,X422,,,"Inputs"))), "-", IFERROR(I412 / J412, ""))</f>
        <v>-</v>
      </c>
      <c r="P412" s="147"/>
      <c r="Q412" s="144" t="str">
        <f ref="Q412:Q412" t="array">IF(INDIRECT(ADDRESS(24,X422,,,"Inputs"))=0,"0",INDIRECT(ADDRESS(24,X422,,,"Inputs")))</f>
        <v>0</v>
      </c>
      <c r="R412" s="145"/>
      <c r="S412" s="145"/>
      <c r="T412" s="145"/>
      <c r="U412" s="145"/>
      <c r="V412" s="172"/>
      <c r="AA412" s="0">
        <f>AA404</f>
        <v>1</v>
      </c>
    </row>
    <row r="413" ht="36" customHeight="1">
      <c r="A413" s="117" t="s">
        <v>26</v>
      </c>
      <c r="B413" s="136" t="str">
        <f ref="B413:B413" t="array">IF(INDIRECT(ADDRESS(17,X422,,,"Inputs"))=0,"",INDIRECT(ADDRESS(17,X422,,,"Inputs")))</f>
      </c>
      <c r="C413" s="136"/>
      <c r="D413" s="111" t="s">
        <v>27</v>
      </c>
      <c r="E413" s="142" t="str">
        <f ref="E413:E413" t="array">IF(ISBLANK(INDIRECT(ADDRESS(43,X422,,,"Inputs"))),"",INDIRECT(ADDRESS(43,X422,,,"Inputs")))</f>
      </c>
      <c r="F413" s="143"/>
      <c r="G413" s="143"/>
      <c r="H413" s="118" t="str">
        <f ref="H413:H413" t="array">IF(ISBLANK(INDIRECT(ADDRESS(43,X422,,,"Inputs"))),"",INDIRECT(ADDRESS(43,X422,,,"Inputs")))</f>
      </c>
      <c r="I413" s="121" t="str">
        <f ref="I413:I413" t="array">IFERROR(INDIRECT(ADDRESS(73,X422,,,"Inputs")), "")</f>
      </c>
      <c r="J413" s="144" t="str">
        <f ref="J413:J413" t="array">IFERROR(INDIRECT(ADDRESS(74,X422,,,"Inputs")), "")</f>
      </c>
      <c r="K413" s="145"/>
      <c r="L413" s="136" t="s">
        <v>20</v>
      </c>
      <c r="M413" s="146"/>
      <c r="N413" s="146"/>
      <c r="O413" s="138" t="str">
        <f ref="O413:O413" t="array">IF(ISBLANK(INDIRECT(ADDRESS(44,X422,,,"Inputs"))), "-", IFERROR(I413 / J413, ""))</f>
        <v>-</v>
      </c>
      <c r="P413" s="147"/>
      <c r="Q413" s="177" t="s">
        <v>28</v>
      </c>
      <c r="R413" s="146"/>
      <c r="S413" s="146"/>
      <c r="T413" s="146"/>
      <c r="U413" s="146"/>
      <c r="V413" s="161"/>
      <c r="AA413" s="0">
        <f>AA404</f>
        <v>1</v>
      </c>
    </row>
    <row r="414" ht="18" customHeight="1">
      <c r="A414" s="117" t="s">
        <v>29</v>
      </c>
      <c r="B414" s="141" t="str">
        <f ref="B414:B414" t="array">IF(INDIRECT(ADDRESS(31,X422,,,"Inputs"))=0,"",INDIRECT(ADDRESS(31,X422,,,"Inputs")))</f>
      </c>
      <c r="C414" s="178"/>
      <c r="D414" s="179" t="s">
        <v>30</v>
      </c>
      <c r="E414" s="180"/>
      <c r="F414" s="180"/>
      <c r="G414" s="180"/>
      <c r="H414" s="180"/>
      <c r="I414" s="180"/>
      <c r="J414" s="180"/>
      <c r="K414" s="180"/>
      <c r="L414" s="180"/>
      <c r="M414" s="180"/>
      <c r="N414" s="180"/>
      <c r="O414" s="180"/>
      <c r="P414" s="181"/>
      <c r="Q414" s="136" t="s">
        <v>31</v>
      </c>
      <c r="R414" s="146"/>
      <c r="S414" s="146"/>
      <c r="T414" s="165">
        <f ref="T414:T414" t="array">IFERROR(INDIRECT(ADDRESS(77,X422,,,"Inputs")), "")</f>
        <v>0</v>
      </c>
      <c r="U414" s="166"/>
      <c r="V414" s="167"/>
      <c r="AA414" s="0">
        <f>AA404</f>
        <v>1</v>
      </c>
    </row>
    <row r="415" ht="18" customHeight="1">
      <c r="A415" s="117" t="s">
        <v>32</v>
      </c>
      <c r="B415" s="148" t="str">
        <f ref="B415:B415" t="array">IF(INDIRECT(ADDRESS(83,X422,,,"Inputs"))=0,"",INDIRECT(ADDRESS(83,X422,,,"Inputs")))</f>
      </c>
      <c r="C415" s="149"/>
      <c r="D415" s="158">
        <f ref="D415:D415" t="array">INDIRECT(ADDRESS(26,X422,,,"Inputs"))</f>
        <v>0</v>
      </c>
      <c r="E415" s="158"/>
      <c r="F415" s="158"/>
      <c r="G415" s="158"/>
      <c r="H415" s="158"/>
      <c r="I415" s="158"/>
      <c r="J415" s="158"/>
      <c r="K415" s="158"/>
      <c r="L415" s="158"/>
      <c r="M415" s="158"/>
      <c r="N415" s="158"/>
      <c r="O415" s="158"/>
      <c r="P415" s="158"/>
      <c r="Q415" s="136" t="s">
        <v>33</v>
      </c>
      <c r="R415" s="146"/>
      <c r="S415" s="146"/>
      <c r="T415" s="165">
        <f ref="T415:T415" t="array">IFERROR(INDIRECT(ADDRESS(86,X422,,,"Inputs")), "")</f>
        <v>0</v>
      </c>
      <c r="U415" s="166"/>
      <c r="V415" s="167"/>
      <c r="AA415" s="0">
        <f>AA404</f>
        <v>1</v>
      </c>
    </row>
    <row r="416" ht="18" customHeight="1">
      <c r="A416" s="150" t="s">
        <v>34</v>
      </c>
      <c r="B416" s="146"/>
      <c r="C416" s="151"/>
      <c r="D416" s="158"/>
      <c r="E416" s="158"/>
      <c r="F416" s="158"/>
      <c r="G416" s="158"/>
      <c r="H416" s="158"/>
      <c r="I416" s="158"/>
      <c r="J416" s="158"/>
      <c r="K416" s="158"/>
      <c r="L416" s="158"/>
      <c r="M416" s="158"/>
      <c r="N416" s="158"/>
      <c r="O416" s="158"/>
      <c r="P416" s="158"/>
      <c r="Q416" s="136" t="s">
        <v>35</v>
      </c>
      <c r="R416" s="146"/>
      <c r="S416" s="146"/>
      <c r="T416" s="165">
        <f ref="T416:T416" t="array">IFERROR(INDIRECT(ADDRESS(78,X422,,,"Inputs")), "")</f>
        <v>0</v>
      </c>
      <c r="U416" s="166"/>
      <c r="V416" s="167"/>
      <c r="AA416" s="0">
        <f>AA404</f>
        <v>1</v>
      </c>
    </row>
    <row r="417" ht="18" customHeight="1">
      <c r="A417" s="117" t="s">
        <v>36</v>
      </c>
      <c r="B417" s="141" t="str">
        <f ref="B417:B417" t="array">IF(INDIRECT(ADDRESS(30,X422,,,"Inputs"))=0,"",INDIRECT(ADDRESS(30,X422,,,"Inputs")))</f>
      </c>
      <c r="C417" s="141"/>
      <c r="D417" s="158"/>
      <c r="E417" s="158"/>
      <c r="F417" s="158"/>
      <c r="G417" s="158"/>
      <c r="H417" s="158"/>
      <c r="I417" s="158"/>
      <c r="J417" s="158"/>
      <c r="K417" s="158"/>
      <c r="L417" s="158"/>
      <c r="M417" s="158"/>
      <c r="N417" s="158"/>
      <c r="O417" s="158"/>
      <c r="P417" s="158"/>
      <c r="Q417" s="136" t="s">
        <v>37</v>
      </c>
      <c r="R417" s="146"/>
      <c r="S417" s="146"/>
      <c r="T417" s="165">
        <f ref="T417:T417" t="array">IFERROR(INDIRECT(ADDRESS(45,X422,,,"Inputs")), "")</f>
        <v>0</v>
      </c>
      <c r="U417" s="166"/>
      <c r="V417" s="167"/>
      <c r="AA417" s="0">
        <f>AA404</f>
        <v>1</v>
      </c>
    </row>
    <row r="418" ht="18" customHeight="1">
      <c r="A418" s="117" t="s">
        <v>38</v>
      </c>
      <c r="B418" s="136" t="str">
        <f ref="B418:B418" t="array">IF(INDIRECT(ADDRESS(32,X422,,,"Inputs"))=0,"",INDIRECT(ADDRESS(32,X422,,,"Inputs")))</f>
      </c>
      <c r="C418" s="136"/>
      <c r="D418" s="158"/>
      <c r="E418" s="158"/>
      <c r="F418" s="158"/>
      <c r="G418" s="158"/>
      <c r="H418" s="158"/>
      <c r="I418" s="158"/>
      <c r="J418" s="158"/>
      <c r="K418" s="158"/>
      <c r="L418" s="158"/>
      <c r="M418" s="158"/>
      <c r="N418" s="158"/>
      <c r="O418" s="158"/>
      <c r="P418" s="158"/>
      <c r="Q418" s="136" t="s">
        <v>39</v>
      </c>
      <c r="R418" s="146"/>
      <c r="S418" s="146"/>
      <c r="T418" s="165">
        <f ref="T418:T418" t="array">IFERROR(INDIRECT(ADDRESS(79,X422,,,"Inputs")), "")</f>
        <v>0</v>
      </c>
      <c r="U418" s="166"/>
      <c r="V418" s="167"/>
      <c r="AA418" s="0">
        <f>AA404</f>
        <v>1</v>
      </c>
    </row>
    <row r="419" ht="18" customHeight="1">
      <c r="A419" s="152" t="s">
        <v>40</v>
      </c>
      <c r="B419" s="153"/>
      <c r="C419" s="154"/>
      <c r="D419" s="158"/>
      <c r="E419" s="158"/>
      <c r="F419" s="158"/>
      <c r="G419" s="158"/>
      <c r="H419" s="158"/>
      <c r="I419" s="158"/>
      <c r="J419" s="158"/>
      <c r="K419" s="158"/>
      <c r="L419" s="158"/>
      <c r="M419" s="158"/>
      <c r="N419" s="158"/>
      <c r="O419" s="158"/>
      <c r="P419" s="158"/>
      <c r="Q419" s="136" t="s">
        <v>41</v>
      </c>
      <c r="R419" s="146"/>
      <c r="S419" s="146"/>
      <c r="T419" s="165">
        <f ref="T419:T419" t="array">IFERROR(INDIRECT(ADDRESS(80,X422,,,"Inputs")), "")</f>
        <v>0</v>
      </c>
      <c r="U419" s="166"/>
      <c r="V419" s="167"/>
      <c r="W419" s="0">
        <f ref="W419:W419" t="array">INDIRECT(ADDRESS(34,X422,,,"Inputs"))</f>
        <v>0</v>
      </c>
      <c r="X419" s="3"/>
      <c r="AA419" s="0">
        <f>AA404</f>
        <v>1</v>
      </c>
    </row>
    <row r="420" ht="18" customHeight="1">
      <c r="A420" s="117" t="s">
        <v>42</v>
      </c>
      <c r="B420" s="141" t="str">
        <f ref="B420:B420" t="array">IF(INDIRECT(ADDRESS(33,X422,,,"Inputs"))=0,"",INDIRECT(ADDRESS(33,X422,,,"Inputs")))</f>
      </c>
      <c r="C420" s="141"/>
      <c r="D420" s="158"/>
      <c r="E420" s="158"/>
      <c r="F420" s="158"/>
      <c r="G420" s="158"/>
      <c r="H420" s="158"/>
      <c r="I420" s="158"/>
      <c r="J420" s="158"/>
      <c r="K420" s="158"/>
      <c r="L420" s="158"/>
      <c r="M420" s="158"/>
      <c r="N420" s="158"/>
      <c r="O420" s="158"/>
      <c r="P420" s="158"/>
      <c r="Q420" s="136" t="s">
        <v>43</v>
      </c>
      <c r="R420" s="146"/>
      <c r="S420" s="146"/>
      <c r="T420" s="165">
        <f ref="T420:T420" t="array">IFERROR(INDIRECT(ADDRESS(81,X422,,,"Inputs")), "")</f>
        <v>0</v>
      </c>
      <c r="U420" s="166"/>
      <c r="V420" s="167"/>
      <c r="X420" s="3"/>
      <c r="AA420" s="0">
        <f>AA404</f>
        <v>1</v>
      </c>
    </row>
    <row r="421" ht="36" customHeight="1">
      <c r="A421" s="117" t="s">
        <v>44</v>
      </c>
      <c r="B421" s="156" t="str">
        <f ref="B421:B421" t="array">IF(INDIRECT(ADDRESS(47,X422,,,"Inputs"))=0,"",INDIRECT(ADDRESS(47,X422,,,"Inputs")))</f>
      </c>
      <c r="C421" s="156"/>
      <c r="D421" s="158"/>
      <c r="E421" s="158"/>
      <c r="F421" s="158"/>
      <c r="G421" s="158"/>
      <c r="H421" s="158"/>
      <c r="I421" s="158"/>
      <c r="J421" s="158"/>
      <c r="K421" s="158"/>
      <c r="L421" s="158"/>
      <c r="M421" s="158"/>
      <c r="N421" s="158"/>
      <c r="O421" s="158"/>
      <c r="P421" s="158"/>
      <c r="Q421" s="136" t="s">
        <v>45</v>
      </c>
      <c r="R421" s="146"/>
      <c r="S421" s="146"/>
      <c r="T421" s="136" t="str">
        <f ref="T421:T421" t="array">_xlfn.CONCAT(IFERROR(INDIRECT(ADDRESS(49,X422,,,"Inputs")), ""), " / ", IFERROR(INDIRECT(ADDRESS(48,X422,,,"Inputs")), ""))</f>
        <v> / </v>
      </c>
      <c r="U421" s="146"/>
      <c r="V421" s="161"/>
      <c r="X421" s="3"/>
      <c r="AA421" s="0">
        <f>AA404</f>
        <v>1</v>
      </c>
    </row>
    <row r="422" ht="102" customHeight="1">
      <c r="A422" s="122"/>
      <c r="B422" s="157"/>
      <c r="C422" s="157"/>
      <c r="D422" s="159"/>
      <c r="E422" s="159"/>
      <c r="F422" s="159"/>
      <c r="G422" s="159"/>
      <c r="H422" s="159"/>
      <c r="I422" s="159"/>
      <c r="J422" s="159"/>
      <c r="K422" s="159"/>
      <c r="L422" s="159"/>
      <c r="M422" s="159"/>
      <c r="N422" s="159"/>
      <c r="O422" s="159"/>
      <c r="P422" s="159"/>
      <c r="Q422" s="159"/>
      <c r="R422" s="173"/>
      <c r="S422" s="173"/>
      <c r="T422" s="174"/>
      <c r="U422" s="175"/>
      <c r="V422" s="176"/>
      <c r="W422" s="78" t="s">
        <v>46</v>
      </c>
      <c r="X422" s="78">
        <f>COLUMN(Inputs!HN5)</f>
        <v>222</v>
      </c>
      <c r="AA422" s="0">
        <f>AA404</f>
        <v>1</v>
      </c>
    </row>
    <row r="423" ht="16.5">
      <c r="A423" s="130"/>
      <c r="B423" s="129"/>
      <c r="C423" s="129"/>
      <c r="D423" s="130"/>
      <c r="E423" s="130"/>
      <c r="F423" s="130"/>
      <c r="G423" s="130"/>
      <c r="H423" s="130"/>
      <c r="I423" s="130"/>
      <c r="J423" s="130"/>
      <c r="K423" s="130"/>
      <c r="L423" s="130"/>
      <c r="M423" s="130"/>
      <c r="N423" s="130"/>
      <c r="O423" s="130"/>
      <c r="P423" s="130"/>
      <c r="Q423" s="130"/>
      <c r="R423" s="131"/>
      <c r="S423" s="131"/>
      <c r="T423" s="132"/>
      <c r="U423" s="133"/>
      <c r="V423" s="133"/>
      <c r="W423" s="78"/>
      <c r="X423" s="78"/>
      <c r="AA423" s="0">
        <f>AA405</f>
        <v>1</v>
      </c>
    </row>
    <row r="424" ht="18" customHeight="1">
      <c r="A424" s="139" t="s">
        <v>4</v>
      </c>
      <c r="B424" s="140"/>
      <c r="C424" s="140"/>
      <c r="D424" s="140" t="str">
        <f ref="D424:D424" t="array">CONCATENATE(INDIRECT(ADDRESS(6,X442,,,"Inputs"))," ",INDIRECT(ADDRESS(8,X442,,,"Inputs"))," ",INDIRECT(ADDRESS(9,X442,,,"Inputs")))</f>
      </c>
      <c r="E424" s="140"/>
      <c r="F424" s="140"/>
      <c r="G424" s="140"/>
      <c r="H424" s="140"/>
      <c r="I424" s="140"/>
      <c r="J424" s="140"/>
      <c r="K424" s="140"/>
      <c r="L424" s="140"/>
      <c r="M424" s="140"/>
      <c r="N424" s="140"/>
      <c r="O424" s="140"/>
      <c r="P424" s="140"/>
      <c r="Q424" s="113"/>
      <c r="R424" s="113"/>
      <c r="S424" s="113"/>
      <c r="T424" s="113"/>
      <c r="U424" s="113"/>
      <c r="V424" s="114"/>
      <c r="AA424" s="0">
        <f>IF(LEN(TRIM(A424))=0,0,1)</f>
        <v>1</v>
      </c>
    </row>
    <row r="425" ht="18" customHeight="1">
      <c r="A425" s="134" t="str">
        <f ref="A425:A425" t="array">IF(INDIRECT(ADDRESS(50,X442,,,"Inputs"))=0,"",INDIRECT(ADDRESS(50,X442,,,"Inputs")))</f>
      </c>
      <c r="B425" s="135"/>
      <c r="C425" s="135"/>
      <c r="D425" s="136" t="str">
        <f ref="D425:D425" t="array">IF(INDIRECT(ADDRESS(10,X442,,,"Inputs"))=0,"",INDIRECT(ADDRESS(10,X442,,,"Inputs")))</f>
      </c>
      <c r="E425" s="136"/>
      <c r="F425" s="136"/>
      <c r="G425" s="136"/>
      <c r="H425" s="136"/>
      <c r="I425" s="136"/>
      <c r="J425" s="136"/>
      <c r="K425" s="136"/>
      <c r="L425" s="136"/>
      <c r="M425" s="136"/>
      <c r="N425" s="136"/>
      <c r="O425" s="136"/>
      <c r="P425" s="136"/>
      <c r="Q425" s="110"/>
      <c r="R425" s="110"/>
      <c r="S425" s="110"/>
      <c r="T425" s="110"/>
      <c r="U425" s="110"/>
      <c r="V425" s="115"/>
      <c r="AA425" s="0">
        <f>AA424</f>
        <v>1</v>
      </c>
    </row>
    <row r="426" ht="18" customHeight="1">
      <c r="A426" s="137" t="s">
        <v>5</v>
      </c>
      <c r="B426" s="136"/>
      <c r="C426" s="136"/>
      <c r="D426" s="136" t="str">
        <f ref="D426:D426" t="array">IF(INDIRECT(ADDRESS(14,X442,,,"Inputs"))=0,"",INDIRECT(ADDRESS(14,X442,,,"Inputs")))</f>
      </c>
      <c r="E426" s="136"/>
      <c r="F426" s="136"/>
      <c r="G426" s="136"/>
      <c r="H426" s="136"/>
      <c r="I426" s="136"/>
      <c r="J426" s="136"/>
      <c r="K426" s="136"/>
      <c r="L426" s="136"/>
      <c r="M426" s="136"/>
      <c r="N426" s="136"/>
      <c r="O426" s="136"/>
      <c r="P426" s="136"/>
      <c r="Q426" s="110"/>
      <c r="R426" s="110"/>
      <c r="S426" s="110"/>
      <c r="T426" s="110"/>
      <c r="U426" s="110"/>
      <c r="V426" s="115"/>
      <c r="AA426" s="0">
        <f>AA424</f>
        <v>1</v>
      </c>
    </row>
    <row r="427" ht="18" customHeight="1">
      <c r="A427" s="134" t="str">
        <f ref="A427:A427" t="array">IF(INDIRECT(ADDRESS(51,X442,,,"Inputs"))=0,"",INDIRECT(ADDRESS(51,X442,,,"Inputs")))</f>
      </c>
      <c r="B427" s="135"/>
      <c r="C427" s="135"/>
      <c r="D427" s="138" t="str">
        <f ref="D427:D427" t="array">INDIRECT(ADDRESS(82,X442,,,"Inputs"))</f>
      </c>
      <c r="E427" s="138"/>
      <c r="F427" s="138"/>
      <c r="G427" s="138"/>
      <c r="H427" s="138"/>
      <c r="I427" s="138"/>
      <c r="J427" s="138"/>
      <c r="K427" s="138"/>
      <c r="L427" s="138"/>
      <c r="M427" s="138"/>
      <c r="N427" s="138"/>
      <c r="O427" s="138"/>
      <c r="P427" s="138"/>
      <c r="Q427" s="112"/>
      <c r="R427" s="112"/>
      <c r="S427" s="112"/>
      <c r="T427" s="112"/>
      <c r="U427" s="112"/>
      <c r="V427" s="116"/>
      <c r="AA427" s="0">
        <f>AA424</f>
        <v>1</v>
      </c>
    </row>
    <row r="428" ht="18" customHeight="1">
      <c r="A428" s="168" t="s">
        <v>6</v>
      </c>
      <c r="B428" s="146"/>
      <c r="C428" s="151"/>
      <c r="D428" s="169" t="s">
        <v>7</v>
      </c>
      <c r="E428" s="146"/>
      <c r="F428" s="146"/>
      <c r="G428" s="146"/>
      <c r="H428" s="146"/>
      <c r="I428" s="146"/>
      <c r="J428" s="146"/>
      <c r="K428" s="146"/>
      <c r="L428" s="146"/>
      <c r="M428" s="146"/>
      <c r="N428" s="146"/>
      <c r="O428" s="146"/>
      <c r="P428" s="151"/>
      <c r="Q428" s="170" t="s">
        <v>8</v>
      </c>
      <c r="R428" s="146"/>
      <c r="S428" s="146"/>
      <c r="T428" s="146"/>
      <c r="U428" s="146"/>
      <c r="V428" s="161"/>
      <c r="AA428" s="0">
        <f>AA424</f>
        <v>1</v>
      </c>
    </row>
    <row r="429" ht="18" customHeight="1">
      <c r="A429" s="117" t="s">
        <v>9</v>
      </c>
      <c r="B429" s="162" t="str">
        <f ref="B429:B429" t="array">IF(INDIRECT(ADDRESS(15,X442,,,"Inputs"))=0,"",INDIRECT(ADDRESS(15,X442,,,"Inputs")))</f>
      </c>
      <c r="C429" s="162"/>
      <c r="D429" s="109" t="s">
        <v>10</v>
      </c>
      <c r="E429" s="136" t="s">
        <v>11</v>
      </c>
      <c r="F429" s="146"/>
      <c r="G429" s="146"/>
      <c r="H429" s="109" t="s">
        <v>12</v>
      </c>
      <c r="I429" s="109" t="s">
        <v>13</v>
      </c>
      <c r="J429" s="136" t="s">
        <v>14</v>
      </c>
      <c r="K429" s="146"/>
      <c r="L429" s="136" t="s">
        <v>15</v>
      </c>
      <c r="M429" s="146"/>
      <c r="N429" s="146"/>
      <c r="O429" s="136" t="s">
        <v>16</v>
      </c>
      <c r="P429" s="146"/>
      <c r="Q429" s="136" t="s">
        <v>17</v>
      </c>
      <c r="R429" s="146"/>
      <c r="S429" s="146"/>
      <c r="T429" s="146"/>
      <c r="U429" s="146"/>
      <c r="V429" s="161"/>
      <c r="AA429" s="0">
        <f>AA424</f>
        <v>1</v>
      </c>
    </row>
    <row r="430" ht="18" customHeight="1">
      <c r="A430" s="117" t="s">
        <v>18</v>
      </c>
      <c r="B430" s="162" t="str">
        <f ref="B430:B430" t="array">IF(INDIRECT(ADDRESS(16,X442,,,"Inputs"))=0,"",INDIRECT(ADDRESS(16,X442,,,"Inputs")))</f>
      </c>
      <c r="C430" s="162"/>
      <c r="D430" s="109" t="s">
        <v>19</v>
      </c>
      <c r="E430" s="142" t="str">
        <f ref="E430:E430" t="array">IF(ISBLANK(INDIRECT(ADDRESS(35,X442,,,"Inputs"))),"",INDIRECT(ADDRESS(35,X442,,,"Inputs")))</f>
      </c>
      <c r="F430" s="143"/>
      <c r="G430" s="143"/>
      <c r="H430" s="118" t="str">
        <f ref="H430:H430" t="array">IF(ISBLANK(INDIRECT(ADDRESS(35,X442,,,"Inputs"))),"",INDIRECT(ADDRESS(35,X442,,,"Inputs")))</f>
      </c>
      <c r="I430" s="119">
        <f ref="I430:I430" t="array">IFERROR(INDIRECT(ADDRESS(65,X442,,,"Inputs")), "")</f>
        <v>0</v>
      </c>
      <c r="J430" s="144" t="str">
        <f ref="J430:J430" t="array">IFERROR(INDIRECT(ADDRESS(66,X442,,,"Inputs")), "")</f>
      </c>
      <c r="K430" s="145"/>
      <c r="L430" s="136" t="s">
        <v>20</v>
      </c>
      <c r="M430" s="146"/>
      <c r="N430" s="146"/>
      <c r="O430" s="138" t="str">
        <f ref="O430:O430" t="array">IF(ISBLANK(INDIRECT(ADDRESS(36,X442,,,"Inputs"))), "-", IFERROR(I430/J430, ""))</f>
        <v>-</v>
      </c>
      <c r="P430" s="147"/>
      <c r="Q430" s="144" t="str">
        <f ref="Q430:Q430" t="array">IF(INDIRECT(ADDRESS(25,X442,,,"Inputs"))=0,"0",INDIRECT(ADDRESS(25,X442,,,"Inputs")))</f>
        <v>0</v>
      </c>
      <c r="R430" s="145"/>
      <c r="S430" s="145"/>
      <c r="T430" s="145"/>
      <c r="U430" s="145"/>
      <c r="V430" s="172"/>
      <c r="AA430" s="0">
        <f>AA424</f>
        <v>1</v>
      </c>
    </row>
    <row r="431" ht="36" customHeight="1">
      <c r="A431" s="117" t="s">
        <v>21</v>
      </c>
      <c r="B431" s="136" t="str">
        <f ref="B431:B431" t="array">IF(INDIRECT(ADDRESS(11,X442,,,"Inputs"))=0,"",INDIRECT(ADDRESS(11,X442,,,"Inputs")))</f>
      </c>
      <c r="C431" s="136"/>
      <c r="D431" s="109" t="s">
        <v>22</v>
      </c>
      <c r="E431" s="142" t="str">
        <f ref="E431:E431" t="array">IF(ISBLANK(INDIRECT(ADDRESS(39,X442,,,"Inputs"))),"",INDIRECT(ADDRESS(39,X442,,,"Inputs")))</f>
      </c>
      <c r="F431" s="143"/>
      <c r="G431" s="143"/>
      <c r="H431" s="118" t="str">
        <f ref="H431:H431" t="array">IF(ISBLANK(INDIRECT(ADDRESS(39,X442,,,"Inputs"))),"",INDIRECT(ADDRESS(39,X442,,,"Inputs")))</f>
      </c>
      <c r="I431" s="120" t="str">
        <f ref="I431:I431" t="array">IFERROR(INDIRECT(ADDRESS(67,X442,,,"Inputs")), "")</f>
      </c>
      <c r="J431" s="155" t="str">
        <f ref="J431:J431" t="array">IFERROR(INDIRECT(ADDRESS(68,X442,,,"Inputs")), "")</f>
      </c>
      <c r="K431" s="146"/>
      <c r="L431" s="136"/>
      <c r="M431" s="146"/>
      <c r="N431" s="146"/>
      <c r="O431" s="138" t="str">
        <f>IFERROR(J431/I431, "")</f>
      </c>
      <c r="P431" s="147"/>
      <c r="Q431" s="136" t="s">
        <v>23</v>
      </c>
      <c r="R431" s="146"/>
      <c r="S431" s="146"/>
      <c r="T431" s="146"/>
      <c r="U431" s="146"/>
      <c r="V431" s="161"/>
      <c r="AA431" s="0">
        <f>AA424</f>
        <v>1</v>
      </c>
    </row>
    <row r="432" ht="18" customHeight="1">
      <c r="A432" s="117" t="s">
        <v>24</v>
      </c>
      <c r="B432" s="141" t="str">
        <f ref="B432:B432" t="array">IF(INDIRECT(ADDRESS(75,X442,,,"Inputs"))=0,"",INDIRECT(ADDRESS(75,X442,,,"Inputs")))</f>
      </c>
      <c r="C432" s="141"/>
      <c r="D432" s="109" t="s">
        <v>25</v>
      </c>
      <c r="E432" s="142" t="str">
        <f ref="E432:E432" t="array">IF(ISBLANK(INDIRECT(ADDRESS(41,X442,,,"Inputs"))),"",INDIRECT(ADDRESS(41,X442,,,"Inputs")))</f>
      </c>
      <c r="F432" s="143"/>
      <c r="G432" s="143"/>
      <c r="H432" s="118" t="str">
        <f ref="H432:H432" t="array">IF(ISBLANK(INDIRECT(ADDRESS(41,X442,,,"Inputs"))),"",INDIRECT(ADDRESS(41,X442,,,"Inputs")))</f>
      </c>
      <c r="I432" s="119" t="str">
        <f ref="I432:I432" t="array">IFERROR(INDIRECT(ADDRESS(71,X442,,,"Inputs")), "")</f>
      </c>
      <c r="J432" s="144" t="str">
        <f ref="J432:J432" t="array">IFERROR(INDIRECT(ADDRESS(72,X442,,,"Inputs")), "")</f>
      </c>
      <c r="K432" s="145"/>
      <c r="L432" s="136" t="s">
        <v>20</v>
      </c>
      <c r="M432" s="146"/>
      <c r="N432" s="146"/>
      <c r="O432" s="138" t="str">
        <f ref="O432:O432" t="array">IF(ISBLANK(INDIRECT(ADDRESS(42,X442,,,"Inputs"))), "-", IFERROR(I432 / J432, ""))</f>
        <v>-</v>
      </c>
      <c r="P432" s="147"/>
      <c r="Q432" s="144" t="str">
        <f ref="Q432:Q432" t="array">IF(INDIRECT(ADDRESS(24,X442,,,"Inputs"))=0,"0",INDIRECT(ADDRESS(24,X442,,,"Inputs")))</f>
        <v>0</v>
      </c>
      <c r="R432" s="145"/>
      <c r="S432" s="145"/>
      <c r="T432" s="145"/>
      <c r="U432" s="145"/>
      <c r="V432" s="172"/>
      <c r="AA432" s="0">
        <f>AA424</f>
        <v>1</v>
      </c>
    </row>
    <row r="433" ht="36" customHeight="1">
      <c r="A433" s="117" t="s">
        <v>26</v>
      </c>
      <c r="B433" s="136" t="str">
        <f ref="B433:B433" t="array">IF(INDIRECT(ADDRESS(17,X442,,,"Inputs"))=0,"",INDIRECT(ADDRESS(17,X442,,,"Inputs")))</f>
      </c>
      <c r="C433" s="136"/>
      <c r="D433" s="111" t="s">
        <v>27</v>
      </c>
      <c r="E433" s="142" t="str">
        <f ref="E433:E433" t="array">IF(ISBLANK(INDIRECT(ADDRESS(43,X442,,,"Inputs"))),"",INDIRECT(ADDRESS(43,X442,,,"Inputs")))</f>
      </c>
      <c r="F433" s="143"/>
      <c r="G433" s="143"/>
      <c r="H433" s="118" t="str">
        <f ref="H433:H433" t="array">IF(ISBLANK(INDIRECT(ADDRESS(43,X442,,,"Inputs"))),"",INDIRECT(ADDRESS(43,X442,,,"Inputs")))</f>
      </c>
      <c r="I433" s="121" t="str">
        <f ref="I433:I433" t="array">IFERROR(INDIRECT(ADDRESS(73,X442,,,"Inputs")), "")</f>
      </c>
      <c r="J433" s="144" t="str">
        <f ref="J433:J433" t="array">IFERROR(INDIRECT(ADDRESS(74,X442,,,"Inputs")), "")</f>
      </c>
      <c r="K433" s="145"/>
      <c r="L433" s="136" t="s">
        <v>20</v>
      </c>
      <c r="M433" s="146"/>
      <c r="N433" s="146"/>
      <c r="O433" s="138" t="str">
        <f ref="O433:O433" t="array">IF(ISBLANK(INDIRECT(ADDRESS(44,X442,,,"Inputs"))), "-", IFERROR(I433 / J433, ""))</f>
        <v>-</v>
      </c>
      <c r="P433" s="147"/>
      <c r="Q433" s="177" t="s">
        <v>28</v>
      </c>
      <c r="R433" s="146"/>
      <c r="S433" s="146"/>
      <c r="T433" s="146"/>
      <c r="U433" s="146"/>
      <c r="V433" s="161"/>
      <c r="AA433" s="0">
        <f>AA424</f>
        <v>1</v>
      </c>
    </row>
    <row r="434" ht="18" customHeight="1">
      <c r="A434" s="117" t="s">
        <v>29</v>
      </c>
      <c r="B434" s="141" t="str">
        <f ref="B434:B434" t="array">IF(INDIRECT(ADDRESS(31,X442,,,"Inputs"))=0,"",INDIRECT(ADDRESS(31,X442,,,"Inputs")))</f>
      </c>
      <c r="C434" s="178"/>
      <c r="D434" s="179" t="s">
        <v>30</v>
      </c>
      <c r="E434" s="180"/>
      <c r="F434" s="180"/>
      <c r="G434" s="180"/>
      <c r="H434" s="180"/>
      <c r="I434" s="180"/>
      <c r="J434" s="180"/>
      <c r="K434" s="180"/>
      <c r="L434" s="180"/>
      <c r="M434" s="180"/>
      <c r="N434" s="180"/>
      <c r="O434" s="180"/>
      <c r="P434" s="181"/>
      <c r="Q434" s="136" t="s">
        <v>31</v>
      </c>
      <c r="R434" s="146"/>
      <c r="S434" s="146"/>
      <c r="T434" s="165">
        <f ref="T434:T434" t="array">IFERROR(INDIRECT(ADDRESS(77,X442,,,"Inputs")), "")</f>
        <v>0</v>
      </c>
      <c r="U434" s="166"/>
      <c r="V434" s="167"/>
      <c r="AA434" s="0">
        <f>AA424</f>
        <v>1</v>
      </c>
    </row>
    <row r="435" ht="18" customHeight="1">
      <c r="A435" s="117" t="s">
        <v>32</v>
      </c>
      <c r="B435" s="148" t="str">
        <f ref="B435:B435" t="array">IF(INDIRECT(ADDRESS(83,X442,,,"Inputs"))=0,"",INDIRECT(ADDRESS(83,X442,,,"Inputs")))</f>
      </c>
      <c r="C435" s="149"/>
      <c r="D435" s="158">
        <f ref="D435:D435" t="array">INDIRECT(ADDRESS(26,X442,,,"Inputs"))</f>
        <v>0</v>
      </c>
      <c r="E435" s="158"/>
      <c r="F435" s="158"/>
      <c r="G435" s="158"/>
      <c r="H435" s="158"/>
      <c r="I435" s="158"/>
      <c r="J435" s="158"/>
      <c r="K435" s="158"/>
      <c r="L435" s="158"/>
      <c r="M435" s="158"/>
      <c r="N435" s="158"/>
      <c r="O435" s="158"/>
      <c r="P435" s="158"/>
      <c r="Q435" s="136" t="s">
        <v>33</v>
      </c>
      <c r="R435" s="146"/>
      <c r="S435" s="146"/>
      <c r="T435" s="165">
        <f ref="T435:T435" t="array">IFERROR(INDIRECT(ADDRESS(86,X442,,,"Inputs")), "")</f>
        <v>0</v>
      </c>
      <c r="U435" s="166"/>
      <c r="V435" s="167"/>
      <c r="AA435" s="0">
        <f>AA424</f>
        <v>1</v>
      </c>
    </row>
    <row r="436" ht="18" customHeight="1">
      <c r="A436" s="150" t="s">
        <v>34</v>
      </c>
      <c r="B436" s="146"/>
      <c r="C436" s="151"/>
      <c r="D436" s="158"/>
      <c r="E436" s="158"/>
      <c r="F436" s="158"/>
      <c r="G436" s="158"/>
      <c r="H436" s="158"/>
      <c r="I436" s="158"/>
      <c r="J436" s="158"/>
      <c r="K436" s="158"/>
      <c r="L436" s="158"/>
      <c r="M436" s="158"/>
      <c r="N436" s="158"/>
      <c r="O436" s="158"/>
      <c r="P436" s="158"/>
      <c r="Q436" s="136" t="s">
        <v>35</v>
      </c>
      <c r="R436" s="146"/>
      <c r="S436" s="146"/>
      <c r="T436" s="165">
        <f ref="T436:T436" t="array">IFERROR(INDIRECT(ADDRESS(78,X442,,,"Inputs")), "")</f>
        <v>0</v>
      </c>
      <c r="U436" s="166"/>
      <c r="V436" s="167"/>
      <c r="AA436" s="0">
        <f>AA424</f>
        <v>1</v>
      </c>
    </row>
    <row r="437" ht="18" customHeight="1">
      <c r="A437" s="117" t="s">
        <v>36</v>
      </c>
      <c r="B437" s="141" t="str">
        <f ref="B437:B437" t="array">IF(INDIRECT(ADDRESS(30,X442,,,"Inputs"))=0,"",INDIRECT(ADDRESS(30,X442,,,"Inputs")))</f>
      </c>
      <c r="C437" s="141"/>
      <c r="D437" s="158"/>
      <c r="E437" s="158"/>
      <c r="F437" s="158"/>
      <c r="G437" s="158"/>
      <c r="H437" s="158"/>
      <c r="I437" s="158"/>
      <c r="J437" s="158"/>
      <c r="K437" s="158"/>
      <c r="L437" s="158"/>
      <c r="M437" s="158"/>
      <c r="N437" s="158"/>
      <c r="O437" s="158"/>
      <c r="P437" s="158"/>
      <c r="Q437" s="136" t="s">
        <v>37</v>
      </c>
      <c r="R437" s="146"/>
      <c r="S437" s="146"/>
      <c r="T437" s="165">
        <f ref="T437:T437" t="array">IFERROR(INDIRECT(ADDRESS(45,X442,,,"Inputs")), "")</f>
        <v>0</v>
      </c>
      <c r="U437" s="166"/>
      <c r="V437" s="167"/>
      <c r="AA437" s="0">
        <f>AA424</f>
        <v>1</v>
      </c>
    </row>
    <row r="438" ht="18" customHeight="1">
      <c r="A438" s="117" t="s">
        <v>38</v>
      </c>
      <c r="B438" s="136" t="str">
        <f ref="B438:B438" t="array">IF(INDIRECT(ADDRESS(32,X442,,,"Inputs"))=0,"",INDIRECT(ADDRESS(32,X442,,,"Inputs")))</f>
      </c>
      <c r="C438" s="136"/>
      <c r="D438" s="158"/>
      <c r="E438" s="158"/>
      <c r="F438" s="158"/>
      <c r="G438" s="158"/>
      <c r="H438" s="158"/>
      <c r="I438" s="158"/>
      <c r="J438" s="158"/>
      <c r="K438" s="158"/>
      <c r="L438" s="158"/>
      <c r="M438" s="158"/>
      <c r="N438" s="158"/>
      <c r="O438" s="158"/>
      <c r="P438" s="158"/>
      <c r="Q438" s="136" t="s">
        <v>39</v>
      </c>
      <c r="R438" s="146"/>
      <c r="S438" s="146"/>
      <c r="T438" s="165">
        <f ref="T438:T438" t="array">IFERROR(INDIRECT(ADDRESS(79,X442,,,"Inputs")), "")</f>
        <v>0</v>
      </c>
      <c r="U438" s="166"/>
      <c r="V438" s="167"/>
      <c r="AA438" s="0">
        <f>AA424</f>
        <v>1</v>
      </c>
    </row>
    <row r="439" ht="18" customHeight="1">
      <c r="A439" s="152" t="s">
        <v>40</v>
      </c>
      <c r="B439" s="153"/>
      <c r="C439" s="154"/>
      <c r="D439" s="158"/>
      <c r="E439" s="158"/>
      <c r="F439" s="158"/>
      <c r="G439" s="158"/>
      <c r="H439" s="158"/>
      <c r="I439" s="158"/>
      <c r="J439" s="158"/>
      <c r="K439" s="158"/>
      <c r="L439" s="158"/>
      <c r="M439" s="158"/>
      <c r="N439" s="158"/>
      <c r="O439" s="158"/>
      <c r="P439" s="158"/>
      <c r="Q439" s="136" t="s">
        <v>41</v>
      </c>
      <c r="R439" s="146"/>
      <c r="S439" s="146"/>
      <c r="T439" s="165">
        <f ref="T439:T439" t="array">IFERROR(INDIRECT(ADDRESS(80,X442,,,"Inputs")), "")</f>
        <v>0</v>
      </c>
      <c r="U439" s="166"/>
      <c r="V439" s="167"/>
      <c r="W439" s="0">
        <f ref="W439:W439" t="array">INDIRECT(ADDRESS(34,X442,,,"Inputs"))</f>
        <v>0</v>
      </c>
      <c r="X439" s="3"/>
      <c r="AA439" s="0">
        <f>AA424</f>
        <v>1</v>
      </c>
    </row>
    <row r="440" ht="18" customHeight="1">
      <c r="A440" s="117" t="s">
        <v>42</v>
      </c>
      <c r="B440" s="141" t="str">
        <f ref="B440:B440" t="array">IF(INDIRECT(ADDRESS(33,X442,,,"Inputs"))=0,"",INDIRECT(ADDRESS(33,X442,,,"Inputs")))</f>
      </c>
      <c r="C440" s="141"/>
      <c r="D440" s="158"/>
      <c r="E440" s="158"/>
      <c r="F440" s="158"/>
      <c r="G440" s="158"/>
      <c r="H440" s="158"/>
      <c r="I440" s="158"/>
      <c r="J440" s="158"/>
      <c r="K440" s="158"/>
      <c r="L440" s="158"/>
      <c r="M440" s="158"/>
      <c r="N440" s="158"/>
      <c r="O440" s="158"/>
      <c r="P440" s="158"/>
      <c r="Q440" s="136" t="s">
        <v>43</v>
      </c>
      <c r="R440" s="146"/>
      <c r="S440" s="146"/>
      <c r="T440" s="165">
        <f ref="T440:T440" t="array">IFERROR(INDIRECT(ADDRESS(81,X442,,,"Inputs")), "")</f>
        <v>0</v>
      </c>
      <c r="U440" s="166"/>
      <c r="V440" s="167"/>
      <c r="X440" s="3"/>
      <c r="AA440" s="0">
        <f>AA424</f>
        <v>1</v>
      </c>
    </row>
    <row r="441" ht="36" customHeight="1">
      <c r="A441" s="117" t="s">
        <v>44</v>
      </c>
      <c r="B441" s="156" t="str">
        <f ref="B441:B441" t="array">IF(INDIRECT(ADDRESS(47,X442,,,"Inputs"))=0,"",INDIRECT(ADDRESS(47,X442,,,"Inputs")))</f>
      </c>
      <c r="C441" s="156"/>
      <c r="D441" s="158"/>
      <c r="E441" s="158"/>
      <c r="F441" s="158"/>
      <c r="G441" s="158"/>
      <c r="H441" s="158"/>
      <c r="I441" s="158"/>
      <c r="J441" s="158"/>
      <c r="K441" s="158"/>
      <c r="L441" s="158"/>
      <c r="M441" s="158"/>
      <c r="N441" s="158"/>
      <c r="O441" s="158"/>
      <c r="P441" s="158"/>
      <c r="Q441" s="136" t="s">
        <v>45</v>
      </c>
      <c r="R441" s="146"/>
      <c r="S441" s="146"/>
      <c r="T441" s="136" t="str">
        <f ref="T441:T441" t="array">_xlfn.CONCAT(IFERROR(INDIRECT(ADDRESS(49,X442,,,"Inputs")), ""), " / ", IFERROR(INDIRECT(ADDRESS(48,X442,,,"Inputs")), ""))</f>
        <v> / </v>
      </c>
      <c r="U441" s="146"/>
      <c r="V441" s="161"/>
      <c r="X441" s="3"/>
      <c r="AA441" s="0">
        <f>AA424</f>
        <v>1</v>
      </c>
    </row>
    <row r="442" ht="102" customHeight="1">
      <c r="A442" s="122"/>
      <c r="B442" s="157"/>
      <c r="C442" s="157"/>
      <c r="D442" s="159"/>
      <c r="E442" s="159"/>
      <c r="F442" s="159"/>
      <c r="G442" s="159"/>
      <c r="H442" s="159"/>
      <c r="I442" s="159"/>
      <c r="J442" s="159"/>
      <c r="K442" s="159"/>
      <c r="L442" s="159"/>
      <c r="M442" s="159"/>
      <c r="N442" s="159"/>
      <c r="O442" s="159"/>
      <c r="P442" s="159"/>
      <c r="Q442" s="159"/>
      <c r="R442" s="173"/>
      <c r="S442" s="173"/>
      <c r="T442" s="174"/>
      <c r="U442" s="175"/>
      <c r="V442" s="176"/>
      <c r="W442" s="78" t="s">
        <v>46</v>
      </c>
      <c r="X442" s="78">
        <f>COLUMN(Inputs!HY5)</f>
        <v>233</v>
      </c>
      <c r="AA442" s="0">
        <f>AA424</f>
        <v>1</v>
      </c>
    </row>
    <row r="443" ht="16.5">
      <c r="A443" s="130"/>
      <c r="B443" s="129"/>
      <c r="C443" s="129"/>
      <c r="D443" s="130"/>
      <c r="E443" s="130"/>
      <c r="F443" s="130"/>
      <c r="G443" s="130"/>
      <c r="H443" s="130"/>
      <c r="I443" s="130"/>
      <c r="J443" s="130"/>
      <c r="K443" s="130"/>
      <c r="L443" s="130"/>
      <c r="M443" s="130"/>
      <c r="N443" s="130"/>
      <c r="O443" s="130"/>
      <c r="P443" s="130"/>
      <c r="Q443" s="130"/>
      <c r="R443" s="131"/>
      <c r="S443" s="131"/>
      <c r="T443" s="132"/>
      <c r="U443" s="133"/>
      <c r="V443" s="133"/>
      <c r="W443" s="78"/>
      <c r="X443" s="78"/>
      <c r="AA443" s="0">
        <f>AA425</f>
        <v>1</v>
      </c>
    </row>
    <row r="444" ht="18" customHeight="1">
      <c r="A444" s="139" t="s">
        <v>4</v>
      </c>
      <c r="B444" s="140"/>
      <c r="C444" s="140"/>
      <c r="D444" s="140" t="str">
        <f ref="D444:D444" t="array">CONCATENATE(INDIRECT(ADDRESS(6,X462,,,"Inputs"))," ",INDIRECT(ADDRESS(8,X462,,,"Inputs"))," ",INDIRECT(ADDRESS(9,X462,,,"Inputs")))</f>
      </c>
      <c r="E444" s="140"/>
      <c r="F444" s="140"/>
      <c r="G444" s="140"/>
      <c r="H444" s="140"/>
      <c r="I444" s="140"/>
      <c r="J444" s="140"/>
      <c r="K444" s="140"/>
      <c r="L444" s="140"/>
      <c r="M444" s="140"/>
      <c r="N444" s="140"/>
      <c r="O444" s="140"/>
      <c r="P444" s="140"/>
      <c r="Q444" s="113"/>
      <c r="R444" s="113"/>
      <c r="S444" s="113"/>
      <c r="T444" s="113"/>
      <c r="U444" s="113"/>
      <c r="V444" s="114"/>
      <c r="AA444" s="0">
        <f>IF(LEN(TRIM(A444))=0,0,1)</f>
        <v>1</v>
      </c>
    </row>
    <row r="445" ht="18" customHeight="1">
      <c r="A445" s="134" t="str">
        <f ref="A445:A445" t="array">IF(INDIRECT(ADDRESS(50,X462,,,"Inputs"))=0,"",INDIRECT(ADDRESS(50,X462,,,"Inputs")))</f>
      </c>
      <c r="B445" s="135"/>
      <c r="C445" s="135"/>
      <c r="D445" s="136" t="str">
        <f ref="D445:D445" t="array">IF(INDIRECT(ADDRESS(10,X462,,,"Inputs"))=0,"",INDIRECT(ADDRESS(10,X462,,,"Inputs")))</f>
      </c>
      <c r="E445" s="136"/>
      <c r="F445" s="136"/>
      <c r="G445" s="136"/>
      <c r="H445" s="136"/>
      <c r="I445" s="136"/>
      <c r="J445" s="136"/>
      <c r="K445" s="136"/>
      <c r="L445" s="136"/>
      <c r="M445" s="136"/>
      <c r="N445" s="136"/>
      <c r="O445" s="136"/>
      <c r="P445" s="136"/>
      <c r="Q445" s="110"/>
      <c r="R445" s="110"/>
      <c r="S445" s="110"/>
      <c r="T445" s="110"/>
      <c r="U445" s="110"/>
      <c r="V445" s="115"/>
      <c r="AA445" s="0">
        <f>AA444</f>
        <v>1</v>
      </c>
    </row>
    <row r="446" ht="18" customHeight="1">
      <c r="A446" s="137" t="s">
        <v>5</v>
      </c>
      <c r="B446" s="136"/>
      <c r="C446" s="136"/>
      <c r="D446" s="136" t="str">
        <f ref="D446:D446" t="array">IF(INDIRECT(ADDRESS(14,X462,,,"Inputs"))=0,"",INDIRECT(ADDRESS(14,X462,,,"Inputs")))</f>
      </c>
      <c r="E446" s="136"/>
      <c r="F446" s="136"/>
      <c r="G446" s="136"/>
      <c r="H446" s="136"/>
      <c r="I446" s="136"/>
      <c r="J446" s="136"/>
      <c r="K446" s="136"/>
      <c r="L446" s="136"/>
      <c r="M446" s="136"/>
      <c r="N446" s="136"/>
      <c r="O446" s="136"/>
      <c r="P446" s="136"/>
      <c r="Q446" s="110"/>
      <c r="R446" s="110"/>
      <c r="S446" s="110"/>
      <c r="T446" s="110"/>
      <c r="U446" s="110"/>
      <c r="V446" s="115"/>
      <c r="AA446" s="0">
        <f>AA444</f>
        <v>1</v>
      </c>
    </row>
    <row r="447" ht="18" customHeight="1">
      <c r="A447" s="134" t="str">
        <f ref="A447:A447" t="array">IF(INDIRECT(ADDRESS(51,X462,,,"Inputs"))=0,"",INDIRECT(ADDRESS(51,X462,,,"Inputs")))</f>
      </c>
      <c r="B447" s="135"/>
      <c r="C447" s="135"/>
      <c r="D447" s="138" t="str">
        <f ref="D447:D447" t="array">INDIRECT(ADDRESS(82,X462,,,"Inputs"))</f>
      </c>
      <c r="E447" s="138"/>
      <c r="F447" s="138"/>
      <c r="G447" s="138"/>
      <c r="H447" s="138"/>
      <c r="I447" s="138"/>
      <c r="J447" s="138"/>
      <c r="K447" s="138"/>
      <c r="L447" s="138"/>
      <c r="M447" s="138"/>
      <c r="N447" s="138"/>
      <c r="O447" s="138"/>
      <c r="P447" s="138"/>
      <c r="Q447" s="112"/>
      <c r="R447" s="112"/>
      <c r="S447" s="112"/>
      <c r="T447" s="112"/>
      <c r="U447" s="112"/>
      <c r="V447" s="116"/>
      <c r="AA447" s="0">
        <f>AA444</f>
        <v>1</v>
      </c>
    </row>
    <row r="448" ht="18" customHeight="1">
      <c r="A448" s="168" t="s">
        <v>6</v>
      </c>
      <c r="B448" s="146"/>
      <c r="C448" s="151"/>
      <c r="D448" s="169" t="s">
        <v>7</v>
      </c>
      <c r="E448" s="146"/>
      <c r="F448" s="146"/>
      <c r="G448" s="146"/>
      <c r="H448" s="146"/>
      <c r="I448" s="146"/>
      <c r="J448" s="146"/>
      <c r="K448" s="146"/>
      <c r="L448" s="146"/>
      <c r="M448" s="146"/>
      <c r="N448" s="146"/>
      <c r="O448" s="146"/>
      <c r="P448" s="151"/>
      <c r="Q448" s="170" t="s">
        <v>8</v>
      </c>
      <c r="R448" s="146"/>
      <c r="S448" s="146"/>
      <c r="T448" s="146"/>
      <c r="U448" s="146"/>
      <c r="V448" s="161"/>
      <c r="AA448" s="0">
        <f>AA444</f>
        <v>1</v>
      </c>
    </row>
    <row r="449" ht="18" customHeight="1">
      <c r="A449" s="117" t="s">
        <v>9</v>
      </c>
      <c r="B449" s="162" t="str">
        <f ref="B449:B449" t="array">IF(INDIRECT(ADDRESS(15,X462,,,"Inputs"))=0,"",INDIRECT(ADDRESS(15,X462,,,"Inputs")))</f>
      </c>
      <c r="C449" s="162"/>
      <c r="D449" s="109" t="s">
        <v>10</v>
      </c>
      <c r="E449" s="136" t="s">
        <v>11</v>
      </c>
      <c r="F449" s="146"/>
      <c r="G449" s="146"/>
      <c r="H449" s="109" t="s">
        <v>12</v>
      </c>
      <c r="I449" s="109" t="s">
        <v>13</v>
      </c>
      <c r="J449" s="136" t="s">
        <v>14</v>
      </c>
      <c r="K449" s="146"/>
      <c r="L449" s="136" t="s">
        <v>15</v>
      </c>
      <c r="M449" s="146"/>
      <c r="N449" s="146"/>
      <c r="O449" s="136" t="s">
        <v>16</v>
      </c>
      <c r="P449" s="146"/>
      <c r="Q449" s="136" t="s">
        <v>17</v>
      </c>
      <c r="R449" s="146"/>
      <c r="S449" s="146"/>
      <c r="T449" s="146"/>
      <c r="U449" s="146"/>
      <c r="V449" s="161"/>
      <c r="AA449" s="0">
        <f>AA444</f>
        <v>1</v>
      </c>
    </row>
    <row r="450" ht="18" customHeight="1">
      <c r="A450" s="117" t="s">
        <v>18</v>
      </c>
      <c r="B450" s="162" t="str">
        <f ref="B450:B450" t="array">IF(INDIRECT(ADDRESS(16,X462,,,"Inputs"))=0,"",INDIRECT(ADDRESS(16,X462,,,"Inputs")))</f>
      </c>
      <c r="C450" s="162"/>
      <c r="D450" s="109" t="s">
        <v>19</v>
      </c>
      <c r="E450" s="142" t="str">
        <f ref="E450:E450" t="array">IF(ISBLANK(INDIRECT(ADDRESS(35,X462,,,"Inputs"))),"",INDIRECT(ADDRESS(35,X462,,,"Inputs")))</f>
      </c>
      <c r="F450" s="143"/>
      <c r="G450" s="143"/>
      <c r="H450" s="118" t="str">
        <f ref="H450:H450" t="array">IF(ISBLANK(INDIRECT(ADDRESS(35,X462,,,"Inputs"))),"",INDIRECT(ADDRESS(35,X462,,,"Inputs")))</f>
      </c>
      <c r="I450" s="119">
        <f ref="I450:I450" t="array">IFERROR(INDIRECT(ADDRESS(65,X462,,,"Inputs")), "")</f>
        <v>0</v>
      </c>
      <c r="J450" s="144" t="str">
        <f ref="J450:J450" t="array">IFERROR(INDIRECT(ADDRESS(66,X462,,,"Inputs")), "")</f>
      </c>
      <c r="K450" s="145"/>
      <c r="L450" s="136" t="s">
        <v>20</v>
      </c>
      <c r="M450" s="146"/>
      <c r="N450" s="146"/>
      <c r="O450" s="138" t="str">
        <f ref="O450:O450" t="array">IF(ISBLANK(INDIRECT(ADDRESS(36,X462,,,"Inputs"))), "-", IFERROR(I450/J450, ""))</f>
        <v>-</v>
      </c>
      <c r="P450" s="147"/>
      <c r="Q450" s="144" t="str">
        <f ref="Q450:Q450" t="array">IF(INDIRECT(ADDRESS(25,X462,,,"Inputs"))=0,"0",INDIRECT(ADDRESS(25,X462,,,"Inputs")))</f>
        <v>0</v>
      </c>
      <c r="R450" s="145"/>
      <c r="S450" s="145"/>
      <c r="T450" s="145"/>
      <c r="U450" s="145"/>
      <c r="V450" s="172"/>
      <c r="AA450" s="0">
        <f>AA444</f>
        <v>1</v>
      </c>
    </row>
    <row r="451" ht="36" customHeight="1">
      <c r="A451" s="117" t="s">
        <v>21</v>
      </c>
      <c r="B451" s="136" t="str">
        <f ref="B451:B451" t="array">IF(INDIRECT(ADDRESS(11,X462,,,"Inputs"))=0,"",INDIRECT(ADDRESS(11,X462,,,"Inputs")))</f>
      </c>
      <c r="C451" s="136"/>
      <c r="D451" s="109" t="s">
        <v>22</v>
      </c>
      <c r="E451" s="142" t="str">
        <f ref="E451:E451" t="array">IF(ISBLANK(INDIRECT(ADDRESS(39,X462,,,"Inputs"))),"",INDIRECT(ADDRESS(39,X462,,,"Inputs")))</f>
      </c>
      <c r="F451" s="143"/>
      <c r="G451" s="143"/>
      <c r="H451" s="118" t="str">
        <f ref="H451:H451" t="array">IF(ISBLANK(INDIRECT(ADDRESS(39,X462,,,"Inputs"))),"",INDIRECT(ADDRESS(39,X462,,,"Inputs")))</f>
      </c>
      <c r="I451" s="120" t="str">
        <f ref="I451:I451" t="array">IFERROR(INDIRECT(ADDRESS(67,X462,,,"Inputs")), "")</f>
      </c>
      <c r="J451" s="155" t="str">
        <f ref="J451:J451" t="array">IFERROR(INDIRECT(ADDRESS(68,X462,,,"Inputs")), "")</f>
      </c>
      <c r="K451" s="146"/>
      <c r="L451" s="136"/>
      <c r="M451" s="146"/>
      <c r="N451" s="146"/>
      <c r="O451" s="138" t="str">
        <f>IFERROR(J451/I451, "")</f>
      </c>
      <c r="P451" s="147"/>
      <c r="Q451" s="136" t="s">
        <v>23</v>
      </c>
      <c r="R451" s="146"/>
      <c r="S451" s="146"/>
      <c r="T451" s="146"/>
      <c r="U451" s="146"/>
      <c r="V451" s="161"/>
      <c r="AA451" s="0">
        <f>AA444</f>
        <v>1</v>
      </c>
    </row>
    <row r="452" ht="18" customHeight="1">
      <c r="A452" s="117" t="s">
        <v>24</v>
      </c>
      <c r="B452" s="141" t="str">
        <f ref="B452:B452" t="array">IF(INDIRECT(ADDRESS(75,X462,,,"Inputs"))=0,"",INDIRECT(ADDRESS(75,X462,,,"Inputs")))</f>
      </c>
      <c r="C452" s="141"/>
      <c r="D452" s="109" t="s">
        <v>25</v>
      </c>
      <c r="E452" s="142" t="str">
        <f ref="E452:E452" t="array">IF(ISBLANK(INDIRECT(ADDRESS(41,X462,,,"Inputs"))),"",INDIRECT(ADDRESS(41,X462,,,"Inputs")))</f>
      </c>
      <c r="F452" s="143"/>
      <c r="G452" s="143"/>
      <c r="H452" s="118" t="str">
        <f ref="H452:H452" t="array">IF(ISBLANK(INDIRECT(ADDRESS(41,X462,,,"Inputs"))),"",INDIRECT(ADDRESS(41,X462,,,"Inputs")))</f>
      </c>
      <c r="I452" s="119" t="str">
        <f ref="I452:I452" t="array">IFERROR(INDIRECT(ADDRESS(71,X462,,,"Inputs")), "")</f>
      </c>
      <c r="J452" s="144" t="str">
        <f ref="J452:J452" t="array">IFERROR(INDIRECT(ADDRESS(72,X462,,,"Inputs")), "")</f>
      </c>
      <c r="K452" s="145"/>
      <c r="L452" s="136" t="s">
        <v>20</v>
      </c>
      <c r="M452" s="146"/>
      <c r="N452" s="146"/>
      <c r="O452" s="138" t="str">
        <f ref="O452:O452" t="array">IF(ISBLANK(INDIRECT(ADDRESS(42,X462,,,"Inputs"))), "-", IFERROR(I452 / J452, ""))</f>
        <v>-</v>
      </c>
      <c r="P452" s="147"/>
      <c r="Q452" s="144" t="str">
        <f ref="Q452:Q452" t="array">IF(INDIRECT(ADDRESS(24,X462,,,"Inputs"))=0,"0",INDIRECT(ADDRESS(24,X462,,,"Inputs")))</f>
        <v>0</v>
      </c>
      <c r="R452" s="145"/>
      <c r="S452" s="145"/>
      <c r="T452" s="145"/>
      <c r="U452" s="145"/>
      <c r="V452" s="172"/>
      <c r="AA452" s="0">
        <f>AA444</f>
        <v>1</v>
      </c>
    </row>
    <row r="453" ht="36" customHeight="1">
      <c r="A453" s="117" t="s">
        <v>26</v>
      </c>
      <c r="B453" s="136" t="str">
        <f ref="B453:B453" t="array">IF(INDIRECT(ADDRESS(17,X462,,,"Inputs"))=0,"",INDIRECT(ADDRESS(17,X462,,,"Inputs")))</f>
      </c>
      <c r="C453" s="136"/>
      <c r="D453" s="111" t="s">
        <v>27</v>
      </c>
      <c r="E453" s="142" t="str">
        <f ref="E453:E453" t="array">IF(ISBLANK(INDIRECT(ADDRESS(43,X462,,,"Inputs"))),"",INDIRECT(ADDRESS(43,X462,,,"Inputs")))</f>
      </c>
      <c r="F453" s="143"/>
      <c r="G453" s="143"/>
      <c r="H453" s="118" t="str">
        <f ref="H453:H453" t="array">IF(ISBLANK(INDIRECT(ADDRESS(43,X462,,,"Inputs"))),"",INDIRECT(ADDRESS(43,X462,,,"Inputs")))</f>
      </c>
      <c r="I453" s="121" t="str">
        <f ref="I453:I453" t="array">IFERROR(INDIRECT(ADDRESS(73,X462,,,"Inputs")), "")</f>
      </c>
      <c r="J453" s="144" t="str">
        <f ref="J453:J453" t="array">IFERROR(INDIRECT(ADDRESS(74,X462,,,"Inputs")), "")</f>
      </c>
      <c r="K453" s="145"/>
      <c r="L453" s="136" t="s">
        <v>20</v>
      </c>
      <c r="M453" s="146"/>
      <c r="N453" s="146"/>
      <c r="O453" s="138" t="str">
        <f ref="O453:O453" t="array">IF(ISBLANK(INDIRECT(ADDRESS(44,X462,,,"Inputs"))), "-", IFERROR(I453 / J453, ""))</f>
        <v>-</v>
      </c>
      <c r="P453" s="147"/>
      <c r="Q453" s="177" t="s">
        <v>28</v>
      </c>
      <c r="R453" s="146"/>
      <c r="S453" s="146"/>
      <c r="T453" s="146"/>
      <c r="U453" s="146"/>
      <c r="V453" s="161"/>
      <c r="AA453" s="0">
        <f>AA444</f>
        <v>1</v>
      </c>
    </row>
    <row r="454" ht="18" customHeight="1">
      <c r="A454" s="117" t="s">
        <v>29</v>
      </c>
      <c r="B454" s="141" t="str">
        <f ref="B454:B454" t="array">IF(INDIRECT(ADDRESS(31,X462,,,"Inputs"))=0,"",INDIRECT(ADDRESS(31,X462,,,"Inputs")))</f>
      </c>
      <c r="C454" s="178"/>
      <c r="D454" s="179" t="s">
        <v>30</v>
      </c>
      <c r="E454" s="180"/>
      <c r="F454" s="180"/>
      <c r="G454" s="180"/>
      <c r="H454" s="180"/>
      <c r="I454" s="180"/>
      <c r="J454" s="180"/>
      <c r="K454" s="180"/>
      <c r="L454" s="180"/>
      <c r="M454" s="180"/>
      <c r="N454" s="180"/>
      <c r="O454" s="180"/>
      <c r="P454" s="181"/>
      <c r="Q454" s="136" t="s">
        <v>31</v>
      </c>
      <c r="R454" s="146"/>
      <c r="S454" s="146"/>
      <c r="T454" s="165">
        <f ref="T454:T454" t="array">IFERROR(INDIRECT(ADDRESS(77,X462,,,"Inputs")), "")</f>
        <v>0</v>
      </c>
      <c r="U454" s="166"/>
      <c r="V454" s="167"/>
      <c r="AA454" s="0">
        <f>AA444</f>
        <v>1</v>
      </c>
    </row>
    <row r="455" ht="18" customHeight="1">
      <c r="A455" s="117" t="s">
        <v>32</v>
      </c>
      <c r="B455" s="148" t="str">
        <f ref="B455:B455" t="array">IF(INDIRECT(ADDRESS(83,X462,,,"Inputs"))=0,"",INDIRECT(ADDRESS(83,X462,,,"Inputs")))</f>
      </c>
      <c r="C455" s="149"/>
      <c r="D455" s="158">
        <f ref="D455:D455" t="array">INDIRECT(ADDRESS(26,X462,,,"Inputs"))</f>
        <v>0</v>
      </c>
      <c r="E455" s="158"/>
      <c r="F455" s="158"/>
      <c r="G455" s="158"/>
      <c r="H455" s="158"/>
      <c r="I455" s="158"/>
      <c r="J455" s="158"/>
      <c r="K455" s="158"/>
      <c r="L455" s="158"/>
      <c r="M455" s="158"/>
      <c r="N455" s="158"/>
      <c r="O455" s="158"/>
      <c r="P455" s="158"/>
      <c r="Q455" s="136" t="s">
        <v>33</v>
      </c>
      <c r="R455" s="146"/>
      <c r="S455" s="146"/>
      <c r="T455" s="165">
        <f ref="T455:T455" t="array">IFERROR(INDIRECT(ADDRESS(86,X462,,,"Inputs")), "")</f>
        <v>0</v>
      </c>
      <c r="U455" s="166"/>
      <c r="V455" s="167"/>
      <c r="AA455" s="0">
        <f>AA444</f>
        <v>1</v>
      </c>
    </row>
    <row r="456" ht="18" customHeight="1">
      <c r="A456" s="150" t="s">
        <v>34</v>
      </c>
      <c r="B456" s="146"/>
      <c r="C456" s="151"/>
      <c r="D456" s="158"/>
      <c r="E456" s="158"/>
      <c r="F456" s="158"/>
      <c r="G456" s="158"/>
      <c r="H456" s="158"/>
      <c r="I456" s="158"/>
      <c r="J456" s="158"/>
      <c r="K456" s="158"/>
      <c r="L456" s="158"/>
      <c r="M456" s="158"/>
      <c r="N456" s="158"/>
      <c r="O456" s="158"/>
      <c r="P456" s="158"/>
      <c r="Q456" s="136" t="s">
        <v>35</v>
      </c>
      <c r="R456" s="146"/>
      <c r="S456" s="146"/>
      <c r="T456" s="165">
        <f ref="T456:T456" t="array">IFERROR(INDIRECT(ADDRESS(78,X462,,,"Inputs")), "")</f>
        <v>0</v>
      </c>
      <c r="U456" s="166"/>
      <c r="V456" s="167"/>
      <c r="AA456" s="0">
        <f>AA444</f>
        <v>1</v>
      </c>
    </row>
    <row r="457" ht="18" customHeight="1">
      <c r="A457" s="117" t="s">
        <v>36</v>
      </c>
      <c r="B457" s="141" t="str">
        <f ref="B457:B457" t="array">IF(INDIRECT(ADDRESS(30,X462,,,"Inputs"))=0,"",INDIRECT(ADDRESS(30,X462,,,"Inputs")))</f>
      </c>
      <c r="C457" s="141"/>
      <c r="D457" s="158"/>
      <c r="E457" s="158"/>
      <c r="F457" s="158"/>
      <c r="G457" s="158"/>
      <c r="H457" s="158"/>
      <c r="I457" s="158"/>
      <c r="J457" s="158"/>
      <c r="K457" s="158"/>
      <c r="L457" s="158"/>
      <c r="M457" s="158"/>
      <c r="N457" s="158"/>
      <c r="O457" s="158"/>
      <c r="P457" s="158"/>
      <c r="Q457" s="136" t="s">
        <v>37</v>
      </c>
      <c r="R457" s="146"/>
      <c r="S457" s="146"/>
      <c r="T457" s="165">
        <f ref="T457:T457" t="array">IFERROR(INDIRECT(ADDRESS(45,X462,,,"Inputs")), "")</f>
        <v>0</v>
      </c>
      <c r="U457" s="166"/>
      <c r="V457" s="167"/>
      <c r="AA457" s="0">
        <f>AA444</f>
        <v>1</v>
      </c>
    </row>
    <row r="458" ht="18" customHeight="1">
      <c r="A458" s="117" t="s">
        <v>38</v>
      </c>
      <c r="B458" s="136" t="str">
        <f ref="B458:B458" t="array">IF(INDIRECT(ADDRESS(32,X462,,,"Inputs"))=0,"",INDIRECT(ADDRESS(32,X462,,,"Inputs")))</f>
      </c>
      <c r="C458" s="136"/>
      <c r="D458" s="158"/>
      <c r="E458" s="158"/>
      <c r="F458" s="158"/>
      <c r="G458" s="158"/>
      <c r="H458" s="158"/>
      <c r="I458" s="158"/>
      <c r="J458" s="158"/>
      <c r="K458" s="158"/>
      <c r="L458" s="158"/>
      <c r="M458" s="158"/>
      <c r="N458" s="158"/>
      <c r="O458" s="158"/>
      <c r="P458" s="158"/>
      <c r="Q458" s="136" t="s">
        <v>39</v>
      </c>
      <c r="R458" s="146"/>
      <c r="S458" s="146"/>
      <c r="T458" s="165">
        <f ref="T458:T458" t="array">IFERROR(INDIRECT(ADDRESS(79,X462,,,"Inputs")), "")</f>
        <v>0</v>
      </c>
      <c r="U458" s="166"/>
      <c r="V458" s="167"/>
      <c r="AA458" s="0">
        <f>AA444</f>
        <v>1</v>
      </c>
    </row>
    <row r="459" ht="18" customHeight="1">
      <c r="A459" s="152" t="s">
        <v>40</v>
      </c>
      <c r="B459" s="153"/>
      <c r="C459" s="154"/>
      <c r="D459" s="158"/>
      <c r="E459" s="158"/>
      <c r="F459" s="158"/>
      <c r="G459" s="158"/>
      <c r="H459" s="158"/>
      <c r="I459" s="158"/>
      <c r="J459" s="158"/>
      <c r="K459" s="158"/>
      <c r="L459" s="158"/>
      <c r="M459" s="158"/>
      <c r="N459" s="158"/>
      <c r="O459" s="158"/>
      <c r="P459" s="158"/>
      <c r="Q459" s="136" t="s">
        <v>41</v>
      </c>
      <c r="R459" s="146"/>
      <c r="S459" s="146"/>
      <c r="T459" s="165">
        <f ref="T459:T459" t="array">IFERROR(INDIRECT(ADDRESS(80,X462,,,"Inputs")), "")</f>
        <v>0</v>
      </c>
      <c r="U459" s="166"/>
      <c r="V459" s="167"/>
      <c r="W459" s="0">
        <f ref="W459:W459" t="array">INDIRECT(ADDRESS(34,X462,,,"Inputs"))</f>
        <v>0</v>
      </c>
      <c r="X459" s="3"/>
      <c r="AA459" s="0">
        <f>AA444</f>
        <v>1</v>
      </c>
    </row>
    <row r="460" ht="18" customHeight="1">
      <c r="A460" s="117" t="s">
        <v>42</v>
      </c>
      <c r="B460" s="141" t="str">
        <f ref="B460:B460" t="array">IF(INDIRECT(ADDRESS(33,X462,,,"Inputs"))=0,"",INDIRECT(ADDRESS(33,X462,,,"Inputs")))</f>
      </c>
      <c r="C460" s="141"/>
      <c r="D460" s="158"/>
      <c r="E460" s="158"/>
      <c r="F460" s="158"/>
      <c r="G460" s="158"/>
      <c r="H460" s="158"/>
      <c r="I460" s="158"/>
      <c r="J460" s="158"/>
      <c r="K460" s="158"/>
      <c r="L460" s="158"/>
      <c r="M460" s="158"/>
      <c r="N460" s="158"/>
      <c r="O460" s="158"/>
      <c r="P460" s="158"/>
      <c r="Q460" s="136" t="s">
        <v>43</v>
      </c>
      <c r="R460" s="146"/>
      <c r="S460" s="146"/>
      <c r="T460" s="165">
        <f ref="T460:T460" t="array">IFERROR(INDIRECT(ADDRESS(81,X462,,,"Inputs")), "")</f>
        <v>0</v>
      </c>
      <c r="U460" s="166"/>
      <c r="V460" s="167"/>
      <c r="X460" s="3"/>
      <c r="AA460" s="0">
        <f>AA444</f>
        <v>1</v>
      </c>
    </row>
    <row r="461" ht="36" customHeight="1">
      <c r="A461" s="117" t="s">
        <v>44</v>
      </c>
      <c r="B461" s="156" t="str">
        <f ref="B461:B461" t="array">IF(INDIRECT(ADDRESS(47,X462,,,"Inputs"))=0,"",INDIRECT(ADDRESS(47,X462,,,"Inputs")))</f>
      </c>
      <c r="C461" s="156"/>
      <c r="D461" s="158"/>
      <c r="E461" s="158"/>
      <c r="F461" s="158"/>
      <c r="G461" s="158"/>
      <c r="H461" s="158"/>
      <c r="I461" s="158"/>
      <c r="J461" s="158"/>
      <c r="K461" s="158"/>
      <c r="L461" s="158"/>
      <c r="M461" s="158"/>
      <c r="N461" s="158"/>
      <c r="O461" s="158"/>
      <c r="P461" s="158"/>
      <c r="Q461" s="136" t="s">
        <v>45</v>
      </c>
      <c r="R461" s="146"/>
      <c r="S461" s="146"/>
      <c r="T461" s="136" t="str">
        <f ref="T461:T461" t="array">_xlfn.CONCAT(IFERROR(INDIRECT(ADDRESS(49,X462,,,"Inputs")), ""), " / ", IFERROR(INDIRECT(ADDRESS(48,X462,,,"Inputs")), ""))</f>
        <v> / </v>
      </c>
      <c r="U461" s="146"/>
      <c r="V461" s="161"/>
      <c r="X461" s="3"/>
      <c r="AA461" s="0">
        <f>AA444</f>
        <v>1</v>
      </c>
    </row>
    <row r="462" ht="102" customHeight="1">
      <c r="A462" s="122"/>
      <c r="B462" s="157"/>
      <c r="C462" s="157"/>
      <c r="D462" s="159"/>
      <c r="E462" s="159"/>
      <c r="F462" s="159"/>
      <c r="G462" s="159"/>
      <c r="H462" s="159"/>
      <c r="I462" s="159"/>
      <c r="J462" s="159"/>
      <c r="K462" s="159"/>
      <c r="L462" s="159"/>
      <c r="M462" s="159"/>
      <c r="N462" s="159"/>
      <c r="O462" s="159"/>
      <c r="P462" s="159"/>
      <c r="Q462" s="159"/>
      <c r="R462" s="173"/>
      <c r="S462" s="173"/>
      <c r="T462" s="174"/>
      <c r="U462" s="175"/>
      <c r="V462" s="176"/>
      <c r="W462" s="78" t="s">
        <v>46</v>
      </c>
      <c r="X462" s="78">
        <f>COLUMN(Inputs!IJ5)</f>
        <v>244</v>
      </c>
      <c r="AA462" s="0">
        <f>AA444</f>
        <v>1</v>
      </c>
    </row>
    <row r="463" ht="16.5">
      <c r="A463" s="130"/>
      <c r="B463" s="129"/>
      <c r="C463" s="129"/>
      <c r="D463" s="130"/>
      <c r="E463" s="130"/>
      <c r="F463" s="130"/>
      <c r="G463" s="130"/>
      <c r="H463" s="130"/>
      <c r="I463" s="130"/>
      <c r="J463" s="130"/>
      <c r="K463" s="130"/>
      <c r="L463" s="130"/>
      <c r="M463" s="130"/>
      <c r="N463" s="130"/>
      <c r="O463" s="130"/>
      <c r="P463" s="130"/>
      <c r="Q463" s="130"/>
      <c r="R463" s="131"/>
      <c r="S463" s="131"/>
      <c r="T463" s="132"/>
      <c r="U463" s="133"/>
      <c r="V463" s="133"/>
      <c r="W463" s="78"/>
      <c r="X463" s="78"/>
      <c r="AA463" s="0">
        <f>AA445</f>
        <v>1</v>
      </c>
    </row>
    <row r="464" ht="18" customHeight="1">
      <c r="A464" s="139" t="s">
        <v>4</v>
      </c>
      <c r="B464" s="140"/>
      <c r="C464" s="140"/>
      <c r="D464" s="140" t="str">
        <f ref="D464:D464" t="array">CONCATENATE(INDIRECT(ADDRESS(6,X482,,,"Inputs"))," ",INDIRECT(ADDRESS(8,X482,,,"Inputs"))," ",INDIRECT(ADDRESS(9,X482,,,"Inputs")))</f>
      </c>
      <c r="E464" s="140"/>
      <c r="F464" s="140"/>
      <c r="G464" s="140"/>
      <c r="H464" s="140"/>
      <c r="I464" s="140"/>
      <c r="J464" s="140"/>
      <c r="K464" s="140"/>
      <c r="L464" s="140"/>
      <c r="M464" s="140"/>
      <c r="N464" s="140"/>
      <c r="O464" s="140"/>
      <c r="P464" s="140"/>
      <c r="Q464" s="113"/>
      <c r="R464" s="113"/>
      <c r="S464" s="113"/>
      <c r="T464" s="113"/>
      <c r="U464" s="113"/>
      <c r="V464" s="114"/>
      <c r="AA464" s="0">
        <f>IF(LEN(TRIM(A464))=0,0,1)</f>
        <v>1</v>
      </c>
    </row>
    <row r="465" ht="18" customHeight="1">
      <c r="A465" s="134" t="str">
        <f ref="A465:A465" t="array">IF(INDIRECT(ADDRESS(50,X482,,,"Inputs"))=0,"",INDIRECT(ADDRESS(50,X482,,,"Inputs")))</f>
      </c>
      <c r="B465" s="135"/>
      <c r="C465" s="135"/>
      <c r="D465" s="136" t="str">
        <f ref="D465:D465" t="array">IF(INDIRECT(ADDRESS(10,X482,,,"Inputs"))=0,"",INDIRECT(ADDRESS(10,X482,,,"Inputs")))</f>
      </c>
      <c r="E465" s="136"/>
      <c r="F465" s="136"/>
      <c r="G465" s="136"/>
      <c r="H465" s="136"/>
      <c r="I465" s="136"/>
      <c r="J465" s="136"/>
      <c r="K465" s="136"/>
      <c r="L465" s="136"/>
      <c r="M465" s="136"/>
      <c r="N465" s="136"/>
      <c r="O465" s="136"/>
      <c r="P465" s="136"/>
      <c r="Q465" s="110"/>
      <c r="R465" s="110"/>
      <c r="S465" s="110"/>
      <c r="T465" s="110"/>
      <c r="U465" s="110"/>
      <c r="V465" s="115"/>
      <c r="AA465" s="0">
        <f>AA464</f>
        <v>1</v>
      </c>
    </row>
    <row r="466" ht="18" customHeight="1">
      <c r="A466" s="137" t="s">
        <v>5</v>
      </c>
      <c r="B466" s="136"/>
      <c r="C466" s="136"/>
      <c r="D466" s="136" t="str">
        <f ref="D466:D466" t="array">IF(INDIRECT(ADDRESS(14,X482,,,"Inputs"))=0,"",INDIRECT(ADDRESS(14,X482,,,"Inputs")))</f>
      </c>
      <c r="E466" s="136"/>
      <c r="F466" s="136"/>
      <c r="G466" s="136"/>
      <c r="H466" s="136"/>
      <c r="I466" s="136"/>
      <c r="J466" s="136"/>
      <c r="K466" s="136"/>
      <c r="L466" s="136"/>
      <c r="M466" s="136"/>
      <c r="N466" s="136"/>
      <c r="O466" s="136"/>
      <c r="P466" s="136"/>
      <c r="Q466" s="110"/>
      <c r="R466" s="110"/>
      <c r="S466" s="110"/>
      <c r="T466" s="110"/>
      <c r="U466" s="110"/>
      <c r="V466" s="115"/>
      <c r="AA466" s="0">
        <f>AA464</f>
        <v>1</v>
      </c>
    </row>
    <row r="467" ht="18" customHeight="1">
      <c r="A467" s="134" t="str">
        <f ref="A467:A467" t="array">IF(INDIRECT(ADDRESS(51,X482,,,"Inputs"))=0,"",INDIRECT(ADDRESS(51,X482,,,"Inputs")))</f>
      </c>
      <c r="B467" s="135"/>
      <c r="C467" s="135"/>
      <c r="D467" s="138" t="str">
        <f ref="D467:D467" t="array">INDIRECT(ADDRESS(82,X482,,,"Inputs"))</f>
      </c>
      <c r="E467" s="138"/>
      <c r="F467" s="138"/>
      <c r="G467" s="138"/>
      <c r="H467" s="138"/>
      <c r="I467" s="138"/>
      <c r="J467" s="138"/>
      <c r="K467" s="138"/>
      <c r="L467" s="138"/>
      <c r="M467" s="138"/>
      <c r="N467" s="138"/>
      <c r="O467" s="138"/>
      <c r="P467" s="138"/>
      <c r="Q467" s="112"/>
      <c r="R467" s="112"/>
      <c r="S467" s="112"/>
      <c r="T467" s="112"/>
      <c r="U467" s="112"/>
      <c r="V467" s="116"/>
      <c r="AA467" s="0">
        <f>AA464</f>
        <v>1</v>
      </c>
    </row>
    <row r="468" ht="18" customHeight="1">
      <c r="A468" s="168" t="s">
        <v>6</v>
      </c>
      <c r="B468" s="146"/>
      <c r="C468" s="151"/>
      <c r="D468" s="169" t="s">
        <v>7</v>
      </c>
      <c r="E468" s="146"/>
      <c r="F468" s="146"/>
      <c r="G468" s="146"/>
      <c r="H468" s="146"/>
      <c r="I468" s="146"/>
      <c r="J468" s="146"/>
      <c r="K468" s="146"/>
      <c r="L468" s="146"/>
      <c r="M468" s="146"/>
      <c r="N468" s="146"/>
      <c r="O468" s="146"/>
      <c r="P468" s="151"/>
      <c r="Q468" s="170" t="s">
        <v>8</v>
      </c>
      <c r="R468" s="146"/>
      <c r="S468" s="146"/>
      <c r="T468" s="146"/>
      <c r="U468" s="146"/>
      <c r="V468" s="161"/>
      <c r="AA468" s="0">
        <f>AA464</f>
        <v>1</v>
      </c>
    </row>
    <row r="469" ht="18" customHeight="1">
      <c r="A469" s="117" t="s">
        <v>9</v>
      </c>
      <c r="B469" s="162" t="str">
        <f ref="B469:B469" t="array">IF(INDIRECT(ADDRESS(15,X482,,,"Inputs"))=0,"",INDIRECT(ADDRESS(15,X482,,,"Inputs")))</f>
      </c>
      <c r="C469" s="162"/>
      <c r="D469" s="109" t="s">
        <v>10</v>
      </c>
      <c r="E469" s="136" t="s">
        <v>11</v>
      </c>
      <c r="F469" s="146"/>
      <c r="G469" s="146"/>
      <c r="H469" s="109" t="s">
        <v>12</v>
      </c>
      <c r="I469" s="109" t="s">
        <v>13</v>
      </c>
      <c r="J469" s="136" t="s">
        <v>14</v>
      </c>
      <c r="K469" s="146"/>
      <c r="L469" s="136" t="s">
        <v>15</v>
      </c>
      <c r="M469" s="146"/>
      <c r="N469" s="146"/>
      <c r="O469" s="136" t="s">
        <v>16</v>
      </c>
      <c r="P469" s="146"/>
      <c r="Q469" s="136" t="s">
        <v>17</v>
      </c>
      <c r="R469" s="146"/>
      <c r="S469" s="146"/>
      <c r="T469" s="146"/>
      <c r="U469" s="146"/>
      <c r="V469" s="161"/>
      <c r="AA469" s="0">
        <f>AA464</f>
        <v>1</v>
      </c>
    </row>
    <row r="470" ht="18" customHeight="1">
      <c r="A470" s="117" t="s">
        <v>18</v>
      </c>
      <c r="B470" s="162" t="str">
        <f ref="B470:B470" t="array">IF(INDIRECT(ADDRESS(16,X482,,,"Inputs"))=0,"",INDIRECT(ADDRESS(16,X482,,,"Inputs")))</f>
      </c>
      <c r="C470" s="162"/>
      <c r="D470" s="109" t="s">
        <v>19</v>
      </c>
      <c r="E470" s="142" t="str">
        <f ref="E470:E470" t="array">IF(ISBLANK(INDIRECT(ADDRESS(35,X482,,,"Inputs"))),"",INDIRECT(ADDRESS(35,X482,,,"Inputs")))</f>
      </c>
      <c r="F470" s="143"/>
      <c r="G470" s="143"/>
      <c r="H470" s="118" t="str">
        <f ref="H470:H470" t="array">IF(ISBLANK(INDIRECT(ADDRESS(35,X482,,,"Inputs"))),"",INDIRECT(ADDRESS(35,X482,,,"Inputs")))</f>
      </c>
      <c r="I470" s="119">
        <f ref="I470:I470" t="array">IFERROR(INDIRECT(ADDRESS(65,X482,,,"Inputs")), "")</f>
        <v>0</v>
      </c>
      <c r="J470" s="144" t="str">
        <f ref="J470:J470" t="array">IFERROR(INDIRECT(ADDRESS(66,X482,,,"Inputs")), "")</f>
      </c>
      <c r="K470" s="145"/>
      <c r="L470" s="136" t="s">
        <v>20</v>
      </c>
      <c r="M470" s="146"/>
      <c r="N470" s="146"/>
      <c r="O470" s="138" t="str">
        <f ref="O470:O470" t="array">IF(ISBLANK(INDIRECT(ADDRESS(36,X482,,,"Inputs"))), "-", IFERROR(I470/J470, ""))</f>
        <v>-</v>
      </c>
      <c r="P470" s="147"/>
      <c r="Q470" s="144" t="str">
        <f ref="Q470:Q470" t="array">IF(INDIRECT(ADDRESS(25,X482,,,"Inputs"))=0,"0",INDIRECT(ADDRESS(25,X482,,,"Inputs")))</f>
        <v>0</v>
      </c>
      <c r="R470" s="145"/>
      <c r="S470" s="145"/>
      <c r="T470" s="145"/>
      <c r="U470" s="145"/>
      <c r="V470" s="172"/>
      <c r="AA470" s="0">
        <f>AA464</f>
        <v>1</v>
      </c>
    </row>
    <row r="471" ht="36" customHeight="1">
      <c r="A471" s="117" t="s">
        <v>21</v>
      </c>
      <c r="B471" s="136" t="str">
        <f ref="B471:B471" t="array">IF(INDIRECT(ADDRESS(11,X482,,,"Inputs"))=0,"",INDIRECT(ADDRESS(11,X482,,,"Inputs")))</f>
      </c>
      <c r="C471" s="136"/>
      <c r="D471" s="109" t="s">
        <v>22</v>
      </c>
      <c r="E471" s="142" t="str">
        <f ref="E471:E471" t="array">IF(ISBLANK(INDIRECT(ADDRESS(39,X482,,,"Inputs"))),"",INDIRECT(ADDRESS(39,X482,,,"Inputs")))</f>
      </c>
      <c r="F471" s="143"/>
      <c r="G471" s="143"/>
      <c r="H471" s="118" t="str">
        <f ref="H471:H471" t="array">IF(ISBLANK(INDIRECT(ADDRESS(39,X482,,,"Inputs"))),"",INDIRECT(ADDRESS(39,X482,,,"Inputs")))</f>
      </c>
      <c r="I471" s="120" t="str">
        <f ref="I471:I471" t="array">IFERROR(INDIRECT(ADDRESS(67,X482,,,"Inputs")), "")</f>
      </c>
      <c r="J471" s="155" t="str">
        <f ref="J471:J471" t="array">IFERROR(INDIRECT(ADDRESS(68,X482,,,"Inputs")), "")</f>
      </c>
      <c r="K471" s="146"/>
      <c r="L471" s="136"/>
      <c r="M471" s="146"/>
      <c r="N471" s="146"/>
      <c r="O471" s="138" t="str">
        <f>IFERROR(J471/I471, "")</f>
      </c>
      <c r="P471" s="147"/>
      <c r="Q471" s="136" t="s">
        <v>23</v>
      </c>
      <c r="R471" s="146"/>
      <c r="S471" s="146"/>
      <c r="T471" s="146"/>
      <c r="U471" s="146"/>
      <c r="V471" s="161"/>
      <c r="AA471" s="0">
        <f>AA464</f>
        <v>1</v>
      </c>
    </row>
    <row r="472" ht="18" customHeight="1">
      <c r="A472" s="117" t="s">
        <v>24</v>
      </c>
      <c r="B472" s="141" t="str">
        <f ref="B472:B472" t="array">IF(INDIRECT(ADDRESS(75,X482,,,"Inputs"))=0,"",INDIRECT(ADDRESS(75,X482,,,"Inputs")))</f>
      </c>
      <c r="C472" s="141"/>
      <c r="D472" s="109" t="s">
        <v>25</v>
      </c>
      <c r="E472" s="142" t="str">
        <f ref="E472:E472" t="array">IF(ISBLANK(INDIRECT(ADDRESS(41,X482,,,"Inputs"))),"",INDIRECT(ADDRESS(41,X482,,,"Inputs")))</f>
      </c>
      <c r="F472" s="143"/>
      <c r="G472" s="143"/>
      <c r="H472" s="118" t="str">
        <f ref="H472:H472" t="array">IF(ISBLANK(INDIRECT(ADDRESS(41,X482,,,"Inputs"))),"",INDIRECT(ADDRESS(41,X482,,,"Inputs")))</f>
      </c>
      <c r="I472" s="119" t="str">
        <f ref="I472:I472" t="array">IFERROR(INDIRECT(ADDRESS(71,X482,,,"Inputs")), "")</f>
      </c>
      <c r="J472" s="144" t="str">
        <f ref="J472:J472" t="array">IFERROR(INDIRECT(ADDRESS(72,X482,,,"Inputs")), "")</f>
      </c>
      <c r="K472" s="145"/>
      <c r="L472" s="136" t="s">
        <v>20</v>
      </c>
      <c r="M472" s="146"/>
      <c r="N472" s="146"/>
      <c r="O472" s="138" t="str">
        <f ref="O472:O472" t="array">IF(ISBLANK(INDIRECT(ADDRESS(42,X482,,,"Inputs"))), "-", IFERROR(I472 / J472, ""))</f>
        <v>-</v>
      </c>
      <c r="P472" s="147"/>
      <c r="Q472" s="144" t="str">
        <f ref="Q472:Q472" t="array">IF(INDIRECT(ADDRESS(24,X482,,,"Inputs"))=0,"0",INDIRECT(ADDRESS(24,X482,,,"Inputs")))</f>
        <v>0</v>
      </c>
      <c r="R472" s="145"/>
      <c r="S472" s="145"/>
      <c r="T472" s="145"/>
      <c r="U472" s="145"/>
      <c r="V472" s="172"/>
      <c r="AA472" s="0">
        <f>AA464</f>
        <v>1</v>
      </c>
    </row>
    <row r="473" ht="36" customHeight="1">
      <c r="A473" s="117" t="s">
        <v>26</v>
      </c>
      <c r="B473" s="136" t="str">
        <f ref="B473:B473" t="array">IF(INDIRECT(ADDRESS(17,X482,,,"Inputs"))=0,"",INDIRECT(ADDRESS(17,X482,,,"Inputs")))</f>
      </c>
      <c r="C473" s="136"/>
      <c r="D473" s="111" t="s">
        <v>27</v>
      </c>
      <c r="E473" s="142" t="str">
        <f ref="E473:E473" t="array">IF(ISBLANK(INDIRECT(ADDRESS(43,X482,,,"Inputs"))),"",INDIRECT(ADDRESS(43,X482,,,"Inputs")))</f>
      </c>
      <c r="F473" s="143"/>
      <c r="G473" s="143"/>
      <c r="H473" s="118" t="str">
        <f ref="H473:H473" t="array">IF(ISBLANK(INDIRECT(ADDRESS(43,X482,,,"Inputs"))),"",INDIRECT(ADDRESS(43,X482,,,"Inputs")))</f>
      </c>
      <c r="I473" s="121" t="str">
        <f ref="I473:I473" t="array">IFERROR(INDIRECT(ADDRESS(73,X482,,,"Inputs")), "")</f>
      </c>
      <c r="J473" s="144" t="str">
        <f ref="J473:J473" t="array">IFERROR(INDIRECT(ADDRESS(74,X482,,,"Inputs")), "")</f>
      </c>
      <c r="K473" s="145"/>
      <c r="L473" s="136" t="s">
        <v>20</v>
      </c>
      <c r="M473" s="146"/>
      <c r="N473" s="146"/>
      <c r="O473" s="138" t="str">
        <f ref="O473:O473" t="array">IF(ISBLANK(INDIRECT(ADDRESS(44,X482,,,"Inputs"))), "-", IFERROR(I473 / J473, ""))</f>
        <v>-</v>
      </c>
      <c r="P473" s="147"/>
      <c r="Q473" s="177" t="s">
        <v>28</v>
      </c>
      <c r="R473" s="146"/>
      <c r="S473" s="146"/>
      <c r="T473" s="146"/>
      <c r="U473" s="146"/>
      <c r="V473" s="161"/>
      <c r="AA473" s="0">
        <f>AA464</f>
        <v>1</v>
      </c>
    </row>
    <row r="474" ht="18" customHeight="1">
      <c r="A474" s="117" t="s">
        <v>29</v>
      </c>
      <c r="B474" s="141" t="str">
        <f ref="B474:B474" t="array">IF(INDIRECT(ADDRESS(31,X482,,,"Inputs"))=0,"",INDIRECT(ADDRESS(31,X482,,,"Inputs")))</f>
      </c>
      <c r="C474" s="178"/>
      <c r="D474" s="179" t="s">
        <v>30</v>
      </c>
      <c r="E474" s="180"/>
      <c r="F474" s="180"/>
      <c r="G474" s="180"/>
      <c r="H474" s="180"/>
      <c r="I474" s="180"/>
      <c r="J474" s="180"/>
      <c r="K474" s="180"/>
      <c r="L474" s="180"/>
      <c r="M474" s="180"/>
      <c r="N474" s="180"/>
      <c r="O474" s="180"/>
      <c r="P474" s="181"/>
      <c r="Q474" s="136" t="s">
        <v>31</v>
      </c>
      <c r="R474" s="146"/>
      <c r="S474" s="146"/>
      <c r="T474" s="165">
        <f ref="T474:T474" t="array">IFERROR(INDIRECT(ADDRESS(77,X482,,,"Inputs")), "")</f>
        <v>0</v>
      </c>
      <c r="U474" s="166"/>
      <c r="V474" s="167"/>
      <c r="AA474" s="0">
        <f>AA464</f>
        <v>1</v>
      </c>
    </row>
    <row r="475" ht="18" customHeight="1">
      <c r="A475" s="117" t="s">
        <v>32</v>
      </c>
      <c r="B475" s="148" t="str">
        <f ref="B475:B475" t="array">IF(INDIRECT(ADDRESS(83,X482,,,"Inputs"))=0,"",INDIRECT(ADDRESS(83,X482,,,"Inputs")))</f>
      </c>
      <c r="C475" s="149"/>
      <c r="D475" s="158">
        <f ref="D475:D475" t="array">INDIRECT(ADDRESS(26,X482,,,"Inputs"))</f>
        <v>0</v>
      </c>
      <c r="E475" s="158"/>
      <c r="F475" s="158"/>
      <c r="G475" s="158"/>
      <c r="H475" s="158"/>
      <c r="I475" s="158"/>
      <c r="J475" s="158"/>
      <c r="K475" s="158"/>
      <c r="L475" s="158"/>
      <c r="M475" s="158"/>
      <c r="N475" s="158"/>
      <c r="O475" s="158"/>
      <c r="P475" s="158"/>
      <c r="Q475" s="136" t="s">
        <v>33</v>
      </c>
      <c r="R475" s="146"/>
      <c r="S475" s="146"/>
      <c r="T475" s="165">
        <f ref="T475:T475" t="array">IFERROR(INDIRECT(ADDRESS(86,X482,,,"Inputs")), "")</f>
        <v>0</v>
      </c>
      <c r="U475" s="166"/>
      <c r="V475" s="167"/>
      <c r="AA475" s="0">
        <f>AA464</f>
        <v>1</v>
      </c>
    </row>
    <row r="476" ht="18" customHeight="1">
      <c r="A476" s="150" t="s">
        <v>34</v>
      </c>
      <c r="B476" s="146"/>
      <c r="C476" s="151"/>
      <c r="D476" s="158"/>
      <c r="E476" s="158"/>
      <c r="F476" s="158"/>
      <c r="G476" s="158"/>
      <c r="H476" s="158"/>
      <c r="I476" s="158"/>
      <c r="J476" s="158"/>
      <c r="K476" s="158"/>
      <c r="L476" s="158"/>
      <c r="M476" s="158"/>
      <c r="N476" s="158"/>
      <c r="O476" s="158"/>
      <c r="P476" s="158"/>
      <c r="Q476" s="136" t="s">
        <v>35</v>
      </c>
      <c r="R476" s="146"/>
      <c r="S476" s="146"/>
      <c r="T476" s="165">
        <f ref="T476:T476" t="array">IFERROR(INDIRECT(ADDRESS(78,X482,,,"Inputs")), "")</f>
        <v>0</v>
      </c>
      <c r="U476" s="166"/>
      <c r="V476" s="167"/>
      <c r="AA476" s="0">
        <f>AA464</f>
        <v>1</v>
      </c>
    </row>
    <row r="477" ht="18" customHeight="1">
      <c r="A477" s="117" t="s">
        <v>36</v>
      </c>
      <c r="B477" s="141" t="str">
        <f ref="B477:B477" t="array">IF(INDIRECT(ADDRESS(30,X482,,,"Inputs"))=0,"",INDIRECT(ADDRESS(30,X482,,,"Inputs")))</f>
      </c>
      <c r="C477" s="141"/>
      <c r="D477" s="158"/>
      <c r="E477" s="158"/>
      <c r="F477" s="158"/>
      <c r="G477" s="158"/>
      <c r="H477" s="158"/>
      <c r="I477" s="158"/>
      <c r="J477" s="158"/>
      <c r="K477" s="158"/>
      <c r="L477" s="158"/>
      <c r="M477" s="158"/>
      <c r="N477" s="158"/>
      <c r="O477" s="158"/>
      <c r="P477" s="158"/>
      <c r="Q477" s="136" t="s">
        <v>37</v>
      </c>
      <c r="R477" s="146"/>
      <c r="S477" s="146"/>
      <c r="T477" s="165">
        <f ref="T477:T477" t="array">IFERROR(INDIRECT(ADDRESS(45,X482,,,"Inputs")), "")</f>
        <v>0</v>
      </c>
      <c r="U477" s="166"/>
      <c r="V477" s="167"/>
      <c r="AA477" s="0">
        <f>AA464</f>
        <v>1</v>
      </c>
    </row>
    <row r="478" ht="18" customHeight="1">
      <c r="A478" s="117" t="s">
        <v>38</v>
      </c>
      <c r="B478" s="136" t="str">
        <f ref="B478:B478" t="array">IF(INDIRECT(ADDRESS(32,X482,,,"Inputs"))=0,"",INDIRECT(ADDRESS(32,X482,,,"Inputs")))</f>
      </c>
      <c r="C478" s="136"/>
      <c r="D478" s="158"/>
      <c r="E478" s="158"/>
      <c r="F478" s="158"/>
      <c r="G478" s="158"/>
      <c r="H478" s="158"/>
      <c r="I478" s="158"/>
      <c r="J478" s="158"/>
      <c r="K478" s="158"/>
      <c r="L478" s="158"/>
      <c r="M478" s="158"/>
      <c r="N478" s="158"/>
      <c r="O478" s="158"/>
      <c r="P478" s="158"/>
      <c r="Q478" s="136" t="s">
        <v>39</v>
      </c>
      <c r="R478" s="146"/>
      <c r="S478" s="146"/>
      <c r="T478" s="165">
        <f ref="T478:T478" t="array">IFERROR(INDIRECT(ADDRESS(79,X482,,,"Inputs")), "")</f>
        <v>0</v>
      </c>
      <c r="U478" s="166"/>
      <c r="V478" s="167"/>
      <c r="AA478" s="0">
        <f>AA464</f>
        <v>1</v>
      </c>
    </row>
    <row r="479" ht="18" customHeight="1">
      <c r="A479" s="152" t="s">
        <v>40</v>
      </c>
      <c r="B479" s="153"/>
      <c r="C479" s="154"/>
      <c r="D479" s="158"/>
      <c r="E479" s="158"/>
      <c r="F479" s="158"/>
      <c r="G479" s="158"/>
      <c r="H479" s="158"/>
      <c r="I479" s="158"/>
      <c r="J479" s="158"/>
      <c r="K479" s="158"/>
      <c r="L479" s="158"/>
      <c r="M479" s="158"/>
      <c r="N479" s="158"/>
      <c r="O479" s="158"/>
      <c r="P479" s="158"/>
      <c r="Q479" s="136" t="s">
        <v>41</v>
      </c>
      <c r="R479" s="146"/>
      <c r="S479" s="146"/>
      <c r="T479" s="165">
        <f ref="T479:T479" t="array">IFERROR(INDIRECT(ADDRESS(80,X482,,,"Inputs")), "")</f>
        <v>0</v>
      </c>
      <c r="U479" s="166"/>
      <c r="V479" s="167"/>
      <c r="W479" s="0">
        <f ref="W479:W479" t="array">INDIRECT(ADDRESS(34,X482,,,"Inputs"))</f>
        <v>0</v>
      </c>
      <c r="X479" s="3"/>
      <c r="AA479" s="0">
        <f>AA464</f>
        <v>1</v>
      </c>
    </row>
    <row r="480" ht="18" customHeight="1">
      <c r="A480" s="117" t="s">
        <v>42</v>
      </c>
      <c r="B480" s="141" t="str">
        <f ref="B480:B480" t="array">IF(INDIRECT(ADDRESS(33,X482,,,"Inputs"))=0,"",INDIRECT(ADDRESS(33,X482,,,"Inputs")))</f>
      </c>
      <c r="C480" s="141"/>
      <c r="D480" s="158"/>
      <c r="E480" s="158"/>
      <c r="F480" s="158"/>
      <c r="G480" s="158"/>
      <c r="H480" s="158"/>
      <c r="I480" s="158"/>
      <c r="J480" s="158"/>
      <c r="K480" s="158"/>
      <c r="L480" s="158"/>
      <c r="M480" s="158"/>
      <c r="N480" s="158"/>
      <c r="O480" s="158"/>
      <c r="P480" s="158"/>
      <c r="Q480" s="136" t="s">
        <v>43</v>
      </c>
      <c r="R480" s="146"/>
      <c r="S480" s="146"/>
      <c r="T480" s="165">
        <f ref="T480:T480" t="array">IFERROR(INDIRECT(ADDRESS(81,X482,,,"Inputs")), "")</f>
        <v>0</v>
      </c>
      <c r="U480" s="166"/>
      <c r="V480" s="167"/>
      <c r="X480" s="3"/>
      <c r="AA480" s="0">
        <f>AA464</f>
        <v>1</v>
      </c>
    </row>
    <row r="481" ht="36" customHeight="1">
      <c r="A481" s="117" t="s">
        <v>44</v>
      </c>
      <c r="B481" s="156" t="str">
        <f ref="B481:B481" t="array">IF(INDIRECT(ADDRESS(47,X482,,,"Inputs"))=0,"",INDIRECT(ADDRESS(47,X482,,,"Inputs")))</f>
      </c>
      <c r="C481" s="156"/>
      <c r="D481" s="158"/>
      <c r="E481" s="158"/>
      <c r="F481" s="158"/>
      <c r="G481" s="158"/>
      <c r="H481" s="158"/>
      <c r="I481" s="158"/>
      <c r="J481" s="158"/>
      <c r="K481" s="158"/>
      <c r="L481" s="158"/>
      <c r="M481" s="158"/>
      <c r="N481" s="158"/>
      <c r="O481" s="158"/>
      <c r="P481" s="158"/>
      <c r="Q481" s="136" t="s">
        <v>45</v>
      </c>
      <c r="R481" s="146"/>
      <c r="S481" s="146"/>
      <c r="T481" s="136" t="str">
        <f ref="T481:T481" t="array">_xlfn.CONCAT(IFERROR(INDIRECT(ADDRESS(49,X482,,,"Inputs")), ""), " / ", IFERROR(INDIRECT(ADDRESS(48,X482,,,"Inputs")), ""))</f>
        <v> / </v>
      </c>
      <c r="U481" s="146"/>
      <c r="V481" s="161"/>
      <c r="X481" s="3"/>
      <c r="AA481" s="0">
        <f>AA464</f>
        <v>1</v>
      </c>
    </row>
    <row r="482" ht="102" customHeight="1">
      <c r="A482" s="122"/>
      <c r="B482" s="157"/>
      <c r="C482" s="157"/>
      <c r="D482" s="159"/>
      <c r="E482" s="159"/>
      <c r="F482" s="159"/>
      <c r="G482" s="159"/>
      <c r="H482" s="159"/>
      <c r="I482" s="159"/>
      <c r="J482" s="159"/>
      <c r="K482" s="159"/>
      <c r="L482" s="159"/>
      <c r="M482" s="159"/>
      <c r="N482" s="159"/>
      <c r="O482" s="159"/>
      <c r="P482" s="159"/>
      <c r="Q482" s="159"/>
      <c r="R482" s="173"/>
      <c r="S482" s="173"/>
      <c r="T482" s="174"/>
      <c r="U482" s="175"/>
      <c r="V482" s="176"/>
      <c r="W482" s="78" t="s">
        <v>46</v>
      </c>
      <c r="X482" s="78">
        <f>COLUMN(Inputs!IU5)</f>
        <v>255</v>
      </c>
      <c r="AA482" s="0">
        <f>AA464</f>
        <v>1</v>
      </c>
    </row>
    <row r="483" ht="16.5">
      <c r="A483" s="130"/>
      <c r="B483" s="129"/>
      <c r="C483" s="129"/>
      <c r="D483" s="130"/>
      <c r="E483" s="130"/>
      <c r="F483" s="130"/>
      <c r="G483" s="130"/>
      <c r="H483" s="130"/>
      <c r="I483" s="130"/>
      <c r="J483" s="130"/>
      <c r="K483" s="130"/>
      <c r="L483" s="130"/>
      <c r="M483" s="130"/>
      <c r="N483" s="130"/>
      <c r="O483" s="130"/>
      <c r="P483" s="130"/>
      <c r="Q483" s="130"/>
      <c r="R483" s="131"/>
      <c r="S483" s="131"/>
      <c r="T483" s="132"/>
      <c r="U483" s="133"/>
      <c r="V483" s="133"/>
      <c r="W483" s="78"/>
      <c r="X483" s="78"/>
      <c r="AA483" s="0">
        <f>AA465</f>
        <v>1</v>
      </c>
    </row>
    <row r="484" ht="18" customHeight="1">
      <c r="A484" s="139" t="s">
        <v>4</v>
      </c>
      <c r="B484" s="140"/>
      <c r="C484" s="140"/>
      <c r="D484" s="140" t="str">
        <f ref="D484:D484" t="array">CONCATENATE(INDIRECT(ADDRESS(6,X502,,,"Inputs"))," ",INDIRECT(ADDRESS(8,X502,,,"Inputs"))," ",INDIRECT(ADDRESS(9,X502,,,"Inputs")))</f>
      </c>
      <c r="E484" s="140"/>
      <c r="F484" s="140"/>
      <c r="G484" s="140"/>
      <c r="H484" s="140"/>
      <c r="I484" s="140"/>
      <c r="J484" s="140"/>
      <c r="K484" s="140"/>
      <c r="L484" s="140"/>
      <c r="M484" s="140"/>
      <c r="N484" s="140"/>
      <c r="O484" s="140"/>
      <c r="P484" s="140"/>
      <c r="Q484" s="113"/>
      <c r="R484" s="113"/>
      <c r="S484" s="113"/>
      <c r="T484" s="113"/>
      <c r="U484" s="113"/>
      <c r="V484" s="114"/>
      <c r="AA484" s="0">
        <f>IF(LEN(TRIM(A484))=0,0,1)</f>
        <v>1</v>
      </c>
    </row>
    <row r="485" ht="18" customHeight="1">
      <c r="A485" s="134" t="str">
        <f ref="A485:A485" t="array">IF(INDIRECT(ADDRESS(50,X502,,,"Inputs"))=0,"",INDIRECT(ADDRESS(50,X502,,,"Inputs")))</f>
      </c>
      <c r="B485" s="135"/>
      <c r="C485" s="135"/>
      <c r="D485" s="136" t="str">
        <f ref="D485:D485" t="array">IF(INDIRECT(ADDRESS(10,X502,,,"Inputs"))=0,"",INDIRECT(ADDRESS(10,X502,,,"Inputs")))</f>
      </c>
      <c r="E485" s="136"/>
      <c r="F485" s="136"/>
      <c r="G485" s="136"/>
      <c r="H485" s="136"/>
      <c r="I485" s="136"/>
      <c r="J485" s="136"/>
      <c r="K485" s="136"/>
      <c r="L485" s="136"/>
      <c r="M485" s="136"/>
      <c r="N485" s="136"/>
      <c r="O485" s="136"/>
      <c r="P485" s="136"/>
      <c r="Q485" s="110"/>
      <c r="R485" s="110"/>
      <c r="S485" s="110"/>
      <c r="T485" s="110"/>
      <c r="U485" s="110"/>
      <c r="V485" s="115"/>
      <c r="AA485" s="0">
        <f>AA484</f>
        <v>1</v>
      </c>
    </row>
    <row r="486" ht="18" customHeight="1">
      <c r="A486" s="137" t="s">
        <v>5</v>
      </c>
      <c r="B486" s="136"/>
      <c r="C486" s="136"/>
      <c r="D486" s="136" t="str">
        <f ref="D486:D486" t="array">IF(INDIRECT(ADDRESS(14,X502,,,"Inputs"))=0,"",INDIRECT(ADDRESS(14,X502,,,"Inputs")))</f>
      </c>
      <c r="E486" s="136"/>
      <c r="F486" s="136"/>
      <c r="G486" s="136"/>
      <c r="H486" s="136"/>
      <c r="I486" s="136"/>
      <c r="J486" s="136"/>
      <c r="K486" s="136"/>
      <c r="L486" s="136"/>
      <c r="M486" s="136"/>
      <c r="N486" s="136"/>
      <c r="O486" s="136"/>
      <c r="P486" s="136"/>
      <c r="Q486" s="110"/>
      <c r="R486" s="110"/>
      <c r="S486" s="110"/>
      <c r="T486" s="110"/>
      <c r="U486" s="110"/>
      <c r="V486" s="115"/>
      <c r="AA486" s="0">
        <f>AA484</f>
        <v>1</v>
      </c>
    </row>
    <row r="487" ht="18" customHeight="1">
      <c r="A487" s="134" t="str">
        <f ref="A487:A487" t="array">IF(INDIRECT(ADDRESS(51,X502,,,"Inputs"))=0,"",INDIRECT(ADDRESS(51,X502,,,"Inputs")))</f>
      </c>
      <c r="B487" s="135"/>
      <c r="C487" s="135"/>
      <c r="D487" s="138" t="str">
        <f ref="D487:D487" t="array">INDIRECT(ADDRESS(82,X502,,,"Inputs"))</f>
      </c>
      <c r="E487" s="138"/>
      <c r="F487" s="138"/>
      <c r="G487" s="138"/>
      <c r="H487" s="138"/>
      <c r="I487" s="138"/>
      <c r="J487" s="138"/>
      <c r="K487" s="138"/>
      <c r="L487" s="138"/>
      <c r="M487" s="138"/>
      <c r="N487" s="138"/>
      <c r="O487" s="138"/>
      <c r="P487" s="138"/>
      <c r="Q487" s="112"/>
      <c r="R487" s="112"/>
      <c r="S487" s="112"/>
      <c r="T487" s="112"/>
      <c r="U487" s="112"/>
      <c r="V487" s="116"/>
      <c r="AA487" s="0">
        <f>AA484</f>
        <v>1</v>
      </c>
    </row>
    <row r="488" ht="18" customHeight="1">
      <c r="A488" s="168" t="s">
        <v>6</v>
      </c>
      <c r="B488" s="146"/>
      <c r="C488" s="151"/>
      <c r="D488" s="169" t="s">
        <v>7</v>
      </c>
      <c r="E488" s="146"/>
      <c r="F488" s="146"/>
      <c r="G488" s="146"/>
      <c r="H488" s="146"/>
      <c r="I488" s="146"/>
      <c r="J488" s="146"/>
      <c r="K488" s="146"/>
      <c r="L488" s="146"/>
      <c r="M488" s="146"/>
      <c r="N488" s="146"/>
      <c r="O488" s="146"/>
      <c r="P488" s="151"/>
      <c r="Q488" s="170" t="s">
        <v>8</v>
      </c>
      <c r="R488" s="146"/>
      <c r="S488" s="146"/>
      <c r="T488" s="146"/>
      <c r="U488" s="146"/>
      <c r="V488" s="161"/>
      <c r="AA488" s="0">
        <f>AA484</f>
        <v>1</v>
      </c>
    </row>
    <row r="489" ht="18" customHeight="1">
      <c r="A489" s="117" t="s">
        <v>9</v>
      </c>
      <c r="B489" s="162" t="str">
        <f ref="B489:B489" t="array">IF(INDIRECT(ADDRESS(15,X502,,,"Inputs"))=0,"",INDIRECT(ADDRESS(15,X502,,,"Inputs")))</f>
      </c>
      <c r="C489" s="162"/>
      <c r="D489" s="109" t="s">
        <v>10</v>
      </c>
      <c r="E489" s="136" t="s">
        <v>11</v>
      </c>
      <c r="F489" s="146"/>
      <c r="G489" s="146"/>
      <c r="H489" s="109" t="s">
        <v>12</v>
      </c>
      <c r="I489" s="109" t="s">
        <v>13</v>
      </c>
      <c r="J489" s="136" t="s">
        <v>14</v>
      </c>
      <c r="K489" s="146"/>
      <c r="L489" s="136" t="s">
        <v>15</v>
      </c>
      <c r="M489" s="146"/>
      <c r="N489" s="146"/>
      <c r="O489" s="136" t="s">
        <v>16</v>
      </c>
      <c r="P489" s="146"/>
      <c r="Q489" s="136" t="s">
        <v>17</v>
      </c>
      <c r="R489" s="146"/>
      <c r="S489" s="146"/>
      <c r="T489" s="146"/>
      <c r="U489" s="146"/>
      <c r="V489" s="161"/>
      <c r="AA489" s="0">
        <f>AA484</f>
        <v>1</v>
      </c>
    </row>
    <row r="490" ht="18" customHeight="1">
      <c r="A490" s="117" t="s">
        <v>18</v>
      </c>
      <c r="B490" s="162" t="str">
        <f ref="B490:B490" t="array">IF(INDIRECT(ADDRESS(16,X502,,,"Inputs"))=0,"",INDIRECT(ADDRESS(16,X502,,,"Inputs")))</f>
      </c>
      <c r="C490" s="162"/>
      <c r="D490" s="109" t="s">
        <v>19</v>
      </c>
      <c r="E490" s="142" t="str">
        <f ref="E490:E490" t="array">IF(ISBLANK(INDIRECT(ADDRESS(35,X502,,,"Inputs"))),"",INDIRECT(ADDRESS(35,X502,,,"Inputs")))</f>
      </c>
      <c r="F490" s="143"/>
      <c r="G490" s="143"/>
      <c r="H490" s="118" t="str">
        <f ref="H490:H490" t="array">IF(ISBLANK(INDIRECT(ADDRESS(35,X502,,,"Inputs"))),"",INDIRECT(ADDRESS(35,X502,,,"Inputs")))</f>
      </c>
      <c r="I490" s="119">
        <f ref="I490:I490" t="array">IFERROR(INDIRECT(ADDRESS(65,X502,,,"Inputs")), "")</f>
        <v>0</v>
      </c>
      <c r="J490" s="144" t="str">
        <f ref="J490:J490" t="array">IFERROR(INDIRECT(ADDRESS(66,X502,,,"Inputs")), "")</f>
      </c>
      <c r="K490" s="145"/>
      <c r="L490" s="136" t="s">
        <v>20</v>
      </c>
      <c r="M490" s="146"/>
      <c r="N490" s="146"/>
      <c r="O490" s="138" t="str">
        <f ref="O490:O490" t="array">IF(ISBLANK(INDIRECT(ADDRESS(36,X502,,,"Inputs"))), "-", IFERROR(I490/J490, ""))</f>
        <v>-</v>
      </c>
      <c r="P490" s="147"/>
      <c r="Q490" s="144" t="str">
        <f ref="Q490:Q490" t="array">IF(INDIRECT(ADDRESS(25,X502,,,"Inputs"))=0,"0",INDIRECT(ADDRESS(25,X502,,,"Inputs")))</f>
        <v>0</v>
      </c>
      <c r="R490" s="145"/>
      <c r="S490" s="145"/>
      <c r="T490" s="145"/>
      <c r="U490" s="145"/>
      <c r="V490" s="172"/>
      <c r="AA490" s="0">
        <f>AA484</f>
        <v>1</v>
      </c>
    </row>
    <row r="491" ht="36" customHeight="1">
      <c r="A491" s="117" t="s">
        <v>21</v>
      </c>
      <c r="B491" s="136" t="str">
        <f ref="B491:B491" t="array">IF(INDIRECT(ADDRESS(11,X502,,,"Inputs"))=0,"",INDIRECT(ADDRESS(11,X502,,,"Inputs")))</f>
      </c>
      <c r="C491" s="136"/>
      <c r="D491" s="109" t="s">
        <v>22</v>
      </c>
      <c r="E491" s="142" t="str">
        <f ref="E491:E491" t="array">IF(ISBLANK(INDIRECT(ADDRESS(39,X502,,,"Inputs"))),"",INDIRECT(ADDRESS(39,X502,,,"Inputs")))</f>
      </c>
      <c r="F491" s="143"/>
      <c r="G491" s="143"/>
      <c r="H491" s="118" t="str">
        <f ref="H491:H491" t="array">IF(ISBLANK(INDIRECT(ADDRESS(39,X502,,,"Inputs"))),"",INDIRECT(ADDRESS(39,X502,,,"Inputs")))</f>
      </c>
      <c r="I491" s="120" t="str">
        <f ref="I491:I491" t="array">IFERROR(INDIRECT(ADDRESS(67,X502,,,"Inputs")), "")</f>
      </c>
      <c r="J491" s="155" t="str">
        <f ref="J491:J491" t="array">IFERROR(INDIRECT(ADDRESS(68,X502,,,"Inputs")), "")</f>
      </c>
      <c r="K491" s="146"/>
      <c r="L491" s="136"/>
      <c r="M491" s="146"/>
      <c r="N491" s="146"/>
      <c r="O491" s="138" t="str">
        <f>IFERROR(J491/I491, "")</f>
      </c>
      <c r="P491" s="147"/>
      <c r="Q491" s="136" t="s">
        <v>23</v>
      </c>
      <c r="R491" s="146"/>
      <c r="S491" s="146"/>
      <c r="T491" s="146"/>
      <c r="U491" s="146"/>
      <c r="V491" s="161"/>
      <c r="AA491" s="0">
        <f>AA484</f>
        <v>1</v>
      </c>
    </row>
    <row r="492" ht="18" customHeight="1">
      <c r="A492" s="117" t="s">
        <v>24</v>
      </c>
      <c r="B492" s="141" t="str">
        <f ref="B492:B492" t="array">IF(INDIRECT(ADDRESS(75,X502,,,"Inputs"))=0,"",INDIRECT(ADDRESS(75,X502,,,"Inputs")))</f>
      </c>
      <c r="C492" s="141"/>
      <c r="D492" s="109" t="s">
        <v>25</v>
      </c>
      <c r="E492" s="142" t="str">
        <f ref="E492:E492" t="array">IF(ISBLANK(INDIRECT(ADDRESS(41,X502,,,"Inputs"))),"",INDIRECT(ADDRESS(41,X502,,,"Inputs")))</f>
      </c>
      <c r="F492" s="143"/>
      <c r="G492" s="143"/>
      <c r="H492" s="118" t="str">
        <f ref="H492:H492" t="array">IF(ISBLANK(INDIRECT(ADDRESS(41,X502,,,"Inputs"))),"",INDIRECT(ADDRESS(41,X502,,,"Inputs")))</f>
      </c>
      <c r="I492" s="119" t="str">
        <f ref="I492:I492" t="array">IFERROR(INDIRECT(ADDRESS(71,X502,,,"Inputs")), "")</f>
      </c>
      <c r="J492" s="144" t="str">
        <f ref="J492:J492" t="array">IFERROR(INDIRECT(ADDRESS(72,X502,,,"Inputs")), "")</f>
      </c>
      <c r="K492" s="145"/>
      <c r="L492" s="136" t="s">
        <v>20</v>
      </c>
      <c r="M492" s="146"/>
      <c r="N492" s="146"/>
      <c r="O492" s="138" t="str">
        <f ref="O492:O492" t="array">IF(ISBLANK(INDIRECT(ADDRESS(42,X502,,,"Inputs"))), "-", IFERROR(I492 / J492, ""))</f>
        <v>-</v>
      </c>
      <c r="P492" s="147"/>
      <c r="Q492" s="144" t="str">
        <f ref="Q492:Q492" t="array">IF(INDIRECT(ADDRESS(24,X502,,,"Inputs"))=0,"0",INDIRECT(ADDRESS(24,X502,,,"Inputs")))</f>
        <v>0</v>
      </c>
      <c r="R492" s="145"/>
      <c r="S492" s="145"/>
      <c r="T492" s="145"/>
      <c r="U492" s="145"/>
      <c r="V492" s="172"/>
      <c r="AA492" s="0">
        <f>AA484</f>
        <v>1</v>
      </c>
    </row>
    <row r="493" ht="36" customHeight="1">
      <c r="A493" s="117" t="s">
        <v>26</v>
      </c>
      <c r="B493" s="136" t="str">
        <f ref="B493:B493" t="array">IF(INDIRECT(ADDRESS(17,X502,,,"Inputs"))=0,"",INDIRECT(ADDRESS(17,X502,,,"Inputs")))</f>
      </c>
      <c r="C493" s="136"/>
      <c r="D493" s="111" t="s">
        <v>27</v>
      </c>
      <c r="E493" s="142" t="str">
        <f ref="E493:E493" t="array">IF(ISBLANK(INDIRECT(ADDRESS(43,X502,,,"Inputs"))),"",INDIRECT(ADDRESS(43,X502,,,"Inputs")))</f>
      </c>
      <c r="F493" s="143"/>
      <c r="G493" s="143"/>
      <c r="H493" s="118" t="str">
        <f ref="H493:H493" t="array">IF(ISBLANK(INDIRECT(ADDRESS(43,X502,,,"Inputs"))),"",INDIRECT(ADDRESS(43,X502,,,"Inputs")))</f>
      </c>
      <c r="I493" s="121" t="str">
        <f ref="I493:I493" t="array">IFERROR(INDIRECT(ADDRESS(73,X502,,,"Inputs")), "")</f>
      </c>
      <c r="J493" s="144" t="str">
        <f ref="J493:J493" t="array">IFERROR(INDIRECT(ADDRESS(74,X502,,,"Inputs")), "")</f>
      </c>
      <c r="K493" s="145"/>
      <c r="L493" s="136" t="s">
        <v>20</v>
      </c>
      <c r="M493" s="146"/>
      <c r="N493" s="146"/>
      <c r="O493" s="138" t="str">
        <f ref="O493:O493" t="array">IF(ISBLANK(INDIRECT(ADDRESS(44,X502,,,"Inputs"))), "-", IFERROR(I493 / J493, ""))</f>
        <v>-</v>
      </c>
      <c r="P493" s="147"/>
      <c r="Q493" s="177" t="s">
        <v>28</v>
      </c>
      <c r="R493" s="146"/>
      <c r="S493" s="146"/>
      <c r="T493" s="146"/>
      <c r="U493" s="146"/>
      <c r="V493" s="161"/>
      <c r="AA493" s="0">
        <f>AA484</f>
        <v>1</v>
      </c>
    </row>
    <row r="494" ht="18" customHeight="1">
      <c r="A494" s="117" t="s">
        <v>29</v>
      </c>
      <c r="B494" s="141" t="str">
        <f ref="B494:B494" t="array">IF(INDIRECT(ADDRESS(31,X502,,,"Inputs"))=0,"",INDIRECT(ADDRESS(31,X502,,,"Inputs")))</f>
      </c>
      <c r="C494" s="178"/>
      <c r="D494" s="179" t="s">
        <v>30</v>
      </c>
      <c r="E494" s="180"/>
      <c r="F494" s="180"/>
      <c r="G494" s="180"/>
      <c r="H494" s="180"/>
      <c r="I494" s="180"/>
      <c r="J494" s="180"/>
      <c r="K494" s="180"/>
      <c r="L494" s="180"/>
      <c r="M494" s="180"/>
      <c r="N494" s="180"/>
      <c r="O494" s="180"/>
      <c r="P494" s="181"/>
      <c r="Q494" s="136" t="s">
        <v>31</v>
      </c>
      <c r="R494" s="146"/>
      <c r="S494" s="146"/>
      <c r="T494" s="165">
        <f ref="T494:T494" t="array">IFERROR(INDIRECT(ADDRESS(77,X502,,,"Inputs")), "")</f>
        <v>0</v>
      </c>
      <c r="U494" s="166"/>
      <c r="V494" s="167"/>
      <c r="AA494" s="0">
        <f>AA484</f>
        <v>1</v>
      </c>
    </row>
    <row r="495" ht="18" customHeight="1">
      <c r="A495" s="117" t="s">
        <v>32</v>
      </c>
      <c r="B495" s="148" t="str">
        <f ref="B495:B495" t="array">IF(INDIRECT(ADDRESS(83,X502,,,"Inputs"))=0,"",INDIRECT(ADDRESS(83,X502,,,"Inputs")))</f>
      </c>
      <c r="C495" s="149"/>
      <c r="D495" s="158">
        <f ref="D495:D495" t="array">INDIRECT(ADDRESS(26,X502,,,"Inputs"))</f>
        <v>0</v>
      </c>
      <c r="E495" s="158"/>
      <c r="F495" s="158"/>
      <c r="G495" s="158"/>
      <c r="H495" s="158"/>
      <c r="I495" s="158"/>
      <c r="J495" s="158"/>
      <c r="K495" s="158"/>
      <c r="L495" s="158"/>
      <c r="M495" s="158"/>
      <c r="N495" s="158"/>
      <c r="O495" s="158"/>
      <c r="P495" s="158"/>
      <c r="Q495" s="136" t="s">
        <v>33</v>
      </c>
      <c r="R495" s="146"/>
      <c r="S495" s="146"/>
      <c r="T495" s="165">
        <f ref="T495:T495" t="array">IFERROR(INDIRECT(ADDRESS(86,X502,,,"Inputs")), "")</f>
        <v>0</v>
      </c>
      <c r="U495" s="166"/>
      <c r="V495" s="167"/>
      <c r="AA495" s="0">
        <f>AA484</f>
        <v>1</v>
      </c>
    </row>
    <row r="496" ht="18" customHeight="1">
      <c r="A496" s="150" t="s">
        <v>34</v>
      </c>
      <c r="B496" s="146"/>
      <c r="C496" s="151"/>
      <c r="D496" s="158"/>
      <c r="E496" s="158"/>
      <c r="F496" s="158"/>
      <c r="G496" s="158"/>
      <c r="H496" s="158"/>
      <c r="I496" s="158"/>
      <c r="J496" s="158"/>
      <c r="K496" s="158"/>
      <c r="L496" s="158"/>
      <c r="M496" s="158"/>
      <c r="N496" s="158"/>
      <c r="O496" s="158"/>
      <c r="P496" s="158"/>
      <c r="Q496" s="136" t="s">
        <v>35</v>
      </c>
      <c r="R496" s="146"/>
      <c r="S496" s="146"/>
      <c r="T496" s="165">
        <f ref="T496:T496" t="array">IFERROR(INDIRECT(ADDRESS(78,X502,,,"Inputs")), "")</f>
        <v>0</v>
      </c>
      <c r="U496" s="166"/>
      <c r="V496" s="167"/>
      <c r="AA496" s="0">
        <f>AA484</f>
        <v>1</v>
      </c>
    </row>
    <row r="497" ht="18" customHeight="1">
      <c r="A497" s="117" t="s">
        <v>36</v>
      </c>
      <c r="B497" s="141" t="str">
        <f ref="B497:B497" t="array">IF(INDIRECT(ADDRESS(30,X502,,,"Inputs"))=0,"",INDIRECT(ADDRESS(30,X502,,,"Inputs")))</f>
      </c>
      <c r="C497" s="141"/>
      <c r="D497" s="158"/>
      <c r="E497" s="158"/>
      <c r="F497" s="158"/>
      <c r="G497" s="158"/>
      <c r="H497" s="158"/>
      <c r="I497" s="158"/>
      <c r="J497" s="158"/>
      <c r="K497" s="158"/>
      <c r="L497" s="158"/>
      <c r="M497" s="158"/>
      <c r="N497" s="158"/>
      <c r="O497" s="158"/>
      <c r="P497" s="158"/>
      <c r="Q497" s="136" t="s">
        <v>37</v>
      </c>
      <c r="R497" s="146"/>
      <c r="S497" s="146"/>
      <c r="T497" s="165">
        <f ref="T497:T497" t="array">IFERROR(INDIRECT(ADDRESS(45,X502,,,"Inputs")), "")</f>
        <v>0</v>
      </c>
      <c r="U497" s="166"/>
      <c r="V497" s="167"/>
      <c r="AA497" s="0">
        <f>AA484</f>
        <v>1</v>
      </c>
    </row>
    <row r="498" ht="18" customHeight="1">
      <c r="A498" s="117" t="s">
        <v>38</v>
      </c>
      <c r="B498" s="136" t="str">
        <f ref="B498:B498" t="array">IF(INDIRECT(ADDRESS(32,X502,,,"Inputs"))=0,"",INDIRECT(ADDRESS(32,X502,,,"Inputs")))</f>
      </c>
      <c r="C498" s="136"/>
      <c r="D498" s="158"/>
      <c r="E498" s="158"/>
      <c r="F498" s="158"/>
      <c r="G498" s="158"/>
      <c r="H498" s="158"/>
      <c r="I498" s="158"/>
      <c r="J498" s="158"/>
      <c r="K498" s="158"/>
      <c r="L498" s="158"/>
      <c r="M498" s="158"/>
      <c r="N498" s="158"/>
      <c r="O498" s="158"/>
      <c r="P498" s="158"/>
      <c r="Q498" s="136" t="s">
        <v>39</v>
      </c>
      <c r="R498" s="146"/>
      <c r="S498" s="146"/>
      <c r="T498" s="165">
        <f ref="T498:T498" t="array">IFERROR(INDIRECT(ADDRESS(79,X502,,,"Inputs")), "")</f>
        <v>0</v>
      </c>
      <c r="U498" s="166"/>
      <c r="V498" s="167"/>
      <c r="AA498" s="0">
        <f>AA484</f>
        <v>1</v>
      </c>
    </row>
    <row r="499" ht="18" customHeight="1">
      <c r="A499" s="152" t="s">
        <v>40</v>
      </c>
      <c r="B499" s="153"/>
      <c r="C499" s="154"/>
      <c r="D499" s="158"/>
      <c r="E499" s="158"/>
      <c r="F499" s="158"/>
      <c r="G499" s="158"/>
      <c r="H499" s="158"/>
      <c r="I499" s="158"/>
      <c r="J499" s="158"/>
      <c r="K499" s="158"/>
      <c r="L499" s="158"/>
      <c r="M499" s="158"/>
      <c r="N499" s="158"/>
      <c r="O499" s="158"/>
      <c r="P499" s="158"/>
      <c r="Q499" s="136" t="s">
        <v>41</v>
      </c>
      <c r="R499" s="146"/>
      <c r="S499" s="146"/>
      <c r="T499" s="165">
        <f ref="T499:T499" t="array">IFERROR(INDIRECT(ADDRESS(80,X502,,,"Inputs")), "")</f>
        <v>0</v>
      </c>
      <c r="U499" s="166"/>
      <c r="V499" s="167"/>
      <c r="W499" s="0">
        <f ref="W499:W499" t="array">INDIRECT(ADDRESS(34,X502,,,"Inputs"))</f>
        <v>0</v>
      </c>
      <c r="X499" s="3"/>
      <c r="AA499" s="0">
        <f>AA484</f>
        <v>1</v>
      </c>
    </row>
    <row r="500" ht="18" customHeight="1">
      <c r="A500" s="117" t="s">
        <v>42</v>
      </c>
      <c r="B500" s="141" t="str">
        <f ref="B500:B500" t="array">IF(INDIRECT(ADDRESS(33,X502,,,"Inputs"))=0,"",INDIRECT(ADDRESS(33,X502,,,"Inputs")))</f>
      </c>
      <c r="C500" s="141"/>
      <c r="D500" s="158"/>
      <c r="E500" s="158"/>
      <c r="F500" s="158"/>
      <c r="G500" s="158"/>
      <c r="H500" s="158"/>
      <c r="I500" s="158"/>
      <c r="J500" s="158"/>
      <c r="K500" s="158"/>
      <c r="L500" s="158"/>
      <c r="M500" s="158"/>
      <c r="N500" s="158"/>
      <c r="O500" s="158"/>
      <c r="P500" s="158"/>
      <c r="Q500" s="136" t="s">
        <v>43</v>
      </c>
      <c r="R500" s="146"/>
      <c r="S500" s="146"/>
      <c r="T500" s="165">
        <f ref="T500:T500" t="array">IFERROR(INDIRECT(ADDRESS(81,X502,,,"Inputs")), "")</f>
        <v>0</v>
      </c>
      <c r="U500" s="166"/>
      <c r="V500" s="167"/>
      <c r="X500" s="3"/>
      <c r="AA500" s="0">
        <f>AA484</f>
        <v>1</v>
      </c>
    </row>
    <row r="501" ht="36" customHeight="1">
      <c r="A501" s="117" t="s">
        <v>44</v>
      </c>
      <c r="B501" s="156" t="str">
        <f ref="B501:B501" t="array">IF(INDIRECT(ADDRESS(47,X502,,,"Inputs"))=0,"",INDIRECT(ADDRESS(47,X502,,,"Inputs")))</f>
      </c>
      <c r="C501" s="156"/>
      <c r="D501" s="158"/>
      <c r="E501" s="158"/>
      <c r="F501" s="158"/>
      <c r="G501" s="158"/>
      <c r="H501" s="158"/>
      <c r="I501" s="158"/>
      <c r="J501" s="158"/>
      <c r="K501" s="158"/>
      <c r="L501" s="158"/>
      <c r="M501" s="158"/>
      <c r="N501" s="158"/>
      <c r="O501" s="158"/>
      <c r="P501" s="158"/>
      <c r="Q501" s="136" t="s">
        <v>45</v>
      </c>
      <c r="R501" s="146"/>
      <c r="S501" s="146"/>
      <c r="T501" s="136" t="str">
        <f ref="T501:T501" t="array">_xlfn.CONCAT(IFERROR(INDIRECT(ADDRESS(49,X502,,,"Inputs")), ""), " / ", IFERROR(INDIRECT(ADDRESS(48,X502,,,"Inputs")), ""))</f>
        <v> / </v>
      </c>
      <c r="U501" s="146"/>
      <c r="V501" s="161"/>
      <c r="X501" s="3"/>
      <c r="AA501" s="0">
        <f>AA484</f>
        <v>1</v>
      </c>
    </row>
    <row r="502" ht="102" customHeight="1">
      <c r="A502" s="122"/>
      <c r="B502" s="157"/>
      <c r="C502" s="157"/>
      <c r="D502" s="159"/>
      <c r="E502" s="159"/>
      <c r="F502" s="159"/>
      <c r="G502" s="159"/>
      <c r="H502" s="159"/>
      <c r="I502" s="159"/>
      <c r="J502" s="159"/>
      <c r="K502" s="159"/>
      <c r="L502" s="159"/>
      <c r="M502" s="159"/>
      <c r="N502" s="159"/>
      <c r="O502" s="159"/>
      <c r="P502" s="159"/>
      <c r="Q502" s="159"/>
      <c r="R502" s="173"/>
      <c r="S502" s="173"/>
      <c r="T502" s="174"/>
      <c r="U502" s="175"/>
      <c r="V502" s="176"/>
      <c r="W502" s="78" t="s">
        <v>46</v>
      </c>
      <c r="X502" s="78">
        <f>COLUMN(Inputs!JF5)</f>
        <v>266</v>
      </c>
      <c r="AA502" s="0">
        <f>AA484</f>
        <v>1</v>
      </c>
    </row>
    <row r="503" ht="16.5">
      <c r="A503" s="130"/>
      <c r="B503" s="129"/>
      <c r="C503" s="129"/>
      <c r="D503" s="130"/>
      <c r="E503" s="130"/>
      <c r="F503" s="130"/>
      <c r="G503" s="130"/>
      <c r="H503" s="130"/>
      <c r="I503" s="130"/>
      <c r="J503" s="130"/>
      <c r="K503" s="130"/>
      <c r="L503" s="130"/>
      <c r="M503" s="130"/>
      <c r="N503" s="130"/>
      <c r="O503" s="130"/>
      <c r="P503" s="130"/>
      <c r="Q503" s="130"/>
      <c r="R503" s="131"/>
      <c r="S503" s="131"/>
      <c r="T503" s="132"/>
      <c r="U503" s="133"/>
      <c r="V503" s="133"/>
      <c r="W503" s="78"/>
      <c r="X503" s="78"/>
      <c r="AA503" s="0">
        <f>AA485</f>
        <v>1</v>
      </c>
    </row>
    <row r="504" ht="18" customHeight="1">
      <c r="A504" s="139" t="s">
        <v>4</v>
      </c>
      <c r="B504" s="140"/>
      <c r="C504" s="140"/>
      <c r="D504" s="140" t="str">
        <f ref="D504:D504" t="array">CONCATENATE(INDIRECT(ADDRESS(6,X522,,,"Inputs"))," ",INDIRECT(ADDRESS(8,X522,,,"Inputs"))," ",INDIRECT(ADDRESS(9,X522,,,"Inputs")))</f>
      </c>
      <c r="E504" s="140"/>
      <c r="F504" s="140"/>
      <c r="G504" s="140"/>
      <c r="H504" s="140"/>
      <c r="I504" s="140"/>
      <c r="J504" s="140"/>
      <c r="K504" s="140"/>
      <c r="L504" s="140"/>
      <c r="M504" s="140"/>
      <c r="N504" s="140"/>
      <c r="O504" s="140"/>
      <c r="P504" s="140"/>
      <c r="Q504" s="113"/>
      <c r="R504" s="113"/>
      <c r="S504" s="113"/>
      <c r="T504" s="113"/>
      <c r="U504" s="113"/>
      <c r="V504" s="114"/>
      <c r="AA504" s="0">
        <f>IF(LEN(TRIM(A504))=0,0,1)</f>
        <v>1</v>
      </c>
    </row>
    <row r="505" ht="18" customHeight="1">
      <c r="A505" s="134" t="str">
        <f ref="A505:A505" t="array">IF(INDIRECT(ADDRESS(50,X522,,,"Inputs"))=0,"",INDIRECT(ADDRESS(50,X522,,,"Inputs")))</f>
      </c>
      <c r="B505" s="135"/>
      <c r="C505" s="135"/>
      <c r="D505" s="136" t="str">
        <f ref="D505:D505" t="array">IF(INDIRECT(ADDRESS(10,X522,,,"Inputs"))=0,"",INDIRECT(ADDRESS(10,X522,,,"Inputs")))</f>
      </c>
      <c r="E505" s="136"/>
      <c r="F505" s="136"/>
      <c r="G505" s="136"/>
      <c r="H505" s="136"/>
      <c r="I505" s="136"/>
      <c r="J505" s="136"/>
      <c r="K505" s="136"/>
      <c r="L505" s="136"/>
      <c r="M505" s="136"/>
      <c r="N505" s="136"/>
      <c r="O505" s="136"/>
      <c r="P505" s="136"/>
      <c r="Q505" s="110"/>
      <c r="R505" s="110"/>
      <c r="S505" s="110"/>
      <c r="T505" s="110"/>
      <c r="U505" s="110"/>
      <c r="V505" s="115"/>
      <c r="AA505" s="0">
        <f>AA504</f>
        <v>1</v>
      </c>
    </row>
    <row r="506" ht="18" customHeight="1">
      <c r="A506" s="137" t="s">
        <v>5</v>
      </c>
      <c r="B506" s="136"/>
      <c r="C506" s="136"/>
      <c r="D506" s="136" t="str">
        <f ref="D506:D506" t="array">IF(INDIRECT(ADDRESS(14,X522,,,"Inputs"))=0,"",INDIRECT(ADDRESS(14,X522,,,"Inputs")))</f>
      </c>
      <c r="E506" s="136"/>
      <c r="F506" s="136"/>
      <c r="G506" s="136"/>
      <c r="H506" s="136"/>
      <c r="I506" s="136"/>
      <c r="J506" s="136"/>
      <c r="K506" s="136"/>
      <c r="L506" s="136"/>
      <c r="M506" s="136"/>
      <c r="N506" s="136"/>
      <c r="O506" s="136"/>
      <c r="P506" s="136"/>
      <c r="Q506" s="110"/>
      <c r="R506" s="110"/>
      <c r="S506" s="110"/>
      <c r="T506" s="110"/>
      <c r="U506" s="110"/>
      <c r="V506" s="115"/>
      <c r="AA506" s="0">
        <f>AA504</f>
        <v>1</v>
      </c>
    </row>
    <row r="507" ht="18" customHeight="1">
      <c r="A507" s="134" t="str">
        <f ref="A507:A507" t="array">IF(INDIRECT(ADDRESS(51,X522,,,"Inputs"))=0,"",INDIRECT(ADDRESS(51,X522,,,"Inputs")))</f>
      </c>
      <c r="B507" s="135"/>
      <c r="C507" s="135"/>
      <c r="D507" s="138" t="str">
        <f ref="D507:D507" t="array">INDIRECT(ADDRESS(82,X522,,,"Inputs"))</f>
      </c>
      <c r="E507" s="138"/>
      <c r="F507" s="138"/>
      <c r="G507" s="138"/>
      <c r="H507" s="138"/>
      <c r="I507" s="138"/>
      <c r="J507" s="138"/>
      <c r="K507" s="138"/>
      <c r="L507" s="138"/>
      <c r="M507" s="138"/>
      <c r="N507" s="138"/>
      <c r="O507" s="138"/>
      <c r="P507" s="138"/>
      <c r="Q507" s="112"/>
      <c r="R507" s="112"/>
      <c r="S507" s="112"/>
      <c r="T507" s="112"/>
      <c r="U507" s="112"/>
      <c r="V507" s="116"/>
      <c r="AA507" s="0">
        <f>AA504</f>
        <v>1</v>
      </c>
    </row>
    <row r="508" ht="18" customHeight="1">
      <c r="A508" s="168" t="s">
        <v>6</v>
      </c>
      <c r="B508" s="146"/>
      <c r="C508" s="151"/>
      <c r="D508" s="169" t="s">
        <v>7</v>
      </c>
      <c r="E508" s="146"/>
      <c r="F508" s="146"/>
      <c r="G508" s="146"/>
      <c r="H508" s="146"/>
      <c r="I508" s="146"/>
      <c r="J508" s="146"/>
      <c r="K508" s="146"/>
      <c r="L508" s="146"/>
      <c r="M508" s="146"/>
      <c r="N508" s="146"/>
      <c r="O508" s="146"/>
      <c r="P508" s="151"/>
      <c r="Q508" s="170" t="s">
        <v>8</v>
      </c>
      <c r="R508" s="146"/>
      <c r="S508" s="146"/>
      <c r="T508" s="146"/>
      <c r="U508" s="146"/>
      <c r="V508" s="161"/>
      <c r="AA508" s="0">
        <f>AA504</f>
        <v>1</v>
      </c>
    </row>
    <row r="509" ht="18" customHeight="1">
      <c r="A509" s="117" t="s">
        <v>9</v>
      </c>
      <c r="B509" s="162" t="str">
        <f ref="B509:B509" t="array">IF(INDIRECT(ADDRESS(15,X522,,,"Inputs"))=0,"",INDIRECT(ADDRESS(15,X522,,,"Inputs")))</f>
      </c>
      <c r="C509" s="162"/>
      <c r="D509" s="109" t="s">
        <v>10</v>
      </c>
      <c r="E509" s="136" t="s">
        <v>11</v>
      </c>
      <c r="F509" s="146"/>
      <c r="G509" s="146"/>
      <c r="H509" s="109" t="s">
        <v>12</v>
      </c>
      <c r="I509" s="109" t="s">
        <v>13</v>
      </c>
      <c r="J509" s="136" t="s">
        <v>14</v>
      </c>
      <c r="K509" s="146"/>
      <c r="L509" s="136" t="s">
        <v>15</v>
      </c>
      <c r="M509" s="146"/>
      <c r="N509" s="146"/>
      <c r="O509" s="136" t="s">
        <v>16</v>
      </c>
      <c r="P509" s="146"/>
      <c r="Q509" s="136" t="s">
        <v>17</v>
      </c>
      <c r="R509" s="146"/>
      <c r="S509" s="146"/>
      <c r="T509" s="146"/>
      <c r="U509" s="146"/>
      <c r="V509" s="161"/>
      <c r="AA509" s="0">
        <f>AA504</f>
        <v>1</v>
      </c>
    </row>
    <row r="510" ht="18" customHeight="1">
      <c r="A510" s="117" t="s">
        <v>18</v>
      </c>
      <c r="B510" s="162" t="str">
        <f ref="B510:B510" t="array">IF(INDIRECT(ADDRESS(16,X522,,,"Inputs"))=0,"",INDIRECT(ADDRESS(16,X522,,,"Inputs")))</f>
      </c>
      <c r="C510" s="162"/>
      <c r="D510" s="109" t="s">
        <v>19</v>
      </c>
      <c r="E510" s="142" t="str">
        <f ref="E510:E510" t="array">IF(ISBLANK(INDIRECT(ADDRESS(35,X522,,,"Inputs"))),"",INDIRECT(ADDRESS(35,X522,,,"Inputs")))</f>
      </c>
      <c r="F510" s="143"/>
      <c r="G510" s="143"/>
      <c r="H510" s="118" t="str">
        <f ref="H510:H510" t="array">IF(ISBLANK(INDIRECT(ADDRESS(35,X522,,,"Inputs"))),"",INDIRECT(ADDRESS(35,X522,,,"Inputs")))</f>
      </c>
      <c r="I510" s="119">
        <f ref="I510:I510" t="array">IFERROR(INDIRECT(ADDRESS(65,X522,,,"Inputs")), "")</f>
        <v>0</v>
      </c>
      <c r="J510" s="144" t="str">
        <f ref="J510:J510" t="array">IFERROR(INDIRECT(ADDRESS(66,X522,,,"Inputs")), "")</f>
      </c>
      <c r="K510" s="145"/>
      <c r="L510" s="136" t="s">
        <v>20</v>
      </c>
      <c r="M510" s="146"/>
      <c r="N510" s="146"/>
      <c r="O510" s="138" t="str">
        <f ref="O510:O510" t="array">IF(ISBLANK(INDIRECT(ADDRESS(36,X522,,,"Inputs"))), "-", IFERROR(I510/J510, ""))</f>
        <v>-</v>
      </c>
      <c r="P510" s="147"/>
      <c r="Q510" s="144" t="str">
        <f ref="Q510:Q510" t="array">IF(INDIRECT(ADDRESS(25,X522,,,"Inputs"))=0,"0",INDIRECT(ADDRESS(25,X522,,,"Inputs")))</f>
        <v>0</v>
      </c>
      <c r="R510" s="145"/>
      <c r="S510" s="145"/>
      <c r="T510" s="145"/>
      <c r="U510" s="145"/>
      <c r="V510" s="172"/>
      <c r="AA510" s="0">
        <f>AA504</f>
        <v>1</v>
      </c>
    </row>
    <row r="511" ht="36" customHeight="1">
      <c r="A511" s="117" t="s">
        <v>21</v>
      </c>
      <c r="B511" s="136" t="str">
        <f ref="B511:B511" t="array">IF(INDIRECT(ADDRESS(11,X522,,,"Inputs"))=0,"",INDIRECT(ADDRESS(11,X522,,,"Inputs")))</f>
      </c>
      <c r="C511" s="136"/>
      <c r="D511" s="109" t="s">
        <v>22</v>
      </c>
      <c r="E511" s="142" t="str">
        <f ref="E511:E511" t="array">IF(ISBLANK(INDIRECT(ADDRESS(39,X522,,,"Inputs"))),"",INDIRECT(ADDRESS(39,X522,,,"Inputs")))</f>
      </c>
      <c r="F511" s="143"/>
      <c r="G511" s="143"/>
      <c r="H511" s="118" t="str">
        <f ref="H511:H511" t="array">IF(ISBLANK(INDIRECT(ADDRESS(39,X522,,,"Inputs"))),"",INDIRECT(ADDRESS(39,X522,,,"Inputs")))</f>
      </c>
      <c r="I511" s="120" t="str">
        <f ref="I511:I511" t="array">IFERROR(INDIRECT(ADDRESS(67,X522,,,"Inputs")), "")</f>
      </c>
      <c r="J511" s="155" t="str">
        <f ref="J511:J511" t="array">IFERROR(INDIRECT(ADDRESS(68,X522,,,"Inputs")), "")</f>
      </c>
      <c r="K511" s="146"/>
      <c r="L511" s="136"/>
      <c r="M511" s="146"/>
      <c r="N511" s="146"/>
      <c r="O511" s="138" t="str">
        <f>IFERROR(J511/I511, "")</f>
      </c>
      <c r="P511" s="147"/>
      <c r="Q511" s="136" t="s">
        <v>23</v>
      </c>
      <c r="R511" s="146"/>
      <c r="S511" s="146"/>
      <c r="T511" s="146"/>
      <c r="U511" s="146"/>
      <c r="V511" s="161"/>
      <c r="AA511" s="0">
        <f>AA504</f>
        <v>1</v>
      </c>
    </row>
    <row r="512" ht="18" customHeight="1">
      <c r="A512" s="117" t="s">
        <v>24</v>
      </c>
      <c r="B512" s="141" t="str">
        <f ref="B512:B512" t="array">IF(INDIRECT(ADDRESS(75,X522,,,"Inputs"))=0,"",INDIRECT(ADDRESS(75,X522,,,"Inputs")))</f>
      </c>
      <c r="C512" s="141"/>
      <c r="D512" s="109" t="s">
        <v>25</v>
      </c>
      <c r="E512" s="142" t="str">
        <f ref="E512:E512" t="array">IF(ISBLANK(INDIRECT(ADDRESS(41,X522,,,"Inputs"))),"",INDIRECT(ADDRESS(41,X522,,,"Inputs")))</f>
      </c>
      <c r="F512" s="143"/>
      <c r="G512" s="143"/>
      <c r="H512" s="118" t="str">
        <f ref="H512:H512" t="array">IF(ISBLANK(INDIRECT(ADDRESS(41,X522,,,"Inputs"))),"",INDIRECT(ADDRESS(41,X522,,,"Inputs")))</f>
      </c>
      <c r="I512" s="119" t="str">
        <f ref="I512:I512" t="array">IFERROR(INDIRECT(ADDRESS(71,X522,,,"Inputs")), "")</f>
      </c>
      <c r="J512" s="144" t="str">
        <f ref="J512:J512" t="array">IFERROR(INDIRECT(ADDRESS(72,X522,,,"Inputs")), "")</f>
      </c>
      <c r="K512" s="145"/>
      <c r="L512" s="136" t="s">
        <v>20</v>
      </c>
      <c r="M512" s="146"/>
      <c r="N512" s="146"/>
      <c r="O512" s="138" t="str">
        <f ref="O512:O512" t="array">IF(ISBLANK(INDIRECT(ADDRESS(42,X522,,,"Inputs"))), "-", IFERROR(I512 / J512, ""))</f>
        <v>-</v>
      </c>
      <c r="P512" s="147"/>
      <c r="Q512" s="144" t="str">
        <f ref="Q512:Q512" t="array">IF(INDIRECT(ADDRESS(24,X522,,,"Inputs"))=0,"0",INDIRECT(ADDRESS(24,X522,,,"Inputs")))</f>
        <v>0</v>
      </c>
      <c r="R512" s="145"/>
      <c r="S512" s="145"/>
      <c r="T512" s="145"/>
      <c r="U512" s="145"/>
      <c r="V512" s="172"/>
      <c r="AA512" s="0">
        <f>AA504</f>
        <v>1</v>
      </c>
    </row>
    <row r="513" ht="36" customHeight="1">
      <c r="A513" s="117" t="s">
        <v>26</v>
      </c>
      <c r="B513" s="136" t="str">
        <f ref="B513:B513" t="array">IF(INDIRECT(ADDRESS(17,X522,,,"Inputs"))=0,"",INDIRECT(ADDRESS(17,X522,,,"Inputs")))</f>
      </c>
      <c r="C513" s="136"/>
      <c r="D513" s="111" t="s">
        <v>27</v>
      </c>
      <c r="E513" s="142" t="str">
        <f ref="E513:E513" t="array">IF(ISBLANK(INDIRECT(ADDRESS(43,X522,,,"Inputs"))),"",INDIRECT(ADDRESS(43,X522,,,"Inputs")))</f>
      </c>
      <c r="F513" s="143"/>
      <c r="G513" s="143"/>
      <c r="H513" s="118" t="str">
        <f ref="H513:H513" t="array">IF(ISBLANK(INDIRECT(ADDRESS(43,X522,,,"Inputs"))),"",INDIRECT(ADDRESS(43,X522,,,"Inputs")))</f>
      </c>
      <c r="I513" s="121" t="str">
        <f ref="I513:I513" t="array">IFERROR(INDIRECT(ADDRESS(73,X522,,,"Inputs")), "")</f>
      </c>
      <c r="J513" s="144" t="str">
        <f ref="J513:J513" t="array">IFERROR(INDIRECT(ADDRESS(74,X522,,,"Inputs")), "")</f>
      </c>
      <c r="K513" s="145"/>
      <c r="L513" s="136" t="s">
        <v>20</v>
      </c>
      <c r="M513" s="146"/>
      <c r="N513" s="146"/>
      <c r="O513" s="138" t="str">
        <f ref="O513:O513" t="array">IF(ISBLANK(INDIRECT(ADDRESS(44,X522,,,"Inputs"))), "-", IFERROR(I513 / J513, ""))</f>
        <v>-</v>
      </c>
      <c r="P513" s="147"/>
      <c r="Q513" s="177" t="s">
        <v>28</v>
      </c>
      <c r="R513" s="146"/>
      <c r="S513" s="146"/>
      <c r="T513" s="146"/>
      <c r="U513" s="146"/>
      <c r="V513" s="161"/>
      <c r="AA513" s="0">
        <f>AA504</f>
        <v>1</v>
      </c>
    </row>
    <row r="514" ht="18" customHeight="1">
      <c r="A514" s="117" t="s">
        <v>29</v>
      </c>
      <c r="B514" s="141" t="str">
        <f ref="B514:B514" t="array">IF(INDIRECT(ADDRESS(31,X522,,,"Inputs"))=0,"",INDIRECT(ADDRESS(31,X522,,,"Inputs")))</f>
      </c>
      <c r="C514" s="178"/>
      <c r="D514" s="179" t="s">
        <v>30</v>
      </c>
      <c r="E514" s="180"/>
      <c r="F514" s="180"/>
      <c r="G514" s="180"/>
      <c r="H514" s="180"/>
      <c r="I514" s="180"/>
      <c r="J514" s="180"/>
      <c r="K514" s="180"/>
      <c r="L514" s="180"/>
      <c r="M514" s="180"/>
      <c r="N514" s="180"/>
      <c r="O514" s="180"/>
      <c r="P514" s="181"/>
      <c r="Q514" s="136" t="s">
        <v>31</v>
      </c>
      <c r="R514" s="146"/>
      <c r="S514" s="146"/>
      <c r="T514" s="165">
        <f ref="T514:T514" t="array">IFERROR(INDIRECT(ADDRESS(77,X522,,,"Inputs")), "")</f>
        <v>0</v>
      </c>
      <c r="U514" s="166"/>
      <c r="V514" s="167"/>
      <c r="AA514" s="0">
        <f>AA504</f>
        <v>1</v>
      </c>
    </row>
    <row r="515" ht="18" customHeight="1">
      <c r="A515" s="117" t="s">
        <v>32</v>
      </c>
      <c r="B515" s="148" t="str">
        <f ref="B515:B515" t="array">IF(INDIRECT(ADDRESS(83,X522,,,"Inputs"))=0,"",INDIRECT(ADDRESS(83,X522,,,"Inputs")))</f>
      </c>
      <c r="C515" s="149"/>
      <c r="D515" s="158">
        <f ref="D515:D515" t="array">INDIRECT(ADDRESS(26,X522,,,"Inputs"))</f>
        <v>0</v>
      </c>
      <c r="E515" s="158"/>
      <c r="F515" s="158"/>
      <c r="G515" s="158"/>
      <c r="H515" s="158"/>
      <c r="I515" s="158"/>
      <c r="J515" s="158"/>
      <c r="K515" s="158"/>
      <c r="L515" s="158"/>
      <c r="M515" s="158"/>
      <c r="N515" s="158"/>
      <c r="O515" s="158"/>
      <c r="P515" s="158"/>
      <c r="Q515" s="136" t="s">
        <v>33</v>
      </c>
      <c r="R515" s="146"/>
      <c r="S515" s="146"/>
      <c r="T515" s="165">
        <f ref="T515:T515" t="array">IFERROR(INDIRECT(ADDRESS(86,X522,,,"Inputs")), "")</f>
        <v>0</v>
      </c>
      <c r="U515" s="166"/>
      <c r="V515" s="167"/>
      <c r="AA515" s="0">
        <f>AA504</f>
        <v>1</v>
      </c>
    </row>
    <row r="516" ht="18" customHeight="1">
      <c r="A516" s="150" t="s">
        <v>34</v>
      </c>
      <c r="B516" s="146"/>
      <c r="C516" s="151"/>
      <c r="D516" s="158"/>
      <c r="E516" s="158"/>
      <c r="F516" s="158"/>
      <c r="G516" s="158"/>
      <c r="H516" s="158"/>
      <c r="I516" s="158"/>
      <c r="J516" s="158"/>
      <c r="K516" s="158"/>
      <c r="L516" s="158"/>
      <c r="M516" s="158"/>
      <c r="N516" s="158"/>
      <c r="O516" s="158"/>
      <c r="P516" s="158"/>
      <c r="Q516" s="136" t="s">
        <v>35</v>
      </c>
      <c r="R516" s="146"/>
      <c r="S516" s="146"/>
      <c r="T516" s="165">
        <f ref="T516:T516" t="array">IFERROR(INDIRECT(ADDRESS(78,X522,,,"Inputs")), "")</f>
        <v>0</v>
      </c>
      <c r="U516" s="166"/>
      <c r="V516" s="167"/>
      <c r="AA516" s="0">
        <f>AA504</f>
        <v>1</v>
      </c>
    </row>
    <row r="517" ht="18" customHeight="1">
      <c r="A517" s="117" t="s">
        <v>36</v>
      </c>
      <c r="B517" s="141" t="str">
        <f ref="B517:B517" t="array">IF(INDIRECT(ADDRESS(30,X522,,,"Inputs"))=0,"",INDIRECT(ADDRESS(30,X522,,,"Inputs")))</f>
      </c>
      <c r="C517" s="141"/>
      <c r="D517" s="158"/>
      <c r="E517" s="158"/>
      <c r="F517" s="158"/>
      <c r="G517" s="158"/>
      <c r="H517" s="158"/>
      <c r="I517" s="158"/>
      <c r="J517" s="158"/>
      <c r="K517" s="158"/>
      <c r="L517" s="158"/>
      <c r="M517" s="158"/>
      <c r="N517" s="158"/>
      <c r="O517" s="158"/>
      <c r="P517" s="158"/>
      <c r="Q517" s="136" t="s">
        <v>37</v>
      </c>
      <c r="R517" s="146"/>
      <c r="S517" s="146"/>
      <c r="T517" s="165">
        <f ref="T517:T517" t="array">IFERROR(INDIRECT(ADDRESS(45,X522,,,"Inputs")), "")</f>
        <v>0</v>
      </c>
      <c r="U517" s="166"/>
      <c r="V517" s="167"/>
      <c r="AA517" s="0">
        <f>AA504</f>
        <v>1</v>
      </c>
    </row>
    <row r="518" ht="18" customHeight="1">
      <c r="A518" s="117" t="s">
        <v>38</v>
      </c>
      <c r="B518" s="136" t="str">
        <f ref="B518:B518" t="array">IF(INDIRECT(ADDRESS(32,X522,,,"Inputs"))=0,"",INDIRECT(ADDRESS(32,X522,,,"Inputs")))</f>
      </c>
      <c r="C518" s="136"/>
      <c r="D518" s="158"/>
      <c r="E518" s="158"/>
      <c r="F518" s="158"/>
      <c r="G518" s="158"/>
      <c r="H518" s="158"/>
      <c r="I518" s="158"/>
      <c r="J518" s="158"/>
      <c r="K518" s="158"/>
      <c r="L518" s="158"/>
      <c r="M518" s="158"/>
      <c r="N518" s="158"/>
      <c r="O518" s="158"/>
      <c r="P518" s="158"/>
      <c r="Q518" s="136" t="s">
        <v>39</v>
      </c>
      <c r="R518" s="146"/>
      <c r="S518" s="146"/>
      <c r="T518" s="165">
        <f ref="T518:T518" t="array">IFERROR(INDIRECT(ADDRESS(79,X522,,,"Inputs")), "")</f>
        <v>0</v>
      </c>
      <c r="U518" s="166"/>
      <c r="V518" s="167"/>
      <c r="AA518" s="0">
        <f>AA504</f>
        <v>1</v>
      </c>
    </row>
    <row r="519" ht="18" customHeight="1">
      <c r="A519" s="152" t="s">
        <v>40</v>
      </c>
      <c r="B519" s="153"/>
      <c r="C519" s="154"/>
      <c r="D519" s="158"/>
      <c r="E519" s="158"/>
      <c r="F519" s="158"/>
      <c r="G519" s="158"/>
      <c r="H519" s="158"/>
      <c r="I519" s="158"/>
      <c r="J519" s="158"/>
      <c r="K519" s="158"/>
      <c r="L519" s="158"/>
      <c r="M519" s="158"/>
      <c r="N519" s="158"/>
      <c r="O519" s="158"/>
      <c r="P519" s="158"/>
      <c r="Q519" s="136" t="s">
        <v>41</v>
      </c>
      <c r="R519" s="146"/>
      <c r="S519" s="146"/>
      <c r="T519" s="165">
        <f ref="T519:T519" t="array">IFERROR(INDIRECT(ADDRESS(80,X522,,,"Inputs")), "")</f>
        <v>0</v>
      </c>
      <c r="U519" s="166"/>
      <c r="V519" s="167"/>
      <c r="W519" s="0">
        <f ref="W519:W519" t="array">INDIRECT(ADDRESS(34,X522,,,"Inputs"))</f>
        <v>0</v>
      </c>
      <c r="X519" s="3"/>
      <c r="AA519" s="0">
        <f>AA504</f>
        <v>1</v>
      </c>
    </row>
    <row r="520" ht="18" customHeight="1">
      <c r="A520" s="117" t="s">
        <v>42</v>
      </c>
      <c r="B520" s="141" t="str">
        <f ref="B520:B520" t="array">IF(INDIRECT(ADDRESS(33,X522,,,"Inputs"))=0,"",INDIRECT(ADDRESS(33,X522,,,"Inputs")))</f>
      </c>
      <c r="C520" s="141"/>
      <c r="D520" s="158"/>
      <c r="E520" s="158"/>
      <c r="F520" s="158"/>
      <c r="G520" s="158"/>
      <c r="H520" s="158"/>
      <c r="I520" s="158"/>
      <c r="J520" s="158"/>
      <c r="K520" s="158"/>
      <c r="L520" s="158"/>
      <c r="M520" s="158"/>
      <c r="N520" s="158"/>
      <c r="O520" s="158"/>
      <c r="P520" s="158"/>
      <c r="Q520" s="136" t="s">
        <v>43</v>
      </c>
      <c r="R520" s="146"/>
      <c r="S520" s="146"/>
      <c r="T520" s="165">
        <f ref="T520:T520" t="array">IFERROR(INDIRECT(ADDRESS(81,X522,,,"Inputs")), "")</f>
        <v>0</v>
      </c>
      <c r="U520" s="166"/>
      <c r="V520" s="167"/>
      <c r="X520" s="3"/>
      <c r="AA520" s="0">
        <f>AA504</f>
        <v>1</v>
      </c>
    </row>
    <row r="521" ht="36" customHeight="1">
      <c r="A521" s="117" t="s">
        <v>44</v>
      </c>
      <c r="B521" s="156" t="str">
        <f ref="B521:B521" t="array">IF(INDIRECT(ADDRESS(47,X522,,,"Inputs"))=0,"",INDIRECT(ADDRESS(47,X522,,,"Inputs")))</f>
      </c>
      <c r="C521" s="156"/>
      <c r="D521" s="158"/>
      <c r="E521" s="158"/>
      <c r="F521" s="158"/>
      <c r="G521" s="158"/>
      <c r="H521" s="158"/>
      <c r="I521" s="158"/>
      <c r="J521" s="158"/>
      <c r="K521" s="158"/>
      <c r="L521" s="158"/>
      <c r="M521" s="158"/>
      <c r="N521" s="158"/>
      <c r="O521" s="158"/>
      <c r="P521" s="158"/>
      <c r="Q521" s="136" t="s">
        <v>45</v>
      </c>
      <c r="R521" s="146"/>
      <c r="S521" s="146"/>
      <c r="T521" s="136" t="str">
        <f ref="T521:T521" t="array">_xlfn.CONCAT(IFERROR(INDIRECT(ADDRESS(49,X522,,,"Inputs")), ""), " / ", IFERROR(INDIRECT(ADDRESS(48,X522,,,"Inputs")), ""))</f>
        <v> / </v>
      </c>
      <c r="U521" s="146"/>
      <c r="V521" s="161"/>
      <c r="X521" s="3"/>
      <c r="AA521" s="0">
        <f>AA504</f>
        <v>1</v>
      </c>
    </row>
    <row r="522" ht="102" customHeight="1">
      <c r="A522" s="122"/>
      <c r="B522" s="157"/>
      <c r="C522" s="157"/>
      <c r="D522" s="159"/>
      <c r="E522" s="159"/>
      <c r="F522" s="159"/>
      <c r="G522" s="159"/>
      <c r="H522" s="159"/>
      <c r="I522" s="159"/>
      <c r="J522" s="159"/>
      <c r="K522" s="159"/>
      <c r="L522" s="159"/>
      <c r="M522" s="159"/>
      <c r="N522" s="159"/>
      <c r="O522" s="159"/>
      <c r="P522" s="159"/>
      <c r="Q522" s="159"/>
      <c r="R522" s="173"/>
      <c r="S522" s="173"/>
      <c r="T522" s="174"/>
      <c r="U522" s="175"/>
      <c r="V522" s="176"/>
      <c r="W522" s="78" t="s">
        <v>46</v>
      </c>
      <c r="X522" s="78">
        <f>COLUMN(Inputs!JQ5)</f>
        <v>277</v>
      </c>
      <c r="AA522" s="0">
        <f>AA504</f>
        <v>1</v>
      </c>
    </row>
    <row r="523" ht="16.5">
      <c r="A523" s="130"/>
      <c r="B523" s="129"/>
      <c r="C523" s="129"/>
      <c r="D523" s="130"/>
      <c r="E523" s="130"/>
      <c r="F523" s="130"/>
      <c r="G523" s="130"/>
      <c r="H523" s="130"/>
      <c r="I523" s="130"/>
      <c r="J523" s="130"/>
      <c r="K523" s="130"/>
      <c r="L523" s="130"/>
      <c r="M523" s="130"/>
      <c r="N523" s="130"/>
      <c r="O523" s="130"/>
      <c r="P523" s="130"/>
      <c r="Q523" s="130"/>
      <c r="R523" s="131"/>
      <c r="S523" s="131"/>
      <c r="T523" s="132"/>
      <c r="U523" s="133"/>
      <c r="V523" s="133"/>
      <c r="W523" s="78"/>
      <c r="X523" s="78"/>
      <c r="AA523" s="0">
        <f>AA505</f>
        <v>1</v>
      </c>
    </row>
    <row r="524" ht="18" customHeight="1">
      <c r="A524" s="139" t="s">
        <v>4</v>
      </c>
      <c r="B524" s="140"/>
      <c r="C524" s="140"/>
      <c r="D524" s="140" t="str">
        <f ref="D524:D524" t="array">CONCATENATE(INDIRECT(ADDRESS(6,X542,,,"Inputs"))," ",INDIRECT(ADDRESS(8,X542,,,"Inputs"))," ",INDIRECT(ADDRESS(9,X542,,,"Inputs")))</f>
      </c>
      <c r="E524" s="140"/>
      <c r="F524" s="140"/>
      <c r="G524" s="140"/>
      <c r="H524" s="140"/>
      <c r="I524" s="140"/>
      <c r="J524" s="140"/>
      <c r="K524" s="140"/>
      <c r="L524" s="140"/>
      <c r="M524" s="140"/>
      <c r="N524" s="140"/>
      <c r="O524" s="140"/>
      <c r="P524" s="140"/>
      <c r="Q524" s="113"/>
      <c r="R524" s="113"/>
      <c r="S524" s="113"/>
      <c r="T524" s="113"/>
      <c r="U524" s="113"/>
      <c r="V524" s="114"/>
      <c r="AA524" s="0">
        <f>IF(LEN(TRIM(A524))=0,0,1)</f>
        <v>1</v>
      </c>
    </row>
    <row r="525" ht="18" customHeight="1">
      <c r="A525" s="134" t="str">
        <f ref="A525:A525" t="array">IF(INDIRECT(ADDRESS(50,X542,,,"Inputs"))=0,"",INDIRECT(ADDRESS(50,X542,,,"Inputs")))</f>
      </c>
      <c r="B525" s="135"/>
      <c r="C525" s="135"/>
      <c r="D525" s="136" t="str">
        <f ref="D525:D525" t="array">IF(INDIRECT(ADDRESS(10,X542,,,"Inputs"))=0,"",INDIRECT(ADDRESS(10,X542,,,"Inputs")))</f>
      </c>
      <c r="E525" s="136"/>
      <c r="F525" s="136"/>
      <c r="G525" s="136"/>
      <c r="H525" s="136"/>
      <c r="I525" s="136"/>
      <c r="J525" s="136"/>
      <c r="K525" s="136"/>
      <c r="L525" s="136"/>
      <c r="M525" s="136"/>
      <c r="N525" s="136"/>
      <c r="O525" s="136"/>
      <c r="P525" s="136"/>
      <c r="Q525" s="110"/>
      <c r="R525" s="110"/>
      <c r="S525" s="110"/>
      <c r="T525" s="110"/>
      <c r="U525" s="110"/>
      <c r="V525" s="115"/>
      <c r="AA525" s="0">
        <f>AA524</f>
        <v>1</v>
      </c>
    </row>
    <row r="526" ht="18" customHeight="1">
      <c r="A526" s="137" t="s">
        <v>5</v>
      </c>
      <c r="B526" s="136"/>
      <c r="C526" s="136"/>
      <c r="D526" s="136" t="str">
        <f ref="D526:D526" t="array">IF(INDIRECT(ADDRESS(14,X542,,,"Inputs"))=0,"",INDIRECT(ADDRESS(14,X542,,,"Inputs")))</f>
      </c>
      <c r="E526" s="136"/>
      <c r="F526" s="136"/>
      <c r="G526" s="136"/>
      <c r="H526" s="136"/>
      <c r="I526" s="136"/>
      <c r="J526" s="136"/>
      <c r="K526" s="136"/>
      <c r="L526" s="136"/>
      <c r="M526" s="136"/>
      <c r="N526" s="136"/>
      <c r="O526" s="136"/>
      <c r="P526" s="136"/>
      <c r="Q526" s="110"/>
      <c r="R526" s="110"/>
      <c r="S526" s="110"/>
      <c r="T526" s="110"/>
      <c r="U526" s="110"/>
      <c r="V526" s="115"/>
      <c r="AA526" s="0">
        <f>AA524</f>
        <v>1</v>
      </c>
    </row>
    <row r="527" ht="18" customHeight="1">
      <c r="A527" s="134" t="str">
        <f ref="A527:A527" t="array">IF(INDIRECT(ADDRESS(51,X542,,,"Inputs"))=0,"",INDIRECT(ADDRESS(51,X542,,,"Inputs")))</f>
      </c>
      <c r="B527" s="135"/>
      <c r="C527" s="135"/>
      <c r="D527" s="138" t="str">
        <f ref="D527:D527" t="array">INDIRECT(ADDRESS(82,X542,,,"Inputs"))</f>
      </c>
      <c r="E527" s="138"/>
      <c r="F527" s="138"/>
      <c r="G527" s="138"/>
      <c r="H527" s="138"/>
      <c r="I527" s="138"/>
      <c r="J527" s="138"/>
      <c r="K527" s="138"/>
      <c r="L527" s="138"/>
      <c r="M527" s="138"/>
      <c r="N527" s="138"/>
      <c r="O527" s="138"/>
      <c r="P527" s="138"/>
      <c r="Q527" s="112"/>
      <c r="R527" s="112"/>
      <c r="S527" s="112"/>
      <c r="T527" s="112"/>
      <c r="U527" s="112"/>
      <c r="V527" s="116"/>
      <c r="AA527" s="0">
        <f>AA524</f>
        <v>1</v>
      </c>
    </row>
    <row r="528" ht="18" customHeight="1">
      <c r="A528" s="168" t="s">
        <v>6</v>
      </c>
      <c r="B528" s="146"/>
      <c r="C528" s="151"/>
      <c r="D528" s="169" t="s">
        <v>7</v>
      </c>
      <c r="E528" s="146"/>
      <c r="F528" s="146"/>
      <c r="G528" s="146"/>
      <c r="H528" s="146"/>
      <c r="I528" s="146"/>
      <c r="J528" s="146"/>
      <c r="K528" s="146"/>
      <c r="L528" s="146"/>
      <c r="M528" s="146"/>
      <c r="N528" s="146"/>
      <c r="O528" s="146"/>
      <c r="P528" s="151"/>
      <c r="Q528" s="170" t="s">
        <v>8</v>
      </c>
      <c r="R528" s="146"/>
      <c r="S528" s="146"/>
      <c r="T528" s="146"/>
      <c r="U528" s="146"/>
      <c r="V528" s="161"/>
      <c r="AA528" s="0">
        <f>AA524</f>
        <v>1</v>
      </c>
    </row>
    <row r="529" ht="18" customHeight="1">
      <c r="A529" s="117" t="s">
        <v>9</v>
      </c>
      <c r="B529" s="162" t="str">
        <f ref="B529:B529" t="array">IF(INDIRECT(ADDRESS(15,X542,,,"Inputs"))=0,"",INDIRECT(ADDRESS(15,X542,,,"Inputs")))</f>
      </c>
      <c r="C529" s="162"/>
      <c r="D529" s="109" t="s">
        <v>10</v>
      </c>
      <c r="E529" s="136" t="s">
        <v>11</v>
      </c>
      <c r="F529" s="146"/>
      <c r="G529" s="146"/>
      <c r="H529" s="109" t="s">
        <v>12</v>
      </c>
      <c r="I529" s="109" t="s">
        <v>13</v>
      </c>
      <c r="J529" s="136" t="s">
        <v>14</v>
      </c>
      <c r="K529" s="146"/>
      <c r="L529" s="136" t="s">
        <v>15</v>
      </c>
      <c r="M529" s="146"/>
      <c r="N529" s="146"/>
      <c r="O529" s="136" t="s">
        <v>16</v>
      </c>
      <c r="P529" s="146"/>
      <c r="Q529" s="136" t="s">
        <v>17</v>
      </c>
      <c r="R529" s="146"/>
      <c r="S529" s="146"/>
      <c r="T529" s="146"/>
      <c r="U529" s="146"/>
      <c r="V529" s="161"/>
      <c r="AA529" s="0">
        <f>AA524</f>
        <v>1</v>
      </c>
    </row>
    <row r="530" ht="18" customHeight="1">
      <c r="A530" s="117" t="s">
        <v>18</v>
      </c>
      <c r="B530" s="162" t="str">
        <f ref="B530:B530" t="array">IF(INDIRECT(ADDRESS(16,X542,,,"Inputs"))=0,"",INDIRECT(ADDRESS(16,X542,,,"Inputs")))</f>
      </c>
      <c r="C530" s="162"/>
      <c r="D530" s="109" t="s">
        <v>19</v>
      </c>
      <c r="E530" s="142" t="str">
        <f ref="E530:E530" t="array">IF(ISBLANK(INDIRECT(ADDRESS(35,X542,,,"Inputs"))),"",INDIRECT(ADDRESS(35,X542,,,"Inputs")))</f>
      </c>
      <c r="F530" s="143"/>
      <c r="G530" s="143"/>
      <c r="H530" s="118" t="str">
        <f ref="H530:H530" t="array">IF(ISBLANK(INDIRECT(ADDRESS(35,X542,,,"Inputs"))),"",INDIRECT(ADDRESS(35,X542,,,"Inputs")))</f>
      </c>
      <c r="I530" s="119">
        <f ref="I530:I530" t="array">IFERROR(INDIRECT(ADDRESS(65,X542,,,"Inputs")), "")</f>
        <v>0</v>
      </c>
      <c r="J530" s="144" t="str">
        <f ref="J530:J530" t="array">IFERROR(INDIRECT(ADDRESS(66,X542,,,"Inputs")), "")</f>
      </c>
      <c r="K530" s="145"/>
      <c r="L530" s="136" t="s">
        <v>20</v>
      </c>
      <c r="M530" s="146"/>
      <c r="N530" s="146"/>
      <c r="O530" s="138" t="str">
        <f ref="O530:O530" t="array">IF(ISBLANK(INDIRECT(ADDRESS(36,X542,,,"Inputs"))), "-", IFERROR(I530/J530, ""))</f>
        <v>-</v>
      </c>
      <c r="P530" s="147"/>
      <c r="Q530" s="144" t="str">
        <f ref="Q530:Q530" t="array">IF(INDIRECT(ADDRESS(25,X542,,,"Inputs"))=0,"0",INDIRECT(ADDRESS(25,X542,,,"Inputs")))</f>
        <v>0</v>
      </c>
      <c r="R530" s="145"/>
      <c r="S530" s="145"/>
      <c r="T530" s="145"/>
      <c r="U530" s="145"/>
      <c r="V530" s="172"/>
      <c r="AA530" s="0">
        <f>AA524</f>
        <v>1</v>
      </c>
    </row>
    <row r="531" ht="36" customHeight="1">
      <c r="A531" s="117" t="s">
        <v>21</v>
      </c>
      <c r="B531" s="136" t="str">
        <f ref="B531:B531" t="array">IF(INDIRECT(ADDRESS(11,X542,,,"Inputs"))=0,"",INDIRECT(ADDRESS(11,X542,,,"Inputs")))</f>
      </c>
      <c r="C531" s="136"/>
      <c r="D531" s="109" t="s">
        <v>22</v>
      </c>
      <c r="E531" s="142" t="str">
        <f ref="E531:E531" t="array">IF(ISBLANK(INDIRECT(ADDRESS(39,X542,,,"Inputs"))),"",INDIRECT(ADDRESS(39,X542,,,"Inputs")))</f>
      </c>
      <c r="F531" s="143"/>
      <c r="G531" s="143"/>
      <c r="H531" s="118" t="str">
        <f ref="H531:H531" t="array">IF(ISBLANK(INDIRECT(ADDRESS(39,X542,,,"Inputs"))),"",INDIRECT(ADDRESS(39,X542,,,"Inputs")))</f>
      </c>
      <c r="I531" s="120" t="str">
        <f ref="I531:I531" t="array">IFERROR(INDIRECT(ADDRESS(67,X542,,,"Inputs")), "")</f>
      </c>
      <c r="J531" s="155" t="str">
        <f ref="J531:J531" t="array">IFERROR(INDIRECT(ADDRESS(68,X542,,,"Inputs")), "")</f>
      </c>
      <c r="K531" s="146"/>
      <c r="L531" s="136"/>
      <c r="M531" s="146"/>
      <c r="N531" s="146"/>
      <c r="O531" s="138" t="str">
        <f>IFERROR(J531/I531, "")</f>
      </c>
      <c r="P531" s="147"/>
      <c r="Q531" s="136" t="s">
        <v>23</v>
      </c>
      <c r="R531" s="146"/>
      <c r="S531" s="146"/>
      <c r="T531" s="146"/>
      <c r="U531" s="146"/>
      <c r="V531" s="161"/>
      <c r="AA531" s="0">
        <f>AA524</f>
        <v>1</v>
      </c>
    </row>
    <row r="532" ht="18" customHeight="1">
      <c r="A532" s="117" t="s">
        <v>24</v>
      </c>
      <c r="B532" s="141" t="str">
        <f ref="B532:B532" t="array">IF(INDIRECT(ADDRESS(75,X542,,,"Inputs"))=0,"",INDIRECT(ADDRESS(75,X542,,,"Inputs")))</f>
      </c>
      <c r="C532" s="141"/>
      <c r="D532" s="109" t="s">
        <v>25</v>
      </c>
      <c r="E532" s="142" t="str">
        <f ref="E532:E532" t="array">IF(ISBLANK(INDIRECT(ADDRESS(41,X542,,,"Inputs"))),"",INDIRECT(ADDRESS(41,X542,,,"Inputs")))</f>
      </c>
      <c r="F532" s="143"/>
      <c r="G532" s="143"/>
      <c r="H532" s="118" t="str">
        <f ref="H532:H532" t="array">IF(ISBLANK(INDIRECT(ADDRESS(41,X542,,,"Inputs"))),"",INDIRECT(ADDRESS(41,X542,,,"Inputs")))</f>
      </c>
      <c r="I532" s="119" t="str">
        <f ref="I532:I532" t="array">IFERROR(INDIRECT(ADDRESS(71,X542,,,"Inputs")), "")</f>
      </c>
      <c r="J532" s="144" t="str">
        <f ref="J532:J532" t="array">IFERROR(INDIRECT(ADDRESS(72,X542,,,"Inputs")), "")</f>
      </c>
      <c r="K532" s="145"/>
      <c r="L532" s="136" t="s">
        <v>20</v>
      </c>
      <c r="M532" s="146"/>
      <c r="N532" s="146"/>
      <c r="O532" s="138" t="str">
        <f ref="O532:O532" t="array">IF(ISBLANK(INDIRECT(ADDRESS(42,X542,,,"Inputs"))), "-", IFERROR(I532 / J532, ""))</f>
        <v>-</v>
      </c>
      <c r="P532" s="147"/>
      <c r="Q532" s="144" t="str">
        <f ref="Q532:Q532" t="array">IF(INDIRECT(ADDRESS(24,X542,,,"Inputs"))=0,"0",INDIRECT(ADDRESS(24,X542,,,"Inputs")))</f>
        <v>0</v>
      </c>
      <c r="R532" s="145"/>
      <c r="S532" s="145"/>
      <c r="T532" s="145"/>
      <c r="U532" s="145"/>
      <c r="V532" s="172"/>
      <c r="AA532" s="0">
        <f>AA524</f>
        <v>1</v>
      </c>
    </row>
    <row r="533" ht="36" customHeight="1">
      <c r="A533" s="117" t="s">
        <v>26</v>
      </c>
      <c r="B533" s="136" t="str">
        <f ref="B533:B533" t="array">IF(INDIRECT(ADDRESS(17,X542,,,"Inputs"))=0,"",INDIRECT(ADDRESS(17,X542,,,"Inputs")))</f>
      </c>
      <c r="C533" s="136"/>
      <c r="D533" s="111" t="s">
        <v>27</v>
      </c>
      <c r="E533" s="142" t="str">
        <f ref="E533:E533" t="array">IF(ISBLANK(INDIRECT(ADDRESS(43,X542,,,"Inputs"))),"",INDIRECT(ADDRESS(43,X542,,,"Inputs")))</f>
      </c>
      <c r="F533" s="143"/>
      <c r="G533" s="143"/>
      <c r="H533" s="118" t="str">
        <f ref="H533:H533" t="array">IF(ISBLANK(INDIRECT(ADDRESS(43,X542,,,"Inputs"))),"",INDIRECT(ADDRESS(43,X542,,,"Inputs")))</f>
      </c>
      <c r="I533" s="121" t="str">
        <f ref="I533:I533" t="array">IFERROR(INDIRECT(ADDRESS(73,X542,,,"Inputs")), "")</f>
      </c>
      <c r="J533" s="144" t="str">
        <f ref="J533:J533" t="array">IFERROR(INDIRECT(ADDRESS(74,X542,,,"Inputs")), "")</f>
      </c>
      <c r="K533" s="145"/>
      <c r="L533" s="136" t="s">
        <v>20</v>
      </c>
      <c r="M533" s="146"/>
      <c r="N533" s="146"/>
      <c r="O533" s="138" t="str">
        <f ref="O533:O533" t="array">IF(ISBLANK(INDIRECT(ADDRESS(44,X542,,,"Inputs"))), "-", IFERROR(I533 / J533, ""))</f>
        <v>-</v>
      </c>
      <c r="P533" s="147"/>
      <c r="Q533" s="177" t="s">
        <v>28</v>
      </c>
      <c r="R533" s="146"/>
      <c r="S533" s="146"/>
      <c r="T533" s="146"/>
      <c r="U533" s="146"/>
      <c r="V533" s="161"/>
      <c r="AA533" s="0">
        <f>AA524</f>
        <v>1</v>
      </c>
    </row>
    <row r="534" ht="18" customHeight="1">
      <c r="A534" s="117" t="s">
        <v>29</v>
      </c>
      <c r="B534" s="141" t="str">
        <f ref="B534:B534" t="array">IF(INDIRECT(ADDRESS(31,X542,,,"Inputs"))=0,"",INDIRECT(ADDRESS(31,X542,,,"Inputs")))</f>
      </c>
      <c r="C534" s="178"/>
      <c r="D534" s="179" t="s">
        <v>30</v>
      </c>
      <c r="E534" s="180"/>
      <c r="F534" s="180"/>
      <c r="G534" s="180"/>
      <c r="H534" s="180"/>
      <c r="I534" s="180"/>
      <c r="J534" s="180"/>
      <c r="K534" s="180"/>
      <c r="L534" s="180"/>
      <c r="M534" s="180"/>
      <c r="N534" s="180"/>
      <c r="O534" s="180"/>
      <c r="P534" s="181"/>
      <c r="Q534" s="136" t="s">
        <v>31</v>
      </c>
      <c r="R534" s="146"/>
      <c r="S534" s="146"/>
      <c r="T534" s="165">
        <f ref="T534:T534" t="array">IFERROR(INDIRECT(ADDRESS(77,X542,,,"Inputs")), "")</f>
        <v>0</v>
      </c>
      <c r="U534" s="166"/>
      <c r="V534" s="167"/>
      <c r="AA534" s="0">
        <f>AA524</f>
        <v>1</v>
      </c>
    </row>
    <row r="535" ht="18" customHeight="1">
      <c r="A535" s="117" t="s">
        <v>32</v>
      </c>
      <c r="B535" s="148" t="str">
        <f ref="B535:B535" t="array">IF(INDIRECT(ADDRESS(83,X542,,,"Inputs"))=0,"",INDIRECT(ADDRESS(83,X542,,,"Inputs")))</f>
      </c>
      <c r="C535" s="149"/>
      <c r="D535" s="158">
        <f ref="D535:D535" t="array">INDIRECT(ADDRESS(26,X542,,,"Inputs"))</f>
        <v>0</v>
      </c>
      <c r="E535" s="158"/>
      <c r="F535" s="158"/>
      <c r="G535" s="158"/>
      <c r="H535" s="158"/>
      <c r="I535" s="158"/>
      <c r="J535" s="158"/>
      <c r="K535" s="158"/>
      <c r="L535" s="158"/>
      <c r="M535" s="158"/>
      <c r="N535" s="158"/>
      <c r="O535" s="158"/>
      <c r="P535" s="158"/>
      <c r="Q535" s="136" t="s">
        <v>33</v>
      </c>
      <c r="R535" s="146"/>
      <c r="S535" s="146"/>
      <c r="T535" s="165">
        <f ref="T535:T535" t="array">IFERROR(INDIRECT(ADDRESS(86,X542,,,"Inputs")), "")</f>
        <v>0</v>
      </c>
      <c r="U535" s="166"/>
      <c r="V535" s="167"/>
      <c r="AA535" s="0">
        <f>AA524</f>
        <v>1</v>
      </c>
    </row>
    <row r="536" ht="18" customHeight="1">
      <c r="A536" s="150" t="s">
        <v>34</v>
      </c>
      <c r="B536" s="146"/>
      <c r="C536" s="151"/>
      <c r="D536" s="158"/>
      <c r="E536" s="158"/>
      <c r="F536" s="158"/>
      <c r="G536" s="158"/>
      <c r="H536" s="158"/>
      <c r="I536" s="158"/>
      <c r="J536" s="158"/>
      <c r="K536" s="158"/>
      <c r="L536" s="158"/>
      <c r="M536" s="158"/>
      <c r="N536" s="158"/>
      <c r="O536" s="158"/>
      <c r="P536" s="158"/>
      <c r="Q536" s="136" t="s">
        <v>35</v>
      </c>
      <c r="R536" s="146"/>
      <c r="S536" s="146"/>
      <c r="T536" s="165">
        <f ref="T536:T536" t="array">IFERROR(INDIRECT(ADDRESS(78,X542,,,"Inputs")), "")</f>
        <v>0</v>
      </c>
      <c r="U536" s="166"/>
      <c r="V536" s="167"/>
      <c r="AA536" s="0">
        <f>AA524</f>
        <v>1</v>
      </c>
    </row>
    <row r="537" ht="18" customHeight="1">
      <c r="A537" s="117" t="s">
        <v>36</v>
      </c>
      <c r="B537" s="141" t="str">
        <f ref="B537:B537" t="array">IF(INDIRECT(ADDRESS(30,X542,,,"Inputs"))=0,"",INDIRECT(ADDRESS(30,X542,,,"Inputs")))</f>
      </c>
      <c r="C537" s="141"/>
      <c r="D537" s="158"/>
      <c r="E537" s="158"/>
      <c r="F537" s="158"/>
      <c r="G537" s="158"/>
      <c r="H537" s="158"/>
      <c r="I537" s="158"/>
      <c r="J537" s="158"/>
      <c r="K537" s="158"/>
      <c r="L537" s="158"/>
      <c r="M537" s="158"/>
      <c r="N537" s="158"/>
      <c r="O537" s="158"/>
      <c r="P537" s="158"/>
      <c r="Q537" s="136" t="s">
        <v>37</v>
      </c>
      <c r="R537" s="146"/>
      <c r="S537" s="146"/>
      <c r="T537" s="165">
        <f ref="T537:T537" t="array">IFERROR(INDIRECT(ADDRESS(45,X542,,,"Inputs")), "")</f>
        <v>0</v>
      </c>
      <c r="U537" s="166"/>
      <c r="V537" s="167"/>
      <c r="AA537" s="0">
        <f>AA524</f>
        <v>1</v>
      </c>
    </row>
    <row r="538" ht="18" customHeight="1">
      <c r="A538" s="117" t="s">
        <v>38</v>
      </c>
      <c r="B538" s="136" t="str">
        <f ref="B538:B538" t="array">IF(INDIRECT(ADDRESS(32,X542,,,"Inputs"))=0,"",INDIRECT(ADDRESS(32,X542,,,"Inputs")))</f>
      </c>
      <c r="C538" s="136"/>
      <c r="D538" s="158"/>
      <c r="E538" s="158"/>
      <c r="F538" s="158"/>
      <c r="G538" s="158"/>
      <c r="H538" s="158"/>
      <c r="I538" s="158"/>
      <c r="J538" s="158"/>
      <c r="K538" s="158"/>
      <c r="L538" s="158"/>
      <c r="M538" s="158"/>
      <c r="N538" s="158"/>
      <c r="O538" s="158"/>
      <c r="P538" s="158"/>
      <c r="Q538" s="136" t="s">
        <v>39</v>
      </c>
      <c r="R538" s="146"/>
      <c r="S538" s="146"/>
      <c r="T538" s="165">
        <f ref="T538:T538" t="array">IFERROR(INDIRECT(ADDRESS(79,X542,,,"Inputs")), "")</f>
        <v>0</v>
      </c>
      <c r="U538" s="166"/>
      <c r="V538" s="167"/>
      <c r="AA538" s="0">
        <f>AA524</f>
        <v>1</v>
      </c>
    </row>
    <row r="539" ht="18" customHeight="1">
      <c r="A539" s="152" t="s">
        <v>40</v>
      </c>
      <c r="B539" s="153"/>
      <c r="C539" s="154"/>
      <c r="D539" s="158"/>
      <c r="E539" s="158"/>
      <c r="F539" s="158"/>
      <c r="G539" s="158"/>
      <c r="H539" s="158"/>
      <c r="I539" s="158"/>
      <c r="J539" s="158"/>
      <c r="K539" s="158"/>
      <c r="L539" s="158"/>
      <c r="M539" s="158"/>
      <c r="N539" s="158"/>
      <c r="O539" s="158"/>
      <c r="P539" s="158"/>
      <c r="Q539" s="136" t="s">
        <v>41</v>
      </c>
      <c r="R539" s="146"/>
      <c r="S539" s="146"/>
      <c r="T539" s="165">
        <f ref="T539:T539" t="array">IFERROR(INDIRECT(ADDRESS(80,X542,,,"Inputs")), "")</f>
        <v>0</v>
      </c>
      <c r="U539" s="166"/>
      <c r="V539" s="167"/>
      <c r="W539" s="0">
        <f ref="W539:W539" t="array">INDIRECT(ADDRESS(34,X542,,,"Inputs"))</f>
        <v>0</v>
      </c>
      <c r="X539" s="3"/>
      <c r="AA539" s="0">
        <f>AA524</f>
        <v>1</v>
      </c>
    </row>
    <row r="540" ht="18" customHeight="1">
      <c r="A540" s="117" t="s">
        <v>42</v>
      </c>
      <c r="B540" s="141" t="str">
        <f ref="B540:B540" t="array">IF(INDIRECT(ADDRESS(33,X542,,,"Inputs"))=0,"",INDIRECT(ADDRESS(33,X542,,,"Inputs")))</f>
      </c>
      <c r="C540" s="141"/>
      <c r="D540" s="158"/>
      <c r="E540" s="158"/>
      <c r="F540" s="158"/>
      <c r="G540" s="158"/>
      <c r="H540" s="158"/>
      <c r="I540" s="158"/>
      <c r="J540" s="158"/>
      <c r="K540" s="158"/>
      <c r="L540" s="158"/>
      <c r="M540" s="158"/>
      <c r="N540" s="158"/>
      <c r="O540" s="158"/>
      <c r="P540" s="158"/>
      <c r="Q540" s="136" t="s">
        <v>43</v>
      </c>
      <c r="R540" s="146"/>
      <c r="S540" s="146"/>
      <c r="T540" s="165">
        <f ref="T540:T540" t="array">IFERROR(INDIRECT(ADDRESS(81,X542,,,"Inputs")), "")</f>
        <v>0</v>
      </c>
      <c r="U540" s="166"/>
      <c r="V540" s="167"/>
      <c r="X540" s="3"/>
      <c r="AA540" s="0">
        <f>AA524</f>
        <v>1</v>
      </c>
    </row>
    <row r="541" ht="36" customHeight="1">
      <c r="A541" s="117" t="s">
        <v>44</v>
      </c>
      <c r="B541" s="156" t="str">
        <f ref="B541:B541" t="array">IF(INDIRECT(ADDRESS(47,X542,,,"Inputs"))=0,"",INDIRECT(ADDRESS(47,X542,,,"Inputs")))</f>
      </c>
      <c r="C541" s="156"/>
      <c r="D541" s="158"/>
      <c r="E541" s="158"/>
      <c r="F541" s="158"/>
      <c r="G541" s="158"/>
      <c r="H541" s="158"/>
      <c r="I541" s="158"/>
      <c r="J541" s="158"/>
      <c r="K541" s="158"/>
      <c r="L541" s="158"/>
      <c r="M541" s="158"/>
      <c r="N541" s="158"/>
      <c r="O541" s="158"/>
      <c r="P541" s="158"/>
      <c r="Q541" s="136" t="s">
        <v>45</v>
      </c>
      <c r="R541" s="146"/>
      <c r="S541" s="146"/>
      <c r="T541" s="136" t="str">
        <f ref="T541:T541" t="array">_xlfn.CONCAT(IFERROR(INDIRECT(ADDRESS(49,X542,,,"Inputs")), ""), " / ", IFERROR(INDIRECT(ADDRESS(48,X542,,,"Inputs")), ""))</f>
        <v> / </v>
      </c>
      <c r="U541" s="146"/>
      <c r="V541" s="161"/>
      <c r="X541" s="3"/>
      <c r="AA541" s="0">
        <f>AA524</f>
        <v>1</v>
      </c>
    </row>
    <row r="542" ht="102" customHeight="1">
      <c r="A542" s="122"/>
      <c r="B542" s="157"/>
      <c r="C542" s="157"/>
      <c r="D542" s="159"/>
      <c r="E542" s="159"/>
      <c r="F542" s="159"/>
      <c r="G542" s="159"/>
      <c r="H542" s="159"/>
      <c r="I542" s="159"/>
      <c r="J542" s="159"/>
      <c r="K542" s="159"/>
      <c r="L542" s="159"/>
      <c r="M542" s="159"/>
      <c r="N542" s="159"/>
      <c r="O542" s="159"/>
      <c r="P542" s="159"/>
      <c r="Q542" s="159"/>
      <c r="R542" s="173"/>
      <c r="S542" s="173"/>
      <c r="T542" s="174"/>
      <c r="U542" s="175"/>
      <c r="V542" s="176"/>
      <c r="W542" s="78" t="s">
        <v>46</v>
      </c>
      <c r="X542" s="78">
        <f>COLUMN(Inputs!KB5)</f>
        <v>288</v>
      </c>
      <c r="AA542" s="0">
        <f>AA524</f>
        <v>1</v>
      </c>
    </row>
    <row r="543" ht="16.5">
      <c r="A543" s="130"/>
      <c r="B543" s="129"/>
      <c r="C543" s="129"/>
      <c r="D543" s="130"/>
      <c r="E543" s="130"/>
      <c r="F543" s="130"/>
      <c r="G543" s="130"/>
      <c r="H543" s="130"/>
      <c r="I543" s="130"/>
      <c r="J543" s="130"/>
      <c r="K543" s="130"/>
      <c r="L543" s="130"/>
      <c r="M543" s="130"/>
      <c r="N543" s="130"/>
      <c r="O543" s="130"/>
      <c r="P543" s="130"/>
      <c r="Q543" s="130"/>
      <c r="R543" s="131"/>
      <c r="S543" s="131"/>
      <c r="T543" s="132"/>
      <c r="U543" s="133"/>
      <c r="V543" s="133"/>
      <c r="W543" s="78"/>
      <c r="X543" s="78"/>
      <c r="AA543" s="0">
        <f>AA525</f>
        <v>1</v>
      </c>
    </row>
    <row r="544" ht="18" customHeight="1">
      <c r="A544" s="139" t="s">
        <v>4</v>
      </c>
      <c r="B544" s="140"/>
      <c r="C544" s="140"/>
      <c r="D544" s="140" t="str">
        <f ref="D544:D544" t="array">CONCATENATE(INDIRECT(ADDRESS(6,X562,,,"Inputs"))," ",INDIRECT(ADDRESS(8,X562,,,"Inputs"))," ",INDIRECT(ADDRESS(9,X562,,,"Inputs")))</f>
      </c>
      <c r="E544" s="140"/>
      <c r="F544" s="140"/>
      <c r="G544" s="140"/>
      <c r="H544" s="140"/>
      <c r="I544" s="140"/>
      <c r="J544" s="140"/>
      <c r="K544" s="140"/>
      <c r="L544" s="140"/>
      <c r="M544" s="140"/>
      <c r="N544" s="140"/>
      <c r="O544" s="140"/>
      <c r="P544" s="140"/>
      <c r="Q544" s="113"/>
      <c r="R544" s="113"/>
      <c r="S544" s="113"/>
      <c r="T544" s="113"/>
      <c r="U544" s="113"/>
      <c r="V544" s="114"/>
      <c r="AA544" s="0">
        <f>IF(LEN(TRIM(A544))=0,0,1)</f>
        <v>1</v>
      </c>
    </row>
    <row r="545" ht="18" customHeight="1">
      <c r="A545" s="134" t="str">
        <f ref="A545:A545" t="array">IF(INDIRECT(ADDRESS(50,X562,,,"Inputs"))=0,"",INDIRECT(ADDRESS(50,X562,,,"Inputs")))</f>
      </c>
      <c r="B545" s="135"/>
      <c r="C545" s="135"/>
      <c r="D545" s="136" t="str">
        <f ref="D545:D545" t="array">IF(INDIRECT(ADDRESS(10,X562,,,"Inputs"))=0,"",INDIRECT(ADDRESS(10,X562,,,"Inputs")))</f>
      </c>
      <c r="E545" s="136"/>
      <c r="F545" s="136"/>
      <c r="G545" s="136"/>
      <c r="H545" s="136"/>
      <c r="I545" s="136"/>
      <c r="J545" s="136"/>
      <c r="K545" s="136"/>
      <c r="L545" s="136"/>
      <c r="M545" s="136"/>
      <c r="N545" s="136"/>
      <c r="O545" s="136"/>
      <c r="P545" s="136"/>
      <c r="Q545" s="110"/>
      <c r="R545" s="110"/>
      <c r="S545" s="110"/>
      <c r="T545" s="110"/>
      <c r="U545" s="110"/>
      <c r="V545" s="115"/>
      <c r="AA545" s="0">
        <f>AA544</f>
        <v>1</v>
      </c>
    </row>
    <row r="546" ht="18" customHeight="1">
      <c r="A546" s="137" t="s">
        <v>5</v>
      </c>
      <c r="B546" s="136"/>
      <c r="C546" s="136"/>
      <c r="D546" s="136" t="str">
        <f ref="D546:D546" t="array">IF(INDIRECT(ADDRESS(14,X562,,,"Inputs"))=0,"",INDIRECT(ADDRESS(14,X562,,,"Inputs")))</f>
      </c>
      <c r="E546" s="136"/>
      <c r="F546" s="136"/>
      <c r="G546" s="136"/>
      <c r="H546" s="136"/>
      <c r="I546" s="136"/>
      <c r="J546" s="136"/>
      <c r="K546" s="136"/>
      <c r="L546" s="136"/>
      <c r="M546" s="136"/>
      <c r="N546" s="136"/>
      <c r="O546" s="136"/>
      <c r="P546" s="136"/>
      <c r="Q546" s="110"/>
      <c r="R546" s="110"/>
      <c r="S546" s="110"/>
      <c r="T546" s="110"/>
      <c r="U546" s="110"/>
      <c r="V546" s="115"/>
      <c r="AA546" s="0">
        <f>AA544</f>
        <v>1</v>
      </c>
    </row>
    <row r="547" ht="18" customHeight="1">
      <c r="A547" s="134" t="str">
        <f ref="A547:A547" t="array">IF(INDIRECT(ADDRESS(51,X562,,,"Inputs"))=0,"",INDIRECT(ADDRESS(51,X562,,,"Inputs")))</f>
      </c>
      <c r="B547" s="135"/>
      <c r="C547" s="135"/>
      <c r="D547" s="138" t="str">
        <f ref="D547:D547" t="array">INDIRECT(ADDRESS(82,X562,,,"Inputs"))</f>
      </c>
      <c r="E547" s="138"/>
      <c r="F547" s="138"/>
      <c r="G547" s="138"/>
      <c r="H547" s="138"/>
      <c r="I547" s="138"/>
      <c r="J547" s="138"/>
      <c r="K547" s="138"/>
      <c r="L547" s="138"/>
      <c r="M547" s="138"/>
      <c r="N547" s="138"/>
      <c r="O547" s="138"/>
      <c r="P547" s="138"/>
      <c r="Q547" s="112"/>
      <c r="R547" s="112"/>
      <c r="S547" s="112"/>
      <c r="T547" s="112"/>
      <c r="U547" s="112"/>
      <c r="V547" s="116"/>
      <c r="AA547" s="0">
        <f>AA544</f>
        <v>1</v>
      </c>
    </row>
    <row r="548" ht="18" customHeight="1">
      <c r="A548" s="168" t="s">
        <v>6</v>
      </c>
      <c r="B548" s="146"/>
      <c r="C548" s="151"/>
      <c r="D548" s="169" t="s">
        <v>7</v>
      </c>
      <c r="E548" s="146"/>
      <c r="F548" s="146"/>
      <c r="G548" s="146"/>
      <c r="H548" s="146"/>
      <c r="I548" s="146"/>
      <c r="J548" s="146"/>
      <c r="K548" s="146"/>
      <c r="L548" s="146"/>
      <c r="M548" s="146"/>
      <c r="N548" s="146"/>
      <c r="O548" s="146"/>
      <c r="P548" s="151"/>
      <c r="Q548" s="170" t="s">
        <v>8</v>
      </c>
      <c r="R548" s="146"/>
      <c r="S548" s="146"/>
      <c r="T548" s="146"/>
      <c r="U548" s="146"/>
      <c r="V548" s="161"/>
      <c r="AA548" s="0">
        <f>AA544</f>
        <v>1</v>
      </c>
    </row>
    <row r="549" ht="18" customHeight="1">
      <c r="A549" s="117" t="s">
        <v>9</v>
      </c>
      <c r="B549" s="162" t="str">
        <f ref="B549:B549" t="array">IF(INDIRECT(ADDRESS(15,X562,,,"Inputs"))=0,"",INDIRECT(ADDRESS(15,X562,,,"Inputs")))</f>
      </c>
      <c r="C549" s="162"/>
      <c r="D549" s="109" t="s">
        <v>10</v>
      </c>
      <c r="E549" s="136" t="s">
        <v>11</v>
      </c>
      <c r="F549" s="146"/>
      <c r="G549" s="146"/>
      <c r="H549" s="109" t="s">
        <v>12</v>
      </c>
      <c r="I549" s="109" t="s">
        <v>13</v>
      </c>
      <c r="J549" s="136" t="s">
        <v>14</v>
      </c>
      <c r="K549" s="146"/>
      <c r="L549" s="136" t="s">
        <v>15</v>
      </c>
      <c r="M549" s="146"/>
      <c r="N549" s="146"/>
      <c r="O549" s="136" t="s">
        <v>16</v>
      </c>
      <c r="P549" s="146"/>
      <c r="Q549" s="136" t="s">
        <v>17</v>
      </c>
      <c r="R549" s="146"/>
      <c r="S549" s="146"/>
      <c r="T549" s="146"/>
      <c r="U549" s="146"/>
      <c r="V549" s="161"/>
      <c r="AA549" s="0">
        <f>AA544</f>
        <v>1</v>
      </c>
    </row>
    <row r="550" ht="18" customHeight="1">
      <c r="A550" s="117" t="s">
        <v>18</v>
      </c>
      <c r="B550" s="162" t="str">
        <f ref="B550:B550" t="array">IF(INDIRECT(ADDRESS(16,X562,,,"Inputs"))=0,"",INDIRECT(ADDRESS(16,X562,,,"Inputs")))</f>
      </c>
      <c r="C550" s="162"/>
      <c r="D550" s="109" t="s">
        <v>19</v>
      </c>
      <c r="E550" s="142" t="str">
        <f ref="E550:E550" t="array">IF(ISBLANK(INDIRECT(ADDRESS(35,X562,,,"Inputs"))),"",INDIRECT(ADDRESS(35,X562,,,"Inputs")))</f>
      </c>
      <c r="F550" s="143"/>
      <c r="G550" s="143"/>
      <c r="H550" s="118" t="str">
        <f ref="H550:H550" t="array">IF(ISBLANK(INDIRECT(ADDRESS(35,X562,,,"Inputs"))),"",INDIRECT(ADDRESS(35,X562,,,"Inputs")))</f>
      </c>
      <c r="I550" s="119">
        <f ref="I550:I550" t="array">IFERROR(INDIRECT(ADDRESS(65,X562,,,"Inputs")), "")</f>
        <v>0</v>
      </c>
      <c r="J550" s="144" t="str">
        <f ref="J550:J550" t="array">IFERROR(INDIRECT(ADDRESS(66,X562,,,"Inputs")), "")</f>
      </c>
      <c r="K550" s="145"/>
      <c r="L550" s="136" t="s">
        <v>20</v>
      </c>
      <c r="M550" s="146"/>
      <c r="N550" s="146"/>
      <c r="O550" s="138" t="str">
        <f ref="O550:O550" t="array">IF(ISBLANK(INDIRECT(ADDRESS(36,X562,,,"Inputs"))), "-", IFERROR(I550/J550, ""))</f>
        <v>-</v>
      </c>
      <c r="P550" s="147"/>
      <c r="Q550" s="144" t="str">
        <f ref="Q550:Q550" t="array">IF(INDIRECT(ADDRESS(25,X562,,,"Inputs"))=0,"0",INDIRECT(ADDRESS(25,X562,,,"Inputs")))</f>
        <v>0</v>
      </c>
      <c r="R550" s="145"/>
      <c r="S550" s="145"/>
      <c r="T550" s="145"/>
      <c r="U550" s="145"/>
      <c r="V550" s="172"/>
      <c r="AA550" s="0">
        <f>AA544</f>
        <v>1</v>
      </c>
    </row>
    <row r="551" ht="36" customHeight="1">
      <c r="A551" s="117" t="s">
        <v>21</v>
      </c>
      <c r="B551" s="136" t="str">
        <f ref="B551:B551" t="array">IF(INDIRECT(ADDRESS(11,X562,,,"Inputs"))=0,"",INDIRECT(ADDRESS(11,X562,,,"Inputs")))</f>
      </c>
      <c r="C551" s="136"/>
      <c r="D551" s="109" t="s">
        <v>22</v>
      </c>
      <c r="E551" s="142" t="str">
        <f ref="E551:E551" t="array">IF(ISBLANK(INDIRECT(ADDRESS(39,X562,,,"Inputs"))),"",INDIRECT(ADDRESS(39,X562,,,"Inputs")))</f>
      </c>
      <c r="F551" s="143"/>
      <c r="G551" s="143"/>
      <c r="H551" s="118" t="str">
        <f ref="H551:H551" t="array">IF(ISBLANK(INDIRECT(ADDRESS(39,X562,,,"Inputs"))),"",INDIRECT(ADDRESS(39,X562,,,"Inputs")))</f>
      </c>
      <c r="I551" s="120" t="str">
        <f ref="I551:I551" t="array">IFERROR(INDIRECT(ADDRESS(67,X562,,,"Inputs")), "")</f>
      </c>
      <c r="J551" s="155" t="str">
        <f ref="J551:J551" t="array">IFERROR(INDIRECT(ADDRESS(68,X562,,,"Inputs")), "")</f>
      </c>
      <c r="K551" s="146"/>
      <c r="L551" s="136"/>
      <c r="M551" s="146"/>
      <c r="N551" s="146"/>
      <c r="O551" s="138" t="str">
        <f>IFERROR(J551/I551, "")</f>
      </c>
      <c r="P551" s="147"/>
      <c r="Q551" s="136" t="s">
        <v>23</v>
      </c>
      <c r="R551" s="146"/>
      <c r="S551" s="146"/>
      <c r="T551" s="146"/>
      <c r="U551" s="146"/>
      <c r="V551" s="161"/>
      <c r="AA551" s="0">
        <f>AA544</f>
        <v>1</v>
      </c>
    </row>
    <row r="552" ht="18" customHeight="1">
      <c r="A552" s="117" t="s">
        <v>24</v>
      </c>
      <c r="B552" s="141" t="str">
        <f ref="B552:B552" t="array">IF(INDIRECT(ADDRESS(75,X562,,,"Inputs"))=0,"",INDIRECT(ADDRESS(75,X562,,,"Inputs")))</f>
      </c>
      <c r="C552" s="141"/>
      <c r="D552" s="109" t="s">
        <v>25</v>
      </c>
      <c r="E552" s="142" t="str">
        <f ref="E552:E552" t="array">IF(ISBLANK(INDIRECT(ADDRESS(41,X562,,,"Inputs"))),"",INDIRECT(ADDRESS(41,X562,,,"Inputs")))</f>
      </c>
      <c r="F552" s="143"/>
      <c r="G552" s="143"/>
      <c r="H552" s="118" t="str">
        <f ref="H552:H552" t="array">IF(ISBLANK(INDIRECT(ADDRESS(41,X562,,,"Inputs"))),"",INDIRECT(ADDRESS(41,X562,,,"Inputs")))</f>
      </c>
      <c r="I552" s="119" t="str">
        <f ref="I552:I552" t="array">IFERROR(INDIRECT(ADDRESS(71,X562,,,"Inputs")), "")</f>
      </c>
      <c r="J552" s="144" t="str">
        <f ref="J552:J552" t="array">IFERROR(INDIRECT(ADDRESS(72,X562,,,"Inputs")), "")</f>
      </c>
      <c r="K552" s="145"/>
      <c r="L552" s="136" t="s">
        <v>20</v>
      </c>
      <c r="M552" s="146"/>
      <c r="N552" s="146"/>
      <c r="O552" s="138" t="str">
        <f ref="O552:O552" t="array">IF(ISBLANK(INDIRECT(ADDRESS(42,X562,,,"Inputs"))), "-", IFERROR(I552 / J552, ""))</f>
        <v>-</v>
      </c>
      <c r="P552" s="147"/>
      <c r="Q552" s="144" t="str">
        <f ref="Q552:Q552" t="array">IF(INDIRECT(ADDRESS(24,X562,,,"Inputs"))=0,"0",INDIRECT(ADDRESS(24,X562,,,"Inputs")))</f>
        <v>0</v>
      </c>
      <c r="R552" s="145"/>
      <c r="S552" s="145"/>
      <c r="T552" s="145"/>
      <c r="U552" s="145"/>
      <c r="V552" s="172"/>
      <c r="AA552" s="0">
        <f>AA544</f>
        <v>1</v>
      </c>
    </row>
    <row r="553" ht="36" customHeight="1">
      <c r="A553" s="117" t="s">
        <v>26</v>
      </c>
      <c r="B553" s="136" t="str">
        <f ref="B553:B553" t="array">IF(INDIRECT(ADDRESS(17,X562,,,"Inputs"))=0,"",INDIRECT(ADDRESS(17,X562,,,"Inputs")))</f>
      </c>
      <c r="C553" s="136"/>
      <c r="D553" s="111" t="s">
        <v>27</v>
      </c>
      <c r="E553" s="142" t="str">
        <f ref="E553:E553" t="array">IF(ISBLANK(INDIRECT(ADDRESS(43,X562,,,"Inputs"))),"",INDIRECT(ADDRESS(43,X562,,,"Inputs")))</f>
      </c>
      <c r="F553" s="143"/>
      <c r="G553" s="143"/>
      <c r="H553" s="118" t="str">
        <f ref="H553:H553" t="array">IF(ISBLANK(INDIRECT(ADDRESS(43,X562,,,"Inputs"))),"",INDIRECT(ADDRESS(43,X562,,,"Inputs")))</f>
      </c>
      <c r="I553" s="121" t="str">
        <f ref="I553:I553" t="array">IFERROR(INDIRECT(ADDRESS(73,X562,,,"Inputs")), "")</f>
      </c>
      <c r="J553" s="144" t="str">
        <f ref="J553:J553" t="array">IFERROR(INDIRECT(ADDRESS(74,X562,,,"Inputs")), "")</f>
      </c>
      <c r="K553" s="145"/>
      <c r="L553" s="136" t="s">
        <v>20</v>
      </c>
      <c r="M553" s="146"/>
      <c r="N553" s="146"/>
      <c r="O553" s="138" t="str">
        <f ref="O553:O553" t="array">IF(ISBLANK(INDIRECT(ADDRESS(44,X562,,,"Inputs"))), "-", IFERROR(I553 / J553, ""))</f>
        <v>-</v>
      </c>
      <c r="P553" s="147"/>
      <c r="Q553" s="177" t="s">
        <v>28</v>
      </c>
      <c r="R553" s="146"/>
      <c r="S553" s="146"/>
      <c r="T553" s="146"/>
      <c r="U553" s="146"/>
      <c r="V553" s="161"/>
      <c r="AA553" s="0">
        <f>AA544</f>
        <v>1</v>
      </c>
    </row>
    <row r="554" ht="18" customHeight="1">
      <c r="A554" s="117" t="s">
        <v>29</v>
      </c>
      <c r="B554" s="141" t="str">
        <f ref="B554:B554" t="array">IF(INDIRECT(ADDRESS(31,X562,,,"Inputs"))=0,"",INDIRECT(ADDRESS(31,X562,,,"Inputs")))</f>
      </c>
      <c r="C554" s="178"/>
      <c r="D554" s="179" t="s">
        <v>30</v>
      </c>
      <c r="E554" s="180"/>
      <c r="F554" s="180"/>
      <c r="G554" s="180"/>
      <c r="H554" s="180"/>
      <c r="I554" s="180"/>
      <c r="J554" s="180"/>
      <c r="K554" s="180"/>
      <c r="L554" s="180"/>
      <c r="M554" s="180"/>
      <c r="N554" s="180"/>
      <c r="O554" s="180"/>
      <c r="P554" s="181"/>
      <c r="Q554" s="136" t="s">
        <v>31</v>
      </c>
      <c r="R554" s="146"/>
      <c r="S554" s="146"/>
      <c r="T554" s="165">
        <f ref="T554:T554" t="array">IFERROR(INDIRECT(ADDRESS(77,X562,,,"Inputs")), "")</f>
        <v>0</v>
      </c>
      <c r="U554" s="166"/>
      <c r="V554" s="167"/>
      <c r="AA554" s="0">
        <f>AA544</f>
        <v>1</v>
      </c>
    </row>
    <row r="555" ht="18" customHeight="1">
      <c r="A555" s="117" t="s">
        <v>32</v>
      </c>
      <c r="B555" s="148" t="str">
        <f ref="B555:B555" t="array">IF(INDIRECT(ADDRESS(83,X562,,,"Inputs"))=0,"",INDIRECT(ADDRESS(83,X562,,,"Inputs")))</f>
      </c>
      <c r="C555" s="149"/>
      <c r="D555" s="158">
        <f ref="D555:D555" t="array">INDIRECT(ADDRESS(26,X562,,,"Inputs"))</f>
        <v>0</v>
      </c>
      <c r="E555" s="158"/>
      <c r="F555" s="158"/>
      <c r="G555" s="158"/>
      <c r="H555" s="158"/>
      <c r="I555" s="158"/>
      <c r="J555" s="158"/>
      <c r="K555" s="158"/>
      <c r="L555" s="158"/>
      <c r="M555" s="158"/>
      <c r="N555" s="158"/>
      <c r="O555" s="158"/>
      <c r="P555" s="158"/>
      <c r="Q555" s="136" t="s">
        <v>33</v>
      </c>
      <c r="R555" s="146"/>
      <c r="S555" s="146"/>
      <c r="T555" s="165">
        <f ref="T555:T555" t="array">IFERROR(INDIRECT(ADDRESS(86,X562,,,"Inputs")), "")</f>
        <v>0</v>
      </c>
      <c r="U555" s="166"/>
      <c r="V555" s="167"/>
      <c r="AA555" s="0">
        <f>AA544</f>
        <v>1</v>
      </c>
    </row>
    <row r="556" ht="18" customHeight="1">
      <c r="A556" s="150" t="s">
        <v>34</v>
      </c>
      <c r="B556" s="146"/>
      <c r="C556" s="151"/>
      <c r="D556" s="158"/>
      <c r="E556" s="158"/>
      <c r="F556" s="158"/>
      <c r="G556" s="158"/>
      <c r="H556" s="158"/>
      <c r="I556" s="158"/>
      <c r="J556" s="158"/>
      <c r="K556" s="158"/>
      <c r="L556" s="158"/>
      <c r="M556" s="158"/>
      <c r="N556" s="158"/>
      <c r="O556" s="158"/>
      <c r="P556" s="158"/>
      <c r="Q556" s="136" t="s">
        <v>35</v>
      </c>
      <c r="R556" s="146"/>
      <c r="S556" s="146"/>
      <c r="T556" s="165">
        <f ref="T556:T556" t="array">IFERROR(INDIRECT(ADDRESS(78,X562,,,"Inputs")), "")</f>
        <v>0</v>
      </c>
      <c r="U556" s="166"/>
      <c r="V556" s="167"/>
      <c r="AA556" s="0">
        <f>AA544</f>
        <v>1</v>
      </c>
    </row>
    <row r="557" ht="18" customHeight="1">
      <c r="A557" s="117" t="s">
        <v>36</v>
      </c>
      <c r="B557" s="141" t="str">
        <f ref="B557:B557" t="array">IF(INDIRECT(ADDRESS(30,X562,,,"Inputs"))=0,"",INDIRECT(ADDRESS(30,X562,,,"Inputs")))</f>
      </c>
      <c r="C557" s="141"/>
      <c r="D557" s="158"/>
      <c r="E557" s="158"/>
      <c r="F557" s="158"/>
      <c r="G557" s="158"/>
      <c r="H557" s="158"/>
      <c r="I557" s="158"/>
      <c r="J557" s="158"/>
      <c r="K557" s="158"/>
      <c r="L557" s="158"/>
      <c r="M557" s="158"/>
      <c r="N557" s="158"/>
      <c r="O557" s="158"/>
      <c r="P557" s="158"/>
      <c r="Q557" s="136" t="s">
        <v>37</v>
      </c>
      <c r="R557" s="146"/>
      <c r="S557" s="146"/>
      <c r="T557" s="165">
        <f ref="T557:T557" t="array">IFERROR(INDIRECT(ADDRESS(45,X562,,,"Inputs")), "")</f>
        <v>0</v>
      </c>
      <c r="U557" s="166"/>
      <c r="V557" s="167"/>
      <c r="AA557" s="0">
        <f>AA544</f>
        <v>1</v>
      </c>
    </row>
    <row r="558" ht="18" customHeight="1">
      <c r="A558" s="117" t="s">
        <v>38</v>
      </c>
      <c r="B558" s="136" t="str">
        <f ref="B558:B558" t="array">IF(INDIRECT(ADDRESS(32,X562,,,"Inputs"))=0,"",INDIRECT(ADDRESS(32,X562,,,"Inputs")))</f>
      </c>
      <c r="C558" s="136"/>
      <c r="D558" s="158"/>
      <c r="E558" s="158"/>
      <c r="F558" s="158"/>
      <c r="G558" s="158"/>
      <c r="H558" s="158"/>
      <c r="I558" s="158"/>
      <c r="J558" s="158"/>
      <c r="K558" s="158"/>
      <c r="L558" s="158"/>
      <c r="M558" s="158"/>
      <c r="N558" s="158"/>
      <c r="O558" s="158"/>
      <c r="P558" s="158"/>
      <c r="Q558" s="136" t="s">
        <v>39</v>
      </c>
      <c r="R558" s="146"/>
      <c r="S558" s="146"/>
      <c r="T558" s="165">
        <f ref="T558:T558" t="array">IFERROR(INDIRECT(ADDRESS(79,X562,,,"Inputs")), "")</f>
        <v>0</v>
      </c>
      <c r="U558" s="166"/>
      <c r="V558" s="167"/>
      <c r="AA558" s="0">
        <f>AA544</f>
        <v>1</v>
      </c>
    </row>
    <row r="559" ht="18" customHeight="1">
      <c r="A559" s="152" t="s">
        <v>40</v>
      </c>
      <c r="B559" s="153"/>
      <c r="C559" s="154"/>
      <c r="D559" s="158"/>
      <c r="E559" s="158"/>
      <c r="F559" s="158"/>
      <c r="G559" s="158"/>
      <c r="H559" s="158"/>
      <c r="I559" s="158"/>
      <c r="J559" s="158"/>
      <c r="K559" s="158"/>
      <c r="L559" s="158"/>
      <c r="M559" s="158"/>
      <c r="N559" s="158"/>
      <c r="O559" s="158"/>
      <c r="P559" s="158"/>
      <c r="Q559" s="136" t="s">
        <v>41</v>
      </c>
      <c r="R559" s="146"/>
      <c r="S559" s="146"/>
      <c r="T559" s="165">
        <f ref="T559:T559" t="array">IFERROR(INDIRECT(ADDRESS(80,X562,,,"Inputs")), "")</f>
        <v>0</v>
      </c>
      <c r="U559" s="166"/>
      <c r="V559" s="167"/>
      <c r="W559" s="0">
        <f ref="W559:W559" t="array">INDIRECT(ADDRESS(34,X562,,,"Inputs"))</f>
        <v>0</v>
      </c>
      <c r="X559" s="3"/>
      <c r="AA559" s="0">
        <f>AA544</f>
        <v>1</v>
      </c>
    </row>
    <row r="560" ht="18" customHeight="1">
      <c r="A560" s="117" t="s">
        <v>42</v>
      </c>
      <c r="B560" s="141" t="str">
        <f ref="B560:B560" t="array">IF(INDIRECT(ADDRESS(33,X562,,,"Inputs"))=0,"",INDIRECT(ADDRESS(33,X562,,,"Inputs")))</f>
      </c>
      <c r="C560" s="141"/>
      <c r="D560" s="158"/>
      <c r="E560" s="158"/>
      <c r="F560" s="158"/>
      <c r="G560" s="158"/>
      <c r="H560" s="158"/>
      <c r="I560" s="158"/>
      <c r="J560" s="158"/>
      <c r="K560" s="158"/>
      <c r="L560" s="158"/>
      <c r="M560" s="158"/>
      <c r="N560" s="158"/>
      <c r="O560" s="158"/>
      <c r="P560" s="158"/>
      <c r="Q560" s="136" t="s">
        <v>43</v>
      </c>
      <c r="R560" s="146"/>
      <c r="S560" s="146"/>
      <c r="T560" s="165">
        <f ref="T560:T560" t="array">IFERROR(INDIRECT(ADDRESS(81,X562,,,"Inputs")), "")</f>
        <v>0</v>
      </c>
      <c r="U560" s="166"/>
      <c r="V560" s="167"/>
      <c r="X560" s="3"/>
      <c r="AA560" s="0">
        <f>AA544</f>
        <v>1</v>
      </c>
    </row>
    <row r="561" ht="36" customHeight="1">
      <c r="A561" s="117" t="s">
        <v>44</v>
      </c>
      <c r="B561" s="156" t="str">
        <f ref="B561:B561" t="array">IF(INDIRECT(ADDRESS(47,X562,,,"Inputs"))=0,"",INDIRECT(ADDRESS(47,X562,,,"Inputs")))</f>
      </c>
      <c r="C561" s="156"/>
      <c r="D561" s="158"/>
      <c r="E561" s="158"/>
      <c r="F561" s="158"/>
      <c r="G561" s="158"/>
      <c r="H561" s="158"/>
      <c r="I561" s="158"/>
      <c r="J561" s="158"/>
      <c r="K561" s="158"/>
      <c r="L561" s="158"/>
      <c r="M561" s="158"/>
      <c r="N561" s="158"/>
      <c r="O561" s="158"/>
      <c r="P561" s="158"/>
      <c r="Q561" s="136" t="s">
        <v>45</v>
      </c>
      <c r="R561" s="146"/>
      <c r="S561" s="146"/>
      <c r="T561" s="136" t="str">
        <f ref="T561:T561" t="array">_xlfn.CONCAT(IFERROR(INDIRECT(ADDRESS(49,X562,,,"Inputs")), ""), " / ", IFERROR(INDIRECT(ADDRESS(48,X562,,,"Inputs")), ""))</f>
        <v> / </v>
      </c>
      <c r="U561" s="146"/>
      <c r="V561" s="161"/>
      <c r="X561" s="3"/>
      <c r="AA561" s="0">
        <f>AA544</f>
        <v>1</v>
      </c>
    </row>
    <row r="562" ht="102" customHeight="1">
      <c r="A562" s="122"/>
      <c r="B562" s="157"/>
      <c r="C562" s="157"/>
      <c r="D562" s="159"/>
      <c r="E562" s="159"/>
      <c r="F562" s="159"/>
      <c r="G562" s="159"/>
      <c r="H562" s="159"/>
      <c r="I562" s="159"/>
      <c r="J562" s="159"/>
      <c r="K562" s="159"/>
      <c r="L562" s="159"/>
      <c r="M562" s="159"/>
      <c r="N562" s="159"/>
      <c r="O562" s="159"/>
      <c r="P562" s="159"/>
      <c r="Q562" s="159"/>
      <c r="R562" s="173"/>
      <c r="S562" s="173"/>
      <c r="T562" s="174"/>
      <c r="U562" s="175"/>
      <c r="V562" s="176"/>
      <c r="W562" s="78" t="s">
        <v>46</v>
      </c>
      <c r="X562" s="78">
        <f>COLUMN(Inputs!KM5)</f>
        <v>299</v>
      </c>
      <c r="AA562" s="0">
        <f>AA544</f>
        <v>1</v>
      </c>
    </row>
    <row r="563" ht="16.5">
      <c r="A563" s="130"/>
      <c r="B563" s="129"/>
      <c r="C563" s="129"/>
      <c r="D563" s="130"/>
      <c r="E563" s="130"/>
      <c r="F563" s="130"/>
      <c r="G563" s="130"/>
      <c r="H563" s="130"/>
      <c r="I563" s="130"/>
      <c r="J563" s="130"/>
      <c r="K563" s="130"/>
      <c r="L563" s="130"/>
      <c r="M563" s="130"/>
      <c r="N563" s="130"/>
      <c r="O563" s="130"/>
      <c r="P563" s="130"/>
      <c r="Q563" s="130"/>
      <c r="R563" s="131"/>
      <c r="S563" s="131"/>
      <c r="T563" s="132"/>
      <c r="U563" s="133"/>
      <c r="V563" s="133"/>
      <c r="W563" s="78"/>
      <c r="X563" s="78"/>
      <c r="AA563" s="0">
        <f>AA545</f>
        <v>1</v>
      </c>
    </row>
    <row r="564" ht="18" customHeight="1">
      <c r="A564" s="139" t="s">
        <v>4</v>
      </c>
      <c r="B564" s="140"/>
      <c r="C564" s="140"/>
      <c r="D564" s="140" t="str">
        <f ref="D564:D564" t="array">CONCATENATE(INDIRECT(ADDRESS(6,X582,,,"Inputs"))," ",INDIRECT(ADDRESS(8,X582,,,"Inputs"))," ",INDIRECT(ADDRESS(9,X582,,,"Inputs")))</f>
      </c>
      <c r="E564" s="140"/>
      <c r="F564" s="140"/>
      <c r="G564" s="140"/>
      <c r="H564" s="140"/>
      <c r="I564" s="140"/>
      <c r="J564" s="140"/>
      <c r="K564" s="140"/>
      <c r="L564" s="140"/>
      <c r="M564" s="140"/>
      <c r="N564" s="140"/>
      <c r="O564" s="140"/>
      <c r="P564" s="140"/>
      <c r="Q564" s="113"/>
      <c r="R564" s="113"/>
      <c r="S564" s="113"/>
      <c r="T564" s="113"/>
      <c r="U564" s="113"/>
      <c r="V564" s="114"/>
      <c r="AA564" s="0">
        <f>IF(LEN(TRIM(A564))=0,0,1)</f>
        <v>1</v>
      </c>
    </row>
    <row r="565" ht="18" customHeight="1">
      <c r="A565" s="134" t="str">
        <f ref="A565:A565" t="array">IF(INDIRECT(ADDRESS(50,X582,,,"Inputs"))=0,"",INDIRECT(ADDRESS(50,X582,,,"Inputs")))</f>
      </c>
      <c r="B565" s="135"/>
      <c r="C565" s="135"/>
      <c r="D565" s="136" t="str">
        <f ref="D565:D565" t="array">IF(INDIRECT(ADDRESS(10,X582,,,"Inputs"))=0,"",INDIRECT(ADDRESS(10,X582,,,"Inputs")))</f>
      </c>
      <c r="E565" s="136"/>
      <c r="F565" s="136"/>
      <c r="G565" s="136"/>
      <c r="H565" s="136"/>
      <c r="I565" s="136"/>
      <c r="J565" s="136"/>
      <c r="K565" s="136"/>
      <c r="L565" s="136"/>
      <c r="M565" s="136"/>
      <c r="N565" s="136"/>
      <c r="O565" s="136"/>
      <c r="P565" s="136"/>
      <c r="Q565" s="110"/>
      <c r="R565" s="110"/>
      <c r="S565" s="110"/>
      <c r="T565" s="110"/>
      <c r="U565" s="110"/>
      <c r="V565" s="115"/>
      <c r="AA565" s="0">
        <f>AA564</f>
        <v>1</v>
      </c>
    </row>
    <row r="566" ht="18" customHeight="1">
      <c r="A566" s="137" t="s">
        <v>5</v>
      </c>
      <c r="B566" s="136"/>
      <c r="C566" s="136"/>
      <c r="D566" s="136" t="str">
        <f ref="D566:D566" t="array">IF(INDIRECT(ADDRESS(14,X582,,,"Inputs"))=0,"",INDIRECT(ADDRESS(14,X582,,,"Inputs")))</f>
      </c>
      <c r="E566" s="136"/>
      <c r="F566" s="136"/>
      <c r="G566" s="136"/>
      <c r="H566" s="136"/>
      <c r="I566" s="136"/>
      <c r="J566" s="136"/>
      <c r="K566" s="136"/>
      <c r="L566" s="136"/>
      <c r="M566" s="136"/>
      <c r="N566" s="136"/>
      <c r="O566" s="136"/>
      <c r="P566" s="136"/>
      <c r="Q566" s="110"/>
      <c r="R566" s="110"/>
      <c r="S566" s="110"/>
      <c r="T566" s="110"/>
      <c r="U566" s="110"/>
      <c r="V566" s="115"/>
      <c r="AA566" s="0">
        <f>AA564</f>
        <v>1</v>
      </c>
    </row>
    <row r="567" ht="18" customHeight="1">
      <c r="A567" s="134" t="str">
        <f ref="A567:A567" t="array">IF(INDIRECT(ADDRESS(51,X582,,,"Inputs"))=0,"",INDIRECT(ADDRESS(51,X582,,,"Inputs")))</f>
      </c>
      <c r="B567" s="135"/>
      <c r="C567" s="135"/>
      <c r="D567" s="138" t="str">
        <f ref="D567:D567" t="array">INDIRECT(ADDRESS(82,X582,,,"Inputs"))</f>
      </c>
      <c r="E567" s="138"/>
      <c r="F567" s="138"/>
      <c r="G567" s="138"/>
      <c r="H567" s="138"/>
      <c r="I567" s="138"/>
      <c r="J567" s="138"/>
      <c r="K567" s="138"/>
      <c r="L567" s="138"/>
      <c r="M567" s="138"/>
      <c r="N567" s="138"/>
      <c r="O567" s="138"/>
      <c r="P567" s="138"/>
      <c r="Q567" s="112"/>
      <c r="R567" s="112"/>
      <c r="S567" s="112"/>
      <c r="T567" s="112"/>
      <c r="U567" s="112"/>
      <c r="V567" s="116"/>
      <c r="AA567" s="0">
        <f>AA564</f>
        <v>1</v>
      </c>
    </row>
    <row r="568" ht="18" customHeight="1">
      <c r="A568" s="168" t="s">
        <v>6</v>
      </c>
      <c r="B568" s="146"/>
      <c r="C568" s="151"/>
      <c r="D568" s="169" t="s">
        <v>7</v>
      </c>
      <c r="E568" s="146"/>
      <c r="F568" s="146"/>
      <c r="G568" s="146"/>
      <c r="H568" s="146"/>
      <c r="I568" s="146"/>
      <c r="J568" s="146"/>
      <c r="K568" s="146"/>
      <c r="L568" s="146"/>
      <c r="M568" s="146"/>
      <c r="N568" s="146"/>
      <c r="O568" s="146"/>
      <c r="P568" s="151"/>
      <c r="Q568" s="170" t="s">
        <v>8</v>
      </c>
      <c r="R568" s="146"/>
      <c r="S568" s="146"/>
      <c r="T568" s="146"/>
      <c r="U568" s="146"/>
      <c r="V568" s="161"/>
      <c r="AA568" s="0">
        <f>AA564</f>
        <v>1</v>
      </c>
    </row>
    <row r="569" ht="18" customHeight="1">
      <c r="A569" s="117" t="s">
        <v>9</v>
      </c>
      <c r="B569" s="162" t="str">
        <f ref="B569:B569" t="array">IF(INDIRECT(ADDRESS(15,X582,,,"Inputs"))=0,"",INDIRECT(ADDRESS(15,X582,,,"Inputs")))</f>
      </c>
      <c r="C569" s="162"/>
      <c r="D569" s="109" t="s">
        <v>10</v>
      </c>
      <c r="E569" s="136" t="s">
        <v>11</v>
      </c>
      <c r="F569" s="146"/>
      <c r="G569" s="146"/>
      <c r="H569" s="109" t="s">
        <v>12</v>
      </c>
      <c r="I569" s="109" t="s">
        <v>13</v>
      </c>
      <c r="J569" s="136" t="s">
        <v>14</v>
      </c>
      <c r="K569" s="146"/>
      <c r="L569" s="136" t="s">
        <v>15</v>
      </c>
      <c r="M569" s="146"/>
      <c r="N569" s="146"/>
      <c r="O569" s="136" t="s">
        <v>16</v>
      </c>
      <c r="P569" s="146"/>
      <c r="Q569" s="136" t="s">
        <v>17</v>
      </c>
      <c r="R569" s="146"/>
      <c r="S569" s="146"/>
      <c r="T569" s="146"/>
      <c r="U569" s="146"/>
      <c r="V569" s="161"/>
      <c r="AA569" s="0">
        <f>AA564</f>
        <v>1</v>
      </c>
    </row>
    <row r="570" ht="18" customHeight="1">
      <c r="A570" s="117" t="s">
        <v>18</v>
      </c>
      <c r="B570" s="162" t="str">
        <f ref="B570:B570" t="array">IF(INDIRECT(ADDRESS(16,X582,,,"Inputs"))=0,"",INDIRECT(ADDRESS(16,X582,,,"Inputs")))</f>
      </c>
      <c r="C570" s="162"/>
      <c r="D570" s="109" t="s">
        <v>19</v>
      </c>
      <c r="E570" s="142" t="str">
        <f ref="E570:E570" t="array">IF(ISBLANK(INDIRECT(ADDRESS(35,X582,,,"Inputs"))),"",INDIRECT(ADDRESS(35,X582,,,"Inputs")))</f>
      </c>
      <c r="F570" s="143"/>
      <c r="G570" s="143"/>
      <c r="H570" s="118" t="str">
        <f ref="H570:H570" t="array">IF(ISBLANK(INDIRECT(ADDRESS(35,X582,,,"Inputs"))),"",INDIRECT(ADDRESS(35,X582,,,"Inputs")))</f>
      </c>
      <c r="I570" s="119">
        <f ref="I570:I570" t="array">IFERROR(INDIRECT(ADDRESS(65,X582,,,"Inputs")), "")</f>
        <v>0</v>
      </c>
      <c r="J570" s="144" t="str">
        <f ref="J570:J570" t="array">IFERROR(INDIRECT(ADDRESS(66,X582,,,"Inputs")), "")</f>
      </c>
      <c r="K570" s="145"/>
      <c r="L570" s="136" t="s">
        <v>20</v>
      </c>
      <c r="M570" s="146"/>
      <c r="N570" s="146"/>
      <c r="O570" s="138" t="str">
        <f ref="O570:O570" t="array">IF(ISBLANK(INDIRECT(ADDRESS(36,X582,,,"Inputs"))), "-", IFERROR(I570/J570, ""))</f>
        <v>-</v>
      </c>
      <c r="P570" s="147"/>
      <c r="Q570" s="144" t="str">
        <f ref="Q570:Q570" t="array">IF(INDIRECT(ADDRESS(25,X582,,,"Inputs"))=0,"0",INDIRECT(ADDRESS(25,X582,,,"Inputs")))</f>
        <v>0</v>
      </c>
      <c r="R570" s="145"/>
      <c r="S570" s="145"/>
      <c r="T570" s="145"/>
      <c r="U570" s="145"/>
      <c r="V570" s="172"/>
      <c r="AA570" s="0">
        <f>AA564</f>
        <v>1</v>
      </c>
    </row>
    <row r="571" ht="36" customHeight="1">
      <c r="A571" s="117" t="s">
        <v>21</v>
      </c>
      <c r="B571" s="136" t="str">
        <f ref="B571:B571" t="array">IF(INDIRECT(ADDRESS(11,X582,,,"Inputs"))=0,"",INDIRECT(ADDRESS(11,X582,,,"Inputs")))</f>
      </c>
      <c r="C571" s="136"/>
      <c r="D571" s="109" t="s">
        <v>22</v>
      </c>
      <c r="E571" s="142" t="str">
        <f ref="E571:E571" t="array">IF(ISBLANK(INDIRECT(ADDRESS(39,X582,,,"Inputs"))),"",INDIRECT(ADDRESS(39,X582,,,"Inputs")))</f>
      </c>
      <c r="F571" s="143"/>
      <c r="G571" s="143"/>
      <c r="H571" s="118" t="str">
        <f ref="H571:H571" t="array">IF(ISBLANK(INDIRECT(ADDRESS(39,X582,,,"Inputs"))),"",INDIRECT(ADDRESS(39,X582,,,"Inputs")))</f>
      </c>
      <c r="I571" s="120" t="str">
        <f ref="I571:I571" t="array">IFERROR(INDIRECT(ADDRESS(67,X582,,,"Inputs")), "")</f>
      </c>
      <c r="J571" s="155" t="str">
        <f ref="J571:J571" t="array">IFERROR(INDIRECT(ADDRESS(68,X582,,,"Inputs")), "")</f>
      </c>
      <c r="K571" s="146"/>
      <c r="L571" s="136"/>
      <c r="M571" s="146"/>
      <c r="N571" s="146"/>
      <c r="O571" s="138" t="str">
        <f>IFERROR(J571/I571, "")</f>
      </c>
      <c r="P571" s="147"/>
      <c r="Q571" s="136" t="s">
        <v>23</v>
      </c>
      <c r="R571" s="146"/>
      <c r="S571" s="146"/>
      <c r="T571" s="146"/>
      <c r="U571" s="146"/>
      <c r="V571" s="161"/>
      <c r="AA571" s="0">
        <f>AA564</f>
        <v>1</v>
      </c>
    </row>
    <row r="572" ht="18" customHeight="1">
      <c r="A572" s="117" t="s">
        <v>24</v>
      </c>
      <c r="B572" s="141" t="str">
        <f ref="B572:B572" t="array">IF(INDIRECT(ADDRESS(75,X582,,,"Inputs"))=0,"",INDIRECT(ADDRESS(75,X582,,,"Inputs")))</f>
      </c>
      <c r="C572" s="141"/>
      <c r="D572" s="109" t="s">
        <v>25</v>
      </c>
      <c r="E572" s="142" t="str">
        <f ref="E572:E572" t="array">IF(ISBLANK(INDIRECT(ADDRESS(41,X582,,,"Inputs"))),"",INDIRECT(ADDRESS(41,X582,,,"Inputs")))</f>
      </c>
      <c r="F572" s="143"/>
      <c r="G572" s="143"/>
      <c r="H572" s="118" t="str">
        <f ref="H572:H572" t="array">IF(ISBLANK(INDIRECT(ADDRESS(41,X582,,,"Inputs"))),"",INDIRECT(ADDRESS(41,X582,,,"Inputs")))</f>
      </c>
      <c r="I572" s="119" t="str">
        <f ref="I572:I572" t="array">IFERROR(INDIRECT(ADDRESS(71,X582,,,"Inputs")), "")</f>
      </c>
      <c r="J572" s="144" t="str">
        <f ref="J572:J572" t="array">IFERROR(INDIRECT(ADDRESS(72,X582,,,"Inputs")), "")</f>
      </c>
      <c r="K572" s="145"/>
      <c r="L572" s="136" t="s">
        <v>20</v>
      </c>
      <c r="M572" s="146"/>
      <c r="N572" s="146"/>
      <c r="O572" s="138" t="str">
        <f ref="O572:O572" t="array">IF(ISBLANK(INDIRECT(ADDRESS(42,X582,,,"Inputs"))), "-", IFERROR(I572 / J572, ""))</f>
        <v>-</v>
      </c>
      <c r="P572" s="147"/>
      <c r="Q572" s="144" t="str">
        <f ref="Q572:Q572" t="array">IF(INDIRECT(ADDRESS(24,X582,,,"Inputs"))=0,"0",INDIRECT(ADDRESS(24,X582,,,"Inputs")))</f>
        <v>0</v>
      </c>
      <c r="R572" s="145"/>
      <c r="S572" s="145"/>
      <c r="T572" s="145"/>
      <c r="U572" s="145"/>
      <c r="V572" s="172"/>
      <c r="AA572" s="0">
        <f>AA564</f>
        <v>1</v>
      </c>
    </row>
    <row r="573" ht="36" customHeight="1">
      <c r="A573" s="117" t="s">
        <v>26</v>
      </c>
      <c r="B573" s="136" t="str">
        <f ref="B573:B573" t="array">IF(INDIRECT(ADDRESS(17,X582,,,"Inputs"))=0,"",INDIRECT(ADDRESS(17,X582,,,"Inputs")))</f>
      </c>
      <c r="C573" s="136"/>
      <c r="D573" s="111" t="s">
        <v>27</v>
      </c>
      <c r="E573" s="142" t="str">
        <f ref="E573:E573" t="array">IF(ISBLANK(INDIRECT(ADDRESS(43,X582,,,"Inputs"))),"",INDIRECT(ADDRESS(43,X582,,,"Inputs")))</f>
      </c>
      <c r="F573" s="143"/>
      <c r="G573" s="143"/>
      <c r="H573" s="118" t="str">
        <f ref="H573:H573" t="array">IF(ISBLANK(INDIRECT(ADDRESS(43,X582,,,"Inputs"))),"",INDIRECT(ADDRESS(43,X582,,,"Inputs")))</f>
      </c>
      <c r="I573" s="121" t="str">
        <f ref="I573:I573" t="array">IFERROR(INDIRECT(ADDRESS(73,X582,,,"Inputs")), "")</f>
      </c>
      <c r="J573" s="144" t="str">
        <f ref="J573:J573" t="array">IFERROR(INDIRECT(ADDRESS(74,X582,,,"Inputs")), "")</f>
      </c>
      <c r="K573" s="145"/>
      <c r="L573" s="136" t="s">
        <v>20</v>
      </c>
      <c r="M573" s="146"/>
      <c r="N573" s="146"/>
      <c r="O573" s="138" t="str">
        <f ref="O573:O573" t="array">IF(ISBLANK(INDIRECT(ADDRESS(44,X582,,,"Inputs"))), "-", IFERROR(I573 / J573, ""))</f>
        <v>-</v>
      </c>
      <c r="P573" s="147"/>
      <c r="Q573" s="177" t="s">
        <v>28</v>
      </c>
      <c r="R573" s="146"/>
      <c r="S573" s="146"/>
      <c r="T573" s="146"/>
      <c r="U573" s="146"/>
      <c r="V573" s="161"/>
      <c r="AA573" s="0">
        <f>AA564</f>
        <v>1</v>
      </c>
    </row>
    <row r="574" ht="18" customHeight="1">
      <c r="A574" s="117" t="s">
        <v>29</v>
      </c>
      <c r="B574" s="141" t="str">
        <f ref="B574:B574" t="array">IF(INDIRECT(ADDRESS(31,X582,,,"Inputs"))=0,"",INDIRECT(ADDRESS(31,X582,,,"Inputs")))</f>
      </c>
      <c r="C574" s="178"/>
      <c r="D574" s="179" t="s">
        <v>30</v>
      </c>
      <c r="E574" s="180"/>
      <c r="F574" s="180"/>
      <c r="G574" s="180"/>
      <c r="H574" s="180"/>
      <c r="I574" s="180"/>
      <c r="J574" s="180"/>
      <c r="K574" s="180"/>
      <c r="L574" s="180"/>
      <c r="M574" s="180"/>
      <c r="N574" s="180"/>
      <c r="O574" s="180"/>
      <c r="P574" s="181"/>
      <c r="Q574" s="136" t="s">
        <v>31</v>
      </c>
      <c r="R574" s="146"/>
      <c r="S574" s="146"/>
      <c r="T574" s="165">
        <f ref="T574:T574" t="array">IFERROR(INDIRECT(ADDRESS(77,X582,,,"Inputs")), "")</f>
        <v>0</v>
      </c>
      <c r="U574" s="166"/>
      <c r="V574" s="167"/>
      <c r="AA574" s="0">
        <f>AA564</f>
        <v>1</v>
      </c>
    </row>
    <row r="575" ht="18" customHeight="1">
      <c r="A575" s="117" t="s">
        <v>32</v>
      </c>
      <c r="B575" s="148" t="str">
        <f ref="B575:B575" t="array">IF(INDIRECT(ADDRESS(83,X582,,,"Inputs"))=0,"",INDIRECT(ADDRESS(83,X582,,,"Inputs")))</f>
      </c>
      <c r="C575" s="149"/>
      <c r="D575" s="158">
        <f ref="D575:D575" t="array">INDIRECT(ADDRESS(26,X582,,,"Inputs"))</f>
        <v>0</v>
      </c>
      <c r="E575" s="158"/>
      <c r="F575" s="158"/>
      <c r="G575" s="158"/>
      <c r="H575" s="158"/>
      <c r="I575" s="158"/>
      <c r="J575" s="158"/>
      <c r="K575" s="158"/>
      <c r="L575" s="158"/>
      <c r="M575" s="158"/>
      <c r="N575" s="158"/>
      <c r="O575" s="158"/>
      <c r="P575" s="158"/>
      <c r="Q575" s="136" t="s">
        <v>33</v>
      </c>
      <c r="R575" s="146"/>
      <c r="S575" s="146"/>
      <c r="T575" s="165">
        <f ref="T575:T575" t="array">IFERROR(INDIRECT(ADDRESS(86,X582,,,"Inputs")), "")</f>
        <v>0</v>
      </c>
      <c r="U575" s="166"/>
      <c r="V575" s="167"/>
      <c r="AA575" s="0">
        <f>AA564</f>
        <v>1</v>
      </c>
    </row>
    <row r="576" ht="18" customHeight="1">
      <c r="A576" s="150" t="s">
        <v>34</v>
      </c>
      <c r="B576" s="146"/>
      <c r="C576" s="151"/>
      <c r="D576" s="158"/>
      <c r="E576" s="158"/>
      <c r="F576" s="158"/>
      <c r="G576" s="158"/>
      <c r="H576" s="158"/>
      <c r="I576" s="158"/>
      <c r="J576" s="158"/>
      <c r="K576" s="158"/>
      <c r="L576" s="158"/>
      <c r="M576" s="158"/>
      <c r="N576" s="158"/>
      <c r="O576" s="158"/>
      <c r="P576" s="158"/>
      <c r="Q576" s="136" t="s">
        <v>35</v>
      </c>
      <c r="R576" s="146"/>
      <c r="S576" s="146"/>
      <c r="T576" s="165">
        <f ref="T576:T576" t="array">IFERROR(INDIRECT(ADDRESS(78,X582,,,"Inputs")), "")</f>
        <v>0</v>
      </c>
      <c r="U576" s="166"/>
      <c r="V576" s="167"/>
      <c r="AA576" s="0">
        <f>AA564</f>
        <v>1</v>
      </c>
    </row>
    <row r="577" ht="18" customHeight="1">
      <c r="A577" s="117" t="s">
        <v>36</v>
      </c>
      <c r="B577" s="141" t="str">
        <f ref="B577:B577" t="array">IF(INDIRECT(ADDRESS(30,X582,,,"Inputs"))=0,"",INDIRECT(ADDRESS(30,X582,,,"Inputs")))</f>
      </c>
      <c r="C577" s="141"/>
      <c r="D577" s="158"/>
      <c r="E577" s="158"/>
      <c r="F577" s="158"/>
      <c r="G577" s="158"/>
      <c r="H577" s="158"/>
      <c r="I577" s="158"/>
      <c r="J577" s="158"/>
      <c r="K577" s="158"/>
      <c r="L577" s="158"/>
      <c r="M577" s="158"/>
      <c r="N577" s="158"/>
      <c r="O577" s="158"/>
      <c r="P577" s="158"/>
      <c r="Q577" s="136" t="s">
        <v>37</v>
      </c>
      <c r="R577" s="146"/>
      <c r="S577" s="146"/>
      <c r="T577" s="165">
        <f ref="T577:T577" t="array">IFERROR(INDIRECT(ADDRESS(45,X582,,,"Inputs")), "")</f>
        <v>0</v>
      </c>
      <c r="U577" s="166"/>
      <c r="V577" s="167"/>
      <c r="AA577" s="0">
        <f>AA564</f>
        <v>1</v>
      </c>
    </row>
    <row r="578" ht="18" customHeight="1">
      <c r="A578" s="117" t="s">
        <v>38</v>
      </c>
      <c r="B578" s="136" t="str">
        <f ref="B578:B578" t="array">IF(INDIRECT(ADDRESS(32,X582,,,"Inputs"))=0,"",INDIRECT(ADDRESS(32,X582,,,"Inputs")))</f>
      </c>
      <c r="C578" s="136"/>
      <c r="D578" s="158"/>
      <c r="E578" s="158"/>
      <c r="F578" s="158"/>
      <c r="G578" s="158"/>
      <c r="H578" s="158"/>
      <c r="I578" s="158"/>
      <c r="J578" s="158"/>
      <c r="K578" s="158"/>
      <c r="L578" s="158"/>
      <c r="M578" s="158"/>
      <c r="N578" s="158"/>
      <c r="O578" s="158"/>
      <c r="P578" s="158"/>
      <c r="Q578" s="136" t="s">
        <v>39</v>
      </c>
      <c r="R578" s="146"/>
      <c r="S578" s="146"/>
      <c r="T578" s="165">
        <f ref="T578:T578" t="array">IFERROR(INDIRECT(ADDRESS(79,X582,,,"Inputs")), "")</f>
        <v>0</v>
      </c>
      <c r="U578" s="166"/>
      <c r="V578" s="167"/>
      <c r="AA578" s="0">
        <f>AA564</f>
        <v>1</v>
      </c>
    </row>
    <row r="579" ht="18" customHeight="1">
      <c r="A579" s="152" t="s">
        <v>40</v>
      </c>
      <c r="B579" s="153"/>
      <c r="C579" s="154"/>
      <c r="D579" s="158"/>
      <c r="E579" s="158"/>
      <c r="F579" s="158"/>
      <c r="G579" s="158"/>
      <c r="H579" s="158"/>
      <c r="I579" s="158"/>
      <c r="J579" s="158"/>
      <c r="K579" s="158"/>
      <c r="L579" s="158"/>
      <c r="M579" s="158"/>
      <c r="N579" s="158"/>
      <c r="O579" s="158"/>
      <c r="P579" s="158"/>
      <c r="Q579" s="136" t="s">
        <v>41</v>
      </c>
      <c r="R579" s="146"/>
      <c r="S579" s="146"/>
      <c r="T579" s="165">
        <f ref="T579:T579" t="array">IFERROR(INDIRECT(ADDRESS(80,X582,,,"Inputs")), "")</f>
        <v>0</v>
      </c>
      <c r="U579" s="166"/>
      <c r="V579" s="167"/>
      <c r="W579" s="0">
        <f ref="W579:W579" t="array">INDIRECT(ADDRESS(34,X582,,,"Inputs"))</f>
        <v>0</v>
      </c>
      <c r="X579" s="3"/>
      <c r="AA579" s="0">
        <f>AA564</f>
        <v>1</v>
      </c>
    </row>
    <row r="580" ht="18" customHeight="1">
      <c r="A580" s="117" t="s">
        <v>42</v>
      </c>
      <c r="B580" s="141" t="str">
        <f ref="B580:B580" t="array">IF(INDIRECT(ADDRESS(33,X582,,,"Inputs"))=0,"",INDIRECT(ADDRESS(33,X582,,,"Inputs")))</f>
      </c>
      <c r="C580" s="141"/>
      <c r="D580" s="158"/>
      <c r="E580" s="158"/>
      <c r="F580" s="158"/>
      <c r="G580" s="158"/>
      <c r="H580" s="158"/>
      <c r="I580" s="158"/>
      <c r="J580" s="158"/>
      <c r="K580" s="158"/>
      <c r="L580" s="158"/>
      <c r="M580" s="158"/>
      <c r="N580" s="158"/>
      <c r="O580" s="158"/>
      <c r="P580" s="158"/>
      <c r="Q580" s="136" t="s">
        <v>43</v>
      </c>
      <c r="R580" s="146"/>
      <c r="S580" s="146"/>
      <c r="T580" s="165">
        <f ref="T580:T580" t="array">IFERROR(INDIRECT(ADDRESS(81,X582,,,"Inputs")), "")</f>
        <v>0</v>
      </c>
      <c r="U580" s="166"/>
      <c r="V580" s="167"/>
      <c r="X580" s="3"/>
      <c r="AA580" s="0">
        <f>AA564</f>
        <v>1</v>
      </c>
    </row>
    <row r="581" ht="36" customHeight="1">
      <c r="A581" s="117" t="s">
        <v>44</v>
      </c>
      <c r="B581" s="156" t="str">
        <f ref="B581:B581" t="array">IF(INDIRECT(ADDRESS(47,X582,,,"Inputs"))=0,"",INDIRECT(ADDRESS(47,X582,,,"Inputs")))</f>
      </c>
      <c r="C581" s="156"/>
      <c r="D581" s="158"/>
      <c r="E581" s="158"/>
      <c r="F581" s="158"/>
      <c r="G581" s="158"/>
      <c r="H581" s="158"/>
      <c r="I581" s="158"/>
      <c r="J581" s="158"/>
      <c r="K581" s="158"/>
      <c r="L581" s="158"/>
      <c r="M581" s="158"/>
      <c r="N581" s="158"/>
      <c r="O581" s="158"/>
      <c r="P581" s="158"/>
      <c r="Q581" s="136" t="s">
        <v>45</v>
      </c>
      <c r="R581" s="146"/>
      <c r="S581" s="146"/>
      <c r="T581" s="136" t="str">
        <f ref="T581:T581" t="array">_xlfn.CONCAT(IFERROR(INDIRECT(ADDRESS(49,X582,,,"Inputs")), ""), " / ", IFERROR(INDIRECT(ADDRESS(48,X582,,,"Inputs")), ""))</f>
        <v> / </v>
      </c>
      <c r="U581" s="146"/>
      <c r="V581" s="161"/>
      <c r="X581" s="3"/>
      <c r="AA581" s="0">
        <f>AA564</f>
        <v>1</v>
      </c>
    </row>
    <row r="582" ht="102" customHeight="1">
      <c r="A582" s="122"/>
      <c r="B582" s="157"/>
      <c r="C582" s="157"/>
      <c r="D582" s="159"/>
      <c r="E582" s="159"/>
      <c r="F582" s="159"/>
      <c r="G582" s="159"/>
      <c r="H582" s="159"/>
      <c r="I582" s="159"/>
      <c r="J582" s="159"/>
      <c r="K582" s="159"/>
      <c r="L582" s="159"/>
      <c r="M582" s="159"/>
      <c r="N582" s="159"/>
      <c r="O582" s="159"/>
      <c r="P582" s="159"/>
      <c r="Q582" s="159"/>
      <c r="R582" s="173"/>
      <c r="S582" s="173"/>
      <c r="T582" s="174"/>
      <c r="U582" s="175"/>
      <c r="V582" s="176"/>
      <c r="W582" s="78" t="s">
        <v>46</v>
      </c>
      <c r="X582" s="78">
        <f>COLUMN(Inputs!KX5)</f>
        <v>310</v>
      </c>
      <c r="AA582" s="0">
        <f>AA564</f>
        <v>1</v>
      </c>
    </row>
    <row r="583" ht="16.5">
      <c r="A583" s="130"/>
      <c r="B583" s="129"/>
      <c r="C583" s="129"/>
      <c r="D583" s="130"/>
      <c r="E583" s="130"/>
      <c r="F583" s="130"/>
      <c r="G583" s="130"/>
      <c r="H583" s="130"/>
      <c r="I583" s="130"/>
      <c r="J583" s="130"/>
      <c r="K583" s="130"/>
      <c r="L583" s="130"/>
      <c r="M583" s="130"/>
      <c r="N583" s="130"/>
      <c r="O583" s="130"/>
      <c r="P583" s="130"/>
      <c r="Q583" s="130"/>
      <c r="R583" s="131"/>
      <c r="S583" s="131"/>
      <c r="T583" s="132"/>
      <c r="U583" s="133"/>
      <c r="V583" s="133"/>
      <c r="W583" s="78"/>
      <c r="X583" s="78"/>
      <c r="AA583" s="0">
        <f>AA565</f>
        <v>1</v>
      </c>
    </row>
    <row r="584" ht="18" customHeight="1">
      <c r="A584" s="139" t="s">
        <v>4</v>
      </c>
      <c r="B584" s="140"/>
      <c r="C584" s="140"/>
      <c r="D584" s="140" t="str">
        <f ref="D584:D584" t="array">CONCATENATE(INDIRECT(ADDRESS(6,X602,,,"Inputs"))," ",INDIRECT(ADDRESS(8,X602,,,"Inputs"))," ",INDIRECT(ADDRESS(9,X602,,,"Inputs")))</f>
      </c>
      <c r="E584" s="140"/>
      <c r="F584" s="140"/>
      <c r="G584" s="140"/>
      <c r="H584" s="140"/>
      <c r="I584" s="140"/>
      <c r="J584" s="140"/>
      <c r="K584" s="140"/>
      <c r="L584" s="140"/>
      <c r="M584" s="140"/>
      <c r="N584" s="140"/>
      <c r="O584" s="140"/>
      <c r="P584" s="140"/>
      <c r="Q584" s="113"/>
      <c r="R584" s="113"/>
      <c r="S584" s="113"/>
      <c r="T584" s="113"/>
      <c r="U584" s="113"/>
      <c r="V584" s="114"/>
      <c r="AA584" s="0">
        <f>IF(LEN(TRIM(A584))=0,0,1)</f>
        <v>1</v>
      </c>
    </row>
    <row r="585" ht="18" customHeight="1">
      <c r="A585" s="134" t="str">
        <f ref="A585:A585" t="array">IF(INDIRECT(ADDRESS(50,X602,,,"Inputs"))=0,"",INDIRECT(ADDRESS(50,X602,,,"Inputs")))</f>
      </c>
      <c r="B585" s="135"/>
      <c r="C585" s="135"/>
      <c r="D585" s="136" t="str">
        <f ref="D585:D585" t="array">IF(INDIRECT(ADDRESS(10,X602,,,"Inputs"))=0,"",INDIRECT(ADDRESS(10,X602,,,"Inputs")))</f>
      </c>
      <c r="E585" s="136"/>
      <c r="F585" s="136"/>
      <c r="G585" s="136"/>
      <c r="H585" s="136"/>
      <c r="I585" s="136"/>
      <c r="J585" s="136"/>
      <c r="K585" s="136"/>
      <c r="L585" s="136"/>
      <c r="M585" s="136"/>
      <c r="N585" s="136"/>
      <c r="O585" s="136"/>
      <c r="P585" s="136"/>
      <c r="Q585" s="110"/>
      <c r="R585" s="110"/>
      <c r="S585" s="110"/>
      <c r="T585" s="110"/>
      <c r="U585" s="110"/>
      <c r="V585" s="115"/>
      <c r="AA585" s="0">
        <f>AA584</f>
        <v>1</v>
      </c>
    </row>
    <row r="586" ht="18" customHeight="1">
      <c r="A586" s="137" t="s">
        <v>5</v>
      </c>
      <c r="B586" s="136"/>
      <c r="C586" s="136"/>
      <c r="D586" s="136" t="str">
        <f ref="D586:D586" t="array">IF(INDIRECT(ADDRESS(14,X602,,,"Inputs"))=0,"",INDIRECT(ADDRESS(14,X602,,,"Inputs")))</f>
      </c>
      <c r="E586" s="136"/>
      <c r="F586" s="136"/>
      <c r="G586" s="136"/>
      <c r="H586" s="136"/>
      <c r="I586" s="136"/>
      <c r="J586" s="136"/>
      <c r="K586" s="136"/>
      <c r="L586" s="136"/>
      <c r="M586" s="136"/>
      <c r="N586" s="136"/>
      <c r="O586" s="136"/>
      <c r="P586" s="136"/>
      <c r="Q586" s="110"/>
      <c r="R586" s="110"/>
      <c r="S586" s="110"/>
      <c r="T586" s="110"/>
      <c r="U586" s="110"/>
      <c r="V586" s="115"/>
      <c r="AA586" s="0">
        <f>AA584</f>
        <v>1</v>
      </c>
    </row>
    <row r="587" ht="18" customHeight="1">
      <c r="A587" s="134" t="str">
        <f ref="A587:A587" t="array">IF(INDIRECT(ADDRESS(51,X602,,,"Inputs"))=0,"",INDIRECT(ADDRESS(51,X602,,,"Inputs")))</f>
      </c>
      <c r="B587" s="135"/>
      <c r="C587" s="135"/>
      <c r="D587" s="138" t="str">
        <f ref="D587:D587" t="array">INDIRECT(ADDRESS(82,X602,,,"Inputs"))</f>
      </c>
      <c r="E587" s="138"/>
      <c r="F587" s="138"/>
      <c r="G587" s="138"/>
      <c r="H587" s="138"/>
      <c r="I587" s="138"/>
      <c r="J587" s="138"/>
      <c r="K587" s="138"/>
      <c r="L587" s="138"/>
      <c r="M587" s="138"/>
      <c r="N587" s="138"/>
      <c r="O587" s="138"/>
      <c r="P587" s="138"/>
      <c r="Q587" s="112"/>
      <c r="R587" s="112"/>
      <c r="S587" s="112"/>
      <c r="T587" s="112"/>
      <c r="U587" s="112"/>
      <c r="V587" s="116"/>
      <c r="AA587" s="0">
        <f>AA584</f>
        <v>1</v>
      </c>
    </row>
    <row r="588" ht="18" customHeight="1">
      <c r="A588" s="168" t="s">
        <v>6</v>
      </c>
      <c r="B588" s="146"/>
      <c r="C588" s="151"/>
      <c r="D588" s="169" t="s">
        <v>7</v>
      </c>
      <c r="E588" s="146"/>
      <c r="F588" s="146"/>
      <c r="G588" s="146"/>
      <c r="H588" s="146"/>
      <c r="I588" s="146"/>
      <c r="J588" s="146"/>
      <c r="K588" s="146"/>
      <c r="L588" s="146"/>
      <c r="M588" s="146"/>
      <c r="N588" s="146"/>
      <c r="O588" s="146"/>
      <c r="P588" s="151"/>
      <c r="Q588" s="170" t="s">
        <v>8</v>
      </c>
      <c r="R588" s="146"/>
      <c r="S588" s="146"/>
      <c r="T588" s="146"/>
      <c r="U588" s="146"/>
      <c r="V588" s="161"/>
      <c r="AA588" s="0">
        <f>AA584</f>
        <v>1</v>
      </c>
    </row>
    <row r="589" ht="18" customHeight="1">
      <c r="A589" s="117" t="s">
        <v>9</v>
      </c>
      <c r="B589" s="162" t="str">
        <f ref="B589:B589" t="array">IF(INDIRECT(ADDRESS(15,X602,,,"Inputs"))=0,"",INDIRECT(ADDRESS(15,X602,,,"Inputs")))</f>
      </c>
      <c r="C589" s="162"/>
      <c r="D589" s="109" t="s">
        <v>10</v>
      </c>
      <c r="E589" s="136" t="s">
        <v>11</v>
      </c>
      <c r="F589" s="146"/>
      <c r="G589" s="146"/>
      <c r="H589" s="109" t="s">
        <v>12</v>
      </c>
      <c r="I589" s="109" t="s">
        <v>13</v>
      </c>
      <c r="J589" s="136" t="s">
        <v>14</v>
      </c>
      <c r="K589" s="146"/>
      <c r="L589" s="136" t="s">
        <v>15</v>
      </c>
      <c r="M589" s="146"/>
      <c r="N589" s="146"/>
      <c r="O589" s="136" t="s">
        <v>16</v>
      </c>
      <c r="P589" s="146"/>
      <c r="Q589" s="136" t="s">
        <v>17</v>
      </c>
      <c r="R589" s="146"/>
      <c r="S589" s="146"/>
      <c r="T589" s="146"/>
      <c r="U589" s="146"/>
      <c r="V589" s="161"/>
      <c r="AA589" s="0">
        <f>AA584</f>
        <v>1</v>
      </c>
    </row>
    <row r="590" ht="18" customHeight="1">
      <c r="A590" s="117" t="s">
        <v>18</v>
      </c>
      <c r="B590" s="162" t="str">
        <f ref="B590:B590" t="array">IF(INDIRECT(ADDRESS(16,X602,,,"Inputs"))=0,"",INDIRECT(ADDRESS(16,X602,,,"Inputs")))</f>
      </c>
      <c r="C590" s="162"/>
      <c r="D590" s="109" t="s">
        <v>19</v>
      </c>
      <c r="E590" s="142" t="str">
        <f ref="E590:E590" t="array">IF(ISBLANK(INDIRECT(ADDRESS(35,X602,,,"Inputs"))),"",INDIRECT(ADDRESS(35,X602,,,"Inputs")))</f>
      </c>
      <c r="F590" s="143"/>
      <c r="G590" s="143"/>
      <c r="H590" s="118" t="str">
        <f ref="H590:H590" t="array">IF(ISBLANK(INDIRECT(ADDRESS(35,X602,,,"Inputs"))),"",INDIRECT(ADDRESS(35,X602,,,"Inputs")))</f>
      </c>
      <c r="I590" s="119">
        <f ref="I590:I590" t="array">IFERROR(INDIRECT(ADDRESS(65,X602,,,"Inputs")), "")</f>
        <v>0</v>
      </c>
      <c r="J590" s="144" t="str">
        <f ref="J590:J590" t="array">IFERROR(INDIRECT(ADDRESS(66,X602,,,"Inputs")), "")</f>
      </c>
      <c r="K590" s="145"/>
      <c r="L590" s="136" t="s">
        <v>20</v>
      </c>
      <c r="M590" s="146"/>
      <c r="N590" s="146"/>
      <c r="O590" s="138" t="str">
        <f ref="O590:O590" t="array">IF(ISBLANK(INDIRECT(ADDRESS(36,X602,,,"Inputs"))), "-", IFERROR(I590/J590, ""))</f>
        <v>-</v>
      </c>
      <c r="P590" s="147"/>
      <c r="Q590" s="144" t="str">
        <f ref="Q590:Q590" t="array">IF(INDIRECT(ADDRESS(25,X602,,,"Inputs"))=0,"0",INDIRECT(ADDRESS(25,X602,,,"Inputs")))</f>
        <v>0</v>
      </c>
      <c r="R590" s="145"/>
      <c r="S590" s="145"/>
      <c r="T590" s="145"/>
      <c r="U590" s="145"/>
      <c r="V590" s="172"/>
      <c r="AA590" s="0">
        <f>AA584</f>
        <v>1</v>
      </c>
    </row>
    <row r="591" ht="36" customHeight="1">
      <c r="A591" s="117" t="s">
        <v>21</v>
      </c>
      <c r="B591" s="136" t="str">
        <f ref="B591:B591" t="array">IF(INDIRECT(ADDRESS(11,X602,,,"Inputs"))=0,"",INDIRECT(ADDRESS(11,X602,,,"Inputs")))</f>
      </c>
      <c r="C591" s="136"/>
      <c r="D591" s="109" t="s">
        <v>22</v>
      </c>
      <c r="E591" s="142" t="str">
        <f ref="E591:E591" t="array">IF(ISBLANK(INDIRECT(ADDRESS(39,X602,,,"Inputs"))),"",INDIRECT(ADDRESS(39,X602,,,"Inputs")))</f>
      </c>
      <c r="F591" s="143"/>
      <c r="G591" s="143"/>
      <c r="H591" s="118" t="str">
        <f ref="H591:H591" t="array">IF(ISBLANK(INDIRECT(ADDRESS(39,X602,,,"Inputs"))),"",INDIRECT(ADDRESS(39,X602,,,"Inputs")))</f>
      </c>
      <c r="I591" s="120" t="str">
        <f ref="I591:I591" t="array">IFERROR(INDIRECT(ADDRESS(67,X602,,,"Inputs")), "")</f>
      </c>
      <c r="J591" s="155" t="str">
        <f ref="J591:J591" t="array">IFERROR(INDIRECT(ADDRESS(68,X602,,,"Inputs")), "")</f>
      </c>
      <c r="K591" s="146"/>
      <c r="L591" s="136"/>
      <c r="M591" s="146"/>
      <c r="N591" s="146"/>
      <c r="O591" s="138" t="str">
        <f>IFERROR(J591/I591, "")</f>
      </c>
      <c r="P591" s="147"/>
      <c r="Q591" s="136" t="s">
        <v>23</v>
      </c>
      <c r="R591" s="146"/>
      <c r="S591" s="146"/>
      <c r="T591" s="146"/>
      <c r="U591" s="146"/>
      <c r="V591" s="161"/>
      <c r="AA591" s="0">
        <f>AA584</f>
        <v>1</v>
      </c>
    </row>
    <row r="592" ht="18" customHeight="1">
      <c r="A592" s="117" t="s">
        <v>24</v>
      </c>
      <c r="B592" s="141" t="str">
        <f ref="B592:B592" t="array">IF(INDIRECT(ADDRESS(75,X602,,,"Inputs"))=0,"",INDIRECT(ADDRESS(75,X602,,,"Inputs")))</f>
      </c>
      <c r="C592" s="141"/>
      <c r="D592" s="109" t="s">
        <v>25</v>
      </c>
      <c r="E592" s="142" t="str">
        <f ref="E592:E592" t="array">IF(ISBLANK(INDIRECT(ADDRESS(41,X602,,,"Inputs"))),"",INDIRECT(ADDRESS(41,X602,,,"Inputs")))</f>
      </c>
      <c r="F592" s="143"/>
      <c r="G592" s="143"/>
      <c r="H592" s="118" t="str">
        <f ref="H592:H592" t="array">IF(ISBLANK(INDIRECT(ADDRESS(41,X602,,,"Inputs"))),"",INDIRECT(ADDRESS(41,X602,,,"Inputs")))</f>
      </c>
      <c r="I592" s="119" t="str">
        <f ref="I592:I592" t="array">IFERROR(INDIRECT(ADDRESS(71,X602,,,"Inputs")), "")</f>
      </c>
      <c r="J592" s="144" t="str">
        <f ref="J592:J592" t="array">IFERROR(INDIRECT(ADDRESS(72,X602,,,"Inputs")), "")</f>
      </c>
      <c r="K592" s="145"/>
      <c r="L592" s="136" t="s">
        <v>20</v>
      </c>
      <c r="M592" s="146"/>
      <c r="N592" s="146"/>
      <c r="O592" s="138" t="str">
        <f ref="O592:O592" t="array">IF(ISBLANK(INDIRECT(ADDRESS(42,X602,,,"Inputs"))), "-", IFERROR(I592 / J592, ""))</f>
        <v>-</v>
      </c>
      <c r="P592" s="147"/>
      <c r="Q592" s="144" t="str">
        <f ref="Q592:Q592" t="array">IF(INDIRECT(ADDRESS(24,X602,,,"Inputs"))=0,"0",INDIRECT(ADDRESS(24,X602,,,"Inputs")))</f>
        <v>0</v>
      </c>
      <c r="R592" s="145"/>
      <c r="S592" s="145"/>
      <c r="T592" s="145"/>
      <c r="U592" s="145"/>
      <c r="V592" s="172"/>
      <c r="AA592" s="0">
        <f>AA584</f>
        <v>1</v>
      </c>
    </row>
    <row r="593" ht="36" customHeight="1">
      <c r="A593" s="117" t="s">
        <v>26</v>
      </c>
      <c r="B593" s="136" t="str">
        <f ref="B593:B593" t="array">IF(INDIRECT(ADDRESS(17,X602,,,"Inputs"))=0,"",INDIRECT(ADDRESS(17,X602,,,"Inputs")))</f>
      </c>
      <c r="C593" s="136"/>
      <c r="D593" s="111" t="s">
        <v>27</v>
      </c>
      <c r="E593" s="142" t="str">
        <f ref="E593:E593" t="array">IF(ISBLANK(INDIRECT(ADDRESS(43,X602,,,"Inputs"))),"",INDIRECT(ADDRESS(43,X602,,,"Inputs")))</f>
      </c>
      <c r="F593" s="143"/>
      <c r="G593" s="143"/>
      <c r="H593" s="118" t="str">
        <f ref="H593:H593" t="array">IF(ISBLANK(INDIRECT(ADDRESS(43,X602,,,"Inputs"))),"",INDIRECT(ADDRESS(43,X602,,,"Inputs")))</f>
      </c>
      <c r="I593" s="121" t="str">
        <f ref="I593:I593" t="array">IFERROR(INDIRECT(ADDRESS(73,X602,,,"Inputs")), "")</f>
      </c>
      <c r="J593" s="144" t="str">
        <f ref="J593:J593" t="array">IFERROR(INDIRECT(ADDRESS(74,X602,,,"Inputs")), "")</f>
      </c>
      <c r="K593" s="145"/>
      <c r="L593" s="136" t="s">
        <v>20</v>
      </c>
      <c r="M593" s="146"/>
      <c r="N593" s="146"/>
      <c r="O593" s="138" t="str">
        <f ref="O593:O593" t="array">IF(ISBLANK(INDIRECT(ADDRESS(44,X602,,,"Inputs"))), "-", IFERROR(I593 / J593, ""))</f>
        <v>-</v>
      </c>
      <c r="P593" s="147"/>
      <c r="Q593" s="177" t="s">
        <v>28</v>
      </c>
      <c r="R593" s="146"/>
      <c r="S593" s="146"/>
      <c r="T593" s="146"/>
      <c r="U593" s="146"/>
      <c r="V593" s="161"/>
      <c r="AA593" s="0">
        <f>AA584</f>
        <v>1</v>
      </c>
    </row>
    <row r="594" ht="18" customHeight="1">
      <c r="A594" s="117" t="s">
        <v>29</v>
      </c>
      <c r="B594" s="141" t="str">
        <f ref="B594:B594" t="array">IF(INDIRECT(ADDRESS(31,X602,,,"Inputs"))=0,"",INDIRECT(ADDRESS(31,X602,,,"Inputs")))</f>
      </c>
      <c r="C594" s="178"/>
      <c r="D594" s="179" t="s">
        <v>30</v>
      </c>
      <c r="E594" s="180"/>
      <c r="F594" s="180"/>
      <c r="G594" s="180"/>
      <c r="H594" s="180"/>
      <c r="I594" s="180"/>
      <c r="J594" s="180"/>
      <c r="K594" s="180"/>
      <c r="L594" s="180"/>
      <c r="M594" s="180"/>
      <c r="N594" s="180"/>
      <c r="O594" s="180"/>
      <c r="P594" s="181"/>
      <c r="Q594" s="136" t="s">
        <v>31</v>
      </c>
      <c r="R594" s="146"/>
      <c r="S594" s="146"/>
      <c r="T594" s="165">
        <f ref="T594:T594" t="array">IFERROR(INDIRECT(ADDRESS(77,X602,,,"Inputs")), "")</f>
        <v>0</v>
      </c>
      <c r="U594" s="166"/>
      <c r="V594" s="167"/>
      <c r="AA594" s="0">
        <f>AA584</f>
        <v>1</v>
      </c>
    </row>
    <row r="595" ht="18" customHeight="1">
      <c r="A595" s="117" t="s">
        <v>32</v>
      </c>
      <c r="B595" s="148" t="str">
        <f ref="B595:B595" t="array">IF(INDIRECT(ADDRESS(83,X602,,,"Inputs"))=0,"",INDIRECT(ADDRESS(83,X602,,,"Inputs")))</f>
      </c>
      <c r="C595" s="149"/>
      <c r="D595" s="158">
        <f ref="D595:D595" t="array">INDIRECT(ADDRESS(26,X602,,,"Inputs"))</f>
        <v>0</v>
      </c>
      <c r="E595" s="158"/>
      <c r="F595" s="158"/>
      <c r="G595" s="158"/>
      <c r="H595" s="158"/>
      <c r="I595" s="158"/>
      <c r="J595" s="158"/>
      <c r="K595" s="158"/>
      <c r="L595" s="158"/>
      <c r="M595" s="158"/>
      <c r="N595" s="158"/>
      <c r="O595" s="158"/>
      <c r="P595" s="158"/>
      <c r="Q595" s="136" t="s">
        <v>33</v>
      </c>
      <c r="R595" s="146"/>
      <c r="S595" s="146"/>
      <c r="T595" s="165">
        <f ref="T595:T595" t="array">IFERROR(INDIRECT(ADDRESS(86,X602,,,"Inputs")), "")</f>
        <v>0</v>
      </c>
      <c r="U595" s="166"/>
      <c r="V595" s="167"/>
      <c r="AA595" s="0">
        <f>AA584</f>
        <v>1</v>
      </c>
    </row>
    <row r="596" ht="18" customHeight="1">
      <c r="A596" s="150" t="s">
        <v>34</v>
      </c>
      <c r="B596" s="146"/>
      <c r="C596" s="151"/>
      <c r="D596" s="158"/>
      <c r="E596" s="158"/>
      <c r="F596" s="158"/>
      <c r="G596" s="158"/>
      <c r="H596" s="158"/>
      <c r="I596" s="158"/>
      <c r="J596" s="158"/>
      <c r="K596" s="158"/>
      <c r="L596" s="158"/>
      <c r="M596" s="158"/>
      <c r="N596" s="158"/>
      <c r="O596" s="158"/>
      <c r="P596" s="158"/>
      <c r="Q596" s="136" t="s">
        <v>35</v>
      </c>
      <c r="R596" s="146"/>
      <c r="S596" s="146"/>
      <c r="T596" s="165">
        <f ref="T596:T596" t="array">IFERROR(INDIRECT(ADDRESS(78,X602,,,"Inputs")), "")</f>
        <v>0</v>
      </c>
      <c r="U596" s="166"/>
      <c r="V596" s="167"/>
      <c r="AA596" s="0">
        <f>AA584</f>
        <v>1</v>
      </c>
    </row>
    <row r="597" ht="18" customHeight="1">
      <c r="A597" s="117" t="s">
        <v>36</v>
      </c>
      <c r="B597" s="141" t="str">
        <f ref="B597:B597" t="array">IF(INDIRECT(ADDRESS(30,X602,,,"Inputs"))=0,"",INDIRECT(ADDRESS(30,X602,,,"Inputs")))</f>
      </c>
      <c r="C597" s="141"/>
      <c r="D597" s="158"/>
      <c r="E597" s="158"/>
      <c r="F597" s="158"/>
      <c r="G597" s="158"/>
      <c r="H597" s="158"/>
      <c r="I597" s="158"/>
      <c r="J597" s="158"/>
      <c r="K597" s="158"/>
      <c r="L597" s="158"/>
      <c r="M597" s="158"/>
      <c r="N597" s="158"/>
      <c r="O597" s="158"/>
      <c r="P597" s="158"/>
      <c r="Q597" s="136" t="s">
        <v>37</v>
      </c>
      <c r="R597" s="146"/>
      <c r="S597" s="146"/>
      <c r="T597" s="165">
        <f ref="T597:T597" t="array">IFERROR(INDIRECT(ADDRESS(45,X602,,,"Inputs")), "")</f>
        <v>0</v>
      </c>
      <c r="U597" s="166"/>
      <c r="V597" s="167"/>
      <c r="AA597" s="0">
        <f>AA584</f>
        <v>1</v>
      </c>
    </row>
    <row r="598" ht="18" customHeight="1">
      <c r="A598" s="117" t="s">
        <v>38</v>
      </c>
      <c r="B598" s="136" t="str">
        <f ref="B598:B598" t="array">IF(INDIRECT(ADDRESS(32,X602,,,"Inputs"))=0,"",INDIRECT(ADDRESS(32,X602,,,"Inputs")))</f>
      </c>
      <c r="C598" s="136"/>
      <c r="D598" s="158"/>
      <c r="E598" s="158"/>
      <c r="F598" s="158"/>
      <c r="G598" s="158"/>
      <c r="H598" s="158"/>
      <c r="I598" s="158"/>
      <c r="J598" s="158"/>
      <c r="K598" s="158"/>
      <c r="L598" s="158"/>
      <c r="M598" s="158"/>
      <c r="N598" s="158"/>
      <c r="O598" s="158"/>
      <c r="P598" s="158"/>
      <c r="Q598" s="136" t="s">
        <v>39</v>
      </c>
      <c r="R598" s="146"/>
      <c r="S598" s="146"/>
      <c r="T598" s="165">
        <f ref="T598:T598" t="array">IFERROR(INDIRECT(ADDRESS(79,X602,,,"Inputs")), "")</f>
        <v>0</v>
      </c>
      <c r="U598" s="166"/>
      <c r="V598" s="167"/>
      <c r="AA598" s="0">
        <f>AA584</f>
        <v>1</v>
      </c>
    </row>
    <row r="599" ht="18" customHeight="1">
      <c r="A599" s="152" t="s">
        <v>40</v>
      </c>
      <c r="B599" s="153"/>
      <c r="C599" s="154"/>
      <c r="D599" s="158"/>
      <c r="E599" s="158"/>
      <c r="F599" s="158"/>
      <c r="G599" s="158"/>
      <c r="H599" s="158"/>
      <c r="I599" s="158"/>
      <c r="J599" s="158"/>
      <c r="K599" s="158"/>
      <c r="L599" s="158"/>
      <c r="M599" s="158"/>
      <c r="N599" s="158"/>
      <c r="O599" s="158"/>
      <c r="P599" s="158"/>
      <c r="Q599" s="136" t="s">
        <v>41</v>
      </c>
      <c r="R599" s="146"/>
      <c r="S599" s="146"/>
      <c r="T599" s="165">
        <f ref="T599:T599" t="array">IFERROR(INDIRECT(ADDRESS(80,X602,,,"Inputs")), "")</f>
        <v>0</v>
      </c>
      <c r="U599" s="166"/>
      <c r="V599" s="167"/>
      <c r="W599" s="0">
        <f ref="W599:W599" t="array">INDIRECT(ADDRESS(34,X602,,,"Inputs"))</f>
        <v>0</v>
      </c>
      <c r="X599" s="3"/>
      <c r="AA599" s="0">
        <f>AA584</f>
        <v>1</v>
      </c>
    </row>
    <row r="600" ht="18" customHeight="1">
      <c r="A600" s="117" t="s">
        <v>42</v>
      </c>
      <c r="B600" s="141" t="str">
        <f ref="B600:B600" t="array">IF(INDIRECT(ADDRESS(33,X602,,,"Inputs"))=0,"",INDIRECT(ADDRESS(33,X602,,,"Inputs")))</f>
      </c>
      <c r="C600" s="141"/>
      <c r="D600" s="158"/>
      <c r="E600" s="158"/>
      <c r="F600" s="158"/>
      <c r="G600" s="158"/>
      <c r="H600" s="158"/>
      <c r="I600" s="158"/>
      <c r="J600" s="158"/>
      <c r="K600" s="158"/>
      <c r="L600" s="158"/>
      <c r="M600" s="158"/>
      <c r="N600" s="158"/>
      <c r="O600" s="158"/>
      <c r="P600" s="158"/>
      <c r="Q600" s="136" t="s">
        <v>43</v>
      </c>
      <c r="R600" s="146"/>
      <c r="S600" s="146"/>
      <c r="T600" s="165">
        <f ref="T600:T600" t="array">IFERROR(INDIRECT(ADDRESS(81,X602,,,"Inputs")), "")</f>
        <v>0</v>
      </c>
      <c r="U600" s="166"/>
      <c r="V600" s="167"/>
      <c r="X600" s="3"/>
      <c r="AA600" s="0">
        <f>AA584</f>
        <v>1</v>
      </c>
    </row>
    <row r="601" ht="36" customHeight="1">
      <c r="A601" s="117" t="s">
        <v>44</v>
      </c>
      <c r="B601" s="156" t="str">
        <f ref="B601:B601" t="array">IF(INDIRECT(ADDRESS(47,X602,,,"Inputs"))=0,"",INDIRECT(ADDRESS(47,X602,,,"Inputs")))</f>
      </c>
      <c r="C601" s="156"/>
      <c r="D601" s="158"/>
      <c r="E601" s="158"/>
      <c r="F601" s="158"/>
      <c r="G601" s="158"/>
      <c r="H601" s="158"/>
      <c r="I601" s="158"/>
      <c r="J601" s="158"/>
      <c r="K601" s="158"/>
      <c r="L601" s="158"/>
      <c r="M601" s="158"/>
      <c r="N601" s="158"/>
      <c r="O601" s="158"/>
      <c r="P601" s="158"/>
      <c r="Q601" s="136" t="s">
        <v>45</v>
      </c>
      <c r="R601" s="146"/>
      <c r="S601" s="146"/>
      <c r="T601" s="136" t="str">
        <f ref="T601:T601" t="array">_xlfn.CONCAT(IFERROR(INDIRECT(ADDRESS(49,X602,,,"Inputs")), ""), " / ", IFERROR(INDIRECT(ADDRESS(48,X602,,,"Inputs")), ""))</f>
        <v> / </v>
      </c>
      <c r="U601" s="146"/>
      <c r="V601" s="161"/>
      <c r="X601" s="3"/>
      <c r="AA601" s="0">
        <f>AA584</f>
        <v>1</v>
      </c>
    </row>
    <row r="602" ht="102" customHeight="1">
      <c r="A602" s="122"/>
      <c r="B602" s="157"/>
      <c r="C602" s="157"/>
      <c r="D602" s="159"/>
      <c r="E602" s="159"/>
      <c r="F602" s="159"/>
      <c r="G602" s="159"/>
      <c r="H602" s="159"/>
      <c r="I602" s="159"/>
      <c r="J602" s="159"/>
      <c r="K602" s="159"/>
      <c r="L602" s="159"/>
      <c r="M602" s="159"/>
      <c r="N602" s="159"/>
      <c r="O602" s="159"/>
      <c r="P602" s="159"/>
      <c r="Q602" s="159"/>
      <c r="R602" s="173"/>
      <c r="S602" s="173"/>
      <c r="T602" s="174"/>
      <c r="U602" s="175"/>
      <c r="V602" s="176"/>
      <c r="W602" s="78" t="s">
        <v>46</v>
      </c>
      <c r="X602" s="78">
        <f>COLUMN(Inputs!LI5)</f>
        <v>321</v>
      </c>
      <c r="AA602" s="0">
        <f>AA584</f>
        <v>1</v>
      </c>
    </row>
    <row r="603" ht="15.75">
      <c r="A603" s="130"/>
      <c r="B603" s="129"/>
      <c r="C603" s="129"/>
      <c r="D603" s="130"/>
      <c r="E603" s="130"/>
      <c r="F603" s="130"/>
      <c r="G603" s="130"/>
      <c r="H603" s="130"/>
      <c r="I603" s="130"/>
      <c r="J603" s="130"/>
      <c r="K603" s="130"/>
      <c r="L603" s="130"/>
      <c r="M603" s="130"/>
      <c r="N603" s="130"/>
      <c r="O603" s="130"/>
      <c r="P603" s="130"/>
      <c r="Q603" s="130"/>
      <c r="R603" s="131"/>
      <c r="S603" s="131"/>
      <c r="T603" s="132"/>
      <c r="U603" s="133"/>
      <c r="V603" s="133"/>
      <c r="W603" s="78"/>
      <c r="X603" s="78"/>
      <c r="AA603" s="0">
        <f>AA585</f>
        <v>1</v>
      </c>
    </row>
    <row r="604" ht="31.5">
      <c r="A604" s="171" t="s">
        <v>47</v>
      </c>
      <c r="B604" s="171"/>
      <c r="C604" s="171"/>
      <c r="D604" s="171"/>
      <c r="E604" s="171"/>
      <c r="F604" s="171"/>
      <c r="G604" s="171"/>
      <c r="H604" s="171"/>
      <c r="I604" s="171"/>
      <c r="J604" s="171"/>
      <c r="K604" s="171"/>
      <c r="L604" s="171"/>
      <c r="M604" s="171"/>
      <c r="N604" s="171"/>
      <c r="O604" s="171"/>
      <c r="P604" s="171"/>
      <c r="Q604" s="171"/>
      <c r="R604" s="171"/>
      <c r="S604" s="171"/>
      <c r="T604" s="171"/>
      <c r="U604" s="171"/>
      <c r="V604" s="171"/>
      <c r="AA604" s="0">
        <v>1</v>
      </c>
    </row>
    <row r="605" ht="26.25">
      <c r="A605" s="164">
        <f>Inputs!B1</f>
        <v>0</v>
      </c>
      <c r="B605" s="164"/>
      <c r="C605" s="164"/>
      <c r="D605" s="164"/>
      <c r="E605" s="164"/>
      <c r="F605" s="164"/>
      <c r="G605" s="164"/>
      <c r="H605" s="164"/>
      <c r="I605" s="164"/>
      <c r="J605" s="164"/>
      <c r="K605" s="164"/>
      <c r="L605" s="164"/>
      <c r="M605" s="164"/>
      <c r="N605" s="164"/>
      <c r="O605" s="164"/>
      <c r="P605" s="164"/>
      <c r="Q605" s="164"/>
      <c r="R605" s="164"/>
      <c r="S605" s="164"/>
      <c r="T605" s="164"/>
      <c r="U605" s="164"/>
      <c r="V605" s="164"/>
      <c r="AA605" s="0">
        <v>1</v>
      </c>
    </row>
    <row r="606" ht="16.5">
      <c r="A606" s="58"/>
      <c r="B606" s="36"/>
      <c r="C606" s="36"/>
      <c r="D606" s="36"/>
      <c r="E606" s="36"/>
      <c r="F606" s="36"/>
      <c r="G606" s="36"/>
      <c r="H606" s="36"/>
      <c r="I606" s="36"/>
      <c r="J606" s="36"/>
      <c r="K606" s="36"/>
      <c r="L606" s="36"/>
      <c r="M606" s="36"/>
      <c r="N606" s="36"/>
      <c r="O606" s="36"/>
      <c r="P606" s="36"/>
      <c r="Q606" s="36"/>
      <c r="R606" s="36"/>
      <c r="S606" s="36"/>
      <c r="T606" s="36"/>
      <c r="U606" s="36"/>
      <c r="V606" s="36"/>
      <c r="AA606" s="0">
        <v>1</v>
      </c>
    </row>
    <row r="607" ht="15.75">
      <c r="A607" s="185" t="str">
        <f ref="A607:A607" t="array">CONCATENATE(INDIRECT(ADDRESS(6,X620,,,"Cleanout Inputs"))," ",INDIRECT(ADDRESS(8,X620,,,"Cleanout Inputs"))," ",INDIRECT(ADDRESS(9,X620,,,"Cleanout Inputs")))</f>
      </c>
      <c r="B607" s="186"/>
      <c r="C607" s="186"/>
      <c r="D607" s="186"/>
      <c r="E607" s="186"/>
      <c r="F607" s="186"/>
      <c r="G607" s="186"/>
      <c r="H607" s="186"/>
      <c r="I607" s="186"/>
      <c r="J607" s="186"/>
      <c r="K607" s="186"/>
      <c r="L607" s="186"/>
      <c r="M607" s="186"/>
      <c r="N607" s="186"/>
      <c r="O607" s="186"/>
      <c r="P607" s="186"/>
      <c r="Q607" s="186"/>
      <c r="R607" s="186"/>
      <c r="S607" s="186"/>
      <c r="T607" s="186"/>
      <c r="U607" s="186"/>
      <c r="V607" s="187"/>
      <c r="AA607" s="0">
        <f>IF(LEN(TRIM(A607))=0,0,1)</f>
        <v>0</v>
      </c>
    </row>
    <row r="608" ht="15.75">
      <c r="A608" s="188" t="str">
        <f ref="A608:A608" t="array">IF(INDIRECT(ADDRESS(10,X620,,,"Cleanout Inputs"))=0,"",INDIRECT(ADDRESS(10,X620,,,"Cleanout Inputs")))</f>
      </c>
      <c r="B608" s="146"/>
      <c r="C608" s="146"/>
      <c r="D608" s="146"/>
      <c r="E608" s="146"/>
      <c r="F608" s="146"/>
      <c r="G608" s="146"/>
      <c r="H608" s="146"/>
      <c r="I608" s="146"/>
      <c r="J608" s="146"/>
      <c r="K608" s="146"/>
      <c r="L608" s="146"/>
      <c r="M608" s="146"/>
      <c r="N608" s="146"/>
      <c r="O608" s="146"/>
      <c r="P608" s="146"/>
      <c r="Q608" s="146"/>
      <c r="R608" s="146"/>
      <c r="S608" s="146"/>
      <c r="T608" s="146"/>
      <c r="U608" s="146"/>
      <c r="V608" s="189"/>
      <c r="AA608" s="0">
        <f>AA607</f>
        <v>0</v>
      </c>
    </row>
    <row r="609" ht="15.75">
      <c r="A609" s="205" t="s">
        <v>6</v>
      </c>
      <c r="B609" s="146"/>
      <c r="C609" s="151"/>
      <c r="D609" s="169" t="s">
        <v>30</v>
      </c>
      <c r="E609" s="146"/>
      <c r="F609" s="146"/>
      <c r="G609" s="146"/>
      <c r="H609" s="146"/>
      <c r="I609" s="146"/>
      <c r="J609" s="146"/>
      <c r="K609" s="146"/>
      <c r="L609" s="146"/>
      <c r="M609" s="146"/>
      <c r="N609" s="146"/>
      <c r="O609" s="146"/>
      <c r="P609" s="151"/>
      <c r="Q609" s="170" t="s">
        <v>8</v>
      </c>
      <c r="R609" s="146"/>
      <c r="S609" s="146"/>
      <c r="T609" s="146"/>
      <c r="U609" s="146"/>
      <c r="V609" s="189"/>
      <c r="AA609" s="0">
        <f>AA607</f>
        <v>0</v>
      </c>
    </row>
    <row r="610" ht="15.75">
      <c r="A610" s="85" t="s">
        <v>9</v>
      </c>
      <c r="B610" s="206" t="str">
        <f ref="B610:B610" t="array">IF(INDIRECT(ADDRESS(15,X620,,,"Cleanout Inputs"))=0,"",INDIRECT(ADDRESS(15,X620,,,"Cleanout Inputs")))</f>
      </c>
      <c r="C610" s="206"/>
      <c r="D610" s="158">
        <f ref="D610:D610" t="array">INDIRECT(ADDRESS(14,X620,,,"Cleanout Inputs"))</f>
        <v>0</v>
      </c>
      <c r="E610" s="158"/>
      <c r="F610" s="158"/>
      <c r="G610" s="158"/>
      <c r="H610" s="158"/>
      <c r="I610" s="158"/>
      <c r="J610" s="158"/>
      <c r="K610" s="158"/>
      <c r="L610" s="158"/>
      <c r="M610" s="158"/>
      <c r="N610" s="158"/>
      <c r="O610" s="158"/>
      <c r="P610" s="158"/>
      <c r="Q610" s="136" t="s">
        <v>17</v>
      </c>
      <c r="R610" s="146"/>
      <c r="S610" s="146"/>
      <c r="T610" s="146"/>
      <c r="U610" s="146"/>
      <c r="V610" s="189"/>
      <c r="AA610" s="0">
        <f>AA607</f>
        <v>0</v>
      </c>
    </row>
    <row r="611" ht="15.75">
      <c r="A611" s="86" t="s">
        <v>18</v>
      </c>
      <c r="B611" s="206" t="str">
        <f ref="B611:B611" t="array">IF(INDIRECT(ADDRESS(16,X620,,,"Cleanout Inputs"))=0,"",INDIRECT(ADDRESS(16,X620,,,"Cleanout Inputs")))</f>
      </c>
      <c r="C611" s="206"/>
      <c r="D611" s="158"/>
      <c r="E611" s="158"/>
      <c r="F611" s="158"/>
      <c r="G611" s="158"/>
      <c r="H611" s="158"/>
      <c r="I611" s="158"/>
      <c r="J611" s="158"/>
      <c r="K611" s="158"/>
      <c r="L611" s="158"/>
      <c r="M611" s="158"/>
      <c r="N611" s="158"/>
      <c r="O611" s="158"/>
      <c r="P611" s="158"/>
      <c r="Q611" s="136" t="str">
        <f ref="Q611:Q611" t="array">IF(INDIRECT(ADDRESS(22,X620,,,"Cleanout Inputs"))=0,"0",INDIRECT(ADDRESS(22,X620,,,"Cleanout Inputs")))</f>
        <v>0</v>
      </c>
      <c r="R611" s="146"/>
      <c r="S611" s="146"/>
      <c r="T611" s="146"/>
      <c r="U611" s="146"/>
      <c r="V611" s="189"/>
      <c r="AA611" s="0">
        <f>AA607</f>
        <v>0</v>
      </c>
    </row>
    <row r="612" ht="15.75">
      <c r="A612" s="87" t="s">
        <v>21</v>
      </c>
      <c r="B612" s="190" t="str">
        <f ref="B612:B612" t="array">IF(INDIRECT(ADDRESS(11,X620,,,"Cleanout Inputs"))=0,"",INDIRECT(ADDRESS(11,X620,,,"Cleanout Inputs")))</f>
      </c>
      <c r="C612" s="190"/>
      <c r="D612" s="158"/>
      <c r="E612" s="158"/>
      <c r="F612" s="158"/>
      <c r="G612" s="158"/>
      <c r="H612" s="158"/>
      <c r="I612" s="158"/>
      <c r="J612" s="158"/>
      <c r="K612" s="158"/>
      <c r="L612" s="158"/>
      <c r="M612" s="158"/>
      <c r="N612" s="158"/>
      <c r="O612" s="158"/>
      <c r="P612" s="158"/>
      <c r="Q612" s="136" t="s">
        <v>23</v>
      </c>
      <c r="R612" s="146"/>
      <c r="S612" s="146"/>
      <c r="T612" s="146"/>
      <c r="U612" s="146"/>
      <c r="V612" s="189"/>
      <c r="AA612" s="0">
        <f>AA607</f>
        <v>0</v>
      </c>
    </row>
    <row r="613" ht="15.75">
      <c r="A613" s="87" t="s">
        <v>24</v>
      </c>
      <c r="B613" s="191" t="str">
        <f ref="B613:B613" t="array">IF(INDIRECT(ADDRESS(31,X620,,,"Cleanout Inputs"))=0,"",INDIRECT(ADDRESS(31,X620,,,"Cleanout Inputs")))</f>
      </c>
      <c r="C613" s="191"/>
      <c r="D613" s="158"/>
      <c r="E613" s="158"/>
      <c r="F613" s="158"/>
      <c r="G613" s="158"/>
      <c r="H613" s="158"/>
      <c r="I613" s="158"/>
      <c r="J613" s="158"/>
      <c r="K613" s="158"/>
      <c r="L613" s="158"/>
      <c r="M613" s="158"/>
      <c r="N613" s="158"/>
      <c r="O613" s="158"/>
      <c r="P613" s="158"/>
      <c r="Q613" s="136" t="str">
        <f ref="Q613:Q613" t="array">IF(INDIRECT(ADDRESS(21,X620,,,"Cleanout Inputs"))=0,"0",INDIRECT(ADDRESS(21,X620,,,"Cleanout Inputs")))</f>
        <v>0</v>
      </c>
      <c r="R613" s="146"/>
      <c r="S613" s="146"/>
      <c r="T613" s="146"/>
      <c r="U613" s="146"/>
      <c r="V613" s="189"/>
      <c r="AA613" s="0">
        <f>AA607</f>
        <v>0</v>
      </c>
    </row>
    <row r="614">
      <c r="A614" s="194"/>
      <c r="B614" s="190"/>
      <c r="C614" s="190"/>
      <c r="D614" s="158"/>
      <c r="E614" s="158"/>
      <c r="F614" s="158"/>
      <c r="G614" s="158"/>
      <c r="H614" s="158"/>
      <c r="I614" s="158"/>
      <c r="J614" s="158"/>
      <c r="K614" s="158"/>
      <c r="L614" s="158"/>
      <c r="M614" s="158"/>
      <c r="N614" s="158"/>
      <c r="O614" s="158"/>
      <c r="P614" s="158"/>
      <c r="Q614" s="190"/>
      <c r="R614" s="190"/>
      <c r="S614" s="190"/>
      <c r="T614" s="190"/>
      <c r="U614" s="190"/>
      <c r="V614" s="195"/>
      <c r="AA614" s="0">
        <f>AA607</f>
        <v>0</v>
      </c>
    </row>
    <row r="615">
      <c r="A615" s="194"/>
      <c r="B615" s="190"/>
      <c r="C615" s="190"/>
      <c r="D615" s="158"/>
      <c r="E615" s="158"/>
      <c r="F615" s="158"/>
      <c r="G615" s="158"/>
      <c r="H615" s="158"/>
      <c r="I615" s="158"/>
      <c r="J615" s="158"/>
      <c r="K615" s="158"/>
      <c r="L615" s="158"/>
      <c r="M615" s="158"/>
      <c r="N615" s="158"/>
      <c r="O615" s="158"/>
      <c r="P615" s="158"/>
      <c r="Q615" s="190"/>
      <c r="R615" s="190"/>
      <c r="S615" s="190"/>
      <c r="T615" s="190"/>
      <c r="U615" s="190"/>
      <c r="V615" s="195"/>
      <c r="AA615" s="0">
        <f>AA607</f>
        <v>0</v>
      </c>
    </row>
    <row r="616">
      <c r="A616" s="194"/>
      <c r="B616" s="190"/>
      <c r="C616" s="190"/>
      <c r="D616" s="158"/>
      <c r="E616" s="158"/>
      <c r="F616" s="158"/>
      <c r="G616" s="158"/>
      <c r="H616" s="158"/>
      <c r="I616" s="158"/>
      <c r="J616" s="158"/>
      <c r="K616" s="158"/>
      <c r="L616" s="158"/>
      <c r="M616" s="158"/>
      <c r="N616" s="158"/>
      <c r="O616" s="158"/>
      <c r="P616" s="158"/>
      <c r="Q616" s="190"/>
      <c r="R616" s="190"/>
      <c r="S616" s="190"/>
      <c r="T616" s="190"/>
      <c r="U616" s="190"/>
      <c r="V616" s="195"/>
      <c r="AA616" s="0">
        <f>AA607</f>
        <v>0</v>
      </c>
    </row>
    <row r="617">
      <c r="A617" s="192" t="s">
        <v>48</v>
      </c>
      <c r="B617" s="184"/>
      <c r="C617" s="184"/>
      <c r="D617" s="184"/>
      <c r="E617" s="184"/>
      <c r="F617" s="184"/>
      <c r="G617" s="184"/>
      <c r="H617" s="184"/>
      <c r="I617" s="184"/>
      <c r="J617" s="184"/>
      <c r="K617" s="184"/>
      <c r="L617" s="184"/>
      <c r="M617" s="184"/>
      <c r="N617" s="184"/>
      <c r="O617" s="184"/>
      <c r="P617" s="184"/>
      <c r="Q617" s="184"/>
      <c r="R617" s="184"/>
      <c r="S617" s="184"/>
      <c r="T617" s="184"/>
      <c r="U617" s="184"/>
      <c r="V617" s="193"/>
      <c r="AA617" s="0">
        <f>AA607</f>
        <v>0</v>
      </c>
    </row>
    <row r="618">
      <c r="A618" s="194" t="s">
        <v>49</v>
      </c>
      <c r="B618" s="190"/>
      <c r="C618" s="196"/>
      <c r="D618" s="197" t="s">
        <v>50</v>
      </c>
      <c r="E618" s="198"/>
      <c r="F618" s="198"/>
      <c r="G618" s="198"/>
      <c r="H618" s="198"/>
      <c r="I618" s="198" t="s">
        <v>51</v>
      </c>
      <c r="J618" s="198"/>
      <c r="K618" s="198"/>
      <c r="L618" s="198"/>
      <c r="M618" s="198"/>
      <c r="N618" s="198"/>
      <c r="O618" s="198"/>
      <c r="P618" s="198" t="s">
        <v>52</v>
      </c>
      <c r="Q618" s="198"/>
      <c r="R618" s="198"/>
      <c r="S618" s="198"/>
      <c r="T618" s="198"/>
      <c r="U618" s="198"/>
      <c r="V618" s="199"/>
      <c r="AA618" s="0">
        <f>AA607</f>
        <v>0</v>
      </c>
    </row>
    <row r="619">
      <c r="A619" s="203" t="str">
        <f ref="A619:A619" t="array">IF(INDIRECT(ADDRESS(17,X620,,,"Cleanout Inputs"))=0,"",INDIRECT(ADDRESS(17,X620,,,"Cleanout Inputs")))</f>
      </c>
      <c r="B619" s="201"/>
      <c r="C619" s="204"/>
      <c r="D619" s="200" t="str">
        <f ref="D619:D619" t="array">IF(INDIRECT(ADDRESS(18,X620,,,"Cleanout Inputs"))=0,"",INDIRECT(ADDRESS(18,X620,,,"Cleanout Inputs")))</f>
      </c>
      <c r="E619" s="201"/>
      <c r="F619" s="201"/>
      <c r="G619" s="201"/>
      <c r="H619" s="201"/>
      <c r="I619" s="201" t="str">
        <f ref="I619:I619" t="array">IF(INDIRECT(ADDRESS(19,X620,,,"Cleanout Inputs"))=0,"",INDIRECT(ADDRESS(19,X620,,,"Cleanout Inputs")))</f>
      </c>
      <c r="J619" s="201"/>
      <c r="K619" s="201"/>
      <c r="L619" s="201"/>
      <c r="M619" s="201"/>
      <c r="N619" s="201"/>
      <c r="O619" s="201"/>
      <c r="P619" s="201" t="str">
        <f ref="P619:P619" t="array">IF(INDIRECT(ADDRESS(20,X620,,,"Cleanout Inputs"))=0,"",INDIRECT(ADDRESS(20,X620,,,"Cleanout Inputs")))</f>
      </c>
      <c r="Q619" s="201"/>
      <c r="R619" s="201"/>
      <c r="S619" s="201"/>
      <c r="T619" s="201"/>
      <c r="U619" s="201"/>
      <c r="V619" s="202"/>
      <c r="AA619" s="0">
        <f>AA607</f>
        <v>0</v>
      </c>
    </row>
    <row r="620" ht="16.5">
      <c r="A620" s="88"/>
      <c r="B620" s="89"/>
      <c r="C620" s="89"/>
      <c r="D620" s="90"/>
      <c r="E620" s="90"/>
      <c r="F620" s="90"/>
      <c r="G620" s="90"/>
      <c r="H620" s="90"/>
      <c r="I620" s="90"/>
      <c r="J620" s="90"/>
      <c r="K620" s="90"/>
      <c r="L620" s="90"/>
      <c r="M620" s="90"/>
      <c r="N620" s="90"/>
      <c r="O620" s="90"/>
      <c r="P620" s="90"/>
      <c r="Q620" s="90"/>
      <c r="R620" s="80"/>
      <c r="S620" s="80"/>
      <c r="T620" s="91"/>
      <c r="U620" s="81"/>
      <c r="V620" s="82"/>
      <c r="W620" s="78" t="s">
        <v>46</v>
      </c>
      <c r="X620" s="0">
        <v>2</v>
      </c>
      <c r="AA620" s="0">
        <f>AA607</f>
        <v>0</v>
      </c>
    </row>
    <row r="621" ht="15.75">
      <c r="AA621" s="0">
        <f>AA607</f>
        <v>0</v>
      </c>
    </row>
    <row r="622" ht="15.75">
      <c r="A622" s="185" t="str">
        <f ref="A622:A622" t="array">CONCATENATE(INDIRECT(ADDRESS(6,X635,,,"Cleanout Inputs"))," ",INDIRECT(ADDRESS(8,X635,,,"Cleanout Inputs"))," ",INDIRECT(ADDRESS(9,X635,,,"Cleanout Inputs")))</f>
      </c>
      <c r="B622" s="186"/>
      <c r="C622" s="186"/>
      <c r="D622" s="186"/>
      <c r="E622" s="186"/>
      <c r="F622" s="186"/>
      <c r="G622" s="186"/>
      <c r="H622" s="186"/>
      <c r="I622" s="186"/>
      <c r="J622" s="186"/>
      <c r="K622" s="186"/>
      <c r="L622" s="186"/>
      <c r="M622" s="186"/>
      <c r="N622" s="186"/>
      <c r="O622" s="186"/>
      <c r="P622" s="186"/>
      <c r="Q622" s="186"/>
      <c r="R622" s="186"/>
      <c r="S622" s="186"/>
      <c r="T622" s="186"/>
      <c r="U622" s="186"/>
      <c r="V622" s="187"/>
      <c r="AA622" s="0">
        <f>IF(LEN(TRIM(A622))=0,0,1)</f>
        <v>0</v>
      </c>
    </row>
    <row r="623" ht="15.75">
      <c r="A623" s="188" t="str">
        <f ref="A623:A623" t="array">IF(INDIRECT(ADDRESS(10,X635,,,"Cleanout Inputs"))=0,"",INDIRECT(ADDRESS(10,X635,,,"Cleanout Inputs")))</f>
      </c>
      <c r="B623" s="146"/>
      <c r="C623" s="146"/>
      <c r="D623" s="146"/>
      <c r="E623" s="146"/>
      <c r="F623" s="146"/>
      <c r="G623" s="146"/>
      <c r="H623" s="146"/>
      <c r="I623" s="146"/>
      <c r="J623" s="146"/>
      <c r="K623" s="146"/>
      <c r="L623" s="146"/>
      <c r="M623" s="146"/>
      <c r="N623" s="146"/>
      <c r="O623" s="146"/>
      <c r="P623" s="146"/>
      <c r="Q623" s="146"/>
      <c r="R623" s="146"/>
      <c r="S623" s="146"/>
      <c r="T623" s="146"/>
      <c r="U623" s="146"/>
      <c r="V623" s="189"/>
      <c r="AA623" s="0">
        <f>AA622</f>
        <v>0</v>
      </c>
    </row>
    <row r="624" ht="15.75">
      <c r="A624" s="205" t="s">
        <v>6</v>
      </c>
      <c r="B624" s="146"/>
      <c r="C624" s="151"/>
      <c r="D624" s="169" t="s">
        <v>30</v>
      </c>
      <c r="E624" s="146"/>
      <c r="F624" s="146"/>
      <c r="G624" s="146"/>
      <c r="H624" s="146"/>
      <c r="I624" s="146"/>
      <c r="J624" s="146"/>
      <c r="K624" s="146"/>
      <c r="L624" s="146"/>
      <c r="M624" s="146"/>
      <c r="N624" s="146"/>
      <c r="O624" s="146"/>
      <c r="P624" s="151"/>
      <c r="Q624" s="170" t="s">
        <v>8</v>
      </c>
      <c r="R624" s="146"/>
      <c r="S624" s="146"/>
      <c r="T624" s="146"/>
      <c r="U624" s="146"/>
      <c r="V624" s="189"/>
      <c r="AA624" s="0">
        <f>AA622</f>
        <v>0</v>
      </c>
    </row>
    <row r="625" ht="15.75">
      <c r="A625" s="85" t="s">
        <v>9</v>
      </c>
      <c r="B625" s="206" t="str">
        <f ref="B625:B625" t="array">IF(INDIRECT(ADDRESS(15,X635,,,"Cleanout Inputs"))=0,"",INDIRECT(ADDRESS(15,X635,,,"Cleanout Inputs")))</f>
      </c>
      <c r="C625" s="206"/>
      <c r="D625" s="158">
        <f ref="D625:D625" t="array">INDIRECT(ADDRESS(14,X635,,,"Cleanout Inputs"))</f>
        <v>0</v>
      </c>
      <c r="E625" s="158"/>
      <c r="F625" s="158"/>
      <c r="G625" s="158"/>
      <c r="H625" s="158"/>
      <c r="I625" s="158"/>
      <c r="J625" s="158"/>
      <c r="K625" s="158"/>
      <c r="L625" s="158"/>
      <c r="M625" s="158"/>
      <c r="N625" s="158"/>
      <c r="O625" s="158"/>
      <c r="P625" s="158"/>
      <c r="Q625" s="136" t="s">
        <v>17</v>
      </c>
      <c r="R625" s="146"/>
      <c r="S625" s="146"/>
      <c r="T625" s="146"/>
      <c r="U625" s="146"/>
      <c r="V625" s="189"/>
      <c r="AA625" s="0">
        <f>AA622</f>
        <v>0</v>
      </c>
    </row>
    <row r="626" ht="15.75">
      <c r="A626" s="86" t="s">
        <v>18</v>
      </c>
      <c r="B626" s="206" t="str">
        <f ref="B626:B626" t="array">IF(INDIRECT(ADDRESS(16,X635,,,"Cleanout Inputs"))=0,"",INDIRECT(ADDRESS(16,X635,,,"Cleanout Inputs")))</f>
      </c>
      <c r="C626" s="206"/>
      <c r="D626" s="158"/>
      <c r="E626" s="158"/>
      <c r="F626" s="158"/>
      <c r="G626" s="158"/>
      <c r="H626" s="158"/>
      <c r="I626" s="158"/>
      <c r="J626" s="158"/>
      <c r="K626" s="158"/>
      <c r="L626" s="158"/>
      <c r="M626" s="158"/>
      <c r="N626" s="158"/>
      <c r="O626" s="158"/>
      <c r="P626" s="158"/>
      <c r="Q626" s="136" t="str">
        <f ref="Q626:Q626" t="array">IF(INDIRECT(ADDRESS(22,X635,,,"Cleanout Inputs"))=0,"0",INDIRECT(ADDRESS(22,X635,,,"Cleanout Inputs")))</f>
        <v>0</v>
      </c>
      <c r="R626" s="146"/>
      <c r="S626" s="146"/>
      <c r="T626" s="146"/>
      <c r="U626" s="146"/>
      <c r="V626" s="189"/>
      <c r="AA626" s="0">
        <f>AA622</f>
        <v>0</v>
      </c>
    </row>
    <row r="627" ht="15.75">
      <c r="A627" s="87" t="s">
        <v>21</v>
      </c>
      <c r="B627" s="190" t="str">
        <f ref="B627:B627" t="array">IF(INDIRECT(ADDRESS(11,X635,,,"Cleanout Inputs"))=0,"",INDIRECT(ADDRESS(11,X635,,,"Cleanout Inputs")))</f>
      </c>
      <c r="C627" s="190"/>
      <c r="D627" s="158"/>
      <c r="E627" s="158"/>
      <c r="F627" s="158"/>
      <c r="G627" s="158"/>
      <c r="H627" s="158"/>
      <c r="I627" s="158"/>
      <c r="J627" s="158"/>
      <c r="K627" s="158"/>
      <c r="L627" s="158"/>
      <c r="M627" s="158"/>
      <c r="N627" s="158"/>
      <c r="O627" s="158"/>
      <c r="P627" s="158"/>
      <c r="Q627" s="136" t="s">
        <v>23</v>
      </c>
      <c r="R627" s="146"/>
      <c r="S627" s="146"/>
      <c r="T627" s="146"/>
      <c r="U627" s="146"/>
      <c r="V627" s="189"/>
      <c r="AA627" s="0">
        <f>AA622</f>
        <v>0</v>
      </c>
    </row>
    <row r="628" ht="15.75">
      <c r="A628" s="87" t="s">
        <v>24</v>
      </c>
      <c r="B628" s="191" t="str">
        <f ref="B628:B628" t="array">IF(INDIRECT(ADDRESS(31,X635,,,"Cleanout Inputs"))=0,"",INDIRECT(ADDRESS(31,X635,,,"Cleanout Inputs")))</f>
      </c>
      <c r="C628" s="191"/>
      <c r="D628" s="158"/>
      <c r="E628" s="158"/>
      <c r="F628" s="158"/>
      <c r="G628" s="158"/>
      <c r="H628" s="158"/>
      <c r="I628" s="158"/>
      <c r="J628" s="158"/>
      <c r="K628" s="158"/>
      <c r="L628" s="158"/>
      <c r="M628" s="158"/>
      <c r="N628" s="158"/>
      <c r="O628" s="158"/>
      <c r="P628" s="158"/>
      <c r="Q628" s="136" t="str">
        <f ref="Q628:Q628" t="array">IF(INDIRECT(ADDRESS(21,X635,,,"Cleanout Inputs"))=0,"0",INDIRECT(ADDRESS(21,X635,,,"Cleanout Inputs")))</f>
        <v>0</v>
      </c>
      <c r="R628" s="146"/>
      <c r="S628" s="146"/>
      <c r="T628" s="146"/>
      <c r="U628" s="146"/>
      <c r="V628" s="189"/>
      <c r="AA628" s="0">
        <f>AA622</f>
        <v>0</v>
      </c>
    </row>
    <row r="629">
      <c r="A629" s="194"/>
      <c r="B629" s="190"/>
      <c r="C629" s="190"/>
      <c r="D629" s="158"/>
      <c r="E629" s="158"/>
      <c r="F629" s="158"/>
      <c r="G629" s="158"/>
      <c r="H629" s="158"/>
      <c r="I629" s="158"/>
      <c r="J629" s="158"/>
      <c r="K629" s="158"/>
      <c r="L629" s="158"/>
      <c r="M629" s="158"/>
      <c r="N629" s="158"/>
      <c r="O629" s="158"/>
      <c r="P629" s="158"/>
      <c r="Q629" s="190"/>
      <c r="R629" s="190"/>
      <c r="S629" s="190"/>
      <c r="T629" s="190"/>
      <c r="U629" s="190"/>
      <c r="V629" s="195"/>
      <c r="AA629" s="0">
        <f>AA622</f>
        <v>0</v>
      </c>
    </row>
    <row r="630">
      <c r="A630" s="194"/>
      <c r="B630" s="190"/>
      <c r="C630" s="190"/>
      <c r="D630" s="158"/>
      <c r="E630" s="158"/>
      <c r="F630" s="158"/>
      <c r="G630" s="158"/>
      <c r="H630" s="158"/>
      <c r="I630" s="158"/>
      <c r="J630" s="158"/>
      <c r="K630" s="158"/>
      <c r="L630" s="158"/>
      <c r="M630" s="158"/>
      <c r="N630" s="158"/>
      <c r="O630" s="158"/>
      <c r="P630" s="158"/>
      <c r="Q630" s="190"/>
      <c r="R630" s="190"/>
      <c r="S630" s="190"/>
      <c r="T630" s="190"/>
      <c r="U630" s="190"/>
      <c r="V630" s="195"/>
      <c r="AA630" s="0">
        <f>AA622</f>
        <v>0</v>
      </c>
    </row>
    <row r="631">
      <c r="A631" s="194"/>
      <c r="B631" s="190"/>
      <c r="C631" s="190"/>
      <c r="D631" s="158"/>
      <c r="E631" s="158"/>
      <c r="F631" s="158"/>
      <c r="G631" s="158"/>
      <c r="H631" s="158"/>
      <c r="I631" s="158"/>
      <c r="J631" s="158"/>
      <c r="K631" s="158"/>
      <c r="L631" s="158"/>
      <c r="M631" s="158"/>
      <c r="N631" s="158"/>
      <c r="O631" s="158"/>
      <c r="P631" s="158"/>
      <c r="Q631" s="190"/>
      <c r="R631" s="190"/>
      <c r="S631" s="190"/>
      <c r="T631" s="190"/>
      <c r="U631" s="190"/>
      <c r="V631" s="195"/>
      <c r="AA631" s="0">
        <f>AA622</f>
        <v>0</v>
      </c>
    </row>
    <row r="632">
      <c r="A632" s="192" t="s">
        <v>48</v>
      </c>
      <c r="B632" s="184"/>
      <c r="C632" s="184"/>
      <c r="D632" s="184"/>
      <c r="E632" s="184"/>
      <c r="F632" s="184"/>
      <c r="G632" s="184"/>
      <c r="H632" s="184"/>
      <c r="I632" s="184"/>
      <c r="J632" s="184"/>
      <c r="K632" s="184"/>
      <c r="L632" s="184"/>
      <c r="M632" s="184"/>
      <c r="N632" s="184"/>
      <c r="O632" s="184"/>
      <c r="P632" s="184"/>
      <c r="Q632" s="184"/>
      <c r="R632" s="184"/>
      <c r="S632" s="184"/>
      <c r="T632" s="184"/>
      <c r="U632" s="184"/>
      <c r="V632" s="193"/>
      <c r="AA632" s="0">
        <f>AA622</f>
        <v>0</v>
      </c>
    </row>
    <row r="633">
      <c r="A633" s="194" t="s">
        <v>49</v>
      </c>
      <c r="B633" s="190"/>
      <c r="C633" s="196"/>
      <c r="D633" s="197" t="s">
        <v>50</v>
      </c>
      <c r="E633" s="198"/>
      <c r="F633" s="198"/>
      <c r="G633" s="198"/>
      <c r="H633" s="198"/>
      <c r="I633" s="198" t="s">
        <v>51</v>
      </c>
      <c r="J633" s="198"/>
      <c r="K633" s="198"/>
      <c r="L633" s="198"/>
      <c r="M633" s="198"/>
      <c r="N633" s="198"/>
      <c r="O633" s="198"/>
      <c r="P633" s="198" t="s">
        <v>52</v>
      </c>
      <c r="Q633" s="198"/>
      <c r="R633" s="198"/>
      <c r="S633" s="198"/>
      <c r="T633" s="198"/>
      <c r="U633" s="198"/>
      <c r="V633" s="199"/>
      <c r="AA633" s="0">
        <f>AA622</f>
        <v>0</v>
      </c>
    </row>
    <row r="634">
      <c r="A634" s="203" t="str">
        <f ref="A634:A634" t="array">IF(INDIRECT(ADDRESS(17,X635,,,"Cleanout Inputs"))=0,"",INDIRECT(ADDRESS(17,X635,,,"Cleanout Inputs")))</f>
      </c>
      <c r="B634" s="201"/>
      <c r="C634" s="204"/>
      <c r="D634" s="200" t="str">
        <f ref="D634:D634" t="array">IF(INDIRECT(ADDRESS(18,X635,,,"Cleanout Inputs"))=0,"",INDIRECT(ADDRESS(18,X635,,,"Cleanout Inputs")))</f>
      </c>
      <c r="E634" s="201"/>
      <c r="F634" s="201"/>
      <c r="G634" s="201"/>
      <c r="H634" s="201"/>
      <c r="I634" s="201" t="str">
        <f ref="I634:I634" t="array">IF(INDIRECT(ADDRESS(19,X635,,,"Cleanout Inputs"))=0,"",INDIRECT(ADDRESS(19,X635,,,"Cleanout Inputs")))</f>
      </c>
      <c r="J634" s="201"/>
      <c r="K634" s="201"/>
      <c r="L634" s="201"/>
      <c r="M634" s="201"/>
      <c r="N634" s="201"/>
      <c r="O634" s="201"/>
      <c r="P634" s="201" t="str">
        <f ref="P634:P634" t="array">IF(INDIRECT(ADDRESS(20,X635,,,"Cleanout Inputs"))=0,"",INDIRECT(ADDRESS(20,X635,,,"Cleanout Inputs")))</f>
      </c>
      <c r="Q634" s="201"/>
      <c r="R634" s="201"/>
      <c r="S634" s="201"/>
      <c r="T634" s="201"/>
      <c r="U634" s="201"/>
      <c r="V634" s="202"/>
      <c r="AA634" s="0">
        <f>AA622</f>
        <v>0</v>
      </c>
    </row>
    <row r="635" ht="16.5">
      <c r="A635" s="88"/>
      <c r="B635" s="89"/>
      <c r="C635" s="89"/>
      <c r="D635" s="90"/>
      <c r="E635" s="90"/>
      <c r="F635" s="90"/>
      <c r="G635" s="90"/>
      <c r="H635" s="90"/>
      <c r="I635" s="90"/>
      <c r="J635" s="90"/>
      <c r="K635" s="90"/>
      <c r="L635" s="90"/>
      <c r="M635" s="90"/>
      <c r="N635" s="90"/>
      <c r="O635" s="90"/>
      <c r="P635" s="90"/>
      <c r="Q635" s="90"/>
      <c r="R635" s="80"/>
      <c r="S635" s="80"/>
      <c r="T635" s="91"/>
      <c r="U635" s="81"/>
      <c r="V635" s="82"/>
      <c r="W635" s="78" t="s">
        <v>46</v>
      </c>
      <c r="X635" s="0">
        <v>5</v>
      </c>
      <c r="AA635" s="0">
        <f>AA622</f>
        <v>0</v>
      </c>
    </row>
    <row r="636" ht="15.75">
      <c r="AA636" s="0">
        <f>AA622</f>
        <v>0</v>
      </c>
    </row>
    <row r="637" ht="15.75">
      <c r="A637" s="185" t="str">
        <f ref="A637:A637" t="array">CONCATENATE(INDIRECT(ADDRESS(6,X650,,,"Cleanout Inputs"))," ",INDIRECT(ADDRESS(8,X650,,,"Cleanout Inputs"))," ",INDIRECT(ADDRESS(9,X650,,,"Cleanout Inputs")))</f>
      </c>
      <c r="B637" s="186"/>
      <c r="C637" s="186"/>
      <c r="D637" s="186"/>
      <c r="E637" s="186"/>
      <c r="F637" s="186"/>
      <c r="G637" s="186"/>
      <c r="H637" s="186"/>
      <c r="I637" s="186"/>
      <c r="J637" s="186"/>
      <c r="K637" s="186"/>
      <c r="L637" s="186"/>
      <c r="M637" s="186"/>
      <c r="N637" s="186"/>
      <c r="O637" s="186"/>
      <c r="P637" s="186"/>
      <c r="Q637" s="186"/>
      <c r="R637" s="186"/>
      <c r="S637" s="186"/>
      <c r="T637" s="186"/>
      <c r="U637" s="186"/>
      <c r="V637" s="187"/>
      <c r="AA637" s="0">
        <f>IF(LEN(TRIM(A637))=0,0,1)</f>
        <v>0</v>
      </c>
    </row>
    <row r="638" ht="15.75">
      <c r="A638" s="188" t="str">
        <f ref="A638:A638" t="array">IF(INDIRECT(ADDRESS(10,X650,,,"Cleanout Inputs"))=0,"",INDIRECT(ADDRESS(10,X650,,,"Cleanout Inputs")))</f>
      </c>
      <c r="B638" s="146"/>
      <c r="C638" s="146"/>
      <c r="D638" s="146"/>
      <c r="E638" s="146"/>
      <c r="F638" s="146"/>
      <c r="G638" s="146"/>
      <c r="H638" s="146"/>
      <c r="I638" s="146"/>
      <c r="J638" s="146"/>
      <c r="K638" s="146"/>
      <c r="L638" s="146"/>
      <c r="M638" s="146"/>
      <c r="N638" s="146"/>
      <c r="O638" s="146"/>
      <c r="P638" s="146"/>
      <c r="Q638" s="146"/>
      <c r="R638" s="146"/>
      <c r="S638" s="146"/>
      <c r="T638" s="146"/>
      <c r="U638" s="146"/>
      <c r="V638" s="189"/>
      <c r="AA638" s="0">
        <f>AA637</f>
        <v>0</v>
      </c>
    </row>
    <row r="639" ht="15.75">
      <c r="A639" s="205" t="s">
        <v>6</v>
      </c>
      <c r="B639" s="146"/>
      <c r="C639" s="151"/>
      <c r="D639" s="169" t="s">
        <v>30</v>
      </c>
      <c r="E639" s="146"/>
      <c r="F639" s="146"/>
      <c r="G639" s="146"/>
      <c r="H639" s="146"/>
      <c r="I639" s="146"/>
      <c r="J639" s="146"/>
      <c r="K639" s="146"/>
      <c r="L639" s="146"/>
      <c r="M639" s="146"/>
      <c r="N639" s="146"/>
      <c r="O639" s="146"/>
      <c r="P639" s="151"/>
      <c r="Q639" s="170" t="s">
        <v>8</v>
      </c>
      <c r="R639" s="146"/>
      <c r="S639" s="146"/>
      <c r="T639" s="146"/>
      <c r="U639" s="146"/>
      <c r="V639" s="189"/>
      <c r="AA639" s="0">
        <f>AA637</f>
        <v>0</v>
      </c>
    </row>
    <row r="640" ht="15.75">
      <c r="A640" s="85" t="s">
        <v>9</v>
      </c>
      <c r="B640" s="206" t="str">
        <f ref="B640:B640" t="array">IF(INDIRECT(ADDRESS(15,X650,,,"Cleanout Inputs"))=0,"",INDIRECT(ADDRESS(15,X650,,,"Cleanout Inputs")))</f>
      </c>
      <c r="C640" s="206"/>
      <c r="D640" s="158">
        <f ref="D640:D640" t="array">INDIRECT(ADDRESS(14,X650,,,"Cleanout Inputs"))</f>
        <v>0</v>
      </c>
      <c r="E640" s="158"/>
      <c r="F640" s="158"/>
      <c r="G640" s="158"/>
      <c r="H640" s="158"/>
      <c r="I640" s="158"/>
      <c r="J640" s="158"/>
      <c r="K640" s="158"/>
      <c r="L640" s="158"/>
      <c r="M640" s="158"/>
      <c r="N640" s="158"/>
      <c r="O640" s="158"/>
      <c r="P640" s="158"/>
      <c r="Q640" s="136" t="s">
        <v>17</v>
      </c>
      <c r="R640" s="146"/>
      <c r="S640" s="146"/>
      <c r="T640" s="146"/>
      <c r="U640" s="146"/>
      <c r="V640" s="189"/>
      <c r="AA640" s="0">
        <f>AA637</f>
        <v>0</v>
      </c>
    </row>
    <row r="641" ht="15.75">
      <c r="A641" s="86" t="s">
        <v>18</v>
      </c>
      <c r="B641" s="206" t="str">
        <f ref="B641:B641" t="array">IF(INDIRECT(ADDRESS(16,X650,,,"Cleanout Inputs"))=0,"",INDIRECT(ADDRESS(16,X650,,,"Cleanout Inputs")))</f>
      </c>
      <c r="C641" s="206"/>
      <c r="D641" s="158"/>
      <c r="E641" s="158"/>
      <c r="F641" s="158"/>
      <c r="G641" s="158"/>
      <c r="H641" s="158"/>
      <c r="I641" s="158"/>
      <c r="J641" s="158"/>
      <c r="K641" s="158"/>
      <c r="L641" s="158"/>
      <c r="M641" s="158"/>
      <c r="N641" s="158"/>
      <c r="O641" s="158"/>
      <c r="P641" s="158"/>
      <c r="Q641" s="136" t="str">
        <f ref="Q641:Q641" t="array">IF(INDIRECT(ADDRESS(22,X650,,,"Cleanout Inputs"))=0,"0",INDIRECT(ADDRESS(22,X650,,,"Cleanout Inputs")))</f>
        <v>0</v>
      </c>
      <c r="R641" s="146"/>
      <c r="S641" s="146"/>
      <c r="T641" s="146"/>
      <c r="U641" s="146"/>
      <c r="V641" s="189"/>
      <c r="AA641" s="0">
        <f>AA637</f>
        <v>0</v>
      </c>
    </row>
    <row r="642" ht="15.75">
      <c r="A642" s="87" t="s">
        <v>21</v>
      </c>
      <c r="B642" s="190" t="str">
        <f ref="B642:B642" t="array">IF(INDIRECT(ADDRESS(11,X650,,,"Cleanout Inputs"))=0,"",INDIRECT(ADDRESS(11,X650,,,"Cleanout Inputs")))</f>
      </c>
      <c r="C642" s="190"/>
      <c r="D642" s="158"/>
      <c r="E642" s="158"/>
      <c r="F642" s="158"/>
      <c r="G642" s="158"/>
      <c r="H642" s="158"/>
      <c r="I642" s="158"/>
      <c r="J642" s="158"/>
      <c r="K642" s="158"/>
      <c r="L642" s="158"/>
      <c r="M642" s="158"/>
      <c r="N642" s="158"/>
      <c r="O642" s="158"/>
      <c r="P642" s="158"/>
      <c r="Q642" s="136" t="s">
        <v>23</v>
      </c>
      <c r="R642" s="146"/>
      <c r="S642" s="146"/>
      <c r="T642" s="146"/>
      <c r="U642" s="146"/>
      <c r="V642" s="189"/>
      <c r="AA642" s="0">
        <f>AA637</f>
        <v>0</v>
      </c>
    </row>
    <row r="643" ht="15.75">
      <c r="A643" s="87" t="s">
        <v>24</v>
      </c>
      <c r="B643" s="191" t="str">
        <f ref="B643:B643" t="array">IF(INDIRECT(ADDRESS(31,X650,,,"Cleanout Inputs"))=0,"",INDIRECT(ADDRESS(31,X650,,,"Cleanout Inputs")))</f>
      </c>
      <c r="C643" s="191"/>
      <c r="D643" s="158"/>
      <c r="E643" s="158"/>
      <c r="F643" s="158"/>
      <c r="G643" s="158"/>
      <c r="H643" s="158"/>
      <c r="I643" s="158"/>
      <c r="J643" s="158"/>
      <c r="K643" s="158"/>
      <c r="L643" s="158"/>
      <c r="M643" s="158"/>
      <c r="N643" s="158"/>
      <c r="O643" s="158"/>
      <c r="P643" s="158"/>
      <c r="Q643" s="136" t="str">
        <f ref="Q643:Q643" t="array">IF(INDIRECT(ADDRESS(21,X650,,,"Cleanout Inputs"))=0,"0",INDIRECT(ADDRESS(21,X650,,,"Cleanout Inputs")))</f>
        <v>0</v>
      </c>
      <c r="R643" s="146"/>
      <c r="S643" s="146"/>
      <c r="T643" s="146"/>
      <c r="U643" s="146"/>
      <c r="V643" s="189"/>
      <c r="AA643" s="0">
        <f>AA637</f>
        <v>0</v>
      </c>
    </row>
    <row r="644">
      <c r="A644" s="194"/>
      <c r="B644" s="190"/>
      <c r="C644" s="190"/>
      <c r="D644" s="158"/>
      <c r="E644" s="158"/>
      <c r="F644" s="158"/>
      <c r="G644" s="158"/>
      <c r="H644" s="158"/>
      <c r="I644" s="158"/>
      <c r="J644" s="158"/>
      <c r="K644" s="158"/>
      <c r="L644" s="158"/>
      <c r="M644" s="158"/>
      <c r="N644" s="158"/>
      <c r="O644" s="158"/>
      <c r="P644" s="158"/>
      <c r="Q644" s="190"/>
      <c r="R644" s="190"/>
      <c r="S644" s="190"/>
      <c r="T644" s="190"/>
      <c r="U644" s="190"/>
      <c r="V644" s="195"/>
      <c r="AA644" s="0">
        <f>AA637</f>
        <v>0</v>
      </c>
    </row>
    <row r="645">
      <c r="A645" s="194"/>
      <c r="B645" s="190"/>
      <c r="C645" s="190"/>
      <c r="D645" s="158"/>
      <c r="E645" s="158"/>
      <c r="F645" s="158"/>
      <c r="G645" s="158"/>
      <c r="H645" s="158"/>
      <c r="I645" s="158"/>
      <c r="J645" s="158"/>
      <c r="K645" s="158"/>
      <c r="L645" s="158"/>
      <c r="M645" s="158"/>
      <c r="N645" s="158"/>
      <c r="O645" s="158"/>
      <c r="P645" s="158"/>
      <c r="Q645" s="190"/>
      <c r="R645" s="190"/>
      <c r="S645" s="190"/>
      <c r="T645" s="190"/>
      <c r="U645" s="190"/>
      <c r="V645" s="195"/>
      <c r="AA645" s="0">
        <f>AA637</f>
        <v>0</v>
      </c>
    </row>
    <row r="646">
      <c r="A646" s="194"/>
      <c r="B646" s="190"/>
      <c r="C646" s="190"/>
      <c r="D646" s="158"/>
      <c r="E646" s="158"/>
      <c r="F646" s="158"/>
      <c r="G646" s="158"/>
      <c r="H646" s="158"/>
      <c r="I646" s="158"/>
      <c r="J646" s="158"/>
      <c r="K646" s="158"/>
      <c r="L646" s="158"/>
      <c r="M646" s="158"/>
      <c r="N646" s="158"/>
      <c r="O646" s="158"/>
      <c r="P646" s="158"/>
      <c r="Q646" s="190"/>
      <c r="R646" s="190"/>
      <c r="S646" s="190"/>
      <c r="T646" s="190"/>
      <c r="U646" s="190"/>
      <c r="V646" s="195"/>
      <c r="AA646" s="0">
        <f>AA637</f>
        <v>0</v>
      </c>
    </row>
    <row r="647">
      <c r="A647" s="192" t="s">
        <v>48</v>
      </c>
      <c r="B647" s="184"/>
      <c r="C647" s="184"/>
      <c r="D647" s="184"/>
      <c r="E647" s="184"/>
      <c r="F647" s="184"/>
      <c r="G647" s="184"/>
      <c r="H647" s="184"/>
      <c r="I647" s="184"/>
      <c r="J647" s="184"/>
      <c r="K647" s="184"/>
      <c r="L647" s="184"/>
      <c r="M647" s="184"/>
      <c r="N647" s="184"/>
      <c r="O647" s="184"/>
      <c r="P647" s="184"/>
      <c r="Q647" s="184"/>
      <c r="R647" s="184"/>
      <c r="S647" s="184"/>
      <c r="T647" s="184"/>
      <c r="U647" s="184"/>
      <c r="V647" s="193"/>
      <c r="AA647" s="0">
        <f>AA637</f>
        <v>0</v>
      </c>
    </row>
    <row r="648">
      <c r="A648" s="194" t="s">
        <v>49</v>
      </c>
      <c r="B648" s="190"/>
      <c r="C648" s="196"/>
      <c r="D648" s="197" t="s">
        <v>50</v>
      </c>
      <c r="E648" s="198"/>
      <c r="F648" s="198"/>
      <c r="G648" s="198"/>
      <c r="H648" s="198"/>
      <c r="I648" s="198" t="s">
        <v>51</v>
      </c>
      <c r="J648" s="198"/>
      <c r="K648" s="198"/>
      <c r="L648" s="198"/>
      <c r="M648" s="198"/>
      <c r="N648" s="198"/>
      <c r="O648" s="198"/>
      <c r="P648" s="198" t="s">
        <v>52</v>
      </c>
      <c r="Q648" s="198"/>
      <c r="R648" s="198"/>
      <c r="S648" s="198"/>
      <c r="T648" s="198"/>
      <c r="U648" s="198"/>
      <c r="V648" s="199"/>
      <c r="AA648" s="0">
        <f>AA637</f>
        <v>0</v>
      </c>
    </row>
    <row r="649">
      <c r="A649" s="203" t="str">
        <f ref="A649:A649" t="array">IF(INDIRECT(ADDRESS(17,X650,,,"Cleanout Inputs"))=0,"",INDIRECT(ADDRESS(17,X650,,,"Cleanout Inputs")))</f>
      </c>
      <c r="B649" s="201"/>
      <c r="C649" s="204"/>
      <c r="D649" s="200" t="str">
        <f ref="D649:D649" t="array">IF(INDIRECT(ADDRESS(18,X650,,,"Cleanout Inputs"))=0,"",INDIRECT(ADDRESS(18,X650,,,"Cleanout Inputs")))</f>
      </c>
      <c r="E649" s="201"/>
      <c r="F649" s="201"/>
      <c r="G649" s="201"/>
      <c r="H649" s="201"/>
      <c r="I649" s="201" t="str">
        <f ref="I649:I649" t="array">IF(INDIRECT(ADDRESS(19,X650,,,"Cleanout Inputs"))=0,"",INDIRECT(ADDRESS(19,X650,,,"Cleanout Inputs")))</f>
      </c>
      <c r="J649" s="201"/>
      <c r="K649" s="201"/>
      <c r="L649" s="201"/>
      <c r="M649" s="201"/>
      <c r="N649" s="201"/>
      <c r="O649" s="201"/>
      <c r="P649" s="201" t="str">
        <f ref="P649:P649" t="array">IF(INDIRECT(ADDRESS(20,X650,,,"Cleanout Inputs"))=0,"",INDIRECT(ADDRESS(20,X650,,,"Cleanout Inputs")))</f>
      </c>
      <c r="Q649" s="201"/>
      <c r="R649" s="201"/>
      <c r="S649" s="201"/>
      <c r="T649" s="201"/>
      <c r="U649" s="201"/>
      <c r="V649" s="202"/>
      <c r="AA649" s="0">
        <f>AA637</f>
        <v>0</v>
      </c>
    </row>
    <row r="650" ht="16.5">
      <c r="A650" s="88"/>
      <c r="B650" s="89"/>
      <c r="C650" s="89"/>
      <c r="D650" s="90"/>
      <c r="E650" s="90"/>
      <c r="F650" s="90"/>
      <c r="G650" s="90"/>
      <c r="H650" s="90"/>
      <c r="I650" s="90"/>
      <c r="J650" s="90"/>
      <c r="K650" s="90"/>
      <c r="L650" s="90"/>
      <c r="M650" s="90"/>
      <c r="N650" s="90"/>
      <c r="O650" s="90"/>
      <c r="P650" s="90"/>
      <c r="Q650" s="90"/>
      <c r="R650" s="80"/>
      <c r="S650" s="80"/>
      <c r="T650" s="91"/>
      <c r="U650" s="81"/>
      <c r="V650" s="82"/>
      <c r="W650" s="78" t="s">
        <v>46</v>
      </c>
      <c r="X650" s="0">
        <v>8</v>
      </c>
      <c r="AA650" s="0">
        <f>AA637</f>
        <v>0</v>
      </c>
    </row>
    <row r="651" ht="15.75">
      <c r="AA651" s="0">
        <f>AA637</f>
        <v>0</v>
      </c>
    </row>
    <row r="652" ht="15.75">
      <c r="A652" s="185" t="str">
        <f ref="A652:A652" t="array">CONCATENATE(INDIRECT(ADDRESS(6,X665,,,"Cleanout Inputs"))," ",INDIRECT(ADDRESS(8,X665,,,"Cleanout Inputs"))," ",INDIRECT(ADDRESS(9,X665,,,"Cleanout Inputs")))</f>
      </c>
      <c r="B652" s="186"/>
      <c r="C652" s="186"/>
      <c r="D652" s="186"/>
      <c r="E652" s="186"/>
      <c r="F652" s="186"/>
      <c r="G652" s="186"/>
      <c r="H652" s="186"/>
      <c r="I652" s="186"/>
      <c r="J652" s="186"/>
      <c r="K652" s="186"/>
      <c r="L652" s="186"/>
      <c r="M652" s="186"/>
      <c r="N652" s="186"/>
      <c r="O652" s="186"/>
      <c r="P652" s="186"/>
      <c r="Q652" s="186"/>
      <c r="R652" s="186"/>
      <c r="S652" s="186"/>
      <c r="T652" s="186"/>
      <c r="U652" s="186"/>
      <c r="V652" s="187"/>
      <c r="AA652" s="0">
        <f>IF(LEN(TRIM(A652))=0,0,1)</f>
        <v>0</v>
      </c>
    </row>
    <row r="653" ht="15.75">
      <c r="A653" s="188" t="str">
        <f ref="A653:A653" t="array">IF(INDIRECT(ADDRESS(10,X665,,,"Cleanout Inputs"))=0,"",INDIRECT(ADDRESS(10,X665,,,"Cleanout Inputs")))</f>
      </c>
      <c r="B653" s="146"/>
      <c r="C653" s="146"/>
      <c r="D653" s="146"/>
      <c r="E653" s="146"/>
      <c r="F653" s="146"/>
      <c r="G653" s="146"/>
      <c r="H653" s="146"/>
      <c r="I653" s="146"/>
      <c r="J653" s="146"/>
      <c r="K653" s="146"/>
      <c r="L653" s="146"/>
      <c r="M653" s="146"/>
      <c r="N653" s="146"/>
      <c r="O653" s="146"/>
      <c r="P653" s="146"/>
      <c r="Q653" s="146"/>
      <c r="R653" s="146"/>
      <c r="S653" s="146"/>
      <c r="T653" s="146"/>
      <c r="U653" s="146"/>
      <c r="V653" s="189"/>
      <c r="AA653" s="0">
        <f>AA652</f>
        <v>0</v>
      </c>
    </row>
    <row r="654" ht="15.75">
      <c r="A654" s="205" t="s">
        <v>6</v>
      </c>
      <c r="B654" s="146"/>
      <c r="C654" s="151"/>
      <c r="D654" s="169" t="s">
        <v>30</v>
      </c>
      <c r="E654" s="146"/>
      <c r="F654" s="146"/>
      <c r="G654" s="146"/>
      <c r="H654" s="146"/>
      <c r="I654" s="146"/>
      <c r="J654" s="146"/>
      <c r="K654" s="146"/>
      <c r="L654" s="146"/>
      <c r="M654" s="146"/>
      <c r="N654" s="146"/>
      <c r="O654" s="146"/>
      <c r="P654" s="151"/>
      <c r="Q654" s="170" t="s">
        <v>8</v>
      </c>
      <c r="R654" s="146"/>
      <c r="S654" s="146"/>
      <c r="T654" s="146"/>
      <c r="U654" s="146"/>
      <c r="V654" s="189"/>
      <c r="AA654" s="0">
        <f>AA652</f>
        <v>0</v>
      </c>
    </row>
    <row r="655" ht="15.75">
      <c r="A655" s="85" t="s">
        <v>9</v>
      </c>
      <c r="B655" s="206" t="str">
        <f ref="B655:B655" t="array">IF(INDIRECT(ADDRESS(15,X665,,,"Cleanout Inputs"))=0,"",INDIRECT(ADDRESS(15,X665,,,"Cleanout Inputs")))</f>
      </c>
      <c r="C655" s="206"/>
      <c r="D655" s="158">
        <f ref="D655:D655" t="array">INDIRECT(ADDRESS(14,X665,,,"Cleanout Inputs"))</f>
        <v>0</v>
      </c>
      <c r="E655" s="158"/>
      <c r="F655" s="158"/>
      <c r="G655" s="158"/>
      <c r="H655" s="158"/>
      <c r="I655" s="158"/>
      <c r="J655" s="158"/>
      <c r="K655" s="158"/>
      <c r="L655" s="158"/>
      <c r="M655" s="158"/>
      <c r="N655" s="158"/>
      <c r="O655" s="158"/>
      <c r="P655" s="158"/>
      <c r="Q655" s="136" t="s">
        <v>17</v>
      </c>
      <c r="R655" s="146"/>
      <c r="S655" s="146"/>
      <c r="T655" s="146"/>
      <c r="U655" s="146"/>
      <c r="V655" s="189"/>
      <c r="AA655" s="0">
        <f>AA652</f>
        <v>0</v>
      </c>
    </row>
    <row r="656" ht="15.75">
      <c r="A656" s="86" t="s">
        <v>18</v>
      </c>
      <c r="B656" s="206" t="str">
        <f ref="B656:B656" t="array">IF(INDIRECT(ADDRESS(16,X665,,,"Cleanout Inputs"))=0,"",INDIRECT(ADDRESS(16,X665,,,"Cleanout Inputs")))</f>
      </c>
      <c r="C656" s="206"/>
      <c r="D656" s="158"/>
      <c r="E656" s="158"/>
      <c r="F656" s="158"/>
      <c r="G656" s="158"/>
      <c r="H656" s="158"/>
      <c r="I656" s="158"/>
      <c r="J656" s="158"/>
      <c r="K656" s="158"/>
      <c r="L656" s="158"/>
      <c r="M656" s="158"/>
      <c r="N656" s="158"/>
      <c r="O656" s="158"/>
      <c r="P656" s="158"/>
      <c r="Q656" s="136" t="str">
        <f ref="Q656:Q656" t="array">IF(INDIRECT(ADDRESS(22,X665,,,"Cleanout Inputs"))=0,"0",INDIRECT(ADDRESS(22,X665,,,"Cleanout Inputs")))</f>
        <v>0</v>
      </c>
      <c r="R656" s="146"/>
      <c r="S656" s="146"/>
      <c r="T656" s="146"/>
      <c r="U656" s="146"/>
      <c r="V656" s="189"/>
      <c r="AA656" s="0">
        <f>AA652</f>
        <v>0</v>
      </c>
    </row>
    <row r="657" ht="15.75">
      <c r="A657" s="87" t="s">
        <v>21</v>
      </c>
      <c r="B657" s="190" t="str">
        <f ref="B657:B657" t="array">IF(INDIRECT(ADDRESS(11,X665,,,"Cleanout Inputs"))=0,"",INDIRECT(ADDRESS(11,X665,,,"Cleanout Inputs")))</f>
      </c>
      <c r="C657" s="190"/>
      <c r="D657" s="158"/>
      <c r="E657" s="158"/>
      <c r="F657" s="158"/>
      <c r="G657" s="158"/>
      <c r="H657" s="158"/>
      <c r="I657" s="158"/>
      <c r="J657" s="158"/>
      <c r="K657" s="158"/>
      <c r="L657" s="158"/>
      <c r="M657" s="158"/>
      <c r="N657" s="158"/>
      <c r="O657" s="158"/>
      <c r="P657" s="158"/>
      <c r="Q657" s="136" t="s">
        <v>23</v>
      </c>
      <c r="R657" s="146"/>
      <c r="S657" s="146"/>
      <c r="T657" s="146"/>
      <c r="U657" s="146"/>
      <c r="V657" s="189"/>
      <c r="AA657" s="0">
        <f>AA652</f>
        <v>0</v>
      </c>
    </row>
    <row r="658" ht="15.75">
      <c r="A658" s="87" t="s">
        <v>24</v>
      </c>
      <c r="B658" s="191" t="str">
        <f ref="B658:B658" t="array">IF(INDIRECT(ADDRESS(31,X665,,,"Cleanout Inputs"))=0,"",INDIRECT(ADDRESS(31,X665,,,"Cleanout Inputs")))</f>
      </c>
      <c r="C658" s="191"/>
      <c r="D658" s="158"/>
      <c r="E658" s="158"/>
      <c r="F658" s="158"/>
      <c r="G658" s="158"/>
      <c r="H658" s="158"/>
      <c r="I658" s="158"/>
      <c r="J658" s="158"/>
      <c r="K658" s="158"/>
      <c r="L658" s="158"/>
      <c r="M658" s="158"/>
      <c r="N658" s="158"/>
      <c r="O658" s="158"/>
      <c r="P658" s="158"/>
      <c r="Q658" s="136" t="str">
        <f ref="Q658:Q658" t="array">IF(INDIRECT(ADDRESS(21,X665,,,"Cleanout Inputs"))=0,"0",INDIRECT(ADDRESS(21,X665,,,"Cleanout Inputs")))</f>
        <v>0</v>
      </c>
      <c r="R658" s="146"/>
      <c r="S658" s="146"/>
      <c r="T658" s="146"/>
      <c r="U658" s="146"/>
      <c r="V658" s="189"/>
      <c r="AA658" s="0">
        <f>AA652</f>
        <v>0</v>
      </c>
    </row>
    <row r="659">
      <c r="A659" s="194"/>
      <c r="B659" s="190"/>
      <c r="C659" s="190"/>
      <c r="D659" s="158"/>
      <c r="E659" s="158"/>
      <c r="F659" s="158"/>
      <c r="G659" s="158"/>
      <c r="H659" s="158"/>
      <c r="I659" s="158"/>
      <c r="J659" s="158"/>
      <c r="K659" s="158"/>
      <c r="L659" s="158"/>
      <c r="M659" s="158"/>
      <c r="N659" s="158"/>
      <c r="O659" s="158"/>
      <c r="P659" s="158"/>
      <c r="Q659" s="190"/>
      <c r="R659" s="190"/>
      <c r="S659" s="190"/>
      <c r="T659" s="190"/>
      <c r="U659" s="190"/>
      <c r="V659" s="195"/>
      <c r="AA659" s="0">
        <f>AA652</f>
        <v>0</v>
      </c>
    </row>
    <row r="660">
      <c r="A660" s="194"/>
      <c r="B660" s="190"/>
      <c r="C660" s="190"/>
      <c r="D660" s="158"/>
      <c r="E660" s="158"/>
      <c r="F660" s="158"/>
      <c r="G660" s="158"/>
      <c r="H660" s="158"/>
      <c r="I660" s="158"/>
      <c r="J660" s="158"/>
      <c r="K660" s="158"/>
      <c r="L660" s="158"/>
      <c r="M660" s="158"/>
      <c r="N660" s="158"/>
      <c r="O660" s="158"/>
      <c r="P660" s="158"/>
      <c r="Q660" s="190"/>
      <c r="R660" s="190"/>
      <c r="S660" s="190"/>
      <c r="T660" s="190"/>
      <c r="U660" s="190"/>
      <c r="V660" s="195"/>
      <c r="AA660" s="0">
        <f>AA652</f>
        <v>0</v>
      </c>
    </row>
    <row r="661">
      <c r="A661" s="194"/>
      <c r="B661" s="190"/>
      <c r="C661" s="190"/>
      <c r="D661" s="158"/>
      <c r="E661" s="158"/>
      <c r="F661" s="158"/>
      <c r="G661" s="158"/>
      <c r="H661" s="158"/>
      <c r="I661" s="158"/>
      <c r="J661" s="158"/>
      <c r="K661" s="158"/>
      <c r="L661" s="158"/>
      <c r="M661" s="158"/>
      <c r="N661" s="158"/>
      <c r="O661" s="158"/>
      <c r="P661" s="158"/>
      <c r="Q661" s="190"/>
      <c r="R661" s="190"/>
      <c r="S661" s="190"/>
      <c r="T661" s="190"/>
      <c r="U661" s="190"/>
      <c r="V661" s="195"/>
      <c r="AA661" s="0">
        <f>AA652</f>
        <v>0</v>
      </c>
    </row>
    <row r="662">
      <c r="A662" s="192" t="s">
        <v>48</v>
      </c>
      <c r="B662" s="184"/>
      <c r="C662" s="184"/>
      <c r="D662" s="184"/>
      <c r="E662" s="184"/>
      <c r="F662" s="184"/>
      <c r="G662" s="184"/>
      <c r="H662" s="184"/>
      <c r="I662" s="184"/>
      <c r="J662" s="184"/>
      <c r="K662" s="184"/>
      <c r="L662" s="184"/>
      <c r="M662" s="184"/>
      <c r="N662" s="184"/>
      <c r="O662" s="184"/>
      <c r="P662" s="184"/>
      <c r="Q662" s="184"/>
      <c r="R662" s="184"/>
      <c r="S662" s="184"/>
      <c r="T662" s="184"/>
      <c r="U662" s="184"/>
      <c r="V662" s="193"/>
      <c r="AA662" s="0">
        <f>AA652</f>
        <v>0</v>
      </c>
    </row>
    <row r="663">
      <c r="A663" s="194" t="s">
        <v>49</v>
      </c>
      <c r="B663" s="190"/>
      <c r="C663" s="196"/>
      <c r="D663" s="197" t="s">
        <v>50</v>
      </c>
      <c r="E663" s="198"/>
      <c r="F663" s="198"/>
      <c r="G663" s="198"/>
      <c r="H663" s="198"/>
      <c r="I663" s="198" t="s">
        <v>51</v>
      </c>
      <c r="J663" s="198"/>
      <c r="K663" s="198"/>
      <c r="L663" s="198"/>
      <c r="M663" s="198"/>
      <c r="N663" s="198"/>
      <c r="O663" s="198"/>
      <c r="P663" s="198" t="s">
        <v>52</v>
      </c>
      <c r="Q663" s="198"/>
      <c r="R663" s="198"/>
      <c r="S663" s="198"/>
      <c r="T663" s="198"/>
      <c r="U663" s="198"/>
      <c r="V663" s="199"/>
      <c r="AA663" s="0">
        <f>AA652</f>
        <v>0</v>
      </c>
    </row>
    <row r="664">
      <c r="A664" s="203" t="str">
        <f ref="A664:A664" t="array">IF(INDIRECT(ADDRESS(17,X665,,,"Cleanout Inputs"))=0,"",INDIRECT(ADDRESS(17,X665,,,"Cleanout Inputs")))</f>
      </c>
      <c r="B664" s="201"/>
      <c r="C664" s="204"/>
      <c r="D664" s="200" t="str">
        <f ref="D664:D664" t="array">IF(INDIRECT(ADDRESS(18,X665,,,"Cleanout Inputs"))=0,"",INDIRECT(ADDRESS(18,X665,,,"Cleanout Inputs")))</f>
      </c>
      <c r="E664" s="201"/>
      <c r="F664" s="201"/>
      <c r="G664" s="201"/>
      <c r="H664" s="201"/>
      <c r="I664" s="201" t="str">
        <f ref="I664:I664" t="array">IF(INDIRECT(ADDRESS(19,X665,,,"Cleanout Inputs"))=0,"",INDIRECT(ADDRESS(19,X665,,,"Cleanout Inputs")))</f>
      </c>
      <c r="J664" s="201"/>
      <c r="K664" s="201"/>
      <c r="L664" s="201"/>
      <c r="M664" s="201"/>
      <c r="N664" s="201"/>
      <c r="O664" s="201"/>
      <c r="P664" s="201" t="str">
        <f ref="P664:P664" t="array">IF(INDIRECT(ADDRESS(20,X665,,,"Cleanout Inputs"))=0,"",INDIRECT(ADDRESS(20,X665,,,"Cleanout Inputs")))</f>
      </c>
      <c r="Q664" s="201"/>
      <c r="R664" s="201"/>
      <c r="S664" s="201"/>
      <c r="T664" s="201"/>
      <c r="U664" s="201"/>
      <c r="V664" s="202"/>
      <c r="AA664" s="0">
        <f>AA652</f>
        <v>0</v>
      </c>
    </row>
    <row r="665" ht="16.5">
      <c r="A665" s="88"/>
      <c r="B665" s="89"/>
      <c r="C665" s="89"/>
      <c r="D665" s="90"/>
      <c r="E665" s="90"/>
      <c r="F665" s="90"/>
      <c r="G665" s="90"/>
      <c r="H665" s="90"/>
      <c r="I665" s="90"/>
      <c r="J665" s="90"/>
      <c r="K665" s="90"/>
      <c r="L665" s="90"/>
      <c r="M665" s="90"/>
      <c r="N665" s="90"/>
      <c r="O665" s="90"/>
      <c r="P665" s="90"/>
      <c r="Q665" s="90"/>
      <c r="R665" s="80"/>
      <c r="S665" s="80"/>
      <c r="T665" s="91"/>
      <c r="U665" s="81"/>
      <c r="V665" s="82"/>
      <c r="W665" s="78" t="s">
        <v>46</v>
      </c>
      <c r="X665" s="0">
        <v>11</v>
      </c>
      <c r="AA665" s="0">
        <f>AA652</f>
        <v>0</v>
      </c>
    </row>
    <row r="666" ht="15.75">
      <c r="AA666" s="0">
        <f>AA652</f>
        <v>0</v>
      </c>
    </row>
    <row r="667" ht="15.75">
      <c r="A667" s="185" t="str">
        <f ref="A667:A667" t="array">CONCATENATE(INDIRECT(ADDRESS(6,X680,,,"Cleanout Inputs"))," ",INDIRECT(ADDRESS(8,X680,,,"Cleanout Inputs"))," ",INDIRECT(ADDRESS(9,X680,,,"Cleanout Inputs")))</f>
      </c>
      <c r="B667" s="186"/>
      <c r="C667" s="186"/>
      <c r="D667" s="186"/>
      <c r="E667" s="186"/>
      <c r="F667" s="186"/>
      <c r="G667" s="186"/>
      <c r="H667" s="186"/>
      <c r="I667" s="186"/>
      <c r="J667" s="186"/>
      <c r="K667" s="186"/>
      <c r="L667" s="186"/>
      <c r="M667" s="186"/>
      <c r="N667" s="186"/>
      <c r="O667" s="186"/>
      <c r="P667" s="186"/>
      <c r="Q667" s="186"/>
      <c r="R667" s="186"/>
      <c r="S667" s="186"/>
      <c r="T667" s="186"/>
      <c r="U667" s="186"/>
      <c r="V667" s="187"/>
      <c r="AA667" s="0">
        <f>IF(LEN(TRIM(A667))=0,0,1)</f>
        <v>0</v>
      </c>
    </row>
    <row r="668" ht="15.75">
      <c r="A668" s="188" t="str">
        <f ref="A668:A668" t="array">IF(INDIRECT(ADDRESS(10,X680,,,"Cleanout Inputs"))=0,"",INDIRECT(ADDRESS(10,X680,,,"Cleanout Inputs")))</f>
      </c>
      <c r="B668" s="146"/>
      <c r="C668" s="146"/>
      <c r="D668" s="146"/>
      <c r="E668" s="146"/>
      <c r="F668" s="146"/>
      <c r="G668" s="146"/>
      <c r="H668" s="146"/>
      <c r="I668" s="146"/>
      <c r="J668" s="146"/>
      <c r="K668" s="146"/>
      <c r="L668" s="146"/>
      <c r="M668" s="146"/>
      <c r="N668" s="146"/>
      <c r="O668" s="146"/>
      <c r="P668" s="146"/>
      <c r="Q668" s="146"/>
      <c r="R668" s="146"/>
      <c r="S668" s="146"/>
      <c r="T668" s="146"/>
      <c r="U668" s="146"/>
      <c r="V668" s="189"/>
      <c r="AA668" s="0">
        <f>AA667</f>
        <v>0</v>
      </c>
    </row>
    <row r="669" ht="15.75">
      <c r="A669" s="205" t="s">
        <v>6</v>
      </c>
      <c r="B669" s="146"/>
      <c r="C669" s="151"/>
      <c r="D669" s="169" t="s">
        <v>30</v>
      </c>
      <c r="E669" s="146"/>
      <c r="F669" s="146"/>
      <c r="G669" s="146"/>
      <c r="H669" s="146"/>
      <c r="I669" s="146"/>
      <c r="J669" s="146"/>
      <c r="K669" s="146"/>
      <c r="L669" s="146"/>
      <c r="M669" s="146"/>
      <c r="N669" s="146"/>
      <c r="O669" s="146"/>
      <c r="P669" s="151"/>
      <c r="Q669" s="170" t="s">
        <v>8</v>
      </c>
      <c r="R669" s="146"/>
      <c r="S669" s="146"/>
      <c r="T669" s="146"/>
      <c r="U669" s="146"/>
      <c r="V669" s="189"/>
      <c r="AA669" s="0">
        <f>AA667</f>
        <v>0</v>
      </c>
    </row>
    <row r="670" ht="15.75">
      <c r="A670" s="85" t="s">
        <v>9</v>
      </c>
      <c r="B670" s="206" t="str">
        <f ref="B670:B670" t="array">IF(INDIRECT(ADDRESS(15,X680,,,"Cleanout Inputs"))=0,"",INDIRECT(ADDRESS(15,X680,,,"Cleanout Inputs")))</f>
      </c>
      <c r="C670" s="206"/>
      <c r="D670" s="158">
        <f ref="D670:D670" t="array">INDIRECT(ADDRESS(14,X680,,,"Cleanout Inputs"))</f>
        <v>0</v>
      </c>
      <c r="E670" s="158"/>
      <c r="F670" s="158"/>
      <c r="G670" s="158"/>
      <c r="H670" s="158"/>
      <c r="I670" s="158"/>
      <c r="J670" s="158"/>
      <c r="K670" s="158"/>
      <c r="L670" s="158"/>
      <c r="M670" s="158"/>
      <c r="N670" s="158"/>
      <c r="O670" s="158"/>
      <c r="P670" s="158"/>
      <c r="Q670" s="136" t="s">
        <v>17</v>
      </c>
      <c r="R670" s="146"/>
      <c r="S670" s="146"/>
      <c r="T670" s="146"/>
      <c r="U670" s="146"/>
      <c r="V670" s="189"/>
      <c r="AA670" s="0">
        <f>AA667</f>
        <v>0</v>
      </c>
    </row>
    <row r="671" ht="15.75">
      <c r="A671" s="86" t="s">
        <v>18</v>
      </c>
      <c r="B671" s="206" t="str">
        <f ref="B671:B671" t="array">IF(INDIRECT(ADDRESS(16,X680,,,"Cleanout Inputs"))=0,"",INDIRECT(ADDRESS(16,X680,,,"Cleanout Inputs")))</f>
      </c>
      <c r="C671" s="206"/>
      <c r="D671" s="158"/>
      <c r="E671" s="158"/>
      <c r="F671" s="158"/>
      <c r="G671" s="158"/>
      <c r="H671" s="158"/>
      <c r="I671" s="158"/>
      <c r="J671" s="158"/>
      <c r="K671" s="158"/>
      <c r="L671" s="158"/>
      <c r="M671" s="158"/>
      <c r="N671" s="158"/>
      <c r="O671" s="158"/>
      <c r="P671" s="158"/>
      <c r="Q671" s="136" t="str">
        <f ref="Q671:Q671" t="array">IF(INDIRECT(ADDRESS(22,X680,,,"Cleanout Inputs"))=0,"0",INDIRECT(ADDRESS(22,X680,,,"Cleanout Inputs")))</f>
        <v>0</v>
      </c>
      <c r="R671" s="146"/>
      <c r="S671" s="146"/>
      <c r="T671" s="146"/>
      <c r="U671" s="146"/>
      <c r="V671" s="189"/>
      <c r="AA671" s="0">
        <f>AA667</f>
        <v>0</v>
      </c>
    </row>
    <row r="672" ht="15.75">
      <c r="A672" s="87" t="s">
        <v>21</v>
      </c>
      <c r="B672" s="190" t="str">
        <f ref="B672:B672" t="array">IF(INDIRECT(ADDRESS(11,X680,,,"Cleanout Inputs"))=0,"",INDIRECT(ADDRESS(11,X680,,,"Cleanout Inputs")))</f>
      </c>
      <c r="C672" s="190"/>
      <c r="D672" s="158"/>
      <c r="E672" s="158"/>
      <c r="F672" s="158"/>
      <c r="G672" s="158"/>
      <c r="H672" s="158"/>
      <c r="I672" s="158"/>
      <c r="J672" s="158"/>
      <c r="K672" s="158"/>
      <c r="L672" s="158"/>
      <c r="M672" s="158"/>
      <c r="N672" s="158"/>
      <c r="O672" s="158"/>
      <c r="P672" s="158"/>
      <c r="Q672" s="136" t="s">
        <v>23</v>
      </c>
      <c r="R672" s="146"/>
      <c r="S672" s="146"/>
      <c r="T672" s="146"/>
      <c r="U672" s="146"/>
      <c r="V672" s="189"/>
      <c r="AA672" s="0">
        <f>AA667</f>
        <v>0</v>
      </c>
    </row>
    <row r="673" ht="15.75">
      <c r="A673" s="87" t="s">
        <v>24</v>
      </c>
      <c r="B673" s="191" t="str">
        <f ref="B673:B673" t="array">IF(INDIRECT(ADDRESS(31,X680,,,"Cleanout Inputs"))=0,"",INDIRECT(ADDRESS(31,X680,,,"Cleanout Inputs")))</f>
      </c>
      <c r="C673" s="191"/>
      <c r="D673" s="158"/>
      <c r="E673" s="158"/>
      <c r="F673" s="158"/>
      <c r="G673" s="158"/>
      <c r="H673" s="158"/>
      <c r="I673" s="158"/>
      <c r="J673" s="158"/>
      <c r="K673" s="158"/>
      <c r="L673" s="158"/>
      <c r="M673" s="158"/>
      <c r="N673" s="158"/>
      <c r="O673" s="158"/>
      <c r="P673" s="158"/>
      <c r="Q673" s="136" t="str">
        <f ref="Q673:Q673" t="array">IF(INDIRECT(ADDRESS(21,X680,,,"Cleanout Inputs"))=0,"0",INDIRECT(ADDRESS(21,X680,,,"Cleanout Inputs")))</f>
        <v>0</v>
      </c>
      <c r="R673" s="146"/>
      <c r="S673" s="146"/>
      <c r="T673" s="146"/>
      <c r="U673" s="146"/>
      <c r="V673" s="189"/>
      <c r="AA673" s="0">
        <f>AA667</f>
        <v>0</v>
      </c>
    </row>
    <row r="674">
      <c r="A674" s="194"/>
      <c r="B674" s="190"/>
      <c r="C674" s="190"/>
      <c r="D674" s="158"/>
      <c r="E674" s="158"/>
      <c r="F674" s="158"/>
      <c r="G674" s="158"/>
      <c r="H674" s="158"/>
      <c r="I674" s="158"/>
      <c r="J674" s="158"/>
      <c r="K674" s="158"/>
      <c r="L674" s="158"/>
      <c r="M674" s="158"/>
      <c r="N674" s="158"/>
      <c r="O674" s="158"/>
      <c r="P674" s="158"/>
      <c r="Q674" s="190"/>
      <c r="R674" s="190"/>
      <c r="S674" s="190"/>
      <c r="T674" s="190"/>
      <c r="U674" s="190"/>
      <c r="V674" s="195"/>
      <c r="AA674" s="0">
        <f>AA667</f>
        <v>0</v>
      </c>
    </row>
    <row r="675">
      <c r="A675" s="194"/>
      <c r="B675" s="190"/>
      <c r="C675" s="190"/>
      <c r="D675" s="158"/>
      <c r="E675" s="158"/>
      <c r="F675" s="158"/>
      <c r="G675" s="158"/>
      <c r="H675" s="158"/>
      <c r="I675" s="158"/>
      <c r="J675" s="158"/>
      <c r="K675" s="158"/>
      <c r="L675" s="158"/>
      <c r="M675" s="158"/>
      <c r="N675" s="158"/>
      <c r="O675" s="158"/>
      <c r="P675" s="158"/>
      <c r="Q675" s="190"/>
      <c r="R675" s="190"/>
      <c r="S675" s="190"/>
      <c r="T675" s="190"/>
      <c r="U675" s="190"/>
      <c r="V675" s="195"/>
      <c r="AA675" s="0">
        <f>AA667</f>
        <v>0</v>
      </c>
    </row>
    <row r="676">
      <c r="A676" s="194"/>
      <c r="B676" s="190"/>
      <c r="C676" s="190"/>
      <c r="D676" s="158"/>
      <c r="E676" s="158"/>
      <c r="F676" s="158"/>
      <c r="G676" s="158"/>
      <c r="H676" s="158"/>
      <c r="I676" s="158"/>
      <c r="J676" s="158"/>
      <c r="K676" s="158"/>
      <c r="L676" s="158"/>
      <c r="M676" s="158"/>
      <c r="N676" s="158"/>
      <c r="O676" s="158"/>
      <c r="P676" s="158"/>
      <c r="Q676" s="190"/>
      <c r="R676" s="190"/>
      <c r="S676" s="190"/>
      <c r="T676" s="190"/>
      <c r="U676" s="190"/>
      <c r="V676" s="195"/>
      <c r="AA676" s="0">
        <f>AA667</f>
        <v>0</v>
      </c>
    </row>
    <row r="677">
      <c r="A677" s="192" t="s">
        <v>48</v>
      </c>
      <c r="B677" s="184"/>
      <c r="C677" s="184"/>
      <c r="D677" s="184"/>
      <c r="E677" s="184"/>
      <c r="F677" s="184"/>
      <c r="G677" s="184"/>
      <c r="H677" s="184"/>
      <c r="I677" s="184"/>
      <c r="J677" s="184"/>
      <c r="K677" s="184"/>
      <c r="L677" s="184"/>
      <c r="M677" s="184"/>
      <c r="N677" s="184"/>
      <c r="O677" s="184"/>
      <c r="P677" s="184"/>
      <c r="Q677" s="184"/>
      <c r="R677" s="184"/>
      <c r="S677" s="184"/>
      <c r="T677" s="184"/>
      <c r="U677" s="184"/>
      <c r="V677" s="193"/>
      <c r="AA677" s="0">
        <f>AA667</f>
        <v>0</v>
      </c>
    </row>
    <row r="678">
      <c r="A678" s="194" t="s">
        <v>49</v>
      </c>
      <c r="B678" s="190"/>
      <c r="C678" s="196"/>
      <c r="D678" s="197" t="s">
        <v>50</v>
      </c>
      <c r="E678" s="198"/>
      <c r="F678" s="198"/>
      <c r="G678" s="198"/>
      <c r="H678" s="198"/>
      <c r="I678" s="198" t="s">
        <v>51</v>
      </c>
      <c r="J678" s="198"/>
      <c r="K678" s="198"/>
      <c r="L678" s="198"/>
      <c r="M678" s="198"/>
      <c r="N678" s="198"/>
      <c r="O678" s="198"/>
      <c r="P678" s="198" t="s">
        <v>52</v>
      </c>
      <c r="Q678" s="198"/>
      <c r="R678" s="198"/>
      <c r="S678" s="198"/>
      <c r="T678" s="198"/>
      <c r="U678" s="198"/>
      <c r="V678" s="199"/>
      <c r="AA678" s="0">
        <f>AA667</f>
        <v>0</v>
      </c>
    </row>
    <row r="679">
      <c r="A679" s="203" t="str">
        <f ref="A679:A679" t="array">IF(INDIRECT(ADDRESS(17,X680,,,"Cleanout Inputs"))=0,"",INDIRECT(ADDRESS(17,X680,,,"Cleanout Inputs")))</f>
      </c>
      <c r="B679" s="201"/>
      <c r="C679" s="204"/>
      <c r="D679" s="200" t="str">
        <f ref="D679:D679" t="array">IF(INDIRECT(ADDRESS(18,X680,,,"Cleanout Inputs"))=0,"",INDIRECT(ADDRESS(18,X680,,,"Cleanout Inputs")))</f>
      </c>
      <c r="E679" s="201"/>
      <c r="F679" s="201"/>
      <c r="G679" s="201"/>
      <c r="H679" s="201"/>
      <c r="I679" s="201" t="str">
        <f ref="I679:I679" t="array">IF(INDIRECT(ADDRESS(19,X680,,,"Cleanout Inputs"))=0,"",INDIRECT(ADDRESS(19,X680,,,"Cleanout Inputs")))</f>
      </c>
      <c r="J679" s="201"/>
      <c r="K679" s="201"/>
      <c r="L679" s="201"/>
      <c r="M679" s="201"/>
      <c r="N679" s="201"/>
      <c r="O679" s="201"/>
      <c r="P679" s="201" t="str">
        <f ref="P679:P679" t="array">IF(INDIRECT(ADDRESS(20,X680,,,"Cleanout Inputs"))=0,"",INDIRECT(ADDRESS(20,X680,,,"Cleanout Inputs")))</f>
      </c>
      <c r="Q679" s="201"/>
      <c r="R679" s="201"/>
      <c r="S679" s="201"/>
      <c r="T679" s="201"/>
      <c r="U679" s="201"/>
      <c r="V679" s="202"/>
      <c r="AA679" s="0">
        <f>AA667</f>
        <v>0</v>
      </c>
    </row>
    <row r="680" ht="16.5">
      <c r="A680" s="88"/>
      <c r="B680" s="89"/>
      <c r="C680" s="89"/>
      <c r="D680" s="90"/>
      <c r="E680" s="90"/>
      <c r="F680" s="90"/>
      <c r="G680" s="90"/>
      <c r="H680" s="90"/>
      <c r="I680" s="90"/>
      <c r="J680" s="90"/>
      <c r="K680" s="90"/>
      <c r="L680" s="90"/>
      <c r="M680" s="90"/>
      <c r="N680" s="90"/>
      <c r="O680" s="90"/>
      <c r="P680" s="90"/>
      <c r="Q680" s="90"/>
      <c r="R680" s="80"/>
      <c r="S680" s="80"/>
      <c r="T680" s="91"/>
      <c r="U680" s="81"/>
      <c r="V680" s="82"/>
      <c r="W680" s="78" t="s">
        <v>46</v>
      </c>
      <c r="X680" s="0">
        <v>14</v>
      </c>
      <c r="AA680" s="0">
        <f>AA667</f>
        <v>0</v>
      </c>
    </row>
    <row r="681" ht="15.75">
      <c r="AA681" s="0">
        <f>AA667</f>
        <v>0</v>
      </c>
    </row>
    <row r="682" ht="15.75">
      <c r="A682" s="185" t="str">
        <f ref="A682:A682" t="array">CONCATENATE(INDIRECT(ADDRESS(6,X695,,,"Cleanout Inputs"))," ",INDIRECT(ADDRESS(8,X695,,,"Cleanout Inputs"))," ",INDIRECT(ADDRESS(9,X695,,,"Cleanout Inputs")))</f>
      </c>
      <c r="B682" s="186"/>
      <c r="C682" s="186"/>
      <c r="D682" s="186"/>
      <c r="E682" s="186"/>
      <c r="F682" s="186"/>
      <c r="G682" s="186"/>
      <c r="H682" s="186"/>
      <c r="I682" s="186"/>
      <c r="J682" s="186"/>
      <c r="K682" s="186"/>
      <c r="L682" s="186"/>
      <c r="M682" s="186"/>
      <c r="N682" s="186"/>
      <c r="O682" s="186"/>
      <c r="P682" s="186"/>
      <c r="Q682" s="186"/>
      <c r="R682" s="186"/>
      <c r="S682" s="186"/>
      <c r="T682" s="186"/>
      <c r="U682" s="186"/>
      <c r="V682" s="187"/>
      <c r="AA682" s="0">
        <f>IF(LEN(TRIM(A682))=0,0,1)</f>
        <v>0</v>
      </c>
    </row>
    <row r="683" ht="15.75">
      <c r="A683" s="188" t="str">
        <f ref="A683:A683" t="array">IF(INDIRECT(ADDRESS(10,X695,,,"Cleanout Inputs"))=0,"",INDIRECT(ADDRESS(10,X695,,,"Cleanout Inputs")))</f>
      </c>
      <c r="B683" s="146"/>
      <c r="C683" s="146"/>
      <c r="D683" s="146"/>
      <c r="E683" s="146"/>
      <c r="F683" s="146"/>
      <c r="G683" s="146"/>
      <c r="H683" s="146"/>
      <c r="I683" s="146"/>
      <c r="J683" s="146"/>
      <c r="K683" s="146"/>
      <c r="L683" s="146"/>
      <c r="M683" s="146"/>
      <c r="N683" s="146"/>
      <c r="O683" s="146"/>
      <c r="P683" s="146"/>
      <c r="Q683" s="146"/>
      <c r="R683" s="146"/>
      <c r="S683" s="146"/>
      <c r="T683" s="146"/>
      <c r="U683" s="146"/>
      <c r="V683" s="189"/>
      <c r="AA683" s="0">
        <f>AA682</f>
        <v>0</v>
      </c>
    </row>
    <row r="684" ht="15.75">
      <c r="A684" s="205" t="s">
        <v>6</v>
      </c>
      <c r="B684" s="146"/>
      <c r="C684" s="151"/>
      <c r="D684" s="169" t="s">
        <v>30</v>
      </c>
      <c r="E684" s="146"/>
      <c r="F684" s="146"/>
      <c r="G684" s="146"/>
      <c r="H684" s="146"/>
      <c r="I684" s="146"/>
      <c r="J684" s="146"/>
      <c r="K684" s="146"/>
      <c r="L684" s="146"/>
      <c r="M684" s="146"/>
      <c r="N684" s="146"/>
      <c r="O684" s="146"/>
      <c r="P684" s="151"/>
      <c r="Q684" s="170" t="s">
        <v>8</v>
      </c>
      <c r="R684" s="146"/>
      <c r="S684" s="146"/>
      <c r="T684" s="146"/>
      <c r="U684" s="146"/>
      <c r="V684" s="189"/>
      <c r="AA684" s="0">
        <f>AA682</f>
        <v>0</v>
      </c>
    </row>
    <row r="685" ht="15.75">
      <c r="A685" s="85" t="s">
        <v>9</v>
      </c>
      <c r="B685" s="206" t="str">
        <f ref="B685:B685" t="array">IF(INDIRECT(ADDRESS(15,X695,,,"Cleanout Inputs"))=0,"",INDIRECT(ADDRESS(15,X695,,,"Cleanout Inputs")))</f>
      </c>
      <c r="C685" s="206"/>
      <c r="D685" s="158">
        <f ref="D685:D685" t="array">INDIRECT(ADDRESS(14,X695,,,"Cleanout Inputs"))</f>
        <v>0</v>
      </c>
      <c r="E685" s="158"/>
      <c r="F685" s="158"/>
      <c r="G685" s="158"/>
      <c r="H685" s="158"/>
      <c r="I685" s="158"/>
      <c r="J685" s="158"/>
      <c r="K685" s="158"/>
      <c r="L685" s="158"/>
      <c r="M685" s="158"/>
      <c r="N685" s="158"/>
      <c r="O685" s="158"/>
      <c r="P685" s="158"/>
      <c r="Q685" s="136" t="s">
        <v>17</v>
      </c>
      <c r="R685" s="146"/>
      <c r="S685" s="146"/>
      <c r="T685" s="146"/>
      <c r="U685" s="146"/>
      <c r="V685" s="189"/>
      <c r="AA685" s="0">
        <f>AA682</f>
        <v>0</v>
      </c>
    </row>
    <row r="686" ht="15.75">
      <c r="A686" s="86" t="s">
        <v>18</v>
      </c>
      <c r="B686" s="206" t="str">
        <f ref="B686:B686" t="array">IF(INDIRECT(ADDRESS(16,X695,,,"Cleanout Inputs"))=0,"",INDIRECT(ADDRESS(16,X695,,,"Cleanout Inputs")))</f>
      </c>
      <c r="C686" s="206"/>
      <c r="D686" s="158"/>
      <c r="E686" s="158"/>
      <c r="F686" s="158"/>
      <c r="G686" s="158"/>
      <c r="H686" s="158"/>
      <c r="I686" s="158"/>
      <c r="J686" s="158"/>
      <c r="K686" s="158"/>
      <c r="L686" s="158"/>
      <c r="M686" s="158"/>
      <c r="N686" s="158"/>
      <c r="O686" s="158"/>
      <c r="P686" s="158"/>
      <c r="Q686" s="136" t="str">
        <f ref="Q686:Q686" t="array">IF(INDIRECT(ADDRESS(22,X695,,,"Cleanout Inputs"))=0,"0",INDIRECT(ADDRESS(22,X695,,,"Cleanout Inputs")))</f>
        <v>0</v>
      </c>
      <c r="R686" s="146"/>
      <c r="S686" s="146"/>
      <c r="T686" s="146"/>
      <c r="U686" s="146"/>
      <c r="V686" s="189"/>
      <c r="AA686" s="0">
        <f>AA682</f>
        <v>0</v>
      </c>
    </row>
    <row r="687" ht="15.75">
      <c r="A687" s="87" t="s">
        <v>21</v>
      </c>
      <c r="B687" s="190" t="str">
        <f ref="B687:B687" t="array">IF(INDIRECT(ADDRESS(11,X695,,,"Cleanout Inputs"))=0,"",INDIRECT(ADDRESS(11,X695,,,"Cleanout Inputs")))</f>
      </c>
      <c r="C687" s="190"/>
      <c r="D687" s="158"/>
      <c r="E687" s="158"/>
      <c r="F687" s="158"/>
      <c r="G687" s="158"/>
      <c r="H687" s="158"/>
      <c r="I687" s="158"/>
      <c r="J687" s="158"/>
      <c r="K687" s="158"/>
      <c r="L687" s="158"/>
      <c r="M687" s="158"/>
      <c r="N687" s="158"/>
      <c r="O687" s="158"/>
      <c r="P687" s="158"/>
      <c r="Q687" s="136" t="s">
        <v>23</v>
      </c>
      <c r="R687" s="146"/>
      <c r="S687" s="146"/>
      <c r="T687" s="146"/>
      <c r="U687" s="146"/>
      <c r="V687" s="189"/>
      <c r="AA687" s="0">
        <f>AA682</f>
        <v>0</v>
      </c>
    </row>
    <row r="688" ht="15.75">
      <c r="A688" s="87" t="s">
        <v>24</v>
      </c>
      <c r="B688" s="191" t="str">
        <f ref="B688:B688" t="array">IF(INDIRECT(ADDRESS(31,X695,,,"Cleanout Inputs"))=0,"",INDIRECT(ADDRESS(31,X695,,,"Cleanout Inputs")))</f>
      </c>
      <c r="C688" s="191"/>
      <c r="D688" s="158"/>
      <c r="E688" s="158"/>
      <c r="F688" s="158"/>
      <c r="G688" s="158"/>
      <c r="H688" s="158"/>
      <c r="I688" s="158"/>
      <c r="J688" s="158"/>
      <c r="K688" s="158"/>
      <c r="L688" s="158"/>
      <c r="M688" s="158"/>
      <c r="N688" s="158"/>
      <c r="O688" s="158"/>
      <c r="P688" s="158"/>
      <c r="Q688" s="136" t="str">
        <f ref="Q688:Q688" t="array">IF(INDIRECT(ADDRESS(21,X695,,,"Cleanout Inputs"))=0,"0",INDIRECT(ADDRESS(21,X695,,,"Cleanout Inputs")))</f>
        <v>0</v>
      </c>
      <c r="R688" s="146"/>
      <c r="S688" s="146"/>
      <c r="T688" s="146"/>
      <c r="U688" s="146"/>
      <c r="V688" s="189"/>
      <c r="AA688" s="0">
        <f>AA682</f>
        <v>0</v>
      </c>
    </row>
    <row r="689">
      <c r="A689" s="194"/>
      <c r="B689" s="190"/>
      <c r="C689" s="190"/>
      <c r="D689" s="158"/>
      <c r="E689" s="158"/>
      <c r="F689" s="158"/>
      <c r="G689" s="158"/>
      <c r="H689" s="158"/>
      <c r="I689" s="158"/>
      <c r="J689" s="158"/>
      <c r="K689" s="158"/>
      <c r="L689" s="158"/>
      <c r="M689" s="158"/>
      <c r="N689" s="158"/>
      <c r="O689" s="158"/>
      <c r="P689" s="158"/>
      <c r="Q689" s="190"/>
      <c r="R689" s="190"/>
      <c r="S689" s="190"/>
      <c r="T689" s="190"/>
      <c r="U689" s="190"/>
      <c r="V689" s="195"/>
      <c r="AA689" s="0">
        <f>AA682</f>
        <v>0</v>
      </c>
    </row>
    <row r="690">
      <c r="A690" s="194"/>
      <c r="B690" s="190"/>
      <c r="C690" s="190"/>
      <c r="D690" s="158"/>
      <c r="E690" s="158"/>
      <c r="F690" s="158"/>
      <c r="G690" s="158"/>
      <c r="H690" s="158"/>
      <c r="I690" s="158"/>
      <c r="J690" s="158"/>
      <c r="K690" s="158"/>
      <c r="L690" s="158"/>
      <c r="M690" s="158"/>
      <c r="N690" s="158"/>
      <c r="O690" s="158"/>
      <c r="P690" s="158"/>
      <c r="Q690" s="190"/>
      <c r="R690" s="190"/>
      <c r="S690" s="190"/>
      <c r="T690" s="190"/>
      <c r="U690" s="190"/>
      <c r="V690" s="195"/>
      <c r="AA690" s="0">
        <f>AA682</f>
        <v>0</v>
      </c>
    </row>
    <row r="691">
      <c r="A691" s="194"/>
      <c r="B691" s="190"/>
      <c r="C691" s="190"/>
      <c r="D691" s="158"/>
      <c r="E691" s="158"/>
      <c r="F691" s="158"/>
      <c r="G691" s="158"/>
      <c r="H691" s="158"/>
      <c r="I691" s="158"/>
      <c r="J691" s="158"/>
      <c r="K691" s="158"/>
      <c r="L691" s="158"/>
      <c r="M691" s="158"/>
      <c r="N691" s="158"/>
      <c r="O691" s="158"/>
      <c r="P691" s="158"/>
      <c r="Q691" s="190"/>
      <c r="R691" s="190"/>
      <c r="S691" s="190"/>
      <c r="T691" s="190"/>
      <c r="U691" s="190"/>
      <c r="V691" s="195"/>
      <c r="AA691" s="0">
        <f>AA682</f>
        <v>0</v>
      </c>
    </row>
    <row r="692">
      <c r="A692" s="192" t="s">
        <v>48</v>
      </c>
      <c r="B692" s="184"/>
      <c r="C692" s="184"/>
      <c r="D692" s="184"/>
      <c r="E692" s="184"/>
      <c r="F692" s="184"/>
      <c r="G692" s="184"/>
      <c r="H692" s="184"/>
      <c r="I692" s="184"/>
      <c r="J692" s="184"/>
      <c r="K692" s="184"/>
      <c r="L692" s="184"/>
      <c r="M692" s="184"/>
      <c r="N692" s="184"/>
      <c r="O692" s="184"/>
      <c r="P692" s="184"/>
      <c r="Q692" s="184"/>
      <c r="R692" s="184"/>
      <c r="S692" s="184"/>
      <c r="T692" s="184"/>
      <c r="U692" s="184"/>
      <c r="V692" s="193"/>
      <c r="AA692" s="0">
        <f>AA682</f>
        <v>0</v>
      </c>
    </row>
    <row r="693">
      <c r="A693" s="194" t="s">
        <v>49</v>
      </c>
      <c r="B693" s="190"/>
      <c r="C693" s="196"/>
      <c r="D693" s="197" t="s">
        <v>50</v>
      </c>
      <c r="E693" s="198"/>
      <c r="F693" s="198"/>
      <c r="G693" s="198"/>
      <c r="H693" s="198"/>
      <c r="I693" s="198" t="s">
        <v>51</v>
      </c>
      <c r="J693" s="198"/>
      <c r="K693" s="198"/>
      <c r="L693" s="198"/>
      <c r="M693" s="198"/>
      <c r="N693" s="198"/>
      <c r="O693" s="198"/>
      <c r="P693" s="198" t="s">
        <v>52</v>
      </c>
      <c r="Q693" s="198"/>
      <c r="R693" s="198"/>
      <c r="S693" s="198"/>
      <c r="T693" s="198"/>
      <c r="U693" s="198"/>
      <c r="V693" s="199"/>
      <c r="AA693" s="0">
        <f>AA682</f>
        <v>0</v>
      </c>
    </row>
    <row r="694">
      <c r="A694" s="203" t="str">
        <f ref="A694:A694" t="array">IF(INDIRECT(ADDRESS(17,X695,,,"Cleanout Inputs"))=0,"",INDIRECT(ADDRESS(17,X695,,,"Cleanout Inputs")))</f>
      </c>
      <c r="B694" s="201"/>
      <c r="C694" s="204"/>
      <c r="D694" s="200" t="str">
        <f ref="D694:D694" t="array">IF(INDIRECT(ADDRESS(18,X695,,,"Cleanout Inputs"))=0,"",INDIRECT(ADDRESS(18,X695,,,"Cleanout Inputs")))</f>
      </c>
      <c r="E694" s="201"/>
      <c r="F694" s="201"/>
      <c r="G694" s="201"/>
      <c r="H694" s="201"/>
      <c r="I694" s="201" t="str">
        <f ref="I694:I694" t="array">IF(INDIRECT(ADDRESS(19,X695,,,"Cleanout Inputs"))=0,"",INDIRECT(ADDRESS(19,X695,,,"Cleanout Inputs")))</f>
      </c>
      <c r="J694" s="201"/>
      <c r="K694" s="201"/>
      <c r="L694" s="201"/>
      <c r="M694" s="201"/>
      <c r="N694" s="201"/>
      <c r="O694" s="201"/>
      <c r="P694" s="201" t="str">
        <f ref="P694:P694" t="array">IF(INDIRECT(ADDRESS(20,X695,,,"Cleanout Inputs"))=0,"",INDIRECT(ADDRESS(20,X695,,,"Cleanout Inputs")))</f>
      </c>
      <c r="Q694" s="201"/>
      <c r="R694" s="201"/>
      <c r="S694" s="201"/>
      <c r="T694" s="201"/>
      <c r="U694" s="201"/>
      <c r="V694" s="202"/>
      <c r="AA694" s="0">
        <f>AA682</f>
        <v>0</v>
      </c>
    </row>
    <row r="695" ht="16.5">
      <c r="A695" s="88"/>
      <c r="B695" s="89"/>
      <c r="C695" s="89"/>
      <c r="D695" s="90"/>
      <c r="E695" s="90"/>
      <c r="F695" s="90"/>
      <c r="G695" s="90"/>
      <c r="H695" s="90"/>
      <c r="I695" s="90"/>
      <c r="J695" s="90"/>
      <c r="K695" s="90"/>
      <c r="L695" s="90"/>
      <c r="M695" s="90"/>
      <c r="N695" s="90"/>
      <c r="O695" s="90"/>
      <c r="P695" s="90"/>
      <c r="Q695" s="90"/>
      <c r="R695" s="80"/>
      <c r="S695" s="80"/>
      <c r="T695" s="91"/>
      <c r="U695" s="81"/>
      <c r="V695" s="82"/>
      <c r="W695" s="78" t="s">
        <v>46</v>
      </c>
      <c r="X695" s="0">
        <v>17</v>
      </c>
      <c r="AA695" s="0">
        <f>AA682</f>
        <v>0</v>
      </c>
    </row>
    <row r="696" ht="15.75">
      <c r="AA696" s="0">
        <f>AA682</f>
        <v>0</v>
      </c>
    </row>
    <row r="697" ht="15.75">
      <c r="A697" s="185" t="str">
        <f ref="A697:A697" t="array">CONCATENATE(INDIRECT(ADDRESS(6,X710,,,"Cleanout Inputs"))," ",INDIRECT(ADDRESS(8,X710,,,"Cleanout Inputs"))," ",INDIRECT(ADDRESS(9,X710,,,"Cleanout Inputs")))</f>
      </c>
      <c r="B697" s="186"/>
      <c r="C697" s="186"/>
      <c r="D697" s="186"/>
      <c r="E697" s="186"/>
      <c r="F697" s="186"/>
      <c r="G697" s="186"/>
      <c r="H697" s="186"/>
      <c r="I697" s="186"/>
      <c r="J697" s="186"/>
      <c r="K697" s="186"/>
      <c r="L697" s="186"/>
      <c r="M697" s="186"/>
      <c r="N697" s="186"/>
      <c r="O697" s="186"/>
      <c r="P697" s="186"/>
      <c r="Q697" s="186"/>
      <c r="R697" s="186"/>
      <c r="S697" s="186"/>
      <c r="T697" s="186"/>
      <c r="U697" s="186"/>
      <c r="V697" s="187"/>
      <c r="AA697" s="0">
        <f>IF(LEN(TRIM(A697))=0,0,1)</f>
        <v>0</v>
      </c>
    </row>
    <row r="698" ht="15.75">
      <c r="A698" s="188" t="str">
        <f ref="A698:A698" t="array">IF(INDIRECT(ADDRESS(10,X710,,,"Cleanout Inputs"))=0,"",INDIRECT(ADDRESS(10,X710,,,"Cleanout Inputs")))</f>
      </c>
      <c r="B698" s="146"/>
      <c r="C698" s="146"/>
      <c r="D698" s="146"/>
      <c r="E698" s="146"/>
      <c r="F698" s="146"/>
      <c r="G698" s="146"/>
      <c r="H698" s="146"/>
      <c r="I698" s="146"/>
      <c r="J698" s="146"/>
      <c r="K698" s="146"/>
      <c r="L698" s="146"/>
      <c r="M698" s="146"/>
      <c r="N698" s="146"/>
      <c r="O698" s="146"/>
      <c r="P698" s="146"/>
      <c r="Q698" s="146"/>
      <c r="R698" s="146"/>
      <c r="S698" s="146"/>
      <c r="T698" s="146"/>
      <c r="U698" s="146"/>
      <c r="V698" s="189"/>
      <c r="AA698" s="0">
        <f>AA697</f>
        <v>0</v>
      </c>
    </row>
    <row r="699" ht="15.75">
      <c r="A699" s="205" t="s">
        <v>6</v>
      </c>
      <c r="B699" s="146"/>
      <c r="C699" s="151"/>
      <c r="D699" s="169" t="s">
        <v>30</v>
      </c>
      <c r="E699" s="146"/>
      <c r="F699" s="146"/>
      <c r="G699" s="146"/>
      <c r="H699" s="146"/>
      <c r="I699" s="146"/>
      <c r="J699" s="146"/>
      <c r="K699" s="146"/>
      <c r="L699" s="146"/>
      <c r="M699" s="146"/>
      <c r="N699" s="146"/>
      <c r="O699" s="146"/>
      <c r="P699" s="151"/>
      <c r="Q699" s="170" t="s">
        <v>8</v>
      </c>
      <c r="R699" s="146"/>
      <c r="S699" s="146"/>
      <c r="T699" s="146"/>
      <c r="U699" s="146"/>
      <c r="V699" s="189"/>
      <c r="AA699" s="0">
        <f>AA697</f>
        <v>0</v>
      </c>
    </row>
    <row r="700" ht="15.75">
      <c r="A700" s="85" t="s">
        <v>9</v>
      </c>
      <c r="B700" s="206" t="str">
        <f ref="B700:B700" t="array">IF(INDIRECT(ADDRESS(15,X710,,,"Cleanout Inputs"))=0,"",INDIRECT(ADDRESS(15,X710,,,"Cleanout Inputs")))</f>
      </c>
      <c r="C700" s="206"/>
      <c r="D700" s="158">
        <f ref="D700:D700" t="array">INDIRECT(ADDRESS(14,X710,,,"Cleanout Inputs"))</f>
        <v>0</v>
      </c>
      <c r="E700" s="158"/>
      <c r="F700" s="158"/>
      <c r="G700" s="158"/>
      <c r="H700" s="158"/>
      <c r="I700" s="158"/>
      <c r="J700" s="158"/>
      <c r="K700" s="158"/>
      <c r="L700" s="158"/>
      <c r="M700" s="158"/>
      <c r="N700" s="158"/>
      <c r="O700" s="158"/>
      <c r="P700" s="158"/>
      <c r="Q700" s="136" t="s">
        <v>17</v>
      </c>
      <c r="R700" s="146"/>
      <c r="S700" s="146"/>
      <c r="T700" s="146"/>
      <c r="U700" s="146"/>
      <c r="V700" s="189"/>
      <c r="AA700" s="0">
        <f>AA697</f>
        <v>0</v>
      </c>
    </row>
    <row r="701" ht="15.75">
      <c r="A701" s="86" t="s">
        <v>18</v>
      </c>
      <c r="B701" s="206" t="str">
        <f ref="B701:B701" t="array">IF(INDIRECT(ADDRESS(16,X710,,,"Cleanout Inputs"))=0,"",INDIRECT(ADDRESS(16,X710,,,"Cleanout Inputs")))</f>
      </c>
      <c r="C701" s="206"/>
      <c r="D701" s="158"/>
      <c r="E701" s="158"/>
      <c r="F701" s="158"/>
      <c r="G701" s="158"/>
      <c r="H701" s="158"/>
      <c r="I701" s="158"/>
      <c r="J701" s="158"/>
      <c r="K701" s="158"/>
      <c r="L701" s="158"/>
      <c r="M701" s="158"/>
      <c r="N701" s="158"/>
      <c r="O701" s="158"/>
      <c r="P701" s="158"/>
      <c r="Q701" s="136" t="str">
        <f ref="Q701:Q701" t="array">IF(INDIRECT(ADDRESS(22,X710,,,"Cleanout Inputs"))=0,"0",INDIRECT(ADDRESS(22,X710,,,"Cleanout Inputs")))</f>
        <v>0</v>
      </c>
      <c r="R701" s="146"/>
      <c r="S701" s="146"/>
      <c r="T701" s="146"/>
      <c r="U701" s="146"/>
      <c r="V701" s="189"/>
      <c r="AA701" s="0">
        <f>AA697</f>
        <v>0</v>
      </c>
    </row>
    <row r="702" ht="15.75">
      <c r="A702" s="87" t="s">
        <v>21</v>
      </c>
      <c r="B702" s="190" t="str">
        <f ref="B702:B702" t="array">IF(INDIRECT(ADDRESS(11,X710,,,"Cleanout Inputs"))=0,"",INDIRECT(ADDRESS(11,X710,,,"Cleanout Inputs")))</f>
      </c>
      <c r="C702" s="190"/>
      <c r="D702" s="158"/>
      <c r="E702" s="158"/>
      <c r="F702" s="158"/>
      <c r="G702" s="158"/>
      <c r="H702" s="158"/>
      <c r="I702" s="158"/>
      <c r="J702" s="158"/>
      <c r="K702" s="158"/>
      <c r="L702" s="158"/>
      <c r="M702" s="158"/>
      <c r="N702" s="158"/>
      <c r="O702" s="158"/>
      <c r="P702" s="158"/>
      <c r="Q702" s="136" t="s">
        <v>23</v>
      </c>
      <c r="R702" s="146"/>
      <c r="S702" s="146"/>
      <c r="T702" s="146"/>
      <c r="U702" s="146"/>
      <c r="V702" s="189"/>
      <c r="AA702" s="0">
        <f>AA697</f>
        <v>0</v>
      </c>
    </row>
    <row r="703" ht="15.75">
      <c r="A703" s="87" t="s">
        <v>24</v>
      </c>
      <c r="B703" s="191" t="str">
        <f ref="B703:B703" t="array">IF(INDIRECT(ADDRESS(31,X710,,,"Cleanout Inputs"))=0,"",INDIRECT(ADDRESS(31,X710,,,"Cleanout Inputs")))</f>
      </c>
      <c r="C703" s="191"/>
      <c r="D703" s="158"/>
      <c r="E703" s="158"/>
      <c r="F703" s="158"/>
      <c r="G703" s="158"/>
      <c r="H703" s="158"/>
      <c r="I703" s="158"/>
      <c r="J703" s="158"/>
      <c r="K703" s="158"/>
      <c r="L703" s="158"/>
      <c r="M703" s="158"/>
      <c r="N703" s="158"/>
      <c r="O703" s="158"/>
      <c r="P703" s="158"/>
      <c r="Q703" s="136" t="str">
        <f ref="Q703:Q703" t="array">IF(INDIRECT(ADDRESS(21,X710,,,"Cleanout Inputs"))=0,"0",INDIRECT(ADDRESS(21,X710,,,"Cleanout Inputs")))</f>
        <v>0</v>
      </c>
      <c r="R703" s="146"/>
      <c r="S703" s="146"/>
      <c r="T703" s="146"/>
      <c r="U703" s="146"/>
      <c r="V703" s="189"/>
      <c r="AA703" s="0">
        <f>AA697</f>
        <v>0</v>
      </c>
    </row>
    <row r="704">
      <c r="A704" s="194"/>
      <c r="B704" s="190"/>
      <c r="C704" s="190"/>
      <c r="D704" s="158"/>
      <c r="E704" s="158"/>
      <c r="F704" s="158"/>
      <c r="G704" s="158"/>
      <c r="H704" s="158"/>
      <c r="I704" s="158"/>
      <c r="J704" s="158"/>
      <c r="K704" s="158"/>
      <c r="L704" s="158"/>
      <c r="M704" s="158"/>
      <c r="N704" s="158"/>
      <c r="O704" s="158"/>
      <c r="P704" s="158"/>
      <c r="Q704" s="190"/>
      <c r="R704" s="190"/>
      <c r="S704" s="190"/>
      <c r="T704" s="190"/>
      <c r="U704" s="190"/>
      <c r="V704" s="195"/>
      <c r="AA704" s="0">
        <f>AA697</f>
        <v>0</v>
      </c>
    </row>
    <row r="705">
      <c r="A705" s="194"/>
      <c r="B705" s="190"/>
      <c r="C705" s="190"/>
      <c r="D705" s="158"/>
      <c r="E705" s="158"/>
      <c r="F705" s="158"/>
      <c r="G705" s="158"/>
      <c r="H705" s="158"/>
      <c r="I705" s="158"/>
      <c r="J705" s="158"/>
      <c r="K705" s="158"/>
      <c r="L705" s="158"/>
      <c r="M705" s="158"/>
      <c r="N705" s="158"/>
      <c r="O705" s="158"/>
      <c r="P705" s="158"/>
      <c r="Q705" s="190"/>
      <c r="R705" s="190"/>
      <c r="S705" s="190"/>
      <c r="T705" s="190"/>
      <c r="U705" s="190"/>
      <c r="V705" s="195"/>
      <c r="AA705" s="0">
        <f>AA697</f>
        <v>0</v>
      </c>
    </row>
    <row r="706">
      <c r="A706" s="194"/>
      <c r="B706" s="190"/>
      <c r="C706" s="190"/>
      <c r="D706" s="158"/>
      <c r="E706" s="158"/>
      <c r="F706" s="158"/>
      <c r="G706" s="158"/>
      <c r="H706" s="158"/>
      <c r="I706" s="158"/>
      <c r="J706" s="158"/>
      <c r="K706" s="158"/>
      <c r="L706" s="158"/>
      <c r="M706" s="158"/>
      <c r="N706" s="158"/>
      <c r="O706" s="158"/>
      <c r="P706" s="158"/>
      <c r="Q706" s="190"/>
      <c r="R706" s="190"/>
      <c r="S706" s="190"/>
      <c r="T706" s="190"/>
      <c r="U706" s="190"/>
      <c r="V706" s="195"/>
      <c r="AA706" s="0">
        <f>AA697</f>
        <v>0</v>
      </c>
    </row>
    <row r="707">
      <c r="A707" s="192" t="s">
        <v>48</v>
      </c>
      <c r="B707" s="184"/>
      <c r="C707" s="184"/>
      <c r="D707" s="184"/>
      <c r="E707" s="184"/>
      <c r="F707" s="184"/>
      <c r="G707" s="184"/>
      <c r="H707" s="184"/>
      <c r="I707" s="184"/>
      <c r="J707" s="184"/>
      <c r="K707" s="184"/>
      <c r="L707" s="184"/>
      <c r="M707" s="184"/>
      <c r="N707" s="184"/>
      <c r="O707" s="184"/>
      <c r="P707" s="184"/>
      <c r="Q707" s="184"/>
      <c r="R707" s="184"/>
      <c r="S707" s="184"/>
      <c r="T707" s="184"/>
      <c r="U707" s="184"/>
      <c r="V707" s="193"/>
      <c r="AA707" s="0">
        <f>AA697</f>
        <v>0</v>
      </c>
    </row>
    <row r="708">
      <c r="A708" s="194" t="s">
        <v>49</v>
      </c>
      <c r="B708" s="190"/>
      <c r="C708" s="196"/>
      <c r="D708" s="197" t="s">
        <v>50</v>
      </c>
      <c r="E708" s="198"/>
      <c r="F708" s="198"/>
      <c r="G708" s="198"/>
      <c r="H708" s="198"/>
      <c r="I708" s="198" t="s">
        <v>51</v>
      </c>
      <c r="J708" s="198"/>
      <c r="K708" s="198"/>
      <c r="L708" s="198"/>
      <c r="M708" s="198"/>
      <c r="N708" s="198"/>
      <c r="O708" s="198"/>
      <c r="P708" s="198" t="s">
        <v>52</v>
      </c>
      <c r="Q708" s="198"/>
      <c r="R708" s="198"/>
      <c r="S708" s="198"/>
      <c r="T708" s="198"/>
      <c r="U708" s="198"/>
      <c r="V708" s="199"/>
      <c r="AA708" s="0">
        <f>AA697</f>
        <v>0</v>
      </c>
    </row>
    <row r="709">
      <c r="A709" s="203" t="str">
        <f ref="A709:A709" t="array">IF(INDIRECT(ADDRESS(17,X710,,,"Cleanout Inputs"))=0,"",INDIRECT(ADDRESS(17,X710,,,"Cleanout Inputs")))</f>
      </c>
      <c r="B709" s="201"/>
      <c r="C709" s="204"/>
      <c r="D709" s="200" t="str">
        <f ref="D709:D709" t="array">IF(INDIRECT(ADDRESS(18,X710,,,"Cleanout Inputs"))=0,"",INDIRECT(ADDRESS(18,X710,,,"Cleanout Inputs")))</f>
      </c>
      <c r="E709" s="201"/>
      <c r="F709" s="201"/>
      <c r="G709" s="201"/>
      <c r="H709" s="201"/>
      <c r="I709" s="201" t="str">
        <f ref="I709:I709" t="array">IF(INDIRECT(ADDRESS(19,X710,,,"Cleanout Inputs"))=0,"",INDIRECT(ADDRESS(19,X710,,,"Cleanout Inputs")))</f>
      </c>
      <c r="J709" s="201"/>
      <c r="K709" s="201"/>
      <c r="L709" s="201"/>
      <c r="M709" s="201"/>
      <c r="N709" s="201"/>
      <c r="O709" s="201"/>
      <c r="P709" s="201" t="str">
        <f ref="P709:P709" t="array">IF(INDIRECT(ADDRESS(20,X710,,,"Cleanout Inputs"))=0,"",INDIRECT(ADDRESS(20,X710,,,"Cleanout Inputs")))</f>
      </c>
      <c r="Q709" s="201"/>
      <c r="R709" s="201"/>
      <c r="S709" s="201"/>
      <c r="T709" s="201"/>
      <c r="U709" s="201"/>
      <c r="V709" s="202"/>
      <c r="AA709" s="0">
        <f>AA697</f>
        <v>0</v>
      </c>
    </row>
    <row r="710" ht="16.5">
      <c r="A710" s="88"/>
      <c r="B710" s="89"/>
      <c r="C710" s="89"/>
      <c r="D710" s="90"/>
      <c r="E710" s="90"/>
      <c r="F710" s="90"/>
      <c r="G710" s="90"/>
      <c r="H710" s="90"/>
      <c r="I710" s="90"/>
      <c r="J710" s="90"/>
      <c r="K710" s="90"/>
      <c r="L710" s="90"/>
      <c r="M710" s="90"/>
      <c r="N710" s="90"/>
      <c r="O710" s="90"/>
      <c r="P710" s="90"/>
      <c r="Q710" s="90"/>
      <c r="R710" s="80"/>
      <c r="S710" s="80"/>
      <c r="T710" s="91"/>
      <c r="U710" s="81"/>
      <c r="V710" s="82"/>
      <c r="W710" s="78" t="s">
        <v>46</v>
      </c>
      <c r="X710" s="0">
        <v>20</v>
      </c>
      <c r="AA710" s="0">
        <f>AA697</f>
        <v>0</v>
      </c>
    </row>
    <row r="711" ht="15.75">
      <c r="AA711" s="0">
        <f>AA697</f>
        <v>0</v>
      </c>
    </row>
    <row r="712" ht="15.75">
      <c r="A712" s="185" t="str">
        <f ref="A712:A712" t="array">CONCATENATE(INDIRECT(ADDRESS(6,X725,,,"Cleanout Inputs"))," ",INDIRECT(ADDRESS(8,X725,,,"Cleanout Inputs"))," ",INDIRECT(ADDRESS(9,X725,,,"Cleanout Inputs")))</f>
      </c>
      <c r="B712" s="186"/>
      <c r="C712" s="186"/>
      <c r="D712" s="186"/>
      <c r="E712" s="186"/>
      <c r="F712" s="186"/>
      <c r="G712" s="186"/>
      <c r="H712" s="186"/>
      <c r="I712" s="186"/>
      <c r="J712" s="186"/>
      <c r="K712" s="186"/>
      <c r="L712" s="186"/>
      <c r="M712" s="186"/>
      <c r="N712" s="186"/>
      <c r="O712" s="186"/>
      <c r="P712" s="186"/>
      <c r="Q712" s="186"/>
      <c r="R712" s="186"/>
      <c r="S712" s="186"/>
      <c r="T712" s="186"/>
      <c r="U712" s="186"/>
      <c r="V712" s="187"/>
      <c r="AA712" s="0">
        <f>IF(LEN(TRIM(A712))=0,0,1)</f>
        <v>0</v>
      </c>
    </row>
    <row r="713" ht="15.75">
      <c r="A713" s="188" t="str">
        <f ref="A713:A713" t="array">IF(INDIRECT(ADDRESS(10,X725,,,"Cleanout Inputs"))=0,"",INDIRECT(ADDRESS(10,X725,,,"Cleanout Inputs")))</f>
      </c>
      <c r="B713" s="146"/>
      <c r="C713" s="146"/>
      <c r="D713" s="146"/>
      <c r="E713" s="146"/>
      <c r="F713" s="146"/>
      <c r="G713" s="146"/>
      <c r="H713" s="146"/>
      <c r="I713" s="146"/>
      <c r="J713" s="146"/>
      <c r="K713" s="146"/>
      <c r="L713" s="146"/>
      <c r="M713" s="146"/>
      <c r="N713" s="146"/>
      <c r="O713" s="146"/>
      <c r="P713" s="146"/>
      <c r="Q713" s="146"/>
      <c r="R713" s="146"/>
      <c r="S713" s="146"/>
      <c r="T713" s="146"/>
      <c r="U713" s="146"/>
      <c r="V713" s="189"/>
      <c r="AA713" s="0">
        <f>AA712</f>
        <v>0</v>
      </c>
    </row>
    <row r="714" ht="15.75">
      <c r="A714" s="205" t="s">
        <v>6</v>
      </c>
      <c r="B714" s="146"/>
      <c r="C714" s="151"/>
      <c r="D714" s="169" t="s">
        <v>30</v>
      </c>
      <c r="E714" s="146"/>
      <c r="F714" s="146"/>
      <c r="G714" s="146"/>
      <c r="H714" s="146"/>
      <c r="I714" s="146"/>
      <c r="J714" s="146"/>
      <c r="K714" s="146"/>
      <c r="L714" s="146"/>
      <c r="M714" s="146"/>
      <c r="N714" s="146"/>
      <c r="O714" s="146"/>
      <c r="P714" s="151"/>
      <c r="Q714" s="170" t="s">
        <v>8</v>
      </c>
      <c r="R714" s="146"/>
      <c r="S714" s="146"/>
      <c r="T714" s="146"/>
      <c r="U714" s="146"/>
      <c r="V714" s="189"/>
      <c r="AA714" s="0">
        <f>AA712</f>
        <v>0</v>
      </c>
    </row>
    <row r="715" ht="15.75">
      <c r="A715" s="85" t="s">
        <v>9</v>
      </c>
      <c r="B715" s="206" t="str">
        <f ref="B715:B715" t="array">IF(INDIRECT(ADDRESS(15,X725,,,"Cleanout Inputs"))=0,"",INDIRECT(ADDRESS(15,X725,,,"Cleanout Inputs")))</f>
      </c>
      <c r="C715" s="206"/>
      <c r="D715" s="158">
        <f ref="D715:D715" t="array">INDIRECT(ADDRESS(14,X725,,,"Cleanout Inputs"))</f>
        <v>0</v>
      </c>
      <c r="E715" s="158"/>
      <c r="F715" s="158"/>
      <c r="G715" s="158"/>
      <c r="H715" s="158"/>
      <c r="I715" s="158"/>
      <c r="J715" s="158"/>
      <c r="K715" s="158"/>
      <c r="L715" s="158"/>
      <c r="M715" s="158"/>
      <c r="N715" s="158"/>
      <c r="O715" s="158"/>
      <c r="P715" s="158"/>
      <c r="Q715" s="136" t="s">
        <v>17</v>
      </c>
      <c r="R715" s="146"/>
      <c r="S715" s="146"/>
      <c r="T715" s="146"/>
      <c r="U715" s="146"/>
      <c r="V715" s="189"/>
      <c r="AA715" s="0">
        <f>AA712</f>
        <v>0</v>
      </c>
    </row>
    <row r="716" ht="15.75">
      <c r="A716" s="86" t="s">
        <v>18</v>
      </c>
      <c r="B716" s="206" t="str">
        <f ref="B716:B716" t="array">IF(INDIRECT(ADDRESS(16,X725,,,"Cleanout Inputs"))=0,"",INDIRECT(ADDRESS(16,X725,,,"Cleanout Inputs")))</f>
      </c>
      <c r="C716" s="206"/>
      <c r="D716" s="158"/>
      <c r="E716" s="158"/>
      <c r="F716" s="158"/>
      <c r="G716" s="158"/>
      <c r="H716" s="158"/>
      <c r="I716" s="158"/>
      <c r="J716" s="158"/>
      <c r="K716" s="158"/>
      <c r="L716" s="158"/>
      <c r="M716" s="158"/>
      <c r="N716" s="158"/>
      <c r="O716" s="158"/>
      <c r="P716" s="158"/>
      <c r="Q716" s="136" t="str">
        <f ref="Q716:Q716" t="array">IF(INDIRECT(ADDRESS(22,X725,,,"Cleanout Inputs"))=0,"0",INDIRECT(ADDRESS(22,X725,,,"Cleanout Inputs")))</f>
        <v>0</v>
      </c>
      <c r="R716" s="146"/>
      <c r="S716" s="146"/>
      <c r="T716" s="146"/>
      <c r="U716" s="146"/>
      <c r="V716" s="189"/>
      <c r="AA716" s="0">
        <f>AA712</f>
        <v>0</v>
      </c>
    </row>
    <row r="717" ht="15.75">
      <c r="A717" s="87" t="s">
        <v>21</v>
      </c>
      <c r="B717" s="190" t="str">
        <f ref="B717:B717" t="array">IF(INDIRECT(ADDRESS(11,X725,,,"Cleanout Inputs"))=0,"",INDIRECT(ADDRESS(11,X725,,,"Cleanout Inputs")))</f>
      </c>
      <c r="C717" s="190"/>
      <c r="D717" s="158"/>
      <c r="E717" s="158"/>
      <c r="F717" s="158"/>
      <c r="G717" s="158"/>
      <c r="H717" s="158"/>
      <c r="I717" s="158"/>
      <c r="J717" s="158"/>
      <c r="K717" s="158"/>
      <c r="L717" s="158"/>
      <c r="M717" s="158"/>
      <c r="N717" s="158"/>
      <c r="O717" s="158"/>
      <c r="P717" s="158"/>
      <c r="Q717" s="136" t="s">
        <v>23</v>
      </c>
      <c r="R717" s="146"/>
      <c r="S717" s="146"/>
      <c r="T717" s="146"/>
      <c r="U717" s="146"/>
      <c r="V717" s="189"/>
      <c r="AA717" s="0">
        <f>AA712</f>
        <v>0</v>
      </c>
    </row>
    <row r="718" ht="15.75">
      <c r="A718" s="87" t="s">
        <v>24</v>
      </c>
      <c r="B718" s="191" t="str">
        <f ref="B718:B718" t="array">IF(INDIRECT(ADDRESS(31,X725,,,"Cleanout Inputs"))=0,"",INDIRECT(ADDRESS(31,X725,,,"Cleanout Inputs")))</f>
      </c>
      <c r="C718" s="191"/>
      <c r="D718" s="158"/>
      <c r="E718" s="158"/>
      <c r="F718" s="158"/>
      <c r="G718" s="158"/>
      <c r="H718" s="158"/>
      <c r="I718" s="158"/>
      <c r="J718" s="158"/>
      <c r="K718" s="158"/>
      <c r="L718" s="158"/>
      <c r="M718" s="158"/>
      <c r="N718" s="158"/>
      <c r="O718" s="158"/>
      <c r="P718" s="158"/>
      <c r="Q718" s="136" t="str">
        <f ref="Q718:Q718" t="array">IF(INDIRECT(ADDRESS(21,X725,,,"Cleanout Inputs"))=0,"0",INDIRECT(ADDRESS(21,X725,,,"Cleanout Inputs")))</f>
        <v>0</v>
      </c>
      <c r="R718" s="146"/>
      <c r="S718" s="146"/>
      <c r="T718" s="146"/>
      <c r="U718" s="146"/>
      <c r="V718" s="189"/>
      <c r="AA718" s="0">
        <f>AA712</f>
        <v>0</v>
      </c>
    </row>
    <row r="719">
      <c r="A719" s="194"/>
      <c r="B719" s="190"/>
      <c r="C719" s="190"/>
      <c r="D719" s="158"/>
      <c r="E719" s="158"/>
      <c r="F719" s="158"/>
      <c r="G719" s="158"/>
      <c r="H719" s="158"/>
      <c r="I719" s="158"/>
      <c r="J719" s="158"/>
      <c r="K719" s="158"/>
      <c r="L719" s="158"/>
      <c r="M719" s="158"/>
      <c r="N719" s="158"/>
      <c r="O719" s="158"/>
      <c r="P719" s="158"/>
      <c r="Q719" s="190"/>
      <c r="R719" s="190"/>
      <c r="S719" s="190"/>
      <c r="T719" s="190"/>
      <c r="U719" s="190"/>
      <c r="V719" s="195"/>
      <c r="AA719" s="0">
        <f>AA712</f>
        <v>0</v>
      </c>
    </row>
    <row r="720">
      <c r="A720" s="194"/>
      <c r="B720" s="190"/>
      <c r="C720" s="190"/>
      <c r="D720" s="158"/>
      <c r="E720" s="158"/>
      <c r="F720" s="158"/>
      <c r="G720" s="158"/>
      <c r="H720" s="158"/>
      <c r="I720" s="158"/>
      <c r="J720" s="158"/>
      <c r="K720" s="158"/>
      <c r="L720" s="158"/>
      <c r="M720" s="158"/>
      <c r="N720" s="158"/>
      <c r="O720" s="158"/>
      <c r="P720" s="158"/>
      <c r="Q720" s="190"/>
      <c r="R720" s="190"/>
      <c r="S720" s="190"/>
      <c r="T720" s="190"/>
      <c r="U720" s="190"/>
      <c r="V720" s="195"/>
      <c r="AA720" s="0">
        <f>AA712</f>
        <v>0</v>
      </c>
    </row>
    <row r="721">
      <c r="A721" s="194"/>
      <c r="B721" s="190"/>
      <c r="C721" s="190"/>
      <c r="D721" s="158"/>
      <c r="E721" s="158"/>
      <c r="F721" s="158"/>
      <c r="G721" s="158"/>
      <c r="H721" s="158"/>
      <c r="I721" s="158"/>
      <c r="J721" s="158"/>
      <c r="K721" s="158"/>
      <c r="L721" s="158"/>
      <c r="M721" s="158"/>
      <c r="N721" s="158"/>
      <c r="O721" s="158"/>
      <c r="P721" s="158"/>
      <c r="Q721" s="190"/>
      <c r="R721" s="190"/>
      <c r="S721" s="190"/>
      <c r="T721" s="190"/>
      <c r="U721" s="190"/>
      <c r="V721" s="195"/>
      <c r="AA721" s="0">
        <f>AA712</f>
        <v>0</v>
      </c>
    </row>
    <row r="722">
      <c r="A722" s="192" t="s">
        <v>48</v>
      </c>
      <c r="B722" s="184"/>
      <c r="C722" s="184"/>
      <c r="D722" s="184"/>
      <c r="E722" s="184"/>
      <c r="F722" s="184"/>
      <c r="G722" s="184"/>
      <c r="H722" s="184"/>
      <c r="I722" s="184"/>
      <c r="J722" s="184"/>
      <c r="K722" s="184"/>
      <c r="L722" s="184"/>
      <c r="M722" s="184"/>
      <c r="N722" s="184"/>
      <c r="O722" s="184"/>
      <c r="P722" s="184"/>
      <c r="Q722" s="184"/>
      <c r="R722" s="184"/>
      <c r="S722" s="184"/>
      <c r="T722" s="184"/>
      <c r="U722" s="184"/>
      <c r="V722" s="193"/>
      <c r="AA722" s="0">
        <f>AA712</f>
        <v>0</v>
      </c>
    </row>
    <row r="723">
      <c r="A723" s="194" t="s">
        <v>49</v>
      </c>
      <c r="B723" s="190"/>
      <c r="C723" s="196"/>
      <c r="D723" s="197" t="s">
        <v>50</v>
      </c>
      <c r="E723" s="198"/>
      <c r="F723" s="198"/>
      <c r="G723" s="198"/>
      <c r="H723" s="198"/>
      <c r="I723" s="198" t="s">
        <v>51</v>
      </c>
      <c r="J723" s="198"/>
      <c r="K723" s="198"/>
      <c r="L723" s="198"/>
      <c r="M723" s="198"/>
      <c r="N723" s="198"/>
      <c r="O723" s="198"/>
      <c r="P723" s="198" t="s">
        <v>52</v>
      </c>
      <c r="Q723" s="198"/>
      <c r="R723" s="198"/>
      <c r="S723" s="198"/>
      <c r="T723" s="198"/>
      <c r="U723" s="198"/>
      <c r="V723" s="199"/>
      <c r="AA723" s="0">
        <f>AA712</f>
        <v>0</v>
      </c>
    </row>
    <row r="724">
      <c r="A724" s="203" t="str">
        <f ref="A724:A724" t="array">IF(INDIRECT(ADDRESS(17,X725,,,"Cleanout Inputs"))=0,"",INDIRECT(ADDRESS(17,X725,,,"Cleanout Inputs")))</f>
      </c>
      <c r="B724" s="201"/>
      <c r="C724" s="204"/>
      <c r="D724" s="200" t="str">
        <f ref="D724:D724" t="array">IF(INDIRECT(ADDRESS(18,X725,,,"Cleanout Inputs"))=0,"",INDIRECT(ADDRESS(18,X725,,,"Cleanout Inputs")))</f>
      </c>
      <c r="E724" s="201"/>
      <c r="F724" s="201"/>
      <c r="G724" s="201"/>
      <c r="H724" s="201"/>
      <c r="I724" s="201" t="str">
        <f ref="I724:I724" t="array">IF(INDIRECT(ADDRESS(19,X725,,,"Cleanout Inputs"))=0,"",INDIRECT(ADDRESS(19,X725,,,"Cleanout Inputs")))</f>
      </c>
      <c r="J724" s="201"/>
      <c r="K724" s="201"/>
      <c r="L724" s="201"/>
      <c r="M724" s="201"/>
      <c r="N724" s="201"/>
      <c r="O724" s="201"/>
      <c r="P724" s="201" t="str">
        <f ref="P724:P724" t="array">IF(INDIRECT(ADDRESS(20,X725,,,"Cleanout Inputs"))=0,"",INDIRECT(ADDRESS(20,X725,,,"Cleanout Inputs")))</f>
      </c>
      <c r="Q724" s="201"/>
      <c r="R724" s="201"/>
      <c r="S724" s="201"/>
      <c r="T724" s="201"/>
      <c r="U724" s="201"/>
      <c r="V724" s="202"/>
      <c r="AA724" s="0">
        <f>AA712</f>
        <v>0</v>
      </c>
    </row>
    <row r="725" ht="16.5">
      <c r="A725" s="88"/>
      <c r="B725" s="89"/>
      <c r="C725" s="89"/>
      <c r="D725" s="90"/>
      <c r="E725" s="90"/>
      <c r="F725" s="90"/>
      <c r="G725" s="90"/>
      <c r="H725" s="90"/>
      <c r="I725" s="90"/>
      <c r="J725" s="90"/>
      <c r="K725" s="90"/>
      <c r="L725" s="90"/>
      <c r="M725" s="90"/>
      <c r="N725" s="90"/>
      <c r="O725" s="90"/>
      <c r="P725" s="90"/>
      <c r="Q725" s="90"/>
      <c r="R725" s="80"/>
      <c r="S725" s="80"/>
      <c r="T725" s="91"/>
      <c r="U725" s="81"/>
      <c r="V725" s="82"/>
      <c r="W725" s="78" t="s">
        <v>46</v>
      </c>
      <c r="X725" s="0">
        <v>23</v>
      </c>
      <c r="AA725" s="0">
        <f>AA712</f>
        <v>0</v>
      </c>
    </row>
    <row r="726">
      <c r="AA726" s="0">
        <f>AA712</f>
        <v>0</v>
      </c>
    </row>
  </sheetData>
  <autoFilter ref="A1:AA726" xr:uid="{00000000-0001-0000-0000-000000000000}">
    <filterColumn colId="0" showButton="0"/>
    <filterColumn colId="1" showButton="0"/>
    <filterColumn colId="2" showButton="0"/>
    <filterColumn colId="3" showButton="0"/>
    <filterColumn colId="4" showButton="0"/>
    <filterColumn colId="5" showButton="0"/>
    <filterColumn colId="6" showButton="0"/>
    <filterColumn colId="7" showButton="0"/>
    <filterColumn colId="8" showButton="0"/>
    <filterColumn colId="9" showButton="0"/>
    <filterColumn colId="10" showButton="0"/>
    <filterColumn colId="11" showButton="0"/>
    <filterColumn colId="12" showButton="0"/>
    <filterColumn colId="13" showButton="0"/>
    <filterColumn colId="14" showButton="0"/>
    <filterColumn colId="15" showButton="0"/>
    <filterColumn colId="16" showButton="0"/>
    <filterColumn colId="17" showButton="0"/>
    <filterColumn colId="18" showButton="0"/>
    <filterColumn colId="19" showButton="0"/>
    <filterColumn colId="20" showButton="0"/>
    <filterColumn colId="23" showButton="0"/>
    <filterColumn colId="24" showButton="0"/>
  </autoFilter>
  <mergeCells>
    <mergeCell ref="B602:C602"/>
    <mergeCell ref="Q602:S602"/>
    <mergeCell ref="T602:V602"/>
    <mergeCell ref="B593:C593"/>
    <mergeCell ref="E593:G593"/>
    <mergeCell ref="J593:K593"/>
    <mergeCell ref="L593:N593"/>
    <mergeCell ref="O593:P593"/>
    <mergeCell ref="Q593:V593"/>
    <mergeCell ref="B594:C594"/>
    <mergeCell ref="D594:P594"/>
    <mergeCell ref="Q594:S594"/>
    <mergeCell ref="T594:V594"/>
    <mergeCell ref="B595:C595"/>
    <mergeCell ref="D595:P602"/>
    <mergeCell ref="Q595:S595"/>
    <mergeCell ref="T595:V595"/>
    <mergeCell ref="A596:C596"/>
    <mergeCell ref="Q596:S596"/>
    <mergeCell ref="T596:V596"/>
    <mergeCell ref="B597:C597"/>
    <mergeCell ref="Q597:S597"/>
    <mergeCell ref="T597:V597"/>
    <mergeCell ref="B598:C598"/>
    <mergeCell ref="Q598:S598"/>
    <mergeCell ref="T598:V598"/>
    <mergeCell ref="A599:C599"/>
    <mergeCell ref="Q599:S599"/>
    <mergeCell ref="T599:V599"/>
    <mergeCell ref="B600:C600"/>
    <mergeCell ref="Q600:S600"/>
    <mergeCell ref="T600:V600"/>
    <mergeCell ref="B601:C601"/>
    <mergeCell ref="Q601:S601"/>
    <mergeCell ref="T601:V601"/>
    <mergeCell ref="B590:C590"/>
    <mergeCell ref="E590:G590"/>
    <mergeCell ref="J590:K590"/>
    <mergeCell ref="L590:N590"/>
    <mergeCell ref="O590:P590"/>
    <mergeCell ref="Q590:V590"/>
    <mergeCell ref="B591:C591"/>
    <mergeCell ref="E591:G591"/>
    <mergeCell ref="J591:K591"/>
    <mergeCell ref="L591:N591"/>
    <mergeCell ref="O591:P591"/>
    <mergeCell ref="Q591:V591"/>
    <mergeCell ref="B592:C592"/>
    <mergeCell ref="E592:G592"/>
    <mergeCell ref="J592:K592"/>
    <mergeCell ref="L592:N592"/>
    <mergeCell ref="O592:P592"/>
    <mergeCell ref="Q592:V592"/>
    <mergeCell ref="B582:C582"/>
    <mergeCell ref="Q582:S582"/>
    <mergeCell ref="T582:V582"/>
    <mergeCell ref="A584:C584"/>
    <mergeCell ref="D584:P584"/>
    <mergeCell ref="A585:C585"/>
    <mergeCell ref="D585:P585"/>
    <mergeCell ref="A586:C586"/>
    <mergeCell ref="D586:P586"/>
    <mergeCell ref="A587:C587"/>
    <mergeCell ref="D587:P587"/>
    <mergeCell ref="A588:C588"/>
    <mergeCell ref="D588:P588"/>
    <mergeCell ref="Q588:V588"/>
    <mergeCell ref="B589:C589"/>
    <mergeCell ref="E589:G589"/>
    <mergeCell ref="J589:K589"/>
    <mergeCell ref="L589:N589"/>
    <mergeCell ref="O589:P589"/>
    <mergeCell ref="Q589:V589"/>
    <mergeCell ref="B573:C573"/>
    <mergeCell ref="E573:G573"/>
    <mergeCell ref="J573:K573"/>
    <mergeCell ref="L573:N573"/>
    <mergeCell ref="O573:P573"/>
    <mergeCell ref="Q573:V573"/>
    <mergeCell ref="B574:C574"/>
    <mergeCell ref="D574:P574"/>
    <mergeCell ref="Q574:S574"/>
    <mergeCell ref="T574:V574"/>
    <mergeCell ref="B575:C575"/>
    <mergeCell ref="D575:P582"/>
    <mergeCell ref="Q575:S575"/>
    <mergeCell ref="T575:V575"/>
    <mergeCell ref="A576:C576"/>
    <mergeCell ref="Q576:S576"/>
    <mergeCell ref="T576:V576"/>
    <mergeCell ref="B577:C577"/>
    <mergeCell ref="Q577:S577"/>
    <mergeCell ref="T577:V577"/>
    <mergeCell ref="B578:C578"/>
    <mergeCell ref="Q578:S578"/>
    <mergeCell ref="T578:V578"/>
    <mergeCell ref="A579:C579"/>
    <mergeCell ref="Q579:S579"/>
    <mergeCell ref="T579:V579"/>
    <mergeCell ref="B580:C580"/>
    <mergeCell ref="Q580:S580"/>
    <mergeCell ref="T580:V580"/>
    <mergeCell ref="B581:C581"/>
    <mergeCell ref="Q581:S581"/>
    <mergeCell ref="T581:V581"/>
    <mergeCell ref="B570:C570"/>
    <mergeCell ref="E570:G570"/>
    <mergeCell ref="J570:K570"/>
    <mergeCell ref="L570:N570"/>
    <mergeCell ref="O570:P570"/>
    <mergeCell ref="Q570:V570"/>
    <mergeCell ref="B571:C571"/>
    <mergeCell ref="E571:G571"/>
    <mergeCell ref="J571:K571"/>
    <mergeCell ref="L571:N571"/>
    <mergeCell ref="O571:P571"/>
    <mergeCell ref="Q571:V571"/>
    <mergeCell ref="B572:C572"/>
    <mergeCell ref="E572:G572"/>
    <mergeCell ref="J572:K572"/>
    <mergeCell ref="L572:N572"/>
    <mergeCell ref="O572:P572"/>
    <mergeCell ref="Q572:V572"/>
    <mergeCell ref="B562:C562"/>
    <mergeCell ref="Q562:S562"/>
    <mergeCell ref="T562:V562"/>
    <mergeCell ref="A564:C564"/>
    <mergeCell ref="D564:P564"/>
    <mergeCell ref="A565:C565"/>
    <mergeCell ref="D565:P565"/>
    <mergeCell ref="A566:C566"/>
    <mergeCell ref="D566:P566"/>
    <mergeCell ref="A567:C567"/>
    <mergeCell ref="D567:P567"/>
    <mergeCell ref="A568:C568"/>
    <mergeCell ref="D568:P568"/>
    <mergeCell ref="Q568:V568"/>
    <mergeCell ref="B569:C569"/>
    <mergeCell ref="E569:G569"/>
    <mergeCell ref="J569:K569"/>
    <mergeCell ref="L569:N569"/>
    <mergeCell ref="O569:P569"/>
    <mergeCell ref="Q569:V569"/>
    <mergeCell ref="B553:C553"/>
    <mergeCell ref="E553:G553"/>
    <mergeCell ref="J553:K553"/>
    <mergeCell ref="L553:N553"/>
    <mergeCell ref="O553:P553"/>
    <mergeCell ref="Q553:V553"/>
    <mergeCell ref="B554:C554"/>
    <mergeCell ref="D554:P554"/>
    <mergeCell ref="Q554:S554"/>
    <mergeCell ref="T554:V554"/>
    <mergeCell ref="B555:C555"/>
    <mergeCell ref="D555:P562"/>
    <mergeCell ref="Q555:S555"/>
    <mergeCell ref="T555:V555"/>
    <mergeCell ref="A556:C556"/>
    <mergeCell ref="Q556:S556"/>
    <mergeCell ref="T556:V556"/>
    <mergeCell ref="B557:C557"/>
    <mergeCell ref="Q557:S557"/>
    <mergeCell ref="T557:V557"/>
    <mergeCell ref="B558:C558"/>
    <mergeCell ref="Q558:S558"/>
    <mergeCell ref="T558:V558"/>
    <mergeCell ref="A559:C559"/>
    <mergeCell ref="Q559:S559"/>
    <mergeCell ref="T559:V559"/>
    <mergeCell ref="B560:C560"/>
    <mergeCell ref="Q560:S560"/>
    <mergeCell ref="T560:V560"/>
    <mergeCell ref="B561:C561"/>
    <mergeCell ref="Q561:S561"/>
    <mergeCell ref="T561:V561"/>
    <mergeCell ref="B550:C550"/>
    <mergeCell ref="E550:G550"/>
    <mergeCell ref="J550:K550"/>
    <mergeCell ref="L550:N550"/>
    <mergeCell ref="O550:P550"/>
    <mergeCell ref="Q550:V550"/>
    <mergeCell ref="B551:C551"/>
    <mergeCell ref="E551:G551"/>
    <mergeCell ref="J551:K551"/>
    <mergeCell ref="L551:N551"/>
    <mergeCell ref="O551:P551"/>
    <mergeCell ref="Q551:V551"/>
    <mergeCell ref="B552:C552"/>
    <mergeCell ref="E552:G552"/>
    <mergeCell ref="J552:K552"/>
    <mergeCell ref="L552:N552"/>
    <mergeCell ref="O552:P552"/>
    <mergeCell ref="Q552:V552"/>
    <mergeCell ref="B542:C542"/>
    <mergeCell ref="Q542:S542"/>
    <mergeCell ref="T542:V542"/>
    <mergeCell ref="A544:C544"/>
    <mergeCell ref="D544:P544"/>
    <mergeCell ref="A545:C545"/>
    <mergeCell ref="D545:P545"/>
    <mergeCell ref="A546:C546"/>
    <mergeCell ref="D546:P546"/>
    <mergeCell ref="A547:C547"/>
    <mergeCell ref="D547:P547"/>
    <mergeCell ref="A548:C548"/>
    <mergeCell ref="D548:P548"/>
    <mergeCell ref="Q548:V548"/>
    <mergeCell ref="B549:C549"/>
    <mergeCell ref="E549:G549"/>
    <mergeCell ref="J549:K549"/>
    <mergeCell ref="L549:N549"/>
    <mergeCell ref="O549:P549"/>
    <mergeCell ref="Q549:V549"/>
    <mergeCell ref="B533:C533"/>
    <mergeCell ref="E533:G533"/>
    <mergeCell ref="J533:K533"/>
    <mergeCell ref="L533:N533"/>
    <mergeCell ref="O533:P533"/>
    <mergeCell ref="Q533:V533"/>
    <mergeCell ref="B534:C534"/>
    <mergeCell ref="D534:P534"/>
    <mergeCell ref="Q534:S534"/>
    <mergeCell ref="T534:V534"/>
    <mergeCell ref="B535:C535"/>
    <mergeCell ref="D535:P542"/>
    <mergeCell ref="Q535:S535"/>
    <mergeCell ref="T535:V535"/>
    <mergeCell ref="A536:C536"/>
    <mergeCell ref="Q536:S536"/>
    <mergeCell ref="T536:V536"/>
    <mergeCell ref="B537:C537"/>
    <mergeCell ref="Q537:S537"/>
    <mergeCell ref="T537:V537"/>
    <mergeCell ref="B538:C538"/>
    <mergeCell ref="Q538:S538"/>
    <mergeCell ref="T538:V538"/>
    <mergeCell ref="A539:C539"/>
    <mergeCell ref="Q539:S539"/>
    <mergeCell ref="T539:V539"/>
    <mergeCell ref="B540:C540"/>
    <mergeCell ref="Q540:S540"/>
    <mergeCell ref="T540:V540"/>
    <mergeCell ref="B541:C541"/>
    <mergeCell ref="Q541:S541"/>
    <mergeCell ref="T541:V541"/>
    <mergeCell ref="B530:C530"/>
    <mergeCell ref="E530:G530"/>
    <mergeCell ref="J530:K530"/>
    <mergeCell ref="L530:N530"/>
    <mergeCell ref="O530:P530"/>
    <mergeCell ref="Q530:V530"/>
    <mergeCell ref="B531:C531"/>
    <mergeCell ref="E531:G531"/>
    <mergeCell ref="J531:K531"/>
    <mergeCell ref="L531:N531"/>
    <mergeCell ref="O531:P531"/>
    <mergeCell ref="Q531:V531"/>
    <mergeCell ref="B532:C532"/>
    <mergeCell ref="E532:G532"/>
    <mergeCell ref="J532:K532"/>
    <mergeCell ref="L532:N532"/>
    <mergeCell ref="O532:P532"/>
    <mergeCell ref="Q532:V532"/>
    <mergeCell ref="B522:C522"/>
    <mergeCell ref="Q522:S522"/>
    <mergeCell ref="T522:V522"/>
    <mergeCell ref="A524:C524"/>
    <mergeCell ref="D524:P524"/>
    <mergeCell ref="A525:C525"/>
    <mergeCell ref="D525:P525"/>
    <mergeCell ref="A526:C526"/>
    <mergeCell ref="D526:P526"/>
    <mergeCell ref="A527:C527"/>
    <mergeCell ref="D527:P527"/>
    <mergeCell ref="A528:C528"/>
    <mergeCell ref="D528:P528"/>
    <mergeCell ref="Q528:V528"/>
    <mergeCell ref="B529:C529"/>
    <mergeCell ref="E529:G529"/>
    <mergeCell ref="J529:K529"/>
    <mergeCell ref="L529:N529"/>
    <mergeCell ref="O529:P529"/>
    <mergeCell ref="Q529:V529"/>
    <mergeCell ref="B513:C513"/>
    <mergeCell ref="E513:G513"/>
    <mergeCell ref="J513:K513"/>
    <mergeCell ref="L513:N513"/>
    <mergeCell ref="O513:P513"/>
    <mergeCell ref="Q513:V513"/>
    <mergeCell ref="B514:C514"/>
    <mergeCell ref="D514:P514"/>
    <mergeCell ref="Q514:S514"/>
    <mergeCell ref="T514:V514"/>
    <mergeCell ref="B515:C515"/>
    <mergeCell ref="D515:P522"/>
    <mergeCell ref="Q515:S515"/>
    <mergeCell ref="T515:V515"/>
    <mergeCell ref="A516:C516"/>
    <mergeCell ref="Q516:S516"/>
    <mergeCell ref="T516:V516"/>
    <mergeCell ref="B517:C517"/>
    <mergeCell ref="Q517:S517"/>
    <mergeCell ref="T517:V517"/>
    <mergeCell ref="B518:C518"/>
    <mergeCell ref="Q518:S518"/>
    <mergeCell ref="T518:V518"/>
    <mergeCell ref="A519:C519"/>
    <mergeCell ref="Q519:S519"/>
    <mergeCell ref="T519:V519"/>
    <mergeCell ref="B520:C520"/>
    <mergeCell ref="Q520:S520"/>
    <mergeCell ref="T520:V520"/>
    <mergeCell ref="B521:C521"/>
    <mergeCell ref="Q521:S521"/>
    <mergeCell ref="T521:V521"/>
    <mergeCell ref="B510:C510"/>
    <mergeCell ref="E510:G510"/>
    <mergeCell ref="J510:K510"/>
    <mergeCell ref="L510:N510"/>
    <mergeCell ref="O510:P510"/>
    <mergeCell ref="Q510:V510"/>
    <mergeCell ref="B511:C511"/>
    <mergeCell ref="E511:G511"/>
    <mergeCell ref="J511:K511"/>
    <mergeCell ref="L511:N511"/>
    <mergeCell ref="O511:P511"/>
    <mergeCell ref="Q511:V511"/>
    <mergeCell ref="B512:C512"/>
    <mergeCell ref="E512:G512"/>
    <mergeCell ref="J512:K512"/>
    <mergeCell ref="L512:N512"/>
    <mergeCell ref="O512:P512"/>
    <mergeCell ref="Q512:V512"/>
    <mergeCell ref="B502:C502"/>
    <mergeCell ref="Q502:S502"/>
    <mergeCell ref="T502:V502"/>
    <mergeCell ref="A504:C504"/>
    <mergeCell ref="D504:P504"/>
    <mergeCell ref="A505:C505"/>
    <mergeCell ref="D505:P505"/>
    <mergeCell ref="A506:C506"/>
    <mergeCell ref="D506:P506"/>
    <mergeCell ref="A507:C507"/>
    <mergeCell ref="D507:P507"/>
    <mergeCell ref="A508:C508"/>
    <mergeCell ref="D508:P508"/>
    <mergeCell ref="Q508:V508"/>
    <mergeCell ref="B509:C509"/>
    <mergeCell ref="E509:G509"/>
    <mergeCell ref="J509:K509"/>
    <mergeCell ref="L509:N509"/>
    <mergeCell ref="O509:P509"/>
    <mergeCell ref="Q509:V509"/>
    <mergeCell ref="B493:C493"/>
    <mergeCell ref="E493:G493"/>
    <mergeCell ref="J493:K493"/>
    <mergeCell ref="L493:N493"/>
    <mergeCell ref="O493:P493"/>
    <mergeCell ref="Q493:V493"/>
    <mergeCell ref="B494:C494"/>
    <mergeCell ref="D494:P494"/>
    <mergeCell ref="Q494:S494"/>
    <mergeCell ref="T494:V494"/>
    <mergeCell ref="B495:C495"/>
    <mergeCell ref="D495:P502"/>
    <mergeCell ref="Q495:S495"/>
    <mergeCell ref="T495:V495"/>
    <mergeCell ref="A496:C496"/>
    <mergeCell ref="Q496:S496"/>
    <mergeCell ref="T496:V496"/>
    <mergeCell ref="B497:C497"/>
    <mergeCell ref="Q497:S497"/>
    <mergeCell ref="T497:V497"/>
    <mergeCell ref="B498:C498"/>
    <mergeCell ref="Q498:S498"/>
    <mergeCell ref="T498:V498"/>
    <mergeCell ref="A499:C499"/>
    <mergeCell ref="Q499:S499"/>
    <mergeCell ref="T499:V499"/>
    <mergeCell ref="B500:C500"/>
    <mergeCell ref="Q500:S500"/>
    <mergeCell ref="T500:V500"/>
    <mergeCell ref="B501:C501"/>
    <mergeCell ref="Q501:S501"/>
    <mergeCell ref="T501:V501"/>
    <mergeCell ref="B490:C490"/>
    <mergeCell ref="E490:G490"/>
    <mergeCell ref="J490:K490"/>
    <mergeCell ref="L490:N490"/>
    <mergeCell ref="O490:P490"/>
    <mergeCell ref="Q490:V490"/>
    <mergeCell ref="B491:C491"/>
    <mergeCell ref="E491:G491"/>
    <mergeCell ref="J491:K491"/>
    <mergeCell ref="L491:N491"/>
    <mergeCell ref="O491:P491"/>
    <mergeCell ref="Q491:V491"/>
    <mergeCell ref="B492:C492"/>
    <mergeCell ref="E492:G492"/>
    <mergeCell ref="J492:K492"/>
    <mergeCell ref="L492:N492"/>
    <mergeCell ref="O492:P492"/>
    <mergeCell ref="Q492:V492"/>
    <mergeCell ref="B482:C482"/>
    <mergeCell ref="Q482:S482"/>
    <mergeCell ref="T482:V482"/>
    <mergeCell ref="A484:C484"/>
    <mergeCell ref="D484:P484"/>
    <mergeCell ref="A485:C485"/>
    <mergeCell ref="D485:P485"/>
    <mergeCell ref="A486:C486"/>
    <mergeCell ref="D486:P486"/>
    <mergeCell ref="A487:C487"/>
    <mergeCell ref="D487:P487"/>
    <mergeCell ref="A488:C488"/>
    <mergeCell ref="D488:P488"/>
    <mergeCell ref="Q488:V488"/>
    <mergeCell ref="B489:C489"/>
    <mergeCell ref="E489:G489"/>
    <mergeCell ref="J489:K489"/>
    <mergeCell ref="L489:N489"/>
    <mergeCell ref="O489:P489"/>
    <mergeCell ref="Q489:V489"/>
    <mergeCell ref="B473:C473"/>
    <mergeCell ref="E473:G473"/>
    <mergeCell ref="J473:K473"/>
    <mergeCell ref="L473:N473"/>
    <mergeCell ref="O473:P473"/>
    <mergeCell ref="Q473:V473"/>
    <mergeCell ref="B474:C474"/>
    <mergeCell ref="D474:P474"/>
    <mergeCell ref="Q474:S474"/>
    <mergeCell ref="T474:V474"/>
    <mergeCell ref="B475:C475"/>
    <mergeCell ref="D475:P482"/>
    <mergeCell ref="Q475:S475"/>
    <mergeCell ref="T475:V475"/>
    <mergeCell ref="A476:C476"/>
    <mergeCell ref="Q476:S476"/>
    <mergeCell ref="T476:V476"/>
    <mergeCell ref="B477:C477"/>
    <mergeCell ref="Q477:S477"/>
    <mergeCell ref="T477:V477"/>
    <mergeCell ref="B478:C478"/>
    <mergeCell ref="Q478:S478"/>
    <mergeCell ref="T478:V478"/>
    <mergeCell ref="A479:C479"/>
    <mergeCell ref="Q479:S479"/>
    <mergeCell ref="T479:V479"/>
    <mergeCell ref="B480:C480"/>
    <mergeCell ref="Q480:S480"/>
    <mergeCell ref="T480:V480"/>
    <mergeCell ref="B481:C481"/>
    <mergeCell ref="Q481:S481"/>
    <mergeCell ref="T481:V481"/>
    <mergeCell ref="B470:C470"/>
    <mergeCell ref="E470:G470"/>
    <mergeCell ref="J470:K470"/>
    <mergeCell ref="L470:N470"/>
    <mergeCell ref="O470:P470"/>
    <mergeCell ref="Q470:V470"/>
    <mergeCell ref="B471:C471"/>
    <mergeCell ref="E471:G471"/>
    <mergeCell ref="J471:K471"/>
    <mergeCell ref="L471:N471"/>
    <mergeCell ref="O471:P471"/>
    <mergeCell ref="Q471:V471"/>
    <mergeCell ref="B472:C472"/>
    <mergeCell ref="E472:G472"/>
    <mergeCell ref="J472:K472"/>
    <mergeCell ref="L472:N472"/>
    <mergeCell ref="O472:P472"/>
    <mergeCell ref="Q472:V472"/>
    <mergeCell ref="B462:C462"/>
    <mergeCell ref="Q462:S462"/>
    <mergeCell ref="T462:V462"/>
    <mergeCell ref="A464:C464"/>
    <mergeCell ref="D464:P464"/>
    <mergeCell ref="A465:C465"/>
    <mergeCell ref="D465:P465"/>
    <mergeCell ref="A466:C466"/>
    <mergeCell ref="D466:P466"/>
    <mergeCell ref="A467:C467"/>
    <mergeCell ref="D467:P467"/>
    <mergeCell ref="A468:C468"/>
    <mergeCell ref="D468:P468"/>
    <mergeCell ref="Q468:V468"/>
    <mergeCell ref="B469:C469"/>
    <mergeCell ref="E469:G469"/>
    <mergeCell ref="J469:K469"/>
    <mergeCell ref="L469:N469"/>
    <mergeCell ref="O469:P469"/>
    <mergeCell ref="Q469:V469"/>
    <mergeCell ref="B453:C453"/>
    <mergeCell ref="E453:G453"/>
    <mergeCell ref="J453:K453"/>
    <mergeCell ref="L453:N453"/>
    <mergeCell ref="O453:P453"/>
    <mergeCell ref="Q453:V453"/>
    <mergeCell ref="B454:C454"/>
    <mergeCell ref="D454:P454"/>
    <mergeCell ref="Q454:S454"/>
    <mergeCell ref="T454:V454"/>
    <mergeCell ref="B455:C455"/>
    <mergeCell ref="D455:P462"/>
    <mergeCell ref="Q455:S455"/>
    <mergeCell ref="T455:V455"/>
    <mergeCell ref="A456:C456"/>
    <mergeCell ref="Q456:S456"/>
    <mergeCell ref="T456:V456"/>
    <mergeCell ref="B457:C457"/>
    <mergeCell ref="Q457:S457"/>
    <mergeCell ref="T457:V457"/>
    <mergeCell ref="B458:C458"/>
    <mergeCell ref="Q458:S458"/>
    <mergeCell ref="T458:V458"/>
    <mergeCell ref="A459:C459"/>
    <mergeCell ref="Q459:S459"/>
    <mergeCell ref="T459:V459"/>
    <mergeCell ref="B460:C460"/>
    <mergeCell ref="Q460:S460"/>
    <mergeCell ref="T460:V460"/>
    <mergeCell ref="B461:C461"/>
    <mergeCell ref="Q461:S461"/>
    <mergeCell ref="T461:V461"/>
    <mergeCell ref="B450:C450"/>
    <mergeCell ref="E450:G450"/>
    <mergeCell ref="J450:K450"/>
    <mergeCell ref="L450:N450"/>
    <mergeCell ref="O450:P450"/>
    <mergeCell ref="Q450:V450"/>
    <mergeCell ref="B451:C451"/>
    <mergeCell ref="E451:G451"/>
    <mergeCell ref="J451:K451"/>
    <mergeCell ref="L451:N451"/>
    <mergeCell ref="O451:P451"/>
    <mergeCell ref="Q451:V451"/>
    <mergeCell ref="B452:C452"/>
    <mergeCell ref="E452:G452"/>
    <mergeCell ref="J452:K452"/>
    <mergeCell ref="L452:N452"/>
    <mergeCell ref="O452:P452"/>
    <mergeCell ref="Q452:V452"/>
    <mergeCell ref="B442:C442"/>
    <mergeCell ref="Q442:S442"/>
    <mergeCell ref="T442:V442"/>
    <mergeCell ref="A444:C444"/>
    <mergeCell ref="D444:P444"/>
    <mergeCell ref="A445:C445"/>
    <mergeCell ref="D445:P445"/>
    <mergeCell ref="A446:C446"/>
    <mergeCell ref="D446:P446"/>
    <mergeCell ref="A447:C447"/>
    <mergeCell ref="D447:P447"/>
    <mergeCell ref="A448:C448"/>
    <mergeCell ref="D448:P448"/>
    <mergeCell ref="Q448:V448"/>
    <mergeCell ref="B449:C449"/>
    <mergeCell ref="E449:G449"/>
    <mergeCell ref="J449:K449"/>
    <mergeCell ref="L449:N449"/>
    <mergeCell ref="O449:P449"/>
    <mergeCell ref="Q449:V449"/>
    <mergeCell ref="B433:C433"/>
    <mergeCell ref="E433:G433"/>
    <mergeCell ref="J433:K433"/>
    <mergeCell ref="L433:N433"/>
    <mergeCell ref="O433:P433"/>
    <mergeCell ref="Q433:V433"/>
    <mergeCell ref="B434:C434"/>
    <mergeCell ref="D434:P434"/>
    <mergeCell ref="Q434:S434"/>
    <mergeCell ref="T434:V434"/>
    <mergeCell ref="B435:C435"/>
    <mergeCell ref="D435:P442"/>
    <mergeCell ref="Q435:S435"/>
    <mergeCell ref="T435:V435"/>
    <mergeCell ref="A436:C436"/>
    <mergeCell ref="Q436:S436"/>
    <mergeCell ref="T436:V436"/>
    <mergeCell ref="B437:C437"/>
    <mergeCell ref="Q437:S437"/>
    <mergeCell ref="T437:V437"/>
    <mergeCell ref="B438:C438"/>
    <mergeCell ref="Q438:S438"/>
    <mergeCell ref="T438:V438"/>
    <mergeCell ref="A439:C439"/>
    <mergeCell ref="Q439:S439"/>
    <mergeCell ref="T439:V439"/>
    <mergeCell ref="B440:C440"/>
    <mergeCell ref="Q440:S440"/>
    <mergeCell ref="T440:V440"/>
    <mergeCell ref="B441:C441"/>
    <mergeCell ref="Q441:S441"/>
    <mergeCell ref="T441:V441"/>
    <mergeCell ref="B430:C430"/>
    <mergeCell ref="E430:G430"/>
    <mergeCell ref="J430:K430"/>
    <mergeCell ref="L430:N430"/>
    <mergeCell ref="O430:P430"/>
    <mergeCell ref="Q430:V430"/>
    <mergeCell ref="B431:C431"/>
    <mergeCell ref="E431:G431"/>
    <mergeCell ref="J431:K431"/>
    <mergeCell ref="L431:N431"/>
    <mergeCell ref="O431:P431"/>
    <mergeCell ref="Q431:V431"/>
    <mergeCell ref="B432:C432"/>
    <mergeCell ref="E432:G432"/>
    <mergeCell ref="J432:K432"/>
    <mergeCell ref="L432:N432"/>
    <mergeCell ref="O432:P432"/>
    <mergeCell ref="Q432:V432"/>
    <mergeCell ref="B422:C422"/>
    <mergeCell ref="Q422:S422"/>
    <mergeCell ref="T422:V422"/>
    <mergeCell ref="A424:C424"/>
    <mergeCell ref="D424:P424"/>
    <mergeCell ref="A425:C425"/>
    <mergeCell ref="D425:P425"/>
    <mergeCell ref="A426:C426"/>
    <mergeCell ref="D426:P426"/>
    <mergeCell ref="A427:C427"/>
    <mergeCell ref="D427:P427"/>
    <mergeCell ref="A428:C428"/>
    <mergeCell ref="D428:P428"/>
    <mergeCell ref="Q428:V428"/>
    <mergeCell ref="B429:C429"/>
    <mergeCell ref="E429:G429"/>
    <mergeCell ref="J429:K429"/>
    <mergeCell ref="L429:N429"/>
    <mergeCell ref="O429:P429"/>
    <mergeCell ref="Q429:V429"/>
    <mergeCell ref="B413:C413"/>
    <mergeCell ref="E413:G413"/>
    <mergeCell ref="J413:K413"/>
    <mergeCell ref="L413:N413"/>
    <mergeCell ref="O413:P413"/>
    <mergeCell ref="Q413:V413"/>
    <mergeCell ref="B414:C414"/>
    <mergeCell ref="D414:P414"/>
    <mergeCell ref="Q414:S414"/>
    <mergeCell ref="T414:V414"/>
    <mergeCell ref="B415:C415"/>
    <mergeCell ref="D415:P422"/>
    <mergeCell ref="Q415:S415"/>
    <mergeCell ref="T415:V415"/>
    <mergeCell ref="A416:C416"/>
    <mergeCell ref="Q416:S416"/>
    <mergeCell ref="T416:V416"/>
    <mergeCell ref="B417:C417"/>
    <mergeCell ref="Q417:S417"/>
    <mergeCell ref="T417:V417"/>
    <mergeCell ref="B418:C418"/>
    <mergeCell ref="Q418:S418"/>
    <mergeCell ref="T418:V418"/>
    <mergeCell ref="A419:C419"/>
    <mergeCell ref="Q419:S419"/>
    <mergeCell ref="T419:V419"/>
    <mergeCell ref="B420:C420"/>
    <mergeCell ref="Q420:S420"/>
    <mergeCell ref="T420:V420"/>
    <mergeCell ref="B421:C421"/>
    <mergeCell ref="Q421:S421"/>
    <mergeCell ref="T421:V421"/>
    <mergeCell ref="B410:C410"/>
    <mergeCell ref="E410:G410"/>
    <mergeCell ref="J410:K410"/>
    <mergeCell ref="L410:N410"/>
    <mergeCell ref="O410:P410"/>
    <mergeCell ref="Q410:V410"/>
    <mergeCell ref="B411:C411"/>
    <mergeCell ref="E411:G411"/>
    <mergeCell ref="J411:K411"/>
    <mergeCell ref="L411:N411"/>
    <mergeCell ref="O411:P411"/>
    <mergeCell ref="Q411:V411"/>
    <mergeCell ref="B412:C412"/>
    <mergeCell ref="E412:G412"/>
    <mergeCell ref="J412:K412"/>
    <mergeCell ref="L412:N412"/>
    <mergeCell ref="O412:P412"/>
    <mergeCell ref="Q412:V412"/>
    <mergeCell ref="B402:C402"/>
    <mergeCell ref="Q402:S402"/>
    <mergeCell ref="T402:V402"/>
    <mergeCell ref="A404:C404"/>
    <mergeCell ref="D404:P404"/>
    <mergeCell ref="A405:C405"/>
    <mergeCell ref="D405:P405"/>
    <mergeCell ref="A406:C406"/>
    <mergeCell ref="D406:P406"/>
    <mergeCell ref="A407:C407"/>
    <mergeCell ref="D407:P407"/>
    <mergeCell ref="A408:C408"/>
    <mergeCell ref="D408:P408"/>
    <mergeCell ref="Q408:V408"/>
    <mergeCell ref="B409:C409"/>
    <mergeCell ref="E409:G409"/>
    <mergeCell ref="J409:K409"/>
    <mergeCell ref="L409:N409"/>
    <mergeCell ref="O409:P409"/>
    <mergeCell ref="Q409:V409"/>
    <mergeCell ref="B393:C393"/>
    <mergeCell ref="E393:G393"/>
    <mergeCell ref="J393:K393"/>
    <mergeCell ref="L393:N393"/>
    <mergeCell ref="O393:P393"/>
    <mergeCell ref="Q393:V393"/>
    <mergeCell ref="B394:C394"/>
    <mergeCell ref="D394:P394"/>
    <mergeCell ref="Q394:S394"/>
    <mergeCell ref="T394:V394"/>
    <mergeCell ref="B395:C395"/>
    <mergeCell ref="D395:P402"/>
    <mergeCell ref="Q395:S395"/>
    <mergeCell ref="T395:V395"/>
    <mergeCell ref="A396:C396"/>
    <mergeCell ref="Q396:S396"/>
    <mergeCell ref="T396:V396"/>
    <mergeCell ref="B397:C397"/>
    <mergeCell ref="Q397:S397"/>
    <mergeCell ref="T397:V397"/>
    <mergeCell ref="B398:C398"/>
    <mergeCell ref="Q398:S398"/>
    <mergeCell ref="T398:V398"/>
    <mergeCell ref="A399:C399"/>
    <mergeCell ref="Q399:S399"/>
    <mergeCell ref="T399:V399"/>
    <mergeCell ref="B400:C400"/>
    <mergeCell ref="Q400:S400"/>
    <mergeCell ref="T400:V400"/>
    <mergeCell ref="B401:C401"/>
    <mergeCell ref="Q401:S401"/>
    <mergeCell ref="T401:V401"/>
    <mergeCell ref="B390:C390"/>
    <mergeCell ref="E390:G390"/>
    <mergeCell ref="J390:K390"/>
    <mergeCell ref="L390:N390"/>
    <mergeCell ref="O390:P390"/>
    <mergeCell ref="Q390:V390"/>
    <mergeCell ref="B391:C391"/>
    <mergeCell ref="E391:G391"/>
    <mergeCell ref="J391:K391"/>
    <mergeCell ref="L391:N391"/>
    <mergeCell ref="O391:P391"/>
    <mergeCell ref="Q391:V391"/>
    <mergeCell ref="B392:C392"/>
    <mergeCell ref="E392:G392"/>
    <mergeCell ref="J392:K392"/>
    <mergeCell ref="L392:N392"/>
    <mergeCell ref="O392:P392"/>
    <mergeCell ref="Q392:V392"/>
    <mergeCell ref="A384:C384"/>
    <mergeCell ref="D384:P384"/>
    <mergeCell ref="A385:C385"/>
    <mergeCell ref="D385:P385"/>
    <mergeCell ref="A386:C386"/>
    <mergeCell ref="D386:P386"/>
    <mergeCell ref="A387:C387"/>
    <mergeCell ref="D387:P387"/>
    <mergeCell ref="A388:C388"/>
    <mergeCell ref="D388:P388"/>
    <mergeCell ref="Q388:V388"/>
    <mergeCell ref="B389:C389"/>
    <mergeCell ref="E389:G389"/>
    <mergeCell ref="J389:K389"/>
    <mergeCell ref="L389:N389"/>
    <mergeCell ref="O389:P389"/>
    <mergeCell ref="Q389:V389"/>
    <mergeCell ref="Q141:S141"/>
    <mergeCell ref="T141:V141"/>
    <mergeCell ref="Q161:S161"/>
    <mergeCell ref="T161:V161"/>
    <mergeCell ref="Q181:S181"/>
    <mergeCell ref="T181:V181"/>
    <mergeCell ref="Q173:V173"/>
    <mergeCell ref="Q169:V169"/>
    <mergeCell ref="Q151:V151"/>
    <mergeCell ref="A148:C148"/>
    <mergeCell ref="D148:P148"/>
    <mergeCell ref="Q148:V148"/>
    <mergeCell ref="Q142:S142"/>
    <mergeCell ref="T142:V142"/>
    <mergeCell ref="D135:P142"/>
    <mergeCell ref="Q135:S135"/>
    <mergeCell ref="A604:V604"/>
    <mergeCell ref="B382:C382"/>
    <mergeCell ref="Q382:S382"/>
    <mergeCell ref="T382:V382"/>
    <mergeCell ref="D375:P382"/>
    <mergeCell ref="Q375:S375"/>
    <mergeCell ref="T375:V375"/>
    <mergeCell ref="Q376:S376"/>
    <mergeCell ref="T376:V376"/>
    <mergeCell ref="B377:C377"/>
    <mergeCell ref="Q377:S377"/>
    <mergeCell ref="T377:V377"/>
    <mergeCell ref="Q378:S378"/>
    <mergeCell ref="T378:V378"/>
    <mergeCell ref="Q379:S379"/>
    <mergeCell ref="T379:V379"/>
    <mergeCell ref="A605:V605"/>
    <mergeCell ref="A722:V722"/>
    <mergeCell ref="A723:C723"/>
    <mergeCell ref="D723:H723"/>
    <mergeCell ref="I723:O723"/>
    <mergeCell ref="P723:V723"/>
    <mergeCell ref="A724:C724"/>
    <mergeCell ref="D724:H724"/>
    <mergeCell ref="I724:O724"/>
    <mergeCell ref="P724:V724"/>
    <mergeCell ref="A707:V707"/>
    <mergeCell ref="A708:C708"/>
    <mergeCell ref="D708:H708"/>
    <mergeCell ref="I708:O708"/>
    <mergeCell ref="P708:V708"/>
    <mergeCell ref="A709:C709"/>
    <mergeCell ref="D709:H709"/>
    <mergeCell ref="I709:O709"/>
    <mergeCell ref="P709:V709"/>
    <mergeCell ref="A712:V712"/>
    <mergeCell ref="A713:V713"/>
    <mergeCell ref="A714:C714"/>
    <mergeCell ref="D714:P714"/>
    <mergeCell ref="Q714:V714"/>
    <mergeCell ref="B715:C715"/>
    <mergeCell ref="D715:P721"/>
    <mergeCell ref="Q715:V715"/>
    <mergeCell ref="B716:C716"/>
    <mergeCell ref="Q716:V716"/>
    <mergeCell ref="B717:C717"/>
    <mergeCell ref="Q717:V717"/>
    <mergeCell ref="B718:C718"/>
    <mergeCell ref="Q718:V718"/>
    <mergeCell ref="A719:C721"/>
    <mergeCell ref="Q719:V721"/>
    <mergeCell ref="A692:V692"/>
    <mergeCell ref="A693:C693"/>
    <mergeCell ref="D693:H693"/>
    <mergeCell ref="I693:O693"/>
    <mergeCell ref="P693:V693"/>
    <mergeCell ref="A694:C694"/>
    <mergeCell ref="D694:H694"/>
    <mergeCell ref="I694:O694"/>
    <mergeCell ref="P694:V694"/>
    <mergeCell ref="A697:V697"/>
    <mergeCell ref="A698:V698"/>
    <mergeCell ref="A699:C699"/>
    <mergeCell ref="D699:P699"/>
    <mergeCell ref="Q699:V699"/>
    <mergeCell ref="B700:C700"/>
    <mergeCell ref="D700:P706"/>
    <mergeCell ref="Q700:V700"/>
    <mergeCell ref="B701:C701"/>
    <mergeCell ref="Q701:V701"/>
    <mergeCell ref="B702:C702"/>
    <mergeCell ref="Q702:V702"/>
    <mergeCell ref="B703:C703"/>
    <mergeCell ref="Q703:V703"/>
    <mergeCell ref="A704:C706"/>
    <mergeCell ref="Q704:V706"/>
    <mergeCell ref="A677:V677"/>
    <mergeCell ref="A678:C678"/>
    <mergeCell ref="D678:H678"/>
    <mergeCell ref="I678:O678"/>
    <mergeCell ref="P678:V678"/>
    <mergeCell ref="A679:C679"/>
    <mergeCell ref="D679:H679"/>
    <mergeCell ref="I679:O679"/>
    <mergeCell ref="P679:V679"/>
    <mergeCell ref="A682:V682"/>
    <mergeCell ref="A683:V683"/>
    <mergeCell ref="A684:C684"/>
    <mergeCell ref="D684:P684"/>
    <mergeCell ref="Q684:V684"/>
    <mergeCell ref="B685:C685"/>
    <mergeCell ref="D685:P691"/>
    <mergeCell ref="Q685:V685"/>
    <mergeCell ref="B686:C686"/>
    <mergeCell ref="Q686:V686"/>
    <mergeCell ref="B687:C687"/>
    <mergeCell ref="Q687:V687"/>
    <mergeCell ref="B688:C688"/>
    <mergeCell ref="Q688:V688"/>
    <mergeCell ref="A689:C691"/>
    <mergeCell ref="Q689:V691"/>
    <mergeCell ref="A662:V662"/>
    <mergeCell ref="A663:C663"/>
    <mergeCell ref="D663:H663"/>
    <mergeCell ref="I663:O663"/>
    <mergeCell ref="P663:V663"/>
    <mergeCell ref="A664:C664"/>
    <mergeCell ref="D664:H664"/>
    <mergeCell ref="I664:O664"/>
    <mergeCell ref="P664:V664"/>
    <mergeCell ref="A667:V667"/>
    <mergeCell ref="A668:V668"/>
    <mergeCell ref="A669:C669"/>
    <mergeCell ref="D669:P669"/>
    <mergeCell ref="Q669:V669"/>
    <mergeCell ref="B670:C670"/>
    <mergeCell ref="D670:P676"/>
    <mergeCell ref="Q670:V670"/>
    <mergeCell ref="B671:C671"/>
    <mergeCell ref="Q671:V671"/>
    <mergeCell ref="B672:C672"/>
    <mergeCell ref="Q672:V672"/>
    <mergeCell ref="B673:C673"/>
    <mergeCell ref="Q673:V673"/>
    <mergeCell ref="A674:C676"/>
    <mergeCell ref="Q674:V676"/>
    <mergeCell ref="A647:V647"/>
    <mergeCell ref="A648:C648"/>
    <mergeCell ref="D648:H648"/>
    <mergeCell ref="I648:O648"/>
    <mergeCell ref="P648:V648"/>
    <mergeCell ref="A649:C649"/>
    <mergeCell ref="D649:H649"/>
    <mergeCell ref="I649:O649"/>
    <mergeCell ref="P649:V649"/>
    <mergeCell ref="A652:V652"/>
    <mergeCell ref="A653:V653"/>
    <mergeCell ref="A654:C654"/>
    <mergeCell ref="D654:P654"/>
    <mergeCell ref="Q654:V654"/>
    <mergeCell ref="B655:C655"/>
    <mergeCell ref="D655:P661"/>
    <mergeCell ref="Q655:V655"/>
    <mergeCell ref="B656:C656"/>
    <mergeCell ref="Q656:V656"/>
    <mergeCell ref="B657:C657"/>
    <mergeCell ref="Q657:V657"/>
    <mergeCell ref="B658:C658"/>
    <mergeCell ref="Q658:V658"/>
    <mergeCell ref="A659:C661"/>
    <mergeCell ref="Q659:V661"/>
    <mergeCell ref="A634:C634"/>
    <mergeCell ref="D634:H634"/>
    <mergeCell ref="I634:O634"/>
    <mergeCell ref="P634:V634"/>
    <mergeCell ref="A637:V637"/>
    <mergeCell ref="A638:V638"/>
    <mergeCell ref="A639:C639"/>
    <mergeCell ref="D639:P639"/>
    <mergeCell ref="Q639:V639"/>
    <mergeCell ref="B640:C640"/>
    <mergeCell ref="D640:P646"/>
    <mergeCell ref="Q640:V640"/>
    <mergeCell ref="B641:C641"/>
    <mergeCell ref="Q641:V641"/>
    <mergeCell ref="B642:C642"/>
    <mergeCell ref="Q642:V642"/>
    <mergeCell ref="B643:C643"/>
    <mergeCell ref="Q643:V643"/>
    <mergeCell ref="A644:C646"/>
    <mergeCell ref="Q644:V646"/>
    <mergeCell ref="A624:C624"/>
    <mergeCell ref="D624:P624"/>
    <mergeCell ref="Q624:V624"/>
    <mergeCell ref="B625:C625"/>
    <mergeCell ref="D625:P631"/>
    <mergeCell ref="Q625:V625"/>
    <mergeCell ref="B626:C626"/>
    <mergeCell ref="Q626:V626"/>
    <mergeCell ref="B627:C627"/>
    <mergeCell ref="Q627:V627"/>
    <mergeCell ref="B628:C628"/>
    <mergeCell ref="Q628:V628"/>
    <mergeCell ref="A629:C631"/>
    <mergeCell ref="Q629:V631"/>
    <mergeCell ref="A632:V632"/>
    <mergeCell ref="A633:C633"/>
    <mergeCell ref="D633:H633"/>
    <mergeCell ref="I633:O633"/>
    <mergeCell ref="P633:V633"/>
    <mergeCell ref="A617:V617"/>
    <mergeCell ref="D610:P616"/>
    <mergeCell ref="Q610:V610"/>
    <mergeCell ref="A614:C616"/>
    <mergeCell ref="Q614:V616"/>
    <mergeCell ref="A618:C618"/>
    <mergeCell ref="D618:H618"/>
    <mergeCell ref="I618:O618"/>
    <mergeCell ref="P618:V618"/>
    <mergeCell ref="D619:H619"/>
    <mergeCell ref="I619:O619"/>
    <mergeCell ref="P619:V619"/>
    <mergeCell ref="A622:V622"/>
    <mergeCell ref="A623:V623"/>
    <mergeCell ref="A619:C619"/>
    <mergeCell ref="A609:C609"/>
    <mergeCell ref="D609:P609"/>
    <mergeCell ref="Q609:V609"/>
    <mergeCell ref="B610:C610"/>
    <mergeCell ref="B611:C611"/>
    <mergeCell ref="A607:V607"/>
    <mergeCell ref="A608:V608"/>
    <mergeCell ref="Q611:V611"/>
    <mergeCell ref="B612:C612"/>
    <mergeCell ref="Q612:V612"/>
    <mergeCell ref="B613:C613"/>
    <mergeCell ref="Q613:V613"/>
    <mergeCell ref="B15:C15"/>
    <mergeCell ref="Q20:S20"/>
    <mergeCell ref="T20:V20"/>
    <mergeCell ref="B35:C35"/>
    <mergeCell ref="A36:C36"/>
    <mergeCell ref="B38:C38"/>
    <mergeCell ref="A39:C39"/>
    <mergeCell ref="B40:C40"/>
    <mergeCell ref="Q40:S40"/>
    <mergeCell ref="T40:V40"/>
    <mergeCell ref="B55:C55"/>
    <mergeCell ref="A56:C56"/>
    <mergeCell ref="B58:C58"/>
    <mergeCell ref="A59:C59"/>
    <mergeCell ref="B60:C60"/>
    <mergeCell ref="Q60:S60"/>
    <mergeCell ref="T60:V60"/>
    <mergeCell ref="Q53:V53"/>
    <mergeCell ref="B54:C54"/>
    <mergeCell ref="D54:P54"/>
    <mergeCell ref="Q54:S54"/>
    <mergeCell ref="T54:V54"/>
    <mergeCell ref="B53:C53"/>
    <mergeCell ref="E53:G53"/>
    <mergeCell ref="J53:K53"/>
    <mergeCell ref="B375:C375"/>
    <mergeCell ref="A376:C376"/>
    <mergeCell ref="B378:C378"/>
    <mergeCell ref="A379:C379"/>
    <mergeCell ref="B380:C380"/>
    <mergeCell ref="Q380:S380"/>
    <mergeCell ref="T380:V380"/>
    <mergeCell ref="Q381:S381"/>
    <mergeCell ref="T381:V381"/>
    <mergeCell ref="B381:C381"/>
    <mergeCell ref="Q374:S374"/>
    <mergeCell ref="T374:V374"/>
    <mergeCell ref="B373:C373"/>
    <mergeCell ref="E373:G373"/>
    <mergeCell ref="J373:K373"/>
    <mergeCell ref="L373:N373"/>
    <mergeCell ref="O373:P373"/>
    <mergeCell ref="Q371:V371"/>
    <mergeCell ref="B372:C372"/>
    <mergeCell ref="E372:G372"/>
    <mergeCell ref="J372:K372"/>
    <mergeCell ref="L372:N372"/>
    <mergeCell ref="O372:P372"/>
    <mergeCell ref="Q372:V372"/>
    <mergeCell ref="B371:C371"/>
    <mergeCell ref="E371:G371"/>
    <mergeCell ref="J371:K371"/>
    <mergeCell ref="L371:N371"/>
    <mergeCell ref="O371:P371"/>
    <mergeCell ref="Q373:V373"/>
    <mergeCell ref="B374:C374"/>
    <mergeCell ref="D374:P374"/>
    <mergeCell ref="A364:C364"/>
    <mergeCell ref="D364:P364"/>
    <mergeCell ref="A365:C365"/>
    <mergeCell ref="D365:P365"/>
    <mergeCell ref="Q369:V369"/>
    <mergeCell ref="B370:C370"/>
    <mergeCell ref="E370:G370"/>
    <mergeCell ref="J370:K370"/>
    <mergeCell ref="L370:N370"/>
    <mergeCell ref="O370:P370"/>
    <mergeCell ref="Q370:V370"/>
    <mergeCell ref="B369:C369"/>
    <mergeCell ref="E369:G369"/>
    <mergeCell ref="J369:K369"/>
    <mergeCell ref="L369:N369"/>
    <mergeCell ref="O369:P369"/>
    <mergeCell ref="A368:C368"/>
    <mergeCell ref="D368:P368"/>
    <mergeCell ref="Q368:V368"/>
    <mergeCell ref="A366:C366"/>
    <mergeCell ref="D366:P366"/>
    <mergeCell ref="A367:C367"/>
    <mergeCell ref="D367:P367"/>
    <mergeCell ref="B362:C362"/>
    <mergeCell ref="Q362:S362"/>
    <mergeCell ref="T362:V362"/>
    <mergeCell ref="D355:P362"/>
    <mergeCell ref="Q355:S355"/>
    <mergeCell ref="T355:V355"/>
    <mergeCell ref="Q356:S356"/>
    <mergeCell ref="T356:V356"/>
    <mergeCell ref="B357:C357"/>
    <mergeCell ref="Q357:S357"/>
    <mergeCell ref="T357:V357"/>
    <mergeCell ref="Q358:S358"/>
    <mergeCell ref="T358:V358"/>
    <mergeCell ref="Q359:S359"/>
    <mergeCell ref="T359:V359"/>
    <mergeCell ref="B355:C355"/>
    <mergeCell ref="A356:C356"/>
    <mergeCell ref="B358:C358"/>
    <mergeCell ref="A359:C359"/>
    <mergeCell ref="B360:C360"/>
    <mergeCell ref="Q360:S360"/>
    <mergeCell ref="T360:V360"/>
    <mergeCell ref="B361:C361"/>
    <mergeCell ref="Q361:S361"/>
    <mergeCell ref="T361:V361"/>
    <mergeCell ref="Q353:V353"/>
    <mergeCell ref="B354:C354"/>
    <mergeCell ref="D354:P354"/>
    <mergeCell ref="Q354:S354"/>
    <mergeCell ref="T354:V354"/>
    <mergeCell ref="B353:C353"/>
    <mergeCell ref="E353:G353"/>
    <mergeCell ref="J353:K353"/>
    <mergeCell ref="L353:N353"/>
    <mergeCell ref="O353:P353"/>
    <mergeCell ref="Q351:V351"/>
    <mergeCell ref="B352:C352"/>
    <mergeCell ref="E352:G352"/>
    <mergeCell ref="J352:K352"/>
    <mergeCell ref="L352:N352"/>
    <mergeCell ref="O352:P352"/>
    <mergeCell ref="Q352:V352"/>
    <mergeCell ref="B351:C351"/>
    <mergeCell ref="E351:G351"/>
    <mergeCell ref="J351:K351"/>
    <mergeCell ref="L351:N351"/>
    <mergeCell ref="O351:P351"/>
    <mergeCell ref="A344:C344"/>
    <mergeCell ref="D344:P344"/>
    <mergeCell ref="A345:C345"/>
    <mergeCell ref="D345:P345"/>
    <mergeCell ref="Q349:V349"/>
    <mergeCell ref="B350:C350"/>
    <mergeCell ref="E350:G350"/>
    <mergeCell ref="J350:K350"/>
    <mergeCell ref="L350:N350"/>
    <mergeCell ref="O350:P350"/>
    <mergeCell ref="Q350:V350"/>
    <mergeCell ref="B349:C349"/>
    <mergeCell ref="E349:G349"/>
    <mergeCell ref="J349:K349"/>
    <mergeCell ref="L349:N349"/>
    <mergeCell ref="O349:P349"/>
    <mergeCell ref="A348:C348"/>
    <mergeCell ref="D348:P348"/>
    <mergeCell ref="Q348:V348"/>
    <mergeCell ref="A346:C346"/>
    <mergeCell ref="D346:P346"/>
    <mergeCell ref="A347:C347"/>
    <mergeCell ref="D347:P347"/>
    <mergeCell ref="B342:C342"/>
    <mergeCell ref="Q342:S342"/>
    <mergeCell ref="T342:V342"/>
    <mergeCell ref="D335:P342"/>
    <mergeCell ref="Q335:S335"/>
    <mergeCell ref="T335:V335"/>
    <mergeCell ref="Q336:S336"/>
    <mergeCell ref="T336:V336"/>
    <mergeCell ref="B337:C337"/>
    <mergeCell ref="Q337:S337"/>
    <mergeCell ref="T337:V337"/>
    <mergeCell ref="Q338:S338"/>
    <mergeCell ref="T338:V338"/>
    <mergeCell ref="Q339:S339"/>
    <mergeCell ref="T339:V339"/>
    <mergeCell ref="B335:C335"/>
    <mergeCell ref="A336:C336"/>
    <mergeCell ref="B338:C338"/>
    <mergeCell ref="A339:C339"/>
    <mergeCell ref="B340:C340"/>
    <mergeCell ref="Q340:S340"/>
    <mergeCell ref="T340:V340"/>
    <mergeCell ref="Q341:S341"/>
    <mergeCell ref="T341:V341"/>
    <mergeCell ref="B341:C341"/>
    <mergeCell ref="Q333:V333"/>
    <mergeCell ref="B334:C334"/>
    <mergeCell ref="D334:P334"/>
    <mergeCell ref="Q334:S334"/>
    <mergeCell ref="T334:V334"/>
    <mergeCell ref="B333:C333"/>
    <mergeCell ref="E333:G333"/>
    <mergeCell ref="J333:K333"/>
    <mergeCell ref="L333:N333"/>
    <mergeCell ref="O333:P333"/>
    <mergeCell ref="Q331:V331"/>
    <mergeCell ref="B332:C332"/>
    <mergeCell ref="E332:G332"/>
    <mergeCell ref="J332:K332"/>
    <mergeCell ref="L332:N332"/>
    <mergeCell ref="O332:P332"/>
    <mergeCell ref="Q332:V332"/>
    <mergeCell ref="B331:C331"/>
    <mergeCell ref="E331:G331"/>
    <mergeCell ref="J331:K331"/>
    <mergeCell ref="L331:N331"/>
    <mergeCell ref="O331:P331"/>
    <mergeCell ref="A324:C324"/>
    <mergeCell ref="D324:P324"/>
    <mergeCell ref="A325:C325"/>
    <mergeCell ref="D325:P325"/>
    <mergeCell ref="Q329:V329"/>
    <mergeCell ref="B330:C330"/>
    <mergeCell ref="E330:G330"/>
    <mergeCell ref="J330:K330"/>
    <mergeCell ref="L330:N330"/>
    <mergeCell ref="O330:P330"/>
    <mergeCell ref="Q330:V330"/>
    <mergeCell ref="B329:C329"/>
    <mergeCell ref="E329:G329"/>
    <mergeCell ref="J329:K329"/>
    <mergeCell ref="L329:N329"/>
    <mergeCell ref="O329:P329"/>
    <mergeCell ref="A328:C328"/>
    <mergeCell ref="D328:P328"/>
    <mergeCell ref="Q328:V328"/>
    <mergeCell ref="A326:C326"/>
    <mergeCell ref="D326:P326"/>
    <mergeCell ref="A327:C327"/>
    <mergeCell ref="D327:P327"/>
    <mergeCell ref="Q322:S322"/>
    <mergeCell ref="T322:V322"/>
    <mergeCell ref="D315:P322"/>
    <mergeCell ref="Q315:S315"/>
    <mergeCell ref="T315:V315"/>
    <mergeCell ref="Q316:S316"/>
    <mergeCell ref="T316:V316"/>
    <mergeCell ref="B317:C317"/>
    <mergeCell ref="Q317:S317"/>
    <mergeCell ref="T317:V317"/>
    <mergeCell ref="Q318:S318"/>
    <mergeCell ref="T318:V318"/>
    <mergeCell ref="Q319:S319"/>
    <mergeCell ref="T319:V319"/>
    <mergeCell ref="B315:C315"/>
    <mergeCell ref="A316:C316"/>
    <mergeCell ref="B318:C318"/>
    <mergeCell ref="A319:C319"/>
    <mergeCell ref="B320:C320"/>
    <mergeCell ref="Q320:S320"/>
    <mergeCell ref="T320:V320"/>
    <mergeCell ref="Q321:S321"/>
    <mergeCell ref="T321:V321"/>
    <mergeCell ref="B321:C321"/>
    <mergeCell ref="B322:C322"/>
    <mergeCell ref="Q313:V313"/>
    <mergeCell ref="B314:C314"/>
    <mergeCell ref="D314:P314"/>
    <mergeCell ref="Q314:S314"/>
    <mergeCell ref="T314:V314"/>
    <mergeCell ref="B313:C313"/>
    <mergeCell ref="E313:G313"/>
    <mergeCell ref="J313:K313"/>
    <mergeCell ref="L313:N313"/>
    <mergeCell ref="O313:P313"/>
    <mergeCell ref="Q311:V311"/>
    <mergeCell ref="B312:C312"/>
    <mergeCell ref="E312:G312"/>
    <mergeCell ref="J312:K312"/>
    <mergeCell ref="L312:N312"/>
    <mergeCell ref="O312:P312"/>
    <mergeCell ref="Q312:V312"/>
    <mergeCell ref="B311:C311"/>
    <mergeCell ref="E311:G311"/>
    <mergeCell ref="J311:K311"/>
    <mergeCell ref="L311:N311"/>
    <mergeCell ref="O311:P311"/>
    <mergeCell ref="A304:C304"/>
    <mergeCell ref="D304:P304"/>
    <mergeCell ref="A305:C305"/>
    <mergeCell ref="D305:P305"/>
    <mergeCell ref="Q309:V309"/>
    <mergeCell ref="B310:C310"/>
    <mergeCell ref="E310:G310"/>
    <mergeCell ref="J310:K310"/>
    <mergeCell ref="L310:N310"/>
    <mergeCell ref="O310:P310"/>
    <mergeCell ref="Q310:V310"/>
    <mergeCell ref="B309:C309"/>
    <mergeCell ref="E309:G309"/>
    <mergeCell ref="J309:K309"/>
    <mergeCell ref="L309:N309"/>
    <mergeCell ref="O309:P309"/>
    <mergeCell ref="A308:C308"/>
    <mergeCell ref="D308:P308"/>
    <mergeCell ref="Q308:V308"/>
    <mergeCell ref="A306:C306"/>
    <mergeCell ref="D306:P306"/>
    <mergeCell ref="A307:C307"/>
    <mergeCell ref="D307:P307"/>
    <mergeCell ref="Q302:S302"/>
    <mergeCell ref="T302:V302"/>
    <mergeCell ref="D295:P302"/>
    <mergeCell ref="Q295:S295"/>
    <mergeCell ref="T295:V295"/>
    <mergeCell ref="Q296:S296"/>
    <mergeCell ref="T296:V296"/>
    <mergeCell ref="B297:C297"/>
    <mergeCell ref="Q297:S297"/>
    <mergeCell ref="T297:V297"/>
    <mergeCell ref="Q298:S298"/>
    <mergeCell ref="T298:V298"/>
    <mergeCell ref="Q299:S299"/>
    <mergeCell ref="T299:V299"/>
    <mergeCell ref="B295:C295"/>
    <mergeCell ref="A296:C296"/>
    <mergeCell ref="B298:C298"/>
    <mergeCell ref="A299:C299"/>
    <mergeCell ref="B300:C300"/>
    <mergeCell ref="Q300:S300"/>
    <mergeCell ref="T300:V300"/>
    <mergeCell ref="T301:V301"/>
    <mergeCell ref="Q301:S301"/>
    <mergeCell ref="B301:C301"/>
    <mergeCell ref="B302:C302"/>
    <mergeCell ref="Q293:V293"/>
    <mergeCell ref="B294:C294"/>
    <mergeCell ref="D294:P294"/>
    <mergeCell ref="Q294:S294"/>
    <mergeCell ref="T294:V294"/>
    <mergeCell ref="B293:C293"/>
    <mergeCell ref="E293:G293"/>
    <mergeCell ref="J293:K293"/>
    <mergeCell ref="L293:N293"/>
    <mergeCell ref="O293:P293"/>
    <mergeCell ref="Q291:V291"/>
    <mergeCell ref="B292:C292"/>
    <mergeCell ref="E292:G292"/>
    <mergeCell ref="J292:K292"/>
    <mergeCell ref="L292:N292"/>
    <mergeCell ref="O292:P292"/>
    <mergeCell ref="Q292:V292"/>
    <mergeCell ref="B291:C291"/>
    <mergeCell ref="E291:G291"/>
    <mergeCell ref="J291:K291"/>
    <mergeCell ref="L291:N291"/>
    <mergeCell ref="O291:P291"/>
    <mergeCell ref="A284:C284"/>
    <mergeCell ref="D284:P284"/>
    <mergeCell ref="A285:C285"/>
    <mergeCell ref="D285:P285"/>
    <mergeCell ref="Q289:V289"/>
    <mergeCell ref="B290:C290"/>
    <mergeCell ref="E290:G290"/>
    <mergeCell ref="J290:K290"/>
    <mergeCell ref="L290:N290"/>
    <mergeCell ref="O290:P290"/>
    <mergeCell ref="Q290:V290"/>
    <mergeCell ref="B289:C289"/>
    <mergeCell ref="E289:G289"/>
    <mergeCell ref="J289:K289"/>
    <mergeCell ref="L289:N289"/>
    <mergeCell ref="O289:P289"/>
    <mergeCell ref="A288:C288"/>
    <mergeCell ref="D288:P288"/>
    <mergeCell ref="Q288:V288"/>
    <mergeCell ref="A286:C286"/>
    <mergeCell ref="D286:P286"/>
    <mergeCell ref="A287:C287"/>
    <mergeCell ref="D287:P287"/>
    <mergeCell ref="Q282:S282"/>
    <mergeCell ref="T282:V282"/>
    <mergeCell ref="D275:P282"/>
    <mergeCell ref="Q275:S275"/>
    <mergeCell ref="T275:V275"/>
    <mergeCell ref="Q276:S276"/>
    <mergeCell ref="T276:V276"/>
    <mergeCell ref="B277:C277"/>
    <mergeCell ref="Q277:S277"/>
    <mergeCell ref="T277:V277"/>
    <mergeCell ref="Q278:S278"/>
    <mergeCell ref="T278:V278"/>
    <mergeCell ref="Q279:S279"/>
    <mergeCell ref="T279:V279"/>
    <mergeCell ref="B275:C275"/>
    <mergeCell ref="A276:C276"/>
    <mergeCell ref="B278:C278"/>
    <mergeCell ref="A279:C279"/>
    <mergeCell ref="B280:C280"/>
    <mergeCell ref="Q280:S280"/>
    <mergeCell ref="T280:V280"/>
    <mergeCell ref="Q281:S281"/>
    <mergeCell ref="T281:V281"/>
    <mergeCell ref="B281:C281"/>
    <mergeCell ref="B282:C282"/>
    <mergeCell ref="Q273:V273"/>
    <mergeCell ref="B274:C274"/>
    <mergeCell ref="D274:P274"/>
    <mergeCell ref="Q274:S274"/>
    <mergeCell ref="T274:V274"/>
    <mergeCell ref="B273:C273"/>
    <mergeCell ref="E273:G273"/>
    <mergeCell ref="J273:K273"/>
    <mergeCell ref="L273:N273"/>
    <mergeCell ref="O273:P273"/>
    <mergeCell ref="Q271:V271"/>
    <mergeCell ref="B272:C272"/>
    <mergeCell ref="E272:G272"/>
    <mergeCell ref="J272:K272"/>
    <mergeCell ref="L272:N272"/>
    <mergeCell ref="O272:P272"/>
    <mergeCell ref="Q272:V272"/>
    <mergeCell ref="B271:C271"/>
    <mergeCell ref="E271:G271"/>
    <mergeCell ref="J271:K271"/>
    <mergeCell ref="L271:N271"/>
    <mergeCell ref="O271:P271"/>
    <mergeCell ref="A264:C264"/>
    <mergeCell ref="D264:P264"/>
    <mergeCell ref="A265:C265"/>
    <mergeCell ref="D265:P265"/>
    <mergeCell ref="Q269:V269"/>
    <mergeCell ref="B270:C270"/>
    <mergeCell ref="E270:G270"/>
    <mergeCell ref="J270:K270"/>
    <mergeCell ref="L270:N270"/>
    <mergeCell ref="O270:P270"/>
    <mergeCell ref="Q270:V270"/>
    <mergeCell ref="B269:C269"/>
    <mergeCell ref="E269:G269"/>
    <mergeCell ref="J269:K269"/>
    <mergeCell ref="L269:N269"/>
    <mergeCell ref="O269:P269"/>
    <mergeCell ref="A268:C268"/>
    <mergeCell ref="D268:P268"/>
    <mergeCell ref="Q268:V268"/>
    <mergeCell ref="A266:C266"/>
    <mergeCell ref="D266:P266"/>
    <mergeCell ref="A267:C267"/>
    <mergeCell ref="D267:P267"/>
    <mergeCell ref="Q262:S262"/>
    <mergeCell ref="T262:V262"/>
    <mergeCell ref="D255:P262"/>
    <mergeCell ref="Q255:S255"/>
    <mergeCell ref="T255:V255"/>
    <mergeCell ref="Q256:S256"/>
    <mergeCell ref="T256:V256"/>
    <mergeCell ref="B257:C257"/>
    <mergeCell ref="Q257:S257"/>
    <mergeCell ref="T257:V257"/>
    <mergeCell ref="Q258:S258"/>
    <mergeCell ref="T258:V258"/>
    <mergeCell ref="Q259:S259"/>
    <mergeCell ref="T259:V259"/>
    <mergeCell ref="B255:C255"/>
    <mergeCell ref="A256:C256"/>
    <mergeCell ref="B258:C258"/>
    <mergeCell ref="A259:C259"/>
    <mergeCell ref="B260:C260"/>
    <mergeCell ref="Q260:S260"/>
    <mergeCell ref="T260:V260"/>
    <mergeCell ref="Q261:S261"/>
    <mergeCell ref="T261:V261"/>
    <mergeCell ref="B261:C261"/>
    <mergeCell ref="B262:C262"/>
    <mergeCell ref="Q253:V253"/>
    <mergeCell ref="B254:C254"/>
    <mergeCell ref="D254:P254"/>
    <mergeCell ref="Q254:S254"/>
    <mergeCell ref="T254:V254"/>
    <mergeCell ref="B253:C253"/>
    <mergeCell ref="E253:G253"/>
    <mergeCell ref="J253:K253"/>
    <mergeCell ref="L253:N253"/>
    <mergeCell ref="O253:P253"/>
    <mergeCell ref="Q251:V251"/>
    <mergeCell ref="B252:C252"/>
    <mergeCell ref="E252:G252"/>
    <mergeCell ref="J252:K252"/>
    <mergeCell ref="L252:N252"/>
    <mergeCell ref="O252:P252"/>
    <mergeCell ref="Q252:V252"/>
    <mergeCell ref="B251:C251"/>
    <mergeCell ref="E251:G251"/>
    <mergeCell ref="J251:K251"/>
    <mergeCell ref="L251:N251"/>
    <mergeCell ref="O251:P251"/>
    <mergeCell ref="A244:C244"/>
    <mergeCell ref="D244:P244"/>
    <mergeCell ref="A245:C245"/>
    <mergeCell ref="D245:P245"/>
    <mergeCell ref="Q249:V249"/>
    <mergeCell ref="B250:C250"/>
    <mergeCell ref="E250:G250"/>
    <mergeCell ref="J250:K250"/>
    <mergeCell ref="L250:N250"/>
    <mergeCell ref="O250:P250"/>
    <mergeCell ref="Q250:V250"/>
    <mergeCell ref="B249:C249"/>
    <mergeCell ref="E249:G249"/>
    <mergeCell ref="J249:K249"/>
    <mergeCell ref="L249:N249"/>
    <mergeCell ref="O249:P249"/>
    <mergeCell ref="A248:C248"/>
    <mergeCell ref="D248:P248"/>
    <mergeCell ref="Q248:V248"/>
    <mergeCell ref="A246:C246"/>
    <mergeCell ref="D246:P246"/>
    <mergeCell ref="A247:C247"/>
    <mergeCell ref="D247:P247"/>
    <mergeCell ref="Q242:S242"/>
    <mergeCell ref="T242:V242"/>
    <mergeCell ref="D235:P242"/>
    <mergeCell ref="Q235:S235"/>
    <mergeCell ref="T235:V235"/>
    <mergeCell ref="Q236:S236"/>
    <mergeCell ref="T236:V236"/>
    <mergeCell ref="B237:C237"/>
    <mergeCell ref="Q237:S237"/>
    <mergeCell ref="T237:V237"/>
    <mergeCell ref="Q238:S238"/>
    <mergeCell ref="T238:V238"/>
    <mergeCell ref="Q239:S239"/>
    <mergeCell ref="T239:V239"/>
    <mergeCell ref="B235:C235"/>
    <mergeCell ref="A236:C236"/>
    <mergeCell ref="B238:C238"/>
    <mergeCell ref="A239:C239"/>
    <mergeCell ref="B240:C240"/>
    <mergeCell ref="Q240:S240"/>
    <mergeCell ref="T240:V240"/>
    <mergeCell ref="Q241:S241"/>
    <mergeCell ref="T241:V241"/>
    <mergeCell ref="B241:C241"/>
    <mergeCell ref="B242:C242"/>
    <mergeCell ref="Q233:V233"/>
    <mergeCell ref="B234:C234"/>
    <mergeCell ref="D234:P234"/>
    <mergeCell ref="Q234:S234"/>
    <mergeCell ref="T234:V234"/>
    <mergeCell ref="B233:C233"/>
    <mergeCell ref="E233:G233"/>
    <mergeCell ref="J233:K233"/>
    <mergeCell ref="L233:N233"/>
    <mergeCell ref="O233:P233"/>
    <mergeCell ref="Q231:V231"/>
    <mergeCell ref="B232:C232"/>
    <mergeCell ref="E232:G232"/>
    <mergeCell ref="J232:K232"/>
    <mergeCell ref="L232:N232"/>
    <mergeCell ref="O232:P232"/>
    <mergeCell ref="Q232:V232"/>
    <mergeCell ref="B231:C231"/>
    <mergeCell ref="E231:G231"/>
    <mergeCell ref="J231:K231"/>
    <mergeCell ref="L231:N231"/>
    <mergeCell ref="O231:P231"/>
    <mergeCell ref="A224:C224"/>
    <mergeCell ref="D224:P224"/>
    <mergeCell ref="A225:C225"/>
    <mergeCell ref="D225:P225"/>
    <mergeCell ref="Q229:V229"/>
    <mergeCell ref="B230:C230"/>
    <mergeCell ref="E230:G230"/>
    <mergeCell ref="J230:K230"/>
    <mergeCell ref="L230:N230"/>
    <mergeCell ref="O230:P230"/>
    <mergeCell ref="Q230:V230"/>
    <mergeCell ref="B229:C229"/>
    <mergeCell ref="E229:G229"/>
    <mergeCell ref="J229:K229"/>
    <mergeCell ref="L229:N229"/>
    <mergeCell ref="O229:P229"/>
    <mergeCell ref="A228:C228"/>
    <mergeCell ref="D228:P228"/>
    <mergeCell ref="Q228:V228"/>
    <mergeCell ref="A226:C226"/>
    <mergeCell ref="D226:P226"/>
    <mergeCell ref="A227:C227"/>
    <mergeCell ref="D227:P227"/>
    <mergeCell ref="Q222:S222"/>
    <mergeCell ref="T222:V222"/>
    <mergeCell ref="D215:P222"/>
    <mergeCell ref="Q215:S215"/>
    <mergeCell ref="T215:V215"/>
    <mergeCell ref="Q216:S216"/>
    <mergeCell ref="T216:V216"/>
    <mergeCell ref="B217:C217"/>
    <mergeCell ref="Q217:S217"/>
    <mergeCell ref="T217:V217"/>
    <mergeCell ref="Q218:S218"/>
    <mergeCell ref="T218:V218"/>
    <mergeCell ref="Q219:S219"/>
    <mergeCell ref="T219:V219"/>
    <mergeCell ref="B215:C215"/>
    <mergeCell ref="A216:C216"/>
    <mergeCell ref="B218:C218"/>
    <mergeCell ref="A219:C219"/>
    <mergeCell ref="B220:C220"/>
    <mergeCell ref="Q220:S220"/>
    <mergeCell ref="T220:V220"/>
    <mergeCell ref="Q221:S221"/>
    <mergeCell ref="T221:V221"/>
    <mergeCell ref="B221:C221"/>
    <mergeCell ref="B222:C222"/>
    <mergeCell ref="Q213:V213"/>
    <mergeCell ref="B214:C214"/>
    <mergeCell ref="D214:P214"/>
    <mergeCell ref="Q214:S214"/>
    <mergeCell ref="T214:V214"/>
    <mergeCell ref="B213:C213"/>
    <mergeCell ref="E213:G213"/>
    <mergeCell ref="J213:K213"/>
    <mergeCell ref="L213:N213"/>
    <mergeCell ref="O213:P213"/>
    <mergeCell ref="Q211:V211"/>
    <mergeCell ref="B212:C212"/>
    <mergeCell ref="E212:G212"/>
    <mergeCell ref="J212:K212"/>
    <mergeCell ref="L212:N212"/>
    <mergeCell ref="O212:P212"/>
    <mergeCell ref="Q212:V212"/>
    <mergeCell ref="B211:C211"/>
    <mergeCell ref="E211:G211"/>
    <mergeCell ref="J211:K211"/>
    <mergeCell ref="L211:N211"/>
    <mergeCell ref="O211:P211"/>
    <mergeCell ref="A204:C204"/>
    <mergeCell ref="D204:P204"/>
    <mergeCell ref="A205:C205"/>
    <mergeCell ref="D205:P205"/>
    <mergeCell ref="Q209:V209"/>
    <mergeCell ref="B210:C210"/>
    <mergeCell ref="E210:G210"/>
    <mergeCell ref="J210:K210"/>
    <mergeCell ref="L210:N210"/>
    <mergeCell ref="O210:P210"/>
    <mergeCell ref="Q210:V210"/>
    <mergeCell ref="B209:C209"/>
    <mergeCell ref="E209:G209"/>
    <mergeCell ref="J209:K209"/>
    <mergeCell ref="L209:N209"/>
    <mergeCell ref="O209:P209"/>
    <mergeCell ref="A208:C208"/>
    <mergeCell ref="D208:P208"/>
    <mergeCell ref="Q208:V208"/>
    <mergeCell ref="A206:C206"/>
    <mergeCell ref="D206:P206"/>
    <mergeCell ref="A207:C207"/>
    <mergeCell ref="D207:P207"/>
    <mergeCell ref="Q202:S202"/>
    <mergeCell ref="T202:V202"/>
    <mergeCell ref="D195:P202"/>
    <mergeCell ref="Q195:S195"/>
    <mergeCell ref="T195:V195"/>
    <mergeCell ref="Q196:S196"/>
    <mergeCell ref="T196:V196"/>
    <mergeCell ref="B197:C197"/>
    <mergeCell ref="Q197:S197"/>
    <mergeCell ref="T197:V197"/>
    <mergeCell ref="Q198:S198"/>
    <mergeCell ref="T198:V198"/>
    <mergeCell ref="Q199:S199"/>
    <mergeCell ref="T199:V199"/>
    <mergeCell ref="B195:C195"/>
    <mergeCell ref="A196:C196"/>
    <mergeCell ref="B198:C198"/>
    <mergeCell ref="A199:C199"/>
    <mergeCell ref="B200:C200"/>
    <mergeCell ref="Q200:S200"/>
    <mergeCell ref="T200:V200"/>
    <mergeCell ref="Q201:S201"/>
    <mergeCell ref="T201:V201"/>
    <mergeCell ref="B201:C201"/>
    <mergeCell ref="B202:C202"/>
    <mergeCell ref="Q193:V193"/>
    <mergeCell ref="B194:C194"/>
    <mergeCell ref="D194:P194"/>
    <mergeCell ref="Q194:S194"/>
    <mergeCell ref="T194:V194"/>
    <mergeCell ref="B193:C193"/>
    <mergeCell ref="E193:G193"/>
    <mergeCell ref="J193:K193"/>
    <mergeCell ref="L193:N193"/>
    <mergeCell ref="O193:P193"/>
    <mergeCell ref="Q191:V191"/>
    <mergeCell ref="B192:C192"/>
    <mergeCell ref="E192:G192"/>
    <mergeCell ref="J192:K192"/>
    <mergeCell ref="L192:N192"/>
    <mergeCell ref="O192:P192"/>
    <mergeCell ref="Q192:V192"/>
    <mergeCell ref="B191:C191"/>
    <mergeCell ref="E191:G191"/>
    <mergeCell ref="J191:K191"/>
    <mergeCell ref="L191:N191"/>
    <mergeCell ref="O191:P191"/>
    <mergeCell ref="Q189:V189"/>
    <mergeCell ref="B190:C190"/>
    <mergeCell ref="E190:G190"/>
    <mergeCell ref="J190:K190"/>
    <mergeCell ref="L190:N190"/>
    <mergeCell ref="O190:P190"/>
    <mergeCell ref="Q190:V190"/>
    <mergeCell ref="B189:C189"/>
    <mergeCell ref="E189:G189"/>
    <mergeCell ref="J189:K189"/>
    <mergeCell ref="L189:N189"/>
    <mergeCell ref="O189:P189"/>
    <mergeCell ref="A188:C188"/>
    <mergeCell ref="D188:P188"/>
    <mergeCell ref="Q188:V188"/>
    <mergeCell ref="A186:C186"/>
    <mergeCell ref="D186:P186"/>
    <mergeCell ref="A187:C187"/>
    <mergeCell ref="D187:P187"/>
    <mergeCell ref="Q182:S182"/>
    <mergeCell ref="T182:V182"/>
    <mergeCell ref="D175:P182"/>
    <mergeCell ref="Q175:S175"/>
    <mergeCell ref="T175:V175"/>
    <mergeCell ref="Q176:S176"/>
    <mergeCell ref="T176:V176"/>
    <mergeCell ref="B177:C177"/>
    <mergeCell ref="Q177:S177"/>
    <mergeCell ref="T177:V177"/>
    <mergeCell ref="Q178:S178"/>
    <mergeCell ref="T178:V178"/>
    <mergeCell ref="Q179:S179"/>
    <mergeCell ref="T179:V179"/>
    <mergeCell ref="B175:C175"/>
    <mergeCell ref="A176:C176"/>
    <mergeCell ref="B178:C178"/>
    <mergeCell ref="A179:C179"/>
    <mergeCell ref="B180:C180"/>
    <mergeCell ref="Q180:S180"/>
    <mergeCell ref="T180:V180"/>
    <mergeCell ref="B181:C181"/>
    <mergeCell ref="B182:C182"/>
    <mergeCell ref="T157:V157"/>
    <mergeCell ref="Q158:S158"/>
    <mergeCell ref="T158:V158"/>
    <mergeCell ref="Q159:S159"/>
    <mergeCell ref="T159:V159"/>
    <mergeCell ref="B174:C174"/>
    <mergeCell ref="D174:P174"/>
    <mergeCell ref="Q174:S174"/>
    <mergeCell ref="T174:V174"/>
    <mergeCell ref="B173:C173"/>
    <mergeCell ref="E173:G173"/>
    <mergeCell ref="J173:K173"/>
    <mergeCell ref="L173:N173"/>
    <mergeCell ref="O173:P173"/>
    <mergeCell ref="Q171:V171"/>
    <mergeCell ref="B172:C172"/>
    <mergeCell ref="E172:G172"/>
    <mergeCell ref="J172:K172"/>
    <mergeCell ref="L172:N172"/>
    <mergeCell ref="O172:P172"/>
    <mergeCell ref="Q172:V172"/>
    <mergeCell ref="B171:C171"/>
    <mergeCell ref="E171:G171"/>
    <mergeCell ref="J171:K171"/>
    <mergeCell ref="L171:N171"/>
    <mergeCell ref="O171:P171"/>
    <mergeCell ref="B161:C161"/>
    <mergeCell ref="B162:C162"/>
    <mergeCell ref="Q160:S160"/>
    <mergeCell ref="T160:V160"/>
    <mergeCell ref="Q153:V153"/>
    <mergeCell ref="B154:C154"/>
    <mergeCell ref="D154:P154"/>
    <mergeCell ref="Q154:S154"/>
    <mergeCell ref="T154:V154"/>
    <mergeCell ref="B153:C153"/>
    <mergeCell ref="E153:G153"/>
    <mergeCell ref="J153:K153"/>
    <mergeCell ref="L153:N153"/>
    <mergeCell ref="O153:P153"/>
    <mergeCell ref="B170:C170"/>
    <mergeCell ref="E170:G170"/>
    <mergeCell ref="J170:K170"/>
    <mergeCell ref="L170:N170"/>
    <mergeCell ref="O170:P170"/>
    <mergeCell ref="Q170:V170"/>
    <mergeCell ref="B169:C169"/>
    <mergeCell ref="E169:G169"/>
    <mergeCell ref="J169:K169"/>
    <mergeCell ref="L169:N169"/>
    <mergeCell ref="O169:P169"/>
    <mergeCell ref="A168:C168"/>
    <mergeCell ref="D168:P168"/>
    <mergeCell ref="Q168:V168"/>
    <mergeCell ref="Q162:S162"/>
    <mergeCell ref="T162:V162"/>
    <mergeCell ref="D155:P162"/>
    <mergeCell ref="Q155:S155"/>
    <mergeCell ref="T155:V155"/>
    <mergeCell ref="Q156:S156"/>
    <mergeCell ref="T156:V156"/>
    <mergeCell ref="Q157:S157"/>
    <mergeCell ref="Q152:V152"/>
    <mergeCell ref="B151:C151"/>
    <mergeCell ref="E151:G151"/>
    <mergeCell ref="J151:K151"/>
    <mergeCell ref="L151:N151"/>
    <mergeCell ref="O151:P151"/>
    <mergeCell ref="Q149:V149"/>
    <mergeCell ref="B150:C150"/>
    <mergeCell ref="E150:G150"/>
    <mergeCell ref="J150:K150"/>
    <mergeCell ref="L150:N150"/>
    <mergeCell ref="O150:P150"/>
    <mergeCell ref="Q150:V150"/>
    <mergeCell ref="B149:C149"/>
    <mergeCell ref="E149:G149"/>
    <mergeCell ref="J149:K149"/>
    <mergeCell ref="L149:N149"/>
    <mergeCell ref="O149:P149"/>
    <mergeCell ref="T135:V135"/>
    <mergeCell ref="Q136:S136"/>
    <mergeCell ref="T136:V136"/>
    <mergeCell ref="B137:C137"/>
    <mergeCell ref="Q137:S137"/>
    <mergeCell ref="T137:V137"/>
    <mergeCell ref="Q138:S138"/>
    <mergeCell ref="T138:V138"/>
    <mergeCell ref="Q139:S139"/>
    <mergeCell ref="T139:V139"/>
    <mergeCell ref="B135:C135"/>
    <mergeCell ref="A136:C136"/>
    <mergeCell ref="B138:C138"/>
    <mergeCell ref="A139:C139"/>
    <mergeCell ref="B140:C140"/>
    <mergeCell ref="Q140:S140"/>
    <mergeCell ref="T140:V140"/>
    <mergeCell ref="Q129:V129"/>
    <mergeCell ref="B130:C130"/>
    <mergeCell ref="E130:G130"/>
    <mergeCell ref="J130:K130"/>
    <mergeCell ref="L130:N130"/>
    <mergeCell ref="O130:P130"/>
    <mergeCell ref="Q130:V130"/>
    <mergeCell ref="B129:C129"/>
    <mergeCell ref="E129:G129"/>
    <mergeCell ref="J129:K129"/>
    <mergeCell ref="L129:N129"/>
    <mergeCell ref="O129:P129"/>
    <mergeCell ref="A128:C128"/>
    <mergeCell ref="D128:P128"/>
    <mergeCell ref="Q128:V128"/>
    <mergeCell ref="Q133:V133"/>
    <mergeCell ref="B134:C134"/>
    <mergeCell ref="D134:P134"/>
    <mergeCell ref="Q134:S134"/>
    <mergeCell ref="T134:V134"/>
    <mergeCell ref="B133:C133"/>
    <mergeCell ref="E133:G133"/>
    <mergeCell ref="J133:K133"/>
    <mergeCell ref="L133:N133"/>
    <mergeCell ref="O133:P133"/>
    <mergeCell ref="Q131:V131"/>
    <mergeCell ref="B132:C132"/>
    <mergeCell ref="E132:G132"/>
    <mergeCell ref="J132:K132"/>
    <mergeCell ref="L132:N132"/>
    <mergeCell ref="O132:P132"/>
    <mergeCell ref="Q132:V132"/>
    <mergeCell ref="Q122:S122"/>
    <mergeCell ref="T122:V122"/>
    <mergeCell ref="D115:P122"/>
    <mergeCell ref="Q115:S115"/>
    <mergeCell ref="T115:V115"/>
    <mergeCell ref="Q116:S116"/>
    <mergeCell ref="T116:V116"/>
    <mergeCell ref="B117:C117"/>
    <mergeCell ref="Q117:S117"/>
    <mergeCell ref="T117:V117"/>
    <mergeCell ref="Q118:S118"/>
    <mergeCell ref="T118:V118"/>
    <mergeCell ref="Q119:S119"/>
    <mergeCell ref="T119:V119"/>
    <mergeCell ref="B115:C115"/>
    <mergeCell ref="A116:C116"/>
    <mergeCell ref="B118:C118"/>
    <mergeCell ref="A119:C119"/>
    <mergeCell ref="B120:C120"/>
    <mergeCell ref="Q120:S120"/>
    <mergeCell ref="T120:V120"/>
    <mergeCell ref="B121:C121"/>
    <mergeCell ref="B122:C122"/>
    <mergeCell ref="Q121:S121"/>
    <mergeCell ref="T121:V121"/>
    <mergeCell ref="Q109:V109"/>
    <mergeCell ref="B110:C110"/>
    <mergeCell ref="E110:G110"/>
    <mergeCell ref="J110:K110"/>
    <mergeCell ref="L110:N110"/>
    <mergeCell ref="O110:P110"/>
    <mergeCell ref="Q110:V110"/>
    <mergeCell ref="B109:C109"/>
    <mergeCell ref="E109:G109"/>
    <mergeCell ref="J109:K109"/>
    <mergeCell ref="L109:N109"/>
    <mergeCell ref="O109:P109"/>
    <mergeCell ref="A108:C108"/>
    <mergeCell ref="D108:P108"/>
    <mergeCell ref="Q108:V108"/>
    <mergeCell ref="Q113:V113"/>
    <mergeCell ref="B114:C114"/>
    <mergeCell ref="D114:P114"/>
    <mergeCell ref="Q114:S114"/>
    <mergeCell ref="T114:V114"/>
    <mergeCell ref="B113:C113"/>
    <mergeCell ref="E113:G113"/>
    <mergeCell ref="J113:K113"/>
    <mergeCell ref="L113:N113"/>
    <mergeCell ref="O113:P113"/>
    <mergeCell ref="Q111:V111"/>
    <mergeCell ref="B112:C112"/>
    <mergeCell ref="E112:G112"/>
    <mergeCell ref="J112:K112"/>
    <mergeCell ref="L112:N112"/>
    <mergeCell ref="O112:P112"/>
    <mergeCell ref="Q112:V112"/>
    <mergeCell ref="Q93:V93"/>
    <mergeCell ref="Q102:S102"/>
    <mergeCell ref="T102:V102"/>
    <mergeCell ref="D95:P102"/>
    <mergeCell ref="Q95:S95"/>
    <mergeCell ref="T95:V95"/>
    <mergeCell ref="Q96:S96"/>
    <mergeCell ref="T96:V96"/>
    <mergeCell ref="B97:C97"/>
    <mergeCell ref="Q97:S97"/>
    <mergeCell ref="T97:V97"/>
    <mergeCell ref="Q98:S98"/>
    <mergeCell ref="T98:V98"/>
    <mergeCell ref="Q99:S99"/>
    <mergeCell ref="T99:V99"/>
    <mergeCell ref="B95:C95"/>
    <mergeCell ref="A96:C96"/>
    <mergeCell ref="B98:C98"/>
    <mergeCell ref="A99:C99"/>
    <mergeCell ref="B100:C100"/>
    <mergeCell ref="Q100:S100"/>
    <mergeCell ref="T100:V100"/>
    <mergeCell ref="B101:C101"/>
    <mergeCell ref="B102:C102"/>
    <mergeCell ref="B94:C94"/>
    <mergeCell ref="Q101:S101"/>
    <mergeCell ref="T101:V101"/>
    <mergeCell ref="Q89:V89"/>
    <mergeCell ref="B90:C90"/>
    <mergeCell ref="E90:G90"/>
    <mergeCell ref="J90:K90"/>
    <mergeCell ref="L90:N90"/>
    <mergeCell ref="O90:P90"/>
    <mergeCell ref="Q90:V90"/>
    <mergeCell ref="B89:C89"/>
    <mergeCell ref="E89:G89"/>
    <mergeCell ref="J89:K89"/>
    <mergeCell ref="L89:N89"/>
    <mergeCell ref="O89:P89"/>
    <mergeCell ref="A88:C88"/>
    <mergeCell ref="D88:P88"/>
    <mergeCell ref="Q88:V88"/>
    <mergeCell ref="D94:P94"/>
    <mergeCell ref="Q94:S94"/>
    <mergeCell ref="T94:V94"/>
    <mergeCell ref="B93:C93"/>
    <mergeCell ref="E93:G93"/>
    <mergeCell ref="J93:K93"/>
    <mergeCell ref="L93:N93"/>
    <mergeCell ref="O93:P93"/>
    <mergeCell ref="Q91:V91"/>
    <mergeCell ref="B92:C92"/>
    <mergeCell ref="E92:G92"/>
    <mergeCell ref="J92:K92"/>
    <mergeCell ref="L92:N92"/>
    <mergeCell ref="O92:P92"/>
    <mergeCell ref="Q92:V92"/>
    <mergeCell ref="B91:C91"/>
    <mergeCell ref="E91:G91"/>
    <mergeCell ref="Q82:S82"/>
    <mergeCell ref="T82:V82"/>
    <mergeCell ref="D75:P82"/>
    <mergeCell ref="Q75:S75"/>
    <mergeCell ref="T75:V75"/>
    <mergeCell ref="Q76:S76"/>
    <mergeCell ref="T76:V76"/>
    <mergeCell ref="B77:C77"/>
    <mergeCell ref="Q77:S77"/>
    <mergeCell ref="T77:V77"/>
    <mergeCell ref="Q78:S78"/>
    <mergeCell ref="T78:V78"/>
    <mergeCell ref="Q79:S79"/>
    <mergeCell ref="T79:V79"/>
    <mergeCell ref="B75:C75"/>
    <mergeCell ref="A76:C76"/>
    <mergeCell ref="B78:C78"/>
    <mergeCell ref="A79:C79"/>
    <mergeCell ref="B80:C80"/>
    <mergeCell ref="Q80:S80"/>
    <mergeCell ref="T80:V80"/>
    <mergeCell ref="B81:C81"/>
    <mergeCell ref="B82:C82"/>
    <mergeCell ref="Q81:S81"/>
    <mergeCell ref="T81:V81"/>
    <mergeCell ref="Q69:V69"/>
    <mergeCell ref="B70:C70"/>
    <mergeCell ref="E70:G70"/>
    <mergeCell ref="J70:K70"/>
    <mergeCell ref="L70:N70"/>
    <mergeCell ref="O70:P70"/>
    <mergeCell ref="Q70:V70"/>
    <mergeCell ref="B69:C69"/>
    <mergeCell ref="E69:G69"/>
    <mergeCell ref="J69:K69"/>
    <mergeCell ref="L69:N69"/>
    <mergeCell ref="O69:P69"/>
    <mergeCell ref="A68:C68"/>
    <mergeCell ref="D68:P68"/>
    <mergeCell ref="Q68:V68"/>
    <mergeCell ref="Q73:V73"/>
    <mergeCell ref="B74:C74"/>
    <mergeCell ref="D74:P74"/>
    <mergeCell ref="Q74:S74"/>
    <mergeCell ref="T74:V74"/>
    <mergeCell ref="B73:C73"/>
    <mergeCell ref="E73:G73"/>
    <mergeCell ref="J73:K73"/>
    <mergeCell ref="L73:N73"/>
    <mergeCell ref="O73:P73"/>
    <mergeCell ref="Q71:V71"/>
    <mergeCell ref="B72:C72"/>
    <mergeCell ref="E72:G72"/>
    <mergeCell ref="J72:K72"/>
    <mergeCell ref="L72:N72"/>
    <mergeCell ref="O72:P72"/>
    <mergeCell ref="Q72:V72"/>
    <mergeCell ref="Q62:S62"/>
    <mergeCell ref="T62:V62"/>
    <mergeCell ref="D55:P62"/>
    <mergeCell ref="Q55:S55"/>
    <mergeCell ref="T55:V55"/>
    <mergeCell ref="Q56:S56"/>
    <mergeCell ref="T56:V56"/>
    <mergeCell ref="B57:C57"/>
    <mergeCell ref="Q57:S57"/>
    <mergeCell ref="T57:V57"/>
    <mergeCell ref="Q58:S58"/>
    <mergeCell ref="T58:V58"/>
    <mergeCell ref="Q59:S59"/>
    <mergeCell ref="T59:V59"/>
    <mergeCell ref="O52:P52"/>
    <mergeCell ref="Q52:V52"/>
    <mergeCell ref="L53:N53"/>
    <mergeCell ref="O53:P53"/>
    <mergeCell ref="B52:C52"/>
    <mergeCell ref="E52:G52"/>
    <mergeCell ref="J52:K52"/>
    <mergeCell ref="L52:N52"/>
    <mergeCell ref="B61:C61"/>
    <mergeCell ref="B62:C62"/>
    <mergeCell ref="Q61:S61"/>
    <mergeCell ref="T61:V61"/>
    <mergeCell ref="B51:C51"/>
    <mergeCell ref="E51:G51"/>
    <mergeCell ref="J51:K51"/>
    <mergeCell ref="L51:N51"/>
    <mergeCell ref="O51:P51"/>
    <mergeCell ref="Q49:V49"/>
    <mergeCell ref="B50:C50"/>
    <mergeCell ref="E50:G50"/>
    <mergeCell ref="J50:K50"/>
    <mergeCell ref="L50:N50"/>
    <mergeCell ref="O50:P50"/>
    <mergeCell ref="Q50:V50"/>
    <mergeCell ref="B49:C49"/>
    <mergeCell ref="E49:G49"/>
    <mergeCell ref="J49:K49"/>
    <mergeCell ref="L49:N49"/>
    <mergeCell ref="O49:P49"/>
    <mergeCell ref="Q51:V51"/>
    <mergeCell ref="A48:C48"/>
    <mergeCell ref="D48:P48"/>
    <mergeCell ref="Q48:V48"/>
    <mergeCell ref="B42:C42"/>
    <mergeCell ref="Q42:S42"/>
    <mergeCell ref="T42:V42"/>
    <mergeCell ref="D35:P42"/>
    <mergeCell ref="Q35:S35"/>
    <mergeCell ref="T35:V35"/>
    <mergeCell ref="Q36:S36"/>
    <mergeCell ref="T36:V36"/>
    <mergeCell ref="B37:C37"/>
    <mergeCell ref="Q37:S37"/>
    <mergeCell ref="T37:V37"/>
    <mergeCell ref="Q38:S38"/>
    <mergeCell ref="T38:V38"/>
    <mergeCell ref="Q39:S39"/>
    <mergeCell ref="T39:V39"/>
    <mergeCell ref="D45:P45"/>
    <mergeCell ref="D46:P46"/>
    <mergeCell ref="D47:P47"/>
    <mergeCell ref="A45:C45"/>
    <mergeCell ref="A46:C46"/>
    <mergeCell ref="A47:C47"/>
    <mergeCell ref="B41:C41"/>
    <mergeCell ref="Q41:S41"/>
    <mergeCell ref="T41:V41"/>
    <mergeCell ref="Q29:V29"/>
    <mergeCell ref="B30:C30"/>
    <mergeCell ref="E30:G30"/>
    <mergeCell ref="J30:K30"/>
    <mergeCell ref="L30:N30"/>
    <mergeCell ref="O30:P30"/>
    <mergeCell ref="Q30:V30"/>
    <mergeCell ref="B29:C29"/>
    <mergeCell ref="E29:G29"/>
    <mergeCell ref="J29:K29"/>
    <mergeCell ref="L29:N29"/>
    <mergeCell ref="O29:P29"/>
    <mergeCell ref="A28:C28"/>
    <mergeCell ref="D28:P28"/>
    <mergeCell ref="Q28:V28"/>
    <mergeCell ref="Q33:V33"/>
    <mergeCell ref="B34:C34"/>
    <mergeCell ref="D34:P34"/>
    <mergeCell ref="Q34:S34"/>
    <mergeCell ref="T34:V34"/>
    <mergeCell ref="B33:C33"/>
    <mergeCell ref="E33:G33"/>
    <mergeCell ref="J33:K33"/>
    <mergeCell ref="L33:N33"/>
    <mergeCell ref="O33:P33"/>
    <mergeCell ref="Q31:V31"/>
    <mergeCell ref="B32:C32"/>
    <mergeCell ref="E32:G32"/>
    <mergeCell ref="J32:K32"/>
    <mergeCell ref="L32:N32"/>
    <mergeCell ref="O32:P32"/>
    <mergeCell ref="Q32:V32"/>
    <mergeCell ref="T19:V19"/>
    <mergeCell ref="T18:V18"/>
    <mergeCell ref="Q19:S19"/>
    <mergeCell ref="Q17:S17"/>
    <mergeCell ref="T17:V17"/>
    <mergeCell ref="B10:C10"/>
    <mergeCell ref="E10:G10"/>
    <mergeCell ref="J10:K10"/>
    <mergeCell ref="Q10:V10"/>
    <mergeCell ref="Q22:S22"/>
    <mergeCell ref="T22:V22"/>
    <mergeCell ref="B12:C12"/>
    <mergeCell ref="E12:G12"/>
    <mergeCell ref="J12:K12"/>
    <mergeCell ref="Q12:V12"/>
    <mergeCell ref="B13:C13"/>
    <mergeCell ref="E13:G13"/>
    <mergeCell ref="J13:K13"/>
    <mergeCell ref="Q13:V13"/>
    <mergeCell ref="B14:C14"/>
    <mergeCell ref="D14:P14"/>
    <mergeCell ref="B21:C21"/>
    <mergeCell ref="Q21:S21"/>
    <mergeCell ref="T21:V21"/>
    <mergeCell ref="Q18:S18"/>
    <mergeCell ref="T16:V16"/>
    <mergeCell ref="Q16:S16"/>
    <mergeCell ref="A16:C16"/>
    <mergeCell ref="AB6:AD6"/>
    <mergeCell ref="O9:P9"/>
    <mergeCell ref="O13:P13"/>
    <mergeCell ref="B11:C11"/>
    <mergeCell ref="E11:G11"/>
    <mergeCell ref="J11:K11"/>
    <mergeCell ref="Q11:V11"/>
    <mergeCell ref="L13:N13"/>
    <mergeCell ref="B9:C9"/>
    <mergeCell ref="E9:G9"/>
    <mergeCell ref="J9:K9"/>
    <mergeCell ref="Q9:V9"/>
    <mergeCell ref="X1:Z1"/>
    <mergeCell ref="A2:V2"/>
    <mergeCell ref="O11:P11"/>
    <mergeCell ref="Q15:S15"/>
    <mergeCell ref="T15:V15"/>
    <mergeCell ref="A8:C8"/>
    <mergeCell ref="D8:P8"/>
    <mergeCell ref="Q8:V8"/>
    <mergeCell ref="A1:V1"/>
    <mergeCell ref="O10:P10"/>
    <mergeCell ref="L9:N9"/>
    <mergeCell ref="O12:P12"/>
    <mergeCell ref="L12:N12"/>
    <mergeCell ref="L11:N11"/>
    <mergeCell ref="Q14:S14"/>
    <mergeCell ref="T14:V14"/>
    <mergeCell ref="D4:P4"/>
    <mergeCell ref="D5:P5"/>
    <mergeCell ref="D6:P6"/>
    <mergeCell ref="D7:P7"/>
    <mergeCell ref="A4:C4"/>
    <mergeCell ref="A6:C6"/>
    <mergeCell ref="A5:C5"/>
    <mergeCell ref="A7:C7"/>
    <mergeCell ref="D24:P24"/>
    <mergeCell ref="D25:P25"/>
    <mergeCell ref="D26:P26"/>
    <mergeCell ref="D27:P27"/>
    <mergeCell ref="A24:C24"/>
    <mergeCell ref="A25:C25"/>
    <mergeCell ref="A26:C26"/>
    <mergeCell ref="A27:C27"/>
    <mergeCell ref="D44:P44"/>
    <mergeCell ref="A44:C44"/>
    <mergeCell ref="L10:N10"/>
    <mergeCell ref="D15:P22"/>
    <mergeCell ref="B17:C17"/>
    <mergeCell ref="B18:C18"/>
    <mergeCell ref="A19:C19"/>
    <mergeCell ref="B20:C20"/>
    <mergeCell ref="B22:C22"/>
    <mergeCell ref="B31:C31"/>
    <mergeCell ref="E31:G31"/>
    <mergeCell ref="J31:K31"/>
    <mergeCell ref="L31:N31"/>
    <mergeCell ref="O31:P31"/>
    <mergeCell ref="D64:P64"/>
    <mergeCell ref="D65:P65"/>
    <mergeCell ref="D66:P66"/>
    <mergeCell ref="D67:P67"/>
    <mergeCell ref="A64:C64"/>
    <mergeCell ref="A65:C65"/>
    <mergeCell ref="A66:C66"/>
    <mergeCell ref="A67:C67"/>
    <mergeCell ref="D84:P84"/>
    <mergeCell ref="D85:P85"/>
    <mergeCell ref="D86:P86"/>
    <mergeCell ref="D87:P87"/>
    <mergeCell ref="A84:C84"/>
    <mergeCell ref="A85:C85"/>
    <mergeCell ref="A86:C86"/>
    <mergeCell ref="A87:C87"/>
    <mergeCell ref="D104:P104"/>
    <mergeCell ref="B71:C71"/>
    <mergeCell ref="E71:G71"/>
    <mergeCell ref="J71:K71"/>
    <mergeCell ref="L71:N71"/>
    <mergeCell ref="O71:P71"/>
    <mergeCell ref="J91:K91"/>
    <mergeCell ref="L91:N91"/>
    <mergeCell ref="O91:P91"/>
    <mergeCell ref="D105:P105"/>
    <mergeCell ref="D106:P106"/>
    <mergeCell ref="D107:P107"/>
    <mergeCell ref="A104:C104"/>
    <mergeCell ref="A105:C105"/>
    <mergeCell ref="A106:C106"/>
    <mergeCell ref="A107:C107"/>
    <mergeCell ref="A124:C124"/>
    <mergeCell ref="D124:P124"/>
    <mergeCell ref="A125:C125"/>
    <mergeCell ref="D125:P125"/>
    <mergeCell ref="A126:C126"/>
    <mergeCell ref="D126:P126"/>
    <mergeCell ref="A127:C127"/>
    <mergeCell ref="D127:P127"/>
    <mergeCell ref="A144:C144"/>
    <mergeCell ref="D144:P144"/>
    <mergeCell ref="B111:C111"/>
    <mergeCell ref="E111:G111"/>
    <mergeCell ref="J111:K111"/>
    <mergeCell ref="L111:N111"/>
    <mergeCell ref="O111:P111"/>
    <mergeCell ref="B131:C131"/>
    <mergeCell ref="E131:G131"/>
    <mergeCell ref="J131:K131"/>
    <mergeCell ref="L131:N131"/>
    <mergeCell ref="O131:P131"/>
    <mergeCell ref="B141:C141"/>
    <mergeCell ref="B142:C142"/>
    <mergeCell ref="A145:C145"/>
    <mergeCell ref="D145:P145"/>
    <mergeCell ref="A146:C146"/>
    <mergeCell ref="D146:P146"/>
    <mergeCell ref="A147:C147"/>
    <mergeCell ref="D147:P147"/>
    <mergeCell ref="A164:C164"/>
    <mergeCell ref="D164:P164"/>
    <mergeCell ref="A165:C165"/>
    <mergeCell ref="D165:P165"/>
    <mergeCell ref="A166:C166"/>
    <mergeCell ref="D166:P166"/>
    <mergeCell ref="A167:C167"/>
    <mergeCell ref="D167:P167"/>
    <mergeCell ref="A184:C184"/>
    <mergeCell ref="D184:P184"/>
    <mergeCell ref="A185:C185"/>
    <mergeCell ref="D185:P185"/>
    <mergeCell ref="B152:C152"/>
    <mergeCell ref="E152:G152"/>
    <mergeCell ref="J152:K152"/>
    <mergeCell ref="L152:N152"/>
    <mergeCell ref="O152:P152"/>
    <mergeCell ref="B155:C155"/>
    <mergeCell ref="A156:C156"/>
    <mergeCell ref="B158:C158"/>
    <mergeCell ref="A159:C159"/>
    <mergeCell ref="B160:C160"/>
    <mergeCell ref="B157:C157"/>
  </mergeCells>
  <conditionalFormatting sqref="O10:P13 D7">
    <cfRule type="colorScale" priority="520">
      <colorScale>
        <cfvo type="num" val="0.88"/>
        <cfvo type="num" val="0.94"/>
        <cfvo type="num" val="1"/>
        <color rgb="FFF8696B"/>
        <color rgb="FFFFEB84"/>
        <color rgb="FF63BE7B"/>
      </colorScale>
    </cfRule>
  </conditionalFormatting>
  <conditionalFormatting sqref="D10">
    <cfRule type="cellIs" dxfId="0" priority="524" operator="equal">
      <formula>W19</formula>
    </cfRule>
  </conditionalFormatting>
  <conditionalFormatting sqref="D11">
    <cfRule type="cellIs" dxfId="0" priority="523" operator="equal">
      <formula>W19</formula>
    </cfRule>
  </conditionalFormatting>
  <conditionalFormatting sqref="D12">
    <cfRule type="cellIs" dxfId="0" priority="522" operator="equal">
      <formula>W19</formula>
    </cfRule>
  </conditionalFormatting>
  <conditionalFormatting sqref="D13">
    <cfRule type="cellIs" dxfId="0" priority="521" operator="equal">
      <formula>W19</formula>
    </cfRule>
  </conditionalFormatting>
  <conditionalFormatting sqref="D27">
    <cfRule type="colorScale" priority="353">
      <colorScale>
        <cfvo type="num" val="0.88"/>
        <cfvo type="num" val="0.94"/>
        <cfvo type="num" val="1"/>
        <color rgb="FFF8696B"/>
        <color rgb="FFFFEB84"/>
        <color rgb="FF63BE7B"/>
      </colorScale>
    </cfRule>
  </conditionalFormatting>
  <conditionalFormatting sqref="D30">
    <cfRule type="cellIs" dxfId="0" priority="357" operator="equal">
      <formula>W39</formula>
    </cfRule>
  </conditionalFormatting>
  <conditionalFormatting sqref="D31">
    <cfRule type="cellIs" dxfId="0" priority="356" operator="equal">
      <formula>W39</formula>
    </cfRule>
  </conditionalFormatting>
  <conditionalFormatting sqref="D32">
    <cfRule type="cellIs" dxfId="0" priority="355" operator="equal">
      <formula>W39</formula>
    </cfRule>
  </conditionalFormatting>
  <conditionalFormatting sqref="D33">
    <cfRule type="cellIs" dxfId="0" priority="354" operator="equal">
      <formula>W39</formula>
    </cfRule>
  </conditionalFormatting>
  <conditionalFormatting sqref="D47">
    <cfRule type="colorScale" priority="348">
      <colorScale>
        <cfvo type="num" val="0.88"/>
        <cfvo type="num" val="0.94"/>
        <cfvo type="num" val="1"/>
        <color rgb="FFF8696B"/>
        <color rgb="FFFFEB84"/>
        <color rgb="FF63BE7B"/>
      </colorScale>
    </cfRule>
  </conditionalFormatting>
  <conditionalFormatting sqref="D50">
    <cfRule type="cellIs" dxfId="0" priority="352" operator="equal">
      <formula>W59</formula>
    </cfRule>
  </conditionalFormatting>
  <conditionalFormatting sqref="D51">
    <cfRule type="cellIs" dxfId="0" priority="351" operator="equal">
      <formula>W59</formula>
    </cfRule>
  </conditionalFormatting>
  <conditionalFormatting sqref="D52">
    <cfRule type="cellIs" dxfId="0" priority="350" operator="equal">
      <formula>W59</formula>
    </cfRule>
  </conditionalFormatting>
  <conditionalFormatting sqref="D53">
    <cfRule type="cellIs" dxfId="0" priority="349" operator="equal">
      <formula>W59</formula>
    </cfRule>
  </conditionalFormatting>
  <conditionalFormatting sqref="D67">
    <cfRule type="colorScale" priority="343">
      <colorScale>
        <cfvo type="num" val="0.88"/>
        <cfvo type="num" val="0.94"/>
        <cfvo type="num" val="1"/>
        <color rgb="FFF8696B"/>
        <color rgb="FFFFEB84"/>
        <color rgb="FF63BE7B"/>
      </colorScale>
    </cfRule>
  </conditionalFormatting>
  <conditionalFormatting sqref="D70">
    <cfRule type="cellIs" dxfId="0" priority="347" operator="equal">
      <formula>W79</formula>
    </cfRule>
  </conditionalFormatting>
  <conditionalFormatting sqref="D71">
    <cfRule type="cellIs" dxfId="0" priority="346" operator="equal">
      <formula>W79</formula>
    </cfRule>
  </conditionalFormatting>
  <conditionalFormatting sqref="D72">
    <cfRule type="cellIs" dxfId="0" priority="345" operator="equal">
      <formula>W79</formula>
    </cfRule>
  </conditionalFormatting>
  <conditionalFormatting sqref="D73">
    <cfRule type="cellIs" dxfId="0" priority="344" operator="equal">
      <formula>W79</formula>
    </cfRule>
  </conditionalFormatting>
  <conditionalFormatting sqref="D87">
    <cfRule type="colorScale" priority="338">
      <colorScale>
        <cfvo type="num" val="0.88"/>
        <cfvo type="num" val="0.94"/>
        <cfvo type="num" val="1"/>
        <color rgb="FFF8696B"/>
        <color rgb="FFFFEB84"/>
        <color rgb="FF63BE7B"/>
      </colorScale>
    </cfRule>
  </conditionalFormatting>
  <conditionalFormatting sqref="D90">
    <cfRule type="cellIs" dxfId="0" priority="342" operator="equal">
      <formula>W99</formula>
    </cfRule>
  </conditionalFormatting>
  <conditionalFormatting sqref="D91">
    <cfRule type="cellIs" dxfId="0" priority="341" operator="equal">
      <formula>W99</formula>
    </cfRule>
  </conditionalFormatting>
  <conditionalFormatting sqref="D92">
    <cfRule type="cellIs" dxfId="0" priority="340" operator="equal">
      <formula>W99</formula>
    </cfRule>
  </conditionalFormatting>
  <conditionalFormatting sqref="D93">
    <cfRule type="cellIs" dxfId="0" priority="339" operator="equal">
      <formula>W99</formula>
    </cfRule>
  </conditionalFormatting>
  <conditionalFormatting sqref="D107">
    <cfRule type="colorScale" priority="333">
      <colorScale>
        <cfvo type="num" val="0.88"/>
        <cfvo type="num" val="0.94"/>
        <cfvo type="num" val="1"/>
        <color rgb="FFF8696B"/>
        <color rgb="FFFFEB84"/>
        <color rgb="FF63BE7B"/>
      </colorScale>
    </cfRule>
  </conditionalFormatting>
  <conditionalFormatting sqref="D110">
    <cfRule type="cellIs" dxfId="0" priority="337" operator="equal">
      <formula>W119</formula>
    </cfRule>
  </conditionalFormatting>
  <conditionalFormatting sqref="D111">
    <cfRule type="cellIs" dxfId="0" priority="336" operator="equal">
      <formula>W119</formula>
    </cfRule>
  </conditionalFormatting>
  <conditionalFormatting sqref="D112">
    <cfRule type="cellIs" dxfId="0" priority="335" operator="equal">
      <formula>W119</formula>
    </cfRule>
  </conditionalFormatting>
  <conditionalFormatting sqref="D113">
    <cfRule type="cellIs" dxfId="0" priority="334" operator="equal">
      <formula>W119</formula>
    </cfRule>
  </conditionalFormatting>
  <conditionalFormatting sqref="O30:P33">
    <cfRule type="colorScale" priority="267">
      <colorScale>
        <cfvo type="num" val="0.88"/>
        <cfvo type="num" val="0.94"/>
        <cfvo type="num" val="1"/>
        <color rgb="FFF8696B"/>
        <color rgb="FFFFEB84"/>
        <color rgb="FF63BE7B"/>
      </colorScale>
    </cfRule>
  </conditionalFormatting>
  <conditionalFormatting sqref="O50:P53">
    <cfRule type="colorScale" priority="266">
      <colorScale>
        <cfvo type="num" val="0.88"/>
        <cfvo type="num" val="0.94"/>
        <cfvo type="num" val="1"/>
        <color rgb="FFF8696B"/>
        <color rgb="FFFFEB84"/>
        <color rgb="FF63BE7B"/>
      </colorScale>
    </cfRule>
  </conditionalFormatting>
  <conditionalFormatting sqref="O70:P73">
    <cfRule type="colorScale" priority="265">
      <colorScale>
        <cfvo type="num" val="0.88"/>
        <cfvo type="num" val="0.94"/>
        <cfvo type="num" val="1"/>
        <color rgb="FFF8696B"/>
        <color rgb="FFFFEB84"/>
        <color rgb="FF63BE7B"/>
      </colorScale>
    </cfRule>
  </conditionalFormatting>
  <conditionalFormatting sqref="O90:P93">
    <cfRule type="colorScale" priority="264">
      <colorScale>
        <cfvo type="num" val="0.88"/>
        <cfvo type="num" val="0.94"/>
        <cfvo type="num" val="1"/>
        <color rgb="FFF8696B"/>
        <color rgb="FFFFEB84"/>
        <color rgb="FF63BE7B"/>
      </colorScale>
    </cfRule>
  </conditionalFormatting>
  <conditionalFormatting sqref="O110:P113">
    <cfRule type="colorScale" priority="263">
      <colorScale>
        <cfvo type="num" val="0.88"/>
        <cfvo type="num" val="0.94"/>
        <cfvo type="num" val="1"/>
        <color rgb="FFF8696B"/>
        <color rgb="FFFFEB84"/>
        <color rgb="FF63BE7B"/>
      </colorScale>
    </cfRule>
  </conditionalFormatting>
  <conditionalFormatting sqref="A610">
    <cfRule type="colorScale" priority="245">
      <colorScale>
        <cfvo type="num" val="0.88"/>
        <cfvo type="num" val="0.94"/>
        <cfvo type="num" val="1"/>
        <color rgb="FFF8696B"/>
        <color rgb="FFFFEB84"/>
        <color rgb="FF63BE7B"/>
      </colorScale>
    </cfRule>
  </conditionalFormatting>
  <conditionalFormatting sqref="A625">
    <cfRule type="colorScale" priority="243">
      <colorScale>
        <cfvo type="num" val="0.88"/>
        <cfvo type="num" val="0.94"/>
        <cfvo type="num" val="1"/>
        <color rgb="FFF8696B"/>
        <color rgb="FFFFEB84"/>
        <color rgb="FF63BE7B"/>
      </colorScale>
    </cfRule>
  </conditionalFormatting>
  <conditionalFormatting sqref="A640">
    <cfRule type="colorScale" priority="242">
      <colorScale>
        <cfvo type="num" val="0.88"/>
        <cfvo type="num" val="0.94"/>
        <cfvo type="num" val="1"/>
        <color rgb="FFF8696B"/>
        <color rgb="FFFFEB84"/>
        <color rgb="FF63BE7B"/>
      </colorScale>
    </cfRule>
  </conditionalFormatting>
  <conditionalFormatting sqref="A655">
    <cfRule type="colorScale" priority="241">
      <colorScale>
        <cfvo type="num" val="0.88"/>
        <cfvo type="num" val="0.94"/>
        <cfvo type="num" val="1"/>
        <color rgb="FFF8696B"/>
        <color rgb="FFFFEB84"/>
        <color rgb="FF63BE7B"/>
      </colorScale>
    </cfRule>
  </conditionalFormatting>
  <conditionalFormatting sqref="A670">
    <cfRule type="colorScale" priority="240">
      <colorScale>
        <cfvo type="num" val="0.88"/>
        <cfvo type="num" val="0.94"/>
        <cfvo type="num" val="1"/>
        <color rgb="FFF8696B"/>
        <color rgb="FFFFEB84"/>
        <color rgb="FF63BE7B"/>
      </colorScale>
    </cfRule>
  </conditionalFormatting>
  <conditionalFormatting sqref="A685">
    <cfRule type="colorScale" priority="239">
      <colorScale>
        <cfvo type="num" val="0.88"/>
        <cfvo type="num" val="0.94"/>
        <cfvo type="num" val="1"/>
        <color rgb="FFF8696B"/>
        <color rgb="FFFFEB84"/>
        <color rgb="FF63BE7B"/>
      </colorScale>
    </cfRule>
  </conditionalFormatting>
  <conditionalFormatting sqref="A700">
    <cfRule type="colorScale" priority="238">
      <colorScale>
        <cfvo type="num" val="0.88"/>
        <cfvo type="num" val="0.94"/>
        <cfvo type="num" val="1"/>
        <color rgb="FFF8696B"/>
        <color rgb="FFFFEB84"/>
        <color rgb="FF63BE7B"/>
      </colorScale>
    </cfRule>
  </conditionalFormatting>
  <conditionalFormatting sqref="A715">
    <cfRule type="colorScale" priority="237">
      <colorScale>
        <cfvo type="num" val="0.88"/>
        <cfvo type="num" val="0.94"/>
        <cfvo type="num" val="1"/>
        <color rgb="FFF8696B"/>
        <color rgb="FFFFEB84"/>
        <color rgb="FF63BE7B"/>
      </colorScale>
    </cfRule>
  </conditionalFormatting>
  <conditionalFormatting sqref="A608:V608 D5 D25 D45 D65 D85 D105 A623:V623 A638:V638 A653:V653 A668:V668 A683:V683 A698:V698 A713:V713 Q5:V5 Q25:V25 Q45:V45 Q65:V65 Q85:V85 Q105:V105 D125 Q125:V125 D145 Q145:V145 D165 Q165:V165 D185 Q185:V185 D205 Q205:V205 D225 Q225:V225 D245 Q245:V245 D265 Q265:V265 D285 Q285:V285 D305 Q305:V305 D325 Q325:V325 D345 Q345:V345 D365 Q365:V365">
    <cfRule type="duplicateValues" dxfId="4" priority="530"/>
  </conditionalFormatting>
  <conditionalFormatting sqref="D127">
    <cfRule type="colorScale" priority="228">
      <colorScale>
        <cfvo type="num" val="0.88"/>
        <cfvo type="num" val="0.94"/>
        <cfvo type="num" val="1"/>
        <color rgb="FFF8696B"/>
        <color rgb="FFFFEB84"/>
        <color rgb="FF63BE7B"/>
      </colorScale>
    </cfRule>
  </conditionalFormatting>
  <conditionalFormatting sqref="D130">
    <cfRule type="cellIs" dxfId="0" priority="232" operator="equal">
      <formula>W139</formula>
    </cfRule>
  </conditionalFormatting>
  <conditionalFormatting sqref="D131">
    <cfRule type="cellIs" dxfId="0" priority="231" operator="equal">
      <formula>W139</formula>
    </cfRule>
  </conditionalFormatting>
  <conditionalFormatting sqref="D132">
    <cfRule type="cellIs" dxfId="0" priority="230" operator="equal">
      <formula>W139</formula>
    </cfRule>
  </conditionalFormatting>
  <conditionalFormatting sqref="D133">
    <cfRule type="cellIs" dxfId="0" priority="229" operator="equal">
      <formula>W139</formula>
    </cfRule>
  </conditionalFormatting>
  <conditionalFormatting sqref="O130:P133">
    <cfRule type="colorScale" priority="227">
      <colorScale>
        <cfvo type="num" val="0.88"/>
        <cfvo type="num" val="0.94"/>
        <cfvo type="num" val="1"/>
        <color rgb="FFF8696B"/>
        <color rgb="FFFFEB84"/>
        <color rgb="FF63BE7B"/>
      </colorScale>
    </cfRule>
  </conditionalFormatting>
  <conditionalFormatting sqref="D147">
    <cfRule type="colorScale" priority="222">
      <colorScale>
        <cfvo type="num" val="0.88"/>
        <cfvo type="num" val="0.94"/>
        <cfvo type="num" val="1"/>
        <color rgb="FFF8696B"/>
        <color rgb="FFFFEB84"/>
        <color rgb="FF63BE7B"/>
      </colorScale>
    </cfRule>
  </conditionalFormatting>
  <conditionalFormatting sqref="D150">
    <cfRule type="cellIs" dxfId="0" priority="226" operator="equal">
      <formula>W159</formula>
    </cfRule>
  </conditionalFormatting>
  <conditionalFormatting sqref="D151">
    <cfRule type="cellIs" dxfId="0" priority="225" operator="equal">
      <formula>W159</formula>
    </cfRule>
  </conditionalFormatting>
  <conditionalFormatting sqref="D152">
    <cfRule type="cellIs" dxfId="0" priority="224" operator="equal">
      <formula>W159</formula>
    </cfRule>
  </conditionalFormatting>
  <conditionalFormatting sqref="D153">
    <cfRule type="cellIs" dxfId="0" priority="223" operator="equal">
      <formula>W159</formula>
    </cfRule>
  </conditionalFormatting>
  <conditionalFormatting sqref="O150:P153">
    <cfRule type="colorScale" priority="221">
      <colorScale>
        <cfvo type="num" val="0.88"/>
        <cfvo type="num" val="0.94"/>
        <cfvo type="num" val="1"/>
        <color rgb="FFF8696B"/>
        <color rgb="FFFFEB84"/>
        <color rgb="FF63BE7B"/>
      </colorScale>
    </cfRule>
  </conditionalFormatting>
  <conditionalFormatting sqref="D167">
    <cfRule type="colorScale" priority="216">
      <colorScale>
        <cfvo type="num" val="0.88"/>
        <cfvo type="num" val="0.94"/>
        <cfvo type="num" val="1"/>
        <color rgb="FFF8696B"/>
        <color rgb="FFFFEB84"/>
        <color rgb="FF63BE7B"/>
      </colorScale>
    </cfRule>
  </conditionalFormatting>
  <conditionalFormatting sqref="D170">
    <cfRule type="cellIs" dxfId="0" priority="220" operator="equal">
      <formula>W179</formula>
    </cfRule>
  </conditionalFormatting>
  <conditionalFormatting sqref="D171">
    <cfRule type="cellIs" dxfId="0" priority="219" operator="equal">
      <formula>W179</formula>
    </cfRule>
  </conditionalFormatting>
  <conditionalFormatting sqref="D172">
    <cfRule type="cellIs" dxfId="0" priority="218" operator="equal">
      <formula>W179</formula>
    </cfRule>
  </conditionalFormatting>
  <conditionalFormatting sqref="D173">
    <cfRule type="cellIs" dxfId="0" priority="217" operator="equal">
      <formula>W179</formula>
    </cfRule>
  </conditionalFormatting>
  <conditionalFormatting sqref="O170:P173">
    <cfRule type="colorScale" priority="215">
      <colorScale>
        <cfvo type="num" val="0.88"/>
        <cfvo type="num" val="0.94"/>
        <cfvo type="num" val="1"/>
        <color rgb="FFF8696B"/>
        <color rgb="FFFFEB84"/>
        <color rgb="FF63BE7B"/>
      </colorScale>
    </cfRule>
  </conditionalFormatting>
  <conditionalFormatting sqref="D187">
    <cfRule type="colorScale" priority="210">
      <colorScale>
        <cfvo type="num" val="0.88"/>
        <cfvo type="num" val="0.94"/>
        <cfvo type="num" val="1"/>
        <color rgb="FFF8696B"/>
        <color rgb="FFFFEB84"/>
        <color rgb="FF63BE7B"/>
      </colorScale>
    </cfRule>
  </conditionalFormatting>
  <conditionalFormatting sqref="D190">
    <cfRule type="cellIs" dxfId="0" priority="214" operator="equal">
      <formula>W199</formula>
    </cfRule>
  </conditionalFormatting>
  <conditionalFormatting sqref="D191">
    <cfRule type="cellIs" dxfId="0" priority="213" operator="equal">
      <formula>W199</formula>
    </cfRule>
  </conditionalFormatting>
  <conditionalFormatting sqref="D192">
    <cfRule type="cellIs" dxfId="0" priority="212" operator="equal">
      <formula>W199</formula>
    </cfRule>
  </conditionalFormatting>
  <conditionalFormatting sqref="D193">
    <cfRule type="cellIs" dxfId="0" priority="211" operator="equal">
      <formula>W199</formula>
    </cfRule>
  </conditionalFormatting>
  <conditionalFormatting sqref="O190:P193">
    <cfRule type="colorScale" priority="209">
      <colorScale>
        <cfvo type="num" val="0.88"/>
        <cfvo type="num" val="0.94"/>
        <cfvo type="num" val="1"/>
        <color rgb="FFF8696B"/>
        <color rgb="FFFFEB84"/>
        <color rgb="FF63BE7B"/>
      </colorScale>
    </cfRule>
  </conditionalFormatting>
  <conditionalFormatting sqref="D207">
    <cfRule type="colorScale" priority="204">
      <colorScale>
        <cfvo type="num" val="0.88"/>
        <cfvo type="num" val="0.94"/>
        <cfvo type="num" val="1"/>
        <color rgb="FFF8696B"/>
        <color rgb="FFFFEB84"/>
        <color rgb="FF63BE7B"/>
      </colorScale>
    </cfRule>
  </conditionalFormatting>
  <conditionalFormatting sqref="D210">
    <cfRule type="cellIs" dxfId="0" priority="208" operator="equal">
      <formula>W219</formula>
    </cfRule>
  </conditionalFormatting>
  <conditionalFormatting sqref="D211">
    <cfRule type="cellIs" dxfId="0" priority="207" operator="equal">
      <formula>W219</formula>
    </cfRule>
  </conditionalFormatting>
  <conditionalFormatting sqref="D212">
    <cfRule type="cellIs" dxfId="0" priority="206" operator="equal">
      <formula>W219</formula>
    </cfRule>
  </conditionalFormatting>
  <conditionalFormatting sqref="D213">
    <cfRule type="cellIs" dxfId="0" priority="205" operator="equal">
      <formula>W219</formula>
    </cfRule>
  </conditionalFormatting>
  <conditionalFormatting sqref="O210:P213">
    <cfRule type="colorScale" priority="203">
      <colorScale>
        <cfvo type="num" val="0.88"/>
        <cfvo type="num" val="0.94"/>
        <cfvo type="num" val="1"/>
        <color rgb="FFF8696B"/>
        <color rgb="FFFFEB84"/>
        <color rgb="FF63BE7B"/>
      </colorScale>
    </cfRule>
  </conditionalFormatting>
  <conditionalFormatting sqref="D227">
    <cfRule type="colorScale" priority="198">
      <colorScale>
        <cfvo type="num" val="0.88"/>
        <cfvo type="num" val="0.94"/>
        <cfvo type="num" val="1"/>
        <color rgb="FFF8696B"/>
        <color rgb="FFFFEB84"/>
        <color rgb="FF63BE7B"/>
      </colorScale>
    </cfRule>
  </conditionalFormatting>
  <conditionalFormatting sqref="D230">
    <cfRule type="cellIs" dxfId="0" priority="202" operator="equal">
      <formula>W239</formula>
    </cfRule>
  </conditionalFormatting>
  <conditionalFormatting sqref="D231">
    <cfRule type="cellIs" dxfId="0" priority="201" operator="equal">
      <formula>W239</formula>
    </cfRule>
  </conditionalFormatting>
  <conditionalFormatting sqref="D232">
    <cfRule type="cellIs" dxfId="0" priority="200" operator="equal">
      <formula>W239</formula>
    </cfRule>
  </conditionalFormatting>
  <conditionalFormatting sqref="D233">
    <cfRule type="cellIs" dxfId="0" priority="199" operator="equal">
      <formula>W239</formula>
    </cfRule>
  </conditionalFormatting>
  <conditionalFormatting sqref="O230:P233">
    <cfRule type="colorScale" priority="197">
      <colorScale>
        <cfvo type="num" val="0.88"/>
        <cfvo type="num" val="0.94"/>
        <cfvo type="num" val="1"/>
        <color rgb="FFF8696B"/>
        <color rgb="FFFFEB84"/>
        <color rgb="FF63BE7B"/>
      </colorScale>
    </cfRule>
  </conditionalFormatting>
  <conditionalFormatting sqref="D247">
    <cfRule type="colorScale" priority="192">
      <colorScale>
        <cfvo type="num" val="0.88"/>
        <cfvo type="num" val="0.94"/>
        <cfvo type="num" val="1"/>
        <color rgb="FFF8696B"/>
        <color rgb="FFFFEB84"/>
        <color rgb="FF63BE7B"/>
      </colorScale>
    </cfRule>
  </conditionalFormatting>
  <conditionalFormatting sqref="D250">
    <cfRule type="cellIs" dxfId="0" priority="196" operator="equal">
      <formula>W259</formula>
    </cfRule>
  </conditionalFormatting>
  <conditionalFormatting sqref="D251">
    <cfRule type="cellIs" dxfId="0" priority="195" operator="equal">
      <formula>W259</formula>
    </cfRule>
  </conditionalFormatting>
  <conditionalFormatting sqref="D252">
    <cfRule type="cellIs" dxfId="0" priority="194" operator="equal">
      <formula>W259</formula>
    </cfRule>
  </conditionalFormatting>
  <conditionalFormatting sqref="D253">
    <cfRule type="cellIs" dxfId="0" priority="193" operator="equal">
      <formula>W259</formula>
    </cfRule>
  </conditionalFormatting>
  <conditionalFormatting sqref="O250:P253">
    <cfRule type="colorScale" priority="191">
      <colorScale>
        <cfvo type="num" val="0.88"/>
        <cfvo type="num" val="0.94"/>
        <cfvo type="num" val="1"/>
        <color rgb="FFF8696B"/>
        <color rgb="FFFFEB84"/>
        <color rgb="FF63BE7B"/>
      </colorScale>
    </cfRule>
  </conditionalFormatting>
  <conditionalFormatting sqref="D267">
    <cfRule type="colorScale" priority="186">
      <colorScale>
        <cfvo type="num" val="0.88"/>
        <cfvo type="num" val="0.94"/>
        <cfvo type="num" val="1"/>
        <color rgb="FFF8696B"/>
        <color rgb="FFFFEB84"/>
        <color rgb="FF63BE7B"/>
      </colorScale>
    </cfRule>
  </conditionalFormatting>
  <conditionalFormatting sqref="D270">
    <cfRule type="cellIs" dxfId="0" priority="190" operator="equal">
      <formula>W279</formula>
    </cfRule>
  </conditionalFormatting>
  <conditionalFormatting sqref="D271">
    <cfRule type="cellIs" dxfId="0" priority="189" operator="equal">
      <formula>W279</formula>
    </cfRule>
  </conditionalFormatting>
  <conditionalFormatting sqref="D272">
    <cfRule type="cellIs" dxfId="0" priority="188" operator="equal">
      <formula>W279</formula>
    </cfRule>
  </conditionalFormatting>
  <conditionalFormatting sqref="D273">
    <cfRule type="cellIs" dxfId="0" priority="187" operator="equal">
      <formula>W279</formula>
    </cfRule>
  </conditionalFormatting>
  <conditionalFormatting sqref="O270:P273">
    <cfRule type="colorScale" priority="185">
      <colorScale>
        <cfvo type="num" val="0.88"/>
        <cfvo type="num" val="0.94"/>
        <cfvo type="num" val="1"/>
        <color rgb="FFF8696B"/>
        <color rgb="FFFFEB84"/>
        <color rgb="FF63BE7B"/>
      </colorScale>
    </cfRule>
  </conditionalFormatting>
  <conditionalFormatting sqref="D287">
    <cfRule type="colorScale" priority="180">
      <colorScale>
        <cfvo type="num" val="0.88"/>
        <cfvo type="num" val="0.94"/>
        <cfvo type="num" val="1"/>
        <color rgb="FFF8696B"/>
        <color rgb="FFFFEB84"/>
        <color rgb="FF63BE7B"/>
      </colorScale>
    </cfRule>
  </conditionalFormatting>
  <conditionalFormatting sqref="D290">
    <cfRule type="cellIs" dxfId="0" priority="184" operator="equal">
      <formula>W299</formula>
    </cfRule>
  </conditionalFormatting>
  <conditionalFormatting sqref="D291">
    <cfRule type="cellIs" dxfId="0" priority="183" operator="equal">
      <formula>W299</formula>
    </cfRule>
  </conditionalFormatting>
  <conditionalFormatting sqref="D292">
    <cfRule type="cellIs" dxfId="0" priority="182" operator="equal">
      <formula>W299</formula>
    </cfRule>
  </conditionalFormatting>
  <conditionalFormatting sqref="D293">
    <cfRule type="cellIs" dxfId="0" priority="181" operator="equal">
      <formula>W299</formula>
    </cfRule>
  </conditionalFormatting>
  <conditionalFormatting sqref="O290:P293">
    <cfRule type="colorScale" priority="179">
      <colorScale>
        <cfvo type="num" val="0.88"/>
        <cfvo type="num" val="0.94"/>
        <cfvo type="num" val="1"/>
        <color rgb="FFF8696B"/>
        <color rgb="FFFFEB84"/>
        <color rgb="FF63BE7B"/>
      </colorScale>
    </cfRule>
  </conditionalFormatting>
  <conditionalFormatting sqref="D307">
    <cfRule type="colorScale" priority="174">
      <colorScale>
        <cfvo type="num" val="0.88"/>
        <cfvo type="num" val="0.94"/>
        <cfvo type="num" val="1"/>
        <color rgb="FFF8696B"/>
        <color rgb="FFFFEB84"/>
        <color rgb="FF63BE7B"/>
      </colorScale>
    </cfRule>
  </conditionalFormatting>
  <conditionalFormatting sqref="D310">
    <cfRule type="cellIs" dxfId="0" priority="178" operator="equal">
      <formula>W319</formula>
    </cfRule>
  </conditionalFormatting>
  <conditionalFormatting sqref="D311">
    <cfRule type="cellIs" dxfId="0" priority="177" operator="equal">
      <formula>W319</formula>
    </cfRule>
  </conditionalFormatting>
  <conditionalFormatting sqref="D312">
    <cfRule type="cellIs" dxfId="0" priority="176" operator="equal">
      <formula>W319</formula>
    </cfRule>
  </conditionalFormatting>
  <conditionalFormatting sqref="D313">
    <cfRule type="cellIs" dxfId="0" priority="175" operator="equal">
      <formula>W319</formula>
    </cfRule>
  </conditionalFormatting>
  <conditionalFormatting sqref="O310:P313">
    <cfRule type="colorScale" priority="173">
      <colorScale>
        <cfvo type="num" val="0.88"/>
        <cfvo type="num" val="0.94"/>
        <cfvo type="num" val="1"/>
        <color rgb="FFF8696B"/>
        <color rgb="FFFFEB84"/>
        <color rgb="FF63BE7B"/>
      </colorScale>
    </cfRule>
  </conditionalFormatting>
  <conditionalFormatting sqref="D327">
    <cfRule type="colorScale" priority="168">
      <colorScale>
        <cfvo type="num" val="0.88"/>
        <cfvo type="num" val="0.94"/>
        <cfvo type="num" val="1"/>
        <color rgb="FFF8696B"/>
        <color rgb="FFFFEB84"/>
        <color rgb="FF63BE7B"/>
      </colorScale>
    </cfRule>
  </conditionalFormatting>
  <conditionalFormatting sqref="D330">
    <cfRule type="cellIs" dxfId="0" priority="172" operator="equal">
      <formula>W339</formula>
    </cfRule>
  </conditionalFormatting>
  <conditionalFormatting sqref="D331">
    <cfRule type="cellIs" dxfId="0" priority="171" operator="equal">
      <formula>W339</formula>
    </cfRule>
  </conditionalFormatting>
  <conditionalFormatting sqref="D332">
    <cfRule type="cellIs" dxfId="0" priority="170" operator="equal">
      <formula>W339</formula>
    </cfRule>
  </conditionalFormatting>
  <conditionalFormatting sqref="D333">
    <cfRule type="cellIs" dxfId="0" priority="169" operator="equal">
      <formula>W339</formula>
    </cfRule>
  </conditionalFormatting>
  <conditionalFormatting sqref="O330:P333">
    <cfRule type="colorScale" priority="167">
      <colorScale>
        <cfvo type="num" val="0.88"/>
        <cfvo type="num" val="0.94"/>
        <cfvo type="num" val="1"/>
        <color rgb="FFF8696B"/>
        <color rgb="FFFFEB84"/>
        <color rgb="FF63BE7B"/>
      </colorScale>
    </cfRule>
  </conditionalFormatting>
  <conditionalFormatting sqref="D347">
    <cfRule type="colorScale" priority="162">
      <colorScale>
        <cfvo type="num" val="0.88"/>
        <cfvo type="num" val="0.94"/>
        <cfvo type="num" val="1"/>
        <color rgb="FFF8696B"/>
        <color rgb="FFFFEB84"/>
        <color rgb="FF63BE7B"/>
      </colorScale>
    </cfRule>
  </conditionalFormatting>
  <conditionalFormatting sqref="D350">
    <cfRule type="cellIs" dxfId="0" priority="166" operator="equal">
      <formula>W359</formula>
    </cfRule>
  </conditionalFormatting>
  <conditionalFormatting sqref="D351">
    <cfRule type="cellIs" dxfId="0" priority="165" operator="equal">
      <formula>W359</formula>
    </cfRule>
  </conditionalFormatting>
  <conditionalFormatting sqref="D352">
    <cfRule type="cellIs" dxfId="0" priority="164" operator="equal">
      <formula>W359</formula>
    </cfRule>
  </conditionalFormatting>
  <conditionalFormatting sqref="D353">
    <cfRule type="cellIs" dxfId="0" priority="163" operator="equal">
      <formula>W359</formula>
    </cfRule>
  </conditionalFormatting>
  <conditionalFormatting sqref="O350:P353">
    <cfRule type="colorScale" priority="161">
      <colorScale>
        <cfvo type="num" val="0.88"/>
        <cfvo type="num" val="0.94"/>
        <cfvo type="num" val="1"/>
        <color rgb="FFF8696B"/>
        <color rgb="FFFFEB84"/>
        <color rgb="FF63BE7B"/>
      </colorScale>
    </cfRule>
  </conditionalFormatting>
  <conditionalFormatting sqref="D367">
    <cfRule type="colorScale" priority="156">
      <colorScale>
        <cfvo type="num" val="0.88"/>
        <cfvo type="num" val="0.94"/>
        <cfvo type="num" val="1"/>
        <color rgb="FFF8696B"/>
        <color rgb="FFFFEB84"/>
        <color rgb="FF63BE7B"/>
      </colorScale>
    </cfRule>
  </conditionalFormatting>
  <conditionalFormatting sqref="D370">
    <cfRule type="cellIs" dxfId="0" priority="160" operator="equal">
      <formula>W379</formula>
    </cfRule>
  </conditionalFormatting>
  <conditionalFormatting sqref="D371">
    <cfRule type="cellIs" dxfId="0" priority="159" operator="equal">
      <formula>W379</formula>
    </cfRule>
  </conditionalFormatting>
  <conditionalFormatting sqref="D372">
    <cfRule type="cellIs" dxfId="0" priority="158" operator="equal">
      <formula>W379</formula>
    </cfRule>
  </conditionalFormatting>
  <conditionalFormatting sqref="D373">
    <cfRule type="cellIs" dxfId="0" priority="157" operator="equal">
      <formula>W379</formula>
    </cfRule>
  </conditionalFormatting>
  <conditionalFormatting sqref="O370:P373">
    <cfRule type="colorScale" priority="155">
      <colorScale>
        <cfvo type="num" val="0.88"/>
        <cfvo type="num" val="0.94"/>
        <cfvo type="num" val="1"/>
        <color rgb="FFF8696B"/>
        <color rgb="FFFFEB84"/>
        <color rgb="FF63BE7B"/>
      </colorScale>
    </cfRule>
  </conditionalFormatting>
  <conditionalFormatting sqref="D385 Q385:V385">
    <cfRule type="duplicateValues" dxfId="4" priority="77"/>
  </conditionalFormatting>
  <conditionalFormatting sqref="D387">
    <cfRule type="colorScale" priority="72">
      <colorScale>
        <cfvo type="num" val="0.88"/>
        <cfvo type="num" val="0.94"/>
        <cfvo type="num" val="1"/>
        <color rgb="FFF8696B"/>
        <color rgb="FFFFEB84"/>
        <color rgb="FF63BE7B"/>
      </colorScale>
    </cfRule>
  </conditionalFormatting>
  <conditionalFormatting sqref="D390">
    <cfRule type="cellIs" dxfId="0" priority="76" operator="equal">
      <formula>W399</formula>
    </cfRule>
  </conditionalFormatting>
  <conditionalFormatting sqref="D391">
    <cfRule type="cellIs" dxfId="0" priority="75" operator="equal">
      <formula>W399</formula>
    </cfRule>
  </conditionalFormatting>
  <conditionalFormatting sqref="D392">
    <cfRule type="cellIs" dxfId="0" priority="74" operator="equal">
      <formula>W399</formula>
    </cfRule>
  </conditionalFormatting>
  <conditionalFormatting sqref="D393">
    <cfRule type="cellIs" dxfId="0" priority="73" operator="equal">
      <formula>W399</formula>
    </cfRule>
  </conditionalFormatting>
  <conditionalFormatting sqref="O390:P393">
    <cfRule type="colorScale" priority="71">
      <colorScale>
        <cfvo type="num" val="0.88"/>
        <cfvo type="num" val="0.94"/>
        <cfvo type="num" val="1"/>
        <color rgb="FFF8696B"/>
        <color rgb="FFFFEB84"/>
        <color rgb="FF63BE7B"/>
      </colorScale>
    </cfRule>
  </conditionalFormatting>
  <conditionalFormatting sqref="D405 Q405:V405">
    <cfRule type="duplicateValues" dxfId="4" priority="70"/>
  </conditionalFormatting>
  <conditionalFormatting sqref="D407">
    <cfRule type="colorScale" priority="65">
      <colorScale>
        <cfvo type="num" val="0.88"/>
        <cfvo type="num" val="0.94"/>
        <cfvo type="num" val="1"/>
        <color rgb="FFF8696B"/>
        <color rgb="FFFFEB84"/>
        <color rgb="FF63BE7B"/>
      </colorScale>
    </cfRule>
  </conditionalFormatting>
  <conditionalFormatting sqref="D410">
    <cfRule type="cellIs" dxfId="0" priority="69" operator="equal">
      <formula>W419</formula>
    </cfRule>
  </conditionalFormatting>
  <conditionalFormatting sqref="D411">
    <cfRule type="cellIs" dxfId="0" priority="68" operator="equal">
      <formula>W419</formula>
    </cfRule>
  </conditionalFormatting>
  <conditionalFormatting sqref="D412">
    <cfRule type="cellIs" dxfId="0" priority="67" operator="equal">
      <formula>W419</formula>
    </cfRule>
  </conditionalFormatting>
  <conditionalFormatting sqref="D413">
    <cfRule type="cellIs" dxfId="0" priority="66" operator="equal">
      <formula>W419</formula>
    </cfRule>
  </conditionalFormatting>
  <conditionalFormatting sqref="O410:P413">
    <cfRule type="colorScale" priority="64">
      <colorScale>
        <cfvo type="num" val="0.88"/>
        <cfvo type="num" val="0.94"/>
        <cfvo type="num" val="1"/>
        <color rgb="FFF8696B"/>
        <color rgb="FFFFEB84"/>
        <color rgb="FF63BE7B"/>
      </colorScale>
    </cfRule>
  </conditionalFormatting>
  <conditionalFormatting sqref="D425 Q425:V425">
    <cfRule type="duplicateValues" dxfId="4" priority="63"/>
  </conditionalFormatting>
  <conditionalFormatting sqref="D427">
    <cfRule type="colorScale" priority="58">
      <colorScale>
        <cfvo type="num" val="0.88"/>
        <cfvo type="num" val="0.94"/>
        <cfvo type="num" val="1"/>
        <color rgb="FFF8696B"/>
        <color rgb="FFFFEB84"/>
        <color rgb="FF63BE7B"/>
      </colorScale>
    </cfRule>
  </conditionalFormatting>
  <conditionalFormatting sqref="D430">
    <cfRule type="cellIs" dxfId="0" priority="62" operator="equal">
      <formula>W439</formula>
    </cfRule>
  </conditionalFormatting>
  <conditionalFormatting sqref="D431">
    <cfRule type="cellIs" dxfId="0" priority="61" operator="equal">
      <formula>W439</formula>
    </cfRule>
  </conditionalFormatting>
  <conditionalFormatting sqref="D432">
    <cfRule type="cellIs" dxfId="0" priority="60" operator="equal">
      <formula>W439</formula>
    </cfRule>
  </conditionalFormatting>
  <conditionalFormatting sqref="D433">
    <cfRule type="cellIs" dxfId="0" priority="59" operator="equal">
      <formula>W439</formula>
    </cfRule>
  </conditionalFormatting>
  <conditionalFormatting sqref="O430:P433">
    <cfRule type="colorScale" priority="57">
      <colorScale>
        <cfvo type="num" val="0.88"/>
        <cfvo type="num" val="0.94"/>
        <cfvo type="num" val="1"/>
        <color rgb="FFF8696B"/>
        <color rgb="FFFFEB84"/>
        <color rgb="FF63BE7B"/>
      </colorScale>
    </cfRule>
  </conditionalFormatting>
  <conditionalFormatting sqref="D445 Q445:V445">
    <cfRule type="duplicateValues" dxfId="4" priority="56"/>
  </conditionalFormatting>
  <conditionalFormatting sqref="D447">
    <cfRule type="colorScale" priority="51">
      <colorScale>
        <cfvo type="num" val="0.88"/>
        <cfvo type="num" val="0.94"/>
        <cfvo type="num" val="1"/>
        <color rgb="FFF8696B"/>
        <color rgb="FFFFEB84"/>
        <color rgb="FF63BE7B"/>
      </colorScale>
    </cfRule>
  </conditionalFormatting>
  <conditionalFormatting sqref="D450">
    <cfRule type="cellIs" dxfId="0" priority="55" operator="equal">
      <formula>W459</formula>
    </cfRule>
  </conditionalFormatting>
  <conditionalFormatting sqref="D451">
    <cfRule type="cellIs" dxfId="0" priority="54" operator="equal">
      <formula>W459</formula>
    </cfRule>
  </conditionalFormatting>
  <conditionalFormatting sqref="D452">
    <cfRule type="cellIs" dxfId="0" priority="53" operator="equal">
      <formula>W459</formula>
    </cfRule>
  </conditionalFormatting>
  <conditionalFormatting sqref="D453">
    <cfRule type="cellIs" dxfId="0" priority="52" operator="equal">
      <formula>W459</formula>
    </cfRule>
  </conditionalFormatting>
  <conditionalFormatting sqref="O450:P453">
    <cfRule type="colorScale" priority="50">
      <colorScale>
        <cfvo type="num" val="0.88"/>
        <cfvo type="num" val="0.94"/>
        <cfvo type="num" val="1"/>
        <color rgb="FFF8696B"/>
        <color rgb="FFFFEB84"/>
        <color rgb="FF63BE7B"/>
      </colorScale>
    </cfRule>
  </conditionalFormatting>
  <conditionalFormatting sqref="D465 Q465:V465">
    <cfRule type="duplicateValues" dxfId="4" priority="49"/>
  </conditionalFormatting>
  <conditionalFormatting sqref="D467">
    <cfRule type="colorScale" priority="44">
      <colorScale>
        <cfvo type="num" val="0.88"/>
        <cfvo type="num" val="0.94"/>
        <cfvo type="num" val="1"/>
        <color rgb="FFF8696B"/>
        <color rgb="FFFFEB84"/>
        <color rgb="FF63BE7B"/>
      </colorScale>
    </cfRule>
  </conditionalFormatting>
  <conditionalFormatting sqref="D470">
    <cfRule type="cellIs" dxfId="0" priority="48" operator="equal">
      <formula>W479</formula>
    </cfRule>
  </conditionalFormatting>
  <conditionalFormatting sqref="D471">
    <cfRule type="cellIs" dxfId="0" priority="47" operator="equal">
      <formula>W479</formula>
    </cfRule>
  </conditionalFormatting>
  <conditionalFormatting sqref="D472">
    <cfRule type="cellIs" dxfId="0" priority="46" operator="equal">
      <formula>W479</formula>
    </cfRule>
  </conditionalFormatting>
  <conditionalFormatting sqref="D473">
    <cfRule type="cellIs" dxfId="0" priority="45" operator="equal">
      <formula>W479</formula>
    </cfRule>
  </conditionalFormatting>
  <conditionalFormatting sqref="O470:P473">
    <cfRule type="colorScale" priority="43">
      <colorScale>
        <cfvo type="num" val="0.88"/>
        <cfvo type="num" val="0.94"/>
        <cfvo type="num" val="1"/>
        <color rgb="FFF8696B"/>
        <color rgb="FFFFEB84"/>
        <color rgb="FF63BE7B"/>
      </colorScale>
    </cfRule>
  </conditionalFormatting>
  <conditionalFormatting sqref="D485 Q485:V485">
    <cfRule type="duplicateValues" dxfId="4" priority="42"/>
  </conditionalFormatting>
  <conditionalFormatting sqref="D487">
    <cfRule type="colorScale" priority="37">
      <colorScale>
        <cfvo type="num" val="0.88"/>
        <cfvo type="num" val="0.94"/>
        <cfvo type="num" val="1"/>
        <color rgb="FFF8696B"/>
        <color rgb="FFFFEB84"/>
        <color rgb="FF63BE7B"/>
      </colorScale>
    </cfRule>
  </conditionalFormatting>
  <conditionalFormatting sqref="D490">
    <cfRule type="cellIs" dxfId="0" priority="41" operator="equal">
      <formula>W499</formula>
    </cfRule>
  </conditionalFormatting>
  <conditionalFormatting sqref="D491">
    <cfRule type="cellIs" dxfId="0" priority="40" operator="equal">
      <formula>W499</formula>
    </cfRule>
  </conditionalFormatting>
  <conditionalFormatting sqref="D492">
    <cfRule type="cellIs" dxfId="0" priority="39" operator="equal">
      <formula>W499</formula>
    </cfRule>
  </conditionalFormatting>
  <conditionalFormatting sqref="D493">
    <cfRule type="cellIs" dxfId="0" priority="38" operator="equal">
      <formula>W499</formula>
    </cfRule>
  </conditionalFormatting>
  <conditionalFormatting sqref="O490:P493">
    <cfRule type="colorScale" priority="36">
      <colorScale>
        <cfvo type="num" val="0.88"/>
        <cfvo type="num" val="0.94"/>
        <cfvo type="num" val="1"/>
        <color rgb="FFF8696B"/>
        <color rgb="FFFFEB84"/>
        <color rgb="FF63BE7B"/>
      </colorScale>
    </cfRule>
  </conditionalFormatting>
  <conditionalFormatting sqref="D505 Q505:V505">
    <cfRule type="duplicateValues" dxfId="4" priority="35"/>
  </conditionalFormatting>
  <conditionalFormatting sqref="D507">
    <cfRule type="colorScale" priority="30">
      <colorScale>
        <cfvo type="num" val="0.88"/>
        <cfvo type="num" val="0.94"/>
        <cfvo type="num" val="1"/>
        <color rgb="FFF8696B"/>
        <color rgb="FFFFEB84"/>
        <color rgb="FF63BE7B"/>
      </colorScale>
    </cfRule>
  </conditionalFormatting>
  <conditionalFormatting sqref="D510">
    <cfRule type="cellIs" dxfId="0" priority="34" operator="equal">
      <formula>W519</formula>
    </cfRule>
  </conditionalFormatting>
  <conditionalFormatting sqref="D511">
    <cfRule type="cellIs" dxfId="0" priority="33" operator="equal">
      <formula>W519</formula>
    </cfRule>
  </conditionalFormatting>
  <conditionalFormatting sqref="D512">
    <cfRule type="cellIs" dxfId="0" priority="32" operator="equal">
      <formula>W519</formula>
    </cfRule>
  </conditionalFormatting>
  <conditionalFormatting sqref="D513">
    <cfRule type="cellIs" dxfId="0" priority="31" operator="equal">
      <formula>W519</formula>
    </cfRule>
  </conditionalFormatting>
  <conditionalFormatting sqref="O510:P513">
    <cfRule type="colorScale" priority="29">
      <colorScale>
        <cfvo type="num" val="0.88"/>
        <cfvo type="num" val="0.94"/>
        <cfvo type="num" val="1"/>
        <color rgb="FFF8696B"/>
        <color rgb="FFFFEB84"/>
        <color rgb="FF63BE7B"/>
      </colorScale>
    </cfRule>
  </conditionalFormatting>
  <conditionalFormatting sqref="D525 Q525:V525">
    <cfRule type="duplicateValues" dxfId="4" priority="28"/>
  </conditionalFormatting>
  <conditionalFormatting sqref="D527">
    <cfRule type="colorScale" priority="23">
      <colorScale>
        <cfvo type="num" val="0.88"/>
        <cfvo type="num" val="0.94"/>
        <cfvo type="num" val="1"/>
        <color rgb="FFF8696B"/>
        <color rgb="FFFFEB84"/>
        <color rgb="FF63BE7B"/>
      </colorScale>
    </cfRule>
  </conditionalFormatting>
  <conditionalFormatting sqref="D530">
    <cfRule type="cellIs" dxfId="0" priority="27" operator="equal">
      <formula>W539</formula>
    </cfRule>
  </conditionalFormatting>
  <conditionalFormatting sqref="D531">
    <cfRule type="cellIs" dxfId="0" priority="26" operator="equal">
      <formula>W539</formula>
    </cfRule>
  </conditionalFormatting>
  <conditionalFormatting sqref="D532">
    <cfRule type="cellIs" dxfId="0" priority="25" operator="equal">
      <formula>W539</formula>
    </cfRule>
  </conditionalFormatting>
  <conditionalFormatting sqref="D533">
    <cfRule type="cellIs" dxfId="0" priority="24" operator="equal">
      <formula>W539</formula>
    </cfRule>
  </conditionalFormatting>
  <conditionalFormatting sqref="O530:P533">
    <cfRule type="colorScale" priority="22">
      <colorScale>
        <cfvo type="num" val="0.88"/>
        <cfvo type="num" val="0.94"/>
        <cfvo type="num" val="1"/>
        <color rgb="FFF8696B"/>
        <color rgb="FFFFEB84"/>
        <color rgb="FF63BE7B"/>
      </colorScale>
    </cfRule>
  </conditionalFormatting>
  <conditionalFormatting sqref="D545 Q545:V545">
    <cfRule type="duplicateValues" dxfId="4" priority="21"/>
  </conditionalFormatting>
  <conditionalFormatting sqref="D547">
    <cfRule type="colorScale" priority="16">
      <colorScale>
        <cfvo type="num" val="0.88"/>
        <cfvo type="num" val="0.94"/>
        <cfvo type="num" val="1"/>
        <color rgb="FFF8696B"/>
        <color rgb="FFFFEB84"/>
        <color rgb="FF63BE7B"/>
      </colorScale>
    </cfRule>
  </conditionalFormatting>
  <conditionalFormatting sqref="D550">
    <cfRule type="cellIs" dxfId="0" priority="20" operator="equal">
      <formula>W559</formula>
    </cfRule>
  </conditionalFormatting>
  <conditionalFormatting sqref="D551">
    <cfRule type="cellIs" dxfId="0" priority="19" operator="equal">
      <formula>W559</formula>
    </cfRule>
  </conditionalFormatting>
  <conditionalFormatting sqref="D552">
    <cfRule type="cellIs" dxfId="0" priority="18" operator="equal">
      <formula>W559</formula>
    </cfRule>
  </conditionalFormatting>
  <conditionalFormatting sqref="D553">
    <cfRule type="cellIs" dxfId="0" priority="17" operator="equal">
      <formula>W559</formula>
    </cfRule>
  </conditionalFormatting>
  <conditionalFormatting sqref="O550:P553">
    <cfRule type="colorScale" priority="15">
      <colorScale>
        <cfvo type="num" val="0.88"/>
        <cfvo type="num" val="0.94"/>
        <cfvo type="num" val="1"/>
        <color rgb="FFF8696B"/>
        <color rgb="FFFFEB84"/>
        <color rgb="FF63BE7B"/>
      </colorScale>
    </cfRule>
  </conditionalFormatting>
  <conditionalFormatting sqref="D565 Q565:V565">
    <cfRule type="duplicateValues" dxfId="4" priority="14"/>
  </conditionalFormatting>
  <conditionalFormatting sqref="D567">
    <cfRule type="colorScale" priority="9">
      <colorScale>
        <cfvo type="num" val="0.88"/>
        <cfvo type="num" val="0.94"/>
        <cfvo type="num" val="1"/>
        <color rgb="FFF8696B"/>
        <color rgb="FFFFEB84"/>
        <color rgb="FF63BE7B"/>
      </colorScale>
    </cfRule>
  </conditionalFormatting>
  <conditionalFormatting sqref="D570">
    <cfRule type="cellIs" dxfId="0" priority="13" operator="equal">
      <formula>W579</formula>
    </cfRule>
  </conditionalFormatting>
  <conditionalFormatting sqref="D571">
    <cfRule type="cellIs" dxfId="0" priority="12" operator="equal">
      <formula>W579</formula>
    </cfRule>
  </conditionalFormatting>
  <conditionalFormatting sqref="D572">
    <cfRule type="cellIs" dxfId="0" priority="11" operator="equal">
      <formula>W579</formula>
    </cfRule>
  </conditionalFormatting>
  <conditionalFormatting sqref="D573">
    <cfRule type="cellIs" dxfId="0" priority="10" operator="equal">
      <formula>W579</formula>
    </cfRule>
  </conditionalFormatting>
  <conditionalFormatting sqref="O570:P573">
    <cfRule type="colorScale" priority="8">
      <colorScale>
        <cfvo type="num" val="0.88"/>
        <cfvo type="num" val="0.94"/>
        <cfvo type="num" val="1"/>
        <color rgb="FFF8696B"/>
        <color rgb="FFFFEB84"/>
        <color rgb="FF63BE7B"/>
      </colorScale>
    </cfRule>
  </conditionalFormatting>
  <conditionalFormatting sqref="D585 Q585:V585">
    <cfRule type="duplicateValues" dxfId="4" priority="7"/>
  </conditionalFormatting>
  <conditionalFormatting sqref="D587">
    <cfRule type="colorScale" priority="2">
      <colorScale>
        <cfvo type="num" val="0.88"/>
        <cfvo type="num" val="0.94"/>
        <cfvo type="num" val="1"/>
        <color rgb="FFF8696B"/>
        <color rgb="FFFFEB84"/>
        <color rgb="FF63BE7B"/>
      </colorScale>
    </cfRule>
  </conditionalFormatting>
  <conditionalFormatting sqref="D590">
    <cfRule type="cellIs" dxfId="0" priority="6" operator="equal">
      <formula>W599</formula>
    </cfRule>
  </conditionalFormatting>
  <conditionalFormatting sqref="D591">
    <cfRule type="cellIs" dxfId="0" priority="5" operator="equal">
      <formula>W599</formula>
    </cfRule>
  </conditionalFormatting>
  <conditionalFormatting sqref="D592">
    <cfRule type="cellIs" dxfId="0" priority="4" operator="equal">
      <formula>W599</formula>
    </cfRule>
  </conditionalFormatting>
  <conditionalFormatting sqref="D593">
    <cfRule type="cellIs" dxfId="0" priority="3" operator="equal">
      <formula>W599</formula>
    </cfRule>
  </conditionalFormatting>
  <conditionalFormatting sqref="O590:P593">
    <cfRule type="colorScale" priority="1">
      <colorScale>
        <cfvo type="num" val="0.88"/>
        <cfvo type="num" val="0.94"/>
        <cfvo type="num" val="1"/>
        <color rgb="FFF8696B"/>
        <color rgb="FFFFEB84"/>
        <color rgb="FF63BE7B"/>
      </colorScale>
    </cfRule>
  </conditionalFormatting>
  <printOptions horizontalCentered="1" verticalCentered="1"/>
  <pageMargins left="0" right="0" top="0" bottom="0" header="0" footer="0"/>
  <pageSetup scale="52" orientation="landscape"/>
  <headerFooter/>
  <rowBreaks count="2" manualBreakCount="2">
    <brk id="89" max="1048575" man="1"/>
    <brk id="170" max="1048575" man="1"/>
  </rowBreaks>
  <colBreaks count="1" manualBreakCount="1">
    <brk id="25"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SendReportEmailPDF">
                <anchor moveWithCells="1">
                  <from>
                    <xdr:col>22</xdr:col>
                    <xdr:colOff>600075</xdr:colOff>
                    <xdr:row>5</xdr:row>
                    <xdr:rowOff>200025</xdr:rowOff>
                  </from>
                  <to>
                    <xdr:col>25</xdr:col>
                    <xdr:colOff>942975</xdr:colOff>
                    <xdr:row>7</xdr:row>
                    <xdr:rowOff>180975</xdr:rowOff>
                  </to>
                </anchor>
              </controlPr>
            </control>
          </mc:Choice>
        </mc:AlternateContent>
        <mc:AlternateContent xmlns:mc="http://schemas.openxmlformats.org/markup-compatibility/2006">
          <mc:Choice Requires="x14">
            <control shapeId="1037" r:id="rId5" name="Button 13">
              <controlPr defaultSize="0" print="0" autoFill="0" autoPict="0" macro="[0]!GeneratePDFPreview">
                <anchor moveWithCells="1">
                  <from>
                    <xdr:col>22</xdr:col>
                    <xdr:colOff>600075</xdr:colOff>
                    <xdr:row>3</xdr:row>
                    <xdr:rowOff>161925</xdr:rowOff>
                  </from>
                  <to>
                    <xdr:col>25</xdr:col>
                    <xdr:colOff>952500</xdr:colOff>
                    <xdr:row>5</xdr:row>
                    <xdr:rowOff>104775</xdr:rowOff>
                  </to>
                </anchor>
              </controlPr>
            </control>
          </mc:Choice>
        </mc:AlternateContent>
        <mc:AlternateContent xmlns:mc="http://schemas.openxmlformats.org/markup-compatibility/2006">
          <mc:Choice Requires="x14">
            <control shapeId="1038" r:id="rId6" name="Button 14">
              <controlPr defaultSize="0" print="0" autoFill="0" autoPict="0" macro="[0]!SetPrintLayout">
                <anchor moveWithCells="1">
                  <from>
                    <xdr:col>22</xdr:col>
                    <xdr:colOff>600075</xdr:colOff>
                    <xdr:row>1</xdr:row>
                    <xdr:rowOff>219075</xdr:rowOff>
                  </from>
                  <to>
                    <xdr:col>25</xdr:col>
                    <xdr:colOff>952500</xdr:colOff>
                    <xdr:row>3</xdr:row>
                    <xdr:rowOff>85725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1D38D1-2FA9-48C7-AFE1-404A3A133B75}">
  <sheetPr codeName="Sheet7"/>
  <dimension ref="A1:L33"/>
  <sheetViews>
    <sheetView zoomScaleNormal="100" workbookViewId="0" tabSelected="0">
      <selection activeCell="B7" sqref="B7"/>
    </sheetView>
  </sheetViews>
  <sheetFormatPr defaultRowHeight="15" x14ac:dyDescent="0.25"/>
  <cols>
    <col min="1" max="1" width="30.85546875" customWidth="1"/>
    <col min="2" max="2" width="32.28515625" customWidth="1"/>
    <col min="3" max="3" width="31.28515625" customWidth="1"/>
    <col min="4" max="5" width="29.5703125" customWidth="1"/>
    <col min="6" max="7" width="7.5703125" customWidth="1"/>
    <col min="8" max="11" width="9" customWidth="1" style="96"/>
    <col min="12" max="12" width="57.85546875" customWidth="1" style="104"/>
  </cols>
  <sheetData>
    <row r="1">
      <c r="A1" s="15" t="s">
        <v>53</v>
      </c>
    </row>
    <row r="2">
      <c r="H2" s="207" t="s">
        <v>16</v>
      </c>
      <c r="I2" s="207"/>
      <c r="J2" s="207"/>
      <c r="K2" s="207"/>
    </row>
    <row r="3" ht="15.75">
      <c r="A3" s="97" t="s">
        <v>54</v>
      </c>
      <c r="B3" s="97" t="s">
        <v>55</v>
      </c>
      <c r="C3" s="97" t="s">
        <v>21</v>
      </c>
      <c r="D3" s="97" t="s">
        <v>56</v>
      </c>
      <c r="E3" s="97" t="s">
        <v>57</v>
      </c>
      <c r="F3" s="97" t="s">
        <v>58</v>
      </c>
      <c r="G3" s="97" t="s">
        <v>59</v>
      </c>
      <c r="H3" s="98" t="s">
        <v>19</v>
      </c>
      <c r="I3" s="98" t="s">
        <v>22</v>
      </c>
      <c r="J3" s="98" t="s">
        <v>25</v>
      </c>
      <c r="K3" s="98" t="s">
        <v>27</v>
      </c>
      <c r="L3" s="105" t="s">
        <v>60</v>
      </c>
    </row>
    <row r="4" ht="27" customHeight="1">
      <c r="A4" s="99" t="str">
        <f ref="A4:A33" t="array">_xlfn.TOCOL(_xlfn.VSTACK(Report!D4,Report!D24,Report!D44,Report!D64,Report!D84,Report!D104,Report!D124,Report!D144,Report!D164,Report!D184,Report!D204,Report!D224,Report!D244,Report!D264,Report!D284,Report!D304,Report!D324,Report!D344,Report!D364,Report!D384,Report!D404,Report!D424,Report!D444,Report!D464,Report!D484,Report!D504,Report!D524,Report!D544,Report!D564,Report!D584),1)</f>
      </c>
      <c r="B4" s="100" t="str">
        <f ref="B4:B33" t="array">_xlfn.TOCOL(_xlfn.VSTACK(Report!D5,Report!D25,Report!D45,Report!D65,Report!D85,Report!D105,Report!D125,Report!D145,Report!D165,Report!D185,Report!D205,Report!D225,Report!D245,Report!D265,Report!D285,Report!D305,Report!D325,Report!D345,Report!D365,Report!D385,Report!D405,Report!D425,Report!D445,Report!D465,Report!D485,Report!D505,Report!D525,Report!D545,Report!D565,Report!D585),1)</f>
      </c>
      <c r="C4" s="100" t="str">
        <f ref="C4:C33" t="array">_xlfn.TOCOL(_xlfn.VSTACK(Report!B11,Report!B31,Report!B51,Report!B71,Report!B91,Report!B111,Report!B131,Report!B151,Report!B171,Report!B191,Report!B211,Report!B231,Report!B251,Report!B271,Report!B291,Report!B311,Report!B331,Report!B351,Report!B371,Report!B391,Report!B411,Report!B431,Report!B451,Report!B471,Report!B491,Report!B511,Report!B531,Report!B551,Report!B571,Report!B591),1)</f>
      </c>
      <c r="D4" s="123" t="str">
        <f ref="D4:D33" t="array">_xlfn.TOCOL(_xlfn.VSTACK(Report!A5,Report!A25,Report!A45,Report!A65,Report!A85,Report!A105,Report!A125,Report!A145,Report!A165,Report!A185,Report!A205,Report!A225,Report!A245,Report!A265,Report!A285,Report!A305,Report!A325,Report!A345,Report!A365,Report!A385,Report!A405,Report!A425,Report!A445,Report!A465,Report!A485,Report!A505,Report!A525,Report!A545,Report!A565,Report!A585),1)</f>
      </c>
      <c r="E4" s="123" t="str">
        <f ref="E4:E33" t="array">_xlfn.TOCOL(_xlfn.VSTACK(Report!A7,Report!A27,Report!A47,Report!A67,Report!A87,Report!A107,Report!A127,Report!A147,Report!A167,Report!A187,Report!A207,Report!A227,Report!A247,Report!A267,Report!A287,Report!A307,Report!A327,Report!A347,Report!A367,Report!A387,Report!A407,Report!A427,Report!A447,Report!A467,Report!A487,Report!A507,Report!A527,Report!A547,Report!A567,Report!A587),1)</f>
      </c>
      <c r="F4" s="123" t="str">
        <f ref="F4:F33" t="array">_xlfn.TOCOL(_xlfn.VSTACK(Report!B12,Report!B32,Report!B52,Report!B72,Report!B92,Report!B112,Report!B132,Report!B152,Report!B172,Report!B192,Report!B212,Report!B232,Report!B252,Report!B272,Report!B292,Report!B312,Report!B332,Report!B352,Report!B372,Report!B392,Report!B412,Report!B432,Report!B452,Report!B472,Report!B492,Report!B512,Report!B532,Report!B552,Report!B572,Report!B592),1)</f>
      </c>
      <c r="G4" s="124" t="str">
        <f ref="G4:G33" t="array">_xlfn.TOCOL(_xlfn.VSTACK(Report!D7,Report!D27,Report!D47,Report!D67,Report!D87,Report!D107,Report!D127,Report!D147,Report!D167,Report!D187,Report!D207,Report!D227,Report!D247,Report!D267,Report!D287,Report!D307,Report!D327,Report!D347,Report!D367,Report!D387,Report!D407,Report!D427,Report!D447,Report!D467,Report!D487,Report!D507,Report!D527,Report!D547,Report!D567,Report!D587),1)</f>
      </c>
      <c r="H4" s="124" t="str">
        <f ref="H4:H33" t="array">_xlfn.TOCOL(_xlfn.VSTACK(Report!O10,Report!O30,Report!O50,Report!O70,Report!O90,Report!O110,Report!O130,Report!O150,Report!O170,Report!O190,Report!O210,Report!O230,Report!O250,Report!O270,Report!O290,Report!O310,Report!O330,Report!O350,Report!O370,Report!O390,Report!O410,Report!O430,Report!O450,Report!O470,Report!O490,Report!O510,Report!O530,Report!O550,Report!O570,Report!O590),1)</f>
        <v>-</v>
      </c>
      <c r="I4" s="124" t="str">
        <f ref="I4:I33" t="array">_xlfn.TOCOL(_xlfn.VSTACK(Report!O11,Report!O31,Report!O51,Report!O71,Report!O91,Report!O111,Report!O131,Report!O151,Report!O171,Report!O191,Report!O211,Report!O231,Report!O251,Report!O271,Report!O291,Report!O311,Report!O331,Report!O351,Report!O371,Report!O391,Report!O411,Report!O431,Report!O451,Report!O471,Report!O491,Report!O511,Report!O531,Report!O551,Report!O571,Report!O591))</f>
      </c>
      <c r="J4" s="124" t="str">
        <f ref="J4:J33" t="array">_xlfn.TOCOL(_xlfn.VSTACK(Report!O12,Report!O32,Report!O52,Report!O72,Report!O92,Report!O112,Report!O132,Report!O152,Report!O172,Report!O192,Report!O212,Report!O232,Report!O252,Report!O272,Report!O292,Report!O312,Report!O332,Report!O352,Report!O372,Report!O392,Report!O412,Report!O432,Report!O452,Report!O472,Report!O492,Report!O512,Report!O532,Report!O552,Report!O572,Report!O592),1)</f>
        <v>-</v>
      </c>
      <c r="K4" s="124" t="str">
        <f ref="K4:K33" t="array">_xlfn.TOCOL(_xlfn.VSTACK(Report!O13,Report!O33,Report!O53,Report!O73,Report!O93,Report!O113,Report!O133,Report!O153,Report!O173,Report!O193,Report!O213,Report!O233,Report!O253,Report!O273,Report!O293,Report!O313,Report!O333,Report!O353,Report!O373,Report!O393,Report!O413,Report!O433,Report!O453,Report!O473,Report!O493,Report!O513,Report!O533,Report!O553,Report!O573,Report!O593),1)</f>
        <v>-</v>
      </c>
      <c r="L4" s="106"/>
    </row>
    <row r="5" ht="27" customHeight="1">
      <c r="A5" s="101" t="s">
        <v>20</v>
      </c>
      <c r="B5" s="60" t="s">
        <v>20</v>
      </c>
      <c r="C5" s="60" t="s">
        <v>20</v>
      </c>
      <c r="D5" s="125" t="s">
        <v>20</v>
      </c>
      <c r="E5" s="125" t="s">
        <v>20</v>
      </c>
      <c r="F5" s="125" t="s">
        <v>20</v>
      </c>
      <c r="G5" s="126" t="s">
        <v>20</v>
      </c>
      <c r="H5" s="126" t="s">
        <v>61</v>
      </c>
      <c r="I5" s="126" t="s">
        <v>20</v>
      </c>
      <c r="J5" s="126" t="s">
        <v>61</v>
      </c>
      <c r="K5" s="126" t="s">
        <v>61</v>
      </c>
      <c r="L5" s="107"/>
    </row>
    <row r="6" ht="27" customHeight="1">
      <c r="A6" s="101" t="s">
        <v>20</v>
      </c>
      <c r="B6" s="60" t="s">
        <v>20</v>
      </c>
      <c r="C6" s="60" t="s">
        <v>20</v>
      </c>
      <c r="D6" s="125" t="s">
        <v>20</v>
      </c>
      <c r="E6" s="125" t="s">
        <v>20</v>
      </c>
      <c r="F6" s="125" t="s">
        <v>20</v>
      </c>
      <c r="G6" s="126" t="s">
        <v>20</v>
      </c>
      <c r="H6" s="126" t="s">
        <v>61</v>
      </c>
      <c r="I6" s="126" t="s">
        <v>20</v>
      </c>
      <c r="J6" s="126" t="s">
        <v>61</v>
      </c>
      <c r="K6" s="126" t="s">
        <v>61</v>
      </c>
      <c r="L6" s="107"/>
    </row>
    <row r="7" ht="27" customHeight="1">
      <c r="A7" s="101" t="s">
        <v>20</v>
      </c>
      <c r="B7" s="60" t="s">
        <v>20</v>
      </c>
      <c r="C7" s="60" t="s">
        <v>20</v>
      </c>
      <c r="D7" s="125" t="s">
        <v>20</v>
      </c>
      <c r="E7" s="125" t="s">
        <v>20</v>
      </c>
      <c r="F7" s="125" t="s">
        <v>20</v>
      </c>
      <c r="G7" s="126" t="s">
        <v>20</v>
      </c>
      <c r="H7" s="126" t="s">
        <v>61</v>
      </c>
      <c r="I7" s="126" t="s">
        <v>20</v>
      </c>
      <c r="J7" s="126" t="s">
        <v>61</v>
      </c>
      <c r="K7" s="126" t="s">
        <v>61</v>
      </c>
      <c r="L7" s="107"/>
    </row>
    <row r="8" ht="27" customHeight="1">
      <c r="A8" s="101" t="s">
        <v>20</v>
      </c>
      <c r="B8" s="60" t="s">
        <v>20</v>
      </c>
      <c r="C8" s="60" t="s">
        <v>20</v>
      </c>
      <c r="D8" s="125" t="s">
        <v>20</v>
      </c>
      <c r="E8" s="125" t="s">
        <v>20</v>
      </c>
      <c r="F8" s="125" t="s">
        <v>20</v>
      </c>
      <c r="G8" s="126" t="s">
        <v>20</v>
      </c>
      <c r="H8" s="126" t="s">
        <v>61</v>
      </c>
      <c r="I8" s="126" t="s">
        <v>20</v>
      </c>
      <c r="J8" s="126" t="s">
        <v>61</v>
      </c>
      <c r="K8" s="126" t="s">
        <v>61</v>
      </c>
      <c r="L8" s="107"/>
    </row>
    <row r="9" ht="27" customHeight="1">
      <c r="A9" s="101" t="s">
        <v>20</v>
      </c>
      <c r="B9" s="60" t="s">
        <v>20</v>
      </c>
      <c r="C9" s="60" t="s">
        <v>20</v>
      </c>
      <c r="D9" s="125" t="s">
        <v>20</v>
      </c>
      <c r="E9" s="125" t="s">
        <v>20</v>
      </c>
      <c r="F9" s="125" t="s">
        <v>20</v>
      </c>
      <c r="G9" s="126" t="s">
        <v>20</v>
      </c>
      <c r="H9" s="126" t="s">
        <v>61</v>
      </c>
      <c r="I9" s="126" t="s">
        <v>20</v>
      </c>
      <c r="J9" s="126" t="s">
        <v>61</v>
      </c>
      <c r="K9" s="126" t="s">
        <v>61</v>
      </c>
      <c r="L9" s="107"/>
    </row>
    <row r="10" ht="27" customHeight="1">
      <c r="A10" s="101" t="s">
        <v>20</v>
      </c>
      <c r="B10" s="60" t="s">
        <v>20</v>
      </c>
      <c r="C10" s="60" t="s">
        <v>20</v>
      </c>
      <c r="D10" s="125" t="s">
        <v>20</v>
      </c>
      <c r="E10" s="125" t="s">
        <v>20</v>
      </c>
      <c r="F10" s="125" t="s">
        <v>20</v>
      </c>
      <c r="G10" s="126" t="s">
        <v>20</v>
      </c>
      <c r="H10" s="126" t="s">
        <v>61</v>
      </c>
      <c r="I10" s="126" t="s">
        <v>20</v>
      </c>
      <c r="J10" s="126" t="s">
        <v>61</v>
      </c>
      <c r="K10" s="126" t="s">
        <v>61</v>
      </c>
      <c r="L10" s="107"/>
    </row>
    <row r="11" ht="27" customHeight="1">
      <c r="A11" s="101" t="s">
        <v>20</v>
      </c>
      <c r="B11" s="60" t="s">
        <v>20</v>
      </c>
      <c r="C11" s="60" t="s">
        <v>20</v>
      </c>
      <c r="D11" s="125" t="s">
        <v>20</v>
      </c>
      <c r="E11" s="125" t="s">
        <v>20</v>
      </c>
      <c r="F11" s="125" t="s">
        <v>20</v>
      </c>
      <c r="G11" s="126" t="s">
        <v>20</v>
      </c>
      <c r="H11" s="126" t="s">
        <v>61</v>
      </c>
      <c r="I11" s="126" t="s">
        <v>20</v>
      </c>
      <c r="J11" s="126" t="s">
        <v>61</v>
      </c>
      <c r="K11" s="126" t="s">
        <v>61</v>
      </c>
      <c r="L11" s="107"/>
    </row>
    <row r="12" ht="27" customHeight="1">
      <c r="A12" s="101" t="s">
        <v>20</v>
      </c>
      <c r="B12" s="60" t="s">
        <v>20</v>
      </c>
      <c r="C12" s="60" t="s">
        <v>20</v>
      </c>
      <c r="D12" s="125" t="s">
        <v>20</v>
      </c>
      <c r="E12" s="125" t="s">
        <v>20</v>
      </c>
      <c r="F12" s="125" t="s">
        <v>20</v>
      </c>
      <c r="G12" s="126" t="s">
        <v>20</v>
      </c>
      <c r="H12" s="126" t="s">
        <v>61</v>
      </c>
      <c r="I12" s="126" t="s">
        <v>20</v>
      </c>
      <c r="J12" s="126" t="s">
        <v>61</v>
      </c>
      <c r="K12" s="126" t="s">
        <v>61</v>
      </c>
      <c r="L12" s="107"/>
    </row>
    <row r="13" ht="27" customHeight="1">
      <c r="A13" s="101" t="s">
        <v>20</v>
      </c>
      <c r="B13" s="60" t="s">
        <v>20</v>
      </c>
      <c r="C13" s="60" t="s">
        <v>20</v>
      </c>
      <c r="D13" s="125" t="s">
        <v>20</v>
      </c>
      <c r="E13" s="125" t="s">
        <v>20</v>
      </c>
      <c r="F13" s="125" t="s">
        <v>20</v>
      </c>
      <c r="G13" s="126" t="s">
        <v>20</v>
      </c>
      <c r="H13" s="126" t="s">
        <v>61</v>
      </c>
      <c r="I13" s="126" t="s">
        <v>20</v>
      </c>
      <c r="J13" s="126" t="s">
        <v>61</v>
      </c>
      <c r="K13" s="126" t="s">
        <v>61</v>
      </c>
      <c r="L13" s="107"/>
    </row>
    <row r="14" ht="27" customHeight="1">
      <c r="A14" s="101" t="s">
        <v>20</v>
      </c>
      <c r="B14" s="60" t="s">
        <v>20</v>
      </c>
      <c r="C14" s="60" t="s">
        <v>20</v>
      </c>
      <c r="D14" s="125" t="s">
        <v>20</v>
      </c>
      <c r="E14" s="125" t="s">
        <v>20</v>
      </c>
      <c r="F14" s="125" t="s">
        <v>20</v>
      </c>
      <c r="G14" s="126" t="s">
        <v>20</v>
      </c>
      <c r="H14" s="126" t="s">
        <v>61</v>
      </c>
      <c r="I14" s="126" t="s">
        <v>20</v>
      </c>
      <c r="J14" s="126" t="s">
        <v>61</v>
      </c>
      <c r="K14" s="126" t="s">
        <v>61</v>
      </c>
      <c r="L14" s="107"/>
    </row>
    <row r="15" ht="27" customHeight="1">
      <c r="A15" s="101" t="s">
        <v>20</v>
      </c>
      <c r="B15" s="60" t="s">
        <v>20</v>
      </c>
      <c r="C15" s="60" t="s">
        <v>20</v>
      </c>
      <c r="D15" s="125" t="s">
        <v>20</v>
      </c>
      <c r="E15" s="125" t="s">
        <v>20</v>
      </c>
      <c r="F15" s="125" t="s">
        <v>20</v>
      </c>
      <c r="G15" s="126" t="s">
        <v>20</v>
      </c>
      <c r="H15" s="126" t="s">
        <v>61</v>
      </c>
      <c r="I15" s="126" t="s">
        <v>20</v>
      </c>
      <c r="J15" s="126" t="s">
        <v>61</v>
      </c>
      <c r="K15" s="126" t="s">
        <v>61</v>
      </c>
      <c r="L15" s="107"/>
    </row>
    <row r="16" ht="27" customHeight="1">
      <c r="A16" s="101" t="s">
        <v>20</v>
      </c>
      <c r="B16" s="60" t="s">
        <v>20</v>
      </c>
      <c r="C16" s="60" t="s">
        <v>20</v>
      </c>
      <c r="D16" s="125" t="s">
        <v>20</v>
      </c>
      <c r="E16" s="125" t="s">
        <v>20</v>
      </c>
      <c r="F16" s="125" t="s">
        <v>20</v>
      </c>
      <c r="G16" s="126" t="s">
        <v>20</v>
      </c>
      <c r="H16" s="126" t="s">
        <v>61</v>
      </c>
      <c r="I16" s="126" t="s">
        <v>20</v>
      </c>
      <c r="J16" s="126" t="s">
        <v>61</v>
      </c>
      <c r="K16" s="126" t="s">
        <v>61</v>
      </c>
      <c r="L16" s="107"/>
    </row>
    <row r="17" ht="27" customHeight="1">
      <c r="A17" s="101" t="s">
        <v>20</v>
      </c>
      <c r="B17" s="60" t="s">
        <v>20</v>
      </c>
      <c r="C17" s="60" t="s">
        <v>20</v>
      </c>
      <c r="D17" s="125" t="s">
        <v>20</v>
      </c>
      <c r="E17" s="125" t="s">
        <v>20</v>
      </c>
      <c r="F17" s="125" t="s">
        <v>20</v>
      </c>
      <c r="G17" s="126" t="s">
        <v>20</v>
      </c>
      <c r="H17" s="126" t="s">
        <v>61</v>
      </c>
      <c r="I17" s="126" t="s">
        <v>20</v>
      </c>
      <c r="J17" s="126" t="s">
        <v>61</v>
      </c>
      <c r="K17" s="126" t="s">
        <v>61</v>
      </c>
      <c r="L17" s="107"/>
    </row>
    <row r="18" ht="27" customHeight="1">
      <c r="A18" s="101" t="s">
        <v>20</v>
      </c>
      <c r="B18" s="60" t="s">
        <v>20</v>
      </c>
      <c r="C18" s="60" t="s">
        <v>20</v>
      </c>
      <c r="D18" s="125" t="s">
        <v>20</v>
      </c>
      <c r="E18" s="125" t="s">
        <v>20</v>
      </c>
      <c r="F18" s="125" t="s">
        <v>20</v>
      </c>
      <c r="G18" s="126" t="s">
        <v>20</v>
      </c>
      <c r="H18" s="126" t="s">
        <v>61</v>
      </c>
      <c r="I18" s="126" t="s">
        <v>20</v>
      </c>
      <c r="J18" s="126" t="s">
        <v>61</v>
      </c>
      <c r="K18" s="126" t="s">
        <v>61</v>
      </c>
      <c r="L18" s="107"/>
    </row>
    <row r="19" ht="27" customHeight="1">
      <c r="A19" s="101" t="s">
        <v>20</v>
      </c>
      <c r="B19" s="60" t="s">
        <v>20</v>
      </c>
      <c r="C19" s="60" t="s">
        <v>20</v>
      </c>
      <c r="D19" s="125" t="s">
        <v>20</v>
      </c>
      <c r="E19" s="125" t="s">
        <v>20</v>
      </c>
      <c r="F19" s="125" t="s">
        <v>20</v>
      </c>
      <c r="G19" s="126" t="s">
        <v>20</v>
      </c>
      <c r="H19" s="126" t="s">
        <v>61</v>
      </c>
      <c r="I19" s="126" t="s">
        <v>20</v>
      </c>
      <c r="J19" s="126" t="s">
        <v>61</v>
      </c>
      <c r="K19" s="126" t="s">
        <v>61</v>
      </c>
      <c r="L19" s="107"/>
    </row>
    <row r="20" ht="27" customHeight="1">
      <c r="A20" s="101" t="s">
        <v>20</v>
      </c>
      <c r="B20" s="60" t="s">
        <v>20</v>
      </c>
      <c r="C20" s="60" t="s">
        <v>20</v>
      </c>
      <c r="D20" s="125" t="s">
        <v>20</v>
      </c>
      <c r="E20" s="125" t="s">
        <v>20</v>
      </c>
      <c r="F20" s="125" t="s">
        <v>20</v>
      </c>
      <c r="G20" s="126" t="s">
        <v>20</v>
      </c>
      <c r="H20" s="126" t="s">
        <v>61</v>
      </c>
      <c r="I20" s="126" t="s">
        <v>20</v>
      </c>
      <c r="J20" s="126" t="s">
        <v>61</v>
      </c>
      <c r="K20" s="126" t="s">
        <v>61</v>
      </c>
      <c r="L20" s="107"/>
    </row>
    <row r="21" ht="27" customHeight="1">
      <c r="A21" s="101" t="s">
        <v>20</v>
      </c>
      <c r="B21" s="60" t="s">
        <v>20</v>
      </c>
      <c r="C21" s="60" t="s">
        <v>20</v>
      </c>
      <c r="D21" s="125" t="s">
        <v>20</v>
      </c>
      <c r="E21" s="125" t="s">
        <v>20</v>
      </c>
      <c r="F21" s="125" t="s">
        <v>20</v>
      </c>
      <c r="G21" s="126" t="s">
        <v>20</v>
      </c>
      <c r="H21" s="126" t="s">
        <v>61</v>
      </c>
      <c r="I21" s="126" t="s">
        <v>20</v>
      </c>
      <c r="J21" s="126" t="s">
        <v>61</v>
      </c>
      <c r="K21" s="126" t="s">
        <v>61</v>
      </c>
      <c r="L21" s="107"/>
    </row>
    <row r="22" ht="27" customHeight="1">
      <c r="A22" s="101" t="s">
        <v>20</v>
      </c>
      <c r="B22" s="60" t="s">
        <v>20</v>
      </c>
      <c r="C22" s="60" t="s">
        <v>20</v>
      </c>
      <c r="D22" s="125" t="s">
        <v>20</v>
      </c>
      <c r="E22" s="125" t="s">
        <v>20</v>
      </c>
      <c r="F22" s="125" t="s">
        <v>20</v>
      </c>
      <c r="G22" s="126" t="s">
        <v>20</v>
      </c>
      <c r="H22" s="126" t="s">
        <v>61</v>
      </c>
      <c r="I22" s="126" t="s">
        <v>20</v>
      </c>
      <c r="J22" s="126" t="s">
        <v>61</v>
      </c>
      <c r="K22" s="126" t="s">
        <v>61</v>
      </c>
      <c r="L22" s="107"/>
    </row>
    <row r="23" ht="27" customHeight="1">
      <c r="A23" s="101" t="s">
        <v>20</v>
      </c>
      <c r="B23" s="60" t="s">
        <v>20</v>
      </c>
      <c r="C23" s="60" t="s">
        <v>20</v>
      </c>
      <c r="D23" s="125" t="s">
        <v>20</v>
      </c>
      <c r="E23" s="125" t="s">
        <v>20</v>
      </c>
      <c r="F23" s="125" t="s">
        <v>20</v>
      </c>
      <c r="G23" s="126" t="s">
        <v>20</v>
      </c>
      <c r="H23" s="126" t="s">
        <v>61</v>
      </c>
      <c r="I23" s="126" t="s">
        <v>20</v>
      </c>
      <c r="J23" s="126" t="s">
        <v>61</v>
      </c>
      <c r="K23" s="126" t="s">
        <v>61</v>
      </c>
      <c r="L23" s="107"/>
    </row>
    <row r="24" ht="27" customHeight="1">
      <c r="A24" s="101" t="s">
        <v>20</v>
      </c>
      <c r="B24" s="60" t="s">
        <v>20</v>
      </c>
      <c r="C24" s="60" t="s">
        <v>20</v>
      </c>
      <c r="D24" s="125" t="s">
        <v>20</v>
      </c>
      <c r="E24" s="125" t="s">
        <v>20</v>
      </c>
      <c r="F24" s="125" t="s">
        <v>20</v>
      </c>
      <c r="G24" s="126" t="s">
        <v>20</v>
      </c>
      <c r="H24" s="126" t="s">
        <v>61</v>
      </c>
      <c r="I24" s="126" t="s">
        <v>20</v>
      </c>
      <c r="J24" s="126" t="s">
        <v>61</v>
      </c>
      <c r="K24" s="126" t="s">
        <v>61</v>
      </c>
      <c r="L24" s="107"/>
    </row>
    <row r="25" ht="27" customHeight="1">
      <c r="A25" s="101" t="s">
        <v>20</v>
      </c>
      <c r="B25" s="60" t="s">
        <v>20</v>
      </c>
      <c r="C25" s="60" t="s">
        <v>20</v>
      </c>
      <c r="D25" s="125" t="s">
        <v>20</v>
      </c>
      <c r="E25" s="125" t="s">
        <v>20</v>
      </c>
      <c r="F25" s="125" t="s">
        <v>20</v>
      </c>
      <c r="G25" s="126" t="s">
        <v>20</v>
      </c>
      <c r="H25" s="126" t="s">
        <v>61</v>
      </c>
      <c r="I25" s="126" t="s">
        <v>20</v>
      </c>
      <c r="J25" s="126" t="s">
        <v>61</v>
      </c>
      <c r="K25" s="126" t="s">
        <v>61</v>
      </c>
      <c r="L25" s="107"/>
    </row>
    <row r="26" ht="27" customHeight="1">
      <c r="A26" s="101" t="s">
        <v>20</v>
      </c>
      <c r="B26" s="60" t="s">
        <v>20</v>
      </c>
      <c r="C26" s="60" t="s">
        <v>20</v>
      </c>
      <c r="D26" s="125" t="s">
        <v>20</v>
      </c>
      <c r="E26" s="125" t="s">
        <v>20</v>
      </c>
      <c r="F26" s="125" t="s">
        <v>20</v>
      </c>
      <c r="G26" s="126" t="s">
        <v>20</v>
      </c>
      <c r="H26" s="126" t="s">
        <v>61</v>
      </c>
      <c r="I26" s="126" t="s">
        <v>20</v>
      </c>
      <c r="J26" s="126" t="s">
        <v>61</v>
      </c>
      <c r="K26" s="126" t="s">
        <v>61</v>
      </c>
      <c r="L26" s="107"/>
    </row>
    <row r="27" ht="27" customHeight="1">
      <c r="A27" s="101" t="s">
        <v>20</v>
      </c>
      <c r="B27" s="60" t="s">
        <v>20</v>
      </c>
      <c r="C27" s="60" t="s">
        <v>20</v>
      </c>
      <c r="D27" s="125" t="s">
        <v>20</v>
      </c>
      <c r="E27" s="125" t="s">
        <v>20</v>
      </c>
      <c r="F27" s="125" t="s">
        <v>20</v>
      </c>
      <c r="G27" s="126" t="s">
        <v>20</v>
      </c>
      <c r="H27" s="126" t="s">
        <v>61</v>
      </c>
      <c r="I27" s="126" t="s">
        <v>20</v>
      </c>
      <c r="J27" s="126" t="s">
        <v>61</v>
      </c>
      <c r="K27" s="126" t="s">
        <v>61</v>
      </c>
      <c r="L27" s="107"/>
    </row>
    <row r="28" ht="27" customHeight="1">
      <c r="A28" s="101" t="s">
        <v>20</v>
      </c>
      <c r="B28" s="60" t="s">
        <v>20</v>
      </c>
      <c r="C28" s="60" t="s">
        <v>20</v>
      </c>
      <c r="D28" s="125" t="s">
        <v>20</v>
      </c>
      <c r="E28" s="125" t="s">
        <v>20</v>
      </c>
      <c r="F28" s="125" t="s">
        <v>20</v>
      </c>
      <c r="G28" s="126" t="s">
        <v>20</v>
      </c>
      <c r="H28" s="126" t="s">
        <v>61</v>
      </c>
      <c r="I28" s="126" t="s">
        <v>20</v>
      </c>
      <c r="J28" s="126" t="s">
        <v>61</v>
      </c>
      <c r="K28" s="126" t="s">
        <v>61</v>
      </c>
      <c r="L28" s="107"/>
    </row>
    <row r="29" ht="27" customHeight="1">
      <c r="A29" s="101" t="s">
        <v>20</v>
      </c>
      <c r="B29" s="60" t="s">
        <v>20</v>
      </c>
      <c r="C29" s="60" t="s">
        <v>20</v>
      </c>
      <c r="D29" s="125" t="s">
        <v>20</v>
      </c>
      <c r="E29" s="125" t="s">
        <v>20</v>
      </c>
      <c r="F29" s="125" t="s">
        <v>20</v>
      </c>
      <c r="G29" s="126" t="s">
        <v>20</v>
      </c>
      <c r="H29" s="126" t="s">
        <v>61</v>
      </c>
      <c r="I29" s="126" t="s">
        <v>20</v>
      </c>
      <c r="J29" s="126" t="s">
        <v>61</v>
      </c>
      <c r="K29" s="126" t="s">
        <v>61</v>
      </c>
      <c r="L29" s="107"/>
    </row>
    <row r="30" ht="27" customHeight="1">
      <c r="A30" s="101" t="s">
        <v>20</v>
      </c>
      <c r="B30" s="60" t="s">
        <v>20</v>
      </c>
      <c r="C30" s="60" t="s">
        <v>20</v>
      </c>
      <c r="D30" s="125" t="s">
        <v>20</v>
      </c>
      <c r="E30" s="125" t="s">
        <v>20</v>
      </c>
      <c r="F30" s="125" t="s">
        <v>20</v>
      </c>
      <c r="G30" s="126" t="s">
        <v>20</v>
      </c>
      <c r="H30" s="126" t="s">
        <v>61</v>
      </c>
      <c r="I30" s="126" t="s">
        <v>20</v>
      </c>
      <c r="J30" s="126" t="s">
        <v>61</v>
      </c>
      <c r="K30" s="126" t="s">
        <v>61</v>
      </c>
      <c r="L30" s="107"/>
    </row>
    <row r="31" ht="27" customHeight="1">
      <c r="A31" s="101" t="s">
        <v>20</v>
      </c>
      <c r="B31" s="60" t="s">
        <v>20</v>
      </c>
      <c r="C31" s="60" t="s">
        <v>20</v>
      </c>
      <c r="D31" s="125" t="s">
        <v>20</v>
      </c>
      <c r="E31" s="125" t="s">
        <v>20</v>
      </c>
      <c r="F31" s="125" t="s">
        <v>20</v>
      </c>
      <c r="G31" s="126" t="s">
        <v>20</v>
      </c>
      <c r="H31" s="126" t="s">
        <v>61</v>
      </c>
      <c r="I31" s="126" t="s">
        <v>20</v>
      </c>
      <c r="J31" s="126" t="s">
        <v>61</v>
      </c>
      <c r="K31" s="126" t="s">
        <v>61</v>
      </c>
      <c r="L31" s="107"/>
    </row>
    <row r="32" ht="27" customHeight="1">
      <c r="A32" s="102" t="s">
        <v>20</v>
      </c>
      <c r="B32" s="103" t="s">
        <v>20</v>
      </c>
      <c r="C32" s="103" t="s">
        <v>20</v>
      </c>
      <c r="D32" s="127" t="s">
        <v>20</v>
      </c>
      <c r="E32" s="127" t="s">
        <v>20</v>
      </c>
      <c r="F32" s="127" t="s">
        <v>20</v>
      </c>
      <c r="G32" s="128" t="s">
        <v>20</v>
      </c>
      <c r="H32" s="128" t="s">
        <v>61</v>
      </c>
      <c r="I32" s="128" t="s">
        <v>20</v>
      </c>
      <c r="J32" s="128" t="s">
        <v>61</v>
      </c>
      <c r="K32" s="128" t="s">
        <v>61</v>
      </c>
      <c r="L32" s="108"/>
    </row>
    <row r="33" ht="27" customHeight="1">
      <c r="A33" s="102" t="s">
        <v>20</v>
      </c>
      <c r="B33" s="103" t="s">
        <v>20</v>
      </c>
      <c r="C33" s="103" t="s">
        <v>20</v>
      </c>
      <c r="D33" s="127" t="s">
        <v>20</v>
      </c>
      <c r="E33" s="127" t="s">
        <v>20</v>
      </c>
      <c r="F33" s="127" t="s">
        <v>20</v>
      </c>
      <c r="G33" s="128" t="s">
        <v>20</v>
      </c>
      <c r="H33" s="128" t="s">
        <v>61</v>
      </c>
      <c r="I33" s="128" t="s">
        <v>20</v>
      </c>
      <c r="J33" s="128" t="s">
        <v>61</v>
      </c>
      <c r="K33" s="128" t="s">
        <v>61</v>
      </c>
      <c r="L33" s="108"/>
    </row>
  </sheetData>
  <mergeCells>
    <mergeCell ref="H2:K2"/>
  </mergeCells>
  <conditionalFormatting sqref="G34:K1048576 G1:K32">
    <cfRule type="colorScale" priority="3">
      <colorScale>
        <cfvo type="min"/>
        <cfvo type="percent" val="85"/>
        <cfvo type="num" val="1"/>
        <color rgb="FFF8696B"/>
        <color rgb="FFFCFCFF"/>
        <color rgb="FF63BE7B"/>
      </colorScale>
    </cfRule>
  </conditionalFormatting>
  <conditionalFormatting sqref="G33:K33">
    <cfRule type="colorScale" priority="1">
      <colorScale>
        <cfvo type="min"/>
        <cfvo type="percent" val="85"/>
        <cfvo type="num" val="1"/>
        <color rgb="FFF8696B"/>
        <color rgb="FFFCFCFF"/>
        <color rgb="FF63BE7B"/>
      </colorScale>
    </cfRule>
  </conditionalFormatting>
  <pageMargins left="0.7" right="0.7" top="0.75" bottom="0.75" header="0.3" footer="0.3"/>
  <pageSetup scale="47" orientation="landscape"/>
  <headerFooter/>
  <drawing r:id="rId2"/>
  <legacyDrawing r:id="rId3"/>
  <controls>
    <mc:AlternateContent xmlns:mc="http://schemas.openxmlformats.org/markup-compatibility/2006">
      <mc:Choice Requires="x14">
        <control shapeId="2049" r:id="rId4" name="CommandButton1">
          <controlPr defaultSize="0" print="0" autoLine="0" autoPict="0" r:id="rId5">
            <anchor>
              <from>
                <xdr:col>1</xdr:col>
                <xdr:colOff>0</xdr:colOff>
                <xdr:row>0</xdr:row>
                <xdr:rowOff>0</xdr:rowOff>
              </from>
              <to>
                <xdr:col>2</xdr:col>
                <xdr:colOff>0</xdr:colOff>
                <xdr:row>2</xdr:row>
                <xdr:rowOff>0</xdr:rowOff>
              </to>
            </anchor>
          </controlPr>
        </control>
      </mc:Choice>
      <mc:Fallback>
        <control shapeId="2049" r:id="rId4" name="CommandButton1"/>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LQ1000"/>
  <sheetViews>
    <sheetView zoomScale="80" zoomScaleNormal="80" workbookViewId="0" tabSelected="0">
      <selection activeCell="AC26" sqref="AC26"/>
    </sheetView>
  </sheetViews>
  <sheetFormatPr defaultRowHeight="15" x14ac:dyDescent="0.25"/>
  <cols>
    <col min="1" max="1" bestFit="1" width="26.42578125" customWidth="1"/>
    <col min="2" max="2" width="21" customWidth="1"/>
    <col min="3" max="3" width="8.140625" customWidth="1"/>
    <col min="4" max="4" width="10.85546875" customWidth="1"/>
    <col min="5" max="5" width="9.5703125" customWidth="1"/>
    <col min="6" max="6" width="10.85546875" customWidth="1"/>
    <col min="7" max="7" width="11.140625" customWidth="1" style="19"/>
    <col min="8" max="8" width="10.5703125" customWidth="1"/>
    <col min="9" max="9" width="11.42578125" customWidth="1"/>
    <col min="10" max="10" width="12.85546875" customWidth="1"/>
    <col min="11" max="11" width="21.140625" customWidth="1"/>
    <col min="12" max="12" bestFit="1" width="26.42578125" customWidth="1"/>
    <col min="13" max="13" width="24.5703125" customWidth="1"/>
    <col min="14" max="14" width="8.140625" customWidth="1" style="19"/>
    <col min="15" max="15" width="10.85546875" customWidth="1"/>
    <col min="16" max="16" width="9.5703125" customWidth="1"/>
    <col min="17" max="18" width="10.85546875" customWidth="1"/>
    <col min="19" max="19" width="10.5703125" customWidth="1"/>
    <col min="20" max="20" width="11.42578125" customWidth="1"/>
    <col min="21" max="21" width="12.85546875" customWidth="1"/>
    <col min="22" max="22" width="9.140625" customWidth="1"/>
    <col min="23" max="23" bestFit="1" width="26.42578125" customWidth="1"/>
    <col min="24" max="24" bestFit="1" width="20.5703125" customWidth="1"/>
    <col min="25" max="25" bestFit="1" width="8.140625" customWidth="1" style="22"/>
    <col min="26" max="26" bestFit="1" width="10.85546875" customWidth="1"/>
    <col min="27" max="27" bestFit="1" width="9.5703125" customWidth="1"/>
    <col min="28" max="29" bestFit="1" width="10.85546875" customWidth="1"/>
    <col min="30" max="30" bestFit="1" width="10.5703125" customWidth="1"/>
    <col min="31" max="31" bestFit="1" width="11.42578125" customWidth="1"/>
    <col min="32" max="32" bestFit="1" width="12.85546875" customWidth="1"/>
    <col min="34" max="34" bestFit="1" width="26.42578125" customWidth="1"/>
    <col min="35" max="35" width="19" customWidth="1"/>
    <col min="36" max="36" width="8.140625" customWidth="1"/>
    <col min="37" max="37" width="10.85546875" customWidth="1"/>
    <col min="38" max="38" width="9.5703125" customWidth="1"/>
    <col min="39" max="40" width="10.85546875" customWidth="1"/>
    <col min="41" max="41" width="10.5703125" customWidth="1"/>
    <col min="42" max="42" width="11.42578125" customWidth="1"/>
    <col min="43" max="43" width="12.85546875" customWidth="1"/>
    <col min="45" max="45" bestFit="1" width="26.42578125" customWidth="1"/>
    <col min="46" max="46" width="19" customWidth="1"/>
    <col min="47" max="47" width="8.140625" customWidth="1"/>
    <col min="48" max="48" width="10.85546875" customWidth="1"/>
    <col min="49" max="49" width="9.5703125" customWidth="1"/>
    <col min="50" max="51" width="10.85546875" customWidth="1"/>
    <col min="52" max="52" width="10.5703125" customWidth="1" style="34"/>
    <col min="53" max="53" width="11.42578125" customWidth="1" style="34"/>
    <col min="54" max="54" width="8.85546875" customWidth="1"/>
    <col min="56" max="56" bestFit="1" width="26.42578125" customWidth="1"/>
    <col min="57" max="57" bestFit="1" width="19.140625" customWidth="1"/>
    <col min="59" max="59" bestFit="1" width="10.85546875" customWidth="1"/>
    <col min="60" max="60" bestFit="1" width="9.5703125" customWidth="1"/>
    <col min="61" max="61" bestFit="1" width="10.85546875" customWidth="1"/>
    <col min="62" max="62" bestFit="1" width="9.85546875" customWidth="1"/>
    <col min="63" max="63" bestFit="1" width="10.5703125" customWidth="1"/>
    <col min="64" max="64" bestFit="1" width="11.5703125" customWidth="1"/>
    <col min="65" max="65" bestFit="1" width="12.42578125" customWidth="1"/>
    <col min="67" max="67" bestFit="1" width="26.42578125" customWidth="1"/>
    <col min="68" max="68" width="20.140625" customWidth="1"/>
    <col min="69" max="69" bestFit="1" width="8.140625" customWidth="1"/>
    <col min="70" max="70" bestFit="1" width="10.85546875" customWidth="1"/>
    <col min="71" max="71" bestFit="1" width="9.5703125" customWidth="1"/>
    <col min="72" max="72" bestFit="1" width="10.85546875" customWidth="1"/>
    <col min="73" max="73" bestFit="1" width="9.85546875" customWidth="1"/>
    <col min="74" max="74" bestFit="1" width="10.5703125" customWidth="1"/>
    <col min="75" max="75" bestFit="1" width="11.5703125" customWidth="1"/>
    <col min="76" max="76" bestFit="1" width="12.42578125" customWidth="1"/>
    <col min="78" max="78" bestFit="1" width="26.42578125" customWidth="1"/>
    <col min="79" max="79" width="26.42578125" customWidth="1"/>
    <col min="80" max="80" width="8.85546875" customWidth="1"/>
    <col min="81" max="81" bestFit="1" width="10.85546875" customWidth="1"/>
    <col min="82" max="82" bestFit="1" width="9.5703125" customWidth="1"/>
    <col min="83" max="83" bestFit="1" width="10.85546875" customWidth="1"/>
    <col min="84" max="84" bestFit="1" width="9.85546875" customWidth="1"/>
    <col min="85" max="85" bestFit="1" width="10.5703125" customWidth="1"/>
    <col min="86" max="86" bestFit="1" width="11.5703125" customWidth="1"/>
    <col min="87" max="87" bestFit="1" width="12.42578125" customWidth="1"/>
    <col min="89" max="89" bestFit="1" width="26.42578125" customWidth="1"/>
    <col min="90" max="90" width="16" customWidth="1"/>
    <col min="92" max="92" bestFit="1" width="10.85546875" customWidth="1"/>
    <col min="93" max="93" bestFit="1" width="9.5703125" customWidth="1"/>
    <col min="94" max="94" bestFit="1" width="10.85546875" customWidth="1"/>
    <col min="95" max="95" bestFit="1" width="9.85546875" customWidth="1"/>
    <col min="96" max="96" bestFit="1" width="10.5703125" customWidth="1"/>
    <col min="97" max="97" bestFit="1" width="11.5703125" customWidth="1"/>
    <col min="98" max="98" bestFit="1" width="12.42578125" customWidth="1"/>
    <col min="100" max="100" bestFit="1" width="26.42578125" customWidth="1"/>
    <col min="101" max="101" width="18.140625" customWidth="1"/>
    <col min="103" max="103" bestFit="1" width="10.85546875" customWidth="1"/>
    <col min="104" max="104" bestFit="1" width="9.5703125" customWidth="1"/>
    <col min="105" max="105" bestFit="1" width="10.85546875" customWidth="1"/>
    <col min="106" max="106" bestFit="1" width="9.85546875" customWidth="1"/>
    <col min="107" max="107" bestFit="1" width="10.5703125" customWidth="1"/>
    <col min="108" max="108" bestFit="1" width="11.5703125" customWidth="1"/>
    <col min="109" max="109" bestFit="1" width="12.42578125" customWidth="1"/>
    <col min="111" max="111" bestFit="1" width="26.42578125" customWidth="1"/>
    <col min="112" max="112" width="18.140625" customWidth="1"/>
    <col min="114" max="114" bestFit="1" width="10.85546875" customWidth="1"/>
    <col min="115" max="115" bestFit="1" width="9.5703125" customWidth="1"/>
    <col min="116" max="116" bestFit="1" width="10.85546875" customWidth="1"/>
    <col min="117" max="117" bestFit="1" width="9.85546875" customWidth="1"/>
    <col min="118" max="118" bestFit="1" width="10.5703125" customWidth="1"/>
    <col min="119" max="119" bestFit="1" width="11.5703125" customWidth="1"/>
    <col min="120" max="120" bestFit="1" width="12.42578125" customWidth="1"/>
    <col min="122" max="122" bestFit="1" width="26.42578125" customWidth="1"/>
    <col min="123" max="123" width="18.140625" customWidth="1"/>
    <col min="125" max="125" bestFit="1" width="10.85546875" customWidth="1"/>
    <col min="126" max="126" bestFit="1" width="9.5703125" customWidth="1"/>
    <col min="127" max="127" bestFit="1" width="10.85546875" customWidth="1"/>
    <col min="128" max="128" bestFit="1" width="9.85546875" customWidth="1"/>
    <col min="129" max="129" bestFit="1" width="10.5703125" customWidth="1"/>
    <col min="130" max="130" bestFit="1" width="11.5703125" customWidth="1"/>
    <col min="131" max="131" bestFit="1" width="12.42578125" customWidth="1"/>
    <col min="133" max="133" bestFit="1" width="26.42578125" customWidth="1"/>
    <col min="134" max="134" width="18.140625" customWidth="1"/>
    <col min="136" max="136" bestFit="1" width="10.85546875" customWidth="1"/>
    <col min="137" max="137" bestFit="1" width="9.5703125" customWidth="1"/>
    <col min="138" max="138" bestFit="1" width="10.85546875" customWidth="1"/>
    <col min="139" max="139" bestFit="1" width="9.85546875" customWidth="1"/>
    <col min="140" max="140" bestFit="1" width="10.5703125" customWidth="1"/>
    <col min="141" max="141" bestFit="1" width="11.5703125" customWidth="1"/>
    <col min="142" max="142" bestFit="1" width="12.42578125" customWidth="1"/>
    <col min="144" max="144" bestFit="1" width="26.42578125" customWidth="1"/>
    <col min="145" max="145" width="18.140625" customWidth="1"/>
    <col min="147" max="147" bestFit="1" width="10.85546875" customWidth="1"/>
    <col min="148" max="148" bestFit="1" width="9.5703125" customWidth="1"/>
    <col min="149" max="149" bestFit="1" width="10.85546875" customWidth="1"/>
    <col min="150" max="150" bestFit="1" width="9.85546875" customWidth="1"/>
    <col min="151" max="151" bestFit="1" width="10.5703125" customWidth="1"/>
    <col min="152" max="152" bestFit="1" width="11.5703125" customWidth="1"/>
    <col min="153" max="153" bestFit="1" width="12.42578125" customWidth="1"/>
    <col min="155" max="155" bestFit="1" width="26.42578125" customWidth="1"/>
    <col min="156" max="156" width="18.140625" customWidth="1"/>
    <col min="158" max="158" bestFit="1" width="10.85546875" customWidth="1"/>
    <col min="159" max="159" bestFit="1" width="9.5703125" customWidth="1"/>
    <col min="160" max="160" bestFit="1" width="10.85546875" customWidth="1"/>
    <col min="161" max="161" bestFit="1" width="9.85546875" customWidth="1"/>
    <col min="162" max="162" bestFit="1" width="10.5703125" customWidth="1"/>
    <col min="163" max="163" bestFit="1" width="11.5703125" customWidth="1"/>
    <col min="164" max="164" bestFit="1" width="12.42578125" customWidth="1"/>
    <col min="166" max="166" bestFit="1" width="26.42578125" customWidth="1"/>
    <col min="167" max="167" width="18.140625" customWidth="1"/>
    <col min="169" max="169" bestFit="1" width="10.85546875" customWidth="1"/>
    <col min="170" max="170" bestFit="1" width="9.5703125" customWidth="1"/>
    <col min="171" max="171" bestFit="1" width="10.85546875" customWidth="1"/>
    <col min="172" max="172" bestFit="1" width="9.85546875" customWidth="1"/>
    <col min="173" max="173" bestFit="1" width="10.5703125" customWidth="1"/>
    <col min="174" max="174" bestFit="1" width="11.5703125" customWidth="1"/>
    <col min="175" max="175" bestFit="1" width="12.42578125" customWidth="1"/>
    <col min="177" max="177" bestFit="1" width="26.42578125" customWidth="1"/>
    <col min="178" max="178" width="18.140625" customWidth="1"/>
    <col min="180" max="180" bestFit="1" width="10.85546875" customWidth="1"/>
    <col min="181" max="181" bestFit="1" width="9.5703125" customWidth="1"/>
    <col min="182" max="182" bestFit="1" width="10.85546875" customWidth="1"/>
    <col min="183" max="183" bestFit="1" width="9.85546875" customWidth="1"/>
    <col min="184" max="184" bestFit="1" width="10.5703125" customWidth="1"/>
    <col min="185" max="185" bestFit="1" width="11.5703125" customWidth="1"/>
    <col min="186" max="186" bestFit="1" width="12.42578125" customWidth="1"/>
    <col min="188" max="188" bestFit="1" width="26.42578125" customWidth="1"/>
    <col min="189" max="189" width="18.140625" customWidth="1"/>
    <col min="191" max="191" bestFit="1" width="10.85546875" customWidth="1"/>
    <col min="192" max="192" bestFit="1" width="9.5703125" customWidth="1"/>
    <col min="193" max="193" bestFit="1" width="10.85546875" customWidth="1"/>
    <col min="194" max="194" bestFit="1" width="9.85546875" customWidth="1"/>
    <col min="195" max="195" bestFit="1" width="10.5703125" customWidth="1"/>
    <col min="196" max="196" bestFit="1" width="11.5703125" customWidth="1"/>
    <col min="197" max="197" bestFit="1" width="12.42578125" customWidth="1"/>
    <col min="199" max="199" bestFit="1" width="26.42578125" customWidth="1"/>
    <col min="200" max="200" width="18.140625" customWidth="1"/>
    <col min="202" max="202" bestFit="1" width="10.85546875" customWidth="1"/>
    <col min="203" max="203" bestFit="1" width="9.5703125" customWidth="1"/>
    <col min="204" max="204" bestFit="1" width="10.85546875" customWidth="1"/>
    <col min="205" max="205" bestFit="1" width="9.85546875" customWidth="1"/>
    <col min="206" max="206" bestFit="1" width="10.5703125" customWidth="1"/>
    <col min="207" max="207" bestFit="1" width="11.5703125" customWidth="1"/>
    <col min="208" max="208" bestFit="1" width="12.42578125" customWidth="1"/>
    <col min="210" max="210" bestFit="1" width="26.42578125" customWidth="1"/>
    <col min="211" max="211" width="18.140625" customWidth="1"/>
    <col min="213" max="213" bestFit="1" width="10.85546875" customWidth="1"/>
    <col min="214" max="214" bestFit="1" width="9.5703125" customWidth="1"/>
    <col min="215" max="215" bestFit="1" width="10.85546875" customWidth="1"/>
    <col min="216" max="216" bestFit="1" width="9.85546875" customWidth="1"/>
    <col min="217" max="217" bestFit="1" width="10.5703125" customWidth="1"/>
    <col min="218" max="218" bestFit="1" width="11.5703125" customWidth="1"/>
    <col min="219" max="219" bestFit="1" width="12.42578125" customWidth="1"/>
    <col min="221" max="221" bestFit="1" width="26.42578125" customWidth="1"/>
    <col min="222" max="222" width="18.140625" customWidth="1"/>
    <col min="224" max="224" bestFit="1" width="10.85546875" customWidth="1"/>
    <col min="225" max="225" bestFit="1" width="9.5703125" customWidth="1"/>
    <col min="226" max="226" bestFit="1" width="10.85546875" customWidth="1"/>
    <col min="227" max="227" bestFit="1" width="9.85546875" customWidth="1"/>
    <col min="228" max="228" bestFit="1" width="10.5703125" customWidth="1"/>
    <col min="229" max="229" bestFit="1" width="11.5703125" customWidth="1"/>
    <col min="230" max="230" bestFit="1" width="12.42578125" customWidth="1"/>
    <col min="232" max="232" bestFit="1" width="26.42578125" customWidth="1"/>
    <col min="233" max="233" width="18.140625" customWidth="1"/>
    <col min="235" max="235" bestFit="1" width="10.85546875" customWidth="1"/>
    <col min="236" max="236" bestFit="1" width="9.5703125" customWidth="1"/>
    <col min="237" max="237" bestFit="1" width="10.85546875" customWidth="1"/>
    <col min="238" max="238" bestFit="1" width="9.85546875" customWidth="1"/>
    <col min="239" max="239" bestFit="1" width="10.5703125" customWidth="1"/>
    <col min="240" max="240" bestFit="1" width="11.5703125" customWidth="1"/>
    <col min="241" max="241" bestFit="1" width="12.42578125" customWidth="1"/>
    <col min="243" max="243" bestFit="1" width="26.42578125" customWidth="1"/>
    <col min="244" max="244" width="18.140625" customWidth="1"/>
    <col min="246" max="246" bestFit="1" width="10.85546875" customWidth="1"/>
    <col min="247" max="247" bestFit="1" width="9.5703125" customWidth="1"/>
    <col min="248" max="248" bestFit="1" width="10.85546875" customWidth="1"/>
    <col min="249" max="249" bestFit="1" width="9.85546875" customWidth="1"/>
    <col min="250" max="250" bestFit="1" width="10.5703125" customWidth="1"/>
    <col min="251" max="251" bestFit="1" width="11.5703125" customWidth="1"/>
    <col min="252" max="252" bestFit="1" width="12.42578125" customWidth="1"/>
    <col min="254" max="254" bestFit="1" width="26.42578125" customWidth="1"/>
    <col min="255" max="255" width="18.140625" customWidth="1"/>
    <col min="257" max="257" bestFit="1" width="10.85546875" customWidth="1"/>
    <col min="258" max="258" bestFit="1" width="9.5703125" customWidth="1"/>
    <col min="259" max="259" bestFit="1" width="10.85546875" customWidth="1"/>
    <col min="260" max="260" bestFit="1" width="9.85546875" customWidth="1"/>
    <col min="261" max="261" bestFit="1" width="10.5703125" customWidth="1"/>
    <col min="262" max="262" bestFit="1" width="11.5703125" customWidth="1"/>
    <col min="263" max="263" bestFit="1" width="12.42578125" customWidth="1"/>
    <col min="265" max="265" bestFit="1" width="26.42578125" customWidth="1"/>
    <col min="266" max="266" width="18.140625" customWidth="1"/>
    <col min="268" max="268" bestFit="1" width="10.85546875" customWidth="1"/>
    <col min="269" max="269" bestFit="1" width="9.5703125" customWidth="1"/>
    <col min="270" max="270" bestFit="1" width="10.85546875" customWidth="1"/>
    <col min="271" max="271" bestFit="1" width="9.85546875" customWidth="1"/>
    <col min="272" max="272" bestFit="1" width="10.5703125" customWidth="1"/>
    <col min="273" max="273" bestFit="1" width="11.5703125" customWidth="1"/>
    <col min="274" max="274" bestFit="1" width="12.42578125" customWidth="1"/>
    <col min="276" max="276" bestFit="1" width="26.42578125" customWidth="1"/>
    <col min="277" max="277" width="18.140625" customWidth="1"/>
    <col min="279" max="279" bestFit="1" width="10.85546875" customWidth="1"/>
    <col min="280" max="280" bestFit="1" width="9.5703125" customWidth="1"/>
    <col min="281" max="281" bestFit="1" width="10.85546875" customWidth="1"/>
    <col min="282" max="282" bestFit="1" width="9.85546875" customWidth="1"/>
    <col min="283" max="283" bestFit="1" width="10.5703125" customWidth="1"/>
    <col min="284" max="284" bestFit="1" width="11.5703125" customWidth="1"/>
    <col min="285" max="285" bestFit="1" width="12.42578125" customWidth="1"/>
    <col min="287" max="287" bestFit="1" width="26.42578125" customWidth="1"/>
    <col min="288" max="288" width="18.140625" customWidth="1"/>
    <col min="290" max="290" bestFit="1" width="10.85546875" customWidth="1"/>
    <col min="291" max="291" bestFit="1" width="9.5703125" customWidth="1"/>
    <col min="292" max="292" bestFit="1" width="10.85546875" customWidth="1"/>
    <col min="293" max="293" bestFit="1" width="9.85546875" customWidth="1"/>
    <col min="294" max="294" bestFit="1" width="10.5703125" customWidth="1"/>
    <col min="295" max="295" bestFit="1" width="11.5703125" customWidth="1"/>
    <col min="296" max="296" bestFit="1" width="12.42578125" customWidth="1"/>
    <col min="298" max="298" bestFit="1" width="26.42578125" customWidth="1"/>
    <col min="299" max="299" width="18.140625" customWidth="1"/>
    <col min="301" max="301" bestFit="1" width="10.85546875" customWidth="1"/>
    <col min="302" max="302" bestFit="1" width="9.5703125" customWidth="1"/>
    <col min="303" max="303" bestFit="1" width="10.85546875" customWidth="1"/>
    <col min="304" max="304" bestFit="1" width="9.85546875" customWidth="1"/>
    <col min="305" max="305" bestFit="1" width="10.5703125" customWidth="1"/>
    <col min="306" max="306" bestFit="1" width="11.5703125" customWidth="1"/>
    <col min="307" max="307" bestFit="1" width="12.42578125" customWidth="1"/>
    <col min="309" max="309" bestFit="1" width="26.42578125" customWidth="1"/>
    <col min="310" max="310" width="18.140625" customWidth="1"/>
    <col min="312" max="312" bestFit="1" width="10.85546875" customWidth="1"/>
    <col min="313" max="313" bestFit="1" width="9.5703125" customWidth="1"/>
    <col min="314" max="314" bestFit="1" width="10.85546875" customWidth="1"/>
    <col min="315" max="315" bestFit="1" width="9.85546875" customWidth="1"/>
    <col min="316" max="316" bestFit="1" width="10.5703125" customWidth="1"/>
    <col min="317" max="317" bestFit="1" width="11.5703125" customWidth="1"/>
    <col min="318" max="318" bestFit="1" width="12.42578125" customWidth="1"/>
    <col min="320" max="320" bestFit="1" width="26.42578125" customWidth="1"/>
    <col min="321" max="321" width="18.140625" customWidth="1"/>
    <col min="323" max="323" bestFit="1" width="10.85546875" customWidth="1"/>
    <col min="324" max="324" bestFit="1" width="9.5703125" customWidth="1"/>
    <col min="325" max="325" bestFit="1" width="10.85546875" customWidth="1"/>
    <col min="326" max="326" bestFit="1" width="9.85546875" customWidth="1"/>
    <col min="327" max="327" bestFit="1" width="10.5703125" customWidth="1"/>
    <col min="328" max="328" bestFit="1" width="11.5703125" customWidth="1"/>
    <col min="329" max="329" bestFit="1" width="12.42578125" customWidth="1"/>
  </cols>
  <sheetData>
    <row r="1">
      <c r="A1" s="0" t="s">
        <v>62</v>
      </c>
      <c r="B1" s="18">
        <v>46275.25</v>
      </c>
    </row>
    <row r="4">
      <c r="A4" s="208" t="s">
        <v>63</v>
      </c>
      <c r="B4" s="208"/>
      <c r="C4" s="208"/>
      <c r="D4" s="208"/>
      <c r="E4" s="208"/>
      <c r="F4" s="208"/>
      <c r="G4" s="208"/>
      <c r="H4" s="208"/>
      <c r="I4" s="208"/>
      <c r="J4" s="23"/>
      <c r="L4" s="208" t="s">
        <v>64</v>
      </c>
      <c r="M4" s="208"/>
      <c r="N4" s="208"/>
      <c r="O4" s="208"/>
      <c r="P4" s="208"/>
      <c r="Q4" s="208"/>
      <c r="R4" s="208"/>
      <c r="S4" s="208"/>
      <c r="T4" s="208"/>
      <c r="U4" s="23"/>
      <c r="W4" s="208" t="s">
        <v>65</v>
      </c>
      <c r="X4" s="208"/>
      <c r="Y4" s="208"/>
      <c r="Z4" s="208"/>
      <c r="AA4" s="208"/>
      <c r="AB4" s="208"/>
      <c r="AC4" s="208"/>
      <c r="AD4" s="208"/>
      <c r="AE4" s="208"/>
      <c r="AF4" s="23"/>
      <c r="AH4" s="208" t="s">
        <v>66</v>
      </c>
      <c r="AI4" s="208"/>
      <c r="AJ4" s="208"/>
      <c r="AK4" s="208"/>
      <c r="AL4" s="208"/>
      <c r="AM4" s="208"/>
      <c r="AN4" s="208"/>
      <c r="AO4" s="208"/>
      <c r="AP4" s="208"/>
      <c r="AQ4" s="23"/>
      <c r="AS4" s="208" t="s">
        <v>67</v>
      </c>
      <c r="AT4" s="208"/>
      <c r="AU4" s="208"/>
      <c r="AV4" s="208"/>
      <c r="AW4" s="208"/>
      <c r="AX4" s="208"/>
      <c r="AY4" s="208"/>
      <c r="AZ4" s="208"/>
      <c r="BA4" s="208"/>
      <c r="BD4" s="208" t="s">
        <v>68</v>
      </c>
      <c r="BE4" s="208"/>
      <c r="BF4" s="208"/>
      <c r="BG4" s="208"/>
      <c r="BH4" s="208"/>
      <c r="BI4" s="208"/>
      <c r="BJ4" s="208"/>
      <c r="BK4" s="208"/>
      <c r="BL4" s="208"/>
      <c r="BM4" s="23"/>
      <c r="BO4" s="208" t="s">
        <v>69</v>
      </c>
      <c r="BP4" s="208"/>
      <c r="BQ4" s="208"/>
      <c r="BR4" s="208"/>
      <c r="BS4" s="208"/>
      <c r="BT4" s="208"/>
      <c r="BU4" s="208"/>
      <c r="BV4" s="208"/>
      <c r="BW4" s="208"/>
      <c r="BX4" s="23"/>
      <c r="BZ4" s="208" t="s">
        <v>70</v>
      </c>
      <c r="CA4" s="208"/>
      <c r="CB4" s="208"/>
      <c r="CC4" s="208"/>
      <c r="CD4" s="208"/>
      <c r="CE4" s="208"/>
      <c r="CF4" s="208"/>
      <c r="CG4" s="208"/>
      <c r="CH4" s="208"/>
      <c r="CI4" s="23"/>
      <c r="CK4" s="208" t="s">
        <v>71</v>
      </c>
      <c r="CL4" s="208"/>
      <c r="CM4" s="208"/>
      <c r="CN4" s="208"/>
      <c r="CO4" s="208"/>
      <c r="CP4" s="208"/>
      <c r="CQ4" s="208"/>
      <c r="CR4" s="208"/>
      <c r="CS4" s="208"/>
      <c r="CT4" s="23"/>
      <c r="CV4" s="208" t="s">
        <v>72</v>
      </c>
      <c r="CW4" s="208"/>
      <c r="CX4" s="208"/>
      <c r="CY4" s="208"/>
      <c r="CZ4" s="208"/>
      <c r="DA4" s="208"/>
      <c r="DB4" s="208"/>
      <c r="DC4" s="208"/>
      <c r="DD4" s="208"/>
      <c r="DE4" s="23"/>
      <c r="DG4" s="208" t="s">
        <v>73</v>
      </c>
      <c r="DH4" s="208"/>
      <c r="DI4" s="208"/>
      <c r="DJ4" s="208"/>
      <c r="DK4" s="208"/>
      <c r="DL4" s="208"/>
      <c r="DM4" s="208"/>
      <c r="DN4" s="208"/>
      <c r="DO4" s="208"/>
      <c r="DP4" s="23"/>
      <c r="DR4" s="208" t="s">
        <v>74</v>
      </c>
      <c r="DS4" s="208"/>
      <c r="DT4" s="208"/>
      <c r="DU4" s="208"/>
      <c r="DV4" s="208"/>
      <c r="DW4" s="208"/>
      <c r="DX4" s="208"/>
      <c r="DY4" s="208"/>
      <c r="DZ4" s="208"/>
      <c r="EA4" s="23"/>
      <c r="EC4" s="208" t="s">
        <v>75</v>
      </c>
      <c r="ED4" s="208"/>
      <c r="EE4" s="208"/>
      <c r="EF4" s="208"/>
      <c r="EG4" s="208"/>
      <c r="EH4" s="208"/>
      <c r="EI4" s="208"/>
      <c r="EJ4" s="208"/>
      <c r="EK4" s="208"/>
      <c r="EL4" s="23"/>
      <c r="EN4" s="208" t="s">
        <v>76</v>
      </c>
      <c r="EO4" s="208"/>
      <c r="EP4" s="208"/>
      <c r="EQ4" s="208"/>
      <c r="ER4" s="208"/>
      <c r="ES4" s="208"/>
      <c r="ET4" s="208"/>
      <c r="EU4" s="208"/>
      <c r="EV4" s="208"/>
      <c r="EW4" s="23"/>
      <c r="EY4" s="208" t="s">
        <v>77</v>
      </c>
      <c r="EZ4" s="208"/>
      <c r="FA4" s="208"/>
      <c r="FB4" s="208"/>
      <c r="FC4" s="208"/>
      <c r="FD4" s="208"/>
      <c r="FE4" s="208"/>
      <c r="FF4" s="208"/>
      <c r="FG4" s="208"/>
      <c r="FH4" s="23"/>
      <c r="FJ4" s="208" t="s">
        <v>78</v>
      </c>
      <c r="FK4" s="208"/>
      <c r="FL4" s="208"/>
      <c r="FM4" s="208"/>
      <c r="FN4" s="208"/>
      <c r="FO4" s="208"/>
      <c r="FP4" s="208"/>
      <c r="FQ4" s="208"/>
      <c r="FR4" s="208"/>
      <c r="FS4" s="23"/>
      <c r="FU4" s="208" t="s">
        <v>79</v>
      </c>
      <c r="FV4" s="208"/>
      <c r="FW4" s="208"/>
      <c r="FX4" s="208"/>
      <c r="FY4" s="208"/>
      <c r="FZ4" s="208"/>
      <c r="GA4" s="208"/>
      <c r="GB4" s="208"/>
      <c r="GC4" s="208"/>
      <c r="GD4" s="23"/>
      <c r="GF4" s="208" t="s">
        <v>80</v>
      </c>
      <c r="GG4" s="208"/>
      <c r="GH4" s="208"/>
      <c r="GI4" s="208"/>
      <c r="GJ4" s="208"/>
      <c r="GK4" s="208"/>
      <c r="GL4" s="208"/>
      <c r="GM4" s="208"/>
      <c r="GN4" s="208"/>
      <c r="GO4" s="23"/>
      <c r="GQ4" s="208" t="s">
        <v>81</v>
      </c>
      <c r="GR4" s="208"/>
      <c r="GS4" s="208"/>
      <c r="GT4" s="208"/>
      <c r="GU4" s="208"/>
      <c r="GV4" s="208"/>
      <c r="GW4" s="208"/>
      <c r="GX4" s="208"/>
      <c r="GY4" s="208"/>
      <c r="GZ4" s="23"/>
      <c r="HB4" s="208" t="s">
        <v>82</v>
      </c>
      <c r="HC4" s="208"/>
      <c r="HD4" s="208"/>
      <c r="HE4" s="208"/>
      <c r="HF4" s="208"/>
      <c r="HG4" s="208"/>
      <c r="HH4" s="208"/>
      <c r="HI4" s="208"/>
      <c r="HJ4" s="208"/>
      <c r="HK4" s="23"/>
      <c r="HM4" s="208" t="s">
        <v>83</v>
      </c>
      <c r="HN4" s="208"/>
      <c r="HO4" s="208"/>
      <c r="HP4" s="208"/>
      <c r="HQ4" s="208"/>
      <c r="HR4" s="208"/>
      <c r="HS4" s="208"/>
      <c r="HT4" s="208"/>
      <c r="HU4" s="208"/>
      <c r="HV4" s="23"/>
      <c r="HX4" s="208" t="s">
        <v>84</v>
      </c>
      <c r="HY4" s="208"/>
      <c r="HZ4" s="208"/>
      <c r="IA4" s="208"/>
      <c r="IB4" s="208"/>
      <c r="IC4" s="208"/>
      <c r="ID4" s="208"/>
      <c r="IE4" s="208"/>
      <c r="IF4" s="208"/>
      <c r="IG4" s="23"/>
      <c r="II4" s="208" t="s">
        <v>85</v>
      </c>
      <c r="IJ4" s="208"/>
      <c r="IK4" s="208"/>
      <c r="IL4" s="208"/>
      <c r="IM4" s="208"/>
      <c r="IN4" s="208"/>
      <c r="IO4" s="208"/>
      <c r="IP4" s="208"/>
      <c r="IQ4" s="208"/>
      <c r="IR4" s="23"/>
      <c r="IT4" s="208" t="s">
        <v>86</v>
      </c>
      <c r="IU4" s="208"/>
      <c r="IV4" s="208"/>
      <c r="IW4" s="208"/>
      <c r="IX4" s="208"/>
      <c r="IY4" s="208"/>
      <c r="IZ4" s="208"/>
      <c r="JA4" s="208"/>
      <c r="JB4" s="208"/>
      <c r="JC4" s="23"/>
      <c r="JE4" s="208" t="s">
        <v>87</v>
      </c>
      <c r="JF4" s="208"/>
      <c r="JG4" s="208"/>
      <c r="JH4" s="208"/>
      <c r="JI4" s="208"/>
      <c r="JJ4" s="208"/>
      <c r="JK4" s="208"/>
      <c r="JL4" s="208"/>
      <c r="JM4" s="208"/>
      <c r="JN4" s="23"/>
      <c r="JP4" s="208" t="s">
        <v>88</v>
      </c>
      <c r="JQ4" s="208"/>
      <c r="JR4" s="208"/>
      <c r="JS4" s="208"/>
      <c r="JT4" s="208"/>
      <c r="JU4" s="208"/>
      <c r="JV4" s="208"/>
      <c r="JW4" s="208"/>
      <c r="JX4" s="208"/>
      <c r="JY4" s="23"/>
      <c r="KA4" s="208" t="s">
        <v>89</v>
      </c>
      <c r="KB4" s="208"/>
      <c r="KC4" s="208"/>
      <c r="KD4" s="208"/>
      <c r="KE4" s="208"/>
      <c r="KF4" s="208"/>
      <c r="KG4" s="208"/>
      <c r="KH4" s="208"/>
      <c r="KI4" s="208"/>
      <c r="KJ4" s="23"/>
      <c r="KL4" s="208" t="s">
        <v>90</v>
      </c>
      <c r="KM4" s="208"/>
      <c r="KN4" s="208"/>
      <c r="KO4" s="208"/>
      <c r="KP4" s="208"/>
      <c r="KQ4" s="208"/>
      <c r="KR4" s="208"/>
      <c r="KS4" s="208"/>
      <c r="KT4" s="208"/>
      <c r="KU4" s="23"/>
      <c r="KW4" s="208" t="s">
        <v>91</v>
      </c>
      <c r="KX4" s="208"/>
      <c r="KY4" s="208"/>
      <c r="KZ4" s="208"/>
      <c r="LA4" s="208"/>
      <c r="LB4" s="208"/>
      <c r="LC4" s="208"/>
      <c r="LD4" s="208"/>
      <c r="LE4" s="208"/>
      <c r="LF4" s="23"/>
      <c r="LH4" s="208" t="s">
        <v>92</v>
      </c>
      <c r="LI4" s="208"/>
      <c r="LJ4" s="208"/>
      <c r="LK4" s="208"/>
      <c r="LL4" s="208"/>
      <c r="LM4" s="208"/>
      <c r="LN4" s="208"/>
      <c r="LO4" s="208"/>
      <c r="LP4" s="208"/>
      <c r="LQ4" s="23"/>
    </row>
    <row r="5">
      <c r="A5" s="15" t="s">
        <v>93</v>
      </c>
      <c r="B5" s="15" t="s">
        <v>94</v>
      </c>
      <c r="C5" s="208" t="s">
        <v>95</v>
      </c>
      <c r="D5" s="208"/>
      <c r="E5" s="208"/>
      <c r="F5" s="208"/>
      <c r="G5" s="208"/>
      <c r="H5" s="208"/>
      <c r="I5" s="208"/>
      <c r="J5" s="23"/>
      <c r="L5" s="15" t="s">
        <v>93</v>
      </c>
      <c r="M5" s="15" t="s">
        <v>94</v>
      </c>
      <c r="N5" s="208" t="s">
        <v>95</v>
      </c>
      <c r="O5" s="208"/>
      <c r="P5" s="208"/>
      <c r="Q5" s="208"/>
      <c r="R5" s="208"/>
      <c r="S5" s="208"/>
      <c r="T5" s="208"/>
      <c r="U5" s="23"/>
      <c r="W5" s="15" t="s">
        <v>93</v>
      </c>
      <c r="X5" s="15" t="s">
        <v>94</v>
      </c>
      <c r="Y5" s="208" t="s">
        <v>95</v>
      </c>
      <c r="Z5" s="208"/>
      <c r="AA5" s="208"/>
      <c r="AB5" s="208"/>
      <c r="AC5" s="208"/>
      <c r="AD5" s="208"/>
      <c r="AE5" s="208"/>
      <c r="AF5" s="23"/>
      <c r="AH5" s="15" t="s">
        <v>93</v>
      </c>
      <c r="AI5" s="15" t="s">
        <v>94</v>
      </c>
      <c r="AJ5" s="208" t="s">
        <v>95</v>
      </c>
      <c r="AK5" s="208"/>
      <c r="AL5" s="208"/>
      <c r="AM5" s="208"/>
      <c r="AN5" s="208"/>
      <c r="AO5" s="208"/>
      <c r="AP5" s="208"/>
      <c r="AQ5" s="23"/>
      <c r="AS5" s="15" t="s">
        <v>93</v>
      </c>
      <c r="AT5" s="15" t="s">
        <v>94</v>
      </c>
      <c r="AU5" s="208" t="s">
        <v>95</v>
      </c>
      <c r="AV5" s="208"/>
      <c r="AW5" s="208"/>
      <c r="AX5" s="208"/>
      <c r="AY5" s="208"/>
      <c r="AZ5" s="208"/>
      <c r="BA5" s="208"/>
      <c r="BD5" s="15" t="s">
        <v>93</v>
      </c>
      <c r="BE5" s="15" t="s">
        <v>94</v>
      </c>
      <c r="BF5" s="208" t="s">
        <v>95</v>
      </c>
      <c r="BG5" s="208"/>
      <c r="BH5" s="208"/>
      <c r="BI5" s="208"/>
      <c r="BJ5" s="208"/>
      <c r="BK5" s="208"/>
      <c r="BL5" s="208"/>
      <c r="BM5" s="23"/>
      <c r="BO5" s="15" t="s">
        <v>93</v>
      </c>
      <c r="BP5" s="15" t="s">
        <v>94</v>
      </c>
      <c r="BQ5" s="208" t="s">
        <v>95</v>
      </c>
      <c r="BR5" s="208"/>
      <c r="BS5" s="208"/>
      <c r="BT5" s="208"/>
      <c r="BU5" s="208"/>
      <c r="BV5" s="208"/>
      <c r="BW5" s="208"/>
      <c r="BX5" s="23"/>
      <c r="BZ5" s="15" t="s">
        <v>93</v>
      </c>
      <c r="CA5" s="15" t="s">
        <v>94</v>
      </c>
      <c r="CB5" s="208" t="s">
        <v>95</v>
      </c>
      <c r="CC5" s="208"/>
      <c r="CD5" s="208"/>
      <c r="CE5" s="208"/>
      <c r="CF5" s="208"/>
      <c r="CG5" s="208"/>
      <c r="CH5" s="208"/>
      <c r="CI5" s="23"/>
      <c r="CK5" s="15" t="s">
        <v>93</v>
      </c>
      <c r="CL5" s="15" t="s">
        <v>94</v>
      </c>
      <c r="CM5" s="208" t="s">
        <v>95</v>
      </c>
      <c r="CN5" s="208"/>
      <c r="CO5" s="208"/>
      <c r="CP5" s="208"/>
      <c r="CQ5" s="208"/>
      <c r="CR5" s="208"/>
      <c r="CS5" s="208"/>
      <c r="CT5" s="23"/>
      <c r="CV5" s="15" t="s">
        <v>93</v>
      </c>
      <c r="CW5" s="15" t="s">
        <v>94</v>
      </c>
      <c r="CX5" s="208" t="s">
        <v>95</v>
      </c>
      <c r="CY5" s="208"/>
      <c r="CZ5" s="208"/>
      <c r="DA5" s="208"/>
      <c r="DB5" s="208"/>
      <c r="DC5" s="208"/>
      <c r="DD5" s="208"/>
      <c r="DE5" s="23"/>
      <c r="DG5" s="15" t="s">
        <v>93</v>
      </c>
      <c r="DH5" s="15" t="s">
        <v>94</v>
      </c>
      <c r="DI5" s="208" t="s">
        <v>95</v>
      </c>
      <c r="DJ5" s="208"/>
      <c r="DK5" s="208"/>
      <c r="DL5" s="208"/>
      <c r="DM5" s="208"/>
      <c r="DN5" s="208"/>
      <c r="DO5" s="208"/>
      <c r="DP5" s="23"/>
      <c r="DR5" s="15" t="s">
        <v>93</v>
      </c>
      <c r="DS5" s="15" t="s">
        <v>94</v>
      </c>
      <c r="DT5" s="208" t="s">
        <v>95</v>
      </c>
      <c r="DU5" s="208"/>
      <c r="DV5" s="208"/>
      <c r="DW5" s="208"/>
      <c r="DX5" s="208"/>
      <c r="DY5" s="208"/>
      <c r="DZ5" s="208"/>
      <c r="EA5" s="23"/>
      <c r="EC5" s="15" t="s">
        <v>93</v>
      </c>
      <c r="ED5" s="15" t="s">
        <v>94</v>
      </c>
      <c r="EE5" s="208" t="s">
        <v>95</v>
      </c>
      <c r="EF5" s="208"/>
      <c r="EG5" s="208"/>
      <c r="EH5" s="208"/>
      <c r="EI5" s="208"/>
      <c r="EJ5" s="208"/>
      <c r="EK5" s="208"/>
      <c r="EL5" s="23"/>
      <c r="EN5" s="15" t="s">
        <v>93</v>
      </c>
      <c r="EO5" s="15" t="s">
        <v>94</v>
      </c>
      <c r="EP5" s="208" t="s">
        <v>95</v>
      </c>
      <c r="EQ5" s="208"/>
      <c r="ER5" s="208"/>
      <c r="ES5" s="208"/>
      <c r="ET5" s="208"/>
      <c r="EU5" s="208"/>
      <c r="EV5" s="208"/>
      <c r="EW5" s="23"/>
      <c r="EY5" s="15" t="s">
        <v>93</v>
      </c>
      <c r="EZ5" s="15" t="s">
        <v>94</v>
      </c>
      <c r="FA5" s="208" t="s">
        <v>95</v>
      </c>
      <c r="FB5" s="208"/>
      <c r="FC5" s="208"/>
      <c r="FD5" s="208"/>
      <c r="FE5" s="208"/>
      <c r="FF5" s="208"/>
      <c r="FG5" s="208"/>
      <c r="FH5" s="23"/>
      <c r="FJ5" s="15" t="s">
        <v>93</v>
      </c>
      <c r="FK5" s="15" t="s">
        <v>94</v>
      </c>
      <c r="FL5" s="208" t="s">
        <v>95</v>
      </c>
      <c r="FM5" s="208"/>
      <c r="FN5" s="208"/>
      <c r="FO5" s="208"/>
      <c r="FP5" s="208"/>
      <c r="FQ5" s="208"/>
      <c r="FR5" s="208"/>
      <c r="FS5" s="23"/>
      <c r="FU5" s="15" t="s">
        <v>93</v>
      </c>
      <c r="FV5" s="15" t="s">
        <v>94</v>
      </c>
      <c r="FW5" s="208" t="s">
        <v>95</v>
      </c>
      <c r="FX5" s="208"/>
      <c r="FY5" s="208"/>
      <c r="FZ5" s="208"/>
      <c r="GA5" s="208"/>
      <c r="GB5" s="208"/>
      <c r="GC5" s="208"/>
      <c r="GD5" s="23"/>
      <c r="GF5" s="15" t="s">
        <v>93</v>
      </c>
      <c r="GG5" s="15" t="s">
        <v>94</v>
      </c>
      <c r="GH5" s="208" t="s">
        <v>95</v>
      </c>
      <c r="GI5" s="208"/>
      <c r="GJ5" s="208"/>
      <c r="GK5" s="208"/>
      <c r="GL5" s="208"/>
      <c r="GM5" s="208"/>
      <c r="GN5" s="208"/>
      <c r="GO5" s="23"/>
      <c r="GQ5" s="15" t="s">
        <v>93</v>
      </c>
      <c r="GR5" s="15" t="s">
        <v>94</v>
      </c>
      <c r="GS5" s="208" t="s">
        <v>95</v>
      </c>
      <c r="GT5" s="208"/>
      <c r="GU5" s="208"/>
      <c r="GV5" s="208"/>
      <c r="GW5" s="208"/>
      <c r="GX5" s="208"/>
      <c r="GY5" s="208"/>
      <c r="GZ5" s="23"/>
      <c r="HB5" s="15" t="s">
        <v>93</v>
      </c>
      <c r="HC5" s="15" t="s">
        <v>94</v>
      </c>
      <c r="HD5" s="208" t="s">
        <v>95</v>
      </c>
      <c r="HE5" s="208"/>
      <c r="HF5" s="208"/>
      <c r="HG5" s="208"/>
      <c r="HH5" s="208"/>
      <c r="HI5" s="208"/>
      <c r="HJ5" s="208"/>
      <c r="HK5" s="23"/>
      <c r="HM5" s="15" t="s">
        <v>93</v>
      </c>
      <c r="HN5" s="15" t="s">
        <v>94</v>
      </c>
      <c r="HO5" s="208" t="s">
        <v>95</v>
      </c>
      <c r="HP5" s="208"/>
      <c r="HQ5" s="208"/>
      <c r="HR5" s="208"/>
      <c r="HS5" s="208"/>
      <c r="HT5" s="208"/>
      <c r="HU5" s="208"/>
      <c r="HV5" s="23"/>
      <c r="HX5" s="15" t="s">
        <v>93</v>
      </c>
      <c r="HY5" s="15" t="s">
        <v>94</v>
      </c>
      <c r="HZ5" s="208" t="s">
        <v>95</v>
      </c>
      <c r="IA5" s="208"/>
      <c r="IB5" s="208"/>
      <c r="IC5" s="208"/>
      <c r="ID5" s="208"/>
      <c r="IE5" s="208"/>
      <c r="IF5" s="208"/>
      <c r="IG5" s="23"/>
      <c r="II5" s="15" t="s">
        <v>93</v>
      </c>
      <c r="IJ5" s="15" t="s">
        <v>94</v>
      </c>
      <c r="IK5" s="208" t="s">
        <v>95</v>
      </c>
      <c r="IL5" s="208"/>
      <c r="IM5" s="208"/>
      <c r="IN5" s="208"/>
      <c r="IO5" s="208"/>
      <c r="IP5" s="208"/>
      <c r="IQ5" s="208"/>
      <c r="IR5" s="23"/>
      <c r="IT5" s="15" t="s">
        <v>93</v>
      </c>
      <c r="IU5" s="15" t="s">
        <v>94</v>
      </c>
      <c r="IV5" s="208" t="s">
        <v>95</v>
      </c>
      <c r="IW5" s="208"/>
      <c r="IX5" s="208"/>
      <c r="IY5" s="208"/>
      <c r="IZ5" s="208"/>
      <c r="JA5" s="208"/>
      <c r="JB5" s="208"/>
      <c r="JC5" s="23"/>
      <c r="JE5" s="15" t="s">
        <v>93</v>
      </c>
      <c r="JF5" s="15" t="s">
        <v>94</v>
      </c>
      <c r="JG5" s="208" t="s">
        <v>95</v>
      </c>
      <c r="JH5" s="208"/>
      <c r="JI5" s="208"/>
      <c r="JJ5" s="208"/>
      <c r="JK5" s="208"/>
      <c r="JL5" s="208"/>
      <c r="JM5" s="208"/>
      <c r="JN5" s="23"/>
      <c r="JP5" s="15" t="s">
        <v>93</v>
      </c>
      <c r="JQ5" s="15" t="s">
        <v>94</v>
      </c>
      <c r="JR5" s="208" t="s">
        <v>95</v>
      </c>
      <c r="JS5" s="208"/>
      <c r="JT5" s="208"/>
      <c r="JU5" s="208"/>
      <c r="JV5" s="208"/>
      <c r="JW5" s="208"/>
      <c r="JX5" s="208"/>
      <c r="JY5" s="23"/>
      <c r="KA5" s="15" t="s">
        <v>93</v>
      </c>
      <c r="KB5" s="15" t="s">
        <v>94</v>
      </c>
      <c r="KC5" s="208" t="s">
        <v>95</v>
      </c>
      <c r="KD5" s="208"/>
      <c r="KE5" s="208"/>
      <c r="KF5" s="208"/>
      <c r="KG5" s="208"/>
      <c r="KH5" s="208"/>
      <c r="KI5" s="208"/>
      <c r="KJ5" s="23"/>
      <c r="KL5" s="15" t="s">
        <v>93</v>
      </c>
      <c r="KM5" s="15" t="s">
        <v>94</v>
      </c>
      <c r="KN5" s="208" t="s">
        <v>95</v>
      </c>
      <c r="KO5" s="208"/>
      <c r="KP5" s="208"/>
      <c r="KQ5" s="208"/>
      <c r="KR5" s="208"/>
      <c r="KS5" s="208"/>
      <c r="KT5" s="208"/>
      <c r="KU5" s="23"/>
      <c r="KW5" s="15" t="s">
        <v>93</v>
      </c>
      <c r="KX5" s="15" t="s">
        <v>94</v>
      </c>
      <c r="KY5" s="208" t="s">
        <v>95</v>
      </c>
      <c r="KZ5" s="208"/>
      <c r="LA5" s="208"/>
      <c r="LB5" s="208"/>
      <c r="LC5" s="208"/>
      <c r="LD5" s="208"/>
      <c r="LE5" s="208"/>
      <c r="LF5" s="23"/>
      <c r="LH5" s="15" t="s">
        <v>93</v>
      </c>
      <c r="LI5" s="15" t="s">
        <v>94</v>
      </c>
      <c r="LJ5" s="208" t="s">
        <v>95</v>
      </c>
      <c r="LK5" s="208"/>
      <c r="LL5" s="208"/>
      <c r="LM5" s="208"/>
      <c r="LN5" s="208"/>
      <c r="LO5" s="208"/>
      <c r="LP5" s="208"/>
      <c r="LQ5" s="23"/>
    </row>
    <row r="6">
      <c r="A6" s="15" t="s">
        <v>96</v>
      </c>
      <c r="B6" s="48"/>
      <c r="C6" s="15" t="s">
        <v>97</v>
      </c>
      <c r="D6" s="15" t="s">
        <v>98</v>
      </c>
      <c r="E6" s="15" t="s">
        <v>99</v>
      </c>
      <c r="F6" s="15" t="s">
        <v>100</v>
      </c>
      <c r="G6" s="20" t="s">
        <v>101</v>
      </c>
      <c r="H6" s="15" t="s">
        <v>102</v>
      </c>
      <c r="I6" s="15" t="s">
        <v>103</v>
      </c>
      <c r="J6" s="15" t="s">
        <v>104</v>
      </c>
      <c r="L6" s="15" t="s">
        <v>96</v>
      </c>
      <c r="M6" s="48"/>
      <c r="N6" s="20" t="s">
        <v>97</v>
      </c>
      <c r="O6" s="15" t="s">
        <v>98</v>
      </c>
      <c r="P6" s="15" t="s">
        <v>99</v>
      </c>
      <c r="Q6" s="15" t="s">
        <v>100</v>
      </c>
      <c r="R6" s="15" t="s">
        <v>101</v>
      </c>
      <c r="S6" s="15" t="s">
        <v>102</v>
      </c>
      <c r="T6" s="15" t="s">
        <v>103</v>
      </c>
      <c r="U6" s="15" t="s">
        <v>104</v>
      </c>
      <c r="W6" s="15" t="s">
        <v>96</v>
      </c>
      <c r="X6" s="48"/>
      <c r="Y6" s="20" t="s">
        <v>97</v>
      </c>
      <c r="Z6" s="25" t="s">
        <v>98</v>
      </c>
      <c r="AA6" s="15" t="s">
        <v>99</v>
      </c>
      <c r="AB6" s="15" t="s">
        <v>100</v>
      </c>
      <c r="AC6" s="15" t="s">
        <v>101</v>
      </c>
      <c r="AD6" s="15" t="s">
        <v>102</v>
      </c>
      <c r="AE6" s="15" t="s">
        <v>103</v>
      </c>
      <c r="AF6" s="15" t="s">
        <v>104</v>
      </c>
      <c r="AH6" s="15" t="s">
        <v>96</v>
      </c>
      <c r="AI6" s="48"/>
      <c r="AJ6" s="15" t="s">
        <v>97</v>
      </c>
      <c r="AK6" s="15" t="s">
        <v>98</v>
      </c>
      <c r="AL6" s="15" t="s">
        <v>99</v>
      </c>
      <c r="AM6" s="15" t="s">
        <v>100</v>
      </c>
      <c r="AN6" s="15" t="s">
        <v>101</v>
      </c>
      <c r="AO6" s="15" t="s">
        <v>102</v>
      </c>
      <c r="AP6" s="15" t="s">
        <v>103</v>
      </c>
      <c r="AQ6" s="15" t="s">
        <v>104</v>
      </c>
      <c r="AS6" s="15" t="s">
        <v>96</v>
      </c>
      <c r="AT6" s="48"/>
      <c r="AU6" s="15" t="s">
        <v>97</v>
      </c>
      <c r="AV6" s="15" t="s">
        <v>98</v>
      </c>
      <c r="AW6" s="15" t="s">
        <v>99</v>
      </c>
      <c r="AX6" s="15" t="s">
        <v>100</v>
      </c>
      <c r="AY6" s="15" t="s">
        <v>105</v>
      </c>
      <c r="AZ6" s="35" t="s">
        <v>102</v>
      </c>
      <c r="BA6" s="35" t="s">
        <v>103</v>
      </c>
      <c r="BB6" s="15" t="s">
        <v>104</v>
      </c>
      <c r="BD6" s="15" t="s">
        <v>96</v>
      </c>
      <c r="BE6" s="48"/>
      <c r="BF6" s="15" t="s">
        <v>97</v>
      </c>
      <c r="BG6" s="15" t="s">
        <v>98</v>
      </c>
      <c r="BH6" s="15" t="s">
        <v>99</v>
      </c>
      <c r="BI6" s="15" t="s">
        <v>100</v>
      </c>
      <c r="BJ6" s="20" t="s">
        <v>101</v>
      </c>
      <c r="BK6" s="15" t="s">
        <v>102</v>
      </c>
      <c r="BL6" s="15" t="s">
        <v>103</v>
      </c>
      <c r="BM6" s="15" t="s">
        <v>104</v>
      </c>
      <c r="BO6" s="15" t="s">
        <v>96</v>
      </c>
      <c r="BP6" s="48"/>
      <c r="BQ6" s="15" t="s">
        <v>97</v>
      </c>
      <c r="BR6" s="15" t="s">
        <v>98</v>
      </c>
      <c r="BS6" s="15" t="s">
        <v>99</v>
      </c>
      <c r="BT6" s="15" t="s">
        <v>100</v>
      </c>
      <c r="BU6" s="20" t="s">
        <v>101</v>
      </c>
      <c r="BV6" s="15" t="s">
        <v>102</v>
      </c>
      <c r="BW6" s="15" t="s">
        <v>103</v>
      </c>
      <c r="BX6" s="15" t="s">
        <v>104</v>
      </c>
      <c r="BZ6" s="15" t="s">
        <v>96</v>
      </c>
      <c r="CA6" s="48"/>
      <c r="CB6" s="15" t="s">
        <v>97</v>
      </c>
      <c r="CC6" s="15" t="s">
        <v>98</v>
      </c>
      <c r="CD6" s="15" t="s">
        <v>99</v>
      </c>
      <c r="CE6" s="15" t="s">
        <v>100</v>
      </c>
      <c r="CF6" s="20" t="s">
        <v>101</v>
      </c>
      <c r="CG6" s="15" t="s">
        <v>102</v>
      </c>
      <c r="CH6" s="15" t="s">
        <v>103</v>
      </c>
      <c r="CI6" s="15" t="s">
        <v>104</v>
      </c>
      <c r="CK6" s="15" t="s">
        <v>96</v>
      </c>
      <c r="CL6" s="48"/>
      <c r="CM6" s="15" t="s">
        <v>97</v>
      </c>
      <c r="CN6" s="15" t="s">
        <v>98</v>
      </c>
      <c r="CO6" s="15" t="s">
        <v>99</v>
      </c>
      <c r="CP6" s="15" t="s">
        <v>100</v>
      </c>
      <c r="CQ6" s="20" t="s">
        <v>101</v>
      </c>
      <c r="CR6" s="15" t="s">
        <v>102</v>
      </c>
      <c r="CS6" s="15" t="s">
        <v>103</v>
      </c>
      <c r="CT6" s="15" t="s">
        <v>104</v>
      </c>
      <c r="CV6" s="15" t="s">
        <v>96</v>
      </c>
      <c r="CW6" s="48"/>
      <c r="CX6" s="15" t="s">
        <v>97</v>
      </c>
      <c r="CY6" s="15" t="s">
        <v>98</v>
      </c>
      <c r="CZ6" s="15" t="s">
        <v>99</v>
      </c>
      <c r="DA6" s="15" t="s">
        <v>100</v>
      </c>
      <c r="DB6" s="20" t="s">
        <v>101</v>
      </c>
      <c r="DC6" s="15" t="s">
        <v>102</v>
      </c>
      <c r="DD6" s="15" t="s">
        <v>103</v>
      </c>
      <c r="DE6" s="15" t="s">
        <v>104</v>
      </c>
      <c r="DG6" s="15" t="s">
        <v>96</v>
      </c>
      <c r="DH6" s="48"/>
      <c r="DI6" s="15" t="s">
        <v>97</v>
      </c>
      <c r="DJ6" s="15" t="s">
        <v>98</v>
      </c>
      <c r="DK6" s="15" t="s">
        <v>99</v>
      </c>
      <c r="DL6" s="15" t="s">
        <v>100</v>
      </c>
      <c r="DM6" s="20" t="s">
        <v>101</v>
      </c>
      <c r="DN6" s="15" t="s">
        <v>102</v>
      </c>
      <c r="DO6" s="15" t="s">
        <v>103</v>
      </c>
      <c r="DP6" s="15" t="s">
        <v>104</v>
      </c>
      <c r="DR6" s="15" t="s">
        <v>96</v>
      </c>
      <c r="DS6" s="48"/>
      <c r="DT6" s="15" t="s">
        <v>97</v>
      </c>
      <c r="DU6" s="15" t="s">
        <v>98</v>
      </c>
      <c r="DV6" s="15" t="s">
        <v>99</v>
      </c>
      <c r="DW6" s="15" t="s">
        <v>100</v>
      </c>
      <c r="DX6" s="20" t="s">
        <v>101</v>
      </c>
      <c r="DY6" s="15" t="s">
        <v>102</v>
      </c>
      <c r="DZ6" s="15" t="s">
        <v>103</v>
      </c>
      <c r="EA6" s="15" t="s">
        <v>104</v>
      </c>
      <c r="EC6" s="15" t="s">
        <v>96</v>
      </c>
      <c r="ED6" s="48"/>
      <c r="EE6" s="15" t="s">
        <v>97</v>
      </c>
      <c r="EF6" s="15" t="s">
        <v>98</v>
      </c>
      <c r="EG6" s="15" t="s">
        <v>99</v>
      </c>
      <c r="EH6" s="15" t="s">
        <v>100</v>
      </c>
      <c r="EI6" s="20" t="s">
        <v>101</v>
      </c>
      <c r="EJ6" s="15" t="s">
        <v>102</v>
      </c>
      <c r="EK6" s="15" t="s">
        <v>103</v>
      </c>
      <c r="EL6" s="15" t="s">
        <v>104</v>
      </c>
      <c r="EN6" s="15" t="s">
        <v>96</v>
      </c>
      <c r="EO6" s="48"/>
      <c r="EP6" s="15" t="s">
        <v>97</v>
      </c>
      <c r="EQ6" s="15" t="s">
        <v>98</v>
      </c>
      <c r="ER6" s="15" t="s">
        <v>99</v>
      </c>
      <c r="ES6" s="15" t="s">
        <v>100</v>
      </c>
      <c r="ET6" s="20" t="s">
        <v>101</v>
      </c>
      <c r="EU6" s="15" t="s">
        <v>102</v>
      </c>
      <c r="EV6" s="15" t="s">
        <v>103</v>
      </c>
      <c r="EW6" s="15" t="s">
        <v>104</v>
      </c>
      <c r="EY6" s="15" t="s">
        <v>96</v>
      </c>
      <c r="EZ6" s="48"/>
      <c r="FA6" s="15" t="s">
        <v>97</v>
      </c>
      <c r="FB6" s="15" t="s">
        <v>98</v>
      </c>
      <c r="FC6" s="15" t="s">
        <v>99</v>
      </c>
      <c r="FD6" s="15" t="s">
        <v>100</v>
      </c>
      <c r="FE6" s="20" t="s">
        <v>101</v>
      </c>
      <c r="FF6" s="15" t="s">
        <v>102</v>
      </c>
      <c r="FG6" s="15" t="s">
        <v>103</v>
      </c>
      <c r="FH6" s="15" t="s">
        <v>104</v>
      </c>
      <c r="FJ6" s="15" t="s">
        <v>96</v>
      </c>
      <c r="FK6" s="48"/>
      <c r="FL6" s="15" t="s">
        <v>97</v>
      </c>
      <c r="FM6" s="15" t="s">
        <v>98</v>
      </c>
      <c r="FN6" s="15" t="s">
        <v>99</v>
      </c>
      <c r="FO6" s="15" t="s">
        <v>100</v>
      </c>
      <c r="FP6" s="20" t="s">
        <v>101</v>
      </c>
      <c r="FQ6" s="15" t="s">
        <v>102</v>
      </c>
      <c r="FR6" s="15" t="s">
        <v>103</v>
      </c>
      <c r="FS6" s="15" t="s">
        <v>104</v>
      </c>
      <c r="FU6" s="15" t="s">
        <v>96</v>
      </c>
      <c r="FV6" s="48"/>
      <c r="FW6" s="15" t="s">
        <v>97</v>
      </c>
      <c r="FX6" s="15" t="s">
        <v>98</v>
      </c>
      <c r="FY6" s="15" t="s">
        <v>99</v>
      </c>
      <c r="FZ6" s="15" t="s">
        <v>100</v>
      </c>
      <c r="GA6" s="20" t="s">
        <v>101</v>
      </c>
      <c r="GB6" s="15" t="s">
        <v>102</v>
      </c>
      <c r="GC6" s="15" t="s">
        <v>103</v>
      </c>
      <c r="GD6" s="15" t="s">
        <v>104</v>
      </c>
      <c r="GF6" s="15" t="s">
        <v>96</v>
      </c>
      <c r="GG6" s="48"/>
      <c r="GH6" s="15" t="s">
        <v>97</v>
      </c>
      <c r="GI6" s="15" t="s">
        <v>98</v>
      </c>
      <c r="GJ6" s="15" t="s">
        <v>99</v>
      </c>
      <c r="GK6" s="15" t="s">
        <v>100</v>
      </c>
      <c r="GL6" s="20" t="s">
        <v>101</v>
      </c>
      <c r="GM6" s="15" t="s">
        <v>102</v>
      </c>
      <c r="GN6" s="15" t="s">
        <v>103</v>
      </c>
      <c r="GO6" s="15" t="s">
        <v>104</v>
      </c>
      <c r="GQ6" s="15" t="s">
        <v>96</v>
      </c>
      <c r="GR6" s="48"/>
      <c r="GS6" s="15" t="s">
        <v>97</v>
      </c>
      <c r="GT6" s="15" t="s">
        <v>98</v>
      </c>
      <c r="GU6" s="15" t="s">
        <v>99</v>
      </c>
      <c r="GV6" s="15" t="s">
        <v>100</v>
      </c>
      <c r="GW6" s="20" t="s">
        <v>101</v>
      </c>
      <c r="GX6" s="15" t="s">
        <v>102</v>
      </c>
      <c r="GY6" s="15" t="s">
        <v>103</v>
      </c>
      <c r="GZ6" s="15" t="s">
        <v>104</v>
      </c>
      <c r="HB6" s="15" t="s">
        <v>96</v>
      </c>
      <c r="HC6" s="48"/>
      <c r="HD6" s="15" t="s">
        <v>97</v>
      </c>
      <c r="HE6" s="15" t="s">
        <v>98</v>
      </c>
      <c r="HF6" s="15" t="s">
        <v>99</v>
      </c>
      <c r="HG6" s="15" t="s">
        <v>100</v>
      </c>
      <c r="HH6" s="20" t="s">
        <v>101</v>
      </c>
      <c r="HI6" s="15" t="s">
        <v>102</v>
      </c>
      <c r="HJ6" s="15" t="s">
        <v>103</v>
      </c>
      <c r="HK6" s="15" t="s">
        <v>104</v>
      </c>
      <c r="HM6" s="15" t="s">
        <v>96</v>
      </c>
      <c r="HN6" s="48"/>
      <c r="HO6" s="15" t="s">
        <v>97</v>
      </c>
      <c r="HP6" s="15" t="s">
        <v>98</v>
      </c>
      <c r="HQ6" s="15" t="s">
        <v>99</v>
      </c>
      <c r="HR6" s="15" t="s">
        <v>100</v>
      </c>
      <c r="HS6" s="20" t="s">
        <v>101</v>
      </c>
      <c r="HT6" s="15" t="s">
        <v>102</v>
      </c>
      <c r="HU6" s="15" t="s">
        <v>103</v>
      </c>
      <c r="HV6" s="15" t="s">
        <v>104</v>
      </c>
      <c r="HX6" s="15" t="s">
        <v>96</v>
      </c>
      <c r="HY6" s="48"/>
      <c r="HZ6" s="15" t="s">
        <v>97</v>
      </c>
      <c r="IA6" s="15" t="s">
        <v>98</v>
      </c>
      <c r="IB6" s="15" t="s">
        <v>99</v>
      </c>
      <c r="IC6" s="15" t="s">
        <v>100</v>
      </c>
      <c r="ID6" s="20" t="s">
        <v>101</v>
      </c>
      <c r="IE6" s="15" t="s">
        <v>102</v>
      </c>
      <c r="IF6" s="15" t="s">
        <v>103</v>
      </c>
      <c r="IG6" s="15" t="s">
        <v>104</v>
      </c>
      <c r="II6" s="15" t="s">
        <v>96</v>
      </c>
      <c r="IJ6" s="48"/>
      <c r="IK6" s="15" t="s">
        <v>97</v>
      </c>
      <c r="IL6" s="15" t="s">
        <v>98</v>
      </c>
      <c r="IM6" s="15" t="s">
        <v>99</v>
      </c>
      <c r="IN6" s="15" t="s">
        <v>100</v>
      </c>
      <c r="IO6" s="20" t="s">
        <v>101</v>
      </c>
      <c r="IP6" s="15" t="s">
        <v>102</v>
      </c>
      <c r="IQ6" s="15" t="s">
        <v>103</v>
      </c>
      <c r="IR6" s="15" t="s">
        <v>104</v>
      </c>
      <c r="IT6" s="15" t="s">
        <v>96</v>
      </c>
      <c r="IU6" s="48"/>
      <c r="IV6" s="15" t="s">
        <v>97</v>
      </c>
      <c r="IW6" s="15" t="s">
        <v>98</v>
      </c>
      <c r="IX6" s="15" t="s">
        <v>99</v>
      </c>
      <c r="IY6" s="15" t="s">
        <v>100</v>
      </c>
      <c r="IZ6" s="20" t="s">
        <v>101</v>
      </c>
      <c r="JA6" s="15" t="s">
        <v>102</v>
      </c>
      <c r="JB6" s="15" t="s">
        <v>103</v>
      </c>
      <c r="JC6" s="15" t="s">
        <v>104</v>
      </c>
      <c r="JE6" s="15" t="s">
        <v>96</v>
      </c>
      <c r="JF6" s="48"/>
      <c r="JG6" s="15" t="s">
        <v>97</v>
      </c>
      <c r="JH6" s="15" t="s">
        <v>98</v>
      </c>
      <c r="JI6" s="15" t="s">
        <v>99</v>
      </c>
      <c r="JJ6" s="15" t="s">
        <v>100</v>
      </c>
      <c r="JK6" s="20" t="s">
        <v>101</v>
      </c>
      <c r="JL6" s="15" t="s">
        <v>102</v>
      </c>
      <c r="JM6" s="15" t="s">
        <v>103</v>
      </c>
      <c r="JN6" s="15" t="s">
        <v>104</v>
      </c>
      <c r="JP6" s="15" t="s">
        <v>96</v>
      </c>
      <c r="JQ6" s="48"/>
      <c r="JR6" s="15" t="s">
        <v>97</v>
      </c>
      <c r="JS6" s="15" t="s">
        <v>98</v>
      </c>
      <c r="JT6" s="15" t="s">
        <v>99</v>
      </c>
      <c r="JU6" s="15" t="s">
        <v>100</v>
      </c>
      <c r="JV6" s="20" t="s">
        <v>101</v>
      </c>
      <c r="JW6" s="15" t="s">
        <v>102</v>
      </c>
      <c r="JX6" s="15" t="s">
        <v>103</v>
      </c>
      <c r="JY6" s="15" t="s">
        <v>104</v>
      </c>
      <c r="KA6" s="15" t="s">
        <v>96</v>
      </c>
      <c r="KB6" s="48"/>
      <c r="KC6" s="15" t="s">
        <v>97</v>
      </c>
      <c r="KD6" s="15" t="s">
        <v>98</v>
      </c>
      <c r="KE6" s="15" t="s">
        <v>99</v>
      </c>
      <c r="KF6" s="15" t="s">
        <v>100</v>
      </c>
      <c r="KG6" s="20" t="s">
        <v>101</v>
      </c>
      <c r="KH6" s="15" t="s">
        <v>102</v>
      </c>
      <c r="KI6" s="15" t="s">
        <v>103</v>
      </c>
      <c r="KJ6" s="15" t="s">
        <v>104</v>
      </c>
      <c r="KL6" s="15" t="s">
        <v>96</v>
      </c>
      <c r="KM6" s="48"/>
      <c r="KN6" s="15" t="s">
        <v>97</v>
      </c>
      <c r="KO6" s="15" t="s">
        <v>98</v>
      </c>
      <c r="KP6" s="15" t="s">
        <v>99</v>
      </c>
      <c r="KQ6" s="15" t="s">
        <v>100</v>
      </c>
      <c r="KR6" s="20" t="s">
        <v>101</v>
      </c>
      <c r="KS6" s="15" t="s">
        <v>102</v>
      </c>
      <c r="KT6" s="15" t="s">
        <v>103</v>
      </c>
      <c r="KU6" s="15" t="s">
        <v>104</v>
      </c>
      <c r="KW6" s="15" t="s">
        <v>96</v>
      </c>
      <c r="KX6" s="48"/>
      <c r="KY6" s="15" t="s">
        <v>97</v>
      </c>
      <c r="KZ6" s="15" t="s">
        <v>98</v>
      </c>
      <c r="LA6" s="15" t="s">
        <v>99</v>
      </c>
      <c r="LB6" s="15" t="s">
        <v>100</v>
      </c>
      <c r="LC6" s="20" t="s">
        <v>101</v>
      </c>
      <c r="LD6" s="15" t="s">
        <v>102</v>
      </c>
      <c r="LE6" s="15" t="s">
        <v>103</v>
      </c>
      <c r="LF6" s="15" t="s">
        <v>104</v>
      </c>
      <c r="LH6" s="15" t="s">
        <v>96</v>
      </c>
      <c r="LI6" s="48"/>
      <c r="LJ6" s="15" t="s">
        <v>97</v>
      </c>
      <c r="LK6" s="15" t="s">
        <v>98</v>
      </c>
      <c r="LL6" s="15" t="s">
        <v>99</v>
      </c>
      <c r="LM6" s="15" t="s">
        <v>100</v>
      </c>
      <c r="LN6" s="20" t="s">
        <v>101</v>
      </c>
      <c r="LO6" s="15" t="s">
        <v>102</v>
      </c>
      <c r="LP6" s="15" t="s">
        <v>103</v>
      </c>
      <c r="LQ6" s="15" t="s">
        <v>104</v>
      </c>
    </row>
    <row r="7">
      <c r="A7" s="15" t="s">
        <v>106</v>
      </c>
      <c r="B7" s="49" t="s">
        <v>107</v>
      </c>
      <c r="C7" s="63">
        <v>1</v>
      </c>
      <c r="D7" s="64">
        <v>9899</v>
      </c>
      <c r="E7" s="16" t="s">
        <v>20</v>
      </c>
      <c r="F7" s="16" t="s">
        <v>20</v>
      </c>
      <c r="G7" s="21" t="s">
        <v>20</v>
      </c>
      <c r="H7" s="16" t="s">
        <v>20</v>
      </c>
      <c r="I7" s="16" t="s">
        <v>20</v>
      </c>
      <c r="J7" s="17"/>
      <c r="L7" s="15" t="s">
        <v>106</v>
      </c>
      <c r="M7" s="49" t="s">
        <v>107</v>
      </c>
      <c r="N7" s="66">
        <v>1</v>
      </c>
      <c r="O7" s="64">
        <v>8610</v>
      </c>
      <c r="P7" s="16" t="s">
        <v>20</v>
      </c>
      <c r="Q7" s="16" t="s">
        <v>20</v>
      </c>
      <c r="R7" s="16" t="s">
        <v>20</v>
      </c>
      <c r="S7" s="16" t="s">
        <v>20</v>
      </c>
      <c r="T7" s="16" t="s">
        <v>20</v>
      </c>
      <c r="U7" s="17"/>
      <c r="W7" s="15" t="s">
        <v>106</v>
      </c>
      <c r="X7" s="49" t="s">
        <v>107</v>
      </c>
      <c r="Y7" s="66">
        <v>1</v>
      </c>
      <c r="Z7" s="67">
        <v>9208</v>
      </c>
      <c r="AA7" s="40" t="s">
        <v>20</v>
      </c>
      <c r="AB7" s="16" t="s">
        <v>20</v>
      </c>
      <c r="AC7" s="16" t="s">
        <v>20</v>
      </c>
      <c r="AD7" s="16" t="s">
        <v>20</v>
      </c>
      <c r="AE7" s="16" t="s">
        <v>20</v>
      </c>
      <c r="AF7" s="17"/>
      <c r="AH7" s="15" t="s">
        <v>106</v>
      </c>
      <c r="AI7" s="49" t="s">
        <v>107</v>
      </c>
      <c r="AJ7" s="17">
        <v>1</v>
      </c>
      <c r="AK7" s="67">
        <v>8722</v>
      </c>
      <c r="AL7" s="40">
        <v>4.9999999999999964</v>
      </c>
      <c r="AM7" s="16" t="s">
        <v>20</v>
      </c>
      <c r="AN7" s="16" t="s">
        <v>20</v>
      </c>
      <c r="AO7" s="16">
        <v>4.5</v>
      </c>
      <c r="AP7" s="16">
        <v>4.5</v>
      </c>
      <c r="AQ7" s="17"/>
      <c r="AS7" s="15" t="s">
        <v>106</v>
      </c>
      <c r="AT7" s="49" t="s">
        <v>107</v>
      </c>
      <c r="AU7" s="17">
        <v>1</v>
      </c>
      <c r="AV7" s="67">
        <v>8580</v>
      </c>
      <c r="AW7" s="40">
        <v>9</v>
      </c>
      <c r="AX7" s="16" t="s">
        <v>20</v>
      </c>
      <c r="AY7" s="16"/>
      <c r="AZ7" s="16">
        <v>4</v>
      </c>
      <c r="BA7" s="16">
        <v>4</v>
      </c>
      <c r="BB7" s="17"/>
      <c r="BD7" s="15" t="s">
        <v>106</v>
      </c>
      <c r="BE7" s="49" t="s">
        <v>107</v>
      </c>
      <c r="BF7" s="17">
        <v>1</v>
      </c>
      <c r="BG7" s="67">
        <v>8712</v>
      </c>
      <c r="BH7" s="40">
        <v>4.0000000000000036</v>
      </c>
      <c r="BI7" s="16" t="s">
        <v>20</v>
      </c>
      <c r="BJ7" s="16" t="s">
        <v>20</v>
      </c>
      <c r="BK7" s="16">
        <v>4.5</v>
      </c>
      <c r="BL7" s="16">
        <v>4.5</v>
      </c>
      <c r="BM7" s="17"/>
      <c r="BO7" s="15" t="s">
        <v>106</v>
      </c>
      <c r="BP7" s="49" t="s">
        <v>107</v>
      </c>
      <c r="BQ7" s="17">
        <v>1</v>
      </c>
      <c r="BR7" s="67">
        <v>9054</v>
      </c>
      <c r="BS7" s="40">
        <v>4.0000000000000036</v>
      </c>
      <c r="BT7" s="16" t="s">
        <v>20</v>
      </c>
      <c r="BU7" s="16" t="s">
        <v>20</v>
      </c>
      <c r="BV7" s="16">
        <v>4.5</v>
      </c>
      <c r="BW7" s="16">
        <v>4</v>
      </c>
      <c r="BX7" s="17"/>
      <c r="BZ7" s="15" t="s">
        <v>106</v>
      </c>
      <c r="CA7" s="49" t="s">
        <v>108</v>
      </c>
      <c r="CB7" s="17">
        <v>1</v>
      </c>
      <c r="CC7" s="67">
        <v>9550</v>
      </c>
      <c r="CD7" s="40">
        <v>56.99999999999995</v>
      </c>
      <c r="CE7" s="16">
        <v>3.9999999997671694</v>
      </c>
      <c r="CF7" s="16" t="s">
        <v>20</v>
      </c>
      <c r="CG7" s="16">
        <v>5.1999999999999833</v>
      </c>
      <c r="CH7" s="16">
        <v>4.9</v>
      </c>
      <c r="CI7" s="17"/>
      <c r="CK7" s="15" t="s">
        <v>106</v>
      </c>
      <c r="CL7" s="49" t="s">
        <v>108</v>
      </c>
      <c r="CM7" s="17">
        <v>1</v>
      </c>
      <c r="CN7" s="67">
        <v>10449</v>
      </c>
      <c r="CO7" s="40">
        <v>4.0000000000000036</v>
      </c>
      <c r="CP7" s="16" t="s">
        <v>20</v>
      </c>
      <c r="CQ7" s="16" t="s">
        <v>20</v>
      </c>
      <c r="CR7" s="16">
        <v>4.5</v>
      </c>
      <c r="CS7" s="16">
        <v>4.5</v>
      </c>
      <c r="CT7" s="17"/>
      <c r="CV7" s="15" t="s">
        <v>106</v>
      </c>
      <c r="CW7" s="49" t="s">
        <v>107</v>
      </c>
      <c r="CX7" s="17">
        <v>1</v>
      </c>
      <c r="CY7" s="42">
        <v>8810</v>
      </c>
      <c r="CZ7" s="40">
        <v>20.000000000000018</v>
      </c>
      <c r="DA7" s="16" t="s">
        <v>20</v>
      </c>
      <c r="DB7" s="16" t="s">
        <v>20</v>
      </c>
      <c r="DC7" s="16">
        <v>4</v>
      </c>
      <c r="DD7" s="16">
        <v>4.2</v>
      </c>
      <c r="DE7" s="17"/>
      <c r="DG7" s="15" t="s">
        <v>106</v>
      </c>
      <c r="DH7" s="49" t="s">
        <v>107</v>
      </c>
      <c r="DI7" s="17">
        <v>1</v>
      </c>
      <c r="DJ7" s="42">
        <v>9628</v>
      </c>
      <c r="DK7" s="40" t="s">
        <v>20</v>
      </c>
      <c r="DL7" s="16" t="s">
        <v>20</v>
      </c>
      <c r="DM7" s="16" t="s">
        <v>20</v>
      </c>
      <c r="DN7" s="16" t="s">
        <v>20</v>
      </c>
      <c r="DO7" s="16" t="s">
        <v>20</v>
      </c>
      <c r="DP7" s="17"/>
      <c r="DR7" s="15" t="s">
        <v>106</v>
      </c>
      <c r="DS7" s="49" t="s">
        <v>107</v>
      </c>
      <c r="DT7" s="17">
        <v>1</v>
      </c>
      <c r="DU7" s="42">
        <v>9305</v>
      </c>
      <c r="DV7" s="40">
        <v>11.000000000000002</v>
      </c>
      <c r="DW7" s="16" t="s">
        <v>20</v>
      </c>
      <c r="DX7" s="16" t="s">
        <v>20</v>
      </c>
      <c r="DY7" s="16">
        <v>4</v>
      </c>
      <c r="DZ7" s="16">
        <v>3.7</v>
      </c>
      <c r="EA7" s="17"/>
      <c r="EC7" s="15" t="s">
        <v>106</v>
      </c>
      <c r="ED7" s="49" t="s">
        <v>107</v>
      </c>
      <c r="EE7" s="17">
        <v>1</v>
      </c>
      <c r="EF7" s="42">
        <v>8159</v>
      </c>
      <c r="EG7" s="40">
        <v>18.999999999999936</v>
      </c>
      <c r="EH7" s="16" t="s">
        <v>20</v>
      </c>
      <c r="EI7" s="16" t="s">
        <v>20</v>
      </c>
      <c r="EJ7" s="16">
        <v>4</v>
      </c>
      <c r="EK7" s="16">
        <v>4</v>
      </c>
      <c r="EL7" s="17"/>
      <c r="EN7" s="15" t="s">
        <v>106</v>
      </c>
      <c r="EO7" s="49" t="s">
        <v>107</v>
      </c>
      <c r="EP7" s="17">
        <v>1</v>
      </c>
      <c r="EQ7" s="42">
        <v>8862</v>
      </c>
      <c r="ER7" s="40">
        <v>4.0000000000000036</v>
      </c>
      <c r="ES7" s="16" t="s">
        <v>20</v>
      </c>
      <c r="ET7" s="16" t="s">
        <v>20</v>
      </c>
      <c r="EU7" s="16">
        <v>4</v>
      </c>
      <c r="EV7" s="16">
        <v>4.3</v>
      </c>
      <c r="EW7" s="17"/>
      <c r="EY7" s="15" t="s">
        <v>106</v>
      </c>
      <c r="EZ7" s="49" t="s">
        <v>107</v>
      </c>
      <c r="FA7" s="17">
        <v>1</v>
      </c>
      <c r="FB7" s="42">
        <v>10761</v>
      </c>
      <c r="FC7" s="40">
        <v>6.9999999999999991</v>
      </c>
      <c r="FD7" s="16" t="s">
        <v>20</v>
      </c>
      <c r="FE7" s="16" t="s">
        <v>20</v>
      </c>
      <c r="FF7" s="16">
        <v>5</v>
      </c>
      <c r="FG7" s="16">
        <v>5</v>
      </c>
      <c r="FH7" s="17"/>
      <c r="FJ7" s="15" t="s">
        <v>106</v>
      </c>
      <c r="FK7" s="49" t="s">
        <v>107</v>
      </c>
      <c r="FL7" s="17">
        <v>1</v>
      </c>
      <c r="FM7" s="42">
        <v>10583</v>
      </c>
      <c r="FN7" s="40">
        <v>8.0000000000000071</v>
      </c>
      <c r="FO7" s="16" t="s">
        <v>20</v>
      </c>
      <c r="FP7" s="16" t="s">
        <v>20</v>
      </c>
      <c r="FQ7" s="16">
        <v>5</v>
      </c>
      <c r="FR7" s="16">
        <v>5</v>
      </c>
      <c r="FS7" s="17"/>
      <c r="FU7" s="15" t="s">
        <v>106</v>
      </c>
      <c r="FV7" s="49" t="s">
        <v>107</v>
      </c>
      <c r="FW7" s="17">
        <v>1</v>
      </c>
      <c r="FX7" s="42">
        <v>8349</v>
      </c>
      <c r="FY7" s="40">
        <v>9.9999999999999929</v>
      </c>
      <c r="FZ7" s="16" t="s">
        <v>20</v>
      </c>
      <c r="GA7" s="16" t="s">
        <v>20</v>
      </c>
      <c r="GB7" s="16">
        <v>4</v>
      </c>
      <c r="GC7" s="16">
        <v>3.5</v>
      </c>
      <c r="GD7" s="17"/>
      <c r="GF7" s="15" t="s">
        <v>106</v>
      </c>
      <c r="GG7" s="49" t="s">
        <v>107</v>
      </c>
      <c r="GH7" s="17">
        <v>1</v>
      </c>
      <c r="GI7" s="42">
        <v>18634</v>
      </c>
      <c r="GJ7" s="40" t="s">
        <v>20</v>
      </c>
      <c r="GK7" s="16" t="s">
        <v>20</v>
      </c>
      <c r="GL7" s="16" t="s">
        <v>20</v>
      </c>
      <c r="GM7" s="16" t="s">
        <v>20</v>
      </c>
      <c r="GN7" s="16" t="s">
        <v>20</v>
      </c>
      <c r="GO7" s="17"/>
      <c r="GQ7" s="15" t="s">
        <v>106</v>
      </c>
      <c r="GR7" s="49"/>
      <c r="GS7" s="17"/>
      <c r="GT7" s="42"/>
      <c r="GU7" s="40"/>
      <c r="GV7" s="16"/>
      <c r="GW7" s="16"/>
      <c r="GX7" s="16"/>
      <c r="GY7" s="16"/>
      <c r="GZ7" s="17"/>
      <c r="HB7" s="15" t="s">
        <v>106</v>
      </c>
      <c r="HC7" s="49"/>
      <c r="HD7" s="17"/>
      <c r="HE7" s="42"/>
      <c r="HF7" s="40"/>
      <c r="HG7" s="16"/>
      <c r="HH7" s="16"/>
      <c r="HI7" s="16"/>
      <c r="HJ7" s="16"/>
      <c r="HK7" s="17"/>
      <c r="HM7" s="15" t="s">
        <v>106</v>
      </c>
      <c r="HN7" s="49"/>
      <c r="HO7" s="17"/>
      <c r="HP7" s="42"/>
      <c r="HQ7" s="40"/>
      <c r="HR7" s="16"/>
      <c r="HS7" s="16"/>
      <c r="HT7" s="16"/>
      <c r="HU7" s="16"/>
      <c r="HV7" s="17"/>
      <c r="HX7" s="15" t="s">
        <v>106</v>
      </c>
      <c r="HY7" s="49"/>
      <c r="HZ7" s="17"/>
      <c r="IA7" s="42"/>
      <c r="IB7" s="40"/>
      <c r="IC7" s="16"/>
      <c r="ID7" s="16"/>
      <c r="IE7" s="16"/>
      <c r="IF7" s="16"/>
      <c r="IG7" s="17"/>
      <c r="II7" s="15" t="s">
        <v>106</v>
      </c>
      <c r="IJ7" s="49"/>
      <c r="IK7" s="17"/>
      <c r="IL7" s="42"/>
      <c r="IM7" s="40"/>
      <c r="IN7" s="16"/>
      <c r="IO7" s="16"/>
      <c r="IP7" s="16"/>
      <c r="IQ7" s="16"/>
      <c r="IR7" s="17"/>
      <c r="IT7" s="15" t="s">
        <v>106</v>
      </c>
      <c r="IU7" s="49"/>
      <c r="IV7" s="17"/>
      <c r="IW7" s="42"/>
      <c r="IX7" s="40"/>
      <c r="IY7" s="16"/>
      <c r="IZ7" s="16"/>
      <c r="JA7" s="16"/>
      <c r="JB7" s="16"/>
      <c r="JC7" s="17"/>
      <c r="JE7" s="15" t="s">
        <v>106</v>
      </c>
      <c r="JF7" s="49"/>
      <c r="JG7" s="17"/>
      <c r="JH7" s="42"/>
      <c r="JI7" s="40"/>
      <c r="JJ7" s="16"/>
      <c r="JK7" s="16"/>
      <c r="JL7" s="16"/>
      <c r="JM7" s="16"/>
      <c r="JN7" s="17"/>
      <c r="JP7" s="15" t="s">
        <v>106</v>
      </c>
      <c r="JQ7" s="49"/>
      <c r="JR7" s="17"/>
      <c r="JS7" s="42"/>
      <c r="JT7" s="40"/>
      <c r="JU7" s="16"/>
      <c r="JV7" s="16"/>
      <c r="JW7" s="16"/>
      <c r="JX7" s="16"/>
      <c r="JY7" s="17"/>
      <c r="KA7" s="15" t="s">
        <v>106</v>
      </c>
      <c r="KB7" s="49"/>
      <c r="KC7" s="17"/>
      <c r="KD7" s="42"/>
      <c r="KE7" s="40"/>
      <c r="KF7" s="16"/>
      <c r="KG7" s="16"/>
      <c r="KH7" s="16"/>
      <c r="KI7" s="16"/>
      <c r="KJ7" s="17"/>
      <c r="KL7" s="15" t="s">
        <v>106</v>
      </c>
      <c r="KM7" s="49"/>
      <c r="KN7" s="17"/>
      <c r="KO7" s="42"/>
      <c r="KP7" s="40"/>
      <c r="KQ7" s="16"/>
      <c r="KR7" s="16"/>
      <c r="KS7" s="16"/>
      <c r="KT7" s="16"/>
      <c r="KU7" s="17"/>
      <c r="KW7" s="15" t="s">
        <v>106</v>
      </c>
      <c r="KX7" s="49"/>
      <c r="KY7" s="17"/>
      <c r="KZ7" s="42"/>
      <c r="LA7" s="40"/>
      <c r="LB7" s="16"/>
      <c r="LC7" s="16"/>
      <c r="LD7" s="16"/>
      <c r="LE7" s="16"/>
      <c r="LF7" s="17"/>
      <c r="LH7" s="15" t="s">
        <v>106</v>
      </c>
      <c r="LI7" s="49"/>
      <c r="LJ7" s="17"/>
      <c r="LK7" s="42"/>
      <c r="LL7" s="40"/>
      <c r="LM7" s="16"/>
      <c r="LN7" s="16"/>
      <c r="LO7" s="16"/>
      <c r="LP7" s="16"/>
      <c r="LQ7" s="17"/>
    </row>
    <row r="8">
      <c r="A8" s="15" t="s">
        <v>109</v>
      </c>
      <c r="B8" s="49" t="s">
        <v>110</v>
      </c>
      <c r="C8" s="63">
        <v>2</v>
      </c>
      <c r="D8" s="64">
        <v>10141</v>
      </c>
      <c r="E8" s="16" t="s">
        <v>20</v>
      </c>
      <c r="F8" s="16" t="s">
        <v>20</v>
      </c>
      <c r="G8" s="21" t="s">
        <v>20</v>
      </c>
      <c r="H8" s="16" t="s">
        <v>20</v>
      </c>
      <c r="I8" s="16" t="s">
        <v>20</v>
      </c>
      <c r="J8" s="17"/>
      <c r="K8" s="19"/>
      <c r="L8" s="15" t="s">
        <v>109</v>
      </c>
      <c r="M8" s="49" t="s">
        <v>110</v>
      </c>
      <c r="N8" s="66">
        <v>2</v>
      </c>
      <c r="O8" s="64">
        <v>8891</v>
      </c>
      <c r="P8" s="16" t="s">
        <v>20</v>
      </c>
      <c r="Q8" s="16" t="s">
        <v>20</v>
      </c>
      <c r="R8" s="16" t="s">
        <v>20</v>
      </c>
      <c r="S8" s="16" t="s">
        <v>20</v>
      </c>
      <c r="T8" s="16" t="s">
        <v>20</v>
      </c>
      <c r="U8" s="17"/>
      <c r="W8" s="15" t="s">
        <v>109</v>
      </c>
      <c r="X8" s="49" t="s">
        <v>110</v>
      </c>
      <c r="Y8" s="66">
        <v>2</v>
      </c>
      <c r="Z8" s="67">
        <v>9522</v>
      </c>
      <c r="AA8" s="40" t="s">
        <v>20</v>
      </c>
      <c r="AB8" s="16" t="s">
        <v>20</v>
      </c>
      <c r="AC8" s="16" t="s">
        <v>20</v>
      </c>
      <c r="AD8" s="16" t="s">
        <v>20</v>
      </c>
      <c r="AE8" s="16" t="s">
        <v>20</v>
      </c>
      <c r="AF8" s="17"/>
      <c r="AH8" s="15" t="s">
        <v>109</v>
      </c>
      <c r="AI8" s="49" t="s">
        <v>110</v>
      </c>
      <c r="AJ8" s="17">
        <v>2</v>
      </c>
      <c r="AK8" s="67">
        <v>9139</v>
      </c>
      <c r="AL8" s="40">
        <v>4.9999999999999964</v>
      </c>
      <c r="AM8" s="16">
        <v>24.000000000232831</v>
      </c>
      <c r="AN8" s="16" t="s">
        <v>20</v>
      </c>
      <c r="AO8" s="16">
        <v>4.5</v>
      </c>
      <c r="AP8" s="16">
        <v>4</v>
      </c>
      <c r="AQ8" s="17"/>
      <c r="AS8" s="15" t="s">
        <v>109</v>
      </c>
      <c r="AT8" s="49" t="s">
        <v>110</v>
      </c>
      <c r="AU8" s="17">
        <v>2</v>
      </c>
      <c r="AV8" s="67">
        <v>8810</v>
      </c>
      <c r="AW8" s="40">
        <v>17.000000000000064</v>
      </c>
      <c r="AX8" s="16">
        <v>10.999999996973202</v>
      </c>
      <c r="AY8" s="16"/>
      <c r="AZ8" s="16">
        <v>4.5</v>
      </c>
      <c r="BA8" s="16">
        <v>4.6</v>
      </c>
      <c r="BB8" s="17"/>
      <c r="BD8" s="15" t="s">
        <v>109</v>
      </c>
      <c r="BE8" s="49" t="s">
        <v>110</v>
      </c>
      <c r="BF8" s="17">
        <v>2</v>
      </c>
      <c r="BG8" s="67">
        <v>9299</v>
      </c>
      <c r="BH8" s="40">
        <v>2.9999999999999947</v>
      </c>
      <c r="BI8" s="16">
        <v>32.000000009313226</v>
      </c>
      <c r="BJ8" s="16" t="s">
        <v>20</v>
      </c>
      <c r="BK8" s="16">
        <v>4.5</v>
      </c>
      <c r="BL8" s="16">
        <v>3</v>
      </c>
      <c r="BM8" s="17"/>
      <c r="BO8" s="15" t="s">
        <v>109</v>
      </c>
      <c r="BP8" s="49" t="s">
        <v>110</v>
      </c>
      <c r="BQ8" s="17">
        <v>2</v>
      </c>
      <c r="BR8" s="67">
        <v>9294</v>
      </c>
      <c r="BS8" s="40">
        <v>4.9999999999999964</v>
      </c>
      <c r="BT8" s="16">
        <v>34.000000001396984</v>
      </c>
      <c r="BU8" s="16" t="s">
        <v>20</v>
      </c>
      <c r="BV8" s="16">
        <v>4.5</v>
      </c>
      <c r="BW8" s="16">
        <v>3.8</v>
      </c>
      <c r="BX8" s="17"/>
      <c r="BZ8" s="15" t="s">
        <v>109</v>
      </c>
      <c r="CA8" s="49" t="s">
        <v>111</v>
      </c>
      <c r="CB8" s="17">
        <v>2</v>
      </c>
      <c r="CC8" s="67">
        <v>9520</v>
      </c>
      <c r="CD8" s="40">
        <v>31.999999999999968</v>
      </c>
      <c r="CE8" s="16" t="s">
        <v>20</v>
      </c>
      <c r="CF8" s="16" t="s">
        <v>20</v>
      </c>
      <c r="CG8" s="16">
        <v>5.1999999999999833</v>
      </c>
      <c r="CH8" s="16">
        <v>4.9</v>
      </c>
      <c r="CI8" s="17"/>
      <c r="CK8" s="15" t="s">
        <v>109</v>
      </c>
      <c r="CL8" s="49" t="s">
        <v>111</v>
      </c>
      <c r="CM8" s="17">
        <v>2</v>
      </c>
      <c r="CN8" s="67">
        <v>10682</v>
      </c>
      <c r="CO8" s="40">
        <v>27.999999999999936</v>
      </c>
      <c r="CP8" s="16">
        <v>28.000000004423782</v>
      </c>
      <c r="CQ8" s="16">
        <v>1000</v>
      </c>
      <c r="CR8" s="16">
        <v>5</v>
      </c>
      <c r="CS8" s="16">
        <v>4.7</v>
      </c>
      <c r="CT8" s="17"/>
      <c r="CV8" s="15" t="s">
        <v>109</v>
      </c>
      <c r="CW8" s="49" t="s">
        <v>112</v>
      </c>
      <c r="CX8" s="17">
        <v>2</v>
      </c>
      <c r="CY8" s="42">
        <v>9048</v>
      </c>
      <c r="CZ8" s="40">
        <v>17.000000000000064</v>
      </c>
      <c r="DA8" s="16">
        <v>128.00000000116415</v>
      </c>
      <c r="DB8" s="16" t="s">
        <v>20</v>
      </c>
      <c r="DC8" s="16">
        <v>4</v>
      </c>
      <c r="DD8" s="16">
        <v>4.3</v>
      </c>
      <c r="DE8" s="17"/>
      <c r="DG8" s="15" t="s">
        <v>109</v>
      </c>
      <c r="DH8" s="49" t="s">
        <v>112</v>
      </c>
      <c r="DI8" s="17">
        <v>2</v>
      </c>
      <c r="DJ8" s="42">
        <v>9867</v>
      </c>
      <c r="DK8" s="40" t="s">
        <v>20</v>
      </c>
      <c r="DL8" s="16" t="s">
        <v>20</v>
      </c>
      <c r="DM8" s="16" t="s">
        <v>20</v>
      </c>
      <c r="DN8" s="16" t="s">
        <v>20</v>
      </c>
      <c r="DO8" s="16" t="s">
        <v>20</v>
      </c>
      <c r="DP8" s="17"/>
      <c r="DR8" s="15" t="s">
        <v>109</v>
      </c>
      <c r="DS8" s="49" t="s">
        <v>112</v>
      </c>
      <c r="DT8" s="17">
        <v>2</v>
      </c>
      <c r="DU8" s="42">
        <v>9546</v>
      </c>
      <c r="DV8" s="40">
        <v>15.000000000000048</v>
      </c>
      <c r="DW8" s="16">
        <v>26.000000007916242</v>
      </c>
      <c r="DX8" s="16" t="s">
        <v>20</v>
      </c>
      <c r="DY8" s="16">
        <v>4</v>
      </c>
      <c r="DZ8" s="16">
        <v>3.4</v>
      </c>
      <c r="EA8" s="17"/>
      <c r="EC8" s="15" t="s">
        <v>109</v>
      </c>
      <c r="ED8" s="49" t="s">
        <v>112</v>
      </c>
      <c r="EE8" s="17">
        <v>2</v>
      </c>
      <c r="EF8" s="42">
        <v>8399</v>
      </c>
      <c r="EG8" s="40">
        <v>9</v>
      </c>
      <c r="EH8" s="16">
        <v>20.999999993015081</v>
      </c>
      <c r="EI8" s="16" t="s">
        <v>20</v>
      </c>
      <c r="EJ8" s="16">
        <v>4</v>
      </c>
      <c r="EK8" s="16">
        <v>4</v>
      </c>
      <c r="EL8" s="17"/>
      <c r="EN8" s="15" t="s">
        <v>109</v>
      </c>
      <c r="EO8" s="49" t="s">
        <v>112</v>
      </c>
      <c r="EP8" s="17">
        <v>2</v>
      </c>
      <c r="EQ8" s="42">
        <v>9270</v>
      </c>
      <c r="ER8" s="40">
        <v>4.0000000000000036</v>
      </c>
      <c r="ES8" s="16">
        <v>39.999999996740371</v>
      </c>
      <c r="ET8" s="16" t="s">
        <v>20</v>
      </c>
      <c r="EU8" s="16">
        <v>4</v>
      </c>
      <c r="EV8" s="16">
        <v>3.7</v>
      </c>
      <c r="EW8" s="17"/>
      <c r="EY8" s="15" t="s">
        <v>109</v>
      </c>
      <c r="EZ8" s="49" t="s">
        <v>113</v>
      </c>
      <c r="FA8" s="17">
        <v>2</v>
      </c>
      <c r="FB8" s="42">
        <v>10813</v>
      </c>
      <c r="FC8" s="40">
        <v>13.999999999999998</v>
      </c>
      <c r="FD8" s="16">
        <v>-2.9999999955762178</v>
      </c>
      <c r="FE8" s="16" t="s">
        <v>20</v>
      </c>
      <c r="FF8" s="16">
        <v>5</v>
      </c>
      <c r="FG8" s="16">
        <v>5</v>
      </c>
      <c r="FH8" s="17"/>
      <c r="FJ8" s="15" t="s">
        <v>109</v>
      </c>
      <c r="FK8" s="49" t="s">
        <v>113</v>
      </c>
      <c r="FL8" s="17">
        <v>2</v>
      </c>
      <c r="FM8" s="42">
        <v>10633</v>
      </c>
      <c r="FN8" s="40">
        <v>18</v>
      </c>
      <c r="FO8" s="16">
        <v>16.999999998835847</v>
      </c>
      <c r="FP8" s="16" t="s">
        <v>20</v>
      </c>
      <c r="FQ8" s="16">
        <v>5</v>
      </c>
      <c r="FR8" s="16">
        <v>5</v>
      </c>
      <c r="FS8" s="17"/>
      <c r="FU8" s="15" t="s">
        <v>109</v>
      </c>
      <c r="FV8" s="49" t="s">
        <v>114</v>
      </c>
      <c r="FW8" s="17">
        <v>2</v>
      </c>
      <c r="FX8" s="42">
        <v>8795</v>
      </c>
      <c r="FY8" s="40">
        <v>2.0000000000000018</v>
      </c>
      <c r="FZ8" s="16">
        <v>46.000000002793968</v>
      </c>
      <c r="GA8" s="16" t="s">
        <v>20</v>
      </c>
      <c r="GB8" s="16">
        <v>4</v>
      </c>
      <c r="GC8" s="16">
        <v>3.5</v>
      </c>
      <c r="GD8" s="17"/>
      <c r="GF8" s="15" t="s">
        <v>109</v>
      </c>
      <c r="GG8" s="49" t="s">
        <v>114</v>
      </c>
      <c r="GH8" s="17">
        <v>2</v>
      </c>
      <c r="GI8" s="42">
        <v>9085</v>
      </c>
      <c r="GJ8" s="40">
        <v>18.999999999999936</v>
      </c>
      <c r="GK8" s="16" t="s">
        <v>20</v>
      </c>
      <c r="GL8" s="16" t="s">
        <v>20</v>
      </c>
      <c r="GM8" s="16">
        <v>4.5</v>
      </c>
      <c r="GN8" s="16">
        <v>4.9</v>
      </c>
      <c r="GO8" s="17"/>
      <c r="GQ8" s="15" t="s">
        <v>109</v>
      </c>
      <c r="GR8" s="49"/>
      <c r="GS8" s="17"/>
      <c r="GT8" s="42"/>
      <c r="GU8" s="40"/>
      <c r="GV8" s="16"/>
      <c r="GW8" s="16"/>
      <c r="GX8" s="16"/>
      <c r="GY8" s="16"/>
      <c r="GZ8" s="17"/>
      <c r="HB8" s="15" t="s">
        <v>109</v>
      </c>
      <c r="HC8" s="49"/>
      <c r="HD8" s="17"/>
      <c r="HE8" s="42"/>
      <c r="HF8" s="40"/>
      <c r="HG8" s="16"/>
      <c r="HH8" s="16"/>
      <c r="HI8" s="16"/>
      <c r="HJ8" s="16"/>
      <c r="HK8" s="17"/>
      <c r="HM8" s="15" t="s">
        <v>109</v>
      </c>
      <c r="HN8" s="49"/>
      <c r="HO8" s="17"/>
      <c r="HP8" s="42"/>
      <c r="HQ8" s="40"/>
      <c r="HR8" s="16"/>
      <c r="HS8" s="16"/>
      <c r="HT8" s="16"/>
      <c r="HU8" s="16"/>
      <c r="HV8" s="17"/>
      <c r="HX8" s="15" t="s">
        <v>109</v>
      </c>
      <c r="HY8" s="49"/>
      <c r="HZ8" s="17"/>
      <c r="IA8" s="42"/>
      <c r="IB8" s="40"/>
      <c r="IC8" s="16"/>
      <c r="ID8" s="16"/>
      <c r="IE8" s="16"/>
      <c r="IF8" s="16"/>
      <c r="IG8" s="17"/>
      <c r="II8" s="15" t="s">
        <v>109</v>
      </c>
      <c r="IJ8" s="49"/>
      <c r="IK8" s="17"/>
      <c r="IL8" s="42"/>
      <c r="IM8" s="40"/>
      <c r="IN8" s="16"/>
      <c r="IO8" s="16"/>
      <c r="IP8" s="16"/>
      <c r="IQ8" s="16"/>
      <c r="IR8" s="17"/>
      <c r="IT8" s="15" t="s">
        <v>109</v>
      </c>
      <c r="IU8" s="49"/>
      <c r="IV8" s="17"/>
      <c r="IW8" s="42"/>
      <c r="IX8" s="40"/>
      <c r="IY8" s="16"/>
      <c r="IZ8" s="16"/>
      <c r="JA8" s="16"/>
      <c r="JB8" s="16"/>
      <c r="JC8" s="17"/>
      <c r="JE8" s="15" t="s">
        <v>109</v>
      </c>
      <c r="JF8" s="49"/>
      <c r="JG8" s="17"/>
      <c r="JH8" s="42"/>
      <c r="JI8" s="40"/>
      <c r="JJ8" s="16"/>
      <c r="JK8" s="16"/>
      <c r="JL8" s="16"/>
      <c r="JM8" s="16"/>
      <c r="JN8" s="17"/>
      <c r="JP8" s="15" t="s">
        <v>109</v>
      </c>
      <c r="JQ8" s="49"/>
      <c r="JR8" s="17"/>
      <c r="JS8" s="42"/>
      <c r="JT8" s="40"/>
      <c r="JU8" s="16"/>
      <c r="JV8" s="16"/>
      <c r="JW8" s="16"/>
      <c r="JX8" s="16"/>
      <c r="JY8" s="17"/>
      <c r="KA8" s="15" t="s">
        <v>109</v>
      </c>
      <c r="KB8" s="49"/>
      <c r="KC8" s="17"/>
      <c r="KD8" s="42"/>
      <c r="KE8" s="40"/>
      <c r="KF8" s="16"/>
      <c r="KG8" s="16"/>
      <c r="KH8" s="16"/>
      <c r="KI8" s="16"/>
      <c r="KJ8" s="17"/>
      <c r="KL8" s="15" t="s">
        <v>109</v>
      </c>
      <c r="KM8" s="49"/>
      <c r="KN8" s="17"/>
      <c r="KO8" s="42"/>
      <c r="KP8" s="40"/>
      <c r="KQ8" s="16"/>
      <c r="KR8" s="16"/>
      <c r="KS8" s="16"/>
      <c r="KT8" s="16"/>
      <c r="KU8" s="17"/>
      <c r="KW8" s="15" t="s">
        <v>109</v>
      </c>
      <c r="KX8" s="49"/>
      <c r="KY8" s="17"/>
      <c r="KZ8" s="42"/>
      <c r="LA8" s="40"/>
      <c r="LB8" s="16"/>
      <c r="LC8" s="16"/>
      <c r="LD8" s="16"/>
      <c r="LE8" s="16"/>
      <c r="LF8" s="17"/>
      <c r="LH8" s="15" t="s">
        <v>109</v>
      </c>
      <c r="LI8" s="49"/>
      <c r="LJ8" s="17"/>
      <c r="LK8" s="42"/>
      <c r="LL8" s="40"/>
      <c r="LM8" s="16"/>
      <c r="LN8" s="16"/>
      <c r="LO8" s="16"/>
      <c r="LP8" s="16"/>
      <c r="LQ8" s="17"/>
    </row>
    <row r="9">
      <c r="A9" s="15" t="s">
        <v>115</v>
      </c>
      <c r="B9" s="49" t="s">
        <v>116</v>
      </c>
      <c r="C9" s="63">
        <v>3</v>
      </c>
      <c r="D9" s="64">
        <v>10343</v>
      </c>
      <c r="E9" s="16" t="s">
        <v>20</v>
      </c>
      <c r="F9" s="16" t="s">
        <v>20</v>
      </c>
      <c r="G9" s="21" t="s">
        <v>20</v>
      </c>
      <c r="H9" s="16" t="s">
        <v>20</v>
      </c>
      <c r="I9" s="16" t="s">
        <v>20</v>
      </c>
      <c r="J9" s="17"/>
      <c r="L9" s="15" t="s">
        <v>115</v>
      </c>
      <c r="M9" s="49" t="s">
        <v>117</v>
      </c>
      <c r="N9" s="66">
        <v>3</v>
      </c>
      <c r="O9" s="64">
        <v>9134</v>
      </c>
      <c r="P9" s="16" t="s">
        <v>20</v>
      </c>
      <c r="Q9" s="16" t="s">
        <v>20</v>
      </c>
      <c r="R9" s="16" t="s">
        <v>20</v>
      </c>
      <c r="S9" s="16" t="s">
        <v>20</v>
      </c>
      <c r="T9" s="16" t="s">
        <v>20</v>
      </c>
      <c r="U9" s="17"/>
      <c r="W9" s="15" t="s">
        <v>115</v>
      </c>
      <c r="X9" s="49" t="s">
        <v>118</v>
      </c>
      <c r="Y9" s="66">
        <v>3</v>
      </c>
      <c r="Z9" s="67">
        <v>9723</v>
      </c>
      <c r="AA9" s="40" t="s">
        <v>20</v>
      </c>
      <c r="AB9" s="16" t="s">
        <v>20</v>
      </c>
      <c r="AC9" s="16" t="s">
        <v>20</v>
      </c>
      <c r="AD9" s="16" t="s">
        <v>20</v>
      </c>
      <c r="AE9" s="16" t="s">
        <v>20</v>
      </c>
      <c r="AF9" s="17"/>
      <c r="AH9" s="15" t="s">
        <v>115</v>
      </c>
      <c r="AI9" s="49" t="s">
        <v>118</v>
      </c>
      <c r="AJ9" s="17">
        <v>3</v>
      </c>
      <c r="AK9" s="67">
        <v>9341</v>
      </c>
      <c r="AL9" s="40">
        <v>4.9999999999999964</v>
      </c>
      <c r="AM9" s="16">
        <v>40.99999999278225</v>
      </c>
      <c r="AN9" s="16" t="s">
        <v>20</v>
      </c>
      <c r="AO9" s="16">
        <v>4.5</v>
      </c>
      <c r="AP9" s="16">
        <v>3.7</v>
      </c>
      <c r="AQ9" s="17"/>
      <c r="AS9" s="15" t="s">
        <v>115</v>
      </c>
      <c r="AT9" s="49" t="s">
        <v>119</v>
      </c>
      <c r="AU9" s="17">
        <v>3</v>
      </c>
      <c r="AV9" s="67">
        <v>9011</v>
      </c>
      <c r="AW9" s="40">
        <v>4.9999999999999964</v>
      </c>
      <c r="AX9" s="16">
        <v>9.99999999650754</v>
      </c>
      <c r="AY9" s="16"/>
      <c r="AZ9" s="16">
        <v>4.5</v>
      </c>
      <c r="BA9" s="16">
        <v>4.4</v>
      </c>
      <c r="BB9" s="17"/>
      <c r="BD9" s="15" t="s">
        <v>115</v>
      </c>
      <c r="BE9" s="49" t="s">
        <v>120</v>
      </c>
      <c r="BF9" s="17">
        <v>3</v>
      </c>
      <c r="BG9" s="67">
        <v>9501</v>
      </c>
      <c r="BH9" s="40">
        <v>8.0000000000000071</v>
      </c>
      <c r="BI9" s="16">
        <v>14.999999991152436</v>
      </c>
      <c r="BJ9" s="16" t="s">
        <v>20</v>
      </c>
      <c r="BK9" s="16">
        <v>4.5</v>
      </c>
      <c r="BL9" s="16">
        <v>3</v>
      </c>
      <c r="BM9" s="17"/>
      <c r="BO9" s="15" t="s">
        <v>115</v>
      </c>
      <c r="BP9" s="49" t="s">
        <v>121</v>
      </c>
      <c r="BQ9" s="17">
        <v>3</v>
      </c>
      <c r="BR9" s="67">
        <v>9495</v>
      </c>
      <c r="BS9" s="40">
        <v>8.0000000000000071</v>
      </c>
      <c r="BT9" s="16">
        <v>28.000000002095476</v>
      </c>
      <c r="BU9" s="16" t="s">
        <v>20</v>
      </c>
      <c r="BV9" s="16">
        <v>4.5</v>
      </c>
      <c r="BW9" s="16">
        <v>3.5</v>
      </c>
      <c r="BX9" s="17"/>
      <c r="BZ9" s="15" t="s">
        <v>115</v>
      </c>
      <c r="CA9" s="49" t="s">
        <v>122</v>
      </c>
      <c r="CB9" s="17">
        <v>3</v>
      </c>
      <c r="CC9" s="67">
        <v>10651</v>
      </c>
      <c r="CD9" s="40">
        <v>20.000000000000018</v>
      </c>
      <c r="CE9" s="16">
        <v>77.9999999946449</v>
      </c>
      <c r="CF9" s="16" t="s">
        <v>20</v>
      </c>
      <c r="CG9" s="16">
        <v>5</v>
      </c>
      <c r="CH9" s="16">
        <v>2.9</v>
      </c>
      <c r="CI9" s="17"/>
      <c r="CK9" s="15" t="s">
        <v>115</v>
      </c>
      <c r="CL9" s="49" t="s">
        <v>117</v>
      </c>
      <c r="CM9" s="17">
        <v>3</v>
      </c>
      <c r="CN9" s="67">
        <v>10884</v>
      </c>
      <c r="CO9" s="40">
        <v>27.999999999999936</v>
      </c>
      <c r="CP9" s="16">
        <v>24.000000001862645</v>
      </c>
      <c r="CQ9" s="16">
        <v>500</v>
      </c>
      <c r="CR9" s="16">
        <v>5</v>
      </c>
      <c r="CS9" s="16">
        <v>4.7</v>
      </c>
      <c r="CT9" s="17"/>
      <c r="CV9" s="15" t="s">
        <v>115</v>
      </c>
      <c r="CW9" s="49" t="s">
        <v>123</v>
      </c>
      <c r="CX9" s="17">
        <v>3</v>
      </c>
      <c r="CY9" s="42">
        <v>9249</v>
      </c>
      <c r="CZ9" s="40">
        <v>9.9999999999999929</v>
      </c>
      <c r="DA9" s="16">
        <v>39.000000002561137</v>
      </c>
      <c r="DB9" s="16" t="s">
        <v>20</v>
      </c>
      <c r="DC9" s="16">
        <v>4</v>
      </c>
      <c r="DD9" s="16">
        <v>4.3</v>
      </c>
      <c r="DE9" s="17"/>
      <c r="DG9" s="15" t="s">
        <v>115</v>
      </c>
      <c r="DH9" s="49" t="s">
        <v>124</v>
      </c>
      <c r="DI9" s="17">
        <v>3</v>
      </c>
      <c r="DJ9" s="42">
        <v>10068</v>
      </c>
      <c r="DK9" s="40" t="s">
        <v>20</v>
      </c>
      <c r="DL9" s="16" t="s">
        <v>20</v>
      </c>
      <c r="DM9" s="16" t="s">
        <v>20</v>
      </c>
      <c r="DN9" s="16" t="s">
        <v>20</v>
      </c>
      <c r="DO9" s="16" t="s">
        <v>20</v>
      </c>
      <c r="DP9" s="17"/>
      <c r="DR9" s="15" t="s">
        <v>115</v>
      </c>
      <c r="DS9" s="49" t="s">
        <v>124</v>
      </c>
      <c r="DT9" s="17">
        <v>3</v>
      </c>
      <c r="DU9" s="42">
        <v>9750</v>
      </c>
      <c r="DV9" s="40">
        <v>11.999999999999995</v>
      </c>
      <c r="DW9" s="16">
        <v>17.000000000232831</v>
      </c>
      <c r="DX9" s="16" t="s">
        <v>20</v>
      </c>
      <c r="DY9" s="16">
        <v>4</v>
      </c>
      <c r="DZ9" s="16">
        <v>3.6</v>
      </c>
      <c r="EA9" s="17"/>
      <c r="EC9" s="15" t="s">
        <v>115</v>
      </c>
      <c r="ED9" s="49" t="s">
        <v>125</v>
      </c>
      <c r="EE9" s="17">
        <v>3</v>
      </c>
      <c r="EF9" s="42">
        <v>8601</v>
      </c>
      <c r="EG9" s="40">
        <v>4.9999999999999964</v>
      </c>
      <c r="EH9" s="16">
        <v>20.000000008149073</v>
      </c>
      <c r="EI9" s="16" t="s">
        <v>20</v>
      </c>
      <c r="EJ9" s="16">
        <v>4</v>
      </c>
      <c r="EK9" s="16">
        <v>4</v>
      </c>
      <c r="EL9" s="17"/>
      <c r="EN9" s="15" t="s">
        <v>115</v>
      </c>
      <c r="EO9" s="49" t="s">
        <v>126</v>
      </c>
      <c r="EP9" s="17">
        <v>3</v>
      </c>
      <c r="EQ9" s="42">
        <v>9471</v>
      </c>
      <c r="ER9" s="40">
        <v>2.0000000000000018</v>
      </c>
      <c r="ES9" s="16">
        <v>22.999999997671694</v>
      </c>
      <c r="ET9" s="16" t="s">
        <v>20</v>
      </c>
      <c r="EU9" s="16">
        <v>4</v>
      </c>
      <c r="EV9" s="16">
        <v>3.1</v>
      </c>
      <c r="EW9" s="17"/>
      <c r="EY9" s="15" t="s">
        <v>115</v>
      </c>
      <c r="EZ9" s="49" t="s">
        <v>127</v>
      </c>
      <c r="FA9" s="17">
        <v>3</v>
      </c>
      <c r="FB9" s="42">
        <v>11450</v>
      </c>
      <c r="FC9" s="40">
        <v>4.9999999999999964</v>
      </c>
      <c r="FD9" s="16">
        <v>44.999999995343387</v>
      </c>
      <c r="FE9" s="16" t="s">
        <v>20</v>
      </c>
      <c r="FF9" s="16">
        <v>5</v>
      </c>
      <c r="FG9" s="16">
        <v>5</v>
      </c>
      <c r="FH9" s="17"/>
      <c r="FJ9" s="15" t="s">
        <v>115</v>
      </c>
      <c r="FK9" s="49" t="s">
        <v>127</v>
      </c>
      <c r="FL9" s="17">
        <v>3</v>
      </c>
      <c r="FM9" s="42">
        <v>11327</v>
      </c>
      <c r="FN9" s="40">
        <v>15.000000000000048</v>
      </c>
      <c r="FO9" s="16">
        <v>52.000000008847564</v>
      </c>
      <c r="FP9" s="16" t="s">
        <v>20</v>
      </c>
      <c r="FQ9" s="16">
        <v>5</v>
      </c>
      <c r="FR9" s="16">
        <v>5</v>
      </c>
      <c r="FS9" s="17"/>
      <c r="FU9" s="15" t="s">
        <v>115</v>
      </c>
      <c r="FV9" s="49" t="s">
        <v>128</v>
      </c>
      <c r="FW9" s="17">
        <v>3</v>
      </c>
      <c r="FX9" s="42">
        <v>9037</v>
      </c>
      <c r="FY9" s="40">
        <v>2.9999999999999947</v>
      </c>
      <c r="FZ9" s="16">
        <v>23.000000000931323</v>
      </c>
      <c r="GA9" s="16" t="s">
        <v>20</v>
      </c>
      <c r="GB9" s="16">
        <v>4</v>
      </c>
      <c r="GC9" s="16">
        <v>3.1</v>
      </c>
      <c r="GD9" s="17"/>
      <c r="GF9" s="15" t="s">
        <v>115</v>
      </c>
      <c r="GG9" s="49" t="s">
        <v>129</v>
      </c>
      <c r="GH9" s="17">
        <v>3</v>
      </c>
      <c r="GI9" s="42">
        <v>9646</v>
      </c>
      <c r="GJ9" s="40">
        <v>4.9999999999999964</v>
      </c>
      <c r="GK9" s="16">
        <v>53.999999993247911</v>
      </c>
      <c r="GL9" s="16">
        <v>200</v>
      </c>
      <c r="GM9" s="16">
        <v>4.5</v>
      </c>
      <c r="GN9" s="16">
        <v>4.4</v>
      </c>
      <c r="GO9" s="17"/>
      <c r="GQ9" s="15" t="s">
        <v>115</v>
      </c>
      <c r="GR9" s="49"/>
      <c r="GS9" s="17"/>
      <c r="GT9" s="42"/>
      <c r="GU9" s="40"/>
      <c r="GV9" s="16"/>
      <c r="GW9" s="16"/>
      <c r="GX9" s="16"/>
      <c r="GY9" s="16"/>
      <c r="GZ9" s="17"/>
      <c r="HB9" s="15" t="s">
        <v>115</v>
      </c>
      <c r="HC9" s="49"/>
      <c r="HD9" s="17"/>
      <c r="HE9" s="42"/>
      <c r="HF9" s="40"/>
      <c r="HG9" s="16"/>
      <c r="HH9" s="16"/>
      <c r="HI9" s="16"/>
      <c r="HJ9" s="16"/>
      <c r="HK9" s="17"/>
      <c r="HM9" s="15" t="s">
        <v>115</v>
      </c>
      <c r="HN9" s="49"/>
      <c r="HO9" s="17"/>
      <c r="HP9" s="42"/>
      <c r="HQ9" s="40"/>
      <c r="HR9" s="16"/>
      <c r="HS9" s="16"/>
      <c r="HT9" s="16"/>
      <c r="HU9" s="16"/>
      <c r="HV9" s="17"/>
      <c r="HX9" s="15" t="s">
        <v>115</v>
      </c>
      <c r="HY9" s="49"/>
      <c r="HZ9" s="17"/>
      <c r="IA9" s="42"/>
      <c r="IB9" s="40"/>
      <c r="IC9" s="16"/>
      <c r="ID9" s="16"/>
      <c r="IE9" s="16"/>
      <c r="IF9" s="16"/>
      <c r="IG9" s="17"/>
      <c r="II9" s="15" t="s">
        <v>115</v>
      </c>
      <c r="IJ9" s="49"/>
      <c r="IK9" s="17"/>
      <c r="IL9" s="42"/>
      <c r="IM9" s="40"/>
      <c r="IN9" s="16"/>
      <c r="IO9" s="16"/>
      <c r="IP9" s="16"/>
      <c r="IQ9" s="16"/>
      <c r="IR9" s="17"/>
      <c r="IT9" s="15" t="s">
        <v>115</v>
      </c>
      <c r="IU9" s="49"/>
      <c r="IV9" s="17"/>
      <c r="IW9" s="42"/>
      <c r="IX9" s="40"/>
      <c r="IY9" s="16"/>
      <c r="IZ9" s="16"/>
      <c r="JA9" s="16"/>
      <c r="JB9" s="16"/>
      <c r="JC9" s="17"/>
      <c r="JE9" s="15" t="s">
        <v>115</v>
      </c>
      <c r="JF9" s="49"/>
      <c r="JG9" s="17"/>
      <c r="JH9" s="42"/>
      <c r="JI9" s="40"/>
      <c r="JJ9" s="16"/>
      <c r="JK9" s="16"/>
      <c r="JL9" s="16"/>
      <c r="JM9" s="16"/>
      <c r="JN9" s="17"/>
      <c r="JP9" s="15" t="s">
        <v>115</v>
      </c>
      <c r="JQ9" s="49"/>
      <c r="JR9" s="17"/>
      <c r="JS9" s="42"/>
      <c r="JT9" s="40"/>
      <c r="JU9" s="16"/>
      <c r="JV9" s="16"/>
      <c r="JW9" s="16"/>
      <c r="JX9" s="16"/>
      <c r="JY9" s="17"/>
      <c r="KA9" s="15" t="s">
        <v>115</v>
      </c>
      <c r="KB9" s="49"/>
      <c r="KC9" s="17"/>
      <c r="KD9" s="42"/>
      <c r="KE9" s="40"/>
      <c r="KF9" s="16"/>
      <c r="KG9" s="16"/>
      <c r="KH9" s="16"/>
      <c r="KI9" s="16"/>
      <c r="KJ9" s="17"/>
      <c r="KL9" s="15" t="s">
        <v>115</v>
      </c>
      <c r="KM9" s="49"/>
      <c r="KN9" s="17"/>
      <c r="KO9" s="42"/>
      <c r="KP9" s="40"/>
      <c r="KQ9" s="16"/>
      <c r="KR9" s="16"/>
      <c r="KS9" s="16"/>
      <c r="KT9" s="16"/>
      <c r="KU9" s="17"/>
      <c r="KW9" s="15" t="s">
        <v>115</v>
      </c>
      <c r="KX9" s="49"/>
      <c r="KY9" s="17"/>
      <c r="KZ9" s="42"/>
      <c r="LA9" s="40"/>
      <c r="LB9" s="16"/>
      <c r="LC9" s="16"/>
      <c r="LD9" s="16"/>
      <c r="LE9" s="16"/>
      <c r="LF9" s="17"/>
      <c r="LH9" s="15" t="s">
        <v>115</v>
      </c>
      <c r="LI9" s="49"/>
      <c r="LJ9" s="17"/>
      <c r="LK9" s="42"/>
      <c r="LL9" s="40"/>
      <c r="LM9" s="16"/>
      <c r="LN9" s="16"/>
      <c r="LO9" s="16"/>
      <c r="LP9" s="16"/>
      <c r="LQ9" s="17"/>
    </row>
    <row r="10">
      <c r="A10" s="15" t="s">
        <v>130</v>
      </c>
      <c r="B10" s="49" t="s">
        <v>131</v>
      </c>
      <c r="C10" s="63">
        <v>4</v>
      </c>
      <c r="D10" s="64">
        <v>10545</v>
      </c>
      <c r="E10" s="16" t="s">
        <v>20</v>
      </c>
      <c r="F10" s="16" t="s">
        <v>20</v>
      </c>
      <c r="G10" s="21" t="s">
        <v>20</v>
      </c>
      <c r="H10" s="16" t="s">
        <v>20</v>
      </c>
      <c r="I10" s="16" t="s">
        <v>20</v>
      </c>
      <c r="J10" s="17"/>
      <c r="L10" s="15" t="s">
        <v>130</v>
      </c>
      <c r="M10" s="49" t="s">
        <v>132</v>
      </c>
      <c r="N10" s="66">
        <v>4</v>
      </c>
      <c r="O10" s="64">
        <v>9377</v>
      </c>
      <c r="P10" s="16" t="s">
        <v>20</v>
      </c>
      <c r="Q10" s="16" t="s">
        <v>20</v>
      </c>
      <c r="R10" s="16" t="s">
        <v>20</v>
      </c>
      <c r="S10" s="16" t="s">
        <v>20</v>
      </c>
      <c r="T10" s="16" t="s">
        <v>20</v>
      </c>
      <c r="U10" s="17"/>
      <c r="W10" s="15" t="s">
        <v>130</v>
      </c>
      <c r="X10" s="49" t="s">
        <v>133</v>
      </c>
      <c r="Y10" s="66">
        <v>4</v>
      </c>
      <c r="Z10" s="67">
        <v>9923</v>
      </c>
      <c r="AA10" s="40" t="s">
        <v>20</v>
      </c>
      <c r="AB10" s="16" t="s">
        <v>20</v>
      </c>
      <c r="AC10" s="16" t="s">
        <v>20</v>
      </c>
      <c r="AD10" s="16" t="s">
        <v>20</v>
      </c>
      <c r="AE10" s="16" t="s">
        <v>20</v>
      </c>
      <c r="AF10" s="17"/>
      <c r="AH10" s="15" t="s">
        <v>130</v>
      </c>
      <c r="AI10" s="49" t="s">
        <v>134</v>
      </c>
      <c r="AJ10" s="17">
        <v>4</v>
      </c>
      <c r="AK10" s="67">
        <v>9543</v>
      </c>
      <c r="AL10" s="40">
        <v>8.0000000000000071</v>
      </c>
      <c r="AM10" s="16">
        <v>10.999999999068677</v>
      </c>
      <c r="AN10" s="16" t="s">
        <v>20</v>
      </c>
      <c r="AO10" s="16">
        <v>4.5</v>
      </c>
      <c r="AP10" s="16">
        <v>4.5</v>
      </c>
      <c r="AQ10" s="17"/>
      <c r="AS10" s="15" t="s">
        <v>130</v>
      </c>
      <c r="AT10" s="49" t="s">
        <v>135</v>
      </c>
      <c r="AU10" s="17">
        <v>4</v>
      </c>
      <c r="AV10" s="67">
        <v>9212</v>
      </c>
      <c r="AW10" s="40">
        <v>6.0000000000000053</v>
      </c>
      <c r="AX10" s="16">
        <v>12.999999999068677</v>
      </c>
      <c r="AY10" s="16"/>
      <c r="AZ10" s="16">
        <v>4.5</v>
      </c>
      <c r="BA10" s="16">
        <v>4</v>
      </c>
      <c r="BB10" s="17"/>
      <c r="BD10" s="15" t="s">
        <v>130</v>
      </c>
      <c r="BE10" s="49" t="s">
        <v>136</v>
      </c>
      <c r="BF10" s="17">
        <v>4</v>
      </c>
      <c r="BG10" s="67">
        <v>9702</v>
      </c>
      <c r="BH10" s="40">
        <v>2.0000000000000018</v>
      </c>
      <c r="BI10" s="16">
        <v>13.999999999767169</v>
      </c>
      <c r="BJ10" s="16" t="s">
        <v>20</v>
      </c>
      <c r="BK10" s="16">
        <v>4.5</v>
      </c>
      <c r="BL10" s="16">
        <v>3.1</v>
      </c>
      <c r="BM10" s="17"/>
      <c r="BO10" s="15" t="s">
        <v>130</v>
      </c>
      <c r="BP10" s="49" t="s">
        <v>137</v>
      </c>
      <c r="BQ10" s="17">
        <v>4</v>
      </c>
      <c r="BR10" s="67">
        <v>9695</v>
      </c>
      <c r="BS10" s="40">
        <v>8.0000000000000071</v>
      </c>
      <c r="BT10" s="16">
        <v>21.000000000232831</v>
      </c>
      <c r="BU10" s="16" t="s">
        <v>20</v>
      </c>
      <c r="BV10" s="16">
        <v>4.5</v>
      </c>
      <c r="BW10" s="16">
        <v>4.2</v>
      </c>
      <c r="BX10" s="17"/>
      <c r="BZ10" s="15" t="s">
        <v>130</v>
      </c>
      <c r="CA10" s="49" t="s">
        <v>138</v>
      </c>
      <c r="CB10" s="17">
        <v>4</v>
      </c>
      <c r="CC10" s="67">
        <v>10853</v>
      </c>
      <c r="CD10" s="40">
        <v>8.0000000000000071</v>
      </c>
      <c r="CE10" s="16">
        <v>23.000000006752089</v>
      </c>
      <c r="CF10" s="16" t="s">
        <v>20</v>
      </c>
      <c r="CG10" s="16">
        <v>5</v>
      </c>
      <c r="CH10" s="16">
        <v>3.1</v>
      </c>
      <c r="CI10" s="17"/>
      <c r="CK10" s="15" t="s">
        <v>130</v>
      </c>
      <c r="CL10" s="49" t="s">
        <v>139</v>
      </c>
      <c r="CM10" s="17">
        <v>4</v>
      </c>
      <c r="CN10" s="67">
        <v>11087</v>
      </c>
      <c r="CO10" s="40">
        <v>9</v>
      </c>
      <c r="CP10" s="16">
        <v>30.999999994179234</v>
      </c>
      <c r="CQ10" s="16">
        <v>500</v>
      </c>
      <c r="CR10" s="16">
        <v>5</v>
      </c>
      <c r="CS10" s="16">
        <v>4.8</v>
      </c>
      <c r="CT10" s="17"/>
      <c r="CV10" s="15" t="s">
        <v>130</v>
      </c>
      <c r="CW10" s="49" t="s">
        <v>140</v>
      </c>
      <c r="CX10" s="17">
        <v>4</v>
      </c>
      <c r="CY10" s="42">
        <v>9449</v>
      </c>
      <c r="CZ10" s="40">
        <v>13.999999999999998</v>
      </c>
      <c r="DA10" s="16">
        <v>-6.7520886659622192E-09</v>
      </c>
      <c r="DB10" s="16" t="s">
        <v>20</v>
      </c>
      <c r="DC10" s="16">
        <v>4</v>
      </c>
      <c r="DD10" s="16">
        <v>4.3</v>
      </c>
      <c r="DE10" s="17"/>
      <c r="DG10" s="15" t="s">
        <v>130</v>
      </c>
      <c r="DH10" s="49" t="s">
        <v>141</v>
      </c>
      <c r="DI10" s="17">
        <v>4</v>
      </c>
      <c r="DJ10" s="42">
        <v>10270</v>
      </c>
      <c r="DK10" s="40" t="s">
        <v>20</v>
      </c>
      <c r="DL10" s="16" t="s">
        <v>20</v>
      </c>
      <c r="DM10" s="16" t="s">
        <v>20</v>
      </c>
      <c r="DN10" s="16" t="s">
        <v>20</v>
      </c>
      <c r="DO10" s="16" t="s">
        <v>20</v>
      </c>
      <c r="DP10" s="17"/>
      <c r="DR10" s="15" t="s">
        <v>130</v>
      </c>
      <c r="DS10" s="49" t="s">
        <v>142</v>
      </c>
      <c r="DT10" s="17">
        <v>4</v>
      </c>
      <c r="DU10" s="42">
        <v>9953</v>
      </c>
      <c r="DV10" s="40">
        <v>6.0000000000000053</v>
      </c>
      <c r="DW10" s="16">
        <v>14.999999995110556</v>
      </c>
      <c r="DX10" s="16" t="s">
        <v>20</v>
      </c>
      <c r="DY10" s="16">
        <v>4</v>
      </c>
      <c r="DZ10" s="16">
        <v>3.8</v>
      </c>
      <c r="EA10" s="17"/>
      <c r="EC10" s="15" t="s">
        <v>130</v>
      </c>
      <c r="ED10" s="49" t="s">
        <v>143</v>
      </c>
      <c r="EE10" s="17">
        <v>4</v>
      </c>
      <c r="EF10" s="42">
        <v>8804</v>
      </c>
      <c r="EG10" s="40">
        <v>13.000000000000002</v>
      </c>
      <c r="EH10" s="16">
        <v>26.000000001396984</v>
      </c>
      <c r="EI10" s="16" t="s">
        <v>20</v>
      </c>
      <c r="EJ10" s="16">
        <v>4</v>
      </c>
      <c r="EK10" s="16">
        <v>4</v>
      </c>
      <c r="EL10" s="17"/>
      <c r="EN10" s="15" t="s">
        <v>130</v>
      </c>
      <c r="EO10" s="49" t="s">
        <v>144</v>
      </c>
      <c r="EP10" s="17">
        <v>4</v>
      </c>
      <c r="EQ10" s="42">
        <v>9673</v>
      </c>
      <c r="ER10" s="40">
        <v>0.99999999999999933</v>
      </c>
      <c r="ES10" s="16">
        <v>3.0000000060535967</v>
      </c>
      <c r="ET10" s="16" t="s">
        <v>20</v>
      </c>
      <c r="EU10" s="16">
        <v>4</v>
      </c>
      <c r="EV10" s="16">
        <v>2.9</v>
      </c>
      <c r="EW10" s="17"/>
      <c r="EY10" s="15" t="s">
        <v>130</v>
      </c>
      <c r="EZ10" s="49" t="s">
        <v>145</v>
      </c>
      <c r="FA10" s="17">
        <v>4</v>
      </c>
      <c r="FB10" s="42">
        <v>11651</v>
      </c>
      <c r="FC10" s="40">
        <v>15.999999999999984</v>
      </c>
      <c r="FD10" s="16">
        <v>23.000000001396984</v>
      </c>
      <c r="FE10" s="16" t="s">
        <v>20</v>
      </c>
      <c r="FF10" s="16">
        <v>5</v>
      </c>
      <c r="FG10" s="16">
        <v>5</v>
      </c>
      <c r="FH10" s="17"/>
      <c r="FJ10" s="15" t="s">
        <v>130</v>
      </c>
      <c r="FK10" s="49" t="s">
        <v>146</v>
      </c>
      <c r="FL10" s="17">
        <v>4</v>
      </c>
      <c r="FM10" s="42">
        <v>11526</v>
      </c>
      <c r="FN10" s="40">
        <v>13.999999999999998</v>
      </c>
      <c r="FO10" s="16">
        <v>17.999999999534339</v>
      </c>
      <c r="FP10" s="16" t="s">
        <v>20</v>
      </c>
      <c r="FQ10" s="16">
        <v>5</v>
      </c>
      <c r="FR10" s="16">
        <v>5</v>
      </c>
      <c r="FS10" s="17"/>
      <c r="FU10" s="15" t="s">
        <v>130</v>
      </c>
      <c r="FV10" s="49" t="s">
        <v>147</v>
      </c>
      <c r="FW10" s="17">
        <v>4</v>
      </c>
      <c r="FX10" s="42">
        <v>9278</v>
      </c>
      <c r="FY10" s="40">
        <v>4.0000000000000036</v>
      </c>
      <c r="FZ10" s="16">
        <v>27.999999999534339</v>
      </c>
      <c r="GA10" s="16" t="s">
        <v>20</v>
      </c>
      <c r="GB10" s="16">
        <v>4</v>
      </c>
      <c r="GC10" s="16">
        <v>3.1</v>
      </c>
      <c r="GD10" s="17"/>
      <c r="GF10" s="15" t="s">
        <v>130</v>
      </c>
      <c r="GG10" s="49" t="s">
        <v>148</v>
      </c>
      <c r="GH10" s="17">
        <v>4</v>
      </c>
      <c r="GI10" s="42">
        <v>9848</v>
      </c>
      <c r="GJ10" s="40">
        <v>4.9999999999999964</v>
      </c>
      <c r="GK10" s="16">
        <v>19.999999997671694</v>
      </c>
      <c r="GL10" s="16">
        <v>200</v>
      </c>
      <c r="GM10" s="16">
        <v>4.5999999999999908</v>
      </c>
      <c r="GN10" s="16">
        <v>4.4</v>
      </c>
      <c r="GO10" s="17"/>
      <c r="GQ10" s="15" t="s">
        <v>130</v>
      </c>
      <c r="GR10" s="49"/>
      <c r="GS10" s="17"/>
      <c r="GT10" s="42"/>
      <c r="GU10" s="40"/>
      <c r="GV10" s="16"/>
      <c r="GW10" s="16"/>
      <c r="GX10" s="16"/>
      <c r="GY10" s="16"/>
      <c r="GZ10" s="17"/>
      <c r="HB10" s="15" t="s">
        <v>130</v>
      </c>
      <c r="HC10" s="49"/>
      <c r="HD10" s="17"/>
      <c r="HE10" s="42"/>
      <c r="HF10" s="40"/>
      <c r="HG10" s="16"/>
      <c r="HH10" s="16"/>
      <c r="HI10" s="16"/>
      <c r="HJ10" s="16"/>
      <c r="HK10" s="17"/>
      <c r="HM10" s="15" t="s">
        <v>130</v>
      </c>
      <c r="HN10" s="49"/>
      <c r="HO10" s="17"/>
      <c r="HP10" s="42"/>
      <c r="HQ10" s="40"/>
      <c r="HR10" s="16"/>
      <c r="HS10" s="16"/>
      <c r="HT10" s="16"/>
      <c r="HU10" s="16"/>
      <c r="HV10" s="17"/>
      <c r="HX10" s="15" t="s">
        <v>130</v>
      </c>
      <c r="HY10" s="49"/>
      <c r="HZ10" s="17"/>
      <c r="IA10" s="42"/>
      <c r="IB10" s="40"/>
      <c r="IC10" s="16"/>
      <c r="ID10" s="16"/>
      <c r="IE10" s="16"/>
      <c r="IF10" s="16"/>
      <c r="IG10" s="17"/>
      <c r="II10" s="15" t="s">
        <v>130</v>
      </c>
      <c r="IJ10" s="49"/>
      <c r="IK10" s="17"/>
      <c r="IL10" s="42"/>
      <c r="IM10" s="40"/>
      <c r="IN10" s="16"/>
      <c r="IO10" s="16"/>
      <c r="IP10" s="16"/>
      <c r="IQ10" s="16"/>
      <c r="IR10" s="17"/>
      <c r="IT10" s="15" t="s">
        <v>130</v>
      </c>
      <c r="IU10" s="49"/>
      <c r="IV10" s="17"/>
      <c r="IW10" s="42"/>
      <c r="IX10" s="40"/>
      <c r="IY10" s="16"/>
      <c r="IZ10" s="16"/>
      <c r="JA10" s="16"/>
      <c r="JB10" s="16"/>
      <c r="JC10" s="17"/>
      <c r="JE10" s="15" t="s">
        <v>130</v>
      </c>
      <c r="JF10" s="49"/>
      <c r="JG10" s="17"/>
      <c r="JH10" s="42"/>
      <c r="JI10" s="40"/>
      <c r="JJ10" s="16"/>
      <c r="JK10" s="16"/>
      <c r="JL10" s="16"/>
      <c r="JM10" s="16"/>
      <c r="JN10" s="17"/>
      <c r="JP10" s="15" t="s">
        <v>130</v>
      </c>
      <c r="JQ10" s="49"/>
      <c r="JR10" s="17"/>
      <c r="JS10" s="42"/>
      <c r="JT10" s="40"/>
      <c r="JU10" s="16"/>
      <c r="JV10" s="16"/>
      <c r="JW10" s="16"/>
      <c r="JX10" s="16"/>
      <c r="JY10" s="17"/>
      <c r="KA10" s="15" t="s">
        <v>130</v>
      </c>
      <c r="KB10" s="49"/>
      <c r="KC10" s="17"/>
      <c r="KD10" s="42"/>
      <c r="KE10" s="40"/>
      <c r="KF10" s="16"/>
      <c r="KG10" s="16"/>
      <c r="KH10" s="16"/>
      <c r="KI10" s="16"/>
      <c r="KJ10" s="17"/>
      <c r="KL10" s="15" t="s">
        <v>130</v>
      </c>
      <c r="KM10" s="49"/>
      <c r="KN10" s="17"/>
      <c r="KO10" s="42"/>
      <c r="KP10" s="40"/>
      <c r="KQ10" s="16"/>
      <c r="KR10" s="16"/>
      <c r="KS10" s="16"/>
      <c r="KT10" s="16"/>
      <c r="KU10" s="17"/>
      <c r="KW10" s="15" t="s">
        <v>130</v>
      </c>
      <c r="KX10" s="49"/>
      <c r="KY10" s="17"/>
      <c r="KZ10" s="42"/>
      <c r="LA10" s="40"/>
      <c r="LB10" s="16"/>
      <c r="LC10" s="16"/>
      <c r="LD10" s="16"/>
      <c r="LE10" s="16"/>
      <c r="LF10" s="17"/>
      <c r="LH10" s="15" t="s">
        <v>130</v>
      </c>
      <c r="LI10" s="49"/>
      <c r="LJ10" s="17"/>
      <c r="LK10" s="42"/>
      <c r="LL10" s="40"/>
      <c r="LM10" s="16"/>
      <c r="LN10" s="16"/>
      <c r="LO10" s="16"/>
      <c r="LP10" s="16"/>
      <c r="LQ10" s="17"/>
    </row>
    <row r="11">
      <c r="A11" s="15" t="s">
        <v>21</v>
      </c>
      <c r="B11" s="49" t="s">
        <v>149</v>
      </c>
      <c r="C11" s="63">
        <v>5</v>
      </c>
      <c r="D11" s="64">
        <v>10748</v>
      </c>
      <c r="E11" s="16" t="s">
        <v>20</v>
      </c>
      <c r="F11" s="16" t="s">
        <v>20</v>
      </c>
      <c r="G11" s="21" t="s">
        <v>20</v>
      </c>
      <c r="H11" s="16" t="s">
        <v>20</v>
      </c>
      <c r="I11" s="16" t="s">
        <v>20</v>
      </c>
      <c r="J11" s="17"/>
      <c r="L11" s="15" t="s">
        <v>21</v>
      </c>
      <c r="M11" s="49" t="s">
        <v>150</v>
      </c>
      <c r="N11" s="66">
        <v>5</v>
      </c>
      <c r="O11" s="64">
        <v>9620</v>
      </c>
      <c r="P11" s="16" t="s">
        <v>20</v>
      </c>
      <c r="Q11" s="16" t="s">
        <v>20</v>
      </c>
      <c r="R11" s="16" t="s">
        <v>20</v>
      </c>
      <c r="S11" s="16" t="s">
        <v>20</v>
      </c>
      <c r="T11" s="16" t="s">
        <v>20</v>
      </c>
      <c r="U11" s="17"/>
      <c r="W11" s="15" t="s">
        <v>21</v>
      </c>
      <c r="X11" s="49" t="s">
        <v>149</v>
      </c>
      <c r="Y11" s="66">
        <v>5</v>
      </c>
      <c r="Z11" s="67">
        <v>10124</v>
      </c>
      <c r="AA11" s="40" t="s">
        <v>20</v>
      </c>
      <c r="AB11" s="16" t="s">
        <v>20</v>
      </c>
      <c r="AC11" s="16" t="s">
        <v>20</v>
      </c>
      <c r="AD11" s="16" t="s">
        <v>20</v>
      </c>
      <c r="AE11" s="16" t="s">
        <v>20</v>
      </c>
      <c r="AF11" s="17"/>
      <c r="AH11" s="15" t="s">
        <v>21</v>
      </c>
      <c r="AI11" s="49" t="s">
        <v>151</v>
      </c>
      <c r="AJ11" s="17">
        <v>5</v>
      </c>
      <c r="AK11" s="67">
        <v>9744</v>
      </c>
      <c r="AL11" s="40">
        <v>4.0000000000000036</v>
      </c>
      <c r="AM11" s="16">
        <v>13.000000003026798</v>
      </c>
      <c r="AN11" s="16" t="s">
        <v>20</v>
      </c>
      <c r="AO11" s="16">
        <v>4.5</v>
      </c>
      <c r="AP11" s="16">
        <v>3.9</v>
      </c>
      <c r="AQ11" s="17"/>
      <c r="AS11" s="15" t="s">
        <v>21</v>
      </c>
      <c r="AT11" s="49" t="s">
        <v>151</v>
      </c>
      <c r="AU11" s="17">
        <v>5</v>
      </c>
      <c r="AV11" s="67">
        <v>9413</v>
      </c>
      <c r="AW11" s="40">
        <v>2.9999999999999947</v>
      </c>
      <c r="AX11" s="16">
        <v>11.00000000372529</v>
      </c>
      <c r="AY11" s="16"/>
      <c r="AZ11" s="16">
        <v>4.5</v>
      </c>
      <c r="BA11" s="16">
        <v>3.4</v>
      </c>
      <c r="BB11" s="17"/>
      <c r="BD11" s="15" t="s">
        <v>21</v>
      </c>
      <c r="BE11" s="49" t="s">
        <v>151</v>
      </c>
      <c r="BF11" s="17">
        <v>5</v>
      </c>
      <c r="BG11" s="67">
        <v>9904</v>
      </c>
      <c r="BH11" s="40">
        <v>2.9999999999999947</v>
      </c>
      <c r="BI11" s="16">
        <v>17.000000002328306</v>
      </c>
      <c r="BJ11" s="16" t="s">
        <v>20</v>
      </c>
      <c r="BK11" s="16">
        <v>4.5</v>
      </c>
      <c r="BL11" s="16">
        <v>2.8</v>
      </c>
      <c r="BM11" s="17"/>
      <c r="BO11" s="15" t="s">
        <v>21</v>
      </c>
      <c r="BP11" s="49" t="s">
        <v>151</v>
      </c>
      <c r="BQ11" s="17">
        <v>5</v>
      </c>
      <c r="BR11" s="67">
        <v>9895</v>
      </c>
      <c r="BS11" s="40">
        <v>4.0000000000000036</v>
      </c>
      <c r="BT11" s="16">
        <v>20.999999997671694</v>
      </c>
      <c r="BU11" s="16" t="s">
        <v>20</v>
      </c>
      <c r="BV11" s="16">
        <v>4.5</v>
      </c>
      <c r="BW11" s="16">
        <v>3.2</v>
      </c>
      <c r="BX11" s="17"/>
      <c r="BZ11" s="15" t="s">
        <v>21</v>
      </c>
      <c r="CA11" s="49" t="s">
        <v>152</v>
      </c>
      <c r="CB11" s="17">
        <v>5</v>
      </c>
      <c r="CC11" s="67">
        <v>11056</v>
      </c>
      <c r="CD11" s="40">
        <v>13.999999999999998</v>
      </c>
      <c r="CE11" s="16">
        <v>20.999999998835847</v>
      </c>
      <c r="CF11" s="16" t="s">
        <v>20</v>
      </c>
      <c r="CG11" s="16">
        <v>5</v>
      </c>
      <c r="CH11" s="16">
        <v>3.1</v>
      </c>
      <c r="CI11" s="17"/>
      <c r="CK11" s="15" t="s">
        <v>21</v>
      </c>
      <c r="CL11" s="49" t="s">
        <v>153</v>
      </c>
      <c r="CM11" s="17">
        <v>5</v>
      </c>
      <c r="CN11" s="67">
        <v>11289</v>
      </c>
      <c r="CO11" s="40">
        <v>27</v>
      </c>
      <c r="CP11" s="16">
        <v>41.000000001629815</v>
      </c>
      <c r="CQ11" s="16">
        <v>1000</v>
      </c>
      <c r="CR11" s="16">
        <v>5</v>
      </c>
      <c r="CS11" s="16">
        <v>4.8</v>
      </c>
      <c r="CT11" s="17"/>
      <c r="CV11" s="15" t="s">
        <v>21</v>
      </c>
      <c r="CW11" s="49" t="s">
        <v>151</v>
      </c>
      <c r="CX11" s="17">
        <v>5</v>
      </c>
      <c r="CY11" s="42">
        <v>9649</v>
      </c>
      <c r="CZ11" s="40">
        <v>9.9999999999999929</v>
      </c>
      <c r="DA11" s="16">
        <v>14.000000004889444</v>
      </c>
      <c r="DB11" s="16" t="s">
        <v>20</v>
      </c>
      <c r="DC11" s="16">
        <v>4</v>
      </c>
      <c r="DD11" s="16">
        <v>4.3</v>
      </c>
      <c r="DE11" s="17"/>
      <c r="DG11" s="15" t="s">
        <v>21</v>
      </c>
      <c r="DH11" s="49" t="s">
        <v>154</v>
      </c>
      <c r="DI11" s="17">
        <v>5</v>
      </c>
      <c r="DJ11" s="42">
        <v>10471</v>
      </c>
      <c r="DK11" s="40" t="s">
        <v>20</v>
      </c>
      <c r="DL11" s="16" t="s">
        <v>20</v>
      </c>
      <c r="DM11" s="16" t="s">
        <v>20</v>
      </c>
      <c r="DN11" s="16" t="s">
        <v>20</v>
      </c>
      <c r="DO11" s="16" t="s">
        <v>20</v>
      </c>
      <c r="DP11" s="17"/>
      <c r="DR11" s="15" t="s">
        <v>21</v>
      </c>
      <c r="DS11" s="49" t="s">
        <v>155</v>
      </c>
      <c r="DT11" s="17">
        <v>5</v>
      </c>
      <c r="DU11" s="42">
        <v>10156</v>
      </c>
      <c r="DV11" s="40">
        <v>4.9999999999999964</v>
      </c>
      <c r="DW11" s="16">
        <v>21.000000000931323</v>
      </c>
      <c r="DX11" s="16" t="s">
        <v>20</v>
      </c>
      <c r="DY11" s="16">
        <v>4</v>
      </c>
      <c r="DZ11" s="16">
        <v>3.6</v>
      </c>
      <c r="EA11" s="17"/>
      <c r="EC11" s="15" t="s">
        <v>21</v>
      </c>
      <c r="ED11" s="49" t="s">
        <v>156</v>
      </c>
      <c r="EE11" s="17">
        <v>5</v>
      </c>
      <c r="EF11" s="42">
        <v>9006</v>
      </c>
      <c r="EG11" s="40">
        <v>11.000000000000002</v>
      </c>
      <c r="EH11" s="16">
        <v>9.9999999951105565</v>
      </c>
      <c r="EI11" s="16" t="s">
        <v>20</v>
      </c>
      <c r="EJ11" s="16">
        <v>4</v>
      </c>
      <c r="EK11" s="16">
        <v>4</v>
      </c>
      <c r="EL11" s="17"/>
      <c r="EN11" s="15" t="s">
        <v>21</v>
      </c>
      <c r="EO11" s="49" t="s">
        <v>151</v>
      </c>
      <c r="EP11" s="17">
        <v>5</v>
      </c>
      <c r="EQ11" s="42">
        <v>9875</v>
      </c>
      <c r="ER11" s="40">
        <v>0.99999999999999933</v>
      </c>
      <c r="ES11" s="16">
        <v>20.999999998370185</v>
      </c>
      <c r="ET11" s="16" t="s">
        <v>20</v>
      </c>
      <c r="EU11" s="16">
        <v>4</v>
      </c>
      <c r="EV11" s="16">
        <v>2.6</v>
      </c>
      <c r="EW11" s="17"/>
      <c r="EY11" s="15" t="s">
        <v>21</v>
      </c>
      <c r="EZ11" s="49" t="s">
        <v>157</v>
      </c>
      <c r="FA11" s="17">
        <v>5</v>
      </c>
      <c r="FB11" s="42">
        <v>11852</v>
      </c>
      <c r="FC11" s="40">
        <v>8.0000000000000071</v>
      </c>
      <c r="FD11" s="16">
        <v>23.999999999534339</v>
      </c>
      <c r="FE11" s="16" t="s">
        <v>20</v>
      </c>
      <c r="FF11" s="16">
        <v>5</v>
      </c>
      <c r="FG11" s="16">
        <v>5</v>
      </c>
      <c r="FH11" s="17"/>
      <c r="FJ11" s="15" t="s">
        <v>21</v>
      </c>
      <c r="FK11" s="49" t="s">
        <v>157</v>
      </c>
      <c r="FL11" s="17">
        <v>5</v>
      </c>
      <c r="FM11" s="42">
        <v>11725</v>
      </c>
      <c r="FN11" s="40">
        <v>18</v>
      </c>
      <c r="FO11" s="16">
        <v>28.999999996041879</v>
      </c>
      <c r="FP11" s="16" t="s">
        <v>20</v>
      </c>
      <c r="FQ11" s="16">
        <v>5</v>
      </c>
      <c r="FR11" s="16">
        <v>5</v>
      </c>
      <c r="FS11" s="17"/>
      <c r="FU11" s="15" t="s">
        <v>21</v>
      </c>
      <c r="FV11" s="49" t="s">
        <v>150</v>
      </c>
      <c r="FW11" s="17">
        <v>5</v>
      </c>
      <c r="FX11" s="42">
        <v>9519</v>
      </c>
      <c r="FY11" s="40">
        <v>6.9999999999999991</v>
      </c>
      <c r="FZ11" s="16">
        <v>23.00000000349246</v>
      </c>
      <c r="GA11" s="16" t="s">
        <v>20</v>
      </c>
      <c r="GB11" s="16">
        <v>4</v>
      </c>
      <c r="GC11" s="16">
        <v>3.4</v>
      </c>
      <c r="GD11" s="17"/>
      <c r="GF11" s="15" t="s">
        <v>21</v>
      </c>
      <c r="GG11" s="49" t="s">
        <v>154</v>
      </c>
      <c r="GH11" s="17">
        <v>5</v>
      </c>
      <c r="GI11" s="42">
        <v>10049</v>
      </c>
      <c r="GJ11" s="40">
        <v>4.9999999999999964</v>
      </c>
      <c r="GK11" s="16">
        <v>21.000000000931323</v>
      </c>
      <c r="GL11" s="16">
        <v>1000</v>
      </c>
      <c r="GM11" s="16">
        <v>4.5999999999999908</v>
      </c>
      <c r="GN11" s="16">
        <v>4.4</v>
      </c>
      <c r="GO11" s="17"/>
      <c r="GQ11" s="15" t="s">
        <v>21</v>
      </c>
      <c r="GR11" s="49"/>
      <c r="GS11" s="17"/>
      <c r="GT11" s="42"/>
      <c r="GU11" s="40"/>
      <c r="GV11" s="16"/>
      <c r="GW11" s="16"/>
      <c r="GX11" s="16"/>
      <c r="GY11" s="16"/>
      <c r="GZ11" s="17"/>
      <c r="HB11" s="15" t="s">
        <v>21</v>
      </c>
      <c r="HC11" s="49"/>
      <c r="HD11" s="17"/>
      <c r="HE11" s="42"/>
      <c r="HF11" s="40"/>
      <c r="HG11" s="16"/>
      <c r="HH11" s="16"/>
      <c r="HI11" s="16"/>
      <c r="HJ11" s="16"/>
      <c r="HK11" s="17"/>
      <c r="HM11" s="15" t="s">
        <v>21</v>
      </c>
      <c r="HN11" s="49"/>
      <c r="HO11" s="17"/>
      <c r="HP11" s="42"/>
      <c r="HQ11" s="40"/>
      <c r="HR11" s="16"/>
      <c r="HS11" s="16"/>
      <c r="HT11" s="16"/>
      <c r="HU11" s="16"/>
      <c r="HV11" s="17"/>
      <c r="HX11" s="15" t="s">
        <v>21</v>
      </c>
      <c r="HY11" s="49"/>
      <c r="HZ11" s="17"/>
      <c r="IA11" s="42"/>
      <c r="IB11" s="40"/>
      <c r="IC11" s="16"/>
      <c r="ID11" s="16"/>
      <c r="IE11" s="16"/>
      <c r="IF11" s="16"/>
      <c r="IG11" s="17"/>
      <c r="II11" s="15" t="s">
        <v>21</v>
      </c>
      <c r="IJ11" s="49"/>
      <c r="IK11" s="17"/>
      <c r="IL11" s="42"/>
      <c r="IM11" s="40"/>
      <c r="IN11" s="16"/>
      <c r="IO11" s="16"/>
      <c r="IP11" s="16"/>
      <c r="IQ11" s="16"/>
      <c r="IR11" s="17"/>
      <c r="IT11" s="15" t="s">
        <v>21</v>
      </c>
      <c r="IU11" s="49"/>
      <c r="IV11" s="17"/>
      <c r="IW11" s="42"/>
      <c r="IX11" s="40"/>
      <c r="IY11" s="16"/>
      <c r="IZ11" s="16"/>
      <c r="JA11" s="16"/>
      <c r="JB11" s="16"/>
      <c r="JC11" s="17"/>
      <c r="JE11" s="15" t="s">
        <v>21</v>
      </c>
      <c r="JF11" s="49"/>
      <c r="JG11" s="17"/>
      <c r="JH11" s="42"/>
      <c r="JI11" s="40"/>
      <c r="JJ11" s="16"/>
      <c r="JK11" s="16"/>
      <c r="JL11" s="16"/>
      <c r="JM11" s="16"/>
      <c r="JN11" s="17"/>
      <c r="JP11" s="15" t="s">
        <v>21</v>
      </c>
      <c r="JQ11" s="49"/>
      <c r="JR11" s="17"/>
      <c r="JS11" s="42"/>
      <c r="JT11" s="40"/>
      <c r="JU11" s="16"/>
      <c r="JV11" s="16"/>
      <c r="JW11" s="16"/>
      <c r="JX11" s="16"/>
      <c r="JY11" s="17"/>
      <c r="KA11" s="15" t="s">
        <v>21</v>
      </c>
      <c r="KB11" s="49"/>
      <c r="KC11" s="17"/>
      <c r="KD11" s="42"/>
      <c r="KE11" s="40"/>
      <c r="KF11" s="16"/>
      <c r="KG11" s="16"/>
      <c r="KH11" s="16"/>
      <c r="KI11" s="16"/>
      <c r="KJ11" s="17"/>
      <c r="KL11" s="15" t="s">
        <v>21</v>
      </c>
      <c r="KM11" s="49"/>
      <c r="KN11" s="17"/>
      <c r="KO11" s="42"/>
      <c r="KP11" s="40"/>
      <c r="KQ11" s="16"/>
      <c r="KR11" s="16"/>
      <c r="KS11" s="16"/>
      <c r="KT11" s="16"/>
      <c r="KU11" s="17"/>
      <c r="KW11" s="15" t="s">
        <v>21</v>
      </c>
      <c r="KX11" s="49"/>
      <c r="KY11" s="17"/>
      <c r="KZ11" s="42"/>
      <c r="LA11" s="40"/>
      <c r="LB11" s="16"/>
      <c r="LC11" s="16"/>
      <c r="LD11" s="16"/>
      <c r="LE11" s="16"/>
      <c r="LF11" s="17"/>
      <c r="LH11" s="15" t="s">
        <v>21</v>
      </c>
      <c r="LI11" s="49"/>
      <c r="LJ11" s="17"/>
      <c r="LK11" s="42"/>
      <c r="LL11" s="40"/>
      <c r="LM11" s="16"/>
      <c r="LN11" s="16"/>
      <c r="LO11" s="16"/>
      <c r="LP11" s="16"/>
      <c r="LQ11" s="17"/>
    </row>
    <row r="12">
      <c r="A12" s="15" t="s">
        <v>158</v>
      </c>
      <c r="B12" s="50">
        <v>9951</v>
      </c>
      <c r="C12" s="63">
        <v>6</v>
      </c>
      <c r="D12" s="64">
        <v>10950</v>
      </c>
      <c r="E12" s="16" t="s">
        <v>20</v>
      </c>
      <c r="F12" s="16" t="s">
        <v>20</v>
      </c>
      <c r="G12" s="21" t="s">
        <v>20</v>
      </c>
      <c r="H12" s="16" t="s">
        <v>20</v>
      </c>
      <c r="I12" s="16" t="s">
        <v>20</v>
      </c>
      <c r="J12" s="17"/>
      <c r="L12" s="15" t="s">
        <v>158</v>
      </c>
      <c r="M12" s="50">
        <v>8660</v>
      </c>
      <c r="N12" s="66">
        <v>6</v>
      </c>
      <c r="O12" s="64">
        <v>9863</v>
      </c>
      <c r="P12" s="16" t="s">
        <v>20</v>
      </c>
      <c r="Q12" s="16" t="s">
        <v>20</v>
      </c>
      <c r="R12" s="16" t="s">
        <v>20</v>
      </c>
      <c r="S12" s="16" t="s">
        <v>20</v>
      </c>
      <c r="T12" s="16" t="s">
        <v>20</v>
      </c>
      <c r="U12" s="17"/>
      <c r="W12" s="15" t="s">
        <v>158</v>
      </c>
      <c r="X12" s="50">
        <v>9333</v>
      </c>
      <c r="Y12" s="66">
        <v>6</v>
      </c>
      <c r="Z12" s="67">
        <v>10324</v>
      </c>
      <c r="AA12" s="40" t="s">
        <v>20</v>
      </c>
      <c r="AB12" s="16" t="s">
        <v>20</v>
      </c>
      <c r="AC12" s="16" t="s">
        <v>20</v>
      </c>
      <c r="AD12" s="16" t="s">
        <v>20</v>
      </c>
      <c r="AE12" s="16" t="s">
        <v>20</v>
      </c>
      <c r="AF12" s="17"/>
      <c r="AH12" s="15" t="s">
        <v>158</v>
      </c>
      <c r="AI12" s="50">
        <v>8950</v>
      </c>
      <c r="AJ12" s="17">
        <v>6</v>
      </c>
      <c r="AK12" s="67">
        <v>9946</v>
      </c>
      <c r="AL12" s="40">
        <v>4.0000000000000036</v>
      </c>
      <c r="AM12" s="16">
        <v>13.999999995809048</v>
      </c>
      <c r="AN12" s="16" t="s">
        <v>20</v>
      </c>
      <c r="AO12" s="16">
        <v>4.5</v>
      </c>
      <c r="AP12" s="16">
        <v>3.8</v>
      </c>
      <c r="AQ12" s="17"/>
      <c r="AS12" s="15" t="s">
        <v>158</v>
      </c>
      <c r="AT12" s="50">
        <v>8621</v>
      </c>
      <c r="AU12" s="17">
        <v>6</v>
      </c>
      <c r="AV12" s="67">
        <v>9614</v>
      </c>
      <c r="AW12" s="40">
        <v>6.9999999999999991</v>
      </c>
      <c r="AX12" s="16">
        <v>17.000000004889444</v>
      </c>
      <c r="AY12" s="16"/>
      <c r="AZ12" s="16">
        <v>4.5</v>
      </c>
      <c r="BA12" s="16">
        <v>3.9</v>
      </c>
      <c r="BB12" s="17"/>
      <c r="BD12" s="15" t="s">
        <v>158</v>
      </c>
      <c r="BE12" s="50">
        <v>9110</v>
      </c>
      <c r="BF12" s="17">
        <v>6</v>
      </c>
      <c r="BG12" s="67">
        <v>10105</v>
      </c>
      <c r="BH12" s="40">
        <v>2.0000000000000018</v>
      </c>
      <c r="BI12" s="16">
        <v>15.000000003026798</v>
      </c>
      <c r="BJ12" s="16" t="s">
        <v>20</v>
      </c>
      <c r="BK12" s="16">
        <v>4.5</v>
      </c>
      <c r="BL12" s="16">
        <v>3</v>
      </c>
      <c r="BM12" s="17"/>
      <c r="BO12" s="15" t="s">
        <v>158</v>
      </c>
      <c r="BP12" s="50">
        <v>9106</v>
      </c>
      <c r="BQ12" s="17">
        <v>6</v>
      </c>
      <c r="BR12" s="67">
        <v>10096</v>
      </c>
      <c r="BS12" s="40">
        <v>2.9999999999999947</v>
      </c>
      <c r="BT12" s="16">
        <v>12.999999999767169</v>
      </c>
      <c r="BU12" s="16" t="s">
        <v>20</v>
      </c>
      <c r="BV12" s="16">
        <v>4.5</v>
      </c>
      <c r="BW12" s="16">
        <v>3.8</v>
      </c>
      <c r="BX12" s="17"/>
      <c r="BZ12" s="15" t="s">
        <v>158</v>
      </c>
      <c r="CA12" s="50">
        <v>10532</v>
      </c>
      <c r="CB12" s="17">
        <v>6</v>
      </c>
      <c r="CC12" s="67">
        <v>11259</v>
      </c>
      <c r="CD12" s="40">
        <v>6.9999999999999991</v>
      </c>
      <c r="CE12" s="16">
        <v>20.999999996740371</v>
      </c>
      <c r="CF12" s="16" t="s">
        <v>20</v>
      </c>
      <c r="CG12" s="16">
        <v>5</v>
      </c>
      <c r="CH12" s="16">
        <v>3.8</v>
      </c>
      <c r="CI12" s="17"/>
      <c r="CK12" s="15" t="s">
        <v>158</v>
      </c>
      <c r="CL12" s="50">
        <v>10499</v>
      </c>
      <c r="CM12" s="17">
        <v>6</v>
      </c>
      <c r="CN12" s="67">
        <v>11491</v>
      </c>
      <c r="CO12" s="40">
        <v>11.000000000000002</v>
      </c>
      <c r="CP12" s="16">
        <v>22.000000002793968</v>
      </c>
      <c r="CQ12" s="16">
        <v>1000</v>
      </c>
      <c r="CR12" s="16">
        <v>5</v>
      </c>
      <c r="CS12" s="16">
        <v>4.8</v>
      </c>
      <c r="CT12" s="17"/>
      <c r="CV12" s="15" t="s">
        <v>158</v>
      </c>
      <c r="CW12" s="50">
        <v>8860</v>
      </c>
      <c r="CX12" s="17">
        <v>6</v>
      </c>
      <c r="CY12" s="42">
        <v>9849</v>
      </c>
      <c r="CZ12" s="40">
        <v>9</v>
      </c>
      <c r="DA12" s="16">
        <v>11.000000002328306</v>
      </c>
      <c r="DB12" s="16" t="s">
        <v>20</v>
      </c>
      <c r="DC12" s="16">
        <v>4</v>
      </c>
      <c r="DD12" s="16">
        <v>4.3</v>
      </c>
      <c r="DE12" s="17"/>
      <c r="DG12" s="15" t="s">
        <v>158</v>
      </c>
      <c r="DH12" s="50">
        <v>9678</v>
      </c>
      <c r="DI12" s="17">
        <v>6</v>
      </c>
      <c r="DJ12" s="42">
        <v>10672</v>
      </c>
      <c r="DK12" s="40" t="s">
        <v>20</v>
      </c>
      <c r="DL12" s="16" t="s">
        <v>20</v>
      </c>
      <c r="DM12" s="16" t="s">
        <v>20</v>
      </c>
      <c r="DN12" s="16" t="s">
        <v>20</v>
      </c>
      <c r="DO12" s="16" t="s">
        <v>20</v>
      </c>
      <c r="DP12" s="17"/>
      <c r="DR12" s="15" t="s">
        <v>158</v>
      </c>
      <c r="DS12" s="50">
        <v>9355</v>
      </c>
      <c r="DT12" s="17">
        <v>6</v>
      </c>
      <c r="DU12" s="42">
        <v>10360</v>
      </c>
      <c r="DV12" s="40">
        <v>6.9999999999999991</v>
      </c>
      <c r="DW12" s="16">
        <v>26.000000002793968</v>
      </c>
      <c r="DX12" s="16" t="s">
        <v>20</v>
      </c>
      <c r="DY12" s="16">
        <v>4</v>
      </c>
      <c r="DZ12" s="16">
        <v>3.2</v>
      </c>
      <c r="EA12" s="17"/>
      <c r="EC12" s="15" t="s">
        <v>158</v>
      </c>
      <c r="ED12" s="50">
        <v>8209</v>
      </c>
      <c r="EE12" s="17">
        <v>6</v>
      </c>
      <c r="EF12" s="42">
        <v>9208</v>
      </c>
      <c r="EG12" s="40">
        <v>11.000000000000002</v>
      </c>
      <c r="EH12" s="16">
        <v>10.999999998370185</v>
      </c>
      <c r="EI12" s="16" t="s">
        <v>20</v>
      </c>
      <c r="EJ12" s="16">
        <v>5</v>
      </c>
      <c r="EK12" s="16">
        <v>4.7</v>
      </c>
      <c r="EL12" s="17"/>
      <c r="EN12" s="15" t="s">
        <v>158</v>
      </c>
      <c r="EO12" s="50">
        <v>9080</v>
      </c>
      <c r="EP12" s="17">
        <v>6</v>
      </c>
      <c r="EQ12" s="42">
        <v>10077</v>
      </c>
      <c r="ER12" s="40">
        <v>2.9999999999999947</v>
      </c>
      <c r="ES12" s="16">
        <v>82.999999997438863</v>
      </c>
      <c r="ET12" s="16" t="s">
        <v>20</v>
      </c>
      <c r="EU12" s="16">
        <v>4</v>
      </c>
      <c r="EV12" s="16">
        <v>3.7</v>
      </c>
      <c r="EW12" s="17"/>
      <c r="EY12" s="15" t="s">
        <v>158</v>
      </c>
      <c r="EZ12" s="50">
        <v>11262</v>
      </c>
      <c r="FA12" s="17">
        <v>6</v>
      </c>
      <c r="FB12" s="42">
        <v>12052</v>
      </c>
      <c r="FC12" s="40">
        <v>9.9999999999999929</v>
      </c>
      <c r="FD12" s="16">
        <v>24.000000006053597</v>
      </c>
      <c r="FE12" s="16" t="s">
        <v>20</v>
      </c>
      <c r="FF12" s="16">
        <v>5</v>
      </c>
      <c r="FG12" s="16">
        <v>5</v>
      </c>
      <c r="FH12" s="17"/>
      <c r="FJ12" s="15" t="s">
        <v>158</v>
      </c>
      <c r="FK12" s="50">
        <v>11140</v>
      </c>
      <c r="FL12" s="17">
        <v>6</v>
      </c>
      <c r="FM12" s="42">
        <v>11924</v>
      </c>
      <c r="FN12" s="40">
        <v>18.999999999999936</v>
      </c>
      <c r="FO12" s="16">
        <v>17.999999994877726</v>
      </c>
      <c r="FP12" s="16" t="s">
        <v>20</v>
      </c>
      <c r="FQ12" s="16">
        <v>5</v>
      </c>
      <c r="FR12" s="16">
        <v>5</v>
      </c>
      <c r="FS12" s="17"/>
      <c r="FU12" s="15" t="s">
        <v>158</v>
      </c>
      <c r="FV12" s="50">
        <v>8566</v>
      </c>
      <c r="FW12" s="17">
        <v>6</v>
      </c>
      <c r="FX12" s="42">
        <v>9760</v>
      </c>
      <c r="FY12" s="40">
        <v>6.9999999999999991</v>
      </c>
      <c r="FZ12" s="16">
        <v>38.99999999278225</v>
      </c>
      <c r="GA12" s="16" t="s">
        <v>20</v>
      </c>
      <c r="GB12" s="16">
        <v>4</v>
      </c>
      <c r="GC12" s="16">
        <v>3</v>
      </c>
      <c r="GD12" s="17"/>
      <c r="GF12" s="15" t="s">
        <v>158</v>
      </c>
      <c r="GG12" s="50">
        <v>9456</v>
      </c>
      <c r="GH12" s="17">
        <v>6</v>
      </c>
      <c r="GI12" s="42">
        <v>10251</v>
      </c>
      <c r="GJ12" s="40">
        <v>4.9999999999999964</v>
      </c>
      <c r="GK12" s="16">
        <v>8.0000000004656613</v>
      </c>
      <c r="GL12" s="16">
        <v>200</v>
      </c>
      <c r="GM12" s="16">
        <v>4.5999999999999908</v>
      </c>
      <c r="GN12" s="16">
        <v>4.4</v>
      </c>
      <c r="GO12" s="17"/>
      <c r="GQ12" s="15" t="s">
        <v>158</v>
      </c>
      <c r="GR12" s="50"/>
      <c r="GS12" s="17"/>
      <c r="GT12" s="42"/>
      <c r="GU12" s="40"/>
      <c r="GV12" s="16"/>
      <c r="GW12" s="16"/>
      <c r="GX12" s="16"/>
      <c r="GY12" s="16"/>
      <c r="GZ12" s="17"/>
      <c r="HB12" s="15" t="s">
        <v>158</v>
      </c>
      <c r="HC12" s="50"/>
      <c r="HD12" s="17"/>
      <c r="HE12" s="42"/>
      <c r="HF12" s="40"/>
      <c r="HG12" s="16"/>
      <c r="HH12" s="16"/>
      <c r="HI12" s="16"/>
      <c r="HJ12" s="16"/>
      <c r="HK12" s="17"/>
      <c r="HM12" s="15" t="s">
        <v>158</v>
      </c>
      <c r="HN12" s="50"/>
      <c r="HO12" s="17"/>
      <c r="HP12" s="42"/>
      <c r="HQ12" s="40"/>
      <c r="HR12" s="16"/>
      <c r="HS12" s="16"/>
      <c r="HT12" s="16"/>
      <c r="HU12" s="16"/>
      <c r="HV12" s="17"/>
      <c r="HX12" s="15" t="s">
        <v>158</v>
      </c>
      <c r="HY12" s="50"/>
      <c r="HZ12" s="17"/>
      <c r="IA12" s="42"/>
      <c r="IB12" s="40"/>
      <c r="IC12" s="16"/>
      <c r="ID12" s="16"/>
      <c r="IE12" s="16"/>
      <c r="IF12" s="16"/>
      <c r="IG12" s="17"/>
      <c r="II12" s="15" t="s">
        <v>158</v>
      </c>
      <c r="IJ12" s="50"/>
      <c r="IK12" s="17"/>
      <c r="IL12" s="42"/>
      <c r="IM12" s="40"/>
      <c r="IN12" s="16"/>
      <c r="IO12" s="16"/>
      <c r="IP12" s="16"/>
      <c r="IQ12" s="16"/>
      <c r="IR12" s="17"/>
      <c r="IT12" s="15" t="s">
        <v>158</v>
      </c>
      <c r="IU12" s="50"/>
      <c r="IV12" s="17"/>
      <c r="IW12" s="42"/>
      <c r="IX12" s="40"/>
      <c r="IY12" s="16"/>
      <c r="IZ12" s="16"/>
      <c r="JA12" s="16"/>
      <c r="JB12" s="16"/>
      <c r="JC12" s="17"/>
      <c r="JE12" s="15" t="s">
        <v>158</v>
      </c>
      <c r="JF12" s="50"/>
      <c r="JG12" s="17"/>
      <c r="JH12" s="42"/>
      <c r="JI12" s="40"/>
      <c r="JJ12" s="16"/>
      <c r="JK12" s="16"/>
      <c r="JL12" s="16"/>
      <c r="JM12" s="16"/>
      <c r="JN12" s="17"/>
      <c r="JP12" s="15" t="s">
        <v>158</v>
      </c>
      <c r="JQ12" s="50"/>
      <c r="JR12" s="17"/>
      <c r="JS12" s="42"/>
      <c r="JT12" s="40"/>
      <c r="JU12" s="16"/>
      <c r="JV12" s="16"/>
      <c r="JW12" s="16"/>
      <c r="JX12" s="16"/>
      <c r="JY12" s="17"/>
      <c r="KA12" s="15" t="s">
        <v>158</v>
      </c>
      <c r="KB12" s="50"/>
      <c r="KC12" s="17"/>
      <c r="KD12" s="42"/>
      <c r="KE12" s="40"/>
      <c r="KF12" s="16"/>
      <c r="KG12" s="16"/>
      <c r="KH12" s="16"/>
      <c r="KI12" s="16"/>
      <c r="KJ12" s="17"/>
      <c r="KL12" s="15" t="s">
        <v>158</v>
      </c>
      <c r="KM12" s="50"/>
      <c r="KN12" s="17"/>
      <c r="KO12" s="42"/>
      <c r="KP12" s="40"/>
      <c r="KQ12" s="16"/>
      <c r="KR12" s="16"/>
      <c r="KS12" s="16"/>
      <c r="KT12" s="16"/>
      <c r="KU12" s="17"/>
      <c r="KW12" s="15" t="s">
        <v>158</v>
      </c>
      <c r="KX12" s="50"/>
      <c r="KY12" s="17"/>
      <c r="KZ12" s="42"/>
      <c r="LA12" s="40"/>
      <c r="LB12" s="16"/>
      <c r="LC12" s="16"/>
      <c r="LD12" s="16"/>
      <c r="LE12" s="16"/>
      <c r="LF12" s="17"/>
      <c r="LH12" s="15" t="s">
        <v>158</v>
      </c>
      <c r="LI12" s="50"/>
      <c r="LJ12" s="17"/>
      <c r="LK12" s="42"/>
      <c r="LL12" s="40"/>
      <c r="LM12" s="16"/>
      <c r="LN12" s="16"/>
      <c r="LO12" s="16"/>
      <c r="LP12" s="16"/>
      <c r="LQ12" s="17"/>
    </row>
    <row r="13">
      <c r="A13" s="15" t="s">
        <v>159</v>
      </c>
      <c r="B13" s="50">
        <v>25696</v>
      </c>
      <c r="C13" s="63">
        <v>7</v>
      </c>
      <c r="D13" s="64">
        <v>11152</v>
      </c>
      <c r="E13" s="16" t="s">
        <v>20</v>
      </c>
      <c r="F13" s="16" t="s">
        <v>20</v>
      </c>
      <c r="G13" s="21" t="s">
        <v>20</v>
      </c>
      <c r="H13" s="16" t="s">
        <v>20</v>
      </c>
      <c r="I13" s="16" t="s">
        <v>20</v>
      </c>
      <c r="J13" s="17"/>
      <c r="L13" s="15" t="s">
        <v>159</v>
      </c>
      <c r="M13" s="50">
        <v>18365</v>
      </c>
      <c r="N13" s="66">
        <v>7</v>
      </c>
      <c r="O13" s="64">
        <v>10106</v>
      </c>
      <c r="P13" s="16" t="s">
        <v>20</v>
      </c>
      <c r="Q13" s="16" t="s">
        <v>20</v>
      </c>
      <c r="R13" s="16" t="s">
        <v>20</v>
      </c>
      <c r="S13" s="16" t="s">
        <v>20</v>
      </c>
      <c r="T13" s="16" t="s">
        <v>20</v>
      </c>
      <c r="U13" s="17"/>
      <c r="W13" s="15" t="s">
        <v>159</v>
      </c>
      <c r="X13" s="50">
        <v>29976</v>
      </c>
      <c r="Y13" s="66">
        <v>7</v>
      </c>
      <c r="Z13" s="68">
        <v>10525</v>
      </c>
      <c r="AA13" s="41" t="s">
        <v>20</v>
      </c>
      <c r="AB13" s="16" t="s">
        <v>20</v>
      </c>
      <c r="AC13" s="16" t="s">
        <v>20</v>
      </c>
      <c r="AD13" s="16" t="s">
        <v>20</v>
      </c>
      <c r="AE13" s="16" t="s">
        <v>20</v>
      </c>
      <c r="AF13" s="17"/>
      <c r="AH13" s="15" t="s">
        <v>159</v>
      </c>
      <c r="AI13" s="50">
        <v>29905</v>
      </c>
      <c r="AJ13" s="17">
        <v>7</v>
      </c>
      <c r="AK13" s="68">
        <v>10148</v>
      </c>
      <c r="AL13" s="41">
        <v>4.0000000000000036</v>
      </c>
      <c r="AM13" s="16">
        <v>10.00000000372529</v>
      </c>
      <c r="AN13" s="16" t="s">
        <v>20</v>
      </c>
      <c r="AO13" s="16">
        <v>4.5</v>
      </c>
      <c r="AP13" s="16">
        <v>3.6</v>
      </c>
      <c r="AQ13" s="17"/>
      <c r="AS13" s="15" t="s">
        <v>159</v>
      </c>
      <c r="AT13" s="50">
        <v>29717</v>
      </c>
      <c r="AU13" s="17">
        <v>7</v>
      </c>
      <c r="AV13" s="68">
        <v>9816</v>
      </c>
      <c r="AW13" s="41">
        <v>4.0000000000000036</v>
      </c>
      <c r="AX13" s="16">
        <v>22.999999993713573</v>
      </c>
      <c r="AY13" s="16"/>
      <c r="AZ13" s="16">
        <v>4.5</v>
      </c>
      <c r="BA13" s="16">
        <v>3.3</v>
      </c>
      <c r="BB13" s="17"/>
      <c r="BD13" s="15" t="s">
        <v>159</v>
      </c>
      <c r="BE13" s="50">
        <v>29825</v>
      </c>
      <c r="BF13" s="17">
        <v>7</v>
      </c>
      <c r="BG13" s="68">
        <v>10307</v>
      </c>
      <c r="BH13" s="40">
        <v>2.0000000000000018</v>
      </c>
      <c r="BI13" s="16">
        <v>15.000000003026798</v>
      </c>
      <c r="BJ13" s="16" t="s">
        <v>20</v>
      </c>
      <c r="BK13" s="16">
        <v>4.5</v>
      </c>
      <c r="BL13" s="16">
        <v>2.8</v>
      </c>
      <c r="BM13" s="17"/>
      <c r="BO13" s="15" t="s">
        <v>159</v>
      </c>
      <c r="BP13" s="50">
        <v>30129</v>
      </c>
      <c r="BQ13" s="17">
        <v>7</v>
      </c>
      <c r="BR13" s="68">
        <v>10296</v>
      </c>
      <c r="BS13" s="41">
        <v>2.9999999999999947</v>
      </c>
      <c r="BT13" s="16">
        <v>21.000000004889444</v>
      </c>
      <c r="BU13" s="16" t="s">
        <v>20</v>
      </c>
      <c r="BV13" s="16">
        <v>4.5</v>
      </c>
      <c r="BW13" s="16">
        <v>3.5</v>
      </c>
      <c r="BX13" s="17"/>
      <c r="BZ13" s="15" t="s">
        <v>159</v>
      </c>
      <c r="CA13" s="50">
        <v>19357</v>
      </c>
      <c r="CB13" s="17">
        <v>7</v>
      </c>
      <c r="CC13" s="68">
        <v>11459</v>
      </c>
      <c r="CD13" s="41">
        <v>31.999999999999968</v>
      </c>
      <c r="CE13" s="16">
        <v>26.000000000465661</v>
      </c>
      <c r="CF13" s="16" t="s">
        <v>20</v>
      </c>
      <c r="CG13" s="16">
        <v>5.5</v>
      </c>
      <c r="CH13" s="16">
        <v>3.8</v>
      </c>
      <c r="CI13" s="17"/>
      <c r="CK13" s="15" t="s">
        <v>159</v>
      </c>
      <c r="CL13" s="50">
        <v>26043</v>
      </c>
      <c r="CM13" s="17">
        <v>7</v>
      </c>
      <c r="CN13" s="68">
        <v>11694</v>
      </c>
      <c r="CO13" s="41">
        <v>4.0000000000000036</v>
      </c>
      <c r="CP13" s="16">
        <v>20.000000004889444</v>
      </c>
      <c r="CQ13" s="16">
        <v>1000</v>
      </c>
      <c r="CR13" s="16">
        <v>5</v>
      </c>
      <c r="CS13" s="16">
        <v>4.8</v>
      </c>
      <c r="CT13" s="17"/>
      <c r="CV13" s="15" t="s">
        <v>159</v>
      </c>
      <c r="CW13" s="50">
        <v>19257</v>
      </c>
      <c r="CX13" s="17">
        <v>7</v>
      </c>
      <c r="CY13" s="43">
        <v>10050</v>
      </c>
      <c r="CZ13" s="41">
        <v>6.0000000000000053</v>
      </c>
      <c r="DA13" s="16">
        <v>17.999999994412065</v>
      </c>
      <c r="DB13" s="16" t="s">
        <v>20</v>
      </c>
      <c r="DC13" s="16">
        <v>4</v>
      </c>
      <c r="DD13" s="16">
        <v>4</v>
      </c>
      <c r="DE13" s="17"/>
      <c r="DG13" s="15" t="s">
        <v>159</v>
      </c>
      <c r="DH13" s="50">
        <v>29990</v>
      </c>
      <c r="DI13" s="17">
        <v>7</v>
      </c>
      <c r="DJ13" s="43">
        <v>10874</v>
      </c>
      <c r="DK13" s="41" t="s">
        <v>20</v>
      </c>
      <c r="DL13" s="16" t="s">
        <v>20</v>
      </c>
      <c r="DM13" s="16" t="s">
        <v>20</v>
      </c>
      <c r="DN13" s="16" t="s">
        <v>20</v>
      </c>
      <c r="DO13" s="16" t="s">
        <v>20</v>
      </c>
      <c r="DP13" s="17"/>
      <c r="DR13" s="15" t="s">
        <v>159</v>
      </c>
      <c r="DS13" s="50">
        <v>19501</v>
      </c>
      <c r="DT13" s="17">
        <v>7</v>
      </c>
      <c r="DU13" s="43">
        <v>10563</v>
      </c>
      <c r="DV13" s="41">
        <v>11.000000000000002</v>
      </c>
      <c r="DW13" s="16">
        <v>15.000000000931323</v>
      </c>
      <c r="DX13" s="16" t="s">
        <v>20</v>
      </c>
      <c r="DY13" s="16">
        <v>4</v>
      </c>
      <c r="DZ13" s="16">
        <v>3</v>
      </c>
      <c r="EA13" s="17"/>
      <c r="EC13" s="15" t="s">
        <v>159</v>
      </c>
      <c r="ED13" s="50">
        <v>17899</v>
      </c>
      <c r="EE13" s="17">
        <v>7</v>
      </c>
      <c r="EF13" s="43">
        <v>9411</v>
      </c>
      <c r="EG13" s="41">
        <v>15.999999999999984</v>
      </c>
      <c r="EH13" s="16">
        <v>18.000000006053597</v>
      </c>
      <c r="EI13" s="16" t="s">
        <v>20</v>
      </c>
      <c r="EJ13" s="16">
        <v>5</v>
      </c>
      <c r="EK13" s="16">
        <v>4.7</v>
      </c>
      <c r="EL13" s="17"/>
      <c r="EN13" s="15" t="s">
        <v>159</v>
      </c>
      <c r="EO13" s="50">
        <v>30048</v>
      </c>
      <c r="EP13" s="17">
        <v>7</v>
      </c>
      <c r="EQ13" s="43">
        <v>10279</v>
      </c>
      <c r="ER13" s="41">
        <v>2.0000000000000018</v>
      </c>
      <c r="ES13" s="16">
        <v>28.99999999627471</v>
      </c>
      <c r="ET13" s="16" t="s">
        <v>20</v>
      </c>
      <c r="EU13" s="16">
        <v>4</v>
      </c>
      <c r="EV13" s="16">
        <v>3.5</v>
      </c>
      <c r="EW13" s="17"/>
      <c r="EY13" s="15" t="s">
        <v>159</v>
      </c>
      <c r="EZ13" s="50">
        <v>25679</v>
      </c>
      <c r="FA13" s="17">
        <v>7</v>
      </c>
      <c r="FB13" s="43">
        <v>12252</v>
      </c>
      <c r="FC13" s="41">
        <v>15.999999999999984</v>
      </c>
      <c r="FD13" s="16">
        <v>13.000000000232831</v>
      </c>
      <c r="FE13" s="16" t="s">
        <v>20</v>
      </c>
      <c r="FF13" s="16">
        <v>5.5</v>
      </c>
      <c r="FG13" s="16">
        <v>5.5</v>
      </c>
      <c r="FH13" s="17"/>
      <c r="FJ13" s="15" t="s">
        <v>159</v>
      </c>
      <c r="FK13" s="50">
        <v>25435</v>
      </c>
      <c r="FL13" s="17">
        <v>7</v>
      </c>
      <c r="FM13" s="43">
        <v>12122</v>
      </c>
      <c r="FN13" s="41">
        <v>20.000000000000018</v>
      </c>
      <c r="FO13" s="16">
        <v>19.000000001396984</v>
      </c>
      <c r="FP13" s="16" t="s">
        <v>20</v>
      </c>
      <c r="FQ13" s="16">
        <v>5</v>
      </c>
      <c r="FR13" s="16">
        <v>5</v>
      </c>
      <c r="FS13" s="17"/>
      <c r="FU13" s="15" t="s">
        <v>159</v>
      </c>
      <c r="FV13" s="50">
        <v>29523</v>
      </c>
      <c r="FW13" s="17">
        <v>7</v>
      </c>
      <c r="FX13" s="43">
        <v>10001</v>
      </c>
      <c r="FY13" s="41">
        <v>4.9999999999999964</v>
      </c>
      <c r="FZ13" s="16">
        <v>19.000000002793968</v>
      </c>
      <c r="GA13" s="16" t="s">
        <v>20</v>
      </c>
      <c r="GB13" s="16">
        <v>4</v>
      </c>
      <c r="GC13" s="16">
        <v>3.5</v>
      </c>
      <c r="GD13" s="17"/>
      <c r="GF13" s="15" t="s">
        <v>159</v>
      </c>
      <c r="GG13" s="50">
        <v>23563</v>
      </c>
      <c r="GH13" s="17">
        <v>7</v>
      </c>
      <c r="GI13" s="43">
        <v>10453</v>
      </c>
      <c r="GJ13" s="41">
        <v>4.9999999999999964</v>
      </c>
      <c r="GK13" s="16">
        <v>32.000000005355105</v>
      </c>
      <c r="GL13" s="16">
        <v>1000</v>
      </c>
      <c r="GM13" s="16">
        <v>4.5999999999999908</v>
      </c>
      <c r="GN13" s="16">
        <v>4.3</v>
      </c>
      <c r="GO13" s="17"/>
      <c r="GQ13" s="15" t="s">
        <v>159</v>
      </c>
      <c r="GR13" s="50"/>
      <c r="GS13" s="17"/>
      <c r="GT13" s="43"/>
      <c r="GU13" s="41"/>
      <c r="GV13" s="16"/>
      <c r="GW13" s="16"/>
      <c r="GX13" s="16"/>
      <c r="GY13" s="16"/>
      <c r="GZ13" s="17"/>
      <c r="HB13" s="15" t="s">
        <v>159</v>
      </c>
      <c r="HC13" s="50"/>
      <c r="HD13" s="17"/>
      <c r="HE13" s="43"/>
      <c r="HF13" s="41"/>
      <c r="HG13" s="16"/>
      <c r="HH13" s="16"/>
      <c r="HI13" s="16"/>
      <c r="HJ13" s="16"/>
      <c r="HK13" s="17"/>
      <c r="HM13" s="15" t="s">
        <v>159</v>
      </c>
      <c r="HN13" s="50"/>
      <c r="HO13" s="17"/>
      <c r="HP13" s="43"/>
      <c r="HQ13" s="41"/>
      <c r="HR13" s="16"/>
      <c r="HS13" s="16"/>
      <c r="HT13" s="16"/>
      <c r="HU13" s="16"/>
      <c r="HV13" s="17"/>
      <c r="HX13" s="15" t="s">
        <v>159</v>
      </c>
      <c r="HY13" s="50"/>
      <c r="HZ13" s="17"/>
      <c r="IA13" s="43"/>
      <c r="IB13" s="41"/>
      <c r="IC13" s="16"/>
      <c r="ID13" s="16"/>
      <c r="IE13" s="16"/>
      <c r="IF13" s="16"/>
      <c r="IG13" s="17"/>
      <c r="II13" s="15" t="s">
        <v>159</v>
      </c>
      <c r="IJ13" s="50"/>
      <c r="IK13" s="17"/>
      <c r="IL13" s="43"/>
      <c r="IM13" s="41"/>
      <c r="IN13" s="16"/>
      <c r="IO13" s="16"/>
      <c r="IP13" s="16"/>
      <c r="IQ13" s="16"/>
      <c r="IR13" s="17"/>
      <c r="IT13" s="15" t="s">
        <v>159</v>
      </c>
      <c r="IU13" s="50"/>
      <c r="IV13" s="17"/>
      <c r="IW13" s="43"/>
      <c r="IX13" s="41"/>
      <c r="IY13" s="16"/>
      <c r="IZ13" s="16"/>
      <c r="JA13" s="16"/>
      <c r="JB13" s="16"/>
      <c r="JC13" s="17"/>
      <c r="JE13" s="15" t="s">
        <v>159</v>
      </c>
      <c r="JF13" s="50"/>
      <c r="JG13" s="17"/>
      <c r="JH13" s="43"/>
      <c r="JI13" s="41"/>
      <c r="JJ13" s="16"/>
      <c r="JK13" s="16"/>
      <c r="JL13" s="16"/>
      <c r="JM13" s="16"/>
      <c r="JN13" s="17"/>
      <c r="JP13" s="15" t="s">
        <v>159</v>
      </c>
      <c r="JQ13" s="50"/>
      <c r="JR13" s="17"/>
      <c r="JS13" s="43"/>
      <c r="JT13" s="41"/>
      <c r="JU13" s="16"/>
      <c r="JV13" s="16"/>
      <c r="JW13" s="16"/>
      <c r="JX13" s="16"/>
      <c r="JY13" s="17"/>
      <c r="KA13" s="15" t="s">
        <v>159</v>
      </c>
      <c r="KB13" s="50"/>
      <c r="KC13" s="17"/>
      <c r="KD13" s="43"/>
      <c r="KE13" s="41"/>
      <c r="KF13" s="16"/>
      <c r="KG13" s="16"/>
      <c r="KH13" s="16"/>
      <c r="KI13" s="16"/>
      <c r="KJ13" s="17"/>
      <c r="KL13" s="15" t="s">
        <v>159</v>
      </c>
      <c r="KM13" s="50"/>
      <c r="KN13" s="17"/>
      <c r="KO13" s="43"/>
      <c r="KP13" s="41"/>
      <c r="KQ13" s="16"/>
      <c r="KR13" s="16"/>
      <c r="KS13" s="16"/>
      <c r="KT13" s="16"/>
      <c r="KU13" s="17"/>
      <c r="KW13" s="15" t="s">
        <v>159</v>
      </c>
      <c r="KX13" s="50"/>
      <c r="KY13" s="17"/>
      <c r="KZ13" s="43"/>
      <c r="LA13" s="41"/>
      <c r="LB13" s="16"/>
      <c r="LC13" s="16"/>
      <c r="LD13" s="16"/>
      <c r="LE13" s="16"/>
      <c r="LF13" s="17"/>
      <c r="LH13" s="15" t="s">
        <v>159</v>
      </c>
      <c r="LI13" s="50"/>
      <c r="LJ13" s="17"/>
      <c r="LK13" s="43"/>
      <c r="LL13" s="41"/>
      <c r="LM13" s="16"/>
      <c r="LN13" s="16"/>
      <c r="LO13" s="16"/>
      <c r="LP13" s="16"/>
      <c r="LQ13" s="17"/>
    </row>
    <row r="14">
      <c r="A14" s="15" t="s">
        <v>160</v>
      </c>
      <c r="B14" s="49" t="s">
        <v>161</v>
      </c>
      <c r="C14" s="63">
        <v>8</v>
      </c>
      <c r="D14" s="64">
        <v>11354</v>
      </c>
      <c r="E14" s="16" t="s">
        <v>20</v>
      </c>
      <c r="F14" s="16" t="s">
        <v>20</v>
      </c>
      <c r="G14" s="21" t="s">
        <v>20</v>
      </c>
      <c r="H14" s="16" t="s">
        <v>20</v>
      </c>
      <c r="I14" s="16" t="s">
        <v>20</v>
      </c>
      <c r="J14" s="17"/>
      <c r="L14" s="15" t="s">
        <v>160</v>
      </c>
      <c r="M14" s="49" t="s">
        <v>162</v>
      </c>
      <c r="N14" s="66">
        <v>8</v>
      </c>
      <c r="O14" s="64">
        <v>10350</v>
      </c>
      <c r="P14" s="16" t="s">
        <v>20</v>
      </c>
      <c r="Q14" s="16" t="s">
        <v>20</v>
      </c>
      <c r="R14" s="16" t="s">
        <v>20</v>
      </c>
      <c r="S14" s="16" t="s">
        <v>20</v>
      </c>
      <c r="T14" s="16" t="s">
        <v>20</v>
      </c>
      <c r="U14" s="17"/>
      <c r="W14" s="15" t="s">
        <v>160</v>
      </c>
      <c r="X14" s="49" t="s">
        <v>161</v>
      </c>
      <c r="Y14" s="66">
        <v>8</v>
      </c>
      <c r="Z14" s="68">
        <v>10726</v>
      </c>
      <c r="AA14" s="41" t="s">
        <v>20</v>
      </c>
      <c r="AB14" s="16" t="s">
        <v>20</v>
      </c>
      <c r="AC14" s="16" t="s">
        <v>20</v>
      </c>
      <c r="AD14" s="16" t="s">
        <v>20</v>
      </c>
      <c r="AE14" s="16" t="s">
        <v>20</v>
      </c>
      <c r="AF14" s="17"/>
      <c r="AH14" s="15" t="s">
        <v>160</v>
      </c>
      <c r="AI14" s="49" t="s">
        <v>163</v>
      </c>
      <c r="AJ14" s="17">
        <v>8</v>
      </c>
      <c r="AK14" s="68">
        <v>10350</v>
      </c>
      <c r="AL14" s="41">
        <v>4.0000000000000036</v>
      </c>
      <c r="AM14" s="16">
        <v>17.000000005587935</v>
      </c>
      <c r="AN14" s="16" t="s">
        <v>20</v>
      </c>
      <c r="AO14" s="16">
        <v>4.5</v>
      </c>
      <c r="AP14" s="16">
        <v>4</v>
      </c>
      <c r="AQ14" s="17"/>
      <c r="AS14" s="15" t="s">
        <v>160</v>
      </c>
      <c r="AT14" s="49" t="s">
        <v>164</v>
      </c>
      <c r="AU14" s="17">
        <v>8</v>
      </c>
      <c r="AV14" s="68">
        <v>10017</v>
      </c>
      <c r="AW14" s="41">
        <v>4.0000000000000036</v>
      </c>
      <c r="AX14" s="16">
        <v>14.999999999068677</v>
      </c>
      <c r="AY14" s="16"/>
      <c r="AZ14" s="16">
        <v>4.5</v>
      </c>
      <c r="BA14" s="16">
        <v>4.2</v>
      </c>
      <c r="BB14" s="17"/>
      <c r="BD14" s="15" t="s">
        <v>160</v>
      </c>
      <c r="BE14" s="49" t="s">
        <v>164</v>
      </c>
      <c r="BF14" s="17">
        <v>8</v>
      </c>
      <c r="BG14" s="68">
        <v>10508</v>
      </c>
      <c r="BH14" s="40">
        <v>2.9999999999999947</v>
      </c>
      <c r="BI14" s="16">
        <v>10.999999993247911</v>
      </c>
      <c r="BJ14" s="16" t="s">
        <v>20</v>
      </c>
      <c r="BK14" s="16">
        <v>4.5</v>
      </c>
      <c r="BL14" s="16">
        <v>2.8</v>
      </c>
      <c r="BM14" s="17"/>
      <c r="BO14" s="15" t="s">
        <v>160</v>
      </c>
      <c r="BP14" s="49" t="s">
        <v>165</v>
      </c>
      <c r="BQ14" s="17">
        <v>8</v>
      </c>
      <c r="BR14" s="68">
        <v>10497</v>
      </c>
      <c r="BS14" s="41">
        <v>2.0000000000000018</v>
      </c>
      <c r="BT14" s="16">
        <v>24.000000000931323</v>
      </c>
      <c r="BU14" s="16" t="s">
        <v>20</v>
      </c>
      <c r="BV14" s="16">
        <v>4.5</v>
      </c>
      <c r="BW14" s="16">
        <v>3.5</v>
      </c>
      <c r="BX14" s="17"/>
      <c r="BZ14" s="15" t="s">
        <v>160</v>
      </c>
      <c r="CA14" s="49" t="s">
        <v>163</v>
      </c>
      <c r="CB14" s="17">
        <v>8</v>
      </c>
      <c r="CC14" s="68">
        <v>11665</v>
      </c>
      <c r="CD14" s="41">
        <v>4.9999999999999964</v>
      </c>
      <c r="CE14" s="16">
        <v>21.000000000931323</v>
      </c>
      <c r="CF14" s="16" t="s">
        <v>20</v>
      </c>
      <c r="CG14" s="16">
        <v>5</v>
      </c>
      <c r="CH14" s="16">
        <v>3.8</v>
      </c>
      <c r="CI14" s="17"/>
      <c r="CK14" s="15" t="s">
        <v>160</v>
      </c>
      <c r="CL14" s="49" t="s">
        <v>20</v>
      </c>
      <c r="CM14" s="17">
        <v>8</v>
      </c>
      <c r="CN14" s="68">
        <v>11896</v>
      </c>
      <c r="CO14" s="41">
        <v>6.9999999999999991</v>
      </c>
      <c r="CP14" s="16">
        <v>20.9999999969732</v>
      </c>
      <c r="CQ14" s="16">
        <v>1000</v>
      </c>
      <c r="CR14" s="16">
        <v>5</v>
      </c>
      <c r="CS14" s="16">
        <v>4.8</v>
      </c>
      <c r="CT14" s="17"/>
      <c r="CV14" s="15" t="s">
        <v>160</v>
      </c>
      <c r="CW14" s="49" t="s">
        <v>164</v>
      </c>
      <c r="CX14" s="17">
        <v>8</v>
      </c>
      <c r="CY14" s="43">
        <v>10250</v>
      </c>
      <c r="CZ14" s="41">
        <v>6.0000000000000053</v>
      </c>
      <c r="DA14" s="16">
        <v>69.00000000349246</v>
      </c>
      <c r="DB14" s="16" t="s">
        <v>20</v>
      </c>
      <c r="DC14" s="16">
        <v>4</v>
      </c>
      <c r="DD14" s="16">
        <v>4</v>
      </c>
      <c r="DE14" s="17"/>
      <c r="DG14" s="15" t="s">
        <v>160</v>
      </c>
      <c r="DH14" s="49" t="s">
        <v>162</v>
      </c>
      <c r="DI14" s="17">
        <v>8</v>
      </c>
      <c r="DJ14" s="43">
        <v>11075</v>
      </c>
      <c r="DK14" s="41" t="s">
        <v>20</v>
      </c>
      <c r="DL14" s="16" t="s">
        <v>20</v>
      </c>
      <c r="DM14" s="16" t="s">
        <v>20</v>
      </c>
      <c r="DN14" s="16" t="s">
        <v>20</v>
      </c>
      <c r="DO14" s="16" t="s">
        <v>20</v>
      </c>
      <c r="DP14" s="17"/>
      <c r="DR14" s="15" t="s">
        <v>160</v>
      </c>
      <c r="DS14" s="49" t="s">
        <v>163</v>
      </c>
      <c r="DT14" s="17">
        <v>8</v>
      </c>
      <c r="DU14" s="43">
        <v>10766</v>
      </c>
      <c r="DV14" s="41">
        <v>9</v>
      </c>
      <c r="DW14" s="16">
        <v>18.9999999969732</v>
      </c>
      <c r="DX14" s="16" t="s">
        <v>20</v>
      </c>
      <c r="DY14" s="16">
        <v>4</v>
      </c>
      <c r="DZ14" s="16">
        <v>2.9</v>
      </c>
      <c r="EA14" s="17"/>
      <c r="EC14" s="15" t="s">
        <v>160</v>
      </c>
      <c r="ED14" s="49" t="s">
        <v>166</v>
      </c>
      <c r="EE14" s="17">
        <v>8</v>
      </c>
      <c r="EF14" s="43">
        <v>9613</v>
      </c>
      <c r="EG14" s="41">
        <v>15.000000000000048</v>
      </c>
      <c r="EH14" s="16">
        <v>16.999999999534339</v>
      </c>
      <c r="EI14" s="16" t="s">
        <v>20</v>
      </c>
      <c r="EJ14" s="16">
        <v>5</v>
      </c>
      <c r="EK14" s="16">
        <v>4.7</v>
      </c>
      <c r="EL14" s="17"/>
      <c r="EN14" s="15" t="s">
        <v>160</v>
      </c>
      <c r="EO14" s="49" t="s">
        <v>164</v>
      </c>
      <c r="EP14" s="17">
        <v>8</v>
      </c>
      <c r="EQ14" s="43">
        <v>10480</v>
      </c>
      <c r="ER14" s="41">
        <v>0.99999999999999933</v>
      </c>
      <c r="ES14" s="16">
        <v>20.000000005587935</v>
      </c>
      <c r="ET14" s="16" t="s">
        <v>20</v>
      </c>
      <c r="EU14" s="16">
        <v>4</v>
      </c>
      <c r="EV14" s="16">
        <v>3.3</v>
      </c>
      <c r="EW14" s="17"/>
      <c r="EY14" s="15" t="s">
        <v>160</v>
      </c>
      <c r="EZ14" s="49" t="s">
        <v>166</v>
      </c>
      <c r="FA14" s="17">
        <v>8</v>
      </c>
      <c r="FB14" s="43">
        <v>12453</v>
      </c>
      <c r="FC14" s="41">
        <v>15.999999999999984</v>
      </c>
      <c r="FD14" s="16">
        <v>20.999999994877726</v>
      </c>
      <c r="FE14" s="16" t="s">
        <v>20</v>
      </c>
      <c r="FF14" s="16">
        <v>5.5</v>
      </c>
      <c r="FG14" s="16">
        <v>5.5</v>
      </c>
      <c r="FH14" s="17"/>
      <c r="FJ14" s="15" t="s">
        <v>160</v>
      </c>
      <c r="FK14" s="49" t="s">
        <v>164</v>
      </c>
      <c r="FL14" s="17">
        <v>8</v>
      </c>
      <c r="FM14" s="43">
        <v>12321</v>
      </c>
      <c r="FN14" s="41">
        <v>8.0000000000000071</v>
      </c>
      <c r="FO14" s="16">
        <v>23.000000006752089</v>
      </c>
      <c r="FP14" s="16" t="s">
        <v>20</v>
      </c>
      <c r="FQ14" s="16">
        <v>5.1999999999999833</v>
      </c>
      <c r="FR14" s="16">
        <v>6</v>
      </c>
      <c r="FS14" s="17"/>
      <c r="FU14" s="15" t="s">
        <v>160</v>
      </c>
      <c r="FV14" s="49" t="s">
        <v>164</v>
      </c>
      <c r="FW14" s="17">
        <v>8</v>
      </c>
      <c r="FX14" s="43">
        <v>10242</v>
      </c>
      <c r="FY14" s="41">
        <v>2.9999999999999947</v>
      </c>
      <c r="FZ14" s="16">
        <v>26.000000000232831</v>
      </c>
      <c r="GA14" s="16" t="s">
        <v>20</v>
      </c>
      <c r="GB14" s="16">
        <v>4</v>
      </c>
      <c r="GC14" s="16">
        <v>3.5</v>
      </c>
      <c r="GD14" s="17"/>
      <c r="GF14" s="15" t="s">
        <v>160</v>
      </c>
      <c r="GG14" s="49" t="s">
        <v>165</v>
      </c>
      <c r="GH14" s="17">
        <v>8</v>
      </c>
      <c r="GI14" s="43">
        <v>10655</v>
      </c>
      <c r="GJ14" s="41">
        <v>4.9999999999999964</v>
      </c>
      <c r="GK14" s="16">
        <v>18.999999994412065</v>
      </c>
      <c r="GL14" s="16">
        <v>200</v>
      </c>
      <c r="GM14" s="16">
        <v>4.5999999999999908</v>
      </c>
      <c r="GN14" s="16">
        <v>4.3</v>
      </c>
      <c r="GO14" s="17"/>
      <c r="GQ14" s="15" t="s">
        <v>160</v>
      </c>
      <c r="GR14" s="49"/>
      <c r="GS14" s="17"/>
      <c r="GT14" s="43"/>
      <c r="GU14" s="41"/>
      <c r="GV14" s="16"/>
      <c r="GW14" s="16"/>
      <c r="GX14" s="16"/>
      <c r="GY14" s="16"/>
      <c r="GZ14" s="17"/>
      <c r="HB14" s="15" t="s">
        <v>160</v>
      </c>
      <c r="HC14" s="49"/>
      <c r="HD14" s="17"/>
      <c r="HE14" s="43"/>
      <c r="HF14" s="41"/>
      <c r="HG14" s="16"/>
      <c r="HH14" s="16"/>
      <c r="HI14" s="16"/>
      <c r="HJ14" s="16"/>
      <c r="HK14" s="17"/>
      <c r="HM14" s="15" t="s">
        <v>160</v>
      </c>
      <c r="HN14" s="49"/>
      <c r="HO14" s="17"/>
      <c r="HP14" s="43"/>
      <c r="HQ14" s="41"/>
      <c r="HR14" s="16"/>
      <c r="HS14" s="16"/>
      <c r="HT14" s="16"/>
      <c r="HU14" s="16"/>
      <c r="HV14" s="17"/>
      <c r="HX14" s="15" t="s">
        <v>160</v>
      </c>
      <c r="HY14" s="49"/>
      <c r="HZ14" s="17"/>
      <c r="IA14" s="43"/>
      <c r="IB14" s="41"/>
      <c r="IC14" s="16"/>
      <c r="ID14" s="16"/>
      <c r="IE14" s="16"/>
      <c r="IF14" s="16"/>
      <c r="IG14" s="17"/>
      <c r="II14" s="15" t="s">
        <v>160</v>
      </c>
      <c r="IJ14" s="49"/>
      <c r="IK14" s="17"/>
      <c r="IL14" s="43"/>
      <c r="IM14" s="41"/>
      <c r="IN14" s="16"/>
      <c r="IO14" s="16"/>
      <c r="IP14" s="16"/>
      <c r="IQ14" s="16"/>
      <c r="IR14" s="17"/>
      <c r="IT14" s="15" t="s">
        <v>160</v>
      </c>
      <c r="IU14" s="49"/>
      <c r="IV14" s="17"/>
      <c r="IW14" s="43"/>
      <c r="IX14" s="41"/>
      <c r="IY14" s="16"/>
      <c r="IZ14" s="16"/>
      <c r="JA14" s="16"/>
      <c r="JB14" s="16"/>
      <c r="JC14" s="17"/>
      <c r="JE14" s="15" t="s">
        <v>160</v>
      </c>
      <c r="JF14" s="49"/>
      <c r="JG14" s="17"/>
      <c r="JH14" s="43"/>
      <c r="JI14" s="41"/>
      <c r="JJ14" s="16"/>
      <c r="JK14" s="16"/>
      <c r="JL14" s="16"/>
      <c r="JM14" s="16"/>
      <c r="JN14" s="17"/>
      <c r="JP14" s="15" t="s">
        <v>160</v>
      </c>
      <c r="JQ14" s="49"/>
      <c r="JR14" s="17"/>
      <c r="JS14" s="43"/>
      <c r="JT14" s="41"/>
      <c r="JU14" s="16"/>
      <c r="JV14" s="16"/>
      <c r="JW14" s="16"/>
      <c r="JX14" s="16"/>
      <c r="JY14" s="17"/>
      <c r="KA14" s="15" t="s">
        <v>160</v>
      </c>
      <c r="KB14" s="49"/>
      <c r="KC14" s="17"/>
      <c r="KD14" s="43"/>
      <c r="KE14" s="41"/>
      <c r="KF14" s="16"/>
      <c r="KG14" s="16"/>
      <c r="KH14" s="16"/>
      <c r="KI14" s="16"/>
      <c r="KJ14" s="17"/>
      <c r="KL14" s="15" t="s">
        <v>160</v>
      </c>
      <c r="KM14" s="49"/>
      <c r="KN14" s="17"/>
      <c r="KO14" s="43"/>
      <c r="KP14" s="41"/>
      <c r="KQ14" s="16"/>
      <c r="KR14" s="16"/>
      <c r="KS14" s="16"/>
      <c r="KT14" s="16"/>
      <c r="KU14" s="17"/>
      <c r="KW14" s="15" t="s">
        <v>160</v>
      </c>
      <c r="KX14" s="49"/>
      <c r="KY14" s="17"/>
      <c r="KZ14" s="43"/>
      <c r="LA14" s="41"/>
      <c r="LB14" s="16"/>
      <c r="LC14" s="16"/>
      <c r="LD14" s="16"/>
      <c r="LE14" s="16"/>
      <c r="LF14" s="17"/>
      <c r="LH14" s="15" t="s">
        <v>160</v>
      </c>
      <c r="LI14" s="49"/>
      <c r="LJ14" s="17"/>
      <c r="LK14" s="43"/>
      <c r="LL14" s="41"/>
      <c r="LM14" s="16"/>
      <c r="LN14" s="16"/>
      <c r="LO14" s="16"/>
      <c r="LP14" s="16"/>
      <c r="LQ14" s="17"/>
    </row>
    <row r="15">
      <c r="A15" s="15" t="s">
        <v>9</v>
      </c>
      <c r="B15" s="51">
        <v>46275</v>
      </c>
      <c r="C15" s="63">
        <v>9</v>
      </c>
      <c r="D15" s="64">
        <v>11553</v>
      </c>
      <c r="E15" s="16" t="s">
        <v>20</v>
      </c>
      <c r="F15" s="16" t="s">
        <v>20</v>
      </c>
      <c r="G15" s="21" t="s">
        <v>20</v>
      </c>
      <c r="H15" s="16" t="s">
        <v>20</v>
      </c>
      <c r="I15" s="16" t="s">
        <v>20</v>
      </c>
      <c r="J15" s="17"/>
      <c r="L15" s="15" t="s">
        <v>9</v>
      </c>
      <c r="M15" s="51">
        <v>46274.3333333333</v>
      </c>
      <c r="N15" s="66">
        <v>9</v>
      </c>
      <c r="O15" s="64">
        <v>10593</v>
      </c>
      <c r="P15" s="16" t="s">
        <v>20</v>
      </c>
      <c r="Q15" s="16" t="s">
        <v>20</v>
      </c>
      <c r="R15" s="16" t="s">
        <v>20</v>
      </c>
      <c r="S15" s="16" t="s">
        <v>20</v>
      </c>
      <c r="T15" s="16" t="s">
        <v>20</v>
      </c>
      <c r="U15" s="17"/>
      <c r="W15" s="15" t="s">
        <v>9</v>
      </c>
      <c r="X15" s="51">
        <v>46274.9166666667</v>
      </c>
      <c r="Y15" s="66">
        <v>9</v>
      </c>
      <c r="Z15" s="68">
        <v>10926</v>
      </c>
      <c r="AA15" s="41" t="s">
        <v>20</v>
      </c>
      <c r="AB15" s="16" t="s">
        <v>20</v>
      </c>
      <c r="AC15" s="16" t="s">
        <v>20</v>
      </c>
      <c r="AD15" s="16" t="s">
        <v>20</v>
      </c>
      <c r="AE15" s="16" t="s">
        <v>20</v>
      </c>
      <c r="AF15" s="17"/>
      <c r="AH15" s="15" t="s">
        <v>9</v>
      </c>
      <c r="AI15" s="51">
        <v>46269.875</v>
      </c>
      <c r="AJ15" s="17">
        <v>9</v>
      </c>
      <c r="AK15" s="68">
        <v>10551</v>
      </c>
      <c r="AL15" s="41">
        <v>4.0000000000000036</v>
      </c>
      <c r="AM15" s="16">
        <v>11.999999999767169</v>
      </c>
      <c r="AN15" s="16" t="s">
        <v>20</v>
      </c>
      <c r="AO15" s="16">
        <v>4.5</v>
      </c>
      <c r="AP15" s="16">
        <v>4</v>
      </c>
      <c r="AQ15" s="17"/>
      <c r="AS15" s="15" t="s">
        <v>9</v>
      </c>
      <c r="AT15" s="51">
        <v>46273.625</v>
      </c>
      <c r="AU15" s="17">
        <v>9</v>
      </c>
      <c r="AV15" s="68">
        <v>10218</v>
      </c>
      <c r="AW15" s="41">
        <v>4.0000000000000036</v>
      </c>
      <c r="AX15" s="16">
        <v>16.000000002328306</v>
      </c>
      <c r="AY15" s="16"/>
      <c r="AZ15" s="16">
        <v>4.5</v>
      </c>
      <c r="BA15" s="16">
        <v>4.2</v>
      </c>
      <c r="BB15" s="17"/>
      <c r="BD15" s="15" t="s">
        <v>9</v>
      </c>
      <c r="BE15" s="51">
        <v>46273.375</v>
      </c>
      <c r="BF15" s="17">
        <v>9</v>
      </c>
      <c r="BG15" s="68">
        <v>10710</v>
      </c>
      <c r="BH15" s="40">
        <v>2.0000000000000018</v>
      </c>
      <c r="BI15" s="16">
        <v>16.000000006286427</v>
      </c>
      <c r="BJ15" s="16" t="s">
        <v>20</v>
      </c>
      <c r="BK15" s="16">
        <v>4.5</v>
      </c>
      <c r="BL15" s="16">
        <v>2.4</v>
      </c>
      <c r="BM15" s="17"/>
      <c r="BO15" s="15" t="s">
        <v>9</v>
      </c>
      <c r="BP15" s="51">
        <v>46270.25</v>
      </c>
      <c r="BQ15" s="17">
        <v>9</v>
      </c>
      <c r="BR15" s="68">
        <v>10697</v>
      </c>
      <c r="BS15" s="41">
        <v>4.0000000000000036</v>
      </c>
      <c r="BT15" s="16">
        <v>16.000000002328306</v>
      </c>
      <c r="BU15" s="16" t="s">
        <v>20</v>
      </c>
      <c r="BV15" s="16">
        <v>4.5</v>
      </c>
      <c r="BW15" s="16">
        <v>3.5</v>
      </c>
      <c r="BX15" s="17"/>
      <c r="BZ15" s="15" t="s">
        <v>9</v>
      </c>
      <c r="CA15" s="51">
        <v>46272.5</v>
      </c>
      <c r="CB15" s="17">
        <v>9</v>
      </c>
      <c r="CC15" s="68">
        <v>11867</v>
      </c>
      <c r="CD15" s="41">
        <v>9.9999999999999929</v>
      </c>
      <c r="CE15" s="16">
        <v>148.00000000186265</v>
      </c>
      <c r="CF15" s="16">
        <v>200</v>
      </c>
      <c r="CG15" s="16">
        <v>5.1999999999999833</v>
      </c>
      <c r="CH15" s="16">
        <v>5</v>
      </c>
      <c r="CI15" s="17"/>
      <c r="CK15" s="15" t="s">
        <v>9</v>
      </c>
      <c r="CL15" s="51">
        <v>46273</v>
      </c>
      <c r="CM15" s="17">
        <v>9</v>
      </c>
      <c r="CN15" s="68">
        <v>12098</v>
      </c>
      <c r="CO15" s="41">
        <v>6.9999999999999991</v>
      </c>
      <c r="CP15" s="16">
        <v>26.000000002793968</v>
      </c>
      <c r="CQ15" s="16">
        <v>1000</v>
      </c>
      <c r="CR15" s="16">
        <v>5</v>
      </c>
      <c r="CS15" s="16">
        <v>4.8</v>
      </c>
      <c r="CT15" s="17"/>
      <c r="CV15" s="15" t="s">
        <v>9</v>
      </c>
      <c r="CW15" s="51">
        <v>46273.625</v>
      </c>
      <c r="CX15" s="17">
        <v>9</v>
      </c>
      <c r="CY15" s="43">
        <v>10450</v>
      </c>
      <c r="CZ15" s="41">
        <v>11.000000000000002</v>
      </c>
      <c r="DA15" s="16">
        <v>13.000000004889444</v>
      </c>
      <c r="DB15" s="16" t="s">
        <v>20</v>
      </c>
      <c r="DC15" s="16">
        <v>4</v>
      </c>
      <c r="DD15" s="16">
        <v>4</v>
      </c>
      <c r="DE15" s="17"/>
      <c r="DG15" s="15" t="s">
        <v>9</v>
      </c>
      <c r="DH15" s="51">
        <v>46271.25</v>
      </c>
      <c r="DI15" s="17">
        <v>9</v>
      </c>
      <c r="DJ15" s="43">
        <v>11276</v>
      </c>
      <c r="DK15" s="41" t="s">
        <v>20</v>
      </c>
      <c r="DL15" s="16" t="s">
        <v>20</v>
      </c>
      <c r="DM15" s="16" t="s">
        <v>20</v>
      </c>
      <c r="DN15" s="16" t="s">
        <v>20</v>
      </c>
      <c r="DO15" s="16" t="s">
        <v>20</v>
      </c>
      <c r="DP15" s="17"/>
      <c r="DR15" s="15" t="s">
        <v>9</v>
      </c>
      <c r="DS15" s="51">
        <v>46271.3333333333</v>
      </c>
      <c r="DT15" s="17">
        <v>9</v>
      </c>
      <c r="DU15" s="43">
        <v>10969</v>
      </c>
      <c r="DV15" s="41">
        <v>11.000000000000002</v>
      </c>
      <c r="DW15" s="16">
        <v>12.999999994412065</v>
      </c>
      <c r="DX15" s="16" t="s">
        <v>20</v>
      </c>
      <c r="DY15" s="16">
        <v>4</v>
      </c>
      <c r="DZ15" s="16">
        <v>3.8</v>
      </c>
      <c r="EA15" s="17"/>
      <c r="EC15" s="15" t="s">
        <v>9</v>
      </c>
      <c r="ED15" s="51">
        <v>46272.9791666667</v>
      </c>
      <c r="EE15" s="17">
        <v>9</v>
      </c>
      <c r="EF15" s="43">
        <v>9815</v>
      </c>
      <c r="EG15" s="41">
        <v>11.999999999999995</v>
      </c>
      <c r="EH15" s="16">
        <v>10.999999991152436</v>
      </c>
      <c r="EI15" s="16" t="s">
        <v>20</v>
      </c>
      <c r="EJ15" s="16">
        <v>5</v>
      </c>
      <c r="EK15" s="16">
        <v>4.5</v>
      </c>
      <c r="EL15" s="17"/>
      <c r="EN15" s="15" t="s">
        <v>9</v>
      </c>
      <c r="EO15" s="51">
        <v>46272.6666666667</v>
      </c>
      <c r="EP15" s="17">
        <v>9</v>
      </c>
      <c r="EQ15" s="43">
        <v>10682</v>
      </c>
      <c r="ER15" s="41">
        <v>0.99999999999999933</v>
      </c>
      <c r="ES15" s="16">
        <v>14.999999999767169</v>
      </c>
      <c r="ET15" s="16" t="s">
        <v>20</v>
      </c>
      <c r="EU15" s="16">
        <v>4</v>
      </c>
      <c r="EV15" s="16">
        <v>3.3</v>
      </c>
      <c r="EW15" s="17"/>
      <c r="EY15" s="15" t="s">
        <v>9</v>
      </c>
      <c r="EZ15" s="51">
        <v>46270.2916666667</v>
      </c>
      <c r="FA15" s="17">
        <v>9</v>
      </c>
      <c r="FB15" s="43">
        <v>12654</v>
      </c>
      <c r="FC15" s="41">
        <v>15.000000000000048</v>
      </c>
      <c r="FD15" s="16">
        <v>18.000000002793968</v>
      </c>
      <c r="FE15" s="16" t="s">
        <v>20</v>
      </c>
      <c r="FF15" s="16">
        <v>5.5</v>
      </c>
      <c r="FG15" s="16">
        <v>5.5</v>
      </c>
      <c r="FH15" s="17"/>
      <c r="FJ15" s="15" t="s">
        <v>9</v>
      </c>
      <c r="FK15" s="51">
        <v>46273.625</v>
      </c>
      <c r="FL15" s="17">
        <v>9</v>
      </c>
      <c r="FM15" s="43">
        <v>12520</v>
      </c>
      <c r="FN15" s="41">
        <v>13.999999999999998</v>
      </c>
      <c r="FO15" s="16">
        <v>9.0000000016298145</v>
      </c>
      <c r="FP15" s="16" t="s">
        <v>20</v>
      </c>
      <c r="FQ15" s="16">
        <v>5.1999999999999833</v>
      </c>
      <c r="FR15" s="16">
        <v>5.1</v>
      </c>
      <c r="FS15" s="17"/>
      <c r="FU15" s="15" t="s">
        <v>9</v>
      </c>
      <c r="FV15" s="51">
        <v>46271.4583333333</v>
      </c>
      <c r="FW15" s="17">
        <v>9</v>
      </c>
      <c r="FX15" s="43">
        <v>10483</v>
      </c>
      <c r="FY15" s="41">
        <v>4.0000000000000036</v>
      </c>
      <c r="FZ15" s="16">
        <v>17.999999998370185</v>
      </c>
      <c r="GA15" s="16" t="s">
        <v>20</v>
      </c>
      <c r="GB15" s="16">
        <v>4</v>
      </c>
      <c r="GC15" s="16">
        <v>4</v>
      </c>
      <c r="GD15" s="17"/>
      <c r="GF15" s="15" t="s">
        <v>9</v>
      </c>
      <c r="GG15" s="51">
        <v>46247.7083333333</v>
      </c>
      <c r="GH15" s="17">
        <v>9</v>
      </c>
      <c r="GI15" s="43">
        <v>10857</v>
      </c>
      <c r="GJ15" s="41">
        <v>4.9999999999999964</v>
      </c>
      <c r="GK15" s="16">
        <v>31.000000002095476</v>
      </c>
      <c r="GL15" s="16">
        <v>1000</v>
      </c>
      <c r="GM15" s="16">
        <v>4.5999999999999908</v>
      </c>
      <c r="GN15" s="16">
        <v>4.3</v>
      </c>
      <c r="GO15" s="17"/>
      <c r="GQ15" s="15" t="s">
        <v>9</v>
      </c>
      <c r="GR15" s="51"/>
      <c r="GS15" s="17"/>
      <c r="GT15" s="43"/>
      <c r="GU15" s="41"/>
      <c r="GV15" s="16"/>
      <c r="GW15" s="16"/>
      <c r="GX15" s="16"/>
      <c r="GY15" s="16"/>
      <c r="GZ15" s="17"/>
      <c r="HB15" s="15" t="s">
        <v>9</v>
      </c>
      <c r="HC15" s="51"/>
      <c r="HD15" s="17"/>
      <c r="HE15" s="43"/>
      <c r="HF15" s="41"/>
      <c r="HG15" s="16"/>
      <c r="HH15" s="16"/>
      <c r="HI15" s="16"/>
      <c r="HJ15" s="16"/>
      <c r="HK15" s="17"/>
      <c r="HM15" s="15" t="s">
        <v>9</v>
      </c>
      <c r="HN15" s="51"/>
      <c r="HO15" s="17"/>
      <c r="HP15" s="43"/>
      <c r="HQ15" s="41"/>
      <c r="HR15" s="16"/>
      <c r="HS15" s="16"/>
      <c r="HT15" s="16"/>
      <c r="HU15" s="16"/>
      <c r="HV15" s="17"/>
      <c r="HX15" s="15" t="s">
        <v>9</v>
      </c>
      <c r="HY15" s="51"/>
      <c r="HZ15" s="17"/>
      <c r="IA15" s="43"/>
      <c r="IB15" s="41"/>
      <c r="IC15" s="16"/>
      <c r="ID15" s="16"/>
      <c r="IE15" s="16"/>
      <c r="IF15" s="16"/>
      <c r="IG15" s="17"/>
      <c r="II15" s="15" t="s">
        <v>9</v>
      </c>
      <c r="IJ15" s="51"/>
      <c r="IK15" s="17"/>
      <c r="IL15" s="43"/>
      <c r="IM15" s="41"/>
      <c r="IN15" s="16"/>
      <c r="IO15" s="16"/>
      <c r="IP15" s="16"/>
      <c r="IQ15" s="16"/>
      <c r="IR15" s="17"/>
      <c r="IT15" s="15" t="s">
        <v>9</v>
      </c>
      <c r="IU15" s="51"/>
      <c r="IV15" s="17"/>
      <c r="IW15" s="43"/>
      <c r="IX15" s="41"/>
      <c r="IY15" s="16"/>
      <c r="IZ15" s="16"/>
      <c r="JA15" s="16"/>
      <c r="JB15" s="16"/>
      <c r="JC15" s="17"/>
      <c r="JE15" s="15" t="s">
        <v>9</v>
      </c>
      <c r="JF15" s="51"/>
      <c r="JG15" s="17"/>
      <c r="JH15" s="43"/>
      <c r="JI15" s="41"/>
      <c r="JJ15" s="16"/>
      <c r="JK15" s="16"/>
      <c r="JL15" s="16"/>
      <c r="JM15" s="16"/>
      <c r="JN15" s="17"/>
      <c r="JP15" s="15" t="s">
        <v>9</v>
      </c>
      <c r="JQ15" s="51"/>
      <c r="JR15" s="17"/>
      <c r="JS15" s="43"/>
      <c r="JT15" s="41"/>
      <c r="JU15" s="16"/>
      <c r="JV15" s="16"/>
      <c r="JW15" s="16"/>
      <c r="JX15" s="16"/>
      <c r="JY15" s="17"/>
      <c r="KA15" s="15" t="s">
        <v>9</v>
      </c>
      <c r="KB15" s="51"/>
      <c r="KC15" s="17"/>
      <c r="KD15" s="43"/>
      <c r="KE15" s="41"/>
      <c r="KF15" s="16"/>
      <c r="KG15" s="16"/>
      <c r="KH15" s="16"/>
      <c r="KI15" s="16"/>
      <c r="KJ15" s="17"/>
      <c r="KL15" s="15" t="s">
        <v>9</v>
      </c>
      <c r="KM15" s="51"/>
      <c r="KN15" s="17"/>
      <c r="KO15" s="43"/>
      <c r="KP15" s="41"/>
      <c r="KQ15" s="16"/>
      <c r="KR15" s="16"/>
      <c r="KS15" s="16"/>
      <c r="KT15" s="16"/>
      <c r="KU15" s="17"/>
      <c r="KW15" s="15" t="s">
        <v>9</v>
      </c>
      <c r="KX15" s="51"/>
      <c r="KY15" s="17"/>
      <c r="KZ15" s="43"/>
      <c r="LA15" s="41"/>
      <c r="LB15" s="16"/>
      <c r="LC15" s="16"/>
      <c r="LD15" s="16"/>
      <c r="LE15" s="16"/>
      <c r="LF15" s="17"/>
      <c r="LH15" s="15" t="s">
        <v>9</v>
      </c>
      <c r="LI15" s="51"/>
      <c r="LJ15" s="17"/>
      <c r="LK15" s="43"/>
      <c r="LL15" s="41"/>
      <c r="LM15" s="16"/>
      <c r="LN15" s="16"/>
      <c r="LO15" s="16"/>
      <c r="LP15" s="16"/>
      <c r="LQ15" s="17"/>
    </row>
    <row r="16">
      <c r="A16" s="15" t="s">
        <v>18</v>
      </c>
      <c r="B16" s="52" t="s">
        <v>20</v>
      </c>
      <c r="C16" s="63">
        <v>10</v>
      </c>
      <c r="D16" s="64">
        <v>11758</v>
      </c>
      <c r="E16" s="16" t="s">
        <v>20</v>
      </c>
      <c r="F16" s="16" t="s">
        <v>20</v>
      </c>
      <c r="G16" s="21" t="s">
        <v>20</v>
      </c>
      <c r="H16" s="16" t="s">
        <v>20</v>
      </c>
      <c r="I16" s="16" t="s">
        <v>20</v>
      </c>
      <c r="J16" s="17"/>
      <c r="L16" s="15" t="s">
        <v>18</v>
      </c>
      <c r="M16" s="52" t="s">
        <v>20</v>
      </c>
      <c r="N16" s="66">
        <v>10</v>
      </c>
      <c r="O16" s="64">
        <v>10836</v>
      </c>
      <c r="P16" s="16" t="s">
        <v>20</v>
      </c>
      <c r="Q16" s="16" t="s">
        <v>20</v>
      </c>
      <c r="R16" s="16" t="s">
        <v>20</v>
      </c>
      <c r="S16" s="16" t="s">
        <v>20</v>
      </c>
      <c r="T16" s="16" t="s">
        <v>20</v>
      </c>
      <c r="U16" s="17"/>
      <c r="W16" s="15" t="s">
        <v>18</v>
      </c>
      <c r="X16" s="52" t="s">
        <v>20</v>
      </c>
      <c r="Y16" s="66">
        <v>10</v>
      </c>
      <c r="Z16" s="68">
        <v>11127</v>
      </c>
      <c r="AA16" s="41" t="s">
        <v>20</v>
      </c>
      <c r="AB16" s="16" t="s">
        <v>20</v>
      </c>
      <c r="AC16" s="16" t="s">
        <v>20</v>
      </c>
      <c r="AD16" s="16" t="s">
        <v>20</v>
      </c>
      <c r="AE16" s="16" t="s">
        <v>20</v>
      </c>
      <c r="AF16" s="17"/>
      <c r="AH16" s="15" t="s">
        <v>18</v>
      </c>
      <c r="AI16" s="52">
        <v>46274.90625</v>
      </c>
      <c r="AJ16" s="17">
        <v>10</v>
      </c>
      <c r="AK16" s="68">
        <v>10753</v>
      </c>
      <c r="AL16" s="41">
        <v>4.9999999999999964</v>
      </c>
      <c r="AM16" s="16">
        <v>17.999999991152436</v>
      </c>
      <c r="AN16" s="16" t="s">
        <v>20</v>
      </c>
      <c r="AO16" s="16">
        <v>4.5</v>
      </c>
      <c r="AP16" s="16">
        <v>4</v>
      </c>
      <c r="AQ16" s="17"/>
      <c r="AS16" s="15" t="s">
        <v>18</v>
      </c>
      <c r="AT16" s="52" t="s">
        <v>20</v>
      </c>
      <c r="AU16" s="17">
        <v>10</v>
      </c>
      <c r="AV16" s="68">
        <v>10419</v>
      </c>
      <c r="AW16" s="41">
        <v>2.0000000000000018</v>
      </c>
      <c r="AX16" s="16">
        <v>11.000000000465661</v>
      </c>
      <c r="AY16" s="16"/>
      <c r="AZ16" s="16">
        <v>4.5</v>
      </c>
      <c r="BA16" s="16">
        <v>2.5</v>
      </c>
      <c r="BB16" s="17"/>
      <c r="BD16" s="15" t="s">
        <v>18</v>
      </c>
      <c r="BE16" s="52" t="s">
        <v>20</v>
      </c>
      <c r="BF16" s="17">
        <v>10</v>
      </c>
      <c r="BG16" s="68">
        <v>10911</v>
      </c>
      <c r="BH16" s="40">
        <v>4.9999999999999964</v>
      </c>
      <c r="BI16" s="16">
        <v>16.999999998370185</v>
      </c>
      <c r="BJ16" s="16" t="s">
        <v>20</v>
      </c>
      <c r="BK16" s="16">
        <v>4.5</v>
      </c>
      <c r="BL16" s="16">
        <v>3.2</v>
      </c>
      <c r="BM16" s="17"/>
      <c r="BO16" s="15" t="s">
        <v>18</v>
      </c>
      <c r="BP16" s="52" t="s">
        <v>20</v>
      </c>
      <c r="BQ16" s="17">
        <v>10</v>
      </c>
      <c r="BR16" s="68">
        <v>10897</v>
      </c>
      <c r="BS16" s="41">
        <v>6.0000000000000053</v>
      </c>
      <c r="BT16" s="16">
        <v>15.999999998370185</v>
      </c>
      <c r="BU16" s="16" t="s">
        <v>20</v>
      </c>
      <c r="BV16" s="16">
        <v>4.5</v>
      </c>
      <c r="BW16" s="16">
        <v>3.5</v>
      </c>
      <c r="BX16" s="17"/>
      <c r="BZ16" s="15" t="s">
        <v>18</v>
      </c>
      <c r="CA16" s="52">
        <v>46275.125</v>
      </c>
      <c r="CB16" s="17">
        <v>10</v>
      </c>
      <c r="CC16" s="68">
        <v>12070</v>
      </c>
      <c r="CD16" s="41">
        <v>11.999999999999995</v>
      </c>
      <c r="CE16" s="16">
        <v>11.000000001629815</v>
      </c>
      <c r="CF16" s="16">
        <v>300</v>
      </c>
      <c r="CG16" s="16">
        <v>5.1999999999999833</v>
      </c>
      <c r="CH16" s="16">
        <v>5</v>
      </c>
      <c r="CI16" s="17"/>
      <c r="CK16" s="15" t="s">
        <v>18</v>
      </c>
      <c r="CL16" s="52" t="s">
        <v>20</v>
      </c>
      <c r="CM16" s="17">
        <v>10</v>
      </c>
      <c r="CN16" s="68">
        <v>12301</v>
      </c>
      <c r="CO16" s="41">
        <v>4.0000000000000036</v>
      </c>
      <c r="CP16" s="16">
        <v>27.999999999534339</v>
      </c>
      <c r="CQ16" s="16">
        <v>1000</v>
      </c>
      <c r="CR16" s="16">
        <v>5</v>
      </c>
      <c r="CS16" s="16">
        <v>4.8</v>
      </c>
      <c r="CT16" s="17"/>
      <c r="CV16" s="15" t="s">
        <v>18</v>
      </c>
      <c r="CW16" s="52" t="s">
        <v>20</v>
      </c>
      <c r="CX16" s="17">
        <v>10</v>
      </c>
      <c r="CY16" s="43">
        <v>10651</v>
      </c>
      <c r="CZ16" s="41">
        <v>9.9999999999999929</v>
      </c>
      <c r="DA16" s="16">
        <v>10.999999995110556</v>
      </c>
      <c r="DB16" s="16" t="s">
        <v>20</v>
      </c>
      <c r="DC16" s="16">
        <v>4</v>
      </c>
      <c r="DD16" s="16">
        <v>4</v>
      </c>
      <c r="DE16" s="17"/>
      <c r="DG16" s="15" t="s">
        <v>18</v>
      </c>
      <c r="DH16" s="52" t="s">
        <v>20</v>
      </c>
      <c r="DI16" s="17">
        <v>10</v>
      </c>
      <c r="DJ16" s="43">
        <v>11477</v>
      </c>
      <c r="DK16" s="41" t="s">
        <v>20</v>
      </c>
      <c r="DL16" s="16" t="s">
        <v>20</v>
      </c>
      <c r="DM16" s="16" t="s">
        <v>20</v>
      </c>
      <c r="DN16" s="16" t="s">
        <v>20</v>
      </c>
      <c r="DO16" s="16" t="s">
        <v>20</v>
      </c>
      <c r="DP16" s="17"/>
      <c r="DR16" s="15" t="s">
        <v>18</v>
      </c>
      <c r="DS16" s="52">
        <v>46274.625</v>
      </c>
      <c r="DT16" s="17">
        <v>10</v>
      </c>
      <c r="DU16" s="43">
        <v>11173</v>
      </c>
      <c r="DV16" s="41">
        <v>8.0000000000000071</v>
      </c>
      <c r="DW16" s="16">
        <v>13.000000005587935</v>
      </c>
      <c r="DX16" s="16" t="s">
        <v>20</v>
      </c>
      <c r="DY16" s="16">
        <v>4</v>
      </c>
      <c r="DZ16" s="16">
        <v>3.8</v>
      </c>
      <c r="EA16" s="17"/>
      <c r="EC16" s="15" t="s">
        <v>18</v>
      </c>
      <c r="ED16" s="52" t="s">
        <v>20</v>
      </c>
      <c r="EE16" s="17">
        <v>10</v>
      </c>
      <c r="EF16" s="43">
        <v>10017</v>
      </c>
      <c r="EG16" s="41">
        <v>11.999999999999995</v>
      </c>
      <c r="EH16" s="16">
        <v>11.000000001629815</v>
      </c>
      <c r="EI16" s="16" t="s">
        <v>20</v>
      </c>
      <c r="EJ16" s="16">
        <v>5</v>
      </c>
      <c r="EK16" s="16">
        <v>4.7</v>
      </c>
      <c r="EL16" s="17"/>
      <c r="EN16" s="15" t="s">
        <v>18</v>
      </c>
      <c r="EO16" s="52" t="s">
        <v>20</v>
      </c>
      <c r="EP16" s="17">
        <v>10</v>
      </c>
      <c r="EQ16" s="43">
        <v>10884</v>
      </c>
      <c r="ER16" s="41">
        <v>2.0000000000000018</v>
      </c>
      <c r="ES16" s="16">
        <v>18.999999995110556</v>
      </c>
      <c r="ET16" s="16" t="s">
        <v>20</v>
      </c>
      <c r="EU16" s="16">
        <v>4</v>
      </c>
      <c r="EV16" s="16">
        <v>3</v>
      </c>
      <c r="EW16" s="17"/>
      <c r="EY16" s="15" t="s">
        <v>18</v>
      </c>
      <c r="EZ16" s="52">
        <v>46273.5833333333</v>
      </c>
      <c r="FA16" s="17">
        <v>10</v>
      </c>
      <c r="FB16" s="43">
        <v>12854</v>
      </c>
      <c r="FC16" s="41">
        <v>9.9999999999999929</v>
      </c>
      <c r="FD16" s="16">
        <v>32.000000000698492</v>
      </c>
      <c r="FE16" s="16" t="s">
        <v>20</v>
      </c>
      <c r="FF16" s="16">
        <v>5.5</v>
      </c>
      <c r="FG16" s="16">
        <v>5.5</v>
      </c>
      <c r="FH16" s="17"/>
      <c r="FJ16" s="15" t="s">
        <v>18</v>
      </c>
      <c r="FK16" s="52" t="s">
        <v>20</v>
      </c>
      <c r="FL16" s="17">
        <v>10</v>
      </c>
      <c r="FM16" s="43">
        <v>12719</v>
      </c>
      <c r="FN16" s="41">
        <v>13.000000000000002</v>
      </c>
      <c r="FO16" s="16">
        <v>21.999999998835847</v>
      </c>
      <c r="FP16" s="16" t="s">
        <v>20</v>
      </c>
      <c r="FQ16" s="16">
        <v>5.1999999999999833</v>
      </c>
      <c r="FR16" s="16">
        <v>5.1</v>
      </c>
      <c r="FS16" s="17"/>
      <c r="FU16" s="15" t="s">
        <v>18</v>
      </c>
      <c r="FV16" s="52" t="s">
        <v>20</v>
      </c>
      <c r="FW16" s="17">
        <v>10</v>
      </c>
      <c r="FX16" s="43">
        <v>10724</v>
      </c>
      <c r="FY16" s="41">
        <v>4.9999999999999964</v>
      </c>
      <c r="FZ16" s="16">
        <v>25.00000000349246</v>
      </c>
      <c r="GA16" s="16" t="s">
        <v>20</v>
      </c>
      <c r="GB16" s="16">
        <v>4</v>
      </c>
      <c r="GC16" s="16">
        <v>3</v>
      </c>
      <c r="GD16" s="17"/>
      <c r="GF16" s="15" t="s">
        <v>18</v>
      </c>
      <c r="GG16" s="52" t="s">
        <v>20</v>
      </c>
      <c r="GH16" s="17">
        <v>10</v>
      </c>
      <c r="GI16" s="43">
        <v>11058</v>
      </c>
      <c r="GJ16" s="41">
        <v>4.9999999999999964</v>
      </c>
      <c r="GK16" s="16">
        <v>9.99999999650754</v>
      </c>
      <c r="GL16" s="16">
        <v>1000</v>
      </c>
      <c r="GM16" s="16">
        <v>4.5999999999999908</v>
      </c>
      <c r="GN16" s="16">
        <v>4.3</v>
      </c>
      <c r="GO16" s="17"/>
      <c r="GQ16" s="15" t="s">
        <v>18</v>
      </c>
      <c r="GR16" s="52"/>
      <c r="GS16" s="17"/>
      <c r="GT16" s="43"/>
      <c r="GU16" s="41"/>
      <c r="GV16" s="16"/>
      <c r="GW16" s="16"/>
      <c r="GX16" s="16"/>
      <c r="GY16" s="16"/>
      <c r="GZ16" s="17"/>
      <c r="HB16" s="15" t="s">
        <v>18</v>
      </c>
      <c r="HC16" s="52"/>
      <c r="HD16" s="17"/>
      <c r="HE16" s="43"/>
      <c r="HF16" s="41"/>
      <c r="HG16" s="16"/>
      <c r="HH16" s="16"/>
      <c r="HI16" s="16"/>
      <c r="HJ16" s="16"/>
      <c r="HK16" s="17"/>
      <c r="HM16" s="15" t="s">
        <v>18</v>
      </c>
      <c r="HN16" s="52"/>
      <c r="HO16" s="17"/>
      <c r="HP16" s="43"/>
      <c r="HQ16" s="41"/>
      <c r="HR16" s="16"/>
      <c r="HS16" s="16"/>
      <c r="HT16" s="16"/>
      <c r="HU16" s="16"/>
      <c r="HV16" s="17"/>
      <c r="HX16" s="15" t="s">
        <v>18</v>
      </c>
      <c r="HY16" s="52"/>
      <c r="HZ16" s="17"/>
      <c r="IA16" s="43"/>
      <c r="IB16" s="41"/>
      <c r="IC16" s="16"/>
      <c r="ID16" s="16"/>
      <c r="IE16" s="16"/>
      <c r="IF16" s="16"/>
      <c r="IG16" s="17"/>
      <c r="II16" s="15" t="s">
        <v>18</v>
      </c>
      <c r="IJ16" s="52"/>
      <c r="IK16" s="17"/>
      <c r="IL16" s="43"/>
      <c r="IM16" s="41"/>
      <c r="IN16" s="16"/>
      <c r="IO16" s="16"/>
      <c r="IP16" s="16"/>
      <c r="IQ16" s="16"/>
      <c r="IR16" s="17"/>
      <c r="IT16" s="15" t="s">
        <v>18</v>
      </c>
      <c r="IU16" s="52"/>
      <c r="IV16" s="17"/>
      <c r="IW16" s="43"/>
      <c r="IX16" s="41"/>
      <c r="IY16" s="16"/>
      <c r="IZ16" s="16"/>
      <c r="JA16" s="16"/>
      <c r="JB16" s="16"/>
      <c r="JC16" s="17"/>
      <c r="JE16" s="15" t="s">
        <v>18</v>
      </c>
      <c r="JF16" s="52"/>
      <c r="JG16" s="17"/>
      <c r="JH16" s="43"/>
      <c r="JI16" s="41"/>
      <c r="JJ16" s="16"/>
      <c r="JK16" s="16"/>
      <c r="JL16" s="16"/>
      <c r="JM16" s="16"/>
      <c r="JN16" s="17"/>
      <c r="JP16" s="15" t="s">
        <v>18</v>
      </c>
      <c r="JQ16" s="52"/>
      <c r="JR16" s="17"/>
      <c r="JS16" s="43"/>
      <c r="JT16" s="41"/>
      <c r="JU16" s="16"/>
      <c r="JV16" s="16"/>
      <c r="JW16" s="16"/>
      <c r="JX16" s="16"/>
      <c r="JY16" s="17"/>
      <c r="KA16" s="15" t="s">
        <v>18</v>
      </c>
      <c r="KB16" s="52"/>
      <c r="KC16" s="17"/>
      <c r="KD16" s="43"/>
      <c r="KE16" s="41"/>
      <c r="KF16" s="16"/>
      <c r="KG16" s="16"/>
      <c r="KH16" s="16"/>
      <c r="KI16" s="16"/>
      <c r="KJ16" s="17"/>
      <c r="KL16" s="15" t="s">
        <v>18</v>
      </c>
      <c r="KM16" s="52"/>
      <c r="KN16" s="17"/>
      <c r="KO16" s="43"/>
      <c r="KP16" s="41"/>
      <c r="KQ16" s="16"/>
      <c r="KR16" s="16"/>
      <c r="KS16" s="16"/>
      <c r="KT16" s="16"/>
      <c r="KU16" s="17"/>
      <c r="KW16" s="15" t="s">
        <v>18</v>
      </c>
      <c r="KX16" s="52"/>
      <c r="KY16" s="17"/>
      <c r="KZ16" s="43"/>
      <c r="LA16" s="41"/>
      <c r="LB16" s="16"/>
      <c r="LC16" s="16"/>
      <c r="LD16" s="16"/>
      <c r="LE16" s="16"/>
      <c r="LF16" s="17"/>
      <c r="LH16" s="15" t="s">
        <v>18</v>
      </c>
      <c r="LI16" s="52"/>
      <c r="LJ16" s="17"/>
      <c r="LK16" s="43"/>
      <c r="LL16" s="41"/>
      <c r="LM16" s="16"/>
      <c r="LN16" s="16"/>
      <c r="LO16" s="16"/>
      <c r="LP16" s="16"/>
      <c r="LQ16" s="17"/>
    </row>
    <row r="17">
      <c r="A17" s="15" t="s">
        <v>167</v>
      </c>
      <c r="B17" s="49" t="s">
        <v>168</v>
      </c>
      <c r="C17" s="63">
        <v>11</v>
      </c>
      <c r="D17" s="65">
        <v>11960</v>
      </c>
      <c r="E17" s="30" t="s">
        <v>20</v>
      </c>
      <c r="F17" s="16" t="s">
        <v>20</v>
      </c>
      <c r="G17" s="21" t="s">
        <v>20</v>
      </c>
      <c r="H17" s="32" t="s">
        <v>20</v>
      </c>
      <c r="I17" s="33" t="s">
        <v>20</v>
      </c>
      <c r="J17" s="17"/>
      <c r="L17" s="15" t="s">
        <v>167</v>
      </c>
      <c r="M17" s="49" t="s">
        <v>168</v>
      </c>
      <c r="N17" s="66">
        <v>11</v>
      </c>
      <c r="O17" s="64">
        <v>11079</v>
      </c>
      <c r="P17" s="16" t="s">
        <v>20</v>
      </c>
      <c r="Q17" s="16" t="s">
        <v>20</v>
      </c>
      <c r="R17" s="16" t="s">
        <v>20</v>
      </c>
      <c r="S17" s="16" t="s">
        <v>20</v>
      </c>
      <c r="T17" s="16" t="s">
        <v>20</v>
      </c>
      <c r="U17" s="17"/>
      <c r="W17" s="15" t="s">
        <v>167</v>
      </c>
      <c r="X17" s="49" t="s">
        <v>168</v>
      </c>
      <c r="Y17" s="66">
        <v>11</v>
      </c>
      <c r="Z17" s="68">
        <v>11327</v>
      </c>
      <c r="AA17" s="41" t="s">
        <v>20</v>
      </c>
      <c r="AB17" s="16" t="s">
        <v>20</v>
      </c>
      <c r="AC17" s="16" t="s">
        <v>20</v>
      </c>
      <c r="AD17" s="16" t="s">
        <v>20</v>
      </c>
      <c r="AE17" s="16" t="s">
        <v>20</v>
      </c>
      <c r="AF17" s="17"/>
      <c r="AH17" s="15" t="s">
        <v>167</v>
      </c>
      <c r="AI17" s="49" t="s">
        <v>168</v>
      </c>
      <c r="AJ17" s="17">
        <v>11</v>
      </c>
      <c r="AK17" s="68">
        <v>10955</v>
      </c>
      <c r="AL17" s="41">
        <v>4.0000000000000036</v>
      </c>
      <c r="AM17" s="16">
        <v>9.0000000004656613</v>
      </c>
      <c r="AN17" s="16" t="s">
        <v>20</v>
      </c>
      <c r="AO17" s="16">
        <v>4.5</v>
      </c>
      <c r="AP17" s="16">
        <v>3.9</v>
      </c>
      <c r="AQ17" s="17"/>
      <c r="AS17" s="15" t="s">
        <v>167</v>
      </c>
      <c r="AT17" s="49" t="s">
        <v>169</v>
      </c>
      <c r="AU17" s="17">
        <v>11</v>
      </c>
      <c r="AV17" s="68">
        <v>10620</v>
      </c>
      <c r="AW17" s="41">
        <v>2.0000000000000018</v>
      </c>
      <c r="AX17" s="16">
        <v>15.999999999301508</v>
      </c>
      <c r="AY17" s="16"/>
      <c r="AZ17" s="16">
        <v>4.5</v>
      </c>
      <c r="BA17" s="16">
        <v>4.6</v>
      </c>
      <c r="BB17" s="17"/>
      <c r="BD17" s="15" t="s">
        <v>167</v>
      </c>
      <c r="BE17" s="49" t="s">
        <v>168</v>
      </c>
      <c r="BF17" s="17">
        <v>11</v>
      </c>
      <c r="BG17" s="68">
        <v>11113</v>
      </c>
      <c r="BH17" s="40">
        <v>2.9999999999999947</v>
      </c>
      <c r="BI17" s="16">
        <v>11.999999994179234</v>
      </c>
      <c r="BJ17" s="16" t="s">
        <v>20</v>
      </c>
      <c r="BK17" s="16">
        <v>4.5</v>
      </c>
      <c r="BL17" s="16">
        <v>2.8</v>
      </c>
      <c r="BM17" s="17"/>
      <c r="BO17" s="15" t="s">
        <v>167</v>
      </c>
      <c r="BP17" s="49" t="s">
        <v>168</v>
      </c>
      <c r="BQ17" s="17">
        <v>11</v>
      </c>
      <c r="BR17" s="68">
        <v>11098</v>
      </c>
      <c r="BS17" s="41">
        <v>4.9999999999999964</v>
      </c>
      <c r="BT17" s="16">
        <v>10.999999999767169</v>
      </c>
      <c r="BU17" s="16" t="s">
        <v>20</v>
      </c>
      <c r="BV17" s="16">
        <v>4.5</v>
      </c>
      <c r="BW17" s="16">
        <v>3</v>
      </c>
      <c r="BX17" s="17"/>
      <c r="BZ17" s="15" t="s">
        <v>167</v>
      </c>
      <c r="CA17" s="49" t="s">
        <v>169</v>
      </c>
      <c r="CB17" s="17">
        <v>11</v>
      </c>
      <c r="CC17" s="68">
        <v>12273</v>
      </c>
      <c r="CD17" s="41">
        <v>9.9999999999999929</v>
      </c>
      <c r="CE17" s="16">
        <v>33.999999996740371</v>
      </c>
      <c r="CF17" s="16">
        <v>500</v>
      </c>
      <c r="CG17" s="16">
        <v>5.1999999999999833</v>
      </c>
      <c r="CH17" s="16">
        <v>5</v>
      </c>
      <c r="CI17" s="17"/>
      <c r="CK17" s="15" t="s">
        <v>167</v>
      </c>
      <c r="CL17" s="49" t="s">
        <v>168</v>
      </c>
      <c r="CM17" s="17">
        <v>11</v>
      </c>
      <c r="CN17" s="68">
        <v>12503</v>
      </c>
      <c r="CO17" s="41">
        <v>6.9999999999999991</v>
      </c>
      <c r="CP17" s="16">
        <v>24.999999999534339</v>
      </c>
      <c r="CQ17" s="16">
        <v>1500</v>
      </c>
      <c r="CR17" s="16">
        <v>5</v>
      </c>
      <c r="CS17" s="16">
        <v>4.8</v>
      </c>
      <c r="CT17" s="17"/>
      <c r="CV17" s="15" t="s">
        <v>167</v>
      </c>
      <c r="CW17" s="49" t="s">
        <v>169</v>
      </c>
      <c r="CX17" s="17">
        <v>11</v>
      </c>
      <c r="CY17" s="43">
        <v>10851</v>
      </c>
      <c r="CZ17" s="41">
        <v>9</v>
      </c>
      <c r="DA17" s="16">
        <v>11.000000002328306</v>
      </c>
      <c r="DB17" s="16" t="s">
        <v>20</v>
      </c>
      <c r="DC17" s="16">
        <v>4</v>
      </c>
      <c r="DD17" s="16">
        <v>3.8</v>
      </c>
      <c r="DE17" s="17"/>
      <c r="DG17" s="15" t="s">
        <v>167</v>
      </c>
      <c r="DH17" s="49" t="s">
        <v>168</v>
      </c>
      <c r="DI17" s="17">
        <v>11</v>
      </c>
      <c r="DJ17" s="43">
        <v>11679</v>
      </c>
      <c r="DK17" s="41" t="s">
        <v>20</v>
      </c>
      <c r="DL17" s="16" t="s">
        <v>20</v>
      </c>
      <c r="DM17" s="16" t="s">
        <v>20</v>
      </c>
      <c r="DN17" s="16" t="s">
        <v>20</v>
      </c>
      <c r="DO17" s="16" t="s">
        <v>20</v>
      </c>
      <c r="DP17" s="17"/>
      <c r="DR17" s="15" t="s">
        <v>167</v>
      </c>
      <c r="DS17" s="49" t="s">
        <v>168</v>
      </c>
      <c r="DT17" s="17">
        <v>11</v>
      </c>
      <c r="DU17" s="43">
        <v>11376</v>
      </c>
      <c r="DV17" s="41">
        <v>4.0000000000000036</v>
      </c>
      <c r="DW17" s="16">
        <v>11.999999999767169</v>
      </c>
      <c r="DX17" s="16" t="s">
        <v>20</v>
      </c>
      <c r="DY17" s="16">
        <v>4</v>
      </c>
      <c r="DZ17" s="16">
        <v>3.5</v>
      </c>
      <c r="EA17" s="17"/>
      <c r="EC17" s="15" t="s">
        <v>167</v>
      </c>
      <c r="ED17" s="49" t="s">
        <v>168</v>
      </c>
      <c r="EE17" s="17">
        <v>11</v>
      </c>
      <c r="EF17" s="43">
        <v>10220</v>
      </c>
      <c r="EG17" s="41">
        <v>15.000000000000048</v>
      </c>
      <c r="EH17" s="16">
        <v>30</v>
      </c>
      <c r="EI17" s="16" t="s">
        <v>20</v>
      </c>
      <c r="EJ17" s="16">
        <v>5</v>
      </c>
      <c r="EK17" s="16">
        <v>4.9</v>
      </c>
      <c r="EL17" s="17"/>
      <c r="EN17" s="15" t="s">
        <v>167</v>
      </c>
      <c r="EO17" s="49" t="s">
        <v>169</v>
      </c>
      <c r="EP17" s="17">
        <v>11</v>
      </c>
      <c r="EQ17" s="43">
        <v>11086</v>
      </c>
      <c r="ER17" s="41">
        <v>2.0000000000000018</v>
      </c>
      <c r="ES17" s="16">
        <v>10.000000007683411</v>
      </c>
      <c r="ET17" s="16" t="s">
        <v>20</v>
      </c>
      <c r="EU17" s="16">
        <v>4</v>
      </c>
      <c r="EV17" s="16">
        <v>2.7</v>
      </c>
      <c r="EW17" s="17"/>
      <c r="EY17" s="15" t="s">
        <v>167</v>
      </c>
      <c r="EZ17" s="49" t="s">
        <v>168</v>
      </c>
      <c r="FA17" s="17">
        <v>11</v>
      </c>
      <c r="FB17" s="43">
        <v>13054</v>
      </c>
      <c r="FC17" s="41">
        <v>9.9999999999999929</v>
      </c>
      <c r="FD17" s="16">
        <v>26.999999994877726</v>
      </c>
      <c r="FE17" s="16" t="s">
        <v>20</v>
      </c>
      <c r="FF17" s="16">
        <v>5.5</v>
      </c>
      <c r="FG17" s="16">
        <v>5.5</v>
      </c>
      <c r="FH17" s="17"/>
      <c r="FJ17" s="15" t="s">
        <v>167</v>
      </c>
      <c r="FK17" s="49" t="s">
        <v>168</v>
      </c>
      <c r="FL17" s="17">
        <v>11</v>
      </c>
      <c r="FM17" s="43">
        <v>12918</v>
      </c>
      <c r="FN17" s="41">
        <v>15.999999999999984</v>
      </c>
      <c r="FO17" s="16">
        <v>11.999999996973202</v>
      </c>
      <c r="FP17" s="16" t="s">
        <v>20</v>
      </c>
      <c r="FQ17" s="16">
        <v>5.1999999999999833</v>
      </c>
      <c r="FR17" s="16">
        <v>5.1</v>
      </c>
      <c r="FS17" s="17"/>
      <c r="FU17" s="15" t="s">
        <v>167</v>
      </c>
      <c r="FV17" s="49" t="s">
        <v>169</v>
      </c>
      <c r="FW17" s="17">
        <v>11</v>
      </c>
      <c r="FX17" s="43">
        <v>10965</v>
      </c>
      <c r="FY17" s="41">
        <v>2.0000000000000018</v>
      </c>
      <c r="FZ17" s="16">
        <v>25.000000004190952</v>
      </c>
      <c r="GA17" s="16" t="s">
        <v>20</v>
      </c>
      <c r="GB17" s="16">
        <v>4</v>
      </c>
      <c r="GC17" s="16">
        <v>3.1</v>
      </c>
      <c r="GD17" s="17"/>
      <c r="GF17" s="15" t="s">
        <v>167</v>
      </c>
      <c r="GG17" s="49" t="s">
        <v>169</v>
      </c>
      <c r="GH17" s="17">
        <v>11</v>
      </c>
      <c r="GI17" s="43">
        <v>11260</v>
      </c>
      <c r="GJ17" s="41">
        <v>4.9999999999999964</v>
      </c>
      <c r="GK17" s="16">
        <v>12.000000003026798</v>
      </c>
      <c r="GL17" s="16">
        <v>1000</v>
      </c>
      <c r="GM17" s="16">
        <v>4.5999999999999908</v>
      </c>
      <c r="GN17" s="16">
        <v>4.3</v>
      </c>
      <c r="GO17" s="17"/>
      <c r="GQ17" s="15" t="s">
        <v>167</v>
      </c>
      <c r="GR17" s="49"/>
      <c r="GS17" s="17"/>
      <c r="GT17" s="43"/>
      <c r="GU17" s="41"/>
      <c r="GV17" s="16"/>
      <c r="GW17" s="16"/>
      <c r="GX17" s="16"/>
      <c r="GY17" s="16"/>
      <c r="GZ17" s="17"/>
      <c r="HB17" s="15" t="s">
        <v>167</v>
      </c>
      <c r="HC17" s="49"/>
      <c r="HD17" s="17"/>
      <c r="HE17" s="43"/>
      <c r="HF17" s="41"/>
      <c r="HG17" s="16"/>
      <c r="HH17" s="16"/>
      <c r="HI17" s="16"/>
      <c r="HJ17" s="16"/>
      <c r="HK17" s="17"/>
      <c r="HM17" s="15" t="s">
        <v>167</v>
      </c>
      <c r="HN17" s="49"/>
      <c r="HO17" s="17"/>
      <c r="HP17" s="43"/>
      <c r="HQ17" s="41"/>
      <c r="HR17" s="16"/>
      <c r="HS17" s="16"/>
      <c r="HT17" s="16"/>
      <c r="HU17" s="16"/>
      <c r="HV17" s="17"/>
      <c r="HX17" s="15" t="s">
        <v>167</v>
      </c>
      <c r="HY17" s="49"/>
      <c r="HZ17" s="17"/>
      <c r="IA17" s="43"/>
      <c r="IB17" s="41"/>
      <c r="IC17" s="16"/>
      <c r="ID17" s="16"/>
      <c r="IE17" s="16"/>
      <c r="IF17" s="16"/>
      <c r="IG17" s="17"/>
      <c r="II17" s="15" t="s">
        <v>167</v>
      </c>
      <c r="IJ17" s="49"/>
      <c r="IK17" s="17"/>
      <c r="IL17" s="43"/>
      <c r="IM17" s="41"/>
      <c r="IN17" s="16"/>
      <c r="IO17" s="16"/>
      <c r="IP17" s="16"/>
      <c r="IQ17" s="16"/>
      <c r="IR17" s="17"/>
      <c r="IT17" s="15" t="s">
        <v>167</v>
      </c>
      <c r="IU17" s="49"/>
      <c r="IV17" s="17"/>
      <c r="IW17" s="43"/>
      <c r="IX17" s="41"/>
      <c r="IY17" s="16"/>
      <c r="IZ17" s="16"/>
      <c r="JA17" s="16"/>
      <c r="JB17" s="16"/>
      <c r="JC17" s="17"/>
      <c r="JE17" s="15" t="s">
        <v>167</v>
      </c>
      <c r="JF17" s="49"/>
      <c r="JG17" s="17"/>
      <c r="JH17" s="43"/>
      <c r="JI17" s="41"/>
      <c r="JJ17" s="16"/>
      <c r="JK17" s="16"/>
      <c r="JL17" s="16"/>
      <c r="JM17" s="16"/>
      <c r="JN17" s="17"/>
      <c r="JP17" s="15" t="s">
        <v>167</v>
      </c>
      <c r="JQ17" s="49"/>
      <c r="JR17" s="17"/>
      <c r="JS17" s="43"/>
      <c r="JT17" s="41"/>
      <c r="JU17" s="16"/>
      <c r="JV17" s="16"/>
      <c r="JW17" s="16"/>
      <c r="JX17" s="16"/>
      <c r="JY17" s="17"/>
      <c r="KA17" s="15" t="s">
        <v>167</v>
      </c>
      <c r="KB17" s="49"/>
      <c r="KC17" s="17"/>
      <c r="KD17" s="43"/>
      <c r="KE17" s="41"/>
      <c r="KF17" s="16"/>
      <c r="KG17" s="16"/>
      <c r="KH17" s="16"/>
      <c r="KI17" s="16"/>
      <c r="KJ17" s="17"/>
      <c r="KL17" s="15" t="s">
        <v>167</v>
      </c>
      <c r="KM17" s="49"/>
      <c r="KN17" s="17"/>
      <c r="KO17" s="43"/>
      <c r="KP17" s="41"/>
      <c r="KQ17" s="16"/>
      <c r="KR17" s="16"/>
      <c r="KS17" s="16"/>
      <c r="KT17" s="16"/>
      <c r="KU17" s="17"/>
      <c r="KW17" s="15" t="s">
        <v>167</v>
      </c>
      <c r="KX17" s="49"/>
      <c r="KY17" s="17"/>
      <c r="KZ17" s="43"/>
      <c r="LA17" s="41"/>
      <c r="LB17" s="16"/>
      <c r="LC17" s="16"/>
      <c r="LD17" s="16"/>
      <c r="LE17" s="16"/>
      <c r="LF17" s="17"/>
      <c r="LH17" s="15" t="s">
        <v>167</v>
      </c>
      <c r="LI17" s="49"/>
      <c r="LJ17" s="17"/>
      <c r="LK17" s="43"/>
      <c r="LL17" s="41"/>
      <c r="LM17" s="16"/>
      <c r="LN17" s="16"/>
      <c r="LO17" s="16"/>
      <c r="LP17" s="16"/>
      <c r="LQ17" s="17"/>
    </row>
    <row r="18">
      <c r="A18" s="15" t="s">
        <v>170</v>
      </c>
      <c r="B18" s="51" t="s">
        <v>20</v>
      </c>
      <c r="C18" s="63">
        <v>12</v>
      </c>
      <c r="D18" s="65">
        <v>12160</v>
      </c>
      <c r="E18" s="30" t="s">
        <v>20</v>
      </c>
      <c r="F18" s="16" t="s">
        <v>20</v>
      </c>
      <c r="G18" s="21" t="s">
        <v>20</v>
      </c>
      <c r="H18" s="33" t="s">
        <v>20</v>
      </c>
      <c r="I18" s="33" t="s">
        <v>20</v>
      </c>
      <c r="J18" s="17"/>
      <c r="L18" s="15" t="s">
        <v>170</v>
      </c>
      <c r="M18" s="51" t="s">
        <v>20</v>
      </c>
      <c r="N18" s="66">
        <v>12</v>
      </c>
      <c r="O18" s="64">
        <v>11322</v>
      </c>
      <c r="P18" s="16" t="s">
        <v>20</v>
      </c>
      <c r="Q18" s="16" t="s">
        <v>20</v>
      </c>
      <c r="R18" s="16" t="s">
        <v>20</v>
      </c>
      <c r="S18" s="16" t="s">
        <v>20</v>
      </c>
      <c r="T18" s="16" t="s">
        <v>20</v>
      </c>
      <c r="U18" s="17"/>
      <c r="W18" s="15" t="s">
        <v>170</v>
      </c>
      <c r="X18" s="51" t="s">
        <v>20</v>
      </c>
      <c r="Y18" s="66">
        <v>12</v>
      </c>
      <c r="Z18" s="68">
        <v>11528</v>
      </c>
      <c r="AA18" s="41" t="s">
        <v>20</v>
      </c>
      <c r="AB18" s="16" t="s">
        <v>20</v>
      </c>
      <c r="AC18" s="16" t="s">
        <v>20</v>
      </c>
      <c r="AD18" s="16" t="s">
        <v>20</v>
      </c>
      <c r="AE18" s="16" t="s">
        <v>20</v>
      </c>
      <c r="AF18" s="17"/>
      <c r="AH18" s="15" t="s">
        <v>170</v>
      </c>
      <c r="AI18" s="51">
        <v>46270.54375</v>
      </c>
      <c r="AJ18" s="17">
        <v>12</v>
      </c>
      <c r="AK18" s="68">
        <v>11156</v>
      </c>
      <c r="AL18" s="41">
        <v>4.9999999999999964</v>
      </c>
      <c r="AM18" s="16">
        <v>9.00000000372529</v>
      </c>
      <c r="AN18" s="16" t="s">
        <v>20</v>
      </c>
      <c r="AO18" s="16">
        <v>4.5</v>
      </c>
      <c r="AP18" s="16">
        <v>3.9</v>
      </c>
      <c r="AQ18" s="17"/>
      <c r="AS18" s="15" t="s">
        <v>170</v>
      </c>
      <c r="AT18" s="51">
        <v>46274.8333333333</v>
      </c>
      <c r="AU18" s="17">
        <v>12</v>
      </c>
      <c r="AV18" s="68">
        <v>10821</v>
      </c>
      <c r="AW18" s="41">
        <v>4.0000000000000036</v>
      </c>
      <c r="AX18" s="16">
        <v>14.999999999068677</v>
      </c>
      <c r="AY18" s="16"/>
      <c r="AZ18" s="16">
        <v>4.5</v>
      </c>
      <c r="BA18" s="16">
        <v>4.8</v>
      </c>
      <c r="BB18" s="17"/>
      <c r="BD18" s="15" t="s">
        <v>170</v>
      </c>
      <c r="BE18" s="51">
        <v>46274.0208333333</v>
      </c>
      <c r="BF18" s="17">
        <v>12</v>
      </c>
      <c r="BG18" s="68">
        <v>11314</v>
      </c>
      <c r="BH18" s="40">
        <v>2.0000000000000018</v>
      </c>
      <c r="BI18" s="16">
        <v>16.999999999068677</v>
      </c>
      <c r="BJ18" s="16" t="s">
        <v>20</v>
      </c>
      <c r="BK18" s="16">
        <v>4.5</v>
      </c>
      <c r="BL18" s="16">
        <v>3</v>
      </c>
      <c r="BM18" s="17"/>
      <c r="BO18" s="15" t="s">
        <v>170</v>
      </c>
      <c r="BP18" s="51">
        <v>46270.9895833333</v>
      </c>
      <c r="BQ18" s="17">
        <v>12</v>
      </c>
      <c r="BR18" s="68">
        <v>11298</v>
      </c>
      <c r="BS18" s="41">
        <v>4.0000000000000036</v>
      </c>
      <c r="BT18" s="16">
        <v>17.999999998370185</v>
      </c>
      <c r="BU18" s="16" t="s">
        <v>20</v>
      </c>
      <c r="BV18" s="16">
        <v>4.5</v>
      </c>
      <c r="BW18" s="16">
        <v>2.9</v>
      </c>
      <c r="BX18" s="17"/>
      <c r="BZ18" s="15" t="s">
        <v>170</v>
      </c>
      <c r="CA18" s="51">
        <v>46272.9805555556</v>
      </c>
      <c r="CB18" s="17">
        <v>12</v>
      </c>
      <c r="CC18" s="68">
        <v>12476</v>
      </c>
      <c r="CD18" s="41">
        <v>11.999999999999995</v>
      </c>
      <c r="CE18" s="16">
        <v>24.000000002095476</v>
      </c>
      <c r="CF18" s="16">
        <v>800</v>
      </c>
      <c r="CG18" s="16">
        <v>5.1999999999999833</v>
      </c>
      <c r="CH18" s="16">
        <v>5</v>
      </c>
      <c r="CI18" s="17"/>
      <c r="CK18" s="15" t="s">
        <v>170</v>
      </c>
      <c r="CL18" s="51" t="s">
        <v>20</v>
      </c>
      <c r="CM18" s="17">
        <v>12</v>
      </c>
      <c r="CN18" s="68">
        <v>12705</v>
      </c>
      <c r="CO18" s="41">
        <v>11.000000000000002</v>
      </c>
      <c r="CP18" s="16">
        <v>22.999999995576218</v>
      </c>
      <c r="CQ18" s="16">
        <v>1500</v>
      </c>
      <c r="CR18" s="16">
        <v>5</v>
      </c>
      <c r="CS18" s="16">
        <v>4.7</v>
      </c>
      <c r="CT18" s="17"/>
      <c r="CV18" s="15" t="s">
        <v>170</v>
      </c>
      <c r="CW18" s="51">
        <v>46274.5625</v>
      </c>
      <c r="CX18" s="17">
        <v>12</v>
      </c>
      <c r="CY18" s="43">
        <v>11051</v>
      </c>
      <c r="CZ18" s="41">
        <v>9.9999999999999929</v>
      </c>
      <c r="DA18" s="16">
        <v>10.000000002328306</v>
      </c>
      <c r="DB18" s="16" t="s">
        <v>20</v>
      </c>
      <c r="DC18" s="16">
        <v>4</v>
      </c>
      <c r="DD18" s="16">
        <v>4</v>
      </c>
      <c r="DE18" s="17"/>
      <c r="DG18" s="15" t="s">
        <v>170</v>
      </c>
      <c r="DH18" s="51" t="s">
        <v>20</v>
      </c>
      <c r="DI18" s="17">
        <v>12</v>
      </c>
      <c r="DJ18" s="43">
        <v>11880</v>
      </c>
      <c r="DK18" s="41" t="s">
        <v>20</v>
      </c>
      <c r="DL18" s="16" t="s">
        <v>20</v>
      </c>
      <c r="DM18" s="16" t="s">
        <v>20</v>
      </c>
      <c r="DN18" s="16" t="s">
        <v>20</v>
      </c>
      <c r="DO18" s="16" t="s">
        <v>20</v>
      </c>
      <c r="DP18" s="17"/>
      <c r="DR18" s="15" t="s">
        <v>170</v>
      </c>
      <c r="DS18" s="51">
        <v>46272.03125</v>
      </c>
      <c r="DT18" s="17">
        <v>12</v>
      </c>
      <c r="DU18" s="43">
        <v>11579</v>
      </c>
      <c r="DV18" s="41">
        <v>4.9999999999999964</v>
      </c>
      <c r="DW18" s="16">
        <v>13.999999999068677</v>
      </c>
      <c r="DX18" s="16" t="s">
        <v>20</v>
      </c>
      <c r="DY18" s="16">
        <v>4</v>
      </c>
      <c r="DZ18" s="16">
        <v>3.6</v>
      </c>
      <c r="EA18" s="17"/>
      <c r="EC18" s="15" t="s">
        <v>170</v>
      </c>
      <c r="ED18" s="51">
        <v>46273.8125</v>
      </c>
      <c r="EE18" s="17">
        <v>12</v>
      </c>
      <c r="EF18" s="43">
        <v>10422</v>
      </c>
      <c r="EG18" s="41">
        <v>15.000000000000048</v>
      </c>
      <c r="EH18" s="16">
        <v>8.0000000016298145</v>
      </c>
      <c r="EI18" s="16" t="s">
        <v>20</v>
      </c>
      <c r="EJ18" s="16">
        <v>5</v>
      </c>
      <c r="EK18" s="16">
        <v>4.9</v>
      </c>
      <c r="EL18" s="17"/>
      <c r="EN18" s="15" t="s">
        <v>170</v>
      </c>
      <c r="EO18" s="51">
        <v>46273.25</v>
      </c>
      <c r="EP18" s="17">
        <v>12</v>
      </c>
      <c r="EQ18" s="43">
        <v>11288</v>
      </c>
      <c r="ER18" s="41">
        <v>2.0000000000000018</v>
      </c>
      <c r="ES18" s="16">
        <v>15.999999995809048</v>
      </c>
      <c r="ET18" s="16" t="s">
        <v>20</v>
      </c>
      <c r="EU18" s="16">
        <v>4.1</v>
      </c>
      <c r="EV18" s="16">
        <v>2.9</v>
      </c>
      <c r="EW18" s="17"/>
      <c r="EY18" s="15" t="s">
        <v>170</v>
      </c>
      <c r="EZ18" s="51">
        <v>46271.125</v>
      </c>
      <c r="FA18" s="17">
        <v>12</v>
      </c>
      <c r="FB18" s="43">
        <v>13255</v>
      </c>
      <c r="FC18" s="41">
        <v>11.000000000000002</v>
      </c>
      <c r="FD18" s="16">
        <v>16.000000004190952</v>
      </c>
      <c r="FE18" s="16" t="s">
        <v>20</v>
      </c>
      <c r="FF18" s="16">
        <v>5.5</v>
      </c>
      <c r="FG18" s="16">
        <v>5.5</v>
      </c>
      <c r="FH18" s="17"/>
      <c r="FJ18" s="15" t="s">
        <v>170</v>
      </c>
      <c r="FK18" s="51">
        <v>46273.9145833333</v>
      </c>
      <c r="FL18" s="17">
        <v>12</v>
      </c>
      <c r="FM18" s="43">
        <v>13116</v>
      </c>
      <c r="FN18" s="41">
        <v>13.999999999999998</v>
      </c>
      <c r="FO18" s="16">
        <v>20.999999998835847</v>
      </c>
      <c r="FP18" s="16" t="s">
        <v>20</v>
      </c>
      <c r="FQ18" s="16">
        <v>5.1999999999999833</v>
      </c>
      <c r="FR18" s="16">
        <v>5.1</v>
      </c>
      <c r="FS18" s="17"/>
      <c r="FU18" s="15" t="s">
        <v>170</v>
      </c>
      <c r="FV18" s="51">
        <v>46272.9430555556</v>
      </c>
      <c r="FW18" s="17">
        <v>12</v>
      </c>
      <c r="FX18" s="43">
        <v>11206</v>
      </c>
      <c r="FY18" s="41">
        <v>2.9999999999999947</v>
      </c>
      <c r="FZ18" s="16">
        <v>22.999999990453944</v>
      </c>
      <c r="GA18" s="16" t="s">
        <v>20</v>
      </c>
      <c r="GB18" s="16">
        <v>4</v>
      </c>
      <c r="GC18" s="16">
        <v>3</v>
      </c>
      <c r="GD18" s="17"/>
      <c r="GF18" s="15" t="s">
        <v>170</v>
      </c>
      <c r="GG18" s="51">
        <v>46248.56875</v>
      </c>
      <c r="GH18" s="17">
        <v>12</v>
      </c>
      <c r="GI18" s="43">
        <v>11462</v>
      </c>
      <c r="GJ18" s="41">
        <v>4.9999999999999964</v>
      </c>
      <c r="GK18" s="16">
        <v>21.000000000931323</v>
      </c>
      <c r="GL18" s="16">
        <v>1000</v>
      </c>
      <c r="GM18" s="16">
        <v>4.5999999999999908</v>
      </c>
      <c r="GN18" s="16">
        <v>4.4</v>
      </c>
      <c r="GO18" s="17"/>
      <c r="GQ18" s="15" t="s">
        <v>170</v>
      </c>
      <c r="GR18" s="51"/>
      <c r="GS18" s="17"/>
      <c r="GT18" s="43"/>
      <c r="GU18" s="41"/>
      <c r="GV18" s="16"/>
      <c r="GW18" s="16"/>
      <c r="GX18" s="16"/>
      <c r="GY18" s="16"/>
      <c r="GZ18" s="17"/>
      <c r="HB18" s="15" t="s">
        <v>170</v>
      </c>
      <c r="HC18" s="51"/>
      <c r="HD18" s="17"/>
      <c r="HE18" s="43"/>
      <c r="HF18" s="41"/>
      <c r="HG18" s="16"/>
      <c r="HH18" s="16"/>
      <c r="HI18" s="16"/>
      <c r="HJ18" s="16"/>
      <c r="HK18" s="17"/>
      <c r="HM18" s="15" t="s">
        <v>170</v>
      </c>
      <c r="HN18" s="51"/>
      <c r="HO18" s="17"/>
      <c r="HP18" s="43"/>
      <c r="HQ18" s="41"/>
      <c r="HR18" s="16"/>
      <c r="HS18" s="16"/>
      <c r="HT18" s="16"/>
      <c r="HU18" s="16"/>
      <c r="HV18" s="17"/>
      <c r="HX18" s="15" t="s">
        <v>170</v>
      </c>
      <c r="HY18" s="51"/>
      <c r="HZ18" s="17"/>
      <c r="IA18" s="43"/>
      <c r="IB18" s="41"/>
      <c r="IC18" s="16"/>
      <c r="ID18" s="16"/>
      <c r="IE18" s="16"/>
      <c r="IF18" s="16"/>
      <c r="IG18" s="17"/>
      <c r="II18" s="15" t="s">
        <v>170</v>
      </c>
      <c r="IJ18" s="51"/>
      <c r="IK18" s="17"/>
      <c r="IL18" s="43"/>
      <c r="IM18" s="41"/>
      <c r="IN18" s="16"/>
      <c r="IO18" s="16"/>
      <c r="IP18" s="16"/>
      <c r="IQ18" s="16"/>
      <c r="IR18" s="17"/>
      <c r="IT18" s="15" t="s">
        <v>170</v>
      </c>
      <c r="IU18" s="51"/>
      <c r="IV18" s="17"/>
      <c r="IW18" s="43"/>
      <c r="IX18" s="41"/>
      <c r="IY18" s="16"/>
      <c r="IZ18" s="16"/>
      <c r="JA18" s="16"/>
      <c r="JB18" s="16"/>
      <c r="JC18" s="17"/>
      <c r="JE18" s="15" t="s">
        <v>170</v>
      </c>
      <c r="JF18" s="51"/>
      <c r="JG18" s="17"/>
      <c r="JH18" s="43"/>
      <c r="JI18" s="41"/>
      <c r="JJ18" s="16"/>
      <c r="JK18" s="16"/>
      <c r="JL18" s="16"/>
      <c r="JM18" s="16"/>
      <c r="JN18" s="17"/>
      <c r="JP18" s="15" t="s">
        <v>170</v>
      </c>
      <c r="JQ18" s="51"/>
      <c r="JR18" s="17"/>
      <c r="JS18" s="43"/>
      <c r="JT18" s="41"/>
      <c r="JU18" s="16"/>
      <c r="JV18" s="16"/>
      <c r="JW18" s="16"/>
      <c r="JX18" s="16"/>
      <c r="JY18" s="17"/>
      <c r="KA18" s="15" t="s">
        <v>170</v>
      </c>
      <c r="KB18" s="51"/>
      <c r="KC18" s="17"/>
      <c r="KD18" s="43"/>
      <c r="KE18" s="41"/>
      <c r="KF18" s="16"/>
      <c r="KG18" s="16"/>
      <c r="KH18" s="16"/>
      <c r="KI18" s="16"/>
      <c r="KJ18" s="17"/>
      <c r="KL18" s="15" t="s">
        <v>170</v>
      </c>
      <c r="KM18" s="51"/>
      <c r="KN18" s="17"/>
      <c r="KO18" s="43"/>
      <c r="KP18" s="41"/>
      <c r="KQ18" s="16"/>
      <c r="KR18" s="16"/>
      <c r="KS18" s="16"/>
      <c r="KT18" s="16"/>
      <c r="KU18" s="17"/>
      <c r="KW18" s="15" t="s">
        <v>170</v>
      </c>
      <c r="KX18" s="51"/>
      <c r="KY18" s="17"/>
      <c r="KZ18" s="43"/>
      <c r="LA18" s="41"/>
      <c r="LB18" s="16"/>
      <c r="LC18" s="16"/>
      <c r="LD18" s="16"/>
      <c r="LE18" s="16"/>
      <c r="LF18" s="17"/>
      <c r="LH18" s="15" t="s">
        <v>170</v>
      </c>
      <c r="LI18" s="51"/>
      <c r="LJ18" s="17"/>
      <c r="LK18" s="43"/>
      <c r="LL18" s="41"/>
      <c r="LM18" s="16"/>
      <c r="LN18" s="16"/>
      <c r="LO18" s="16"/>
      <c r="LP18" s="16"/>
      <c r="LQ18" s="17"/>
    </row>
    <row r="19">
      <c r="A19" s="15" t="s">
        <v>171</v>
      </c>
      <c r="B19" s="53" t="s">
        <v>20</v>
      </c>
      <c r="C19" s="63">
        <v>13</v>
      </c>
      <c r="D19" s="65">
        <v>12364</v>
      </c>
      <c r="E19" s="30" t="s">
        <v>20</v>
      </c>
      <c r="F19" s="16" t="s">
        <v>20</v>
      </c>
      <c r="G19" s="21" t="s">
        <v>20</v>
      </c>
      <c r="H19" s="32" t="s">
        <v>20</v>
      </c>
      <c r="I19" s="33" t="s">
        <v>20</v>
      </c>
      <c r="J19" s="17"/>
      <c r="L19" s="15" t="s">
        <v>171</v>
      </c>
      <c r="M19" s="53" t="s">
        <v>20</v>
      </c>
      <c r="N19" s="66">
        <v>13</v>
      </c>
      <c r="O19" s="64">
        <v>11565</v>
      </c>
      <c r="P19" s="16" t="s">
        <v>20</v>
      </c>
      <c r="Q19" s="16" t="s">
        <v>20</v>
      </c>
      <c r="R19" s="16" t="s">
        <v>20</v>
      </c>
      <c r="S19" s="16" t="s">
        <v>20</v>
      </c>
      <c r="T19" s="16" t="s">
        <v>20</v>
      </c>
      <c r="U19" s="17"/>
      <c r="W19" s="15" t="s">
        <v>171</v>
      </c>
      <c r="X19" s="53" t="s">
        <v>20</v>
      </c>
      <c r="Y19" s="66">
        <v>13</v>
      </c>
      <c r="Z19" s="68">
        <v>11729</v>
      </c>
      <c r="AA19" s="41" t="s">
        <v>20</v>
      </c>
      <c r="AB19" s="16" t="s">
        <v>20</v>
      </c>
      <c r="AC19" s="16" t="s">
        <v>20</v>
      </c>
      <c r="AD19" s="16" t="s">
        <v>20</v>
      </c>
      <c r="AE19" s="16" t="s">
        <v>20</v>
      </c>
      <c r="AF19" s="17"/>
      <c r="AH19" s="15" t="s">
        <v>171</v>
      </c>
      <c r="AI19" s="53">
        <v>46270.54375</v>
      </c>
      <c r="AJ19" s="17">
        <v>13</v>
      </c>
      <c r="AK19" s="68">
        <v>11358</v>
      </c>
      <c r="AL19" s="41">
        <v>6.9999999999999991</v>
      </c>
      <c r="AM19" s="16">
        <v>17.000000001396984</v>
      </c>
      <c r="AN19" s="16" t="s">
        <v>20</v>
      </c>
      <c r="AO19" s="16">
        <v>4.5</v>
      </c>
      <c r="AP19" s="16">
        <v>3.8</v>
      </c>
      <c r="AQ19" s="17"/>
      <c r="AS19" s="15" t="s">
        <v>171</v>
      </c>
      <c r="AT19" s="53">
        <v>46274.8333333333</v>
      </c>
      <c r="AU19" s="17">
        <v>13</v>
      </c>
      <c r="AV19" s="68">
        <v>11022</v>
      </c>
      <c r="AW19" s="41">
        <v>2.0000000000000018</v>
      </c>
      <c r="AX19" s="16">
        <v>16.000000006286427</v>
      </c>
      <c r="AY19" s="16"/>
      <c r="AZ19" s="16">
        <v>4.5</v>
      </c>
      <c r="BA19" s="16">
        <v>4.6</v>
      </c>
      <c r="BB19" s="17"/>
      <c r="BD19" s="15" t="s">
        <v>171</v>
      </c>
      <c r="BE19" s="53">
        <v>46274.0208333333</v>
      </c>
      <c r="BF19" s="17">
        <v>13</v>
      </c>
      <c r="BG19" s="68">
        <v>11516</v>
      </c>
      <c r="BH19" s="40">
        <v>4.0000000000000036</v>
      </c>
      <c r="BI19" s="16">
        <v>56.000000006984919</v>
      </c>
      <c r="BJ19" s="16" t="s">
        <v>20</v>
      </c>
      <c r="BK19" s="16">
        <v>4.5</v>
      </c>
      <c r="BL19" s="16">
        <v>3.6</v>
      </c>
      <c r="BM19" s="17"/>
      <c r="BO19" s="15" t="s">
        <v>171</v>
      </c>
      <c r="BP19" s="53">
        <v>46270.9895833333</v>
      </c>
      <c r="BQ19" s="17">
        <v>13</v>
      </c>
      <c r="BR19" s="68">
        <v>11499</v>
      </c>
      <c r="BS19" s="41">
        <v>6.0000000000000053</v>
      </c>
      <c r="BT19" s="16">
        <v>33.000000001396984</v>
      </c>
      <c r="BU19" s="16" t="s">
        <v>20</v>
      </c>
      <c r="BV19" s="16">
        <v>4.5</v>
      </c>
      <c r="BW19" s="16">
        <v>2.9</v>
      </c>
      <c r="BX19" s="17"/>
      <c r="BZ19" s="15" t="s">
        <v>171</v>
      </c>
      <c r="CA19" s="53">
        <v>46272.9805555556</v>
      </c>
      <c r="CB19" s="17">
        <v>13</v>
      </c>
      <c r="CC19" s="68">
        <v>12679</v>
      </c>
      <c r="CD19" s="41">
        <v>6.9999999999999991</v>
      </c>
      <c r="CE19" s="16">
        <v>19.999999993247911</v>
      </c>
      <c r="CF19" s="16">
        <v>1000</v>
      </c>
      <c r="CG19" s="16">
        <v>5.1999999999999833</v>
      </c>
      <c r="CH19" s="16">
        <v>5</v>
      </c>
      <c r="CI19" s="17"/>
      <c r="CK19" s="15" t="s">
        <v>171</v>
      </c>
      <c r="CL19" s="53" t="s">
        <v>20</v>
      </c>
      <c r="CM19" s="17">
        <v>13</v>
      </c>
      <c r="CN19" s="68">
        <v>12907</v>
      </c>
      <c r="CO19" s="41">
        <v>9</v>
      </c>
      <c r="CP19" s="16">
        <v>28.000000005355105</v>
      </c>
      <c r="CQ19" s="16">
        <v>1000</v>
      </c>
      <c r="CR19" s="16">
        <v>5</v>
      </c>
      <c r="CS19" s="16">
        <v>4.7</v>
      </c>
      <c r="CT19" s="17"/>
      <c r="CV19" s="15" t="s">
        <v>171</v>
      </c>
      <c r="CW19" s="53">
        <v>46274.5625</v>
      </c>
      <c r="CX19" s="17">
        <v>13</v>
      </c>
      <c r="CY19" s="43">
        <v>11252</v>
      </c>
      <c r="CZ19" s="41">
        <v>9</v>
      </c>
      <c r="DA19" s="16">
        <v>11.999999991618097</v>
      </c>
      <c r="DB19" s="16" t="s">
        <v>20</v>
      </c>
      <c r="DC19" s="16">
        <v>4</v>
      </c>
      <c r="DD19" s="16">
        <v>3.8</v>
      </c>
      <c r="DE19" s="17"/>
      <c r="DG19" s="15" t="s">
        <v>171</v>
      </c>
      <c r="DH19" s="53" t="s">
        <v>20</v>
      </c>
      <c r="DI19" s="17">
        <v>13</v>
      </c>
      <c r="DJ19" s="43">
        <v>12081</v>
      </c>
      <c r="DK19" s="41" t="s">
        <v>20</v>
      </c>
      <c r="DL19" s="16" t="s">
        <v>20</v>
      </c>
      <c r="DM19" s="16" t="s">
        <v>20</v>
      </c>
      <c r="DN19" s="16" t="s">
        <v>20</v>
      </c>
      <c r="DO19" s="16" t="s">
        <v>20</v>
      </c>
      <c r="DP19" s="17"/>
      <c r="DR19" s="15" t="s">
        <v>171</v>
      </c>
      <c r="DS19" s="53">
        <v>46272.03125</v>
      </c>
      <c r="DT19" s="17">
        <v>13</v>
      </c>
      <c r="DU19" s="43">
        <v>11783</v>
      </c>
      <c r="DV19" s="41">
        <v>6.0000000000000053</v>
      </c>
      <c r="DW19" s="16">
        <v>32.000000001396984</v>
      </c>
      <c r="DX19" s="16" t="s">
        <v>20</v>
      </c>
      <c r="DY19" s="16">
        <v>4</v>
      </c>
      <c r="DZ19" s="16">
        <v>3.7</v>
      </c>
      <c r="EA19" s="17"/>
      <c r="EC19" s="15" t="s">
        <v>171</v>
      </c>
      <c r="ED19" s="53">
        <v>46273.8125</v>
      </c>
      <c r="EE19" s="17">
        <v>13</v>
      </c>
      <c r="EF19" s="43">
        <v>10624</v>
      </c>
      <c r="EG19" s="41">
        <v>11.999999999999995</v>
      </c>
      <c r="EH19" s="16">
        <v>12.000000004889444</v>
      </c>
      <c r="EI19" s="16" t="s">
        <v>20</v>
      </c>
      <c r="EJ19" s="16">
        <v>5</v>
      </c>
      <c r="EK19" s="16">
        <v>4.8</v>
      </c>
      <c r="EL19" s="17"/>
      <c r="EN19" s="15" t="s">
        <v>171</v>
      </c>
      <c r="EO19" s="53">
        <v>46273.25</v>
      </c>
      <c r="EP19" s="17">
        <v>13</v>
      </c>
      <c r="EQ19" s="43">
        <v>11489</v>
      </c>
      <c r="ER19" s="41">
        <v>0.99999999999999933</v>
      </c>
      <c r="ES19" s="16">
        <v>36.999999998137355</v>
      </c>
      <c r="ET19" s="16" t="s">
        <v>20</v>
      </c>
      <c r="EU19" s="16">
        <v>4</v>
      </c>
      <c r="EV19" s="16">
        <v>3.5</v>
      </c>
      <c r="EW19" s="17"/>
      <c r="EY19" s="15" t="s">
        <v>171</v>
      </c>
      <c r="EZ19" s="53">
        <v>46271.125</v>
      </c>
      <c r="FA19" s="17">
        <v>13</v>
      </c>
      <c r="FB19" s="43">
        <v>13456</v>
      </c>
      <c r="FC19" s="41">
        <v>9</v>
      </c>
      <c r="FD19" s="16">
        <v>22.999999999534339</v>
      </c>
      <c r="FE19" s="16" t="s">
        <v>20</v>
      </c>
      <c r="FF19" s="16">
        <v>5.5</v>
      </c>
      <c r="FG19" s="16">
        <v>5.5</v>
      </c>
      <c r="FH19" s="17"/>
      <c r="FJ19" s="15" t="s">
        <v>171</v>
      </c>
      <c r="FK19" s="53">
        <v>46273.9145833333</v>
      </c>
      <c r="FL19" s="17">
        <v>13</v>
      </c>
      <c r="FM19" s="43">
        <v>13315</v>
      </c>
      <c r="FN19" s="41">
        <v>15.000000000000048</v>
      </c>
      <c r="FO19" s="16">
        <v>19.999999998835847</v>
      </c>
      <c r="FP19" s="16">
        <v>0</v>
      </c>
      <c r="FQ19" s="16">
        <v>5.1999999999999833</v>
      </c>
      <c r="FR19" s="16">
        <v>5.2</v>
      </c>
      <c r="FS19" s="17"/>
      <c r="FU19" s="15" t="s">
        <v>171</v>
      </c>
      <c r="FV19" s="53">
        <v>46272.9430555556</v>
      </c>
      <c r="FW19" s="17">
        <v>13</v>
      </c>
      <c r="FX19" s="43">
        <v>11448</v>
      </c>
      <c r="FY19" s="41">
        <v>4.9999999999999964</v>
      </c>
      <c r="FZ19" s="16">
        <v>157.00000000419095</v>
      </c>
      <c r="GA19" s="16" t="s">
        <v>20</v>
      </c>
      <c r="GB19" s="16">
        <v>4</v>
      </c>
      <c r="GC19" s="16">
        <v>3.5</v>
      </c>
      <c r="GD19" s="17"/>
      <c r="GF19" s="15" t="s">
        <v>171</v>
      </c>
      <c r="GG19" s="53">
        <v>46248.56875</v>
      </c>
      <c r="GH19" s="17">
        <v>13</v>
      </c>
      <c r="GI19" s="43">
        <v>11664</v>
      </c>
      <c r="GJ19" s="41">
        <v>4.9999999999999964</v>
      </c>
      <c r="GK19" s="16">
        <v>21.000000000931323</v>
      </c>
      <c r="GL19" s="16">
        <v>500</v>
      </c>
      <c r="GM19" s="16">
        <v>4.5999999999999908</v>
      </c>
      <c r="GN19" s="16">
        <v>4.4</v>
      </c>
      <c r="GO19" s="17"/>
      <c r="GQ19" s="15" t="s">
        <v>171</v>
      </c>
      <c r="GR19" s="53"/>
      <c r="GS19" s="17"/>
      <c r="GT19" s="43"/>
      <c r="GU19" s="41"/>
      <c r="GV19" s="16"/>
      <c r="GW19" s="16"/>
      <c r="GX19" s="16"/>
      <c r="GY19" s="16"/>
      <c r="GZ19" s="17"/>
      <c r="HB19" s="15" t="s">
        <v>171</v>
      </c>
      <c r="HC19" s="53"/>
      <c r="HD19" s="17"/>
      <c r="HE19" s="43"/>
      <c r="HF19" s="41"/>
      <c r="HG19" s="16"/>
      <c r="HH19" s="16"/>
      <c r="HI19" s="16"/>
      <c r="HJ19" s="16"/>
      <c r="HK19" s="17"/>
      <c r="HM19" s="15" t="s">
        <v>171</v>
      </c>
      <c r="HN19" s="53"/>
      <c r="HO19" s="17"/>
      <c r="HP19" s="43"/>
      <c r="HQ19" s="41"/>
      <c r="HR19" s="16"/>
      <c r="HS19" s="16"/>
      <c r="HT19" s="16"/>
      <c r="HU19" s="16"/>
      <c r="HV19" s="17"/>
      <c r="HX19" s="15" t="s">
        <v>171</v>
      </c>
      <c r="HY19" s="53"/>
      <c r="HZ19" s="17"/>
      <c r="IA19" s="43"/>
      <c r="IB19" s="41"/>
      <c r="IC19" s="16"/>
      <c r="ID19" s="16"/>
      <c r="IE19" s="16"/>
      <c r="IF19" s="16"/>
      <c r="IG19" s="17"/>
      <c r="II19" s="15" t="s">
        <v>171</v>
      </c>
      <c r="IJ19" s="53"/>
      <c r="IK19" s="17"/>
      <c r="IL19" s="43"/>
      <c r="IM19" s="41"/>
      <c r="IN19" s="16"/>
      <c r="IO19" s="16"/>
      <c r="IP19" s="16"/>
      <c r="IQ19" s="16"/>
      <c r="IR19" s="17"/>
      <c r="IT19" s="15" t="s">
        <v>171</v>
      </c>
      <c r="IU19" s="53"/>
      <c r="IV19" s="17"/>
      <c r="IW19" s="43"/>
      <c r="IX19" s="41"/>
      <c r="IY19" s="16"/>
      <c r="IZ19" s="16"/>
      <c r="JA19" s="16"/>
      <c r="JB19" s="16"/>
      <c r="JC19" s="17"/>
      <c r="JE19" s="15" t="s">
        <v>171</v>
      </c>
      <c r="JF19" s="53"/>
      <c r="JG19" s="17"/>
      <c r="JH19" s="43"/>
      <c r="JI19" s="41"/>
      <c r="JJ19" s="16"/>
      <c r="JK19" s="16"/>
      <c r="JL19" s="16"/>
      <c r="JM19" s="16"/>
      <c r="JN19" s="17"/>
      <c r="JP19" s="15" t="s">
        <v>171</v>
      </c>
      <c r="JQ19" s="53"/>
      <c r="JR19" s="17"/>
      <c r="JS19" s="43"/>
      <c r="JT19" s="41"/>
      <c r="JU19" s="16"/>
      <c r="JV19" s="16"/>
      <c r="JW19" s="16"/>
      <c r="JX19" s="16"/>
      <c r="JY19" s="17"/>
      <c r="KA19" s="15" t="s">
        <v>171</v>
      </c>
      <c r="KB19" s="53"/>
      <c r="KC19" s="17"/>
      <c r="KD19" s="43"/>
      <c r="KE19" s="41"/>
      <c r="KF19" s="16"/>
      <c r="KG19" s="16"/>
      <c r="KH19" s="16"/>
      <c r="KI19" s="16"/>
      <c r="KJ19" s="17"/>
      <c r="KL19" s="15" t="s">
        <v>171</v>
      </c>
      <c r="KM19" s="53"/>
      <c r="KN19" s="17"/>
      <c r="KO19" s="43"/>
      <c r="KP19" s="41"/>
      <c r="KQ19" s="16"/>
      <c r="KR19" s="16"/>
      <c r="KS19" s="16"/>
      <c r="KT19" s="16"/>
      <c r="KU19" s="17"/>
      <c r="KW19" s="15" t="s">
        <v>171</v>
      </c>
      <c r="KX19" s="53"/>
      <c r="KY19" s="17"/>
      <c r="KZ19" s="43"/>
      <c r="LA19" s="41"/>
      <c r="LB19" s="16"/>
      <c r="LC19" s="16"/>
      <c r="LD19" s="16"/>
      <c r="LE19" s="16"/>
      <c r="LF19" s="17"/>
      <c r="LH19" s="15" t="s">
        <v>171</v>
      </c>
      <c r="LI19" s="53"/>
      <c r="LJ19" s="17"/>
      <c r="LK19" s="43"/>
      <c r="LL19" s="41"/>
      <c r="LM19" s="16"/>
      <c r="LN19" s="16"/>
      <c r="LO19" s="16"/>
      <c r="LP19" s="16"/>
      <c r="LQ19" s="17"/>
    </row>
    <row r="20">
      <c r="A20" s="15" t="s">
        <v>172</v>
      </c>
      <c r="B20" s="51">
        <v>46275.25</v>
      </c>
      <c r="C20" s="63">
        <v>14</v>
      </c>
      <c r="D20" s="65">
        <v>12566</v>
      </c>
      <c r="E20" s="30" t="s">
        <v>20</v>
      </c>
      <c r="F20" s="16" t="s">
        <v>20</v>
      </c>
      <c r="G20" s="21" t="s">
        <v>20</v>
      </c>
      <c r="H20" s="33" t="s">
        <v>20</v>
      </c>
      <c r="I20" s="33" t="s">
        <v>20</v>
      </c>
      <c r="J20" s="17"/>
      <c r="L20" s="15" t="s">
        <v>172</v>
      </c>
      <c r="M20" s="51">
        <v>46275.25</v>
      </c>
      <c r="N20" s="66">
        <v>14</v>
      </c>
      <c r="O20" s="64">
        <v>11808</v>
      </c>
      <c r="P20" s="16" t="s">
        <v>20</v>
      </c>
      <c r="Q20" s="16" t="s">
        <v>20</v>
      </c>
      <c r="R20" s="16" t="s">
        <v>20</v>
      </c>
      <c r="S20" s="16" t="s">
        <v>20</v>
      </c>
      <c r="T20" s="16" t="s">
        <v>20</v>
      </c>
      <c r="U20" s="17"/>
      <c r="W20" s="15" t="s">
        <v>172</v>
      </c>
      <c r="X20" s="51">
        <v>46275.25</v>
      </c>
      <c r="Y20" s="66">
        <v>14</v>
      </c>
      <c r="Z20" s="68">
        <v>11929</v>
      </c>
      <c r="AA20" s="41" t="s">
        <v>20</v>
      </c>
      <c r="AB20" s="16" t="s">
        <v>20</v>
      </c>
      <c r="AC20" s="16" t="s">
        <v>20</v>
      </c>
      <c r="AD20" s="16" t="s">
        <v>20</v>
      </c>
      <c r="AE20" s="16" t="s">
        <v>20</v>
      </c>
      <c r="AF20" s="17"/>
      <c r="AH20" s="15" t="s">
        <v>172</v>
      </c>
      <c r="AI20" s="51">
        <v>46275.90625</v>
      </c>
      <c r="AJ20" s="17">
        <v>14</v>
      </c>
      <c r="AK20" s="68">
        <v>11560</v>
      </c>
      <c r="AL20" s="41">
        <v>6.9999999999999991</v>
      </c>
      <c r="AM20" s="16">
        <v>19.000000000931323</v>
      </c>
      <c r="AN20" s="16" t="s">
        <v>20</v>
      </c>
      <c r="AO20" s="16">
        <v>4.5</v>
      </c>
      <c r="AP20" s="16">
        <v>3.8</v>
      </c>
      <c r="AQ20" s="17"/>
      <c r="AS20" s="15" t="s">
        <v>172</v>
      </c>
      <c r="AT20" s="51">
        <v>46275.25</v>
      </c>
      <c r="AU20" s="17">
        <v>14</v>
      </c>
      <c r="AV20" s="68">
        <v>11223</v>
      </c>
      <c r="AW20" s="41">
        <v>4.0000000000000036</v>
      </c>
      <c r="AX20" s="16">
        <v>15.999999991850927</v>
      </c>
      <c r="AY20" s="16"/>
      <c r="AZ20" s="16">
        <v>4.5</v>
      </c>
      <c r="BA20" s="16">
        <v>4.6</v>
      </c>
      <c r="BB20" s="17"/>
      <c r="BD20" s="15" t="s">
        <v>172</v>
      </c>
      <c r="BE20" s="51">
        <v>46275.25</v>
      </c>
      <c r="BF20" s="17">
        <v>14</v>
      </c>
      <c r="BG20" s="68">
        <v>11919</v>
      </c>
      <c r="BH20" s="40">
        <v>4.9999999999999964</v>
      </c>
      <c r="BI20" s="16">
        <v>15.000000002328306</v>
      </c>
      <c r="BJ20" s="16" t="s">
        <v>20</v>
      </c>
      <c r="BK20" s="16">
        <v>4.5</v>
      </c>
      <c r="BL20" s="16">
        <v>3</v>
      </c>
      <c r="BM20" s="17"/>
      <c r="BO20" s="15" t="s">
        <v>172</v>
      </c>
      <c r="BP20" s="51">
        <v>46275.25</v>
      </c>
      <c r="BQ20" s="17">
        <v>14</v>
      </c>
      <c r="BR20" s="68">
        <v>11699</v>
      </c>
      <c r="BS20" s="41">
        <v>6.0000000000000053</v>
      </c>
      <c r="BT20" s="16">
        <v>-6</v>
      </c>
      <c r="BU20" s="16" t="s">
        <v>20</v>
      </c>
      <c r="BV20" s="16">
        <v>4.5</v>
      </c>
      <c r="BW20" s="16">
        <v>2.8</v>
      </c>
      <c r="BX20" s="17"/>
      <c r="BZ20" s="15" t="s">
        <v>172</v>
      </c>
      <c r="CA20" s="51">
        <v>46275.25</v>
      </c>
      <c r="CB20" s="17">
        <v>14</v>
      </c>
      <c r="CC20" s="68">
        <v>12881</v>
      </c>
      <c r="CD20" s="41">
        <v>11.999999999999995</v>
      </c>
      <c r="CE20" s="16">
        <v>26.000000008614734</v>
      </c>
      <c r="CF20" s="16">
        <v>1200</v>
      </c>
      <c r="CG20" s="16">
        <v>5.1999999999999833</v>
      </c>
      <c r="CH20" s="16">
        <v>5</v>
      </c>
      <c r="CI20" s="17"/>
      <c r="CK20" s="15" t="s">
        <v>172</v>
      </c>
      <c r="CL20" s="51">
        <v>45910.25</v>
      </c>
      <c r="CM20" s="17">
        <v>14</v>
      </c>
      <c r="CN20" s="68">
        <v>13110</v>
      </c>
      <c r="CO20" s="41">
        <v>8.0000000000000071</v>
      </c>
      <c r="CP20" s="16">
        <v>27.999999991618097</v>
      </c>
      <c r="CQ20" s="16">
        <v>1000</v>
      </c>
      <c r="CR20" s="16">
        <v>5</v>
      </c>
      <c r="CS20" s="16">
        <v>4.7</v>
      </c>
      <c r="CT20" s="17"/>
      <c r="CV20" s="15" t="s">
        <v>172</v>
      </c>
      <c r="CW20" s="51">
        <v>46275.25</v>
      </c>
      <c r="CX20" s="17">
        <v>14</v>
      </c>
      <c r="CY20" s="43">
        <v>11452</v>
      </c>
      <c r="CZ20" s="41">
        <v>13.000000000000002</v>
      </c>
      <c r="DA20" s="16">
        <v>2.0000000069849193</v>
      </c>
      <c r="DB20" s="16" t="s">
        <v>20</v>
      </c>
      <c r="DC20" s="16">
        <v>4</v>
      </c>
      <c r="DD20" s="16">
        <v>3.8</v>
      </c>
      <c r="DE20" s="17"/>
      <c r="DG20" s="15" t="s">
        <v>172</v>
      </c>
      <c r="DH20" s="51">
        <v>46275.25</v>
      </c>
      <c r="DI20" s="17">
        <v>14</v>
      </c>
      <c r="DJ20" s="43">
        <v>12283</v>
      </c>
      <c r="DK20" s="41" t="s">
        <v>20</v>
      </c>
      <c r="DL20" s="16" t="s">
        <v>20</v>
      </c>
      <c r="DM20" s="16" t="s">
        <v>20</v>
      </c>
      <c r="DN20" s="16" t="s">
        <v>20</v>
      </c>
      <c r="DO20" s="16" t="s">
        <v>20</v>
      </c>
      <c r="DP20" s="17"/>
      <c r="DR20" s="15" t="s">
        <v>172</v>
      </c>
      <c r="DS20" s="51">
        <v>46274.625</v>
      </c>
      <c r="DT20" s="17">
        <v>14</v>
      </c>
      <c r="DU20" s="43">
        <v>11986</v>
      </c>
      <c r="DV20" s="41">
        <v>13.000000000000002</v>
      </c>
      <c r="DW20" s="16">
        <v>17.00000000349246</v>
      </c>
      <c r="DX20" s="16" t="s">
        <v>20</v>
      </c>
      <c r="DY20" s="16">
        <v>4</v>
      </c>
      <c r="DZ20" s="16">
        <v>3.5</v>
      </c>
      <c r="EA20" s="17"/>
      <c r="EC20" s="15" t="s">
        <v>172</v>
      </c>
      <c r="ED20" s="51">
        <v>46275.25</v>
      </c>
      <c r="EE20" s="17">
        <v>14</v>
      </c>
      <c r="EF20" s="43">
        <v>10827</v>
      </c>
      <c r="EG20" s="41">
        <v>13.999999999999998</v>
      </c>
      <c r="EH20" s="16">
        <v>10.999999997671694</v>
      </c>
      <c r="EI20" s="16" t="s">
        <v>20</v>
      </c>
      <c r="EJ20" s="16">
        <v>5</v>
      </c>
      <c r="EK20" s="16">
        <v>4.8</v>
      </c>
      <c r="EL20" s="17"/>
      <c r="EN20" s="15" t="s">
        <v>172</v>
      </c>
      <c r="EO20" s="51">
        <v>46275.25</v>
      </c>
      <c r="EP20" s="17">
        <v>14</v>
      </c>
      <c r="EQ20" s="43">
        <v>11691</v>
      </c>
      <c r="ER20" s="41">
        <v>0.99999999999999933</v>
      </c>
      <c r="ES20" s="16">
        <v>34.999999996041879</v>
      </c>
      <c r="ET20" s="16" t="s">
        <v>20</v>
      </c>
      <c r="EU20" s="16">
        <v>4.1</v>
      </c>
      <c r="EV20" s="16">
        <v>3.5</v>
      </c>
      <c r="EW20" s="17"/>
      <c r="EY20" s="15" t="s">
        <v>172</v>
      </c>
      <c r="EZ20" s="51">
        <v>46274.25</v>
      </c>
      <c r="FA20" s="17">
        <v>14</v>
      </c>
      <c r="FB20" s="43">
        <v>13656</v>
      </c>
      <c r="FC20" s="41">
        <v>6.9999999999999991</v>
      </c>
      <c r="FD20" s="16">
        <v>20.000000004190952</v>
      </c>
      <c r="FE20" s="16" t="s">
        <v>20</v>
      </c>
      <c r="FF20" s="16">
        <v>5.5</v>
      </c>
      <c r="FG20" s="16">
        <v>5.5</v>
      </c>
      <c r="FH20" s="17"/>
      <c r="FJ20" s="15" t="s">
        <v>172</v>
      </c>
      <c r="FK20" s="51">
        <v>46275.25</v>
      </c>
      <c r="FL20" s="17">
        <v>14</v>
      </c>
      <c r="FM20" s="43">
        <v>13514</v>
      </c>
      <c r="FN20" s="41">
        <v>6.9999999999999991</v>
      </c>
      <c r="FO20" s="16">
        <v>32.000000001396984</v>
      </c>
      <c r="FP20" s="16" t="s">
        <v>20</v>
      </c>
      <c r="FQ20" s="16">
        <v>5.1999999999999833</v>
      </c>
      <c r="FR20" s="16">
        <v>5.2</v>
      </c>
      <c r="FS20" s="17"/>
      <c r="FU20" s="15" t="s">
        <v>172</v>
      </c>
      <c r="FV20" s="51">
        <v>46275.25</v>
      </c>
      <c r="FW20" s="17">
        <v>14</v>
      </c>
      <c r="FX20" s="43">
        <v>11689</v>
      </c>
      <c r="FY20" s="41">
        <v>4.9999999999999964</v>
      </c>
      <c r="FZ20" s="16" t="s">
        <v>20</v>
      </c>
      <c r="GA20" s="16" t="s">
        <v>20</v>
      </c>
      <c r="GB20" s="16">
        <v>4</v>
      </c>
      <c r="GC20" s="16">
        <v>4</v>
      </c>
      <c r="GD20" s="17"/>
      <c r="GF20" s="15" t="s">
        <v>172</v>
      </c>
      <c r="GG20" s="51">
        <v>46275.25</v>
      </c>
      <c r="GH20" s="17">
        <v>14</v>
      </c>
      <c r="GI20" s="43">
        <v>11866</v>
      </c>
      <c r="GJ20" s="41">
        <v>4.9999999999999964</v>
      </c>
      <c r="GK20" s="16">
        <v>22.9999999969732</v>
      </c>
      <c r="GL20" s="16">
        <v>1000</v>
      </c>
      <c r="GM20" s="16">
        <v>4.5999999999999908</v>
      </c>
      <c r="GN20" s="16">
        <v>4.4</v>
      </c>
      <c r="GO20" s="17"/>
      <c r="GQ20" s="15" t="s">
        <v>172</v>
      </c>
      <c r="GR20" s="51"/>
      <c r="GS20" s="17"/>
      <c r="GT20" s="43"/>
      <c r="GU20" s="41"/>
      <c r="GV20" s="16"/>
      <c r="GW20" s="16"/>
      <c r="GX20" s="16"/>
      <c r="GY20" s="16"/>
      <c r="GZ20" s="17"/>
      <c r="HB20" s="15" t="s">
        <v>172</v>
      </c>
      <c r="HC20" s="51"/>
      <c r="HD20" s="17"/>
      <c r="HE20" s="43"/>
      <c r="HF20" s="41"/>
      <c r="HG20" s="16"/>
      <c r="HH20" s="16"/>
      <c r="HI20" s="16"/>
      <c r="HJ20" s="16"/>
      <c r="HK20" s="17"/>
      <c r="HM20" s="15" t="s">
        <v>172</v>
      </c>
      <c r="HN20" s="51"/>
      <c r="HO20" s="17"/>
      <c r="HP20" s="43"/>
      <c r="HQ20" s="41"/>
      <c r="HR20" s="16"/>
      <c r="HS20" s="16"/>
      <c r="HT20" s="16"/>
      <c r="HU20" s="16"/>
      <c r="HV20" s="17"/>
      <c r="HX20" s="15" t="s">
        <v>172</v>
      </c>
      <c r="HY20" s="51"/>
      <c r="HZ20" s="17"/>
      <c r="IA20" s="43"/>
      <c r="IB20" s="41"/>
      <c r="IC20" s="16"/>
      <c r="ID20" s="16"/>
      <c r="IE20" s="16"/>
      <c r="IF20" s="16"/>
      <c r="IG20" s="17"/>
      <c r="II20" s="15" t="s">
        <v>172</v>
      </c>
      <c r="IJ20" s="51"/>
      <c r="IK20" s="17"/>
      <c r="IL20" s="43"/>
      <c r="IM20" s="41"/>
      <c r="IN20" s="16"/>
      <c r="IO20" s="16"/>
      <c r="IP20" s="16"/>
      <c r="IQ20" s="16"/>
      <c r="IR20" s="17"/>
      <c r="IT20" s="15" t="s">
        <v>172</v>
      </c>
      <c r="IU20" s="51"/>
      <c r="IV20" s="17"/>
      <c r="IW20" s="43"/>
      <c r="IX20" s="41"/>
      <c r="IY20" s="16"/>
      <c r="IZ20" s="16"/>
      <c r="JA20" s="16"/>
      <c r="JB20" s="16"/>
      <c r="JC20" s="17"/>
      <c r="JE20" s="15" t="s">
        <v>172</v>
      </c>
      <c r="JF20" s="51"/>
      <c r="JG20" s="17"/>
      <c r="JH20" s="43"/>
      <c r="JI20" s="41"/>
      <c r="JJ20" s="16"/>
      <c r="JK20" s="16"/>
      <c r="JL20" s="16"/>
      <c r="JM20" s="16"/>
      <c r="JN20" s="17"/>
      <c r="JP20" s="15" t="s">
        <v>172</v>
      </c>
      <c r="JQ20" s="51"/>
      <c r="JR20" s="17"/>
      <c r="JS20" s="43"/>
      <c r="JT20" s="41"/>
      <c r="JU20" s="16"/>
      <c r="JV20" s="16"/>
      <c r="JW20" s="16"/>
      <c r="JX20" s="16"/>
      <c r="JY20" s="17"/>
      <c r="KA20" s="15" t="s">
        <v>172</v>
      </c>
      <c r="KB20" s="51"/>
      <c r="KC20" s="17"/>
      <c r="KD20" s="43"/>
      <c r="KE20" s="41"/>
      <c r="KF20" s="16"/>
      <c r="KG20" s="16"/>
      <c r="KH20" s="16"/>
      <c r="KI20" s="16"/>
      <c r="KJ20" s="17"/>
      <c r="KL20" s="15" t="s">
        <v>172</v>
      </c>
      <c r="KM20" s="51"/>
      <c r="KN20" s="17"/>
      <c r="KO20" s="43"/>
      <c r="KP20" s="41"/>
      <c r="KQ20" s="16"/>
      <c r="KR20" s="16"/>
      <c r="KS20" s="16"/>
      <c r="KT20" s="16"/>
      <c r="KU20" s="17"/>
      <c r="KW20" s="15" t="s">
        <v>172</v>
      </c>
      <c r="KX20" s="51"/>
      <c r="KY20" s="17"/>
      <c r="KZ20" s="43"/>
      <c r="LA20" s="41"/>
      <c r="LB20" s="16"/>
      <c r="LC20" s="16"/>
      <c r="LD20" s="16"/>
      <c r="LE20" s="16"/>
      <c r="LF20" s="17"/>
      <c r="LH20" s="15" t="s">
        <v>172</v>
      </c>
      <c r="LI20" s="51"/>
      <c r="LJ20" s="17"/>
      <c r="LK20" s="43"/>
      <c r="LL20" s="41"/>
      <c r="LM20" s="16"/>
      <c r="LN20" s="16"/>
      <c r="LO20" s="16"/>
      <c r="LP20" s="16"/>
      <c r="LQ20" s="17"/>
    </row>
    <row r="21">
      <c r="A21" s="15" t="s">
        <v>173</v>
      </c>
      <c r="B21" s="53">
        <v>46275.25</v>
      </c>
      <c r="C21" s="63">
        <v>15</v>
      </c>
      <c r="D21" s="65">
        <v>12771</v>
      </c>
      <c r="E21" s="30" t="s">
        <v>20</v>
      </c>
      <c r="F21" s="16" t="s">
        <v>20</v>
      </c>
      <c r="G21" s="21" t="s">
        <v>20</v>
      </c>
      <c r="H21" s="32" t="s">
        <v>20</v>
      </c>
      <c r="I21" s="33" t="s">
        <v>20</v>
      </c>
      <c r="J21" s="17"/>
      <c r="L21" s="15" t="s">
        <v>173</v>
      </c>
      <c r="M21" s="53">
        <v>46275.25</v>
      </c>
      <c r="N21" s="66">
        <v>15</v>
      </c>
      <c r="O21" s="64">
        <v>12051</v>
      </c>
      <c r="P21" s="16" t="s">
        <v>20</v>
      </c>
      <c r="Q21" s="16" t="s">
        <v>20</v>
      </c>
      <c r="R21" s="16" t="s">
        <v>20</v>
      </c>
      <c r="S21" s="16" t="s">
        <v>20</v>
      </c>
      <c r="T21" s="16" t="s">
        <v>20</v>
      </c>
      <c r="U21" s="17"/>
      <c r="W21" s="15" t="s">
        <v>173</v>
      </c>
      <c r="X21" s="53">
        <v>46275.25</v>
      </c>
      <c r="Y21" s="66">
        <v>15</v>
      </c>
      <c r="Z21" s="68">
        <v>12130</v>
      </c>
      <c r="AA21" s="41" t="s">
        <v>20</v>
      </c>
      <c r="AB21" s="16" t="s">
        <v>20</v>
      </c>
      <c r="AC21" s="16" t="s">
        <v>20</v>
      </c>
      <c r="AD21" s="16" t="s">
        <v>20</v>
      </c>
      <c r="AE21" s="16" t="s">
        <v>20</v>
      </c>
      <c r="AF21" s="17"/>
      <c r="AH21" s="15" t="s">
        <v>173</v>
      </c>
      <c r="AI21" s="53">
        <v>46275.90625</v>
      </c>
      <c r="AJ21" s="17">
        <v>15</v>
      </c>
      <c r="AK21" s="68">
        <v>11761</v>
      </c>
      <c r="AL21" s="41">
        <v>4.9999999999999964</v>
      </c>
      <c r="AM21" s="16">
        <v>16.999999998370185</v>
      </c>
      <c r="AN21" s="16" t="s">
        <v>20</v>
      </c>
      <c r="AO21" s="16">
        <v>4.5</v>
      </c>
      <c r="AP21" s="16">
        <v>3.8</v>
      </c>
      <c r="AQ21" s="17"/>
      <c r="AS21" s="15" t="s">
        <v>173</v>
      </c>
      <c r="AT21" s="53">
        <v>46275.25</v>
      </c>
      <c r="AU21" s="17">
        <v>15</v>
      </c>
      <c r="AV21" s="68">
        <v>11424</v>
      </c>
      <c r="AW21" s="41">
        <v>2.9999999999999947</v>
      </c>
      <c r="AX21" s="16">
        <v>30.000000002793968</v>
      </c>
      <c r="AY21" s="16"/>
      <c r="AZ21" s="16">
        <v>4.5</v>
      </c>
      <c r="BA21" s="16">
        <v>5</v>
      </c>
      <c r="BB21" s="17"/>
      <c r="BD21" s="15" t="s">
        <v>173</v>
      </c>
      <c r="BE21" s="53">
        <v>46275.25</v>
      </c>
      <c r="BF21" s="17">
        <v>15</v>
      </c>
      <c r="BG21" s="68">
        <v>11717</v>
      </c>
      <c r="BH21" s="40">
        <v>6.0000000000000053</v>
      </c>
      <c r="BI21" s="16">
        <v>15.999999998370185</v>
      </c>
      <c r="BJ21" s="16" t="s">
        <v>20</v>
      </c>
      <c r="BK21" s="16">
        <v>4.5</v>
      </c>
      <c r="BL21" s="16">
        <v>3.5</v>
      </c>
      <c r="BM21" s="17"/>
      <c r="BO21" s="15" t="s">
        <v>173</v>
      </c>
      <c r="BP21" s="53">
        <v>46275.25</v>
      </c>
      <c r="BQ21" s="17">
        <v>15</v>
      </c>
      <c r="BR21" s="68">
        <v>11899</v>
      </c>
      <c r="BS21" s="41">
        <v>4.0000000000000036</v>
      </c>
      <c r="BT21" s="16">
        <v>21.999999997438863</v>
      </c>
      <c r="BU21" s="16" t="s">
        <v>20</v>
      </c>
      <c r="BV21" s="16">
        <v>4.5</v>
      </c>
      <c r="BW21" s="16">
        <v>3.2</v>
      </c>
      <c r="BX21" s="17"/>
      <c r="BZ21" s="15" t="s">
        <v>173</v>
      </c>
      <c r="CA21" s="53">
        <v>46275.25</v>
      </c>
      <c r="CB21" s="17">
        <v>15</v>
      </c>
      <c r="CC21" s="68">
        <v>13084</v>
      </c>
      <c r="CD21" s="41">
        <v>6.9999999999999991</v>
      </c>
      <c r="CE21" s="16">
        <v>28.999999991618097</v>
      </c>
      <c r="CF21" s="16">
        <v>1250</v>
      </c>
      <c r="CG21" s="16">
        <v>5.1999999999999833</v>
      </c>
      <c r="CH21" s="16">
        <v>5</v>
      </c>
      <c r="CI21" s="17"/>
      <c r="CK21" s="15" t="s">
        <v>173</v>
      </c>
      <c r="CL21" s="53">
        <v>45910.25</v>
      </c>
      <c r="CM21" s="17">
        <v>15</v>
      </c>
      <c r="CN21" s="68">
        <v>13312</v>
      </c>
      <c r="CO21" s="41">
        <v>4.9999999999999964</v>
      </c>
      <c r="CP21" s="16">
        <v>24.000000000232831</v>
      </c>
      <c r="CQ21" s="16">
        <v>1000</v>
      </c>
      <c r="CR21" s="16">
        <v>5</v>
      </c>
      <c r="CS21" s="16">
        <v>4.8</v>
      </c>
      <c r="CT21" s="17"/>
      <c r="CV21" s="15" t="s">
        <v>173</v>
      </c>
      <c r="CW21" s="53">
        <v>46275.25</v>
      </c>
      <c r="CX21" s="17">
        <v>15</v>
      </c>
      <c r="CY21" s="43">
        <v>11652</v>
      </c>
      <c r="CZ21" s="41">
        <v>9.9999999999999929</v>
      </c>
      <c r="DA21" s="16">
        <v>19.999999993015081</v>
      </c>
      <c r="DB21" s="16" t="s">
        <v>20</v>
      </c>
      <c r="DC21" s="16">
        <v>4</v>
      </c>
      <c r="DD21" s="16">
        <v>3.8</v>
      </c>
      <c r="DE21" s="17"/>
      <c r="DG21" s="15" t="s">
        <v>173</v>
      </c>
      <c r="DH21" s="53">
        <v>46275.25</v>
      </c>
      <c r="DI21" s="17">
        <v>15</v>
      </c>
      <c r="DJ21" s="43">
        <v>12484</v>
      </c>
      <c r="DK21" s="41" t="s">
        <v>20</v>
      </c>
      <c r="DL21" s="16" t="s">
        <v>20</v>
      </c>
      <c r="DM21" s="16" t="s">
        <v>20</v>
      </c>
      <c r="DN21" s="16" t="s">
        <v>20</v>
      </c>
      <c r="DO21" s="16" t="s">
        <v>20</v>
      </c>
      <c r="DP21" s="17"/>
      <c r="DR21" s="15" t="s">
        <v>173</v>
      </c>
      <c r="DS21" s="53">
        <v>46274.625</v>
      </c>
      <c r="DT21" s="17">
        <v>15</v>
      </c>
      <c r="DU21" s="43">
        <v>12189</v>
      </c>
      <c r="DV21" s="41">
        <v>4.9999999999999964</v>
      </c>
      <c r="DW21" s="16">
        <v>16.999999998370185</v>
      </c>
      <c r="DX21" s="16" t="s">
        <v>20</v>
      </c>
      <c r="DY21" s="16">
        <v>4</v>
      </c>
      <c r="DZ21" s="16">
        <v>3.5</v>
      </c>
      <c r="EA21" s="17"/>
      <c r="EC21" s="15" t="s">
        <v>173</v>
      </c>
      <c r="ED21" s="53">
        <v>46275.25</v>
      </c>
      <c r="EE21" s="17">
        <v>15</v>
      </c>
      <c r="EF21" s="43">
        <v>11029</v>
      </c>
      <c r="EG21" s="41">
        <v>13.000000000000002</v>
      </c>
      <c r="EH21" s="16">
        <v>10.999999994412065</v>
      </c>
      <c r="EI21" s="16" t="s">
        <v>20</v>
      </c>
      <c r="EJ21" s="16">
        <v>5</v>
      </c>
      <c r="EK21" s="16">
        <v>4.7</v>
      </c>
      <c r="EL21" s="17"/>
      <c r="EN21" s="15" t="s">
        <v>173</v>
      </c>
      <c r="EO21" s="53">
        <v>46275.25</v>
      </c>
      <c r="EP21" s="17">
        <v>15</v>
      </c>
      <c r="EQ21" s="43">
        <v>11893</v>
      </c>
      <c r="ER21" s="41">
        <v>0</v>
      </c>
      <c r="ES21" s="16">
        <v>26.000000000931323</v>
      </c>
      <c r="ET21" s="16" t="s">
        <v>20</v>
      </c>
      <c r="EU21" s="16">
        <v>4.1</v>
      </c>
      <c r="EV21" s="16">
        <v>3.5</v>
      </c>
      <c r="EW21" s="17"/>
      <c r="EY21" s="15" t="s">
        <v>173</v>
      </c>
      <c r="EZ21" s="53">
        <v>46274.25</v>
      </c>
      <c r="FA21" s="17">
        <v>15</v>
      </c>
      <c r="FB21" s="43">
        <v>13856</v>
      </c>
      <c r="FC21" s="41">
        <v>4.9999999999999964</v>
      </c>
      <c r="FD21" s="16">
        <v>18.999999994412065</v>
      </c>
      <c r="FE21" s="16" t="s">
        <v>20</v>
      </c>
      <c r="FF21" s="16">
        <v>5.5</v>
      </c>
      <c r="FG21" s="16">
        <v>5.5</v>
      </c>
      <c r="FH21" s="17"/>
      <c r="FJ21" s="15" t="s">
        <v>173</v>
      </c>
      <c r="FK21" s="53">
        <v>46275.25</v>
      </c>
      <c r="FL21" s="17">
        <v>15</v>
      </c>
      <c r="FM21" s="43">
        <v>13713</v>
      </c>
      <c r="FN21" s="41">
        <v>11.000000000000002</v>
      </c>
      <c r="FO21" s="16">
        <v>13.000000004889444</v>
      </c>
      <c r="FP21" s="16" t="s">
        <v>20</v>
      </c>
      <c r="FQ21" s="16">
        <v>5.1999999999999833</v>
      </c>
      <c r="FR21" s="16">
        <v>5.2</v>
      </c>
      <c r="FS21" s="17"/>
      <c r="FU21" s="15" t="s">
        <v>173</v>
      </c>
      <c r="FV21" s="53">
        <v>46275.25</v>
      </c>
      <c r="FW21" s="17">
        <v>15</v>
      </c>
      <c r="FX21" s="43">
        <v>11930</v>
      </c>
      <c r="FY21" s="41" t="s">
        <v>20</v>
      </c>
      <c r="FZ21" s="16" t="s">
        <v>20</v>
      </c>
      <c r="GA21" s="16" t="s">
        <v>20</v>
      </c>
      <c r="GB21" s="16">
        <v>4</v>
      </c>
      <c r="GC21" s="16">
        <v>4</v>
      </c>
      <c r="GD21" s="17"/>
      <c r="GF21" s="15" t="s">
        <v>173</v>
      </c>
      <c r="GG21" s="53">
        <v>46275.25</v>
      </c>
      <c r="GH21" s="17">
        <v>15</v>
      </c>
      <c r="GI21" s="43">
        <v>12067</v>
      </c>
      <c r="GJ21" s="41">
        <v>4.9999999999999964</v>
      </c>
      <c r="GK21" s="16">
        <v>18.000000001629815</v>
      </c>
      <c r="GL21" s="16">
        <v>1000</v>
      </c>
      <c r="GM21" s="16">
        <v>4.5999999999999908</v>
      </c>
      <c r="GN21" s="16">
        <v>4.4</v>
      </c>
      <c r="GO21" s="17"/>
      <c r="GQ21" s="15" t="s">
        <v>173</v>
      </c>
      <c r="GR21" s="53"/>
      <c r="GS21" s="17"/>
      <c r="GT21" s="43"/>
      <c r="GU21" s="41"/>
      <c r="GV21" s="16"/>
      <c r="GW21" s="16"/>
      <c r="GX21" s="16"/>
      <c r="GY21" s="16"/>
      <c r="GZ21" s="17"/>
      <c r="HB21" s="15" t="s">
        <v>173</v>
      </c>
      <c r="HC21" s="53"/>
      <c r="HD21" s="17"/>
      <c r="HE21" s="43"/>
      <c r="HF21" s="41"/>
      <c r="HG21" s="16"/>
      <c r="HH21" s="16"/>
      <c r="HI21" s="16"/>
      <c r="HJ21" s="16"/>
      <c r="HK21" s="17"/>
      <c r="HM21" s="15" t="s">
        <v>173</v>
      </c>
      <c r="HN21" s="53"/>
      <c r="HO21" s="17"/>
      <c r="HP21" s="43"/>
      <c r="HQ21" s="41"/>
      <c r="HR21" s="16"/>
      <c r="HS21" s="16"/>
      <c r="HT21" s="16"/>
      <c r="HU21" s="16"/>
      <c r="HV21" s="17"/>
      <c r="HX21" s="15" t="s">
        <v>173</v>
      </c>
      <c r="HY21" s="53"/>
      <c r="HZ21" s="17"/>
      <c r="IA21" s="43"/>
      <c r="IB21" s="41"/>
      <c r="IC21" s="16"/>
      <c r="ID21" s="16"/>
      <c r="IE21" s="16"/>
      <c r="IF21" s="16"/>
      <c r="IG21" s="17"/>
      <c r="II21" s="15" t="s">
        <v>173</v>
      </c>
      <c r="IJ21" s="53"/>
      <c r="IK21" s="17"/>
      <c r="IL21" s="43"/>
      <c r="IM21" s="41"/>
      <c r="IN21" s="16"/>
      <c r="IO21" s="16"/>
      <c r="IP21" s="16"/>
      <c r="IQ21" s="16"/>
      <c r="IR21" s="17"/>
      <c r="IT21" s="15" t="s">
        <v>173</v>
      </c>
      <c r="IU21" s="53"/>
      <c r="IV21" s="17"/>
      <c r="IW21" s="43"/>
      <c r="IX21" s="41"/>
      <c r="IY21" s="16"/>
      <c r="IZ21" s="16"/>
      <c r="JA21" s="16"/>
      <c r="JB21" s="16"/>
      <c r="JC21" s="17"/>
      <c r="JE21" s="15" t="s">
        <v>173</v>
      </c>
      <c r="JF21" s="53"/>
      <c r="JG21" s="17"/>
      <c r="JH21" s="43"/>
      <c r="JI21" s="41"/>
      <c r="JJ21" s="16"/>
      <c r="JK21" s="16"/>
      <c r="JL21" s="16"/>
      <c r="JM21" s="16"/>
      <c r="JN21" s="17"/>
      <c r="JP21" s="15" t="s">
        <v>173</v>
      </c>
      <c r="JQ21" s="53"/>
      <c r="JR21" s="17"/>
      <c r="JS21" s="43"/>
      <c r="JT21" s="41"/>
      <c r="JU21" s="16"/>
      <c r="JV21" s="16"/>
      <c r="JW21" s="16"/>
      <c r="JX21" s="16"/>
      <c r="JY21" s="17"/>
      <c r="KA21" s="15" t="s">
        <v>173</v>
      </c>
      <c r="KB21" s="53"/>
      <c r="KC21" s="17"/>
      <c r="KD21" s="43"/>
      <c r="KE21" s="41"/>
      <c r="KF21" s="16"/>
      <c r="KG21" s="16"/>
      <c r="KH21" s="16"/>
      <c r="KI21" s="16"/>
      <c r="KJ21" s="17"/>
      <c r="KL21" s="15" t="s">
        <v>173</v>
      </c>
      <c r="KM21" s="53"/>
      <c r="KN21" s="17"/>
      <c r="KO21" s="43"/>
      <c r="KP21" s="41"/>
      <c r="KQ21" s="16"/>
      <c r="KR21" s="16"/>
      <c r="KS21" s="16"/>
      <c r="KT21" s="16"/>
      <c r="KU21" s="17"/>
      <c r="KW21" s="15" t="s">
        <v>173</v>
      </c>
      <c r="KX21" s="53"/>
      <c r="KY21" s="17"/>
      <c r="KZ21" s="43"/>
      <c r="LA21" s="41"/>
      <c r="LB21" s="16"/>
      <c r="LC21" s="16"/>
      <c r="LD21" s="16"/>
      <c r="LE21" s="16"/>
      <c r="LF21" s="17"/>
      <c r="LH21" s="15" t="s">
        <v>173</v>
      </c>
      <c r="LI21" s="53"/>
      <c r="LJ21" s="17"/>
      <c r="LK21" s="43"/>
      <c r="LL21" s="41"/>
      <c r="LM21" s="16"/>
      <c r="LN21" s="16"/>
      <c r="LO21" s="16"/>
      <c r="LP21" s="16"/>
      <c r="LQ21" s="17"/>
    </row>
    <row r="22">
      <c r="A22" s="15" t="s">
        <v>174</v>
      </c>
      <c r="B22" s="54">
        <v>9899</v>
      </c>
      <c r="C22" s="63">
        <v>16</v>
      </c>
      <c r="D22" s="65">
        <v>12971</v>
      </c>
      <c r="E22" s="30" t="s">
        <v>20</v>
      </c>
      <c r="F22" s="16" t="s">
        <v>20</v>
      </c>
      <c r="G22" s="21" t="s">
        <v>20</v>
      </c>
      <c r="H22" s="33" t="s">
        <v>20</v>
      </c>
      <c r="I22" s="33" t="s">
        <v>20</v>
      </c>
      <c r="J22" s="17"/>
      <c r="L22" s="15" t="s">
        <v>174</v>
      </c>
      <c r="M22" s="54">
        <v>8610</v>
      </c>
      <c r="N22" s="66">
        <v>16</v>
      </c>
      <c r="O22" s="64">
        <v>12294</v>
      </c>
      <c r="P22" s="16" t="s">
        <v>20</v>
      </c>
      <c r="Q22" s="16" t="s">
        <v>20</v>
      </c>
      <c r="R22" s="16" t="s">
        <v>20</v>
      </c>
      <c r="S22" s="16" t="s">
        <v>20</v>
      </c>
      <c r="T22" s="16" t="s">
        <v>20</v>
      </c>
      <c r="U22" s="17"/>
      <c r="W22" s="15" t="s">
        <v>174</v>
      </c>
      <c r="X22" s="54">
        <v>9208</v>
      </c>
      <c r="Y22" s="66">
        <v>16</v>
      </c>
      <c r="Z22" s="68">
        <v>12330</v>
      </c>
      <c r="AA22" s="41" t="s">
        <v>20</v>
      </c>
      <c r="AB22" s="16" t="s">
        <v>20</v>
      </c>
      <c r="AC22" s="16" t="s">
        <v>20</v>
      </c>
      <c r="AD22" s="16" t="s">
        <v>20</v>
      </c>
      <c r="AE22" s="16" t="s">
        <v>20</v>
      </c>
      <c r="AF22" s="17"/>
      <c r="AH22" s="15" t="s">
        <v>174</v>
      </c>
      <c r="AI22" s="54">
        <v>29715</v>
      </c>
      <c r="AJ22" s="17">
        <v>16</v>
      </c>
      <c r="AK22" s="68">
        <v>11963</v>
      </c>
      <c r="AL22" s="41">
        <v>6.9999999999999991</v>
      </c>
      <c r="AM22" s="16">
        <v>13.000000002328306</v>
      </c>
      <c r="AN22" s="16" t="s">
        <v>20</v>
      </c>
      <c r="AO22" s="16">
        <v>4.5</v>
      </c>
      <c r="AP22" s="16">
        <v>3.7</v>
      </c>
      <c r="AQ22" s="17"/>
      <c r="AS22" s="15" t="s">
        <v>174</v>
      </c>
      <c r="AT22" s="54">
        <v>8580</v>
      </c>
      <c r="AU22" s="17">
        <v>16</v>
      </c>
      <c r="AV22" s="68">
        <v>11625</v>
      </c>
      <c r="AW22" s="41">
        <v>4.9999999999999964</v>
      </c>
      <c r="AX22" s="16">
        <v>19.999999997671694</v>
      </c>
      <c r="AY22" s="16"/>
      <c r="AZ22" s="16">
        <v>4.5</v>
      </c>
      <c r="BA22" s="16">
        <v>4.6</v>
      </c>
      <c r="BB22" s="17"/>
      <c r="BD22" s="15" t="s">
        <v>174</v>
      </c>
      <c r="BE22" s="54">
        <v>11516</v>
      </c>
      <c r="BF22" s="17">
        <v>16</v>
      </c>
      <c r="BG22" s="68">
        <v>12120</v>
      </c>
      <c r="BH22" s="41">
        <v>6.0000000000000053</v>
      </c>
      <c r="BI22" s="16">
        <v>12.999999999068677</v>
      </c>
      <c r="BJ22" s="16" t="s">
        <v>20</v>
      </c>
      <c r="BK22" s="16">
        <v>4.5</v>
      </c>
      <c r="BL22" s="16">
        <v>3.1</v>
      </c>
      <c r="BM22" s="17"/>
      <c r="BO22" s="15" t="s">
        <v>174</v>
      </c>
      <c r="BP22" s="54">
        <v>29937</v>
      </c>
      <c r="BQ22" s="17">
        <v>16</v>
      </c>
      <c r="BR22" s="68">
        <v>12100</v>
      </c>
      <c r="BS22" s="41">
        <v>4.0000000000000036</v>
      </c>
      <c r="BT22" s="16">
        <v>19.000000001629815</v>
      </c>
      <c r="BU22" s="16" t="s">
        <v>20</v>
      </c>
      <c r="BV22" s="16">
        <v>4.5</v>
      </c>
      <c r="BW22" s="16">
        <v>3.5</v>
      </c>
      <c r="BX22" s="17"/>
      <c r="BZ22" s="15" t="s">
        <v>174</v>
      </c>
      <c r="CA22" s="54">
        <v>16329</v>
      </c>
      <c r="CB22" s="17">
        <v>16</v>
      </c>
      <c r="CC22" s="68">
        <v>13287</v>
      </c>
      <c r="CD22" s="41">
        <v>6.9999999999999991</v>
      </c>
      <c r="CE22" s="16">
        <v>27.000000006053597</v>
      </c>
      <c r="CF22" s="16">
        <v>1250</v>
      </c>
      <c r="CG22" s="16">
        <v>5.1999999999999833</v>
      </c>
      <c r="CH22" s="16">
        <v>5</v>
      </c>
      <c r="CI22" s="17"/>
      <c r="CK22" s="15" t="s">
        <v>174</v>
      </c>
      <c r="CL22" s="54">
        <v>10449</v>
      </c>
      <c r="CM22" s="17">
        <v>16</v>
      </c>
      <c r="CN22" s="68">
        <v>13514</v>
      </c>
      <c r="CO22" s="41">
        <v>9.9999999999999929</v>
      </c>
      <c r="CP22" s="16">
        <v>26.000000002095476</v>
      </c>
      <c r="CQ22" s="16">
        <v>1000</v>
      </c>
      <c r="CR22" s="16">
        <v>5</v>
      </c>
      <c r="CS22" s="16">
        <v>4.8</v>
      </c>
      <c r="CT22" s="17"/>
      <c r="CV22" s="15" t="s">
        <v>174</v>
      </c>
      <c r="CW22" s="54">
        <v>8810</v>
      </c>
      <c r="CX22" s="17">
        <v>16</v>
      </c>
      <c r="CY22" s="43">
        <v>11852</v>
      </c>
      <c r="CZ22" s="41">
        <v>11.999999999999995</v>
      </c>
      <c r="DA22" s="16">
        <v>9.9999999983701855</v>
      </c>
      <c r="DB22" s="16" t="s">
        <v>20</v>
      </c>
      <c r="DC22" s="16">
        <v>4</v>
      </c>
      <c r="DD22" s="16">
        <v>3.8</v>
      </c>
      <c r="DE22" s="17"/>
      <c r="DG22" s="15" t="s">
        <v>174</v>
      </c>
      <c r="DH22" s="54">
        <v>9628</v>
      </c>
      <c r="DI22" s="17">
        <v>16</v>
      </c>
      <c r="DJ22" s="43">
        <v>12685</v>
      </c>
      <c r="DK22" s="41" t="s">
        <v>20</v>
      </c>
      <c r="DL22" s="16" t="s">
        <v>20</v>
      </c>
      <c r="DM22" s="16" t="s">
        <v>20</v>
      </c>
      <c r="DN22" s="16" t="s">
        <v>20</v>
      </c>
      <c r="DO22" s="16" t="s">
        <v>20</v>
      </c>
      <c r="DP22" s="17"/>
      <c r="DR22" s="15" t="s">
        <v>174</v>
      </c>
      <c r="DS22" s="54">
        <v>19307</v>
      </c>
      <c r="DT22" s="17">
        <v>16</v>
      </c>
      <c r="DU22" s="43">
        <v>12393</v>
      </c>
      <c r="DV22" s="41">
        <v>6.9999999999999991</v>
      </c>
      <c r="DW22" s="16">
        <v>16.999999994412065</v>
      </c>
      <c r="DX22" s="16" t="s">
        <v>20</v>
      </c>
      <c r="DY22" s="16">
        <v>4</v>
      </c>
      <c r="DZ22" s="16">
        <v>3.7</v>
      </c>
      <c r="EA22" s="17"/>
      <c r="EC22" s="15" t="s">
        <v>174</v>
      </c>
      <c r="ED22" s="54">
        <v>12040</v>
      </c>
      <c r="EE22" s="17">
        <v>16</v>
      </c>
      <c r="EF22" s="43">
        <v>11231</v>
      </c>
      <c r="EG22" s="41">
        <v>13.000000000000002</v>
      </c>
      <c r="EH22" s="16">
        <v>21.000000006053597</v>
      </c>
      <c r="EI22" s="16" t="s">
        <v>20</v>
      </c>
      <c r="EJ22" s="16">
        <v>5</v>
      </c>
      <c r="EK22" s="16">
        <v>4.8</v>
      </c>
      <c r="EL22" s="17"/>
      <c r="EN22" s="15" t="s">
        <v>174</v>
      </c>
      <c r="EO22" s="54">
        <v>16534</v>
      </c>
      <c r="EP22" s="17">
        <v>16</v>
      </c>
      <c r="EQ22" s="43">
        <v>12095</v>
      </c>
      <c r="ER22" s="41">
        <v>0.99999999999999933</v>
      </c>
      <c r="ES22" s="16">
        <v>12.000000000465661</v>
      </c>
      <c r="ET22" s="16" t="s">
        <v>20</v>
      </c>
      <c r="EU22" s="16">
        <v>4.1</v>
      </c>
      <c r="EV22" s="16">
        <v>3.7</v>
      </c>
      <c r="EW22" s="17"/>
      <c r="EY22" s="15" t="s">
        <v>174</v>
      </c>
      <c r="EZ22" s="54">
        <v>25488</v>
      </c>
      <c r="FA22" s="17">
        <v>16</v>
      </c>
      <c r="FB22" s="43">
        <v>14057</v>
      </c>
      <c r="FC22" s="41">
        <v>4.9999999999999964</v>
      </c>
      <c r="FD22" s="16">
        <v>16.999999998370185</v>
      </c>
      <c r="FE22" s="16" t="s">
        <v>20</v>
      </c>
      <c r="FF22" s="16">
        <v>5.5</v>
      </c>
      <c r="FG22" s="16">
        <v>5.5</v>
      </c>
      <c r="FH22" s="17"/>
      <c r="FJ22" s="15" t="s">
        <v>174</v>
      </c>
      <c r="FK22" s="54">
        <v>13713</v>
      </c>
      <c r="FL22" s="17">
        <v>16</v>
      </c>
      <c r="FM22" s="43">
        <v>13912</v>
      </c>
      <c r="FN22" s="41">
        <v>4.9999999999999964</v>
      </c>
      <c r="FO22" s="16">
        <v>28.999999995576218</v>
      </c>
      <c r="FP22" s="16" t="s">
        <v>20</v>
      </c>
      <c r="FQ22" s="16">
        <v>5.1999999999999833</v>
      </c>
      <c r="FR22" s="16">
        <v>5.2</v>
      </c>
      <c r="FS22" s="17"/>
      <c r="FU22" s="15" t="s">
        <v>174</v>
      </c>
      <c r="FV22" s="54">
        <v>17959</v>
      </c>
      <c r="FW22" s="17">
        <v>16</v>
      </c>
      <c r="FX22" s="43">
        <v>12171</v>
      </c>
      <c r="FY22" s="41">
        <v>6.0000000000000053</v>
      </c>
      <c r="FZ22" s="16">
        <v>34.000000004656613</v>
      </c>
      <c r="GA22" s="16" t="s">
        <v>20</v>
      </c>
      <c r="GB22" s="16">
        <v>4</v>
      </c>
      <c r="GC22" s="16">
        <v>4</v>
      </c>
      <c r="GD22" s="17"/>
      <c r="GF22" s="15" t="s">
        <v>174</v>
      </c>
      <c r="GG22" s="54">
        <v>18527</v>
      </c>
      <c r="GH22" s="17">
        <v>16</v>
      </c>
      <c r="GI22" s="43">
        <v>12269</v>
      </c>
      <c r="GJ22" s="41">
        <v>4.9999999999999964</v>
      </c>
      <c r="GK22" s="16">
        <v>21.000000000931323</v>
      </c>
      <c r="GL22" s="16">
        <v>1000</v>
      </c>
      <c r="GM22" s="16">
        <v>4.5999999999999908</v>
      </c>
      <c r="GN22" s="16">
        <v>4.4</v>
      </c>
      <c r="GO22" s="17"/>
      <c r="GQ22" s="15" t="s">
        <v>174</v>
      </c>
      <c r="GR22" s="54"/>
      <c r="GS22" s="17"/>
      <c r="GT22" s="43"/>
      <c r="GU22" s="41"/>
      <c r="GV22" s="16"/>
      <c r="GW22" s="16"/>
      <c r="GX22" s="16"/>
      <c r="GY22" s="16"/>
      <c r="GZ22" s="17"/>
      <c r="HB22" s="15" t="s">
        <v>174</v>
      </c>
      <c r="HC22" s="54"/>
      <c r="HD22" s="17"/>
      <c r="HE22" s="43"/>
      <c r="HF22" s="41"/>
      <c r="HG22" s="16"/>
      <c r="HH22" s="16"/>
      <c r="HI22" s="16"/>
      <c r="HJ22" s="16"/>
      <c r="HK22" s="17"/>
      <c r="HM22" s="15" t="s">
        <v>174</v>
      </c>
      <c r="HN22" s="54"/>
      <c r="HO22" s="17"/>
      <c r="HP22" s="43"/>
      <c r="HQ22" s="41"/>
      <c r="HR22" s="16"/>
      <c r="HS22" s="16"/>
      <c r="HT22" s="16"/>
      <c r="HU22" s="16"/>
      <c r="HV22" s="17"/>
      <c r="HX22" s="15" t="s">
        <v>174</v>
      </c>
      <c r="HY22" s="54"/>
      <c r="HZ22" s="17"/>
      <c r="IA22" s="43"/>
      <c r="IB22" s="41"/>
      <c r="IC22" s="16"/>
      <c r="ID22" s="16"/>
      <c r="IE22" s="16"/>
      <c r="IF22" s="16"/>
      <c r="IG22" s="17"/>
      <c r="II22" s="15" t="s">
        <v>174</v>
      </c>
      <c r="IJ22" s="54"/>
      <c r="IK22" s="17"/>
      <c r="IL22" s="43"/>
      <c r="IM22" s="41"/>
      <c r="IN22" s="16"/>
      <c r="IO22" s="16"/>
      <c r="IP22" s="16"/>
      <c r="IQ22" s="16"/>
      <c r="IR22" s="17"/>
      <c r="IT22" s="15" t="s">
        <v>174</v>
      </c>
      <c r="IU22" s="54"/>
      <c r="IV22" s="17"/>
      <c r="IW22" s="43"/>
      <c r="IX22" s="41"/>
      <c r="IY22" s="16"/>
      <c r="IZ22" s="16"/>
      <c r="JA22" s="16"/>
      <c r="JB22" s="16"/>
      <c r="JC22" s="17"/>
      <c r="JE22" s="15" t="s">
        <v>174</v>
      </c>
      <c r="JF22" s="54"/>
      <c r="JG22" s="17"/>
      <c r="JH22" s="43"/>
      <c r="JI22" s="41"/>
      <c r="JJ22" s="16"/>
      <c r="JK22" s="16"/>
      <c r="JL22" s="16"/>
      <c r="JM22" s="16"/>
      <c r="JN22" s="17"/>
      <c r="JP22" s="15" t="s">
        <v>174</v>
      </c>
      <c r="JQ22" s="54"/>
      <c r="JR22" s="17"/>
      <c r="JS22" s="43"/>
      <c r="JT22" s="41"/>
      <c r="JU22" s="16"/>
      <c r="JV22" s="16"/>
      <c r="JW22" s="16"/>
      <c r="JX22" s="16"/>
      <c r="JY22" s="17"/>
      <c r="KA22" s="15" t="s">
        <v>174</v>
      </c>
      <c r="KB22" s="54"/>
      <c r="KC22" s="17"/>
      <c r="KD22" s="43"/>
      <c r="KE22" s="41"/>
      <c r="KF22" s="16"/>
      <c r="KG22" s="16"/>
      <c r="KH22" s="16"/>
      <c r="KI22" s="16"/>
      <c r="KJ22" s="17"/>
      <c r="KL22" s="15" t="s">
        <v>174</v>
      </c>
      <c r="KM22" s="54"/>
      <c r="KN22" s="17"/>
      <c r="KO22" s="43"/>
      <c r="KP22" s="41"/>
      <c r="KQ22" s="16"/>
      <c r="KR22" s="16"/>
      <c r="KS22" s="16"/>
      <c r="KT22" s="16"/>
      <c r="KU22" s="17"/>
      <c r="KW22" s="15" t="s">
        <v>174</v>
      </c>
      <c r="KX22" s="54"/>
      <c r="KY22" s="17"/>
      <c r="KZ22" s="43"/>
      <c r="LA22" s="41"/>
      <c r="LB22" s="16"/>
      <c r="LC22" s="16"/>
      <c r="LD22" s="16"/>
      <c r="LE22" s="16"/>
      <c r="LF22" s="17"/>
      <c r="LH22" s="15" t="s">
        <v>174</v>
      </c>
      <c r="LI22" s="54"/>
      <c r="LJ22" s="17"/>
      <c r="LK22" s="43"/>
      <c r="LL22" s="41"/>
      <c r="LM22" s="16"/>
      <c r="LN22" s="16"/>
      <c r="LO22" s="16"/>
      <c r="LP22" s="16"/>
      <c r="LQ22" s="17"/>
    </row>
    <row r="23">
      <c r="A23" s="15" t="s">
        <v>175</v>
      </c>
      <c r="B23" s="54">
        <v>9899</v>
      </c>
      <c r="C23" s="63">
        <v>17</v>
      </c>
      <c r="D23" s="65">
        <v>13173</v>
      </c>
      <c r="E23" s="30" t="s">
        <v>20</v>
      </c>
      <c r="F23" s="16" t="s">
        <v>20</v>
      </c>
      <c r="G23" s="21" t="s">
        <v>20</v>
      </c>
      <c r="H23" s="32" t="s">
        <v>20</v>
      </c>
      <c r="I23" s="33" t="s">
        <v>20</v>
      </c>
      <c r="J23" s="17"/>
      <c r="L23" s="15" t="s">
        <v>175</v>
      </c>
      <c r="M23" s="54">
        <v>8610</v>
      </c>
      <c r="N23" s="66">
        <v>17</v>
      </c>
      <c r="O23" s="64">
        <v>12537</v>
      </c>
      <c r="P23" s="16" t="s">
        <v>20</v>
      </c>
      <c r="Q23" s="16" t="s">
        <v>20</v>
      </c>
      <c r="R23" s="16" t="s">
        <v>20</v>
      </c>
      <c r="S23" s="16" t="s">
        <v>20</v>
      </c>
      <c r="T23" s="16" t="s">
        <v>20</v>
      </c>
      <c r="U23" s="17"/>
      <c r="W23" s="15" t="s">
        <v>175</v>
      </c>
      <c r="X23" s="54">
        <v>9208</v>
      </c>
      <c r="Y23" s="66">
        <v>17</v>
      </c>
      <c r="Z23" s="68">
        <v>12531</v>
      </c>
      <c r="AA23" s="41" t="s">
        <v>20</v>
      </c>
      <c r="AB23" s="16" t="s">
        <v>20</v>
      </c>
      <c r="AC23" s="16" t="s">
        <v>20</v>
      </c>
      <c r="AD23" s="16" t="s">
        <v>20</v>
      </c>
      <c r="AE23" s="16" t="s">
        <v>20</v>
      </c>
      <c r="AF23" s="17"/>
      <c r="AH23" s="15" t="s">
        <v>175</v>
      </c>
      <c r="AI23" s="54">
        <v>29715</v>
      </c>
      <c r="AJ23" s="17">
        <v>17</v>
      </c>
      <c r="AK23" s="68">
        <v>12165</v>
      </c>
      <c r="AL23" s="41">
        <v>6.9999999999999991</v>
      </c>
      <c r="AM23" s="16">
        <v>16.000000001629815</v>
      </c>
      <c r="AN23" s="16" t="s">
        <v>20</v>
      </c>
      <c r="AO23" s="16">
        <v>4.5</v>
      </c>
      <c r="AP23" s="16">
        <v>3.7</v>
      </c>
      <c r="AQ23" s="17"/>
      <c r="AS23" s="15" t="s">
        <v>175</v>
      </c>
      <c r="AT23" s="54">
        <v>12432</v>
      </c>
      <c r="AU23" s="17">
        <v>17</v>
      </c>
      <c r="AV23" s="68">
        <v>11827</v>
      </c>
      <c r="AW23" s="41">
        <v>2.0000000000000018</v>
      </c>
      <c r="AX23" s="16">
        <v>13.000000006984919</v>
      </c>
      <c r="AY23" s="16"/>
      <c r="AZ23" s="16">
        <v>4.5</v>
      </c>
      <c r="BA23" s="16">
        <v>4.6</v>
      </c>
      <c r="BB23" s="17"/>
      <c r="BD23" s="15" t="s">
        <v>175</v>
      </c>
      <c r="BE23" s="54">
        <v>21190</v>
      </c>
      <c r="BF23" s="17">
        <v>17</v>
      </c>
      <c r="BG23" s="68">
        <v>12322</v>
      </c>
      <c r="BH23" s="41">
        <v>8.0000000000000071</v>
      </c>
      <c r="BI23" s="16">
        <v>10.999999999068677</v>
      </c>
      <c r="BJ23" s="16" t="s">
        <v>20</v>
      </c>
      <c r="BK23" s="16">
        <v>4.5</v>
      </c>
      <c r="BL23" s="16">
        <v>3.3</v>
      </c>
      <c r="BM23" s="17"/>
      <c r="BO23" s="15" t="s">
        <v>175</v>
      </c>
      <c r="BP23" s="54">
        <v>29937</v>
      </c>
      <c r="BQ23" s="17">
        <v>17</v>
      </c>
      <c r="BR23" s="68">
        <v>12300</v>
      </c>
      <c r="BS23" s="41">
        <v>2.9999999999999947</v>
      </c>
      <c r="BT23" s="16">
        <v>21.999999997671694</v>
      </c>
      <c r="BU23" s="16" t="s">
        <v>20</v>
      </c>
      <c r="BV23" s="16">
        <v>4.5</v>
      </c>
      <c r="BW23" s="16">
        <v>2.7</v>
      </c>
      <c r="BX23" s="17"/>
      <c r="BZ23" s="15" t="s">
        <v>175</v>
      </c>
      <c r="CA23" s="54">
        <v>19170</v>
      </c>
      <c r="CB23" s="17">
        <v>17</v>
      </c>
      <c r="CC23" s="68">
        <v>13487</v>
      </c>
      <c r="CD23" s="41">
        <v>38.99999999999995</v>
      </c>
      <c r="CE23" s="16">
        <v>26.000000002328306</v>
      </c>
      <c r="CF23" s="16">
        <v>1250</v>
      </c>
      <c r="CG23" s="16">
        <v>5.1999999999999833</v>
      </c>
      <c r="CH23" s="16">
        <v>5</v>
      </c>
      <c r="CI23" s="17"/>
      <c r="CK23" s="15" t="s">
        <v>175</v>
      </c>
      <c r="CL23" s="54">
        <v>10449</v>
      </c>
      <c r="CM23" s="17">
        <v>17</v>
      </c>
      <c r="CN23" s="68">
        <v>13717</v>
      </c>
      <c r="CO23" s="41">
        <v>6.0000000000000053</v>
      </c>
      <c r="CP23" s="16">
        <v>57.999999999068677</v>
      </c>
      <c r="CQ23" s="16">
        <v>1000</v>
      </c>
      <c r="CR23" s="16">
        <v>5</v>
      </c>
      <c r="CS23" s="16">
        <v>4.8</v>
      </c>
      <c r="CT23" s="17"/>
      <c r="CV23" s="15" t="s">
        <v>175</v>
      </c>
      <c r="CW23" s="54">
        <v>12255</v>
      </c>
      <c r="CX23" s="17">
        <v>17</v>
      </c>
      <c r="CY23" s="43">
        <v>12053</v>
      </c>
      <c r="CZ23" s="41">
        <v>6.0000000000000053</v>
      </c>
      <c r="DA23" s="16">
        <v>15.000000005587935</v>
      </c>
      <c r="DB23" s="16" t="s">
        <v>20</v>
      </c>
      <c r="DC23" s="16">
        <v>4</v>
      </c>
      <c r="DD23" s="16">
        <v>3.7</v>
      </c>
      <c r="DE23" s="17"/>
      <c r="DG23" s="15" t="s">
        <v>175</v>
      </c>
      <c r="DH23" s="54">
        <v>9628</v>
      </c>
      <c r="DI23" s="17">
        <v>17</v>
      </c>
      <c r="DJ23" s="43">
        <v>12887</v>
      </c>
      <c r="DK23" s="41" t="s">
        <v>20</v>
      </c>
      <c r="DL23" s="16" t="s">
        <v>20</v>
      </c>
      <c r="DM23" s="16" t="s">
        <v>20</v>
      </c>
      <c r="DN23" s="16" t="s">
        <v>20</v>
      </c>
      <c r="DO23" s="16" t="s">
        <v>20</v>
      </c>
      <c r="DP23" s="17"/>
      <c r="DR23" s="15" t="s">
        <v>175</v>
      </c>
      <c r="DS23" s="54">
        <v>19307</v>
      </c>
      <c r="DT23" s="17">
        <v>17</v>
      </c>
      <c r="DU23" s="43">
        <v>12596</v>
      </c>
      <c r="DV23" s="41">
        <v>6.0000000000000053</v>
      </c>
      <c r="DW23" s="16">
        <v>15.000000005587935</v>
      </c>
      <c r="DX23" s="16" t="s">
        <v>20</v>
      </c>
      <c r="DY23" s="16">
        <v>4</v>
      </c>
      <c r="DZ23" s="16">
        <v>3.8</v>
      </c>
      <c r="EA23" s="17"/>
      <c r="EC23" s="15" t="s">
        <v>175</v>
      </c>
      <c r="ED23" s="54">
        <v>17707</v>
      </c>
      <c r="EE23" s="17">
        <v>17</v>
      </c>
      <c r="EF23" s="43">
        <v>11434</v>
      </c>
      <c r="EG23" s="41">
        <v>17.000000000000064</v>
      </c>
      <c r="EH23" s="16">
        <v>16.000000002793968</v>
      </c>
      <c r="EI23" s="16" t="s">
        <v>20</v>
      </c>
      <c r="EJ23" s="16">
        <v>5</v>
      </c>
      <c r="EK23" s="16">
        <v>4.8</v>
      </c>
      <c r="EL23" s="17"/>
      <c r="EN23" s="15" t="s">
        <v>175</v>
      </c>
      <c r="EO23" s="54">
        <v>21783</v>
      </c>
      <c r="EP23" s="17">
        <v>17</v>
      </c>
      <c r="EQ23" s="43">
        <v>12297</v>
      </c>
      <c r="ER23" s="41">
        <v>0.99999999999999933</v>
      </c>
      <c r="ES23" s="16">
        <v>17.000000006286427</v>
      </c>
      <c r="ET23" s="16" t="s">
        <v>20</v>
      </c>
      <c r="EU23" s="16">
        <v>4.1</v>
      </c>
      <c r="EV23" s="16">
        <v>3.7</v>
      </c>
      <c r="EW23" s="17"/>
      <c r="EY23" s="15" t="s">
        <v>175</v>
      </c>
      <c r="EZ23" s="54">
        <v>25488</v>
      </c>
      <c r="FA23" s="17">
        <v>17</v>
      </c>
      <c r="FB23" s="43">
        <v>14258</v>
      </c>
      <c r="FC23" s="41">
        <v>4.9999999999999964</v>
      </c>
      <c r="FD23" s="16">
        <v>15.000000002328306</v>
      </c>
      <c r="FE23" s="16" t="s">
        <v>20</v>
      </c>
      <c r="FF23" s="16">
        <v>5.5</v>
      </c>
      <c r="FG23" s="16">
        <v>5.5</v>
      </c>
      <c r="FH23" s="17"/>
      <c r="FJ23" s="15" t="s">
        <v>175</v>
      </c>
      <c r="FK23" s="54">
        <v>21866</v>
      </c>
      <c r="FL23" s="17">
        <v>17</v>
      </c>
      <c r="FM23" s="43">
        <v>14110</v>
      </c>
      <c r="FN23" s="41">
        <v>8.0000000000000071</v>
      </c>
      <c r="FO23" s="16">
        <v>16.999999997671694</v>
      </c>
      <c r="FP23" s="16" t="s">
        <v>20</v>
      </c>
      <c r="FQ23" s="16">
        <v>5.1999999999999833</v>
      </c>
      <c r="FR23" s="16">
        <v>5.1</v>
      </c>
      <c r="FS23" s="17"/>
      <c r="FU23" s="15" t="s">
        <v>175</v>
      </c>
      <c r="FV23" s="54">
        <v>17959</v>
      </c>
      <c r="FW23" s="17">
        <v>17</v>
      </c>
      <c r="FX23" s="43">
        <v>12412</v>
      </c>
      <c r="FY23" s="41">
        <v>4.0000000000000036</v>
      </c>
      <c r="FZ23" s="16">
        <v>65.9999999976717</v>
      </c>
      <c r="GA23" s="16" t="s">
        <v>20</v>
      </c>
      <c r="GB23" s="16">
        <v>4</v>
      </c>
      <c r="GC23" s="16">
        <v>4</v>
      </c>
      <c r="GD23" s="17"/>
      <c r="GF23" s="15" t="s">
        <v>175</v>
      </c>
      <c r="GG23" s="54">
        <v>18527</v>
      </c>
      <c r="GH23" s="17">
        <v>17</v>
      </c>
      <c r="GI23" s="43">
        <v>12471</v>
      </c>
      <c r="GJ23" s="41">
        <v>4.9999999999999964</v>
      </c>
      <c r="GK23" s="16">
        <v>22.000000004190952</v>
      </c>
      <c r="GL23" s="16">
        <v>2000</v>
      </c>
      <c r="GM23" s="16">
        <v>4.5999999999999908</v>
      </c>
      <c r="GN23" s="16">
        <v>4.4</v>
      </c>
      <c r="GO23" s="17"/>
      <c r="GQ23" s="15" t="s">
        <v>175</v>
      </c>
      <c r="GR23" s="54"/>
      <c r="GS23" s="17"/>
      <c r="GT23" s="43"/>
      <c r="GU23" s="41"/>
      <c r="GV23" s="16"/>
      <c r="GW23" s="16"/>
      <c r="GX23" s="16"/>
      <c r="GY23" s="16"/>
      <c r="GZ23" s="17"/>
      <c r="HB23" s="15" t="s">
        <v>175</v>
      </c>
      <c r="HC23" s="54"/>
      <c r="HD23" s="17"/>
      <c r="HE23" s="43"/>
      <c r="HF23" s="41"/>
      <c r="HG23" s="16"/>
      <c r="HH23" s="16"/>
      <c r="HI23" s="16"/>
      <c r="HJ23" s="16"/>
      <c r="HK23" s="17"/>
      <c r="HM23" s="15" t="s">
        <v>175</v>
      </c>
      <c r="HN23" s="54"/>
      <c r="HO23" s="17"/>
      <c r="HP23" s="43"/>
      <c r="HQ23" s="41"/>
      <c r="HR23" s="16"/>
      <c r="HS23" s="16"/>
      <c r="HT23" s="16"/>
      <c r="HU23" s="16"/>
      <c r="HV23" s="17"/>
      <c r="HX23" s="15" t="s">
        <v>175</v>
      </c>
      <c r="HY23" s="54"/>
      <c r="HZ23" s="17"/>
      <c r="IA23" s="43"/>
      <c r="IB23" s="41"/>
      <c r="IC23" s="16"/>
      <c r="ID23" s="16"/>
      <c r="IE23" s="16"/>
      <c r="IF23" s="16"/>
      <c r="IG23" s="17"/>
      <c r="II23" s="15" t="s">
        <v>175</v>
      </c>
      <c r="IJ23" s="54"/>
      <c r="IK23" s="17"/>
      <c r="IL23" s="43"/>
      <c r="IM23" s="41"/>
      <c r="IN23" s="16"/>
      <c r="IO23" s="16"/>
      <c r="IP23" s="16"/>
      <c r="IQ23" s="16"/>
      <c r="IR23" s="17"/>
      <c r="IT23" s="15" t="s">
        <v>175</v>
      </c>
      <c r="IU23" s="54"/>
      <c r="IV23" s="17"/>
      <c r="IW23" s="43"/>
      <c r="IX23" s="41"/>
      <c r="IY23" s="16"/>
      <c r="IZ23" s="16"/>
      <c r="JA23" s="16"/>
      <c r="JB23" s="16"/>
      <c r="JC23" s="17"/>
      <c r="JE23" s="15" t="s">
        <v>175</v>
      </c>
      <c r="JF23" s="54"/>
      <c r="JG23" s="17"/>
      <c r="JH23" s="43"/>
      <c r="JI23" s="41"/>
      <c r="JJ23" s="16"/>
      <c r="JK23" s="16"/>
      <c r="JL23" s="16"/>
      <c r="JM23" s="16"/>
      <c r="JN23" s="17"/>
      <c r="JP23" s="15" t="s">
        <v>175</v>
      </c>
      <c r="JQ23" s="54"/>
      <c r="JR23" s="17"/>
      <c r="JS23" s="43"/>
      <c r="JT23" s="41"/>
      <c r="JU23" s="16"/>
      <c r="JV23" s="16"/>
      <c r="JW23" s="16"/>
      <c r="JX23" s="16"/>
      <c r="JY23" s="17"/>
      <c r="KA23" s="15" t="s">
        <v>175</v>
      </c>
      <c r="KB23" s="54"/>
      <c r="KC23" s="17"/>
      <c r="KD23" s="43"/>
      <c r="KE23" s="41"/>
      <c r="KF23" s="16"/>
      <c r="KG23" s="16"/>
      <c r="KH23" s="16"/>
      <c r="KI23" s="16"/>
      <c r="KJ23" s="17"/>
      <c r="KL23" s="15" t="s">
        <v>175</v>
      </c>
      <c r="KM23" s="54"/>
      <c r="KN23" s="17"/>
      <c r="KO23" s="43"/>
      <c r="KP23" s="41"/>
      <c r="KQ23" s="16"/>
      <c r="KR23" s="16"/>
      <c r="KS23" s="16"/>
      <c r="KT23" s="16"/>
      <c r="KU23" s="17"/>
      <c r="KW23" s="15" t="s">
        <v>175</v>
      </c>
      <c r="KX23" s="54"/>
      <c r="KY23" s="17"/>
      <c r="KZ23" s="43"/>
      <c r="LA23" s="41"/>
      <c r="LB23" s="16"/>
      <c r="LC23" s="16"/>
      <c r="LD23" s="16"/>
      <c r="LE23" s="16"/>
      <c r="LF23" s="17"/>
      <c r="LH23" s="15" t="s">
        <v>175</v>
      </c>
      <c r="LI23" s="54"/>
      <c r="LJ23" s="17"/>
      <c r="LK23" s="43"/>
      <c r="LL23" s="41"/>
      <c r="LM23" s="16"/>
      <c r="LN23" s="16"/>
      <c r="LO23" s="16"/>
      <c r="LP23" s="16"/>
      <c r="LQ23" s="17"/>
    </row>
    <row r="24" ht="17.25" customHeight="1">
      <c r="A24" s="15" t="s">
        <v>176</v>
      </c>
      <c r="B24" s="49" t="s">
        <v>20</v>
      </c>
      <c r="C24" s="63">
        <v>18</v>
      </c>
      <c r="D24" s="65">
        <v>13375</v>
      </c>
      <c r="E24" s="30" t="s">
        <v>20</v>
      </c>
      <c r="F24" s="16" t="s">
        <v>20</v>
      </c>
      <c r="G24" s="21" t="s">
        <v>20</v>
      </c>
      <c r="H24" s="33" t="s">
        <v>20</v>
      </c>
      <c r="I24" s="33" t="s">
        <v>20</v>
      </c>
      <c r="J24" s="17"/>
      <c r="L24" s="15" t="s">
        <v>176</v>
      </c>
      <c r="M24" s="49" t="s">
        <v>20</v>
      </c>
      <c r="N24" s="66">
        <v>18</v>
      </c>
      <c r="O24" s="64">
        <v>12781</v>
      </c>
      <c r="P24" s="16" t="s">
        <v>20</v>
      </c>
      <c r="Q24" s="16" t="s">
        <v>20</v>
      </c>
      <c r="R24" s="16" t="s">
        <v>20</v>
      </c>
      <c r="S24" s="16" t="s">
        <v>20</v>
      </c>
      <c r="T24" s="16" t="s">
        <v>20</v>
      </c>
      <c r="U24" s="17"/>
      <c r="W24" s="15" t="s">
        <v>176</v>
      </c>
      <c r="X24" s="49" t="s">
        <v>20</v>
      </c>
      <c r="Y24" s="66">
        <v>18</v>
      </c>
      <c r="Z24" s="68">
        <v>12732</v>
      </c>
      <c r="AA24" s="41" t="s">
        <v>20</v>
      </c>
      <c r="AB24" s="16" t="s">
        <v>20</v>
      </c>
      <c r="AC24" s="16" t="s">
        <v>20</v>
      </c>
      <c r="AD24" s="16" t="s">
        <v>20</v>
      </c>
      <c r="AE24" s="16" t="s">
        <v>20</v>
      </c>
      <c r="AF24" s="17"/>
      <c r="AH24" s="15" t="s">
        <v>176</v>
      </c>
      <c r="AI24" s="49" t="s">
        <v>20</v>
      </c>
      <c r="AJ24" s="17">
        <v>18</v>
      </c>
      <c r="AK24" s="68">
        <v>12367</v>
      </c>
      <c r="AL24" s="41">
        <v>4.0000000000000036</v>
      </c>
      <c r="AM24" s="16">
        <v>15.999999991850927</v>
      </c>
      <c r="AN24" s="16" t="s">
        <v>20</v>
      </c>
      <c r="AO24" s="16">
        <v>4.5</v>
      </c>
      <c r="AP24" s="16">
        <v>3.9</v>
      </c>
      <c r="AQ24" s="17"/>
      <c r="AS24" s="15" t="s">
        <v>176</v>
      </c>
      <c r="AT24" s="49">
        <v>1.0000000000000009</v>
      </c>
      <c r="AU24" s="17">
        <v>18</v>
      </c>
      <c r="AV24" s="68">
        <v>12028</v>
      </c>
      <c r="AW24" s="41">
        <v>2.9999999999999947</v>
      </c>
      <c r="AX24" s="16">
        <v>14.999999995809048</v>
      </c>
      <c r="AY24" s="16"/>
      <c r="AZ24" s="16">
        <v>4.5</v>
      </c>
      <c r="BA24" s="16">
        <v>4.4</v>
      </c>
      <c r="BB24" s="17"/>
      <c r="BD24" s="15" t="s">
        <v>176</v>
      </c>
      <c r="BE24" s="49">
        <v>0.49999999999999922</v>
      </c>
      <c r="BF24" s="17">
        <v>18</v>
      </c>
      <c r="BG24" s="68">
        <v>12523</v>
      </c>
      <c r="BH24" s="41">
        <v>8.0000000000000071</v>
      </c>
      <c r="BI24" s="16">
        <v>12.000000002328306</v>
      </c>
      <c r="BJ24" s="16" t="s">
        <v>20</v>
      </c>
      <c r="BK24" s="16">
        <v>4.5</v>
      </c>
      <c r="BL24" s="16">
        <v>3.1</v>
      </c>
      <c r="BM24" s="17"/>
      <c r="BO24" s="15" t="s">
        <v>176</v>
      </c>
      <c r="BP24" s="49" t="s">
        <v>20</v>
      </c>
      <c r="BQ24" s="17">
        <v>18</v>
      </c>
      <c r="BR24" s="68">
        <v>11501</v>
      </c>
      <c r="BS24" s="41">
        <v>2.0000000000000018</v>
      </c>
      <c r="BT24" s="16">
        <v>3.9999999986030161</v>
      </c>
      <c r="BU24" s="16" t="s">
        <v>20</v>
      </c>
      <c r="BV24" s="16">
        <v>4.5</v>
      </c>
      <c r="BW24" s="16">
        <v>2.8</v>
      </c>
      <c r="BX24" s="17"/>
      <c r="BZ24" s="15" t="s">
        <v>176</v>
      </c>
      <c r="CA24" s="49" t="s">
        <v>20</v>
      </c>
      <c r="CB24" s="17">
        <v>18</v>
      </c>
      <c r="CC24" s="68">
        <v>13693</v>
      </c>
      <c r="CD24" s="41">
        <v>2.9999999999999947</v>
      </c>
      <c r="CE24" s="16">
        <v>37.999999997438863</v>
      </c>
      <c r="CF24" s="16">
        <v>1250</v>
      </c>
      <c r="CG24" s="16">
        <v>5.1999999999999833</v>
      </c>
      <c r="CH24" s="16">
        <v>5</v>
      </c>
      <c r="CI24" s="17"/>
      <c r="CK24" s="15" t="s">
        <v>176</v>
      </c>
      <c r="CL24" s="49" t="s">
        <v>20</v>
      </c>
      <c r="CM24" s="17">
        <v>18</v>
      </c>
      <c r="CN24" s="68">
        <v>13919</v>
      </c>
      <c r="CO24" s="41">
        <v>4.9999999999999964</v>
      </c>
      <c r="CP24" s="16">
        <v>26.000000006752089</v>
      </c>
      <c r="CQ24" s="16">
        <v>1000</v>
      </c>
      <c r="CR24" s="16">
        <v>5</v>
      </c>
      <c r="CS24" s="16">
        <v>4.8</v>
      </c>
      <c r="CT24" s="17"/>
      <c r="CV24" s="15" t="s">
        <v>176</v>
      </c>
      <c r="CW24" s="49">
        <v>1.7500000000000009</v>
      </c>
      <c r="CX24" s="17">
        <v>18</v>
      </c>
      <c r="CY24" s="43">
        <v>12253</v>
      </c>
      <c r="CZ24" s="41">
        <v>9.9999999999999929</v>
      </c>
      <c r="DA24" s="16">
        <v>10.000000002328306</v>
      </c>
      <c r="DB24" s="16" t="s">
        <v>20</v>
      </c>
      <c r="DC24" s="16">
        <v>4</v>
      </c>
      <c r="DD24" s="16">
        <v>3.7</v>
      </c>
      <c r="DE24" s="17"/>
      <c r="DG24" s="15" t="s">
        <v>176</v>
      </c>
      <c r="DH24" s="49">
        <v>2.500000000000008</v>
      </c>
      <c r="DI24" s="17">
        <v>18</v>
      </c>
      <c r="DJ24" s="43">
        <v>13088</v>
      </c>
      <c r="DK24" s="41" t="s">
        <v>20</v>
      </c>
      <c r="DL24" s="16" t="s">
        <v>20</v>
      </c>
      <c r="DM24" s="16" t="s">
        <v>20</v>
      </c>
      <c r="DN24" s="16" t="s">
        <v>20</v>
      </c>
      <c r="DO24" s="16" t="s">
        <v>20</v>
      </c>
      <c r="DP24" s="17"/>
      <c r="DR24" s="15" t="s">
        <v>176</v>
      </c>
      <c r="DS24" s="49" t="s">
        <v>20</v>
      </c>
      <c r="DT24" s="17">
        <v>18</v>
      </c>
      <c r="DU24" s="43">
        <v>12799</v>
      </c>
      <c r="DV24" s="41">
        <v>2.9999999999999947</v>
      </c>
      <c r="DW24" s="16">
        <v>26.999999993015081</v>
      </c>
      <c r="DX24" s="16" t="s">
        <v>20</v>
      </c>
      <c r="DY24" s="16">
        <v>4</v>
      </c>
      <c r="DZ24" s="16">
        <v>4</v>
      </c>
      <c r="EA24" s="17"/>
      <c r="EC24" s="15" t="s">
        <v>176</v>
      </c>
      <c r="ED24" s="49" t="s">
        <v>20</v>
      </c>
      <c r="EE24" s="17">
        <v>18</v>
      </c>
      <c r="EF24" s="43">
        <v>11636</v>
      </c>
      <c r="EG24" s="41">
        <v>13.999999999999998</v>
      </c>
      <c r="EH24" s="16">
        <v>12.999999993713573</v>
      </c>
      <c r="EI24" s="16" t="s">
        <v>20</v>
      </c>
      <c r="EJ24" s="16">
        <v>5</v>
      </c>
      <c r="EK24" s="16">
        <v>4.7</v>
      </c>
      <c r="EL24" s="17"/>
      <c r="EN24" s="15" t="s">
        <v>176</v>
      </c>
      <c r="EO24" s="49">
        <v>0.75</v>
      </c>
      <c r="EP24" s="17">
        <v>18</v>
      </c>
      <c r="EQ24" s="43">
        <v>12498</v>
      </c>
      <c r="ER24" s="41">
        <v>0.99999999999999933</v>
      </c>
      <c r="ES24" s="16">
        <v>19.000000002328306</v>
      </c>
      <c r="ET24" s="16" t="s">
        <v>20</v>
      </c>
      <c r="EU24" s="16">
        <v>4</v>
      </c>
      <c r="EV24" s="16">
        <v>3.3</v>
      </c>
      <c r="EW24" s="17"/>
      <c r="EY24" s="15" t="s">
        <v>176</v>
      </c>
      <c r="EZ24" s="49" t="s">
        <v>20</v>
      </c>
      <c r="FA24" s="17">
        <v>18</v>
      </c>
      <c r="FB24" s="43">
        <v>14458</v>
      </c>
      <c r="FC24" s="41">
        <v>6.9999999999999991</v>
      </c>
      <c r="FD24" s="16">
        <v>14.999999998370185</v>
      </c>
      <c r="FE24" s="16" t="s">
        <v>20</v>
      </c>
      <c r="FF24" s="16">
        <v>5.5</v>
      </c>
      <c r="FG24" s="16">
        <v>5.5</v>
      </c>
      <c r="FH24" s="17"/>
      <c r="FJ24" s="15" t="s">
        <v>176</v>
      </c>
      <c r="FK24" s="49" t="s">
        <v>20</v>
      </c>
      <c r="FL24" s="17">
        <v>18</v>
      </c>
      <c r="FM24" s="43">
        <v>14309</v>
      </c>
      <c r="FN24" s="41">
        <v>4.9999999999999964</v>
      </c>
      <c r="FO24" s="16">
        <v>24.000000000232831</v>
      </c>
      <c r="FP24" s="16" t="s">
        <v>20</v>
      </c>
      <c r="FQ24" s="16">
        <v>5.1999999999999833</v>
      </c>
      <c r="FR24" s="16">
        <v>5.2</v>
      </c>
      <c r="FS24" s="17"/>
      <c r="FU24" s="15" t="s">
        <v>176</v>
      </c>
      <c r="FV24" s="49">
        <v>0.75</v>
      </c>
      <c r="FW24" s="17">
        <v>18</v>
      </c>
      <c r="FX24" s="43">
        <v>12653</v>
      </c>
      <c r="FY24" s="41" t="s">
        <v>20</v>
      </c>
      <c r="FZ24" s="16">
        <v>37.999999998137355</v>
      </c>
      <c r="GA24" s="16" t="s">
        <v>20</v>
      </c>
      <c r="GB24" s="16">
        <v>4</v>
      </c>
      <c r="GC24" s="16">
        <v>4</v>
      </c>
      <c r="GD24" s="17"/>
      <c r="GF24" s="15" t="s">
        <v>176</v>
      </c>
      <c r="GG24" s="49" t="s">
        <v>20</v>
      </c>
      <c r="GH24" s="17">
        <v>18</v>
      </c>
      <c r="GI24" s="43">
        <v>12673</v>
      </c>
      <c r="GJ24" s="41">
        <v>0</v>
      </c>
      <c r="GK24" s="16">
        <v>1810.0000000011642</v>
      </c>
      <c r="GL24" s="16">
        <v>2000</v>
      </c>
      <c r="GM24" s="16">
        <v>4.5</v>
      </c>
      <c r="GN24" s="16">
        <v>4.5</v>
      </c>
      <c r="GO24" s="17"/>
      <c r="GQ24" s="15" t="s">
        <v>176</v>
      </c>
      <c r="GR24" s="49"/>
      <c r="GS24" s="17"/>
      <c r="GT24" s="43"/>
      <c r="GU24" s="41"/>
      <c r="GV24" s="16"/>
      <c r="GW24" s="16"/>
      <c r="GX24" s="16"/>
      <c r="GY24" s="16"/>
      <c r="GZ24" s="17"/>
      <c r="HB24" s="15" t="s">
        <v>176</v>
      </c>
      <c r="HC24" s="49"/>
      <c r="HD24" s="17"/>
      <c r="HE24" s="43"/>
      <c r="HF24" s="41"/>
      <c r="HG24" s="16"/>
      <c r="HH24" s="16"/>
      <c r="HI24" s="16"/>
      <c r="HJ24" s="16"/>
      <c r="HK24" s="17"/>
      <c r="HM24" s="15" t="s">
        <v>176</v>
      </c>
      <c r="HN24" s="49"/>
      <c r="HO24" s="17"/>
      <c r="HP24" s="43"/>
      <c r="HQ24" s="41"/>
      <c r="HR24" s="16"/>
      <c r="HS24" s="16"/>
      <c r="HT24" s="16"/>
      <c r="HU24" s="16"/>
      <c r="HV24" s="17"/>
      <c r="HX24" s="15" t="s">
        <v>176</v>
      </c>
      <c r="HY24" s="49"/>
      <c r="HZ24" s="17"/>
      <c r="IA24" s="43"/>
      <c r="IB24" s="41"/>
      <c r="IC24" s="16"/>
      <c r="ID24" s="16"/>
      <c r="IE24" s="16"/>
      <c r="IF24" s="16"/>
      <c r="IG24" s="17"/>
      <c r="II24" s="15" t="s">
        <v>176</v>
      </c>
      <c r="IJ24" s="49"/>
      <c r="IK24" s="17"/>
      <c r="IL24" s="43"/>
      <c r="IM24" s="41"/>
      <c r="IN24" s="16"/>
      <c r="IO24" s="16"/>
      <c r="IP24" s="16"/>
      <c r="IQ24" s="16"/>
      <c r="IR24" s="17"/>
      <c r="IT24" s="15" t="s">
        <v>176</v>
      </c>
      <c r="IU24" s="49"/>
      <c r="IV24" s="17"/>
      <c r="IW24" s="43"/>
      <c r="IX24" s="41"/>
      <c r="IY24" s="16"/>
      <c r="IZ24" s="16"/>
      <c r="JA24" s="16"/>
      <c r="JB24" s="16"/>
      <c r="JC24" s="17"/>
      <c r="JE24" s="15" t="s">
        <v>176</v>
      </c>
      <c r="JF24" s="49"/>
      <c r="JG24" s="17"/>
      <c r="JH24" s="43"/>
      <c r="JI24" s="41"/>
      <c r="JJ24" s="16"/>
      <c r="JK24" s="16"/>
      <c r="JL24" s="16"/>
      <c r="JM24" s="16"/>
      <c r="JN24" s="17"/>
      <c r="JP24" s="15" t="s">
        <v>176</v>
      </c>
      <c r="JQ24" s="49"/>
      <c r="JR24" s="17"/>
      <c r="JS24" s="43"/>
      <c r="JT24" s="41"/>
      <c r="JU24" s="16"/>
      <c r="JV24" s="16"/>
      <c r="JW24" s="16"/>
      <c r="JX24" s="16"/>
      <c r="JY24" s="17"/>
      <c r="KA24" s="15" t="s">
        <v>176</v>
      </c>
      <c r="KB24" s="49"/>
      <c r="KC24" s="17"/>
      <c r="KD24" s="43"/>
      <c r="KE24" s="41"/>
      <c r="KF24" s="16"/>
      <c r="KG24" s="16"/>
      <c r="KH24" s="16"/>
      <c r="KI24" s="16"/>
      <c r="KJ24" s="17"/>
      <c r="KL24" s="15" t="s">
        <v>176</v>
      </c>
      <c r="KM24" s="49"/>
      <c r="KN24" s="17"/>
      <c r="KO24" s="43"/>
      <c r="KP24" s="41"/>
      <c r="KQ24" s="16"/>
      <c r="KR24" s="16"/>
      <c r="KS24" s="16"/>
      <c r="KT24" s="16"/>
      <c r="KU24" s="17"/>
      <c r="KW24" s="15" t="s">
        <v>176</v>
      </c>
      <c r="KX24" s="49"/>
      <c r="KY24" s="17"/>
      <c r="KZ24" s="43"/>
      <c r="LA24" s="41"/>
      <c r="LB24" s="16"/>
      <c r="LC24" s="16"/>
      <c r="LD24" s="16"/>
      <c r="LE24" s="16"/>
      <c r="LF24" s="17"/>
      <c r="LH24" s="15" t="s">
        <v>176</v>
      </c>
      <c r="LI24" s="49"/>
      <c r="LJ24" s="17"/>
      <c r="LK24" s="43"/>
      <c r="LL24" s="41"/>
      <c r="LM24" s="16"/>
      <c r="LN24" s="16"/>
      <c r="LO24" s="16"/>
      <c r="LP24" s="16"/>
      <c r="LQ24" s="17"/>
    </row>
    <row r="25" ht="15" customHeight="1">
      <c r="A25" s="15" t="s">
        <v>17</v>
      </c>
      <c r="B25" s="49">
        <v>0</v>
      </c>
      <c r="C25" s="63">
        <v>19</v>
      </c>
      <c r="D25" s="65">
        <v>13577</v>
      </c>
      <c r="E25" s="30" t="s">
        <v>20</v>
      </c>
      <c r="F25" s="16" t="s">
        <v>20</v>
      </c>
      <c r="G25" s="21" t="s">
        <v>20</v>
      </c>
      <c r="H25" s="32" t="s">
        <v>20</v>
      </c>
      <c r="I25" s="33" t="s">
        <v>20</v>
      </c>
      <c r="J25" s="17"/>
      <c r="L25" s="15" t="s">
        <v>17</v>
      </c>
      <c r="M25" s="49">
        <v>0</v>
      </c>
      <c r="N25" s="66">
        <v>19</v>
      </c>
      <c r="O25" s="64">
        <v>13024</v>
      </c>
      <c r="P25" s="16" t="s">
        <v>20</v>
      </c>
      <c r="Q25" s="16" t="s">
        <v>20</v>
      </c>
      <c r="R25" s="16" t="s">
        <v>20</v>
      </c>
      <c r="S25" s="16" t="s">
        <v>20</v>
      </c>
      <c r="T25" s="16" t="s">
        <v>20</v>
      </c>
      <c r="U25" s="17"/>
      <c r="W25" s="15" t="s">
        <v>17</v>
      </c>
      <c r="X25" s="49">
        <v>0</v>
      </c>
      <c r="Y25" s="66">
        <v>19</v>
      </c>
      <c r="Z25" s="68">
        <v>12932</v>
      </c>
      <c r="AA25" s="41" t="s">
        <v>20</v>
      </c>
      <c r="AB25" s="16" t="s">
        <v>20</v>
      </c>
      <c r="AC25" s="16" t="s">
        <v>20</v>
      </c>
      <c r="AD25" s="16" t="s">
        <v>20</v>
      </c>
      <c r="AE25" s="16" t="s">
        <v>20</v>
      </c>
      <c r="AF25" s="17"/>
      <c r="AH25" s="15" t="s">
        <v>17</v>
      </c>
      <c r="AI25" s="49">
        <v>0</v>
      </c>
      <c r="AJ25" s="17">
        <v>19</v>
      </c>
      <c r="AK25" s="68">
        <v>12568</v>
      </c>
      <c r="AL25" s="41">
        <v>6.0000000000000053</v>
      </c>
      <c r="AM25" s="16">
        <v>18.000000004889444</v>
      </c>
      <c r="AN25" s="16" t="s">
        <v>20</v>
      </c>
      <c r="AO25" s="16">
        <v>4.5</v>
      </c>
      <c r="AP25" s="16">
        <v>3.9</v>
      </c>
      <c r="AQ25" s="17"/>
      <c r="AS25" s="15" t="s">
        <v>17</v>
      </c>
      <c r="AT25" s="49">
        <v>1.0000000000000009</v>
      </c>
      <c r="AU25" s="17">
        <v>19</v>
      </c>
      <c r="AV25" s="68">
        <v>12229</v>
      </c>
      <c r="AW25" s="41">
        <v>2.0000000000000018</v>
      </c>
      <c r="AX25" s="16">
        <v>12.99999999650754</v>
      </c>
      <c r="AY25" s="16"/>
      <c r="AZ25" s="16">
        <v>4.5</v>
      </c>
      <c r="BA25" s="16">
        <v>4.8</v>
      </c>
      <c r="BB25" s="17"/>
      <c r="BD25" s="15" t="s">
        <v>17</v>
      </c>
      <c r="BE25" s="49">
        <v>0.49999999999999922</v>
      </c>
      <c r="BF25" s="17">
        <v>19</v>
      </c>
      <c r="BG25" s="68">
        <v>12725</v>
      </c>
      <c r="BH25" s="41">
        <v>6.9999999999999991</v>
      </c>
      <c r="BI25" s="16">
        <v>10.999999995809048</v>
      </c>
      <c r="BJ25" s="16" t="s">
        <v>20</v>
      </c>
      <c r="BK25" s="16">
        <v>4.5</v>
      </c>
      <c r="BL25" s="16">
        <v>3</v>
      </c>
      <c r="BM25" s="17"/>
      <c r="BO25" s="15" t="s">
        <v>17</v>
      </c>
      <c r="BP25" s="49">
        <v>4.4166666666666723</v>
      </c>
      <c r="BQ25" s="17">
        <v>19</v>
      </c>
      <c r="BR25" s="68">
        <v>12501</v>
      </c>
      <c r="BS25" s="41">
        <v>4.9999999999999964</v>
      </c>
      <c r="BT25" s="16">
        <v>10.999999999767169</v>
      </c>
      <c r="BU25" s="16" t="s">
        <v>20</v>
      </c>
      <c r="BV25" s="16">
        <v>4.5</v>
      </c>
      <c r="BW25" s="16">
        <v>1.3</v>
      </c>
      <c r="BX25" s="17"/>
      <c r="BZ25" s="15" t="s">
        <v>17</v>
      </c>
      <c r="CA25" s="49">
        <v>0</v>
      </c>
      <c r="CB25" s="17">
        <v>19</v>
      </c>
      <c r="CC25" s="68">
        <v>13895</v>
      </c>
      <c r="CD25" s="41">
        <v>9.9999999999999929</v>
      </c>
      <c r="CE25" s="16">
        <v>24.999999998835847</v>
      </c>
      <c r="CF25" s="16">
        <v>1250</v>
      </c>
      <c r="CG25" s="16">
        <v>5.1999999999999833</v>
      </c>
      <c r="CH25" s="16">
        <v>5</v>
      </c>
      <c r="CI25" s="17"/>
      <c r="CK25" s="15" t="s">
        <v>17</v>
      </c>
      <c r="CL25" s="49">
        <v>0</v>
      </c>
      <c r="CM25" s="17">
        <v>19</v>
      </c>
      <c r="CN25" s="68">
        <v>14121</v>
      </c>
      <c r="CO25" s="41">
        <v>4.9999999999999964</v>
      </c>
      <c r="CP25" s="16">
        <v>31.999999994877726</v>
      </c>
      <c r="CQ25" s="16">
        <v>1000</v>
      </c>
      <c r="CR25" s="16">
        <v>5</v>
      </c>
      <c r="CS25" s="16">
        <v>4.8</v>
      </c>
      <c r="CT25" s="17"/>
      <c r="CV25" s="15" t="s">
        <v>17</v>
      </c>
      <c r="CW25" s="49">
        <v>1.7500000000000009</v>
      </c>
      <c r="CX25" s="17">
        <v>19</v>
      </c>
      <c r="CY25" s="43">
        <v>12453</v>
      </c>
      <c r="CZ25" s="41" t="s">
        <v>20</v>
      </c>
      <c r="DA25" s="16" t="s">
        <v>20</v>
      </c>
      <c r="DB25" s="16" t="s">
        <v>20</v>
      </c>
      <c r="DC25" s="16" t="s">
        <v>20</v>
      </c>
      <c r="DD25" s="16" t="s">
        <v>20</v>
      </c>
      <c r="DE25" s="17"/>
      <c r="DG25" s="15" t="s">
        <v>17</v>
      </c>
      <c r="DH25" s="49">
        <v>2.500000000000008</v>
      </c>
      <c r="DI25" s="17">
        <v>19</v>
      </c>
      <c r="DJ25" s="43">
        <v>13289</v>
      </c>
      <c r="DK25" s="41" t="s">
        <v>20</v>
      </c>
      <c r="DL25" s="16" t="s">
        <v>20</v>
      </c>
      <c r="DM25" s="16" t="s">
        <v>20</v>
      </c>
      <c r="DN25" s="16" t="s">
        <v>20</v>
      </c>
      <c r="DO25" s="16" t="s">
        <v>20</v>
      </c>
      <c r="DP25" s="17"/>
      <c r="DR25" s="15" t="s">
        <v>17</v>
      </c>
      <c r="DS25" s="49">
        <v>0</v>
      </c>
      <c r="DT25" s="17">
        <v>19</v>
      </c>
      <c r="DU25" s="43">
        <v>13002</v>
      </c>
      <c r="DV25" s="41">
        <v>6.0000000000000053</v>
      </c>
      <c r="DW25" s="16">
        <v>22.000000007450581</v>
      </c>
      <c r="DX25" s="16" t="s">
        <v>20</v>
      </c>
      <c r="DY25" s="16">
        <v>4</v>
      </c>
      <c r="DZ25" s="16">
        <v>3.5</v>
      </c>
      <c r="EA25" s="17"/>
      <c r="EC25" s="15" t="s">
        <v>17</v>
      </c>
      <c r="ED25" s="49">
        <v>0</v>
      </c>
      <c r="EE25" s="17">
        <v>19</v>
      </c>
      <c r="EF25" s="43">
        <v>11838</v>
      </c>
      <c r="EG25" s="41">
        <v>13.000000000000002</v>
      </c>
      <c r="EH25" s="16">
        <v>10.000000001629815</v>
      </c>
      <c r="EI25" s="16" t="s">
        <v>20</v>
      </c>
      <c r="EJ25" s="16">
        <v>5</v>
      </c>
      <c r="EK25" s="16">
        <v>4.7</v>
      </c>
      <c r="EL25" s="17"/>
      <c r="EN25" s="15" t="s">
        <v>17</v>
      </c>
      <c r="EO25" s="49">
        <v>0.75</v>
      </c>
      <c r="EP25" s="17">
        <v>19</v>
      </c>
      <c r="EQ25" s="43">
        <v>12700</v>
      </c>
      <c r="ER25" s="41">
        <v>2.0000000000000018</v>
      </c>
      <c r="ES25" s="16">
        <v>46.999999992083758</v>
      </c>
      <c r="ET25" s="16" t="s">
        <v>20</v>
      </c>
      <c r="EU25" s="16">
        <v>4</v>
      </c>
      <c r="EV25" s="16">
        <v>3.5</v>
      </c>
      <c r="EW25" s="17"/>
      <c r="EY25" s="15" t="s">
        <v>17</v>
      </c>
      <c r="EZ25" s="49">
        <v>12</v>
      </c>
      <c r="FA25" s="17">
        <v>19</v>
      </c>
      <c r="FB25" s="43">
        <v>14658</v>
      </c>
      <c r="FC25" s="41">
        <v>4.9999999999999964</v>
      </c>
      <c r="FD25" s="16">
        <v>19.000000004889444</v>
      </c>
      <c r="FE25" s="16" t="s">
        <v>20</v>
      </c>
      <c r="FF25" s="16">
        <v>5.5</v>
      </c>
      <c r="FG25" s="16">
        <v>5.5</v>
      </c>
      <c r="FH25" s="17"/>
      <c r="FJ25" s="15" t="s">
        <v>17</v>
      </c>
      <c r="FK25" s="49">
        <v>0</v>
      </c>
      <c r="FL25" s="17">
        <v>19</v>
      </c>
      <c r="FM25" s="43">
        <v>14508</v>
      </c>
      <c r="FN25" s="41">
        <v>6.9999999999999991</v>
      </c>
      <c r="FO25" s="16">
        <v>20.9999999969732</v>
      </c>
      <c r="FP25" s="16" t="s">
        <v>20</v>
      </c>
      <c r="FQ25" s="16">
        <v>5.1999999999999833</v>
      </c>
      <c r="FR25" s="16">
        <v>5.2</v>
      </c>
      <c r="FS25" s="17"/>
      <c r="FU25" s="15" t="s">
        <v>17</v>
      </c>
      <c r="FV25" s="49">
        <v>0.75</v>
      </c>
      <c r="FW25" s="17">
        <v>19</v>
      </c>
      <c r="FX25" s="43">
        <v>12894</v>
      </c>
      <c r="FY25" s="41">
        <v>2.0000000000000018</v>
      </c>
      <c r="FZ25" s="16">
        <v>58.000000006984919</v>
      </c>
      <c r="GA25" s="16" t="s">
        <v>20</v>
      </c>
      <c r="GB25" s="16">
        <v>4</v>
      </c>
      <c r="GC25" s="16">
        <v>4</v>
      </c>
      <c r="GD25" s="17"/>
      <c r="GF25" s="15" t="s">
        <v>17</v>
      </c>
      <c r="GG25" s="49">
        <v>4.999999999999992</v>
      </c>
      <c r="GH25" s="17">
        <v>19</v>
      </c>
      <c r="GI25" s="43">
        <v>12875</v>
      </c>
      <c r="GJ25" s="41">
        <v>4.9999999999999964</v>
      </c>
      <c r="GK25" s="16">
        <v>21.999999993713573</v>
      </c>
      <c r="GL25" s="16">
        <v>1000</v>
      </c>
      <c r="GM25" s="16">
        <v>4.5</v>
      </c>
      <c r="GN25" s="16">
        <v>4.4</v>
      </c>
      <c r="GO25" s="17"/>
      <c r="GQ25" s="15" t="s">
        <v>17</v>
      </c>
      <c r="GR25" s="49"/>
      <c r="GS25" s="17"/>
      <c r="GT25" s="43"/>
      <c r="GU25" s="41"/>
      <c r="GV25" s="16"/>
      <c r="GW25" s="16"/>
      <c r="GX25" s="16"/>
      <c r="GY25" s="16"/>
      <c r="GZ25" s="17"/>
      <c r="HB25" s="15" t="s">
        <v>17</v>
      </c>
      <c r="HC25" s="49"/>
      <c r="HD25" s="17"/>
      <c r="HE25" s="43"/>
      <c r="HF25" s="41"/>
      <c r="HG25" s="16"/>
      <c r="HH25" s="16"/>
      <c r="HI25" s="16"/>
      <c r="HJ25" s="16"/>
      <c r="HK25" s="17"/>
      <c r="HM25" s="15" t="s">
        <v>17</v>
      </c>
      <c r="HN25" s="49"/>
      <c r="HO25" s="17"/>
      <c r="HP25" s="43"/>
      <c r="HQ25" s="41"/>
      <c r="HR25" s="16"/>
      <c r="HS25" s="16"/>
      <c r="HT25" s="16"/>
      <c r="HU25" s="16"/>
      <c r="HV25" s="17"/>
      <c r="HX25" s="15" t="s">
        <v>17</v>
      </c>
      <c r="HY25" s="49"/>
      <c r="HZ25" s="17"/>
      <c r="IA25" s="43"/>
      <c r="IB25" s="41"/>
      <c r="IC25" s="16"/>
      <c r="ID25" s="16"/>
      <c r="IE25" s="16"/>
      <c r="IF25" s="16"/>
      <c r="IG25" s="17"/>
      <c r="II25" s="15" t="s">
        <v>17</v>
      </c>
      <c r="IJ25" s="49"/>
      <c r="IK25" s="17"/>
      <c r="IL25" s="43"/>
      <c r="IM25" s="41"/>
      <c r="IN25" s="16"/>
      <c r="IO25" s="16"/>
      <c r="IP25" s="16"/>
      <c r="IQ25" s="16"/>
      <c r="IR25" s="17"/>
      <c r="IT25" s="15" t="s">
        <v>17</v>
      </c>
      <c r="IU25" s="49"/>
      <c r="IV25" s="17"/>
      <c r="IW25" s="43"/>
      <c r="IX25" s="41"/>
      <c r="IY25" s="16"/>
      <c r="IZ25" s="16"/>
      <c r="JA25" s="16"/>
      <c r="JB25" s="16"/>
      <c r="JC25" s="17"/>
      <c r="JE25" s="15" t="s">
        <v>17</v>
      </c>
      <c r="JF25" s="49"/>
      <c r="JG25" s="17"/>
      <c r="JH25" s="43"/>
      <c r="JI25" s="41"/>
      <c r="JJ25" s="16"/>
      <c r="JK25" s="16"/>
      <c r="JL25" s="16"/>
      <c r="JM25" s="16"/>
      <c r="JN25" s="17"/>
      <c r="JP25" s="15" t="s">
        <v>17</v>
      </c>
      <c r="JQ25" s="49"/>
      <c r="JR25" s="17"/>
      <c r="JS25" s="43"/>
      <c r="JT25" s="41"/>
      <c r="JU25" s="16"/>
      <c r="JV25" s="16"/>
      <c r="JW25" s="16"/>
      <c r="JX25" s="16"/>
      <c r="JY25" s="17"/>
      <c r="KA25" s="15" t="s">
        <v>17</v>
      </c>
      <c r="KB25" s="49"/>
      <c r="KC25" s="17"/>
      <c r="KD25" s="43"/>
      <c r="KE25" s="41"/>
      <c r="KF25" s="16"/>
      <c r="KG25" s="16"/>
      <c r="KH25" s="16"/>
      <c r="KI25" s="16"/>
      <c r="KJ25" s="17"/>
      <c r="KL25" s="15" t="s">
        <v>17</v>
      </c>
      <c r="KM25" s="49"/>
      <c r="KN25" s="17"/>
      <c r="KO25" s="43"/>
      <c r="KP25" s="41"/>
      <c r="KQ25" s="16"/>
      <c r="KR25" s="16"/>
      <c r="KS25" s="16"/>
      <c r="KT25" s="16"/>
      <c r="KU25" s="17"/>
      <c r="KW25" s="15" t="s">
        <v>17</v>
      </c>
      <c r="KX25" s="49"/>
      <c r="KY25" s="17"/>
      <c r="KZ25" s="43"/>
      <c r="LA25" s="41"/>
      <c r="LB25" s="16"/>
      <c r="LC25" s="16"/>
      <c r="LD25" s="16"/>
      <c r="LE25" s="16"/>
      <c r="LF25" s="17"/>
      <c r="LH25" s="15" t="s">
        <v>17</v>
      </c>
      <c r="LI25" s="49"/>
      <c r="LJ25" s="17"/>
      <c r="LK25" s="43"/>
      <c r="LL25" s="41"/>
      <c r="LM25" s="16"/>
      <c r="LN25" s="16"/>
      <c r="LO25" s="16"/>
      <c r="LP25" s="16"/>
      <c r="LQ25" s="17"/>
    </row>
    <row r="26" ht="15" customHeight="1">
      <c r="A26" s="15" t="s">
        <v>30</v>
      </c>
      <c r="B26" s="55" t="s">
        <v>177</v>
      </c>
      <c r="C26" s="63">
        <v>20</v>
      </c>
      <c r="D26" s="65">
        <v>13779</v>
      </c>
      <c r="E26" s="30" t="s">
        <v>20</v>
      </c>
      <c r="F26" s="16" t="s">
        <v>20</v>
      </c>
      <c r="G26" s="21" t="s">
        <v>20</v>
      </c>
      <c r="H26" s="33" t="s">
        <v>20</v>
      </c>
      <c r="I26" s="33" t="s">
        <v>20</v>
      </c>
      <c r="J26" s="17"/>
      <c r="L26" s="15" t="s">
        <v>30</v>
      </c>
      <c r="M26" s="55" t="s">
        <v>178</v>
      </c>
      <c r="N26" s="66">
        <v>20</v>
      </c>
      <c r="O26" s="64">
        <v>13267</v>
      </c>
      <c r="P26" s="16" t="s">
        <v>20</v>
      </c>
      <c r="Q26" s="16" t="s">
        <v>20</v>
      </c>
      <c r="R26" s="16" t="s">
        <v>20</v>
      </c>
      <c r="S26" s="16" t="s">
        <v>20</v>
      </c>
      <c r="T26" s="16" t="s">
        <v>20</v>
      </c>
      <c r="U26" s="17"/>
      <c r="W26" s="15" t="s">
        <v>30</v>
      </c>
      <c r="X26" s="55" t="s">
        <v>179</v>
      </c>
      <c r="Y26" s="66">
        <v>20</v>
      </c>
      <c r="Z26" s="68">
        <v>13133</v>
      </c>
      <c r="AA26" s="41" t="s">
        <v>20</v>
      </c>
      <c r="AB26" s="16" t="s">
        <v>20</v>
      </c>
      <c r="AC26" s="16" t="s">
        <v>20</v>
      </c>
      <c r="AD26" s="16" t="s">
        <v>20</v>
      </c>
      <c r="AE26" s="16" t="s">
        <v>20</v>
      </c>
      <c r="AF26" s="17"/>
      <c r="AH26" s="15" t="s">
        <v>30</v>
      </c>
      <c r="AI26" s="55" t="s">
        <v>180</v>
      </c>
      <c r="AJ26" s="17">
        <v>20</v>
      </c>
      <c r="AK26" s="68">
        <v>12770</v>
      </c>
      <c r="AL26" s="41">
        <v>8.0000000000000071</v>
      </c>
      <c r="AM26" s="16">
        <v>15.000000001629815</v>
      </c>
      <c r="AN26" s="16" t="s">
        <v>20</v>
      </c>
      <c r="AO26" s="16">
        <v>4.5</v>
      </c>
      <c r="AP26" s="16">
        <v>3.9</v>
      </c>
      <c r="AQ26" s="17"/>
      <c r="AS26" s="15" t="s">
        <v>30</v>
      </c>
      <c r="AT26" s="55" t="s">
        <v>181</v>
      </c>
      <c r="AU26" s="17">
        <v>20</v>
      </c>
      <c r="AV26" s="68">
        <v>12430</v>
      </c>
      <c r="AW26" s="41">
        <v>2.9999999999999947</v>
      </c>
      <c r="AX26" s="16">
        <v>16.000000009546056</v>
      </c>
      <c r="AY26" s="16"/>
      <c r="AZ26" s="16">
        <v>4.5</v>
      </c>
      <c r="BA26" s="16">
        <v>4.8</v>
      </c>
      <c r="BB26" s="17"/>
      <c r="BD26" s="15" t="s">
        <v>30</v>
      </c>
      <c r="BE26" s="55" t="s">
        <v>182</v>
      </c>
      <c r="BF26" s="17">
        <v>20</v>
      </c>
      <c r="BG26" s="68">
        <v>12926</v>
      </c>
      <c r="BH26" s="41">
        <v>13.000000000000002</v>
      </c>
      <c r="BI26" s="16">
        <v>14.000000004190952</v>
      </c>
      <c r="BJ26" s="16" t="s">
        <v>20</v>
      </c>
      <c r="BK26" s="16">
        <v>4.5</v>
      </c>
      <c r="BL26" s="16">
        <v>3.2</v>
      </c>
      <c r="BM26" s="17"/>
      <c r="BO26" s="15" t="s">
        <v>30</v>
      </c>
      <c r="BP26" s="55" t="s">
        <v>183</v>
      </c>
      <c r="BQ26" s="17">
        <v>20</v>
      </c>
      <c r="BR26" s="68">
        <v>12701</v>
      </c>
      <c r="BS26" s="41">
        <v>4.9999999999999964</v>
      </c>
      <c r="BT26" s="16">
        <v>16.999999998370185</v>
      </c>
      <c r="BU26" s="16" t="s">
        <v>20</v>
      </c>
      <c r="BV26" s="16">
        <v>4.5</v>
      </c>
      <c r="BW26" s="16">
        <v>2.4</v>
      </c>
      <c r="BX26" s="17"/>
      <c r="BZ26" s="15" t="s">
        <v>30</v>
      </c>
      <c r="CA26" s="55" t="s">
        <v>184</v>
      </c>
      <c r="CB26" s="17">
        <v>20</v>
      </c>
      <c r="CC26" s="68">
        <v>14098</v>
      </c>
      <c r="CD26" s="41">
        <v>6.0000000000000053</v>
      </c>
      <c r="CE26" s="16">
        <v>72.999999995576218</v>
      </c>
      <c r="CF26" s="16">
        <v>1250</v>
      </c>
      <c r="CG26" s="16">
        <v>5.6999999999999833</v>
      </c>
      <c r="CH26" s="16">
        <v>5.5</v>
      </c>
      <c r="CI26" s="17"/>
      <c r="CK26" s="15" t="s">
        <v>30</v>
      </c>
      <c r="CL26" s="55" t="s">
        <v>185</v>
      </c>
      <c r="CM26" s="17">
        <v>20</v>
      </c>
      <c r="CN26" s="68">
        <v>14324</v>
      </c>
      <c r="CO26" s="41">
        <v>4.0000000000000036</v>
      </c>
      <c r="CP26" s="16">
        <v>23.9999999969732</v>
      </c>
      <c r="CQ26" s="16">
        <v>1000</v>
      </c>
      <c r="CR26" s="16">
        <v>5</v>
      </c>
      <c r="CS26" s="16">
        <v>4.8</v>
      </c>
      <c r="CT26" s="17"/>
      <c r="CV26" s="15" t="s">
        <v>30</v>
      </c>
      <c r="CW26" s="55" t="s">
        <v>186</v>
      </c>
      <c r="CX26" s="17">
        <v>20</v>
      </c>
      <c r="CY26" s="43">
        <v>12654</v>
      </c>
      <c r="CZ26" s="41" t="s">
        <v>20</v>
      </c>
      <c r="DA26" s="16" t="s">
        <v>20</v>
      </c>
      <c r="DB26" s="16" t="s">
        <v>20</v>
      </c>
      <c r="DC26" s="16" t="s">
        <v>20</v>
      </c>
      <c r="DD26" s="16" t="s">
        <v>20</v>
      </c>
      <c r="DE26" s="17"/>
      <c r="DG26" s="15" t="s">
        <v>30</v>
      </c>
      <c r="DH26" s="55" t="s">
        <v>187</v>
      </c>
      <c r="DI26" s="17">
        <v>20</v>
      </c>
      <c r="DJ26" s="43">
        <v>13490</v>
      </c>
      <c r="DK26" s="41" t="s">
        <v>20</v>
      </c>
      <c r="DL26" s="16" t="s">
        <v>20</v>
      </c>
      <c r="DM26" s="16" t="s">
        <v>20</v>
      </c>
      <c r="DN26" s="16" t="s">
        <v>20</v>
      </c>
      <c r="DO26" s="16" t="s">
        <v>20</v>
      </c>
      <c r="DP26" s="17"/>
      <c r="DR26" s="15" t="s">
        <v>30</v>
      </c>
      <c r="DS26" s="55" t="s">
        <v>188</v>
      </c>
      <c r="DT26" s="17">
        <v>20</v>
      </c>
      <c r="DU26" s="43">
        <v>13206</v>
      </c>
      <c r="DV26" s="41">
        <v>11.999999999999995</v>
      </c>
      <c r="DW26" s="16">
        <v>17.000000000232831</v>
      </c>
      <c r="DX26" s="16" t="s">
        <v>20</v>
      </c>
      <c r="DY26" s="16">
        <v>4</v>
      </c>
      <c r="DZ26" s="16">
        <v>3.5</v>
      </c>
      <c r="EA26" s="17"/>
      <c r="EC26" s="15" t="s">
        <v>30</v>
      </c>
      <c r="ED26" s="55" t="s">
        <v>189</v>
      </c>
      <c r="EE26" s="17">
        <v>20</v>
      </c>
      <c r="EF26" s="43">
        <v>12040</v>
      </c>
      <c r="EG26" s="41">
        <v>18.999999999999936</v>
      </c>
      <c r="EH26" s="16">
        <v>13.000000003026798</v>
      </c>
      <c r="EI26" s="16" t="s">
        <v>20</v>
      </c>
      <c r="EJ26" s="16">
        <v>5</v>
      </c>
      <c r="EK26" s="16">
        <v>4.8</v>
      </c>
      <c r="EL26" s="17"/>
      <c r="EN26" s="15" t="s">
        <v>30</v>
      </c>
      <c r="EO26" s="55" t="s">
        <v>190</v>
      </c>
      <c r="EP26" s="17">
        <v>20</v>
      </c>
      <c r="EQ26" s="43">
        <v>12902</v>
      </c>
      <c r="ER26" s="41">
        <v>2.0000000000000018</v>
      </c>
      <c r="ES26" s="16">
        <v>18.000000002328306</v>
      </c>
      <c r="ET26" s="16" t="s">
        <v>20</v>
      </c>
      <c r="EU26" s="16">
        <v>4</v>
      </c>
      <c r="EV26" s="16">
        <v>3.2</v>
      </c>
      <c r="EW26" s="17"/>
      <c r="EY26" s="15" t="s">
        <v>30</v>
      </c>
      <c r="EZ26" s="55" t="s">
        <v>191</v>
      </c>
      <c r="FA26" s="17">
        <v>20</v>
      </c>
      <c r="FB26" s="43">
        <v>14859</v>
      </c>
      <c r="FC26" s="41">
        <v>8.0000000000000071</v>
      </c>
      <c r="FD26" s="16">
        <v>11.999999991850927</v>
      </c>
      <c r="FE26" s="16" t="s">
        <v>20</v>
      </c>
      <c r="FF26" s="16">
        <v>5.5</v>
      </c>
      <c r="FG26" s="16">
        <v>5.5</v>
      </c>
      <c r="FH26" s="17"/>
      <c r="FJ26" s="15" t="s">
        <v>30</v>
      </c>
      <c r="FK26" s="55" t="s">
        <v>192</v>
      </c>
      <c r="FL26" s="17">
        <v>20</v>
      </c>
      <c r="FM26" s="43">
        <v>14707</v>
      </c>
      <c r="FN26" s="41">
        <v>6.9999999999999991</v>
      </c>
      <c r="FO26" s="16">
        <v>18.000000008149073</v>
      </c>
      <c r="FP26" s="16" t="s">
        <v>20</v>
      </c>
      <c r="FQ26" s="16">
        <v>5.1999999999999833</v>
      </c>
      <c r="FR26" s="16">
        <v>5.2</v>
      </c>
      <c r="FS26" s="17"/>
      <c r="FU26" s="15" t="s">
        <v>30</v>
      </c>
      <c r="FV26" s="55" t="s">
        <v>193</v>
      </c>
      <c r="FW26" s="17">
        <v>20</v>
      </c>
      <c r="FX26" s="43">
        <v>13135</v>
      </c>
      <c r="FY26" s="41">
        <v>4.9999999999999964</v>
      </c>
      <c r="FZ26" s="16">
        <v>57.999999995809048</v>
      </c>
      <c r="GA26" s="16" t="s">
        <v>20</v>
      </c>
      <c r="GB26" s="16">
        <v>4</v>
      </c>
      <c r="GC26" s="16">
        <v>4</v>
      </c>
      <c r="GD26" s="17"/>
      <c r="GF26" s="15" t="s">
        <v>30</v>
      </c>
      <c r="GG26" s="55" t="s">
        <v>194</v>
      </c>
      <c r="GH26" s="17">
        <v>20</v>
      </c>
      <c r="GI26" s="43">
        <v>13076</v>
      </c>
      <c r="GJ26" s="41">
        <v>4.9999999999999964</v>
      </c>
      <c r="GK26" s="16">
        <v>19.000000004889444</v>
      </c>
      <c r="GL26" s="16">
        <v>500</v>
      </c>
      <c r="GM26" s="16">
        <v>4.5</v>
      </c>
      <c r="GN26" s="16">
        <v>4.4</v>
      </c>
      <c r="GO26" s="17"/>
      <c r="GQ26" s="15" t="s">
        <v>30</v>
      </c>
      <c r="GR26" s="55"/>
      <c r="GS26" s="17"/>
      <c r="GT26" s="43"/>
      <c r="GU26" s="41"/>
      <c r="GV26" s="16"/>
      <c r="GW26" s="16"/>
      <c r="GX26" s="16"/>
      <c r="GY26" s="16"/>
      <c r="GZ26" s="17"/>
      <c r="HB26" s="15" t="s">
        <v>30</v>
      </c>
      <c r="HC26" s="55"/>
      <c r="HD26" s="17"/>
      <c r="HE26" s="43"/>
      <c r="HF26" s="41"/>
      <c r="HG26" s="16"/>
      <c r="HH26" s="16"/>
      <c r="HI26" s="16"/>
      <c r="HJ26" s="16"/>
      <c r="HK26" s="17"/>
      <c r="HM26" s="15" t="s">
        <v>30</v>
      </c>
      <c r="HN26" s="55"/>
      <c r="HO26" s="17"/>
      <c r="HP26" s="43"/>
      <c r="HQ26" s="41"/>
      <c r="HR26" s="16"/>
      <c r="HS26" s="16"/>
      <c r="HT26" s="16"/>
      <c r="HU26" s="16"/>
      <c r="HV26" s="17"/>
      <c r="HX26" s="15" t="s">
        <v>30</v>
      </c>
      <c r="HY26" s="55"/>
      <c r="HZ26" s="17"/>
      <c r="IA26" s="43"/>
      <c r="IB26" s="41"/>
      <c r="IC26" s="16"/>
      <c r="ID26" s="16"/>
      <c r="IE26" s="16"/>
      <c r="IF26" s="16"/>
      <c r="IG26" s="17"/>
      <c r="II26" s="15" t="s">
        <v>30</v>
      </c>
      <c r="IJ26" s="55"/>
      <c r="IK26" s="17"/>
      <c r="IL26" s="43"/>
      <c r="IM26" s="41"/>
      <c r="IN26" s="16"/>
      <c r="IO26" s="16"/>
      <c r="IP26" s="16"/>
      <c r="IQ26" s="16"/>
      <c r="IR26" s="17"/>
      <c r="IT26" s="15" t="s">
        <v>30</v>
      </c>
      <c r="IU26" s="55"/>
      <c r="IV26" s="17"/>
      <c r="IW26" s="43"/>
      <c r="IX26" s="41"/>
      <c r="IY26" s="16"/>
      <c r="IZ26" s="16"/>
      <c r="JA26" s="16"/>
      <c r="JB26" s="16"/>
      <c r="JC26" s="17"/>
      <c r="JE26" s="15" t="s">
        <v>30</v>
      </c>
      <c r="JF26" s="55"/>
      <c r="JG26" s="17"/>
      <c r="JH26" s="43"/>
      <c r="JI26" s="41"/>
      <c r="JJ26" s="16"/>
      <c r="JK26" s="16"/>
      <c r="JL26" s="16"/>
      <c r="JM26" s="16"/>
      <c r="JN26" s="17"/>
      <c r="JP26" s="15" t="s">
        <v>30</v>
      </c>
      <c r="JQ26" s="55"/>
      <c r="JR26" s="17"/>
      <c r="JS26" s="43"/>
      <c r="JT26" s="41"/>
      <c r="JU26" s="16"/>
      <c r="JV26" s="16"/>
      <c r="JW26" s="16"/>
      <c r="JX26" s="16"/>
      <c r="JY26" s="17"/>
      <c r="KA26" s="15" t="s">
        <v>30</v>
      </c>
      <c r="KB26" s="55"/>
      <c r="KC26" s="17"/>
      <c r="KD26" s="43"/>
      <c r="KE26" s="41"/>
      <c r="KF26" s="16"/>
      <c r="KG26" s="16"/>
      <c r="KH26" s="16"/>
      <c r="KI26" s="16"/>
      <c r="KJ26" s="17"/>
      <c r="KL26" s="15" t="s">
        <v>30</v>
      </c>
      <c r="KM26" s="55"/>
      <c r="KN26" s="17"/>
      <c r="KO26" s="43"/>
      <c r="KP26" s="41"/>
      <c r="KQ26" s="16"/>
      <c r="KR26" s="16"/>
      <c r="KS26" s="16"/>
      <c r="KT26" s="16"/>
      <c r="KU26" s="17"/>
      <c r="KW26" s="15" t="s">
        <v>30</v>
      </c>
      <c r="KX26" s="55"/>
      <c r="KY26" s="17"/>
      <c r="KZ26" s="43"/>
      <c r="LA26" s="41"/>
      <c r="LB26" s="16"/>
      <c r="LC26" s="16"/>
      <c r="LD26" s="16"/>
      <c r="LE26" s="16"/>
      <c r="LF26" s="17"/>
      <c r="LH26" s="15" t="s">
        <v>30</v>
      </c>
      <c r="LI26" s="55"/>
      <c r="LJ26" s="17"/>
      <c r="LK26" s="43"/>
      <c r="LL26" s="41"/>
      <c r="LM26" s="16"/>
      <c r="LN26" s="16"/>
      <c r="LO26" s="16"/>
      <c r="LP26" s="16"/>
      <c r="LQ26" s="17"/>
    </row>
    <row r="27">
      <c r="A27" s="15" t="s">
        <v>195</v>
      </c>
      <c r="B27" s="56" t="s">
        <v>196</v>
      </c>
      <c r="C27" s="63">
        <v>21</v>
      </c>
      <c r="D27" s="65">
        <v>13981</v>
      </c>
      <c r="E27" s="30" t="s">
        <v>20</v>
      </c>
      <c r="F27" s="16" t="s">
        <v>20</v>
      </c>
      <c r="G27" s="21" t="s">
        <v>20</v>
      </c>
      <c r="H27" s="32" t="s">
        <v>20</v>
      </c>
      <c r="I27" s="33" t="s">
        <v>20</v>
      </c>
      <c r="J27" s="17"/>
      <c r="L27" s="15" t="s">
        <v>195</v>
      </c>
      <c r="M27" s="56" t="s">
        <v>196</v>
      </c>
      <c r="N27" s="66">
        <v>21</v>
      </c>
      <c r="O27" s="64">
        <v>13510</v>
      </c>
      <c r="P27" s="16" t="s">
        <v>20</v>
      </c>
      <c r="Q27" s="16" t="s">
        <v>20</v>
      </c>
      <c r="R27" s="16" t="s">
        <v>20</v>
      </c>
      <c r="S27" s="16" t="s">
        <v>20</v>
      </c>
      <c r="T27" s="16" t="s">
        <v>20</v>
      </c>
      <c r="U27" s="17"/>
      <c r="W27" s="15" t="s">
        <v>195</v>
      </c>
      <c r="X27" s="56" t="s">
        <v>196</v>
      </c>
      <c r="Y27" s="66">
        <v>21</v>
      </c>
      <c r="Z27" s="68">
        <v>13333</v>
      </c>
      <c r="AA27" s="41" t="s">
        <v>20</v>
      </c>
      <c r="AB27" s="16" t="s">
        <v>20</v>
      </c>
      <c r="AC27" s="16" t="s">
        <v>20</v>
      </c>
      <c r="AD27" s="16" t="s">
        <v>20</v>
      </c>
      <c r="AE27" s="16" t="s">
        <v>20</v>
      </c>
      <c r="AF27" s="17"/>
      <c r="AH27" s="15" t="s">
        <v>195</v>
      </c>
      <c r="AI27" s="56" t="s">
        <v>196</v>
      </c>
      <c r="AJ27" s="17">
        <v>21</v>
      </c>
      <c r="AK27" s="68">
        <v>12972</v>
      </c>
      <c r="AL27" s="41">
        <v>6.0000000000000053</v>
      </c>
      <c r="AM27" s="16">
        <v>18.999999997671694</v>
      </c>
      <c r="AN27" s="16" t="s">
        <v>20</v>
      </c>
      <c r="AO27" s="16">
        <v>4.5</v>
      </c>
      <c r="AP27" s="16">
        <v>4.3</v>
      </c>
      <c r="AQ27" s="17"/>
      <c r="AS27" s="15" t="s">
        <v>195</v>
      </c>
      <c r="AT27" s="56" t="s">
        <v>196</v>
      </c>
      <c r="AU27" s="17">
        <v>21</v>
      </c>
      <c r="AV27" s="68">
        <v>12631</v>
      </c>
      <c r="AW27" s="41" t="s">
        <v>20</v>
      </c>
      <c r="AX27" s="16" t="s">
        <v>20</v>
      </c>
      <c r="AY27" s="16"/>
      <c r="AZ27" s="16" t="s">
        <v>20</v>
      </c>
      <c r="BA27" s="16" t="s">
        <v>20</v>
      </c>
      <c r="BB27" s="17"/>
      <c r="BD27" s="15" t="s">
        <v>195</v>
      </c>
      <c r="BE27" s="56" t="s">
        <v>196</v>
      </c>
      <c r="BF27" s="17">
        <v>21</v>
      </c>
      <c r="BG27" s="68">
        <v>13128</v>
      </c>
      <c r="BH27" s="41">
        <v>6.0000000000000053</v>
      </c>
      <c r="BI27" s="16">
        <v>5.0000000009313226</v>
      </c>
      <c r="BJ27" s="16" t="s">
        <v>20</v>
      </c>
      <c r="BK27" s="16">
        <v>4.5</v>
      </c>
      <c r="BL27" s="16">
        <v>3.1</v>
      </c>
      <c r="BM27" s="17"/>
      <c r="BO27" s="15" t="s">
        <v>195</v>
      </c>
      <c r="BP27" s="56" t="s">
        <v>196</v>
      </c>
      <c r="BQ27" s="17">
        <v>21</v>
      </c>
      <c r="BR27" s="68">
        <v>12901</v>
      </c>
      <c r="BS27" s="41">
        <v>6.0000000000000053</v>
      </c>
      <c r="BT27" s="16">
        <v>22.000000007450581</v>
      </c>
      <c r="BU27" s="16" t="s">
        <v>20</v>
      </c>
      <c r="BV27" s="16">
        <v>4.5</v>
      </c>
      <c r="BW27" s="16">
        <v>1.3</v>
      </c>
      <c r="BX27" s="17"/>
      <c r="BZ27" s="15" t="s">
        <v>195</v>
      </c>
      <c r="CA27" s="56" t="s">
        <v>197</v>
      </c>
      <c r="CB27" s="17">
        <v>21</v>
      </c>
      <c r="CC27" s="68">
        <v>14301</v>
      </c>
      <c r="CD27" s="41">
        <v>13.000000000000002</v>
      </c>
      <c r="CE27" s="16">
        <v>24.999999998137355</v>
      </c>
      <c r="CF27" s="16">
        <v>1250</v>
      </c>
      <c r="CG27" s="16">
        <v>5.6999999999999833</v>
      </c>
      <c r="CH27" s="16">
        <v>5.5</v>
      </c>
      <c r="CI27" s="17"/>
      <c r="CK27" s="15" t="s">
        <v>195</v>
      </c>
      <c r="CL27" s="56" t="s">
        <v>197</v>
      </c>
      <c r="CM27" s="17">
        <v>21</v>
      </c>
      <c r="CN27" s="68">
        <v>14526</v>
      </c>
      <c r="CO27" s="41">
        <v>11.999999999999995</v>
      </c>
      <c r="CP27" s="16">
        <v>26.000000008614734</v>
      </c>
      <c r="CQ27" s="16">
        <v>1000</v>
      </c>
      <c r="CR27" s="16">
        <v>5</v>
      </c>
      <c r="CS27" s="16">
        <v>4.8</v>
      </c>
      <c r="CT27" s="17"/>
      <c r="CV27" s="15" t="s">
        <v>195</v>
      </c>
      <c r="CW27" s="56" t="s">
        <v>196</v>
      </c>
      <c r="CX27" s="17">
        <v>21</v>
      </c>
      <c r="CY27" s="43">
        <v>12854</v>
      </c>
      <c r="CZ27" s="41" t="s">
        <v>20</v>
      </c>
      <c r="DA27" s="16" t="s">
        <v>20</v>
      </c>
      <c r="DB27" s="16" t="s">
        <v>20</v>
      </c>
      <c r="DC27" s="16" t="s">
        <v>20</v>
      </c>
      <c r="DD27" s="16" t="s">
        <v>20</v>
      </c>
      <c r="DE27" s="17"/>
      <c r="DG27" s="15" t="s">
        <v>195</v>
      </c>
      <c r="DH27" s="56" t="s">
        <v>196</v>
      </c>
      <c r="DI27" s="17">
        <v>21</v>
      </c>
      <c r="DJ27" s="43">
        <v>13692</v>
      </c>
      <c r="DK27" s="41" t="s">
        <v>20</v>
      </c>
      <c r="DL27" s="16" t="s">
        <v>20</v>
      </c>
      <c r="DM27" s="16" t="s">
        <v>20</v>
      </c>
      <c r="DN27" s="16" t="s">
        <v>20</v>
      </c>
      <c r="DO27" s="16" t="s">
        <v>20</v>
      </c>
      <c r="DP27" s="17"/>
      <c r="DR27" s="15" t="s">
        <v>195</v>
      </c>
      <c r="DS27" s="56" t="s">
        <v>196</v>
      </c>
      <c r="DT27" s="17">
        <v>21</v>
      </c>
      <c r="DU27" s="43">
        <v>13409</v>
      </c>
      <c r="DV27" s="41">
        <v>4.9999999999999964</v>
      </c>
      <c r="DW27" s="16">
        <v>12.999999995809048</v>
      </c>
      <c r="DX27" s="16" t="s">
        <v>20</v>
      </c>
      <c r="DY27" s="16">
        <v>4</v>
      </c>
      <c r="DZ27" s="16">
        <v>3.8</v>
      </c>
      <c r="EA27" s="17"/>
      <c r="EC27" s="15" t="s">
        <v>195</v>
      </c>
      <c r="ED27" s="56" t="s">
        <v>196</v>
      </c>
      <c r="EE27" s="17">
        <v>21</v>
      </c>
      <c r="EF27" s="43">
        <v>12243</v>
      </c>
      <c r="EG27" s="41">
        <v>9.9999999999999929</v>
      </c>
      <c r="EH27" s="16">
        <v>10.999999995110556</v>
      </c>
      <c r="EI27" s="16" t="s">
        <v>20</v>
      </c>
      <c r="EJ27" s="16">
        <v>5</v>
      </c>
      <c r="EK27" s="16">
        <v>4.9</v>
      </c>
      <c r="EL27" s="17"/>
      <c r="EN27" s="15" t="s">
        <v>195</v>
      </c>
      <c r="EO27" s="56" t="s">
        <v>196</v>
      </c>
      <c r="EP27" s="17">
        <v>21</v>
      </c>
      <c r="EQ27" s="43">
        <v>13104</v>
      </c>
      <c r="ER27" s="41">
        <v>2.0000000000000018</v>
      </c>
      <c r="ES27" s="16">
        <v>21.000000001629815</v>
      </c>
      <c r="ET27" s="16" t="s">
        <v>20</v>
      </c>
      <c r="EU27" s="16">
        <v>4</v>
      </c>
      <c r="EV27" s="16">
        <v>2.9</v>
      </c>
      <c r="EW27" s="17"/>
      <c r="EY27" s="15" t="s">
        <v>195</v>
      </c>
      <c r="EZ27" s="56" t="s">
        <v>196</v>
      </c>
      <c r="FA27" s="17">
        <v>21</v>
      </c>
      <c r="FB27" s="43">
        <v>15060</v>
      </c>
      <c r="FC27" s="41">
        <v>6.9999999999999991</v>
      </c>
      <c r="FD27" s="16">
        <v>40.000000006519258</v>
      </c>
      <c r="FE27" s="16" t="s">
        <v>20</v>
      </c>
      <c r="FF27" s="16">
        <v>5.5</v>
      </c>
      <c r="FG27" s="16">
        <v>5.5</v>
      </c>
      <c r="FH27" s="17"/>
      <c r="FJ27" s="15" t="s">
        <v>195</v>
      </c>
      <c r="FK27" s="56" t="s">
        <v>196</v>
      </c>
      <c r="FL27" s="17">
        <v>21</v>
      </c>
      <c r="FM27" s="43">
        <v>14906</v>
      </c>
      <c r="FN27" s="41">
        <v>6.9999999999999991</v>
      </c>
      <c r="FO27" s="16">
        <v>16.000000001629815</v>
      </c>
      <c r="FP27" s="16" t="s">
        <v>20</v>
      </c>
      <c r="FQ27" s="16">
        <v>5.1999999999999833</v>
      </c>
      <c r="FR27" s="16">
        <v>5.2</v>
      </c>
      <c r="FS27" s="17"/>
      <c r="FU27" s="15" t="s">
        <v>195</v>
      </c>
      <c r="FV27" s="56" t="s">
        <v>196</v>
      </c>
      <c r="FW27" s="17">
        <v>21</v>
      </c>
      <c r="FX27" s="43">
        <v>13376</v>
      </c>
      <c r="FY27" s="41">
        <v>4.9999999999999964</v>
      </c>
      <c r="FZ27" s="16">
        <v>35.999999997438863</v>
      </c>
      <c r="GA27" s="16" t="s">
        <v>20</v>
      </c>
      <c r="GB27" s="16">
        <v>4</v>
      </c>
      <c r="GC27" s="16">
        <v>4</v>
      </c>
      <c r="GD27" s="17"/>
      <c r="GF27" s="15" t="s">
        <v>195</v>
      </c>
      <c r="GG27" s="56" t="s">
        <v>196</v>
      </c>
      <c r="GH27" s="17">
        <v>21</v>
      </c>
      <c r="GI27" s="43">
        <v>13278</v>
      </c>
      <c r="GJ27" s="41">
        <v>8.0000000000000071</v>
      </c>
      <c r="GK27" s="16">
        <v>21.000000000232831</v>
      </c>
      <c r="GL27" s="16">
        <v>500</v>
      </c>
      <c r="GM27" s="16">
        <v>4.5</v>
      </c>
      <c r="GN27" s="16">
        <v>4.4</v>
      </c>
      <c r="GO27" s="17"/>
      <c r="GQ27" s="15" t="s">
        <v>195</v>
      </c>
      <c r="GR27" s="56"/>
      <c r="GS27" s="17"/>
      <c r="GT27" s="43"/>
      <c r="GU27" s="41"/>
      <c r="GV27" s="16"/>
      <c r="GW27" s="16"/>
      <c r="GX27" s="16"/>
      <c r="GY27" s="16"/>
      <c r="GZ27" s="17"/>
      <c r="HB27" s="15" t="s">
        <v>195</v>
      </c>
      <c r="HC27" s="56"/>
      <c r="HD27" s="17"/>
      <c r="HE27" s="43"/>
      <c r="HF27" s="41"/>
      <c r="HG27" s="16"/>
      <c r="HH27" s="16"/>
      <c r="HI27" s="16"/>
      <c r="HJ27" s="16"/>
      <c r="HK27" s="17"/>
      <c r="HM27" s="15" t="s">
        <v>195</v>
      </c>
      <c r="HN27" s="56"/>
      <c r="HO27" s="17"/>
      <c r="HP27" s="43"/>
      <c r="HQ27" s="41"/>
      <c r="HR27" s="16"/>
      <c r="HS27" s="16"/>
      <c r="HT27" s="16"/>
      <c r="HU27" s="16"/>
      <c r="HV27" s="17"/>
      <c r="HX27" s="15" t="s">
        <v>195</v>
      </c>
      <c r="HY27" s="56"/>
      <c r="HZ27" s="17"/>
      <c r="IA27" s="43"/>
      <c r="IB27" s="41"/>
      <c r="IC27" s="16"/>
      <c r="ID27" s="16"/>
      <c r="IE27" s="16"/>
      <c r="IF27" s="16"/>
      <c r="IG27" s="17"/>
      <c r="II27" s="15" t="s">
        <v>195</v>
      </c>
      <c r="IJ27" s="56"/>
      <c r="IK27" s="17"/>
      <c r="IL27" s="43"/>
      <c r="IM27" s="41"/>
      <c r="IN27" s="16"/>
      <c r="IO27" s="16"/>
      <c r="IP27" s="16"/>
      <c r="IQ27" s="16"/>
      <c r="IR27" s="17"/>
      <c r="IT27" s="15" t="s">
        <v>195</v>
      </c>
      <c r="IU27" s="56"/>
      <c r="IV27" s="17"/>
      <c r="IW27" s="43"/>
      <c r="IX27" s="41"/>
      <c r="IY27" s="16"/>
      <c r="IZ27" s="16"/>
      <c r="JA27" s="16"/>
      <c r="JB27" s="16"/>
      <c r="JC27" s="17"/>
      <c r="JE27" s="15" t="s">
        <v>195</v>
      </c>
      <c r="JF27" s="56"/>
      <c r="JG27" s="17"/>
      <c r="JH27" s="43"/>
      <c r="JI27" s="41"/>
      <c r="JJ27" s="16"/>
      <c r="JK27" s="16"/>
      <c r="JL27" s="16"/>
      <c r="JM27" s="16"/>
      <c r="JN27" s="17"/>
      <c r="JP27" s="15" t="s">
        <v>195</v>
      </c>
      <c r="JQ27" s="56"/>
      <c r="JR27" s="17"/>
      <c r="JS27" s="43"/>
      <c r="JT27" s="41"/>
      <c r="JU27" s="16"/>
      <c r="JV27" s="16"/>
      <c r="JW27" s="16"/>
      <c r="JX27" s="16"/>
      <c r="JY27" s="17"/>
      <c r="KA27" s="15" t="s">
        <v>195</v>
      </c>
      <c r="KB27" s="56"/>
      <c r="KC27" s="17"/>
      <c r="KD27" s="43"/>
      <c r="KE27" s="41"/>
      <c r="KF27" s="16"/>
      <c r="KG27" s="16"/>
      <c r="KH27" s="16"/>
      <c r="KI27" s="16"/>
      <c r="KJ27" s="17"/>
      <c r="KL27" s="15" t="s">
        <v>195</v>
      </c>
      <c r="KM27" s="56"/>
      <c r="KN27" s="17"/>
      <c r="KO27" s="43"/>
      <c r="KP27" s="41"/>
      <c r="KQ27" s="16"/>
      <c r="KR27" s="16"/>
      <c r="KS27" s="16"/>
      <c r="KT27" s="16"/>
      <c r="KU27" s="17"/>
      <c r="KW27" s="15" t="s">
        <v>195</v>
      </c>
      <c r="KX27" s="56"/>
      <c r="KY27" s="17"/>
      <c r="KZ27" s="43"/>
      <c r="LA27" s="41"/>
      <c r="LB27" s="16"/>
      <c r="LC27" s="16"/>
      <c r="LD27" s="16"/>
      <c r="LE27" s="16"/>
      <c r="LF27" s="17"/>
      <c r="LH27" s="15" t="s">
        <v>195</v>
      </c>
      <c r="LI27" s="56"/>
      <c r="LJ27" s="17"/>
      <c r="LK27" s="43"/>
      <c r="LL27" s="41"/>
      <c r="LM27" s="16"/>
      <c r="LN27" s="16"/>
      <c r="LO27" s="16"/>
      <c r="LP27" s="16"/>
      <c r="LQ27" s="17"/>
    </row>
    <row r="28">
      <c r="A28" s="15" t="s">
        <v>198</v>
      </c>
      <c r="B28" s="54">
        <v>3033.0648</v>
      </c>
      <c r="C28" s="63">
        <v>22</v>
      </c>
      <c r="D28" s="65">
        <v>14183</v>
      </c>
      <c r="E28" s="30" t="s">
        <v>20</v>
      </c>
      <c r="F28" s="39" t="s">
        <v>20</v>
      </c>
      <c r="G28" s="21" t="s">
        <v>20</v>
      </c>
      <c r="H28" s="33" t="s">
        <v>20</v>
      </c>
      <c r="I28" s="33" t="s">
        <v>20</v>
      </c>
      <c r="J28" s="17"/>
      <c r="L28" s="15" t="s">
        <v>198</v>
      </c>
      <c r="M28" s="54">
        <v>2639.568</v>
      </c>
      <c r="N28" s="66">
        <v>22</v>
      </c>
      <c r="O28" s="64">
        <v>13753</v>
      </c>
      <c r="P28" s="16" t="s">
        <v>20</v>
      </c>
      <c r="Q28" s="16" t="s">
        <v>20</v>
      </c>
      <c r="R28" s="16" t="s">
        <v>20</v>
      </c>
      <c r="S28" s="16" t="s">
        <v>20</v>
      </c>
      <c r="T28" s="16" t="s">
        <v>20</v>
      </c>
      <c r="U28" s="17"/>
      <c r="W28" s="15" t="s">
        <v>198</v>
      </c>
      <c r="X28" s="54">
        <v>2844.6984</v>
      </c>
      <c r="Y28" s="66">
        <v>22</v>
      </c>
      <c r="Z28" s="68">
        <v>13534</v>
      </c>
      <c r="AA28" s="41" t="s">
        <v>20</v>
      </c>
      <c r="AB28" s="16" t="s">
        <v>20</v>
      </c>
      <c r="AC28" s="16" t="s">
        <v>20</v>
      </c>
      <c r="AD28" s="16" t="s">
        <v>20</v>
      </c>
      <c r="AE28" s="16" t="s">
        <v>20</v>
      </c>
      <c r="AF28" s="17"/>
      <c r="AH28" s="15" t="s">
        <v>198</v>
      </c>
      <c r="AI28" s="54">
        <v>2727.96</v>
      </c>
      <c r="AJ28" s="17">
        <v>22</v>
      </c>
      <c r="AK28" s="68">
        <v>13173</v>
      </c>
      <c r="AL28" s="41">
        <v>4.9999999999999964</v>
      </c>
      <c r="AM28" s="16">
        <v>16.999999998370185</v>
      </c>
      <c r="AN28" s="16" t="s">
        <v>20</v>
      </c>
      <c r="AO28" s="16">
        <v>4.5</v>
      </c>
      <c r="AP28" s="16">
        <v>3.7</v>
      </c>
      <c r="AQ28" s="17"/>
      <c r="AS28" s="15" t="s">
        <v>198</v>
      </c>
      <c r="AT28" s="54">
        <v>2627.6808</v>
      </c>
      <c r="AU28" s="17">
        <v>22</v>
      </c>
      <c r="AV28" s="68">
        <v>12832</v>
      </c>
      <c r="AW28" s="41" t="s">
        <v>20</v>
      </c>
      <c r="AX28" s="16" t="s">
        <v>20</v>
      </c>
      <c r="AY28" s="16"/>
      <c r="AZ28" s="16" t="s">
        <v>20</v>
      </c>
      <c r="BA28" s="16" t="s">
        <v>20</v>
      </c>
      <c r="BB28" s="17"/>
      <c r="BD28" s="15" t="s">
        <v>198</v>
      </c>
      <c r="BE28" s="54">
        <v>2776.728</v>
      </c>
      <c r="BF28" s="17">
        <v>22</v>
      </c>
      <c r="BG28" s="68">
        <v>13329</v>
      </c>
      <c r="BH28" s="41">
        <v>2.0000000000000018</v>
      </c>
      <c r="BI28" s="16">
        <v>13.999999999767169</v>
      </c>
      <c r="BJ28" s="16" t="s">
        <v>20</v>
      </c>
      <c r="BK28" s="16">
        <v>4.5</v>
      </c>
      <c r="BL28" s="16">
        <v>2.6</v>
      </c>
      <c r="BM28" s="17"/>
      <c r="BO28" s="15" t="s">
        <v>198</v>
      </c>
      <c r="BP28" s="54">
        <v>2775.5088</v>
      </c>
      <c r="BQ28" s="17">
        <v>22</v>
      </c>
      <c r="BR28" s="68">
        <v>13102</v>
      </c>
      <c r="BS28" s="41">
        <v>6.0000000000000053</v>
      </c>
      <c r="BT28" s="16">
        <v>12.999999999068677</v>
      </c>
      <c r="BU28" s="16" t="s">
        <v>20</v>
      </c>
      <c r="BV28" s="16">
        <v>4.5</v>
      </c>
      <c r="BW28" s="16">
        <v>2</v>
      </c>
      <c r="BX28" s="17"/>
      <c r="BZ28" s="15" t="s">
        <v>198</v>
      </c>
      <c r="CA28" s="54">
        <v>3190.3416</v>
      </c>
      <c r="CB28" s="17">
        <v>22</v>
      </c>
      <c r="CC28" s="68">
        <v>14504</v>
      </c>
      <c r="CD28" s="41">
        <v>4.0000000000000036</v>
      </c>
      <c r="CE28" s="16">
        <v>23.000000004190952</v>
      </c>
      <c r="CF28" s="16">
        <v>1250</v>
      </c>
      <c r="CG28" s="16">
        <v>5.6999999999999833</v>
      </c>
      <c r="CH28" s="16">
        <v>5.5</v>
      </c>
      <c r="CI28" s="17"/>
      <c r="CK28" s="15" t="s">
        <v>198</v>
      </c>
      <c r="CL28" s="54">
        <v>3200.0952</v>
      </c>
      <c r="CM28" s="17">
        <v>22</v>
      </c>
      <c r="CN28" s="68">
        <v>14728</v>
      </c>
      <c r="CO28" s="41">
        <v>9</v>
      </c>
      <c r="CP28" s="16">
        <v>28.999999998137355</v>
      </c>
      <c r="CQ28" s="16">
        <v>1000</v>
      </c>
      <c r="CR28" s="16">
        <v>5</v>
      </c>
      <c r="CS28" s="16">
        <v>4.8</v>
      </c>
      <c r="CT28" s="17"/>
      <c r="CV28" s="15" t="s">
        <v>198</v>
      </c>
      <c r="CW28" s="54">
        <v>2700.528</v>
      </c>
      <c r="CX28" s="17">
        <v>22</v>
      </c>
      <c r="CY28" s="43">
        <v>13054</v>
      </c>
      <c r="CZ28" s="41" t="s">
        <v>20</v>
      </c>
      <c r="DA28" s="16" t="s">
        <v>20</v>
      </c>
      <c r="DB28" s="16" t="s">
        <v>20</v>
      </c>
      <c r="DC28" s="16" t="s">
        <v>20</v>
      </c>
      <c r="DD28" s="16" t="s">
        <v>20</v>
      </c>
      <c r="DE28" s="17"/>
      <c r="DG28" s="15" t="s">
        <v>198</v>
      </c>
      <c r="DH28" s="54">
        <v>2949.8544</v>
      </c>
      <c r="DI28" s="17">
        <v>22</v>
      </c>
      <c r="DJ28" s="43">
        <v>13893</v>
      </c>
      <c r="DK28" s="41" t="s">
        <v>20</v>
      </c>
      <c r="DL28" s="16" t="s">
        <v>20</v>
      </c>
      <c r="DM28" s="16" t="s">
        <v>20</v>
      </c>
      <c r="DN28" s="16" t="s">
        <v>20</v>
      </c>
      <c r="DO28" s="16" t="s">
        <v>20</v>
      </c>
      <c r="DP28" s="17"/>
      <c r="DR28" s="15" t="s">
        <v>198</v>
      </c>
      <c r="DS28" s="54">
        <v>2851.404</v>
      </c>
      <c r="DT28" s="17">
        <v>22</v>
      </c>
      <c r="DU28" s="43">
        <v>13612</v>
      </c>
      <c r="DV28" s="41">
        <v>6.9999999999999991</v>
      </c>
      <c r="DW28" s="16">
        <v>17.000000004889444</v>
      </c>
      <c r="DX28" s="16" t="s">
        <v>20</v>
      </c>
      <c r="DY28" s="16">
        <v>4</v>
      </c>
      <c r="DZ28" s="16">
        <v>3.7</v>
      </c>
      <c r="EA28" s="17"/>
      <c r="EC28" s="15" t="s">
        <v>198</v>
      </c>
      <c r="ED28" s="54">
        <v>2502.1032</v>
      </c>
      <c r="EE28" s="17">
        <v>22</v>
      </c>
      <c r="EF28" s="43">
        <v>12445</v>
      </c>
      <c r="EG28" s="41">
        <v>4.9999999999999964</v>
      </c>
      <c r="EH28" s="16">
        <v>13.999999999068677</v>
      </c>
      <c r="EI28" s="16" t="s">
        <v>20</v>
      </c>
      <c r="EJ28" s="16">
        <v>5</v>
      </c>
      <c r="EK28" s="16">
        <v>4.3</v>
      </c>
      <c r="EL28" s="17"/>
      <c r="EN28" s="15" t="s">
        <v>198</v>
      </c>
      <c r="EO28" s="54">
        <v>2767.584</v>
      </c>
      <c r="EP28" s="17">
        <v>22</v>
      </c>
      <c r="EQ28" s="43">
        <v>13306</v>
      </c>
      <c r="ER28" s="41">
        <v>2.0000000000000018</v>
      </c>
      <c r="ES28" s="16">
        <v>34.000000002095476</v>
      </c>
      <c r="ET28" s="16" t="s">
        <v>20</v>
      </c>
      <c r="EU28" s="16">
        <v>4</v>
      </c>
      <c r="EV28" s="16">
        <v>2.8</v>
      </c>
      <c r="EW28" s="17"/>
      <c r="EY28" s="15" t="s">
        <v>198</v>
      </c>
      <c r="EZ28" s="54">
        <v>3432.6576</v>
      </c>
      <c r="FA28" s="17">
        <v>22</v>
      </c>
      <c r="FB28" s="43">
        <v>15260</v>
      </c>
      <c r="FC28" s="41">
        <v>9</v>
      </c>
      <c r="FD28" s="16">
        <v>12.999999998370185</v>
      </c>
      <c r="FE28" s="16" t="s">
        <v>20</v>
      </c>
      <c r="FF28" s="16">
        <v>5.5</v>
      </c>
      <c r="FG28" s="16">
        <v>5.5</v>
      </c>
      <c r="FH28" s="17"/>
      <c r="FJ28" s="15" t="s">
        <v>198</v>
      </c>
      <c r="FK28" s="54">
        <v>3395.7768</v>
      </c>
      <c r="FL28" s="17">
        <v>22</v>
      </c>
      <c r="FM28" s="43">
        <v>15104</v>
      </c>
      <c r="FN28" s="41">
        <v>8.0000000000000071</v>
      </c>
      <c r="FO28" s="16">
        <v>14.999999991152436</v>
      </c>
      <c r="FP28" s="16" t="s">
        <v>20</v>
      </c>
      <c r="FQ28" s="16">
        <v>5.1999999999999833</v>
      </c>
      <c r="FR28" s="16">
        <v>5.2</v>
      </c>
      <c r="FS28" s="17"/>
      <c r="FU28" s="15" t="s">
        <v>198</v>
      </c>
      <c r="FV28" s="54">
        <v>2610.9168</v>
      </c>
      <c r="FW28" s="17">
        <v>22</v>
      </c>
      <c r="FX28" s="43">
        <v>13617</v>
      </c>
      <c r="FY28" s="41">
        <v>2.9999999999999947</v>
      </c>
      <c r="FZ28" s="16">
        <v>37.000000004656613</v>
      </c>
      <c r="GA28" s="16" t="s">
        <v>20</v>
      </c>
      <c r="GB28" s="16">
        <v>4</v>
      </c>
      <c r="GC28" s="16">
        <v>4</v>
      </c>
      <c r="GD28" s="17"/>
      <c r="GF28" s="15" t="s">
        <v>198</v>
      </c>
      <c r="GG28" s="54">
        <v>2882.1888</v>
      </c>
      <c r="GH28" s="17">
        <v>22</v>
      </c>
      <c r="GI28" s="43">
        <v>13480</v>
      </c>
      <c r="GJ28" s="41">
        <v>13.999999999999998</v>
      </c>
      <c r="GK28" s="16">
        <v>20.999999998835847</v>
      </c>
      <c r="GL28" s="16">
        <v>500</v>
      </c>
      <c r="GM28" s="16">
        <v>4.5</v>
      </c>
      <c r="GN28" s="16">
        <v>4.4</v>
      </c>
      <c r="GO28" s="17"/>
      <c r="GQ28" s="15" t="s">
        <v>198</v>
      </c>
      <c r="GR28" s="54"/>
      <c r="GS28" s="17"/>
      <c r="GT28" s="43"/>
      <c r="GU28" s="41"/>
      <c r="GV28" s="16"/>
      <c r="GW28" s="16"/>
      <c r="GX28" s="16"/>
      <c r="GY28" s="16"/>
      <c r="GZ28" s="17"/>
      <c r="HB28" s="15" t="s">
        <v>198</v>
      </c>
      <c r="HC28" s="54"/>
      <c r="HD28" s="17"/>
      <c r="HE28" s="43"/>
      <c r="HF28" s="41"/>
      <c r="HG28" s="16"/>
      <c r="HH28" s="16"/>
      <c r="HI28" s="16"/>
      <c r="HJ28" s="16"/>
      <c r="HK28" s="17"/>
      <c r="HM28" s="15" t="s">
        <v>198</v>
      </c>
      <c r="HN28" s="54"/>
      <c r="HO28" s="17"/>
      <c r="HP28" s="43"/>
      <c r="HQ28" s="41"/>
      <c r="HR28" s="16"/>
      <c r="HS28" s="16"/>
      <c r="HT28" s="16"/>
      <c r="HU28" s="16"/>
      <c r="HV28" s="17"/>
      <c r="HX28" s="15" t="s">
        <v>198</v>
      </c>
      <c r="HY28" s="54"/>
      <c r="HZ28" s="17"/>
      <c r="IA28" s="43"/>
      <c r="IB28" s="41"/>
      <c r="IC28" s="16"/>
      <c r="ID28" s="16"/>
      <c r="IE28" s="16"/>
      <c r="IF28" s="16"/>
      <c r="IG28" s="17"/>
      <c r="II28" s="15" t="s">
        <v>198</v>
      </c>
      <c r="IJ28" s="54"/>
      <c r="IK28" s="17"/>
      <c r="IL28" s="43"/>
      <c r="IM28" s="41"/>
      <c r="IN28" s="16"/>
      <c r="IO28" s="16"/>
      <c r="IP28" s="16"/>
      <c r="IQ28" s="16"/>
      <c r="IR28" s="17"/>
      <c r="IT28" s="15" t="s">
        <v>198</v>
      </c>
      <c r="IU28" s="54"/>
      <c r="IV28" s="17"/>
      <c r="IW28" s="43"/>
      <c r="IX28" s="41"/>
      <c r="IY28" s="16"/>
      <c r="IZ28" s="16"/>
      <c r="JA28" s="16"/>
      <c r="JB28" s="16"/>
      <c r="JC28" s="17"/>
      <c r="JE28" s="15" t="s">
        <v>198</v>
      </c>
      <c r="JF28" s="54"/>
      <c r="JG28" s="17"/>
      <c r="JH28" s="43"/>
      <c r="JI28" s="41"/>
      <c r="JJ28" s="16"/>
      <c r="JK28" s="16"/>
      <c r="JL28" s="16"/>
      <c r="JM28" s="16"/>
      <c r="JN28" s="17"/>
      <c r="JP28" s="15" t="s">
        <v>198</v>
      </c>
      <c r="JQ28" s="54"/>
      <c r="JR28" s="17"/>
      <c r="JS28" s="43"/>
      <c r="JT28" s="41"/>
      <c r="JU28" s="16"/>
      <c r="JV28" s="16"/>
      <c r="JW28" s="16"/>
      <c r="JX28" s="16"/>
      <c r="JY28" s="17"/>
      <c r="KA28" s="15" t="s">
        <v>198</v>
      </c>
      <c r="KB28" s="54"/>
      <c r="KC28" s="17"/>
      <c r="KD28" s="43"/>
      <c r="KE28" s="41"/>
      <c r="KF28" s="16"/>
      <c r="KG28" s="16"/>
      <c r="KH28" s="16"/>
      <c r="KI28" s="16"/>
      <c r="KJ28" s="17"/>
      <c r="KL28" s="15" t="s">
        <v>198</v>
      </c>
      <c r="KM28" s="54"/>
      <c r="KN28" s="17"/>
      <c r="KO28" s="43"/>
      <c r="KP28" s="41"/>
      <c r="KQ28" s="16"/>
      <c r="KR28" s="16"/>
      <c r="KS28" s="16"/>
      <c r="KT28" s="16"/>
      <c r="KU28" s="17"/>
      <c r="KW28" s="15" t="s">
        <v>198</v>
      </c>
      <c r="KX28" s="54"/>
      <c r="KY28" s="17"/>
      <c r="KZ28" s="43"/>
      <c r="LA28" s="41"/>
      <c r="LB28" s="16"/>
      <c r="LC28" s="16"/>
      <c r="LD28" s="16"/>
      <c r="LE28" s="16"/>
      <c r="LF28" s="17"/>
      <c r="LH28" s="15" t="s">
        <v>198</v>
      </c>
      <c r="LI28" s="54"/>
      <c r="LJ28" s="17"/>
      <c r="LK28" s="43"/>
      <c r="LL28" s="41"/>
      <c r="LM28" s="16"/>
      <c r="LN28" s="16"/>
      <c r="LO28" s="16"/>
      <c r="LP28" s="16"/>
      <c r="LQ28" s="17"/>
    </row>
    <row r="29">
      <c r="A29" s="15" t="s">
        <v>199</v>
      </c>
      <c r="B29" s="54">
        <v>7832.1408</v>
      </c>
      <c r="C29" s="63">
        <v>23</v>
      </c>
      <c r="D29" s="65">
        <v>14385</v>
      </c>
      <c r="E29" s="30" t="s">
        <v>20</v>
      </c>
      <c r="F29" s="16" t="s">
        <v>20</v>
      </c>
      <c r="G29" s="21" t="s">
        <v>20</v>
      </c>
      <c r="H29" s="32" t="s">
        <v>20</v>
      </c>
      <c r="I29" s="33" t="s">
        <v>20</v>
      </c>
      <c r="J29" s="17"/>
      <c r="L29" s="15" t="s">
        <v>199</v>
      </c>
      <c r="M29" s="54">
        <v>5597.652</v>
      </c>
      <c r="N29" s="66">
        <v>23</v>
      </c>
      <c r="O29" s="64">
        <v>13996</v>
      </c>
      <c r="P29" s="16" t="s">
        <v>20</v>
      </c>
      <c r="Q29" s="16" t="s">
        <v>20</v>
      </c>
      <c r="R29" s="16" t="s">
        <v>20</v>
      </c>
      <c r="S29" s="16" t="s">
        <v>20</v>
      </c>
      <c r="T29" s="16" t="s">
        <v>20</v>
      </c>
      <c r="U29" s="17"/>
      <c r="W29" s="15" t="s">
        <v>199</v>
      </c>
      <c r="X29" s="54">
        <v>9136.6848</v>
      </c>
      <c r="Y29" s="66">
        <v>23</v>
      </c>
      <c r="Z29" s="68">
        <v>13735</v>
      </c>
      <c r="AA29" s="41" t="s">
        <v>20</v>
      </c>
      <c r="AB29" s="16" t="s">
        <v>20</v>
      </c>
      <c r="AC29" s="16" t="s">
        <v>20</v>
      </c>
      <c r="AD29" s="16" t="s">
        <v>20</v>
      </c>
      <c r="AE29" s="16" t="s">
        <v>20</v>
      </c>
      <c r="AF29" s="17"/>
      <c r="AH29" s="15" t="s">
        <v>199</v>
      </c>
      <c r="AI29" s="54">
        <v>9115.044</v>
      </c>
      <c r="AJ29" s="17">
        <v>23</v>
      </c>
      <c r="AK29" s="68">
        <v>13375</v>
      </c>
      <c r="AL29" s="41">
        <v>6.0000000000000053</v>
      </c>
      <c r="AM29" s="16">
        <v>17.000000001629815</v>
      </c>
      <c r="AN29" s="16" t="s">
        <v>20</v>
      </c>
      <c r="AO29" s="16">
        <v>4.5</v>
      </c>
      <c r="AP29" s="16">
        <v>4.3</v>
      </c>
      <c r="AQ29" s="17"/>
      <c r="AS29" s="15" t="s">
        <v>199</v>
      </c>
      <c r="AT29" s="54">
        <v>9057.132</v>
      </c>
      <c r="AU29" s="17">
        <v>23</v>
      </c>
      <c r="AV29" s="68">
        <v>13033</v>
      </c>
      <c r="AW29" s="41" t="s">
        <v>20</v>
      </c>
      <c r="AX29" s="16" t="s">
        <v>20</v>
      </c>
      <c r="AY29" s="16"/>
      <c r="AZ29" s="16" t="s">
        <v>20</v>
      </c>
      <c r="BA29" s="16" t="s">
        <v>20</v>
      </c>
      <c r="BB29" s="17"/>
      <c r="BD29" s="15" t="s">
        <v>199</v>
      </c>
      <c r="BE29" s="54">
        <v>9149.1816</v>
      </c>
      <c r="BF29" s="17">
        <v>23</v>
      </c>
      <c r="BG29" s="68">
        <v>13531</v>
      </c>
      <c r="BH29" s="41">
        <v>11.000000000000002</v>
      </c>
      <c r="BI29" s="16">
        <v>15.000000000931323</v>
      </c>
      <c r="BJ29" s="16" t="s">
        <v>20</v>
      </c>
      <c r="BK29" s="16">
        <v>4.5</v>
      </c>
      <c r="BL29" s="16">
        <v>3.1</v>
      </c>
      <c r="BM29" s="17"/>
      <c r="BO29" s="15" t="s">
        <v>199</v>
      </c>
      <c r="BP29" s="54">
        <v>9183.3192</v>
      </c>
      <c r="BQ29" s="17">
        <v>23</v>
      </c>
      <c r="BR29" s="68">
        <v>13302</v>
      </c>
      <c r="BS29" s="41">
        <v>2.9999999999999947</v>
      </c>
      <c r="BT29" s="16">
        <v>24.9999999969732</v>
      </c>
      <c r="BU29" s="16" t="s">
        <v>20</v>
      </c>
      <c r="BV29" s="16">
        <v>4.5</v>
      </c>
      <c r="BW29" s="16">
        <v>1.8</v>
      </c>
      <c r="BX29" s="17"/>
      <c r="BZ29" s="15" t="s">
        <v>199</v>
      </c>
      <c r="CA29" s="54">
        <v>5899.7088</v>
      </c>
      <c r="CB29" s="17">
        <v>23</v>
      </c>
      <c r="CC29" s="68">
        <v>14707</v>
      </c>
      <c r="CD29" s="41">
        <v>6.0000000000000053</v>
      </c>
      <c r="CE29" s="16">
        <v>27.999999996740371</v>
      </c>
      <c r="CF29" s="16">
        <v>300</v>
      </c>
      <c r="CG29" s="16">
        <v>5.6999999999999833</v>
      </c>
      <c r="CH29" s="16">
        <v>5.6</v>
      </c>
      <c r="CI29" s="17"/>
      <c r="CK29" s="15" t="s">
        <v>199</v>
      </c>
      <c r="CL29" s="54">
        <v>7937.9064000000008</v>
      </c>
      <c r="CM29" s="17">
        <v>23</v>
      </c>
      <c r="CN29" s="68">
        <v>14930</v>
      </c>
      <c r="CO29" s="41">
        <v>13.000000000000002</v>
      </c>
      <c r="CP29" s="16">
        <v>27.999999997438863</v>
      </c>
      <c r="CQ29" s="16">
        <v>1000</v>
      </c>
      <c r="CR29" s="16">
        <v>5</v>
      </c>
      <c r="CS29" s="16">
        <v>4.8</v>
      </c>
      <c r="CT29" s="17"/>
      <c r="CV29" s="15" t="s">
        <v>199</v>
      </c>
      <c r="CW29" s="54">
        <v>5869.5336000000007</v>
      </c>
      <c r="CX29" s="17">
        <v>23</v>
      </c>
      <c r="CY29" s="43">
        <v>13255</v>
      </c>
      <c r="CZ29" s="41" t="s">
        <v>20</v>
      </c>
      <c r="DA29" s="16" t="s">
        <v>20</v>
      </c>
      <c r="DB29" s="16" t="s">
        <v>20</v>
      </c>
      <c r="DC29" s="16" t="s">
        <v>20</v>
      </c>
      <c r="DD29" s="16" t="s">
        <v>20</v>
      </c>
      <c r="DE29" s="17"/>
      <c r="DG29" s="15" t="s">
        <v>199</v>
      </c>
      <c r="DH29" s="54">
        <v>9140.952</v>
      </c>
      <c r="DI29" s="17">
        <v>23</v>
      </c>
      <c r="DJ29" s="43">
        <v>14094</v>
      </c>
      <c r="DK29" s="41" t="s">
        <v>20</v>
      </c>
      <c r="DL29" s="16" t="s">
        <v>20</v>
      </c>
      <c r="DM29" s="16" t="s">
        <v>20</v>
      </c>
      <c r="DN29" s="16" t="s">
        <v>20</v>
      </c>
      <c r="DO29" s="16" t="s">
        <v>20</v>
      </c>
      <c r="DP29" s="17"/>
      <c r="DR29" s="15" t="s">
        <v>199</v>
      </c>
      <c r="DS29" s="54">
        <v>5943.9048</v>
      </c>
      <c r="DT29" s="17">
        <v>23</v>
      </c>
      <c r="DU29" s="43">
        <v>13816</v>
      </c>
      <c r="DV29" s="41">
        <v>15.000000000000048</v>
      </c>
      <c r="DW29" s="16">
        <v>3.9999999990686774</v>
      </c>
      <c r="DX29" s="16" t="s">
        <v>20</v>
      </c>
      <c r="DY29" s="16">
        <v>4</v>
      </c>
      <c r="DZ29" s="16">
        <v>3.8</v>
      </c>
      <c r="EA29" s="17"/>
      <c r="EC29" s="15" t="s">
        <v>199</v>
      </c>
      <c r="ED29" s="54">
        <v>5455.6152</v>
      </c>
      <c r="EE29" s="17">
        <v>23</v>
      </c>
      <c r="EF29" s="43">
        <v>12647</v>
      </c>
      <c r="EG29" s="41">
        <v>8.0000000000000071</v>
      </c>
      <c r="EH29" s="16">
        <v>10.999999999068677</v>
      </c>
      <c r="EI29" s="16" t="s">
        <v>20</v>
      </c>
      <c r="EJ29" s="16">
        <v>5</v>
      </c>
      <c r="EK29" s="16">
        <v>4.9</v>
      </c>
      <c r="EL29" s="17"/>
      <c r="EN29" s="15" t="s">
        <v>199</v>
      </c>
      <c r="EO29" s="54">
        <v>9158.3256</v>
      </c>
      <c r="EP29" s="17">
        <v>23</v>
      </c>
      <c r="EQ29" s="43">
        <v>13507</v>
      </c>
      <c r="ER29" s="41">
        <v>2.0000000000000018</v>
      </c>
      <c r="ES29" s="16">
        <v>16.999999999068677</v>
      </c>
      <c r="ET29" s="16" t="s">
        <v>20</v>
      </c>
      <c r="EU29" s="16">
        <v>4</v>
      </c>
      <c r="EV29" s="16">
        <v>3</v>
      </c>
      <c r="EW29" s="17"/>
      <c r="EY29" s="15" t="s">
        <v>199</v>
      </c>
      <c r="EZ29" s="54">
        <v>7826.6544</v>
      </c>
      <c r="FA29" s="17">
        <v>23</v>
      </c>
      <c r="FB29" s="43">
        <v>15460</v>
      </c>
      <c r="FC29" s="41">
        <v>6.9999999999999991</v>
      </c>
      <c r="FD29" s="16">
        <v>20.9999999969732</v>
      </c>
      <c r="FE29" s="16" t="s">
        <v>20</v>
      </c>
      <c r="FF29" s="16">
        <v>5.5</v>
      </c>
      <c r="FG29" s="16">
        <v>5.5</v>
      </c>
      <c r="FH29" s="17"/>
      <c r="FJ29" s="15" t="s">
        <v>199</v>
      </c>
      <c r="FK29" s="54">
        <v>7752.2832</v>
      </c>
      <c r="FL29" s="17">
        <v>23</v>
      </c>
      <c r="FM29" s="43">
        <v>15303</v>
      </c>
      <c r="FN29" s="41">
        <v>6.0000000000000053</v>
      </c>
      <c r="FO29" s="16">
        <v>25.999999999534339</v>
      </c>
      <c r="FP29" s="16" t="s">
        <v>20</v>
      </c>
      <c r="FQ29" s="16">
        <v>5.1999999999999833</v>
      </c>
      <c r="FR29" s="16">
        <v>5.2</v>
      </c>
      <c r="FS29" s="17"/>
      <c r="FU29" s="15" t="s">
        <v>199</v>
      </c>
      <c r="FV29" s="54">
        <v>9002.8776</v>
      </c>
      <c r="FW29" s="17">
        <v>23</v>
      </c>
      <c r="FX29" s="43">
        <v>13859</v>
      </c>
      <c r="FY29" s="41">
        <v>4.0000000000000036</v>
      </c>
      <c r="FZ29" s="16">
        <v>83.999999993480742</v>
      </c>
      <c r="GA29" s="16" t="s">
        <v>20</v>
      </c>
      <c r="GB29" s="16">
        <v>4</v>
      </c>
      <c r="GC29" s="16">
        <v>4</v>
      </c>
      <c r="GD29" s="17"/>
      <c r="GF29" s="15" t="s">
        <v>199</v>
      </c>
      <c r="GG29" s="54">
        <v>7181.088</v>
      </c>
      <c r="GH29" s="17">
        <v>23</v>
      </c>
      <c r="GI29" s="43">
        <v>13682</v>
      </c>
      <c r="GJ29" s="41">
        <v>18</v>
      </c>
      <c r="GK29" s="16">
        <v>27</v>
      </c>
      <c r="GL29" s="16">
        <v>500</v>
      </c>
      <c r="GM29" s="16">
        <v>4.5</v>
      </c>
      <c r="GN29" s="16">
        <v>4.4</v>
      </c>
      <c r="GO29" s="17"/>
      <c r="GQ29" s="15" t="s">
        <v>199</v>
      </c>
      <c r="GR29" s="54"/>
      <c r="GS29" s="17"/>
      <c r="GT29" s="43"/>
      <c r="GU29" s="41"/>
      <c r="GV29" s="16"/>
      <c r="GW29" s="16"/>
      <c r="GX29" s="16"/>
      <c r="GY29" s="16"/>
      <c r="GZ29" s="17"/>
      <c r="HB29" s="15" t="s">
        <v>199</v>
      </c>
      <c r="HC29" s="54"/>
      <c r="HD29" s="17"/>
      <c r="HE29" s="43"/>
      <c r="HF29" s="41"/>
      <c r="HG29" s="16"/>
      <c r="HH29" s="16"/>
      <c r="HI29" s="16"/>
      <c r="HJ29" s="16"/>
      <c r="HK29" s="17"/>
      <c r="HM29" s="15" t="s">
        <v>199</v>
      </c>
      <c r="HN29" s="54"/>
      <c r="HO29" s="17"/>
      <c r="HP29" s="43"/>
      <c r="HQ29" s="41"/>
      <c r="HR29" s="16"/>
      <c r="HS29" s="16"/>
      <c r="HT29" s="16"/>
      <c r="HU29" s="16"/>
      <c r="HV29" s="17"/>
      <c r="HX29" s="15" t="s">
        <v>199</v>
      </c>
      <c r="HY29" s="54"/>
      <c r="HZ29" s="17"/>
      <c r="IA29" s="43"/>
      <c r="IB29" s="41"/>
      <c r="IC29" s="16"/>
      <c r="ID29" s="16"/>
      <c r="IE29" s="16"/>
      <c r="IF29" s="16"/>
      <c r="IG29" s="17"/>
      <c r="II29" s="15" t="s">
        <v>199</v>
      </c>
      <c r="IJ29" s="54"/>
      <c r="IK29" s="17"/>
      <c r="IL29" s="43"/>
      <c r="IM29" s="41"/>
      <c r="IN29" s="16"/>
      <c r="IO29" s="16"/>
      <c r="IP29" s="16"/>
      <c r="IQ29" s="16"/>
      <c r="IR29" s="17"/>
      <c r="IT29" s="15" t="s">
        <v>199</v>
      </c>
      <c r="IU29" s="54"/>
      <c r="IV29" s="17"/>
      <c r="IW29" s="43"/>
      <c r="IX29" s="41"/>
      <c r="IY29" s="16"/>
      <c r="IZ29" s="16"/>
      <c r="JA29" s="16"/>
      <c r="JB29" s="16"/>
      <c r="JC29" s="17"/>
      <c r="JE29" s="15" t="s">
        <v>199</v>
      </c>
      <c r="JF29" s="54"/>
      <c r="JG29" s="17"/>
      <c r="JH29" s="43"/>
      <c r="JI29" s="41"/>
      <c r="JJ29" s="16"/>
      <c r="JK29" s="16"/>
      <c r="JL29" s="16"/>
      <c r="JM29" s="16"/>
      <c r="JN29" s="17"/>
      <c r="JP29" s="15" t="s">
        <v>199</v>
      </c>
      <c r="JQ29" s="54"/>
      <c r="JR29" s="17"/>
      <c r="JS29" s="43"/>
      <c r="JT29" s="41"/>
      <c r="JU29" s="16"/>
      <c r="JV29" s="16"/>
      <c r="JW29" s="16"/>
      <c r="JX29" s="16"/>
      <c r="JY29" s="17"/>
      <c r="KA29" s="15" t="s">
        <v>199</v>
      </c>
      <c r="KB29" s="54"/>
      <c r="KC29" s="17"/>
      <c r="KD29" s="43"/>
      <c r="KE29" s="41"/>
      <c r="KF29" s="16"/>
      <c r="KG29" s="16"/>
      <c r="KH29" s="16"/>
      <c r="KI29" s="16"/>
      <c r="KJ29" s="17"/>
      <c r="KL29" s="15" t="s">
        <v>199</v>
      </c>
      <c r="KM29" s="54"/>
      <c r="KN29" s="17"/>
      <c r="KO29" s="43"/>
      <c r="KP29" s="41"/>
      <c r="KQ29" s="16"/>
      <c r="KR29" s="16"/>
      <c r="KS29" s="16"/>
      <c r="KT29" s="16"/>
      <c r="KU29" s="17"/>
      <c r="KW29" s="15" t="s">
        <v>199</v>
      </c>
      <c r="KX29" s="54"/>
      <c r="KY29" s="17"/>
      <c r="KZ29" s="43"/>
      <c r="LA29" s="41"/>
      <c r="LB29" s="16"/>
      <c r="LC29" s="16"/>
      <c r="LD29" s="16"/>
      <c r="LE29" s="16"/>
      <c r="LF29" s="17"/>
      <c r="LH29" s="15" t="s">
        <v>199</v>
      </c>
      <c r="LI29" s="54"/>
      <c r="LJ29" s="17"/>
      <c r="LK29" s="43"/>
      <c r="LL29" s="41"/>
      <c r="LM29" s="16"/>
      <c r="LN29" s="16"/>
      <c r="LO29" s="16"/>
      <c r="LP29" s="16"/>
      <c r="LQ29" s="17"/>
    </row>
    <row r="30">
      <c r="A30" s="15" t="s">
        <v>200</v>
      </c>
      <c r="B30" s="49">
        <v>6</v>
      </c>
      <c r="C30" s="63">
        <v>24</v>
      </c>
      <c r="D30" s="65">
        <v>14587</v>
      </c>
      <c r="E30" s="30" t="s">
        <v>20</v>
      </c>
      <c r="F30" s="16" t="s">
        <v>20</v>
      </c>
      <c r="G30" s="21" t="s">
        <v>20</v>
      </c>
      <c r="H30" s="33" t="s">
        <v>20</v>
      </c>
      <c r="I30" s="33" t="s">
        <v>20</v>
      </c>
      <c r="J30" s="17"/>
      <c r="L30" s="15" t="s">
        <v>200</v>
      </c>
      <c r="M30" s="49">
        <v>10</v>
      </c>
      <c r="N30" s="66">
        <v>24</v>
      </c>
      <c r="O30" s="64">
        <v>14239</v>
      </c>
      <c r="P30" s="16" t="s">
        <v>20</v>
      </c>
      <c r="Q30" s="16" t="s">
        <v>20</v>
      </c>
      <c r="R30" s="16" t="s">
        <v>20</v>
      </c>
      <c r="S30" s="16" t="s">
        <v>20</v>
      </c>
      <c r="T30" s="16" t="s">
        <v>20</v>
      </c>
      <c r="U30" s="17"/>
      <c r="W30" s="15" t="s">
        <v>200</v>
      </c>
      <c r="X30" s="49">
        <v>7</v>
      </c>
      <c r="Y30" s="66">
        <v>24</v>
      </c>
      <c r="Z30" s="68">
        <v>13935</v>
      </c>
      <c r="AA30" s="41" t="s">
        <v>20</v>
      </c>
      <c r="AB30" s="16" t="s">
        <v>20</v>
      </c>
      <c r="AC30" s="16" t="s">
        <v>20</v>
      </c>
      <c r="AD30" s="16" t="s">
        <v>20</v>
      </c>
      <c r="AE30" s="16" t="s">
        <v>20</v>
      </c>
      <c r="AF30" s="17"/>
      <c r="AH30" s="15" t="s">
        <v>200</v>
      </c>
      <c r="AI30" s="49">
        <v>7</v>
      </c>
      <c r="AJ30" s="17">
        <v>24</v>
      </c>
      <c r="AK30" s="68">
        <v>13577</v>
      </c>
      <c r="AL30" s="41">
        <v>4.0000000000000036</v>
      </c>
      <c r="AM30" s="16">
        <v>19.000000001629815</v>
      </c>
      <c r="AN30" s="16" t="s">
        <v>20</v>
      </c>
      <c r="AO30" s="16">
        <v>4.5</v>
      </c>
      <c r="AP30" s="16">
        <v>4.3</v>
      </c>
      <c r="AQ30" s="17"/>
      <c r="AS30" s="15" t="s">
        <v>200</v>
      </c>
      <c r="AT30" s="49">
        <v>5</v>
      </c>
      <c r="AU30" s="17">
        <v>24</v>
      </c>
      <c r="AV30" s="68">
        <v>13234</v>
      </c>
      <c r="AW30" s="41" t="s">
        <v>20</v>
      </c>
      <c r="AX30" s="16" t="s">
        <v>20</v>
      </c>
      <c r="AY30" s="16"/>
      <c r="AZ30" s="16" t="s">
        <v>20</v>
      </c>
      <c r="BA30" s="16" t="s">
        <v>20</v>
      </c>
      <c r="BB30" s="17"/>
      <c r="BD30" s="15" t="s">
        <v>200</v>
      </c>
      <c r="BE30" s="49">
        <v>7</v>
      </c>
      <c r="BF30" s="17">
        <v>24</v>
      </c>
      <c r="BG30" s="68">
        <v>13732</v>
      </c>
      <c r="BH30" s="41">
        <v>4.0000000000000036</v>
      </c>
      <c r="BI30" s="16">
        <v>8.9999999899882823</v>
      </c>
      <c r="BJ30" s="16" t="s">
        <v>20</v>
      </c>
      <c r="BK30" s="16">
        <v>4.5</v>
      </c>
      <c r="BL30" s="16">
        <v>2.3</v>
      </c>
      <c r="BM30" s="17"/>
      <c r="BO30" s="15" t="s">
        <v>200</v>
      </c>
      <c r="BP30" s="49">
        <v>6</v>
      </c>
      <c r="BQ30" s="17">
        <v>24</v>
      </c>
      <c r="BR30" s="68">
        <v>13503</v>
      </c>
      <c r="BS30" s="41">
        <v>4.9999999999999964</v>
      </c>
      <c r="BT30" s="16">
        <v>12.999999995809048</v>
      </c>
      <c r="BU30" s="16" t="s">
        <v>20</v>
      </c>
      <c r="BV30" s="16">
        <v>4.5</v>
      </c>
      <c r="BW30" s="16">
        <v>1.8</v>
      </c>
      <c r="BX30" s="17"/>
      <c r="BZ30" s="15" t="s">
        <v>200</v>
      </c>
      <c r="CA30" s="49" t="s">
        <v>20</v>
      </c>
      <c r="CB30" s="17">
        <v>24</v>
      </c>
      <c r="CC30" s="68">
        <v>14909</v>
      </c>
      <c r="CD30" s="41">
        <v>4.0000000000000036</v>
      </c>
      <c r="CE30" s="16">
        <v>30.000000006053597</v>
      </c>
      <c r="CF30" s="16">
        <v>300</v>
      </c>
      <c r="CG30" s="16">
        <v>5.6999999999999833</v>
      </c>
      <c r="CH30" s="16">
        <v>5.6</v>
      </c>
      <c r="CI30" s="17"/>
      <c r="CK30" s="15" t="s">
        <v>200</v>
      </c>
      <c r="CL30" s="49" t="s">
        <v>20</v>
      </c>
      <c r="CM30" s="17">
        <v>24</v>
      </c>
      <c r="CN30" s="68">
        <v>15133</v>
      </c>
      <c r="CO30" s="41">
        <v>9</v>
      </c>
      <c r="CP30" s="16">
        <v>34.000000003958121</v>
      </c>
      <c r="CQ30" s="16">
        <v>1000</v>
      </c>
      <c r="CR30" s="16">
        <v>5</v>
      </c>
      <c r="CS30" s="16">
        <v>4.8</v>
      </c>
      <c r="CT30" s="17"/>
      <c r="CV30" s="15" t="s">
        <v>200</v>
      </c>
      <c r="CW30" s="49">
        <v>5</v>
      </c>
      <c r="CX30" s="17">
        <v>24</v>
      </c>
      <c r="CY30" s="43">
        <v>13455</v>
      </c>
      <c r="CZ30" s="41" t="s">
        <v>20</v>
      </c>
      <c r="DA30" s="16" t="s">
        <v>20</v>
      </c>
      <c r="DB30" s="16" t="s">
        <v>20</v>
      </c>
      <c r="DC30" s="16" t="s">
        <v>20</v>
      </c>
      <c r="DD30" s="16" t="s">
        <v>20</v>
      </c>
      <c r="DE30" s="17"/>
      <c r="DG30" s="15" t="s">
        <v>200</v>
      </c>
      <c r="DH30" s="49">
        <v>9</v>
      </c>
      <c r="DI30" s="17">
        <v>24</v>
      </c>
      <c r="DJ30" s="43">
        <v>14296</v>
      </c>
      <c r="DK30" s="41" t="s">
        <v>20</v>
      </c>
      <c r="DL30" s="16" t="s">
        <v>20</v>
      </c>
      <c r="DM30" s="16" t="s">
        <v>20</v>
      </c>
      <c r="DN30" s="16" t="s">
        <v>20</v>
      </c>
      <c r="DO30" s="16" t="s">
        <v>20</v>
      </c>
      <c r="DP30" s="17"/>
      <c r="DR30" s="15" t="s">
        <v>200</v>
      </c>
      <c r="DS30" s="49">
        <v>9</v>
      </c>
      <c r="DT30" s="17">
        <v>24</v>
      </c>
      <c r="DU30" s="43">
        <v>14019</v>
      </c>
      <c r="DV30" s="41">
        <v>13.000000000000002</v>
      </c>
      <c r="DW30" s="16">
        <v>14.999999996973202</v>
      </c>
      <c r="DX30" s="16" t="s">
        <v>20</v>
      </c>
      <c r="DY30" s="16">
        <v>4</v>
      </c>
      <c r="DZ30" s="16">
        <v>3.8</v>
      </c>
      <c r="EA30" s="17"/>
      <c r="EC30" s="15" t="s">
        <v>200</v>
      </c>
      <c r="ED30" s="49">
        <v>10</v>
      </c>
      <c r="EE30" s="17">
        <v>24</v>
      </c>
      <c r="EF30" s="43">
        <v>12850</v>
      </c>
      <c r="EG30" s="41">
        <v>8.0000000000000071</v>
      </c>
      <c r="EH30" s="16">
        <v>11.000000009546056</v>
      </c>
      <c r="EI30" s="16" t="s">
        <v>20</v>
      </c>
      <c r="EJ30" s="16">
        <v>5</v>
      </c>
      <c r="EK30" s="16">
        <v>4.4</v>
      </c>
      <c r="EL30" s="17"/>
      <c r="EN30" s="15" t="s">
        <v>200</v>
      </c>
      <c r="EO30" s="49">
        <v>5</v>
      </c>
      <c r="EP30" s="17">
        <v>24</v>
      </c>
      <c r="EQ30" s="43">
        <v>13709</v>
      </c>
      <c r="ER30" s="41">
        <v>2.0000000000000018</v>
      </c>
      <c r="ES30" s="16">
        <v>50.999999997671694</v>
      </c>
      <c r="ET30" s="16" t="s">
        <v>20</v>
      </c>
      <c r="EU30" s="16">
        <v>4</v>
      </c>
      <c r="EV30" s="16">
        <v>3</v>
      </c>
      <c r="EW30" s="17"/>
      <c r="EY30" s="15" t="s">
        <v>200</v>
      </c>
      <c r="EZ30" s="49">
        <v>16</v>
      </c>
      <c r="FA30" s="17">
        <v>24</v>
      </c>
      <c r="FB30" s="43">
        <v>15661</v>
      </c>
      <c r="FC30" s="41">
        <v>8.0000000000000071</v>
      </c>
      <c r="FD30" s="16">
        <v>16.000000004889444</v>
      </c>
      <c r="FE30" s="16" t="s">
        <v>20</v>
      </c>
      <c r="FF30" s="16">
        <v>5.5</v>
      </c>
      <c r="FG30" s="16">
        <v>5.5</v>
      </c>
      <c r="FH30" s="17"/>
      <c r="FJ30" s="15" t="s">
        <v>200</v>
      </c>
      <c r="FK30" s="49">
        <v>16</v>
      </c>
      <c r="FL30" s="17">
        <v>24</v>
      </c>
      <c r="FM30" s="43">
        <v>15502</v>
      </c>
      <c r="FN30" s="41">
        <v>9</v>
      </c>
      <c r="FO30" s="16">
        <v>13.000000008847564</v>
      </c>
      <c r="FP30" s="16" t="s">
        <v>20</v>
      </c>
      <c r="FQ30" s="16">
        <v>5.1999999999999833</v>
      </c>
      <c r="FR30" s="16">
        <v>5.2</v>
      </c>
      <c r="FS30" s="17"/>
      <c r="FU30" s="15" t="s">
        <v>200</v>
      </c>
      <c r="FV30" s="49">
        <v>5</v>
      </c>
      <c r="FW30" s="17">
        <v>24</v>
      </c>
      <c r="FX30" s="43">
        <v>14100</v>
      </c>
      <c r="FY30" s="41">
        <v>2.9999999999999947</v>
      </c>
      <c r="FZ30" s="16">
        <v>39.000000000698492</v>
      </c>
      <c r="GA30" s="16" t="s">
        <v>20</v>
      </c>
      <c r="GB30" s="16">
        <v>4</v>
      </c>
      <c r="GC30" s="16">
        <v>4</v>
      </c>
      <c r="GD30" s="17"/>
      <c r="GF30" s="15" t="s">
        <v>200</v>
      </c>
      <c r="GG30" s="49">
        <v>8</v>
      </c>
      <c r="GH30" s="17">
        <v>24</v>
      </c>
      <c r="GI30" s="43">
        <v>13884</v>
      </c>
      <c r="GJ30" s="41">
        <v>9</v>
      </c>
      <c r="GK30" s="16">
        <v>38.999999999301508</v>
      </c>
      <c r="GL30" s="16">
        <v>500</v>
      </c>
      <c r="GM30" s="16">
        <v>4.5</v>
      </c>
      <c r="GN30" s="16">
        <v>4.4</v>
      </c>
      <c r="GO30" s="17"/>
      <c r="GQ30" s="15" t="s">
        <v>200</v>
      </c>
      <c r="GR30" s="49"/>
      <c r="GS30" s="17"/>
      <c r="GT30" s="43"/>
      <c r="GU30" s="41"/>
      <c r="GV30" s="16"/>
      <c r="GW30" s="16"/>
      <c r="GX30" s="16"/>
      <c r="GY30" s="16"/>
      <c r="GZ30" s="17"/>
      <c r="HB30" s="15" t="s">
        <v>200</v>
      </c>
      <c r="HC30" s="49"/>
      <c r="HD30" s="17"/>
      <c r="HE30" s="43"/>
      <c r="HF30" s="41"/>
      <c r="HG30" s="16"/>
      <c r="HH30" s="16"/>
      <c r="HI30" s="16"/>
      <c r="HJ30" s="16"/>
      <c r="HK30" s="17"/>
      <c r="HM30" s="15" t="s">
        <v>200</v>
      </c>
      <c r="HN30" s="49"/>
      <c r="HO30" s="17"/>
      <c r="HP30" s="43"/>
      <c r="HQ30" s="41"/>
      <c r="HR30" s="16"/>
      <c r="HS30" s="16"/>
      <c r="HT30" s="16"/>
      <c r="HU30" s="16"/>
      <c r="HV30" s="17"/>
      <c r="HX30" s="15" t="s">
        <v>200</v>
      </c>
      <c r="HY30" s="49"/>
      <c r="HZ30" s="17"/>
      <c r="IA30" s="43"/>
      <c r="IB30" s="41"/>
      <c r="IC30" s="16"/>
      <c r="ID30" s="16"/>
      <c r="IE30" s="16"/>
      <c r="IF30" s="16"/>
      <c r="IG30" s="17"/>
      <c r="II30" s="15" t="s">
        <v>200</v>
      </c>
      <c r="IJ30" s="49"/>
      <c r="IK30" s="17"/>
      <c r="IL30" s="43"/>
      <c r="IM30" s="41"/>
      <c r="IN30" s="16"/>
      <c r="IO30" s="16"/>
      <c r="IP30" s="16"/>
      <c r="IQ30" s="16"/>
      <c r="IR30" s="17"/>
      <c r="IT30" s="15" t="s">
        <v>200</v>
      </c>
      <c r="IU30" s="49"/>
      <c r="IV30" s="17"/>
      <c r="IW30" s="43"/>
      <c r="IX30" s="41"/>
      <c r="IY30" s="16"/>
      <c r="IZ30" s="16"/>
      <c r="JA30" s="16"/>
      <c r="JB30" s="16"/>
      <c r="JC30" s="17"/>
      <c r="JE30" s="15" t="s">
        <v>200</v>
      </c>
      <c r="JF30" s="49"/>
      <c r="JG30" s="17"/>
      <c r="JH30" s="43"/>
      <c r="JI30" s="41"/>
      <c r="JJ30" s="16"/>
      <c r="JK30" s="16"/>
      <c r="JL30" s="16"/>
      <c r="JM30" s="16"/>
      <c r="JN30" s="17"/>
      <c r="JP30" s="15" t="s">
        <v>200</v>
      </c>
      <c r="JQ30" s="49"/>
      <c r="JR30" s="17"/>
      <c r="JS30" s="43"/>
      <c r="JT30" s="41"/>
      <c r="JU30" s="16"/>
      <c r="JV30" s="16"/>
      <c r="JW30" s="16"/>
      <c r="JX30" s="16"/>
      <c r="JY30" s="17"/>
      <c r="KA30" s="15" t="s">
        <v>200</v>
      </c>
      <c r="KB30" s="49"/>
      <c r="KC30" s="17"/>
      <c r="KD30" s="43"/>
      <c r="KE30" s="41"/>
      <c r="KF30" s="16"/>
      <c r="KG30" s="16"/>
      <c r="KH30" s="16"/>
      <c r="KI30" s="16"/>
      <c r="KJ30" s="17"/>
      <c r="KL30" s="15" t="s">
        <v>200</v>
      </c>
      <c r="KM30" s="49"/>
      <c r="KN30" s="17"/>
      <c r="KO30" s="43"/>
      <c r="KP30" s="41"/>
      <c r="KQ30" s="16"/>
      <c r="KR30" s="16"/>
      <c r="KS30" s="16"/>
      <c r="KT30" s="16"/>
      <c r="KU30" s="17"/>
      <c r="KW30" s="15" t="s">
        <v>200</v>
      </c>
      <c r="KX30" s="49"/>
      <c r="KY30" s="17"/>
      <c r="KZ30" s="43"/>
      <c r="LA30" s="41"/>
      <c r="LB30" s="16"/>
      <c r="LC30" s="16"/>
      <c r="LD30" s="16"/>
      <c r="LE30" s="16"/>
      <c r="LF30" s="17"/>
      <c r="LH30" s="15" t="s">
        <v>200</v>
      </c>
      <c r="LI30" s="49"/>
      <c r="LJ30" s="17"/>
      <c r="LK30" s="43"/>
      <c r="LL30" s="41"/>
      <c r="LM30" s="16"/>
      <c r="LN30" s="16"/>
      <c r="LO30" s="16"/>
      <c r="LP30" s="16"/>
      <c r="LQ30" s="17"/>
    </row>
    <row r="31">
      <c r="A31" s="15" t="s">
        <v>29</v>
      </c>
      <c r="B31" s="49" t="s">
        <v>201</v>
      </c>
      <c r="C31" s="63">
        <v>25</v>
      </c>
      <c r="D31" s="65">
        <v>14788</v>
      </c>
      <c r="E31" s="30" t="s">
        <v>20</v>
      </c>
      <c r="F31" s="16" t="s">
        <v>20</v>
      </c>
      <c r="G31" s="21" t="s">
        <v>20</v>
      </c>
      <c r="H31" s="32" t="s">
        <v>20</v>
      </c>
      <c r="I31" s="33" t="s">
        <v>20</v>
      </c>
      <c r="J31" s="17"/>
      <c r="L31" s="15" t="s">
        <v>29</v>
      </c>
      <c r="M31" s="49" t="s">
        <v>202</v>
      </c>
      <c r="N31" s="66">
        <v>25</v>
      </c>
      <c r="O31" s="64">
        <v>14482</v>
      </c>
      <c r="P31" s="16" t="s">
        <v>20</v>
      </c>
      <c r="Q31" s="16" t="s">
        <v>20</v>
      </c>
      <c r="R31" s="16" t="s">
        <v>20</v>
      </c>
      <c r="S31" s="16" t="s">
        <v>20</v>
      </c>
      <c r="T31" s="16" t="s">
        <v>20</v>
      </c>
      <c r="U31" s="17"/>
      <c r="W31" s="15" t="s">
        <v>29</v>
      </c>
      <c r="X31" s="49" t="s">
        <v>203</v>
      </c>
      <c r="Y31" s="66">
        <v>25</v>
      </c>
      <c r="Z31" s="68">
        <v>14136</v>
      </c>
      <c r="AA31" s="41" t="s">
        <v>20</v>
      </c>
      <c r="AB31" s="16" t="s">
        <v>20</v>
      </c>
      <c r="AC31" s="16" t="s">
        <v>20</v>
      </c>
      <c r="AD31" s="16" t="s">
        <v>20</v>
      </c>
      <c r="AE31" s="16" t="s">
        <v>20</v>
      </c>
      <c r="AF31" s="17"/>
      <c r="AH31" s="15" t="s">
        <v>29</v>
      </c>
      <c r="AI31" s="49" t="s">
        <v>203</v>
      </c>
      <c r="AJ31" s="17">
        <v>25</v>
      </c>
      <c r="AK31" s="68">
        <v>13778</v>
      </c>
      <c r="AL31" s="41">
        <v>4.0000000000000036</v>
      </c>
      <c r="AM31" s="16">
        <v>22.000000000931323</v>
      </c>
      <c r="AN31" s="16" t="s">
        <v>20</v>
      </c>
      <c r="AO31" s="16">
        <v>4.5</v>
      </c>
      <c r="AP31" s="16">
        <v>3.8</v>
      </c>
      <c r="AQ31" s="17"/>
      <c r="AS31" s="15" t="s">
        <v>29</v>
      </c>
      <c r="AT31" s="49" t="s">
        <v>203</v>
      </c>
      <c r="AU31" s="17">
        <v>25</v>
      </c>
      <c r="AV31" s="68">
        <v>13435</v>
      </c>
      <c r="AW31" s="41" t="s">
        <v>20</v>
      </c>
      <c r="AX31" s="16" t="s">
        <v>20</v>
      </c>
      <c r="AY31" s="16"/>
      <c r="AZ31" s="16" t="s">
        <v>20</v>
      </c>
      <c r="BA31" s="16" t="s">
        <v>20</v>
      </c>
      <c r="BB31" s="17"/>
      <c r="BD31" s="15" t="s">
        <v>29</v>
      </c>
      <c r="BE31" s="49" t="s">
        <v>203</v>
      </c>
      <c r="BF31" s="17">
        <v>25</v>
      </c>
      <c r="BG31" s="68">
        <v>13934</v>
      </c>
      <c r="BH31" s="41">
        <v>4.9999999999999964</v>
      </c>
      <c r="BI31" s="16">
        <v>14.000000009546056</v>
      </c>
      <c r="BJ31" s="16" t="s">
        <v>20</v>
      </c>
      <c r="BK31" s="16">
        <v>4.5</v>
      </c>
      <c r="BL31" s="16">
        <v>3.3</v>
      </c>
      <c r="BM31" s="17"/>
      <c r="BO31" s="15" t="s">
        <v>29</v>
      </c>
      <c r="BP31" s="49" t="s">
        <v>204</v>
      </c>
      <c r="BQ31" s="17">
        <v>25</v>
      </c>
      <c r="BR31" s="68">
        <v>13703</v>
      </c>
      <c r="BS31" s="41">
        <v>4.9999999999999964</v>
      </c>
      <c r="BT31" s="16">
        <v>19.000000004889444</v>
      </c>
      <c r="BU31" s="16" t="s">
        <v>20</v>
      </c>
      <c r="BV31" s="16">
        <v>4.5</v>
      </c>
      <c r="BW31" s="16">
        <v>2.4</v>
      </c>
      <c r="BX31" s="17"/>
      <c r="BZ31" s="15" t="s">
        <v>29</v>
      </c>
      <c r="CA31" s="49" t="s">
        <v>205</v>
      </c>
      <c r="CB31" s="17">
        <v>25</v>
      </c>
      <c r="CC31" s="68">
        <v>15112</v>
      </c>
      <c r="CD31" s="41">
        <v>4.0000000000000036</v>
      </c>
      <c r="CE31" s="16">
        <v>30.999999998835847</v>
      </c>
      <c r="CF31" s="16">
        <v>400</v>
      </c>
      <c r="CG31" s="16">
        <v>5.6999999999999833</v>
      </c>
      <c r="CH31" s="16">
        <v>5.6</v>
      </c>
      <c r="CI31" s="17"/>
      <c r="CK31" s="15" t="s">
        <v>29</v>
      </c>
      <c r="CL31" s="49" t="s">
        <v>201</v>
      </c>
      <c r="CM31" s="17">
        <v>25</v>
      </c>
      <c r="CN31" s="68">
        <v>15335</v>
      </c>
      <c r="CO31" s="41">
        <v>22.000000000000032</v>
      </c>
      <c r="CP31" s="16">
        <v>31.999999997904524</v>
      </c>
      <c r="CQ31" s="16">
        <v>1000</v>
      </c>
      <c r="CR31" s="16">
        <v>5</v>
      </c>
      <c r="CS31" s="16">
        <v>4.8</v>
      </c>
      <c r="CT31" s="17"/>
      <c r="CV31" s="15" t="s">
        <v>29</v>
      </c>
      <c r="CW31" s="49" t="s">
        <v>203</v>
      </c>
      <c r="CX31" s="17">
        <v>25</v>
      </c>
      <c r="CY31" s="43">
        <v>13655</v>
      </c>
      <c r="CZ31" s="41" t="s">
        <v>20</v>
      </c>
      <c r="DA31" s="16" t="s">
        <v>20</v>
      </c>
      <c r="DB31" s="16" t="s">
        <v>20</v>
      </c>
      <c r="DC31" s="16" t="s">
        <v>20</v>
      </c>
      <c r="DD31" s="16" t="s">
        <v>20</v>
      </c>
      <c r="DE31" s="17"/>
      <c r="DG31" s="15" t="s">
        <v>29</v>
      </c>
      <c r="DH31" s="49" t="s">
        <v>206</v>
      </c>
      <c r="DI31" s="17">
        <v>25</v>
      </c>
      <c r="DJ31" s="43">
        <v>14497</v>
      </c>
      <c r="DK31" s="41" t="s">
        <v>20</v>
      </c>
      <c r="DL31" s="16" t="s">
        <v>20</v>
      </c>
      <c r="DM31" s="16" t="s">
        <v>20</v>
      </c>
      <c r="DN31" s="16" t="s">
        <v>20</v>
      </c>
      <c r="DO31" s="16" t="s">
        <v>20</v>
      </c>
      <c r="DP31" s="17"/>
      <c r="DR31" s="15" t="s">
        <v>29</v>
      </c>
      <c r="DS31" s="49" t="s">
        <v>206</v>
      </c>
      <c r="DT31" s="17">
        <v>25</v>
      </c>
      <c r="DU31" s="43">
        <v>14222</v>
      </c>
      <c r="DV31" s="41">
        <v>15.000000000000048</v>
      </c>
      <c r="DW31" s="16">
        <v>9.9999999976716936</v>
      </c>
      <c r="DX31" s="16" t="s">
        <v>20</v>
      </c>
      <c r="DY31" s="16">
        <v>4</v>
      </c>
      <c r="DZ31" s="16">
        <v>3.8</v>
      </c>
      <c r="EA31" s="17"/>
      <c r="EC31" s="15" t="s">
        <v>29</v>
      </c>
      <c r="ED31" s="49" t="s">
        <v>203</v>
      </c>
      <c r="EE31" s="17">
        <v>25</v>
      </c>
      <c r="EF31" s="43">
        <v>13052</v>
      </c>
      <c r="EG31" s="41">
        <v>13.000000000000002</v>
      </c>
      <c r="EH31" s="16">
        <v>30.999999996740371</v>
      </c>
      <c r="EI31" s="16" t="s">
        <v>20</v>
      </c>
      <c r="EJ31" s="16">
        <v>5</v>
      </c>
      <c r="EK31" s="16">
        <v>5.2</v>
      </c>
      <c r="EL31" s="17"/>
      <c r="EN31" s="15" t="s">
        <v>29</v>
      </c>
      <c r="EO31" s="49" t="s">
        <v>203</v>
      </c>
      <c r="EP31" s="17">
        <v>25</v>
      </c>
      <c r="EQ31" s="43">
        <v>13911</v>
      </c>
      <c r="ER31" s="41">
        <v>2.0000000000000018</v>
      </c>
      <c r="ES31" s="16">
        <v>16.999999999068677</v>
      </c>
      <c r="ET31" s="16" t="s">
        <v>20</v>
      </c>
      <c r="EU31" s="16">
        <v>4</v>
      </c>
      <c r="EV31" s="16">
        <v>3</v>
      </c>
      <c r="EW31" s="17"/>
      <c r="EY31" s="15" t="s">
        <v>29</v>
      </c>
      <c r="EZ31" s="49" t="s">
        <v>207</v>
      </c>
      <c r="FA31" s="17">
        <v>25</v>
      </c>
      <c r="FB31" s="43">
        <v>15862</v>
      </c>
      <c r="FC31" s="41">
        <v>11.999999999999995</v>
      </c>
      <c r="FD31" s="16">
        <v>11.999999994412065</v>
      </c>
      <c r="FE31" s="16" t="s">
        <v>20</v>
      </c>
      <c r="FF31" s="16">
        <v>5.5</v>
      </c>
      <c r="FG31" s="16">
        <v>5.5</v>
      </c>
      <c r="FH31" s="17"/>
      <c r="FJ31" s="15" t="s">
        <v>29</v>
      </c>
      <c r="FK31" s="49" t="s">
        <v>207</v>
      </c>
      <c r="FL31" s="17">
        <v>25</v>
      </c>
      <c r="FM31" s="43">
        <v>15701</v>
      </c>
      <c r="FN31" s="41">
        <v>8.0000000000000071</v>
      </c>
      <c r="FO31" s="16">
        <v>21.999999993015081</v>
      </c>
      <c r="FP31" s="16" t="s">
        <v>20</v>
      </c>
      <c r="FQ31" s="16">
        <v>5.1999999999999833</v>
      </c>
      <c r="FR31" s="16">
        <v>5.2</v>
      </c>
      <c r="FS31" s="17"/>
      <c r="FU31" s="15" t="s">
        <v>29</v>
      </c>
      <c r="FV31" s="49" t="s">
        <v>202</v>
      </c>
      <c r="FW31" s="17">
        <v>25</v>
      </c>
      <c r="FX31" s="43">
        <v>14341</v>
      </c>
      <c r="FY31" s="41">
        <v>2.9999999999999947</v>
      </c>
      <c r="FZ31" s="16">
        <v>87</v>
      </c>
      <c r="GA31" s="16" t="s">
        <v>20</v>
      </c>
      <c r="GB31" s="16">
        <v>4</v>
      </c>
      <c r="GC31" s="16">
        <v>3.9</v>
      </c>
      <c r="GD31" s="17"/>
      <c r="GF31" s="15" t="s">
        <v>29</v>
      </c>
      <c r="GG31" s="49" t="s">
        <v>203</v>
      </c>
      <c r="GH31" s="17">
        <v>25</v>
      </c>
      <c r="GI31" s="43">
        <v>14085</v>
      </c>
      <c r="GJ31" s="41">
        <v>8.0000000000000071</v>
      </c>
      <c r="GK31" s="16">
        <v>67.00000000349246</v>
      </c>
      <c r="GL31" s="16">
        <v>500</v>
      </c>
      <c r="GM31" s="16">
        <v>4.5</v>
      </c>
      <c r="GN31" s="16">
        <v>4.4</v>
      </c>
      <c r="GO31" s="17"/>
      <c r="GQ31" s="15" t="s">
        <v>29</v>
      </c>
      <c r="GR31" s="49"/>
      <c r="GS31" s="17"/>
      <c r="GT31" s="43"/>
      <c r="GU31" s="41"/>
      <c r="GV31" s="16"/>
      <c r="GW31" s="16"/>
      <c r="GX31" s="16"/>
      <c r="GY31" s="16"/>
      <c r="GZ31" s="17"/>
      <c r="HB31" s="15" t="s">
        <v>29</v>
      </c>
      <c r="HC31" s="49"/>
      <c r="HD31" s="17"/>
      <c r="HE31" s="43"/>
      <c r="HF31" s="41"/>
      <c r="HG31" s="16"/>
      <c r="HH31" s="16"/>
      <c r="HI31" s="16"/>
      <c r="HJ31" s="16"/>
      <c r="HK31" s="17"/>
      <c r="HM31" s="15" t="s">
        <v>29</v>
      </c>
      <c r="HN31" s="49"/>
      <c r="HO31" s="17"/>
      <c r="HP31" s="43"/>
      <c r="HQ31" s="41"/>
      <c r="HR31" s="16"/>
      <c r="HS31" s="16"/>
      <c r="HT31" s="16"/>
      <c r="HU31" s="16"/>
      <c r="HV31" s="17"/>
      <c r="HX31" s="15" t="s">
        <v>29</v>
      </c>
      <c r="HY31" s="49"/>
      <c r="HZ31" s="17"/>
      <c r="IA31" s="43"/>
      <c r="IB31" s="41"/>
      <c r="IC31" s="16"/>
      <c r="ID31" s="16"/>
      <c r="IE31" s="16"/>
      <c r="IF31" s="16"/>
      <c r="IG31" s="17"/>
      <c r="II31" s="15" t="s">
        <v>29</v>
      </c>
      <c r="IJ31" s="49"/>
      <c r="IK31" s="17"/>
      <c r="IL31" s="43"/>
      <c r="IM31" s="41"/>
      <c r="IN31" s="16"/>
      <c r="IO31" s="16"/>
      <c r="IP31" s="16"/>
      <c r="IQ31" s="16"/>
      <c r="IR31" s="17"/>
      <c r="IT31" s="15" t="s">
        <v>29</v>
      </c>
      <c r="IU31" s="49"/>
      <c r="IV31" s="17"/>
      <c r="IW31" s="43"/>
      <c r="IX31" s="41"/>
      <c r="IY31" s="16"/>
      <c r="IZ31" s="16"/>
      <c r="JA31" s="16"/>
      <c r="JB31" s="16"/>
      <c r="JC31" s="17"/>
      <c r="JE31" s="15" t="s">
        <v>29</v>
      </c>
      <c r="JF31" s="49"/>
      <c r="JG31" s="17"/>
      <c r="JH31" s="43"/>
      <c r="JI31" s="41"/>
      <c r="JJ31" s="16"/>
      <c r="JK31" s="16"/>
      <c r="JL31" s="16"/>
      <c r="JM31" s="16"/>
      <c r="JN31" s="17"/>
      <c r="JP31" s="15" t="s">
        <v>29</v>
      </c>
      <c r="JQ31" s="49"/>
      <c r="JR31" s="17"/>
      <c r="JS31" s="43"/>
      <c r="JT31" s="41"/>
      <c r="JU31" s="16"/>
      <c r="JV31" s="16"/>
      <c r="JW31" s="16"/>
      <c r="JX31" s="16"/>
      <c r="JY31" s="17"/>
      <c r="KA31" s="15" t="s">
        <v>29</v>
      </c>
      <c r="KB31" s="49"/>
      <c r="KC31" s="17"/>
      <c r="KD31" s="43"/>
      <c r="KE31" s="41"/>
      <c r="KF31" s="16"/>
      <c r="KG31" s="16"/>
      <c r="KH31" s="16"/>
      <c r="KI31" s="16"/>
      <c r="KJ31" s="17"/>
      <c r="KL31" s="15" t="s">
        <v>29</v>
      </c>
      <c r="KM31" s="49"/>
      <c r="KN31" s="17"/>
      <c r="KO31" s="43"/>
      <c r="KP31" s="41"/>
      <c r="KQ31" s="16"/>
      <c r="KR31" s="16"/>
      <c r="KS31" s="16"/>
      <c r="KT31" s="16"/>
      <c r="KU31" s="17"/>
      <c r="KW31" s="15" t="s">
        <v>29</v>
      </c>
      <c r="KX31" s="49"/>
      <c r="KY31" s="17"/>
      <c r="KZ31" s="43"/>
      <c r="LA31" s="41"/>
      <c r="LB31" s="16"/>
      <c r="LC31" s="16"/>
      <c r="LD31" s="16"/>
      <c r="LE31" s="16"/>
      <c r="LF31" s="17"/>
      <c r="LH31" s="15" t="s">
        <v>29</v>
      </c>
      <c r="LI31" s="49"/>
      <c r="LJ31" s="17"/>
      <c r="LK31" s="43"/>
      <c r="LL31" s="41"/>
      <c r="LM31" s="16"/>
      <c r="LN31" s="16"/>
      <c r="LO31" s="16"/>
      <c r="LP31" s="16"/>
      <c r="LQ31" s="17"/>
    </row>
    <row r="32" ht="15.75" customHeight="1">
      <c r="A32" s="15" t="s">
        <v>208</v>
      </c>
      <c r="B32" s="49" t="s">
        <v>20</v>
      </c>
      <c r="C32" s="63">
        <v>26</v>
      </c>
      <c r="D32" s="65">
        <v>14992</v>
      </c>
      <c r="E32" s="30" t="s">
        <v>20</v>
      </c>
      <c r="F32" s="16" t="s">
        <v>20</v>
      </c>
      <c r="G32" s="21" t="s">
        <v>20</v>
      </c>
      <c r="H32" s="33" t="s">
        <v>20</v>
      </c>
      <c r="I32" s="33" t="s">
        <v>20</v>
      </c>
      <c r="J32" s="17"/>
      <c r="L32" s="15" t="s">
        <v>208</v>
      </c>
      <c r="M32" s="49" t="s">
        <v>20</v>
      </c>
      <c r="N32" s="66">
        <v>26</v>
      </c>
      <c r="O32" s="64">
        <v>14725</v>
      </c>
      <c r="P32" s="16" t="s">
        <v>20</v>
      </c>
      <c r="Q32" s="16" t="s">
        <v>20</v>
      </c>
      <c r="R32" s="16" t="s">
        <v>20</v>
      </c>
      <c r="S32" s="16" t="s">
        <v>20</v>
      </c>
      <c r="T32" s="16" t="s">
        <v>20</v>
      </c>
      <c r="U32" s="17"/>
      <c r="W32" s="15" t="s">
        <v>208</v>
      </c>
      <c r="X32" s="49" t="s">
        <v>20</v>
      </c>
      <c r="Y32" s="66">
        <v>26</v>
      </c>
      <c r="Z32" s="68">
        <v>14336</v>
      </c>
      <c r="AA32" s="41" t="s">
        <v>20</v>
      </c>
      <c r="AB32" s="16" t="s">
        <v>20</v>
      </c>
      <c r="AC32" s="16" t="s">
        <v>20</v>
      </c>
      <c r="AD32" s="16" t="s">
        <v>20</v>
      </c>
      <c r="AE32" s="16" t="s">
        <v>20</v>
      </c>
      <c r="AF32" s="17"/>
      <c r="AH32" s="15" t="s">
        <v>208</v>
      </c>
      <c r="AI32" s="49" t="s">
        <v>20</v>
      </c>
      <c r="AJ32" s="17">
        <v>26</v>
      </c>
      <c r="AK32" s="68">
        <v>13980</v>
      </c>
      <c r="AL32" s="41">
        <v>9</v>
      </c>
      <c r="AM32" s="16">
        <v>17.000000000931323</v>
      </c>
      <c r="AN32" s="16" t="s">
        <v>20</v>
      </c>
      <c r="AO32" s="16">
        <v>4.5</v>
      </c>
      <c r="AP32" s="16">
        <v>4.6</v>
      </c>
      <c r="AQ32" s="17"/>
      <c r="AS32" s="15" t="s">
        <v>208</v>
      </c>
      <c r="AT32" s="49" t="s">
        <v>20</v>
      </c>
      <c r="AU32" s="17">
        <v>26</v>
      </c>
      <c r="AV32" s="68">
        <v>13636</v>
      </c>
      <c r="AW32" s="41" t="s">
        <v>20</v>
      </c>
      <c r="AX32" s="16" t="s">
        <v>20</v>
      </c>
      <c r="AY32" s="16"/>
      <c r="AZ32" s="16" t="s">
        <v>20</v>
      </c>
      <c r="BA32" s="16" t="s">
        <v>20</v>
      </c>
      <c r="BB32" s="17"/>
      <c r="BD32" s="15" t="s">
        <v>208</v>
      </c>
      <c r="BE32" s="49" t="s">
        <v>20</v>
      </c>
      <c r="BF32" s="17">
        <v>26</v>
      </c>
      <c r="BG32" s="68">
        <v>14135</v>
      </c>
      <c r="BH32" s="41">
        <v>2.9999999999999947</v>
      </c>
      <c r="BI32" s="16">
        <v>11.99999999650754</v>
      </c>
      <c r="BJ32" s="16" t="s">
        <v>20</v>
      </c>
      <c r="BK32" s="16">
        <v>4.5</v>
      </c>
      <c r="BL32" s="16">
        <v>2.7</v>
      </c>
      <c r="BM32" s="17"/>
      <c r="BO32" s="15" t="s">
        <v>208</v>
      </c>
      <c r="BP32" s="49" t="s">
        <v>20</v>
      </c>
      <c r="BQ32" s="17">
        <v>26</v>
      </c>
      <c r="BR32" s="68">
        <v>13903</v>
      </c>
      <c r="BS32" s="41">
        <v>4.9999999999999964</v>
      </c>
      <c r="BT32" s="16">
        <v>24.000000000232831</v>
      </c>
      <c r="BU32" s="16" t="s">
        <v>20</v>
      </c>
      <c r="BV32" s="16">
        <v>4.5</v>
      </c>
      <c r="BW32" s="16">
        <v>2.5</v>
      </c>
      <c r="BX32" s="17"/>
      <c r="BZ32" s="15" t="s">
        <v>208</v>
      </c>
      <c r="CA32" s="49" t="s">
        <v>20</v>
      </c>
      <c r="CB32" s="17">
        <v>26</v>
      </c>
      <c r="CC32" s="68">
        <v>15315</v>
      </c>
      <c r="CD32" s="41">
        <v>4.9999999999999964</v>
      </c>
      <c r="CE32" s="16">
        <v>25.00000000349246</v>
      </c>
      <c r="CF32" s="16">
        <v>500</v>
      </c>
      <c r="CG32" s="16">
        <v>5.6999999999999833</v>
      </c>
      <c r="CH32" s="16">
        <v>5.7</v>
      </c>
      <c r="CI32" s="17"/>
      <c r="CK32" s="15" t="s">
        <v>208</v>
      </c>
      <c r="CL32" s="49" t="s">
        <v>20</v>
      </c>
      <c r="CM32" s="17">
        <v>26</v>
      </c>
      <c r="CN32" s="68">
        <v>15537</v>
      </c>
      <c r="CO32" s="41">
        <v>9.9999999999999929</v>
      </c>
      <c r="CP32" s="16">
        <v>32.999999993480742</v>
      </c>
      <c r="CQ32" s="16">
        <v>1000</v>
      </c>
      <c r="CR32" s="16">
        <v>5</v>
      </c>
      <c r="CS32" s="16">
        <v>4.9</v>
      </c>
      <c r="CT32" s="17"/>
      <c r="CV32" s="15" t="s">
        <v>208</v>
      </c>
      <c r="CW32" s="49" t="s">
        <v>20</v>
      </c>
      <c r="CX32" s="17">
        <v>26</v>
      </c>
      <c r="CY32" s="43">
        <v>13855</v>
      </c>
      <c r="CZ32" s="41" t="s">
        <v>20</v>
      </c>
      <c r="DA32" s="16" t="s">
        <v>20</v>
      </c>
      <c r="DB32" s="16" t="s">
        <v>20</v>
      </c>
      <c r="DC32" s="16" t="s">
        <v>20</v>
      </c>
      <c r="DD32" s="16" t="s">
        <v>20</v>
      </c>
      <c r="DE32" s="17"/>
      <c r="DG32" s="15" t="s">
        <v>208</v>
      </c>
      <c r="DH32" s="49" t="s">
        <v>20</v>
      </c>
      <c r="DI32" s="17">
        <v>26</v>
      </c>
      <c r="DJ32" s="43">
        <v>14698</v>
      </c>
      <c r="DK32" s="41" t="s">
        <v>20</v>
      </c>
      <c r="DL32" s="16" t="s">
        <v>20</v>
      </c>
      <c r="DM32" s="16" t="s">
        <v>20</v>
      </c>
      <c r="DN32" s="16" t="s">
        <v>20</v>
      </c>
      <c r="DO32" s="16" t="s">
        <v>20</v>
      </c>
      <c r="DP32" s="17"/>
      <c r="DR32" s="15" t="s">
        <v>208</v>
      </c>
      <c r="DS32" s="49" t="s">
        <v>20</v>
      </c>
      <c r="DT32" s="17">
        <v>26</v>
      </c>
      <c r="DU32" s="43">
        <v>14426</v>
      </c>
      <c r="DV32" s="41">
        <v>4.9999999999999964</v>
      </c>
      <c r="DW32" s="16">
        <v>15.000000002328306</v>
      </c>
      <c r="DX32" s="16" t="s">
        <v>20</v>
      </c>
      <c r="DY32" s="16">
        <v>4</v>
      </c>
      <c r="DZ32" s="16">
        <v>4</v>
      </c>
      <c r="EA32" s="17"/>
      <c r="EC32" s="15" t="s">
        <v>208</v>
      </c>
      <c r="ED32" s="49" t="s">
        <v>20</v>
      </c>
      <c r="EE32" s="17">
        <v>26</v>
      </c>
      <c r="EF32" s="43">
        <v>13254</v>
      </c>
      <c r="EG32" s="41">
        <v>11.000000000000002</v>
      </c>
      <c r="EH32" s="16">
        <v>10.999999998370185</v>
      </c>
      <c r="EI32" s="16" t="s">
        <v>20</v>
      </c>
      <c r="EJ32" s="16">
        <v>5</v>
      </c>
      <c r="EK32" s="16">
        <v>4.2</v>
      </c>
      <c r="EL32" s="17"/>
      <c r="EN32" s="15" t="s">
        <v>208</v>
      </c>
      <c r="EO32" s="49" t="s">
        <v>20</v>
      </c>
      <c r="EP32" s="17">
        <v>26</v>
      </c>
      <c r="EQ32" s="43">
        <v>14113</v>
      </c>
      <c r="ER32" s="41">
        <v>0.99999999999999933</v>
      </c>
      <c r="ES32" s="16">
        <v>26.9999999969732</v>
      </c>
      <c r="ET32" s="16" t="s">
        <v>20</v>
      </c>
      <c r="EU32" s="16">
        <v>4</v>
      </c>
      <c r="EV32" s="16">
        <v>3.1</v>
      </c>
      <c r="EW32" s="17"/>
      <c r="EY32" s="15" t="s">
        <v>208</v>
      </c>
      <c r="EZ32" s="49" t="s">
        <v>20</v>
      </c>
      <c r="FA32" s="17">
        <v>26</v>
      </c>
      <c r="FB32" s="43">
        <v>16062</v>
      </c>
      <c r="FC32" s="41">
        <v>9.9999999999999929</v>
      </c>
      <c r="FD32" s="16">
        <v>21.000000006752089</v>
      </c>
      <c r="FE32" s="16" t="s">
        <v>20</v>
      </c>
      <c r="FF32" s="16">
        <v>5.5</v>
      </c>
      <c r="FG32" s="16">
        <v>5.5</v>
      </c>
      <c r="FH32" s="17"/>
      <c r="FJ32" s="15" t="s">
        <v>208</v>
      </c>
      <c r="FK32" s="49" t="s">
        <v>20</v>
      </c>
      <c r="FL32" s="17">
        <v>26</v>
      </c>
      <c r="FM32" s="43">
        <v>15900</v>
      </c>
      <c r="FN32" s="41">
        <v>9</v>
      </c>
      <c r="FO32" s="16">
        <v>18.000000004190952</v>
      </c>
      <c r="FP32" s="16" t="s">
        <v>20</v>
      </c>
      <c r="FQ32" s="16">
        <v>5.1999999999999833</v>
      </c>
      <c r="FR32" s="16">
        <v>5.2</v>
      </c>
      <c r="FS32" s="17"/>
      <c r="FU32" s="15" t="s">
        <v>208</v>
      </c>
      <c r="FV32" s="49" t="s">
        <v>20</v>
      </c>
      <c r="FW32" s="17">
        <v>26</v>
      </c>
      <c r="FX32" s="43">
        <v>14582</v>
      </c>
      <c r="FY32" s="41">
        <v>2.9999999999999947</v>
      </c>
      <c r="FZ32" s="16">
        <v>23.000000000931323</v>
      </c>
      <c r="GA32" s="16" t="s">
        <v>20</v>
      </c>
      <c r="GB32" s="16">
        <v>4</v>
      </c>
      <c r="GC32" s="16">
        <v>4.4</v>
      </c>
      <c r="GD32" s="17"/>
      <c r="GF32" s="15" t="s">
        <v>208</v>
      </c>
      <c r="GG32" s="49" t="s">
        <v>20</v>
      </c>
      <c r="GH32" s="17">
        <v>26</v>
      </c>
      <c r="GI32" s="43">
        <v>14287</v>
      </c>
      <c r="GJ32" s="41">
        <v>8.0000000000000071</v>
      </c>
      <c r="GK32" s="16">
        <v>30.999999990919605</v>
      </c>
      <c r="GL32" s="16">
        <v>500</v>
      </c>
      <c r="GM32" s="16">
        <v>4.5</v>
      </c>
      <c r="GN32" s="16">
        <v>4.5</v>
      </c>
      <c r="GO32" s="17"/>
      <c r="GQ32" s="15" t="s">
        <v>208</v>
      </c>
      <c r="GR32" s="49"/>
      <c r="GS32" s="17"/>
      <c r="GT32" s="43"/>
      <c r="GU32" s="41"/>
      <c r="GV32" s="16"/>
      <c r="GW32" s="16"/>
      <c r="GX32" s="16"/>
      <c r="GY32" s="16"/>
      <c r="GZ32" s="17"/>
      <c r="HB32" s="15" t="s">
        <v>208</v>
      </c>
      <c r="HC32" s="49"/>
      <c r="HD32" s="17"/>
      <c r="HE32" s="43"/>
      <c r="HF32" s="41"/>
      <c r="HG32" s="16"/>
      <c r="HH32" s="16"/>
      <c r="HI32" s="16"/>
      <c r="HJ32" s="16"/>
      <c r="HK32" s="17"/>
      <c r="HM32" s="15" t="s">
        <v>208</v>
      </c>
      <c r="HN32" s="49"/>
      <c r="HO32" s="17"/>
      <c r="HP32" s="43"/>
      <c r="HQ32" s="41"/>
      <c r="HR32" s="16"/>
      <c r="HS32" s="16"/>
      <c r="HT32" s="16"/>
      <c r="HU32" s="16"/>
      <c r="HV32" s="17"/>
      <c r="HX32" s="15" t="s">
        <v>208</v>
      </c>
      <c r="HY32" s="49"/>
      <c r="HZ32" s="17"/>
      <c r="IA32" s="43"/>
      <c r="IB32" s="41"/>
      <c r="IC32" s="16"/>
      <c r="ID32" s="16"/>
      <c r="IE32" s="16"/>
      <c r="IF32" s="16"/>
      <c r="IG32" s="17"/>
      <c r="II32" s="15" t="s">
        <v>208</v>
      </c>
      <c r="IJ32" s="49"/>
      <c r="IK32" s="17"/>
      <c r="IL32" s="43"/>
      <c r="IM32" s="41"/>
      <c r="IN32" s="16"/>
      <c r="IO32" s="16"/>
      <c r="IP32" s="16"/>
      <c r="IQ32" s="16"/>
      <c r="IR32" s="17"/>
      <c r="IT32" s="15" t="s">
        <v>208</v>
      </c>
      <c r="IU32" s="49"/>
      <c r="IV32" s="17"/>
      <c r="IW32" s="43"/>
      <c r="IX32" s="41"/>
      <c r="IY32" s="16"/>
      <c r="IZ32" s="16"/>
      <c r="JA32" s="16"/>
      <c r="JB32" s="16"/>
      <c r="JC32" s="17"/>
      <c r="JE32" s="15" t="s">
        <v>208</v>
      </c>
      <c r="JF32" s="49"/>
      <c r="JG32" s="17"/>
      <c r="JH32" s="43"/>
      <c r="JI32" s="41"/>
      <c r="JJ32" s="16"/>
      <c r="JK32" s="16"/>
      <c r="JL32" s="16"/>
      <c r="JM32" s="16"/>
      <c r="JN32" s="17"/>
      <c r="JP32" s="15" t="s">
        <v>208</v>
      </c>
      <c r="JQ32" s="49"/>
      <c r="JR32" s="17"/>
      <c r="JS32" s="43"/>
      <c r="JT32" s="41"/>
      <c r="JU32" s="16"/>
      <c r="JV32" s="16"/>
      <c r="JW32" s="16"/>
      <c r="JX32" s="16"/>
      <c r="JY32" s="17"/>
      <c r="KA32" s="15" t="s">
        <v>208</v>
      </c>
      <c r="KB32" s="49"/>
      <c r="KC32" s="17"/>
      <c r="KD32" s="43"/>
      <c r="KE32" s="41"/>
      <c r="KF32" s="16"/>
      <c r="KG32" s="16"/>
      <c r="KH32" s="16"/>
      <c r="KI32" s="16"/>
      <c r="KJ32" s="17"/>
      <c r="KL32" s="15" t="s">
        <v>208</v>
      </c>
      <c r="KM32" s="49"/>
      <c r="KN32" s="17"/>
      <c r="KO32" s="43"/>
      <c r="KP32" s="41"/>
      <c r="KQ32" s="16"/>
      <c r="KR32" s="16"/>
      <c r="KS32" s="16"/>
      <c r="KT32" s="16"/>
      <c r="KU32" s="17"/>
      <c r="KW32" s="15" t="s">
        <v>208</v>
      </c>
      <c r="KX32" s="49"/>
      <c r="KY32" s="17"/>
      <c r="KZ32" s="43"/>
      <c r="LA32" s="41"/>
      <c r="LB32" s="16"/>
      <c r="LC32" s="16"/>
      <c r="LD32" s="16"/>
      <c r="LE32" s="16"/>
      <c r="LF32" s="17"/>
      <c r="LH32" s="15" t="s">
        <v>208</v>
      </c>
      <c r="LI32" s="49"/>
      <c r="LJ32" s="17"/>
      <c r="LK32" s="43"/>
      <c r="LL32" s="41"/>
      <c r="LM32" s="16"/>
      <c r="LN32" s="16"/>
      <c r="LO32" s="16"/>
      <c r="LP32" s="16"/>
      <c r="LQ32" s="17"/>
    </row>
    <row r="33">
      <c r="A33" s="15" t="s">
        <v>209</v>
      </c>
      <c r="B33" s="49">
        <v>0</v>
      </c>
      <c r="C33" s="63">
        <v>27</v>
      </c>
      <c r="D33" s="65">
        <v>15194</v>
      </c>
      <c r="E33" s="30" t="s">
        <v>20</v>
      </c>
      <c r="F33" s="16" t="s">
        <v>20</v>
      </c>
      <c r="G33" s="21" t="s">
        <v>20</v>
      </c>
      <c r="H33" s="32" t="s">
        <v>20</v>
      </c>
      <c r="I33" s="33" t="s">
        <v>20</v>
      </c>
      <c r="J33" s="17"/>
      <c r="L33" s="15" t="s">
        <v>209</v>
      </c>
      <c r="M33" s="49">
        <v>0</v>
      </c>
      <c r="N33" s="66">
        <v>27</v>
      </c>
      <c r="O33" s="64">
        <v>14968</v>
      </c>
      <c r="P33" s="16" t="s">
        <v>20</v>
      </c>
      <c r="Q33" s="16" t="s">
        <v>20</v>
      </c>
      <c r="R33" s="16" t="s">
        <v>20</v>
      </c>
      <c r="S33" s="16" t="s">
        <v>20</v>
      </c>
      <c r="T33" s="16" t="s">
        <v>20</v>
      </c>
      <c r="U33" s="17"/>
      <c r="W33" s="15" t="s">
        <v>209</v>
      </c>
      <c r="X33" s="49">
        <v>0</v>
      </c>
      <c r="Y33" s="66">
        <v>27</v>
      </c>
      <c r="Z33" s="68">
        <v>14537</v>
      </c>
      <c r="AA33" s="41" t="s">
        <v>20</v>
      </c>
      <c r="AB33" s="16" t="s">
        <v>20</v>
      </c>
      <c r="AC33" s="16" t="s">
        <v>20</v>
      </c>
      <c r="AD33" s="16" t="s">
        <v>20</v>
      </c>
      <c r="AE33" s="16" t="s">
        <v>20</v>
      </c>
      <c r="AF33" s="17"/>
      <c r="AH33" s="15" t="s">
        <v>209</v>
      </c>
      <c r="AI33" s="49">
        <v>0</v>
      </c>
      <c r="AJ33" s="17">
        <v>27</v>
      </c>
      <c r="AK33" s="68">
        <v>14182</v>
      </c>
      <c r="AL33" s="41">
        <v>4.9999999999999964</v>
      </c>
      <c r="AM33" s="16">
        <v>25.99999999627471</v>
      </c>
      <c r="AN33" s="16" t="s">
        <v>20</v>
      </c>
      <c r="AO33" s="16">
        <v>4.5</v>
      </c>
      <c r="AP33" s="16">
        <v>4.2</v>
      </c>
      <c r="AQ33" s="17"/>
      <c r="AS33" s="15" t="s">
        <v>209</v>
      </c>
      <c r="AT33" s="49">
        <v>20</v>
      </c>
      <c r="AU33" s="17">
        <v>27</v>
      </c>
      <c r="AV33" s="68">
        <v>13838</v>
      </c>
      <c r="AW33" s="41" t="s">
        <v>20</v>
      </c>
      <c r="AX33" s="16" t="s">
        <v>20</v>
      </c>
      <c r="AY33" s="16"/>
      <c r="AZ33" s="16" t="s">
        <v>20</v>
      </c>
      <c r="BA33" s="16" t="s">
        <v>20</v>
      </c>
      <c r="BB33" s="17"/>
      <c r="BD33" s="15" t="s">
        <v>209</v>
      </c>
      <c r="BE33" s="49">
        <v>49</v>
      </c>
      <c r="BF33" s="17">
        <v>27</v>
      </c>
      <c r="BG33" s="68">
        <v>14337</v>
      </c>
      <c r="BH33" s="41">
        <v>8.0000000000000071</v>
      </c>
      <c r="BI33" s="16">
        <v>31.000000001396984</v>
      </c>
      <c r="BJ33" s="16" t="s">
        <v>20</v>
      </c>
      <c r="BK33" s="16">
        <v>4.5</v>
      </c>
      <c r="BL33" s="16">
        <v>3.1</v>
      </c>
      <c r="BM33" s="17"/>
      <c r="BO33" s="15" t="s">
        <v>209</v>
      </c>
      <c r="BP33" s="49">
        <v>0</v>
      </c>
      <c r="BQ33" s="17">
        <v>27</v>
      </c>
      <c r="BR33" s="68">
        <v>14104</v>
      </c>
      <c r="BS33" s="41">
        <v>4.0000000000000036</v>
      </c>
      <c r="BT33" s="16">
        <v>16.000000002328306</v>
      </c>
      <c r="BU33" s="16" t="s">
        <v>20</v>
      </c>
      <c r="BV33" s="16">
        <v>4.5</v>
      </c>
      <c r="BW33" s="16">
        <v>1.9</v>
      </c>
      <c r="BX33" s="17"/>
      <c r="BZ33" s="15" t="s">
        <v>209</v>
      </c>
      <c r="CA33" s="49">
        <v>15</v>
      </c>
      <c r="CB33" s="17">
        <v>27</v>
      </c>
      <c r="CC33" s="68">
        <v>15515</v>
      </c>
      <c r="CD33" s="41">
        <v>13.999999999999998</v>
      </c>
      <c r="CE33" s="16">
        <v>28.000000000698492</v>
      </c>
      <c r="CF33" s="16">
        <v>500</v>
      </c>
      <c r="CG33" s="16">
        <v>5.6999999999999833</v>
      </c>
      <c r="CH33" s="16">
        <v>5.7</v>
      </c>
      <c r="CI33" s="17"/>
      <c r="CK33" s="15" t="s">
        <v>209</v>
      </c>
      <c r="CL33" s="49">
        <v>0</v>
      </c>
      <c r="CM33" s="17">
        <v>27</v>
      </c>
      <c r="CN33" s="68">
        <v>15740</v>
      </c>
      <c r="CO33" s="41">
        <v>9</v>
      </c>
      <c r="CP33" s="16">
        <v>28.000000005355105</v>
      </c>
      <c r="CQ33" s="16">
        <v>1000</v>
      </c>
      <c r="CR33" s="16">
        <v>5</v>
      </c>
      <c r="CS33" s="16">
        <v>4.9</v>
      </c>
      <c r="CT33" s="17"/>
      <c r="CV33" s="15" t="s">
        <v>209</v>
      </c>
      <c r="CW33" s="49">
        <v>18</v>
      </c>
      <c r="CX33" s="17">
        <v>27</v>
      </c>
      <c r="CY33" s="43">
        <v>14056</v>
      </c>
      <c r="CZ33" s="41" t="s">
        <v>20</v>
      </c>
      <c r="DA33" s="16" t="s">
        <v>20</v>
      </c>
      <c r="DB33" s="16" t="s">
        <v>20</v>
      </c>
      <c r="DC33" s="16" t="s">
        <v>20</v>
      </c>
      <c r="DD33" s="16" t="s">
        <v>20</v>
      </c>
      <c r="DE33" s="17"/>
      <c r="DG33" s="15" t="s">
        <v>209</v>
      </c>
      <c r="DH33" s="49">
        <v>0</v>
      </c>
      <c r="DI33" s="17">
        <v>27</v>
      </c>
      <c r="DJ33" s="43">
        <v>14900</v>
      </c>
      <c r="DK33" s="41" t="s">
        <v>20</v>
      </c>
      <c r="DL33" s="16" t="s">
        <v>20</v>
      </c>
      <c r="DM33" s="16" t="s">
        <v>20</v>
      </c>
      <c r="DN33" s="16" t="s">
        <v>20</v>
      </c>
      <c r="DO33" s="16" t="s">
        <v>20</v>
      </c>
      <c r="DP33" s="17"/>
      <c r="DR33" s="15" t="s">
        <v>209</v>
      </c>
      <c r="DS33" s="49">
        <v>0</v>
      </c>
      <c r="DT33" s="17">
        <v>27</v>
      </c>
      <c r="DU33" s="43">
        <v>14629</v>
      </c>
      <c r="DV33" s="41">
        <v>2.9999999999999947</v>
      </c>
      <c r="DW33" s="16">
        <v>33.000000002095476</v>
      </c>
      <c r="DX33" s="16" t="s">
        <v>20</v>
      </c>
      <c r="DY33" s="16">
        <v>4</v>
      </c>
      <c r="DZ33" s="16">
        <v>4</v>
      </c>
      <c r="EA33" s="17"/>
      <c r="EC33" s="15" t="s">
        <v>209</v>
      </c>
      <c r="ED33" s="49">
        <v>29</v>
      </c>
      <c r="EE33" s="17">
        <v>27</v>
      </c>
      <c r="EF33" s="43">
        <v>13457</v>
      </c>
      <c r="EG33" s="41">
        <v>11.000000000000002</v>
      </c>
      <c r="EH33" s="16">
        <v>9.9999999951105565</v>
      </c>
      <c r="EI33" s="16" t="s">
        <v>20</v>
      </c>
      <c r="EJ33" s="16">
        <v>5</v>
      </c>
      <c r="EK33" s="16">
        <v>4.6</v>
      </c>
      <c r="EL33" s="17"/>
      <c r="EN33" s="15" t="s">
        <v>209</v>
      </c>
      <c r="EO33" s="49">
        <v>27</v>
      </c>
      <c r="EP33" s="17">
        <v>27</v>
      </c>
      <c r="EQ33" s="43">
        <v>14315</v>
      </c>
      <c r="ER33" s="41">
        <v>2.0000000000000018</v>
      </c>
      <c r="ES33" s="16">
        <v>19.000000005587935</v>
      </c>
      <c r="ET33" s="16" t="s">
        <v>20</v>
      </c>
      <c r="EU33" s="16">
        <v>4</v>
      </c>
      <c r="EV33" s="16">
        <v>3</v>
      </c>
      <c r="EW33" s="17"/>
      <c r="EY33" s="15" t="s">
        <v>209</v>
      </c>
      <c r="EZ33" s="49">
        <v>0</v>
      </c>
      <c r="FA33" s="17">
        <v>27</v>
      </c>
      <c r="FB33" s="43">
        <v>16262</v>
      </c>
      <c r="FC33" s="41">
        <v>8.0000000000000071</v>
      </c>
      <c r="FD33" s="16">
        <v>16.999999997671694</v>
      </c>
      <c r="FE33" s="16" t="s">
        <v>20</v>
      </c>
      <c r="FF33" s="16">
        <v>5.5</v>
      </c>
      <c r="FG33" s="16">
        <v>5.5</v>
      </c>
      <c r="FH33" s="17"/>
      <c r="FJ33" s="15" t="s">
        <v>209</v>
      </c>
      <c r="FK33" s="49">
        <v>42</v>
      </c>
      <c r="FL33" s="17">
        <v>27</v>
      </c>
      <c r="FM33" s="43">
        <v>16098</v>
      </c>
      <c r="FN33" s="41">
        <v>6.0000000000000053</v>
      </c>
      <c r="FO33" s="16">
        <v>18.999999997671694</v>
      </c>
      <c r="FP33" s="16" t="s">
        <v>20</v>
      </c>
      <c r="FQ33" s="16">
        <v>5.1999999999999833</v>
      </c>
      <c r="FR33" s="16">
        <v>5.2</v>
      </c>
      <c r="FS33" s="17"/>
      <c r="FU33" s="15" t="s">
        <v>209</v>
      </c>
      <c r="FV33" s="49">
        <v>0</v>
      </c>
      <c r="FW33" s="17">
        <v>27</v>
      </c>
      <c r="FX33" s="43">
        <v>14823</v>
      </c>
      <c r="FY33" s="41">
        <v>4.9999999999999964</v>
      </c>
      <c r="FZ33" s="16">
        <v>26.000000006752089</v>
      </c>
      <c r="GA33" s="16" t="s">
        <v>20</v>
      </c>
      <c r="GB33" s="16">
        <v>4</v>
      </c>
      <c r="GC33" s="16">
        <v>4.2</v>
      </c>
      <c r="GD33" s="17"/>
      <c r="GF33" s="15" t="s">
        <v>209</v>
      </c>
      <c r="GG33" s="49">
        <v>0</v>
      </c>
      <c r="GH33" s="17">
        <v>27</v>
      </c>
      <c r="GI33" s="43">
        <v>14489</v>
      </c>
      <c r="GJ33" s="41">
        <v>11.000000000000002</v>
      </c>
      <c r="GK33" s="16">
        <v>22.000000002793968</v>
      </c>
      <c r="GL33" s="16">
        <v>500</v>
      </c>
      <c r="GM33" s="16">
        <v>4.5</v>
      </c>
      <c r="GN33" s="16">
        <v>4.5</v>
      </c>
      <c r="GO33" s="17"/>
      <c r="GQ33" s="15" t="s">
        <v>209</v>
      </c>
      <c r="GR33" s="49"/>
      <c r="GS33" s="17"/>
      <c r="GT33" s="43"/>
      <c r="GU33" s="41"/>
      <c r="GV33" s="16"/>
      <c r="GW33" s="16"/>
      <c r="GX33" s="16"/>
      <c r="GY33" s="16"/>
      <c r="GZ33" s="17"/>
      <c r="HB33" s="15" t="s">
        <v>209</v>
      </c>
      <c r="HC33" s="49"/>
      <c r="HD33" s="17"/>
      <c r="HE33" s="43"/>
      <c r="HF33" s="41"/>
      <c r="HG33" s="16"/>
      <c r="HH33" s="16"/>
      <c r="HI33" s="16"/>
      <c r="HJ33" s="16"/>
      <c r="HK33" s="17"/>
      <c r="HM33" s="15" t="s">
        <v>209</v>
      </c>
      <c r="HN33" s="49"/>
      <c r="HO33" s="17"/>
      <c r="HP33" s="43"/>
      <c r="HQ33" s="41"/>
      <c r="HR33" s="16"/>
      <c r="HS33" s="16"/>
      <c r="HT33" s="16"/>
      <c r="HU33" s="16"/>
      <c r="HV33" s="17"/>
      <c r="HX33" s="15" t="s">
        <v>209</v>
      </c>
      <c r="HY33" s="49"/>
      <c r="HZ33" s="17"/>
      <c r="IA33" s="43"/>
      <c r="IB33" s="41"/>
      <c r="IC33" s="16"/>
      <c r="ID33" s="16"/>
      <c r="IE33" s="16"/>
      <c r="IF33" s="16"/>
      <c r="IG33" s="17"/>
      <c r="II33" s="15" t="s">
        <v>209</v>
      </c>
      <c r="IJ33" s="49"/>
      <c r="IK33" s="17"/>
      <c r="IL33" s="43"/>
      <c r="IM33" s="41"/>
      <c r="IN33" s="16"/>
      <c r="IO33" s="16"/>
      <c r="IP33" s="16"/>
      <c r="IQ33" s="16"/>
      <c r="IR33" s="17"/>
      <c r="IT33" s="15" t="s">
        <v>209</v>
      </c>
      <c r="IU33" s="49"/>
      <c r="IV33" s="17"/>
      <c r="IW33" s="43"/>
      <c r="IX33" s="41"/>
      <c r="IY33" s="16"/>
      <c r="IZ33" s="16"/>
      <c r="JA33" s="16"/>
      <c r="JB33" s="16"/>
      <c r="JC33" s="17"/>
      <c r="JE33" s="15" t="s">
        <v>209</v>
      </c>
      <c r="JF33" s="49"/>
      <c r="JG33" s="17"/>
      <c r="JH33" s="43"/>
      <c r="JI33" s="41"/>
      <c r="JJ33" s="16"/>
      <c r="JK33" s="16"/>
      <c r="JL33" s="16"/>
      <c r="JM33" s="16"/>
      <c r="JN33" s="17"/>
      <c r="JP33" s="15" t="s">
        <v>209</v>
      </c>
      <c r="JQ33" s="49"/>
      <c r="JR33" s="17"/>
      <c r="JS33" s="43"/>
      <c r="JT33" s="41"/>
      <c r="JU33" s="16"/>
      <c r="JV33" s="16"/>
      <c r="JW33" s="16"/>
      <c r="JX33" s="16"/>
      <c r="JY33" s="17"/>
      <c r="KA33" s="15" t="s">
        <v>209</v>
      </c>
      <c r="KB33" s="49"/>
      <c r="KC33" s="17"/>
      <c r="KD33" s="43"/>
      <c r="KE33" s="41"/>
      <c r="KF33" s="16"/>
      <c r="KG33" s="16"/>
      <c r="KH33" s="16"/>
      <c r="KI33" s="16"/>
      <c r="KJ33" s="17"/>
      <c r="KL33" s="15" t="s">
        <v>209</v>
      </c>
      <c r="KM33" s="49"/>
      <c r="KN33" s="17"/>
      <c r="KO33" s="43"/>
      <c r="KP33" s="41"/>
      <c r="KQ33" s="16"/>
      <c r="KR33" s="16"/>
      <c r="KS33" s="16"/>
      <c r="KT33" s="16"/>
      <c r="KU33" s="17"/>
      <c r="KW33" s="15" t="s">
        <v>209</v>
      </c>
      <c r="KX33" s="49"/>
      <c r="KY33" s="17"/>
      <c r="KZ33" s="43"/>
      <c r="LA33" s="41"/>
      <c r="LB33" s="16"/>
      <c r="LC33" s="16"/>
      <c r="LD33" s="16"/>
      <c r="LE33" s="16"/>
      <c r="LF33" s="17"/>
      <c r="LH33" s="15" t="s">
        <v>209</v>
      </c>
      <c r="LI33" s="49"/>
      <c r="LJ33" s="17"/>
      <c r="LK33" s="43"/>
      <c r="LL33" s="41"/>
      <c r="LM33" s="16"/>
      <c r="LN33" s="16"/>
      <c r="LO33" s="16"/>
      <c r="LP33" s="16"/>
      <c r="LQ33" s="17"/>
    </row>
    <row r="34">
      <c r="A34" s="15" t="s">
        <v>210</v>
      </c>
      <c r="B34" s="49" t="s">
        <v>20</v>
      </c>
      <c r="C34" s="63">
        <v>28</v>
      </c>
      <c r="D34" s="65">
        <v>15396</v>
      </c>
      <c r="E34" s="30" t="s">
        <v>20</v>
      </c>
      <c r="F34" s="16" t="s">
        <v>20</v>
      </c>
      <c r="G34" s="21" t="s">
        <v>20</v>
      </c>
      <c r="H34" s="33" t="s">
        <v>20</v>
      </c>
      <c r="I34" s="33" t="s">
        <v>20</v>
      </c>
      <c r="J34" s="17"/>
      <c r="L34" s="15" t="s">
        <v>210</v>
      </c>
      <c r="M34" s="49" t="s">
        <v>19</v>
      </c>
      <c r="N34" s="66">
        <v>28</v>
      </c>
      <c r="O34" s="64">
        <v>15212</v>
      </c>
      <c r="P34" s="16" t="s">
        <v>20</v>
      </c>
      <c r="Q34" s="16" t="s">
        <v>20</v>
      </c>
      <c r="R34" s="16" t="s">
        <v>20</v>
      </c>
      <c r="S34" s="16" t="s">
        <v>20</v>
      </c>
      <c r="T34" s="16" t="s">
        <v>20</v>
      </c>
      <c r="U34" s="17"/>
      <c r="W34" s="15" t="s">
        <v>210</v>
      </c>
      <c r="X34" s="49" t="s">
        <v>20</v>
      </c>
      <c r="Y34" s="66">
        <v>28</v>
      </c>
      <c r="Z34" s="68">
        <v>14738</v>
      </c>
      <c r="AA34" s="41" t="s">
        <v>20</v>
      </c>
      <c r="AB34" s="16" t="s">
        <v>20</v>
      </c>
      <c r="AC34" s="16" t="s">
        <v>20</v>
      </c>
      <c r="AD34" s="16" t="s">
        <v>20</v>
      </c>
      <c r="AE34" s="16" t="s">
        <v>20</v>
      </c>
      <c r="AF34" s="17"/>
      <c r="AH34" s="15" t="s">
        <v>210</v>
      </c>
      <c r="AI34" s="49" t="s">
        <v>20</v>
      </c>
      <c r="AJ34" s="17">
        <v>28</v>
      </c>
      <c r="AK34" s="68">
        <v>14384</v>
      </c>
      <c r="AL34" s="41">
        <v>6.0000000000000053</v>
      </c>
      <c r="AM34" s="16">
        <v>8.00000000372529</v>
      </c>
      <c r="AN34" s="16" t="s">
        <v>20</v>
      </c>
      <c r="AO34" s="16">
        <v>4.5</v>
      </c>
      <c r="AP34" s="16">
        <v>4.2</v>
      </c>
      <c r="AQ34" s="17"/>
      <c r="AS34" s="15" t="s">
        <v>210</v>
      </c>
      <c r="AT34" s="49" t="s">
        <v>22</v>
      </c>
      <c r="AU34" s="17">
        <v>28</v>
      </c>
      <c r="AV34" s="68">
        <v>14039</v>
      </c>
      <c r="AW34" s="41" t="s">
        <v>20</v>
      </c>
      <c r="AX34" s="16" t="s">
        <v>20</v>
      </c>
      <c r="AY34" s="16"/>
      <c r="AZ34" s="16" t="s">
        <v>20</v>
      </c>
      <c r="BA34" s="16" t="s">
        <v>20</v>
      </c>
      <c r="BB34" s="17"/>
      <c r="BD34" s="15" t="s">
        <v>210</v>
      </c>
      <c r="BE34" s="49" t="s">
        <v>22</v>
      </c>
      <c r="BF34" s="17">
        <v>28</v>
      </c>
      <c r="BG34" s="68">
        <v>14538</v>
      </c>
      <c r="BH34" s="41">
        <v>2.0000000000000018</v>
      </c>
      <c r="BI34" s="16">
        <v>14.999999992549419</v>
      </c>
      <c r="BJ34" s="16" t="s">
        <v>20</v>
      </c>
      <c r="BK34" s="16">
        <v>4.5</v>
      </c>
      <c r="BL34" s="16">
        <v>2.9</v>
      </c>
      <c r="BM34" s="17"/>
      <c r="BO34" s="15" t="s">
        <v>210</v>
      </c>
      <c r="BP34" s="49" t="s">
        <v>27</v>
      </c>
      <c r="BQ34" s="17">
        <v>28</v>
      </c>
      <c r="BR34" s="68">
        <v>14304</v>
      </c>
      <c r="BS34" s="41">
        <v>4.9999999999999964</v>
      </c>
      <c r="BT34" s="16">
        <v>13.999999999068677</v>
      </c>
      <c r="BU34" s="16" t="s">
        <v>20</v>
      </c>
      <c r="BV34" s="16">
        <v>4.5</v>
      </c>
      <c r="BW34" s="16">
        <v>2</v>
      </c>
      <c r="BX34" s="17"/>
      <c r="BZ34" s="15" t="s">
        <v>210</v>
      </c>
      <c r="CA34" s="49" t="s">
        <v>20</v>
      </c>
      <c r="CB34" s="17">
        <v>28</v>
      </c>
      <c r="CC34" s="68">
        <v>15721</v>
      </c>
      <c r="CD34" s="41">
        <v>2.0000000000000018</v>
      </c>
      <c r="CE34" s="16">
        <v>41.999999996740371</v>
      </c>
      <c r="CF34" s="16">
        <v>1000</v>
      </c>
      <c r="CG34" s="16">
        <v>5.6999999999999833</v>
      </c>
      <c r="CH34" s="16">
        <v>5.7</v>
      </c>
      <c r="CI34" s="17"/>
      <c r="CK34" s="15" t="s">
        <v>210</v>
      </c>
      <c r="CL34" s="49" t="s">
        <v>20</v>
      </c>
      <c r="CM34" s="17">
        <v>28</v>
      </c>
      <c r="CN34" s="68">
        <v>15942</v>
      </c>
      <c r="CO34" s="41">
        <v>11.999999999999995</v>
      </c>
      <c r="CP34" s="16">
        <v>21.999999995576218</v>
      </c>
      <c r="CQ34" s="16">
        <v>1000</v>
      </c>
      <c r="CR34" s="16">
        <v>5</v>
      </c>
      <c r="CS34" s="16">
        <v>4.8</v>
      </c>
      <c r="CT34" s="17"/>
      <c r="CV34" s="15" t="s">
        <v>210</v>
      </c>
      <c r="CW34" s="49" t="s">
        <v>22</v>
      </c>
      <c r="CX34" s="17">
        <v>28</v>
      </c>
      <c r="CY34" s="43">
        <v>14256</v>
      </c>
      <c r="CZ34" s="41" t="s">
        <v>20</v>
      </c>
      <c r="DA34" s="16" t="s">
        <v>20</v>
      </c>
      <c r="DB34" s="16" t="s">
        <v>20</v>
      </c>
      <c r="DC34" s="16" t="s">
        <v>20</v>
      </c>
      <c r="DD34" s="16" t="s">
        <v>20</v>
      </c>
      <c r="DE34" s="17"/>
      <c r="DG34" s="15" t="s">
        <v>210</v>
      </c>
      <c r="DH34" s="49" t="s">
        <v>19</v>
      </c>
      <c r="DI34" s="17">
        <v>28</v>
      </c>
      <c r="DJ34" s="43">
        <v>15101</v>
      </c>
      <c r="DK34" s="41" t="s">
        <v>20</v>
      </c>
      <c r="DL34" s="16" t="s">
        <v>20</v>
      </c>
      <c r="DM34" s="16" t="s">
        <v>20</v>
      </c>
      <c r="DN34" s="16" t="s">
        <v>20</v>
      </c>
      <c r="DO34" s="16" t="s">
        <v>20</v>
      </c>
      <c r="DP34" s="17"/>
      <c r="DR34" s="15" t="s">
        <v>210</v>
      </c>
      <c r="DS34" s="49" t="s">
        <v>20</v>
      </c>
      <c r="DT34" s="17">
        <v>28</v>
      </c>
      <c r="DU34" s="43">
        <v>14832</v>
      </c>
      <c r="DV34" s="41">
        <v>4.9999999999999964</v>
      </c>
      <c r="DW34" s="16">
        <v>15.999999995110556</v>
      </c>
      <c r="DX34" s="16" t="s">
        <v>20</v>
      </c>
      <c r="DY34" s="16">
        <v>4</v>
      </c>
      <c r="DZ34" s="16">
        <v>4</v>
      </c>
      <c r="EA34" s="17"/>
      <c r="EC34" s="15" t="s">
        <v>210</v>
      </c>
      <c r="ED34" s="49" t="s">
        <v>25</v>
      </c>
      <c r="EE34" s="17">
        <v>28</v>
      </c>
      <c r="EF34" s="43">
        <v>13659</v>
      </c>
      <c r="EG34" s="41">
        <v>11.000000000000002</v>
      </c>
      <c r="EH34" s="16">
        <v>14.000000008149073</v>
      </c>
      <c r="EI34" s="16" t="s">
        <v>20</v>
      </c>
      <c r="EJ34" s="16">
        <v>5</v>
      </c>
      <c r="EK34" s="16">
        <v>4.6</v>
      </c>
      <c r="EL34" s="17"/>
      <c r="EN34" s="15" t="s">
        <v>210</v>
      </c>
      <c r="EO34" s="49" t="s">
        <v>22</v>
      </c>
      <c r="EP34" s="17">
        <v>28</v>
      </c>
      <c r="EQ34" s="43">
        <v>14516</v>
      </c>
      <c r="ER34" s="41">
        <v>2.0000000000000018</v>
      </c>
      <c r="ES34" s="16">
        <v>21.000000001629815</v>
      </c>
      <c r="ET34" s="16" t="s">
        <v>20</v>
      </c>
      <c r="EU34" s="16">
        <v>4.1</v>
      </c>
      <c r="EV34" s="16">
        <v>3.6</v>
      </c>
      <c r="EW34" s="17"/>
      <c r="EY34" s="15" t="s">
        <v>210</v>
      </c>
      <c r="EZ34" s="49" t="s">
        <v>25</v>
      </c>
      <c r="FA34" s="17">
        <v>28</v>
      </c>
      <c r="FB34" s="43">
        <v>16463</v>
      </c>
      <c r="FC34" s="41">
        <v>4.9999999999999964</v>
      </c>
      <c r="FD34" s="16">
        <v>15.000000002328306</v>
      </c>
      <c r="FE34" s="16" t="s">
        <v>20</v>
      </c>
      <c r="FF34" s="16">
        <v>5.5</v>
      </c>
      <c r="FG34" s="16">
        <v>5.5</v>
      </c>
      <c r="FH34" s="17"/>
      <c r="FJ34" s="15" t="s">
        <v>210</v>
      </c>
      <c r="FK34" s="49" t="s">
        <v>22</v>
      </c>
      <c r="FL34" s="17">
        <v>28</v>
      </c>
      <c r="FM34" s="43">
        <v>16297</v>
      </c>
      <c r="FN34" s="41">
        <v>6.9999999999999991</v>
      </c>
      <c r="FO34" s="16">
        <v>27.999999998835847</v>
      </c>
      <c r="FP34" s="16" t="s">
        <v>20</v>
      </c>
      <c r="FQ34" s="16">
        <v>5.1999999999999833</v>
      </c>
      <c r="FR34" s="16">
        <v>5.2</v>
      </c>
      <c r="FS34" s="17"/>
      <c r="FU34" s="15" t="s">
        <v>210</v>
      </c>
      <c r="FV34" s="49" t="s">
        <v>22</v>
      </c>
      <c r="FW34" s="17">
        <v>28</v>
      </c>
      <c r="FX34" s="43">
        <v>15064</v>
      </c>
      <c r="FY34" s="41">
        <v>2.0000000000000018</v>
      </c>
      <c r="FZ34" s="16">
        <v>22.999999997671694</v>
      </c>
      <c r="GA34" s="16" t="s">
        <v>20</v>
      </c>
      <c r="GB34" s="16">
        <v>4</v>
      </c>
      <c r="GC34" s="16">
        <v>3.8</v>
      </c>
      <c r="GD34" s="17"/>
      <c r="GF34" s="15" t="s">
        <v>210</v>
      </c>
      <c r="GG34" s="49" t="s">
        <v>27</v>
      </c>
      <c r="GH34" s="17">
        <v>28</v>
      </c>
      <c r="GI34" s="43">
        <v>14691</v>
      </c>
      <c r="GJ34" s="41">
        <v>6.0000000000000053</v>
      </c>
      <c r="GK34" s="16">
        <v>37.999999996740371</v>
      </c>
      <c r="GL34" s="16">
        <v>500</v>
      </c>
      <c r="GM34" s="16">
        <v>4.5</v>
      </c>
      <c r="GN34" s="16">
        <v>4.5</v>
      </c>
      <c r="GO34" s="17"/>
      <c r="GQ34" s="15" t="s">
        <v>210</v>
      </c>
      <c r="GR34" s="49"/>
      <c r="GS34" s="17"/>
      <c r="GT34" s="43"/>
      <c r="GU34" s="41"/>
      <c r="GV34" s="16"/>
      <c r="GW34" s="16"/>
      <c r="GX34" s="16"/>
      <c r="GY34" s="16"/>
      <c r="GZ34" s="17"/>
      <c r="HB34" s="15" t="s">
        <v>210</v>
      </c>
      <c r="HC34" s="49"/>
      <c r="HD34" s="17"/>
      <c r="HE34" s="43"/>
      <c r="HF34" s="41"/>
      <c r="HG34" s="16"/>
      <c r="HH34" s="16"/>
      <c r="HI34" s="16"/>
      <c r="HJ34" s="16"/>
      <c r="HK34" s="17"/>
      <c r="HM34" s="15" t="s">
        <v>210</v>
      </c>
      <c r="HN34" s="49"/>
      <c r="HO34" s="17"/>
      <c r="HP34" s="43"/>
      <c r="HQ34" s="41"/>
      <c r="HR34" s="16"/>
      <c r="HS34" s="16"/>
      <c r="HT34" s="16"/>
      <c r="HU34" s="16"/>
      <c r="HV34" s="17"/>
      <c r="HX34" s="15" t="s">
        <v>210</v>
      </c>
      <c r="HY34" s="49"/>
      <c r="HZ34" s="17"/>
      <c r="IA34" s="43"/>
      <c r="IB34" s="41"/>
      <c r="IC34" s="16"/>
      <c r="ID34" s="16"/>
      <c r="IE34" s="16"/>
      <c r="IF34" s="16"/>
      <c r="IG34" s="17"/>
      <c r="II34" s="15" t="s">
        <v>210</v>
      </c>
      <c r="IJ34" s="49"/>
      <c r="IK34" s="17"/>
      <c r="IL34" s="43"/>
      <c r="IM34" s="41"/>
      <c r="IN34" s="16"/>
      <c r="IO34" s="16"/>
      <c r="IP34" s="16"/>
      <c r="IQ34" s="16"/>
      <c r="IR34" s="17"/>
      <c r="IT34" s="15" t="s">
        <v>210</v>
      </c>
      <c r="IU34" s="49"/>
      <c r="IV34" s="17"/>
      <c r="IW34" s="43"/>
      <c r="IX34" s="41"/>
      <c r="IY34" s="16"/>
      <c r="IZ34" s="16"/>
      <c r="JA34" s="16"/>
      <c r="JB34" s="16"/>
      <c r="JC34" s="17"/>
      <c r="JE34" s="15" t="s">
        <v>210</v>
      </c>
      <c r="JF34" s="49"/>
      <c r="JG34" s="17"/>
      <c r="JH34" s="43"/>
      <c r="JI34" s="41"/>
      <c r="JJ34" s="16"/>
      <c r="JK34" s="16"/>
      <c r="JL34" s="16"/>
      <c r="JM34" s="16"/>
      <c r="JN34" s="17"/>
      <c r="JP34" s="15" t="s">
        <v>210</v>
      </c>
      <c r="JQ34" s="49"/>
      <c r="JR34" s="17"/>
      <c r="JS34" s="43"/>
      <c r="JT34" s="41"/>
      <c r="JU34" s="16"/>
      <c r="JV34" s="16"/>
      <c r="JW34" s="16"/>
      <c r="JX34" s="16"/>
      <c r="JY34" s="17"/>
      <c r="KA34" s="15" t="s">
        <v>210</v>
      </c>
      <c r="KB34" s="49"/>
      <c r="KC34" s="17"/>
      <c r="KD34" s="43"/>
      <c r="KE34" s="41"/>
      <c r="KF34" s="16"/>
      <c r="KG34" s="16"/>
      <c r="KH34" s="16"/>
      <c r="KI34" s="16"/>
      <c r="KJ34" s="17"/>
      <c r="KL34" s="15" t="s">
        <v>210</v>
      </c>
      <c r="KM34" s="49"/>
      <c r="KN34" s="17"/>
      <c r="KO34" s="43"/>
      <c r="KP34" s="41"/>
      <c r="KQ34" s="16"/>
      <c r="KR34" s="16"/>
      <c r="KS34" s="16"/>
      <c r="KT34" s="16"/>
      <c r="KU34" s="17"/>
      <c r="KW34" s="15" t="s">
        <v>210</v>
      </c>
      <c r="KX34" s="49"/>
      <c r="KY34" s="17"/>
      <c r="KZ34" s="43"/>
      <c r="LA34" s="41"/>
      <c r="LB34" s="16"/>
      <c r="LC34" s="16"/>
      <c r="LD34" s="16"/>
      <c r="LE34" s="16"/>
      <c r="LF34" s="17"/>
      <c r="LH34" s="15" t="s">
        <v>210</v>
      </c>
      <c r="LI34" s="49"/>
      <c r="LJ34" s="17"/>
      <c r="LK34" s="43"/>
      <c r="LL34" s="41"/>
      <c r="LM34" s="16"/>
      <c r="LN34" s="16"/>
      <c r="LO34" s="16"/>
      <c r="LP34" s="16"/>
      <c r="LQ34" s="17"/>
    </row>
    <row r="35">
      <c r="A35" s="15" t="s">
        <v>211</v>
      </c>
      <c r="B35" s="51"/>
      <c r="C35" s="63">
        <v>29</v>
      </c>
      <c r="D35" s="65">
        <v>15595</v>
      </c>
      <c r="E35" s="30" t="s">
        <v>20</v>
      </c>
      <c r="F35" s="16" t="s">
        <v>20</v>
      </c>
      <c r="G35" s="21" t="s">
        <v>20</v>
      </c>
      <c r="H35" s="33" t="s">
        <v>20</v>
      </c>
      <c r="I35" s="33" t="s">
        <v>20</v>
      </c>
      <c r="J35" s="17"/>
      <c r="L35" s="15" t="s">
        <v>211</v>
      </c>
      <c r="M35" s="51">
        <v>46274.9375</v>
      </c>
      <c r="N35" s="66">
        <v>29</v>
      </c>
      <c r="O35" s="64">
        <v>15455</v>
      </c>
      <c r="P35" s="16" t="s">
        <v>20</v>
      </c>
      <c r="Q35" s="16" t="s">
        <v>20</v>
      </c>
      <c r="R35" s="16" t="s">
        <v>20</v>
      </c>
      <c r="S35" s="16" t="s">
        <v>20</v>
      </c>
      <c r="T35" s="16" t="s">
        <v>20</v>
      </c>
      <c r="U35" s="17"/>
      <c r="W35" s="15" t="s">
        <v>211</v>
      </c>
      <c r="X35" s="51"/>
      <c r="Y35" s="66">
        <v>29</v>
      </c>
      <c r="Z35" s="68">
        <v>14938</v>
      </c>
      <c r="AA35" s="41" t="s">
        <v>20</v>
      </c>
      <c r="AB35" s="16" t="s">
        <v>20</v>
      </c>
      <c r="AC35" s="16" t="s">
        <v>20</v>
      </c>
      <c r="AD35" s="16" t="s">
        <v>20</v>
      </c>
      <c r="AE35" s="16" t="s">
        <v>20</v>
      </c>
      <c r="AF35" s="17"/>
      <c r="AH35" s="15" t="s">
        <v>211</v>
      </c>
      <c r="AI35" s="51">
        <v>46270.15625</v>
      </c>
      <c r="AJ35" s="17">
        <v>29</v>
      </c>
      <c r="AK35" s="68">
        <v>14585</v>
      </c>
      <c r="AL35" s="41">
        <v>4.0000000000000036</v>
      </c>
      <c r="AM35" s="16">
        <v>14.999999999068677</v>
      </c>
      <c r="AN35" s="16" t="s">
        <v>20</v>
      </c>
      <c r="AO35" s="16">
        <v>4.5</v>
      </c>
      <c r="AP35" s="16">
        <v>4</v>
      </c>
      <c r="AQ35" s="17"/>
      <c r="AS35" s="15" t="s">
        <v>211</v>
      </c>
      <c r="AT35" s="51">
        <v>46274.3333333333</v>
      </c>
      <c r="AU35" s="17">
        <v>29</v>
      </c>
      <c r="AV35" s="68">
        <v>14240</v>
      </c>
      <c r="AW35" s="41" t="s">
        <v>20</v>
      </c>
      <c r="AX35" s="16" t="s">
        <v>20</v>
      </c>
      <c r="AY35" s="16"/>
      <c r="AZ35" s="16" t="s">
        <v>20</v>
      </c>
      <c r="BA35" s="16" t="s">
        <v>20</v>
      </c>
      <c r="BB35" s="17"/>
      <c r="BD35" s="15" t="s">
        <v>211</v>
      </c>
      <c r="BE35" s="51">
        <v>46273.625</v>
      </c>
      <c r="BF35" s="17">
        <v>29</v>
      </c>
      <c r="BG35" s="68">
        <v>14740</v>
      </c>
      <c r="BH35" s="41">
        <v>4.9999999999999964</v>
      </c>
      <c r="BI35" s="16">
        <v>15.000000002328306</v>
      </c>
      <c r="BJ35" s="16" t="s">
        <v>20</v>
      </c>
      <c r="BK35" s="16">
        <v>4.5</v>
      </c>
      <c r="BL35" s="16">
        <v>2.8</v>
      </c>
      <c r="BM35" s="17"/>
      <c r="BO35" s="15" t="s">
        <v>211</v>
      </c>
      <c r="BP35" s="51">
        <v>46270.3958333333</v>
      </c>
      <c r="BQ35" s="17">
        <v>29</v>
      </c>
      <c r="BR35" s="68">
        <v>14505</v>
      </c>
      <c r="BS35" s="41">
        <v>6.0000000000000053</v>
      </c>
      <c r="BT35" s="16">
        <v>12.999999999068677</v>
      </c>
      <c r="BU35" s="16" t="s">
        <v>20</v>
      </c>
      <c r="BV35" s="16">
        <v>4.5</v>
      </c>
      <c r="BW35" s="16">
        <v>2</v>
      </c>
      <c r="BX35" s="17"/>
      <c r="BZ35" s="15" t="s">
        <v>211</v>
      </c>
      <c r="CA35" s="51">
        <v>46272.8909722222</v>
      </c>
      <c r="CB35" s="17">
        <v>29</v>
      </c>
      <c r="CC35" s="68">
        <v>15923</v>
      </c>
      <c r="CD35" s="41">
        <v>4.9999999999999964</v>
      </c>
      <c r="CE35" s="16">
        <v>22.9999999969732</v>
      </c>
      <c r="CF35" s="16">
        <v>1000</v>
      </c>
      <c r="CG35" s="16">
        <v>5.6999999999999833</v>
      </c>
      <c r="CH35" s="16">
        <v>5.7</v>
      </c>
      <c r="CI35" s="17"/>
      <c r="CK35" s="15" t="s">
        <v>211</v>
      </c>
      <c r="CL35" s="51">
        <v>46273.0868055556</v>
      </c>
      <c r="CM35" s="17">
        <v>29</v>
      </c>
      <c r="CN35" s="68">
        <v>16144</v>
      </c>
      <c r="CO35" s="41">
        <v>15.000000000000048</v>
      </c>
      <c r="CP35" s="16">
        <v>24.000000001396984</v>
      </c>
      <c r="CQ35" s="16">
        <v>1000</v>
      </c>
      <c r="CR35" s="16">
        <v>5</v>
      </c>
      <c r="CS35" s="16">
        <v>4.8</v>
      </c>
      <c r="CT35" s="17"/>
      <c r="CV35" s="15" t="s">
        <v>211</v>
      </c>
      <c r="CW35" s="51">
        <v>46274.3125</v>
      </c>
      <c r="CX35" s="17">
        <v>29</v>
      </c>
      <c r="CY35" s="43">
        <v>14456</v>
      </c>
      <c r="CZ35" s="41" t="s">
        <v>20</v>
      </c>
      <c r="DA35" s="16" t="s">
        <v>20</v>
      </c>
      <c r="DB35" s="16" t="s">
        <v>20</v>
      </c>
      <c r="DC35" s="16" t="s">
        <v>20</v>
      </c>
      <c r="DD35" s="16" t="s">
        <v>20</v>
      </c>
      <c r="DE35" s="17"/>
      <c r="DG35" s="15" t="s">
        <v>211</v>
      </c>
      <c r="DH35" s="51">
        <v>46274.9145833333</v>
      </c>
      <c r="DI35" s="17">
        <v>29</v>
      </c>
      <c r="DJ35" s="43">
        <v>15302</v>
      </c>
      <c r="DK35" s="41" t="s">
        <v>20</v>
      </c>
      <c r="DL35" s="16" t="s">
        <v>20</v>
      </c>
      <c r="DM35" s="16" t="s">
        <v>20</v>
      </c>
      <c r="DN35" s="16" t="s">
        <v>20</v>
      </c>
      <c r="DO35" s="16" t="s">
        <v>20</v>
      </c>
      <c r="DP35" s="17"/>
      <c r="DR35" s="15" t="s">
        <v>211</v>
      </c>
      <c r="DS35" s="51">
        <v>46271.6458333333</v>
      </c>
      <c r="DT35" s="17">
        <v>29</v>
      </c>
      <c r="DU35" s="43">
        <v>15035</v>
      </c>
      <c r="DV35" s="41">
        <v>4.0000000000000036</v>
      </c>
      <c r="DW35" s="16">
        <v>13.000000003026798</v>
      </c>
      <c r="DX35" s="16" t="s">
        <v>20</v>
      </c>
      <c r="DY35" s="16">
        <v>4</v>
      </c>
      <c r="DZ35" s="16">
        <v>4</v>
      </c>
      <c r="EA35" s="17"/>
      <c r="EC35" s="15" t="s">
        <v>211</v>
      </c>
      <c r="ED35" s="51">
        <v>46273.1875</v>
      </c>
      <c r="EE35" s="17">
        <v>29</v>
      </c>
      <c r="EF35" s="43">
        <v>13861</v>
      </c>
      <c r="EG35" s="41">
        <v>9.9999999999999929</v>
      </c>
      <c r="EH35" s="16">
        <v>8.9999999990686774</v>
      </c>
      <c r="EI35" s="16" t="s">
        <v>20</v>
      </c>
      <c r="EJ35" s="16">
        <v>5</v>
      </c>
      <c r="EK35" s="16">
        <v>4.6</v>
      </c>
      <c r="EL35" s="17"/>
      <c r="EN35" s="15" t="s">
        <v>211</v>
      </c>
      <c r="EO35" s="51">
        <v>46272.9166666667</v>
      </c>
      <c r="EP35" s="17">
        <v>29</v>
      </c>
      <c r="EQ35" s="43">
        <v>14718</v>
      </c>
      <c r="ER35" s="41">
        <v>0.99999999999999933</v>
      </c>
      <c r="ES35" s="16">
        <v>26.9999999969732</v>
      </c>
      <c r="ET35" s="16" t="s">
        <v>20</v>
      </c>
      <c r="EU35" s="16">
        <v>4</v>
      </c>
      <c r="EV35" s="16">
        <v>3.5</v>
      </c>
      <c r="EW35" s="17"/>
      <c r="EY35" s="15" t="s">
        <v>211</v>
      </c>
      <c r="EZ35" s="51">
        <v>46271.0395833333</v>
      </c>
      <c r="FA35" s="17">
        <v>29</v>
      </c>
      <c r="FB35" s="43">
        <v>16664</v>
      </c>
      <c r="FC35" s="41">
        <v>6.0000000000000053</v>
      </c>
      <c r="FD35" s="16">
        <v>25.999999999534339</v>
      </c>
      <c r="FE35" s="16" t="s">
        <v>20</v>
      </c>
      <c r="FF35" s="16">
        <v>5.5</v>
      </c>
      <c r="FG35" s="16">
        <v>5.5</v>
      </c>
      <c r="FH35" s="17"/>
      <c r="FJ35" s="15" t="s">
        <v>211</v>
      </c>
      <c r="FK35" s="51">
        <v>46273.8104166667</v>
      </c>
      <c r="FL35" s="17">
        <v>29</v>
      </c>
      <c r="FM35" s="43">
        <v>16496</v>
      </c>
      <c r="FN35" s="41">
        <v>8.0000000000000071</v>
      </c>
      <c r="FO35" s="16">
        <v>16.000000004889444</v>
      </c>
      <c r="FP35" s="16" t="s">
        <v>20</v>
      </c>
      <c r="FQ35" s="16">
        <v>5.1999999999999833</v>
      </c>
      <c r="FR35" s="16">
        <v>5.2</v>
      </c>
      <c r="FS35" s="17"/>
      <c r="FU35" s="15" t="s">
        <v>211</v>
      </c>
      <c r="FV35" s="51">
        <v>46272.0208333333</v>
      </c>
      <c r="FW35" s="17">
        <v>29</v>
      </c>
      <c r="FX35" s="43">
        <v>15305</v>
      </c>
      <c r="FY35" s="41">
        <v>4.0000000000000036</v>
      </c>
      <c r="FZ35" s="16">
        <v>22.999999993713573</v>
      </c>
      <c r="GA35" s="16" t="s">
        <v>20</v>
      </c>
      <c r="GB35" s="16">
        <v>4</v>
      </c>
      <c r="GC35" s="16">
        <v>4</v>
      </c>
      <c r="GD35" s="17"/>
      <c r="GF35" s="15" t="s">
        <v>211</v>
      </c>
      <c r="GG35" s="51">
        <v>46248.4618055556</v>
      </c>
      <c r="GH35" s="17">
        <v>29</v>
      </c>
      <c r="GI35" s="43">
        <v>14893</v>
      </c>
      <c r="GJ35" s="41">
        <v>8.0000000000000071</v>
      </c>
      <c r="GK35" s="16">
        <v>20.000000007450581</v>
      </c>
      <c r="GL35" s="16">
        <v>500</v>
      </c>
      <c r="GM35" s="16">
        <v>4.5</v>
      </c>
      <c r="GN35" s="16">
        <v>4.5</v>
      </c>
      <c r="GO35" s="17"/>
      <c r="GQ35" s="15" t="s">
        <v>211</v>
      </c>
      <c r="GR35" s="51"/>
      <c r="GS35" s="17"/>
      <c r="GT35" s="43"/>
      <c r="GU35" s="41"/>
      <c r="GV35" s="16"/>
      <c r="GW35" s="16"/>
      <c r="GX35" s="16"/>
      <c r="GY35" s="16"/>
      <c r="GZ35" s="17"/>
      <c r="HB35" s="15" t="s">
        <v>211</v>
      </c>
      <c r="HC35" s="51"/>
      <c r="HD35" s="17"/>
      <c r="HE35" s="43"/>
      <c r="HF35" s="41"/>
      <c r="HG35" s="16"/>
      <c r="HH35" s="16"/>
      <c r="HI35" s="16"/>
      <c r="HJ35" s="16"/>
      <c r="HK35" s="17"/>
      <c r="HM35" s="15" t="s">
        <v>211</v>
      </c>
      <c r="HN35" s="51"/>
      <c r="HO35" s="17"/>
      <c r="HP35" s="43"/>
      <c r="HQ35" s="41"/>
      <c r="HR35" s="16"/>
      <c r="HS35" s="16"/>
      <c r="HT35" s="16"/>
      <c r="HU35" s="16"/>
      <c r="HV35" s="17"/>
      <c r="HX35" s="15" t="s">
        <v>211</v>
      </c>
      <c r="HY35" s="51"/>
      <c r="HZ35" s="17"/>
      <c r="IA35" s="43"/>
      <c r="IB35" s="41"/>
      <c r="IC35" s="16"/>
      <c r="ID35" s="16"/>
      <c r="IE35" s="16"/>
      <c r="IF35" s="16"/>
      <c r="IG35" s="17"/>
      <c r="II35" s="15" t="s">
        <v>211</v>
      </c>
      <c r="IJ35" s="51"/>
      <c r="IK35" s="17"/>
      <c r="IL35" s="43"/>
      <c r="IM35" s="41"/>
      <c r="IN35" s="16"/>
      <c r="IO35" s="16"/>
      <c r="IP35" s="16"/>
      <c r="IQ35" s="16"/>
      <c r="IR35" s="17"/>
      <c r="IT35" s="15" t="s">
        <v>211</v>
      </c>
      <c r="IU35" s="51"/>
      <c r="IV35" s="17"/>
      <c r="IW35" s="43"/>
      <c r="IX35" s="41"/>
      <c r="IY35" s="16"/>
      <c r="IZ35" s="16"/>
      <c r="JA35" s="16"/>
      <c r="JB35" s="16"/>
      <c r="JC35" s="17"/>
      <c r="JE35" s="15" t="s">
        <v>211</v>
      </c>
      <c r="JF35" s="51"/>
      <c r="JG35" s="17"/>
      <c r="JH35" s="43"/>
      <c r="JI35" s="41"/>
      <c r="JJ35" s="16"/>
      <c r="JK35" s="16"/>
      <c r="JL35" s="16"/>
      <c r="JM35" s="16"/>
      <c r="JN35" s="17"/>
      <c r="JP35" s="15" t="s">
        <v>211</v>
      </c>
      <c r="JQ35" s="51"/>
      <c r="JR35" s="17"/>
      <c r="JS35" s="43"/>
      <c r="JT35" s="41"/>
      <c r="JU35" s="16"/>
      <c r="JV35" s="16"/>
      <c r="JW35" s="16"/>
      <c r="JX35" s="16"/>
      <c r="JY35" s="17"/>
      <c r="KA35" s="15" t="s">
        <v>211</v>
      </c>
      <c r="KB35" s="51"/>
      <c r="KC35" s="17"/>
      <c r="KD35" s="43"/>
      <c r="KE35" s="41"/>
      <c r="KF35" s="16"/>
      <c r="KG35" s="16"/>
      <c r="KH35" s="16"/>
      <c r="KI35" s="16"/>
      <c r="KJ35" s="17"/>
      <c r="KL35" s="15" t="s">
        <v>211</v>
      </c>
      <c r="KM35" s="51"/>
      <c r="KN35" s="17"/>
      <c r="KO35" s="43"/>
      <c r="KP35" s="41"/>
      <c r="KQ35" s="16"/>
      <c r="KR35" s="16"/>
      <c r="KS35" s="16"/>
      <c r="KT35" s="16"/>
      <c r="KU35" s="17"/>
      <c r="KW35" s="15" t="s">
        <v>211</v>
      </c>
      <c r="KX35" s="51"/>
      <c r="KY35" s="17"/>
      <c r="KZ35" s="43"/>
      <c r="LA35" s="41"/>
      <c r="LB35" s="16"/>
      <c r="LC35" s="16"/>
      <c r="LD35" s="16"/>
      <c r="LE35" s="16"/>
      <c r="LF35" s="17"/>
      <c r="LH35" s="15" t="s">
        <v>211</v>
      </c>
      <c r="LI35" s="51"/>
      <c r="LJ35" s="17"/>
      <c r="LK35" s="43"/>
      <c r="LL35" s="41"/>
      <c r="LM35" s="16"/>
      <c r="LN35" s="16"/>
      <c r="LO35" s="16"/>
      <c r="LP35" s="16"/>
      <c r="LQ35" s="17"/>
    </row>
    <row r="36">
      <c r="A36" s="15" t="s">
        <v>212</v>
      </c>
      <c r="B36" s="51"/>
      <c r="C36" s="63">
        <v>30</v>
      </c>
      <c r="D36" s="65">
        <v>15796</v>
      </c>
      <c r="E36" s="30" t="s">
        <v>20</v>
      </c>
      <c r="F36" s="16" t="s">
        <v>20</v>
      </c>
      <c r="G36" s="21" t="s">
        <v>20</v>
      </c>
      <c r="H36" s="33" t="s">
        <v>20</v>
      </c>
      <c r="I36" s="33" t="s">
        <v>20</v>
      </c>
      <c r="J36" s="17"/>
      <c r="L36" s="15" t="s">
        <v>212</v>
      </c>
      <c r="M36" s="51" t="s">
        <v>20</v>
      </c>
      <c r="N36" s="66">
        <v>30</v>
      </c>
      <c r="O36" s="64">
        <v>15698</v>
      </c>
      <c r="P36" s="16" t="s">
        <v>20</v>
      </c>
      <c r="Q36" s="16" t="s">
        <v>20</v>
      </c>
      <c r="R36" s="16" t="s">
        <v>20</v>
      </c>
      <c r="S36" s="16" t="s">
        <v>20</v>
      </c>
      <c r="T36" s="16" t="s">
        <v>20</v>
      </c>
      <c r="U36" s="17"/>
      <c r="W36" s="15" t="s">
        <v>212</v>
      </c>
      <c r="X36" s="51"/>
      <c r="Y36" s="66">
        <v>30</v>
      </c>
      <c r="Z36" s="64">
        <v>15139</v>
      </c>
      <c r="AA36" s="16" t="s">
        <v>20</v>
      </c>
      <c r="AB36" s="16" t="s">
        <v>20</v>
      </c>
      <c r="AC36" s="16" t="s">
        <v>20</v>
      </c>
      <c r="AD36" s="16" t="s">
        <v>20</v>
      </c>
      <c r="AE36" s="16" t="s">
        <v>20</v>
      </c>
      <c r="AF36" s="17"/>
      <c r="AH36" s="15" t="s">
        <v>212</v>
      </c>
      <c r="AI36" s="51">
        <v>46270.54375</v>
      </c>
      <c r="AJ36" s="17">
        <v>30</v>
      </c>
      <c r="AK36" s="64">
        <v>14787</v>
      </c>
      <c r="AL36" s="16">
        <v>4.9999999999999964</v>
      </c>
      <c r="AM36" s="16">
        <v>14.999999991850927</v>
      </c>
      <c r="AN36" s="16" t="s">
        <v>20</v>
      </c>
      <c r="AO36" s="16">
        <v>4.5</v>
      </c>
      <c r="AP36" s="16">
        <v>3.8</v>
      </c>
      <c r="AQ36" s="17"/>
      <c r="AS36" s="15" t="s">
        <v>212</v>
      </c>
      <c r="AT36" s="51">
        <v>46274.8333333333</v>
      </c>
      <c r="AU36" s="17">
        <v>30</v>
      </c>
      <c r="AV36" s="64">
        <v>14441</v>
      </c>
      <c r="AW36" s="16" t="s">
        <v>20</v>
      </c>
      <c r="AX36" s="16" t="s">
        <v>20</v>
      </c>
      <c r="AY36" s="16"/>
      <c r="AZ36" s="16" t="s">
        <v>20</v>
      </c>
      <c r="BA36" s="16" t="s">
        <v>20</v>
      </c>
      <c r="BB36" s="17"/>
      <c r="BD36" s="15" t="s">
        <v>212</v>
      </c>
      <c r="BE36" s="51">
        <v>46274.0208333333</v>
      </c>
      <c r="BF36" s="17">
        <v>30</v>
      </c>
      <c r="BG36" s="64">
        <v>14941</v>
      </c>
      <c r="BH36" s="16">
        <v>2.9999999999999947</v>
      </c>
      <c r="BI36" s="16">
        <v>15.000000006286427</v>
      </c>
      <c r="BJ36" s="16" t="s">
        <v>20</v>
      </c>
      <c r="BK36" s="16">
        <v>4.5</v>
      </c>
      <c r="BL36" s="16">
        <v>2.6</v>
      </c>
      <c r="BM36" s="17"/>
      <c r="BO36" s="15" t="s">
        <v>212</v>
      </c>
      <c r="BP36" s="51">
        <v>46270.9895833333</v>
      </c>
      <c r="BQ36" s="17">
        <v>30</v>
      </c>
      <c r="BR36" s="64">
        <v>14705</v>
      </c>
      <c r="BS36" s="16">
        <v>4.9999999999999964</v>
      </c>
      <c r="BT36" s="16">
        <v>26.999999999534339</v>
      </c>
      <c r="BU36" s="16" t="s">
        <v>20</v>
      </c>
      <c r="BV36" s="16">
        <v>4.5</v>
      </c>
      <c r="BW36" s="16">
        <v>2.3</v>
      </c>
      <c r="BX36" s="17"/>
      <c r="BZ36" s="15" t="s">
        <v>212</v>
      </c>
      <c r="CA36" s="51">
        <v>46272.9805555556</v>
      </c>
      <c r="CB36" s="17">
        <v>30</v>
      </c>
      <c r="CC36" s="64">
        <v>16126</v>
      </c>
      <c r="CD36" s="16">
        <v>4.0000000000000036</v>
      </c>
      <c r="CE36" s="16">
        <v>25.000000000232831</v>
      </c>
      <c r="CF36" s="16">
        <v>1000</v>
      </c>
      <c r="CG36" s="16">
        <v>5.6999999999999833</v>
      </c>
      <c r="CH36" s="16">
        <v>5.7</v>
      </c>
      <c r="CI36" s="17"/>
      <c r="CK36" s="15" t="s">
        <v>212</v>
      </c>
      <c r="CL36" s="51">
        <v>46273.2291666667</v>
      </c>
      <c r="CM36" s="17">
        <v>30</v>
      </c>
      <c r="CN36" s="64">
        <v>16347</v>
      </c>
      <c r="CO36" s="16">
        <v>6.9999999999999991</v>
      </c>
      <c r="CP36" s="16">
        <v>19.000000000931323</v>
      </c>
      <c r="CQ36" s="16">
        <v>1000</v>
      </c>
      <c r="CR36" s="16">
        <v>5</v>
      </c>
      <c r="CS36" s="16">
        <v>4.8</v>
      </c>
      <c r="CT36" s="17"/>
      <c r="CV36" s="15" t="s">
        <v>212</v>
      </c>
      <c r="CW36" s="51">
        <v>46274.5625</v>
      </c>
      <c r="CX36" s="17">
        <v>30</v>
      </c>
      <c r="CY36" s="59">
        <v>14657</v>
      </c>
      <c r="CZ36" s="16" t="s">
        <v>20</v>
      </c>
      <c r="DA36" s="16" t="s">
        <v>20</v>
      </c>
      <c r="DB36" s="16" t="s">
        <v>20</v>
      </c>
      <c r="DC36" s="16" t="s">
        <v>20</v>
      </c>
      <c r="DD36" s="16" t="s">
        <v>20</v>
      </c>
      <c r="DE36" s="17"/>
      <c r="DG36" s="15" t="s">
        <v>212</v>
      </c>
      <c r="DH36" s="51" t="s">
        <v>20</v>
      </c>
      <c r="DI36" s="17">
        <v>30</v>
      </c>
      <c r="DJ36" s="59">
        <v>15503</v>
      </c>
      <c r="DK36" s="16" t="s">
        <v>20</v>
      </c>
      <c r="DL36" s="16" t="s">
        <v>20</v>
      </c>
      <c r="DM36" s="16" t="s">
        <v>20</v>
      </c>
      <c r="DN36" s="16" t="s">
        <v>20</v>
      </c>
      <c r="DO36" s="16" t="s">
        <v>20</v>
      </c>
      <c r="DP36" s="17"/>
      <c r="DR36" s="15" t="s">
        <v>212</v>
      </c>
      <c r="DS36" s="51">
        <v>46272.03125</v>
      </c>
      <c r="DT36" s="17">
        <v>30</v>
      </c>
      <c r="DU36" s="59">
        <v>15239</v>
      </c>
      <c r="DV36" s="16">
        <v>0.99999999999999933</v>
      </c>
      <c r="DW36" s="16">
        <v>9.9999999939464033</v>
      </c>
      <c r="DX36" s="16" t="s">
        <v>20</v>
      </c>
      <c r="DY36" s="16">
        <v>4</v>
      </c>
      <c r="DZ36" s="16">
        <v>4</v>
      </c>
      <c r="EA36" s="17"/>
      <c r="EC36" s="15" t="s">
        <v>212</v>
      </c>
      <c r="ED36" s="51">
        <v>46273.8125</v>
      </c>
      <c r="EE36" s="17">
        <v>30</v>
      </c>
      <c r="EF36" s="59">
        <v>14063</v>
      </c>
      <c r="EG36" s="16">
        <v>11.000000000000002</v>
      </c>
      <c r="EH36" s="16">
        <v>12.000000001629815</v>
      </c>
      <c r="EI36" s="16" t="s">
        <v>20</v>
      </c>
      <c r="EJ36" s="16">
        <v>5</v>
      </c>
      <c r="EK36" s="16">
        <v>4.6</v>
      </c>
      <c r="EL36" s="17"/>
      <c r="EN36" s="15" t="s">
        <v>212</v>
      </c>
      <c r="EO36" s="51">
        <v>46273.25</v>
      </c>
      <c r="EP36" s="17">
        <v>30</v>
      </c>
      <c r="EQ36" s="59">
        <v>14920</v>
      </c>
      <c r="ER36" s="16">
        <v>2.0000000000000018</v>
      </c>
      <c r="ES36" s="16">
        <v>12.99999999650754</v>
      </c>
      <c r="ET36" s="16" t="s">
        <v>20</v>
      </c>
      <c r="EU36" s="16">
        <v>4</v>
      </c>
      <c r="EV36" s="16">
        <v>3.4</v>
      </c>
      <c r="EW36" s="17"/>
      <c r="EY36" s="15" t="s">
        <v>212</v>
      </c>
      <c r="EZ36" s="51">
        <v>46271.125</v>
      </c>
      <c r="FA36" s="17">
        <v>30</v>
      </c>
      <c r="FB36" s="59">
        <v>16864</v>
      </c>
      <c r="FC36" s="16">
        <v>4.9999999999999964</v>
      </c>
      <c r="FD36" s="16">
        <v>12.999999995809048</v>
      </c>
      <c r="FE36" s="16" t="s">
        <v>20</v>
      </c>
      <c r="FF36" s="16">
        <v>5.5</v>
      </c>
      <c r="FG36" s="16">
        <v>5.5</v>
      </c>
      <c r="FH36" s="17"/>
      <c r="FJ36" s="15" t="s">
        <v>212</v>
      </c>
      <c r="FK36" s="51">
        <v>46273.9145833333</v>
      </c>
      <c r="FL36" s="17">
        <v>30</v>
      </c>
      <c r="FM36" s="59">
        <v>16695</v>
      </c>
      <c r="FN36" s="16">
        <v>6.9999999999999991</v>
      </c>
      <c r="FO36" s="16">
        <v>19.000000000931323</v>
      </c>
      <c r="FP36" s="16" t="s">
        <v>20</v>
      </c>
      <c r="FQ36" s="16">
        <v>5.1999999999999833</v>
      </c>
      <c r="FR36" s="16">
        <v>5.2</v>
      </c>
      <c r="FS36" s="17"/>
      <c r="FU36" s="15" t="s">
        <v>212</v>
      </c>
      <c r="FV36" s="51">
        <v>46272.9430555556</v>
      </c>
      <c r="FW36" s="17">
        <v>30</v>
      </c>
      <c r="FX36" s="59">
        <v>15546</v>
      </c>
      <c r="FY36" s="16">
        <v>4.0000000000000036</v>
      </c>
      <c r="FZ36" s="16">
        <v>25.000000000232831</v>
      </c>
      <c r="GA36" s="16" t="s">
        <v>20</v>
      </c>
      <c r="GB36" s="16">
        <v>4</v>
      </c>
      <c r="GC36" s="16">
        <v>4.2</v>
      </c>
      <c r="GD36" s="17"/>
      <c r="GF36" s="15" t="s">
        <v>212</v>
      </c>
      <c r="GG36" s="51">
        <v>46248.56875</v>
      </c>
      <c r="GH36" s="17">
        <v>30</v>
      </c>
      <c r="GI36" s="59">
        <v>15094</v>
      </c>
      <c r="GJ36" s="16">
        <v>15.000000000000048</v>
      </c>
      <c r="GK36" s="16">
        <v>57.9999999969732</v>
      </c>
      <c r="GL36" s="16">
        <v>500</v>
      </c>
      <c r="GM36" s="16">
        <v>4.5</v>
      </c>
      <c r="GN36" s="16">
        <v>4.5</v>
      </c>
      <c r="GO36" s="17"/>
      <c r="GQ36" s="15" t="s">
        <v>212</v>
      </c>
      <c r="GR36" s="51"/>
      <c r="GS36" s="17"/>
      <c r="GT36" s="59"/>
      <c r="GU36" s="16"/>
      <c r="GV36" s="16"/>
      <c r="GW36" s="16"/>
      <c r="GX36" s="16"/>
      <c r="GY36" s="16"/>
      <c r="GZ36" s="17"/>
      <c r="HB36" s="15" t="s">
        <v>212</v>
      </c>
      <c r="HC36" s="51"/>
      <c r="HD36" s="17"/>
      <c r="HE36" s="59"/>
      <c r="HF36" s="16"/>
      <c r="HG36" s="16"/>
      <c r="HH36" s="16"/>
      <c r="HI36" s="16"/>
      <c r="HJ36" s="16"/>
      <c r="HK36" s="17"/>
      <c r="HM36" s="15" t="s">
        <v>212</v>
      </c>
      <c r="HN36" s="51"/>
      <c r="HO36" s="17"/>
      <c r="HP36" s="59"/>
      <c r="HQ36" s="16"/>
      <c r="HR36" s="16"/>
      <c r="HS36" s="16"/>
      <c r="HT36" s="16"/>
      <c r="HU36" s="16"/>
      <c r="HV36" s="17"/>
      <c r="HX36" s="15" t="s">
        <v>212</v>
      </c>
      <c r="HY36" s="51"/>
      <c r="HZ36" s="17"/>
      <c r="IA36" s="59"/>
      <c r="IB36" s="16"/>
      <c r="IC36" s="16"/>
      <c r="ID36" s="16"/>
      <c r="IE36" s="16"/>
      <c r="IF36" s="16"/>
      <c r="IG36" s="17"/>
      <c r="II36" s="15" t="s">
        <v>212</v>
      </c>
      <c r="IJ36" s="51"/>
      <c r="IK36" s="17"/>
      <c r="IL36" s="59"/>
      <c r="IM36" s="16"/>
      <c r="IN36" s="16"/>
      <c r="IO36" s="16"/>
      <c r="IP36" s="16"/>
      <c r="IQ36" s="16"/>
      <c r="IR36" s="17"/>
      <c r="IT36" s="15" t="s">
        <v>212</v>
      </c>
      <c r="IU36" s="51"/>
      <c r="IV36" s="17"/>
      <c r="IW36" s="59"/>
      <c r="IX36" s="16"/>
      <c r="IY36" s="16"/>
      <c r="IZ36" s="16"/>
      <c r="JA36" s="16"/>
      <c r="JB36" s="16"/>
      <c r="JC36" s="17"/>
      <c r="JE36" s="15" t="s">
        <v>212</v>
      </c>
      <c r="JF36" s="51"/>
      <c r="JG36" s="17"/>
      <c r="JH36" s="59"/>
      <c r="JI36" s="16"/>
      <c r="JJ36" s="16"/>
      <c r="JK36" s="16"/>
      <c r="JL36" s="16"/>
      <c r="JM36" s="16"/>
      <c r="JN36" s="17"/>
      <c r="JP36" s="15" t="s">
        <v>212</v>
      </c>
      <c r="JQ36" s="51"/>
      <c r="JR36" s="17"/>
      <c r="JS36" s="59"/>
      <c r="JT36" s="16"/>
      <c r="JU36" s="16"/>
      <c r="JV36" s="16"/>
      <c r="JW36" s="16"/>
      <c r="JX36" s="16"/>
      <c r="JY36" s="17"/>
      <c r="KA36" s="15" t="s">
        <v>212</v>
      </c>
      <c r="KB36" s="51"/>
      <c r="KC36" s="17"/>
      <c r="KD36" s="59"/>
      <c r="KE36" s="16"/>
      <c r="KF36" s="16"/>
      <c r="KG36" s="16"/>
      <c r="KH36" s="16"/>
      <c r="KI36" s="16"/>
      <c r="KJ36" s="17"/>
      <c r="KL36" s="15" t="s">
        <v>212</v>
      </c>
      <c r="KM36" s="51"/>
      <c r="KN36" s="17"/>
      <c r="KO36" s="59"/>
      <c r="KP36" s="16"/>
      <c r="KQ36" s="16"/>
      <c r="KR36" s="16"/>
      <c r="KS36" s="16"/>
      <c r="KT36" s="16"/>
      <c r="KU36" s="17"/>
      <c r="KW36" s="15" t="s">
        <v>212</v>
      </c>
      <c r="KX36" s="51"/>
      <c r="KY36" s="17"/>
      <c r="KZ36" s="59"/>
      <c r="LA36" s="16"/>
      <c r="LB36" s="16"/>
      <c r="LC36" s="16"/>
      <c r="LD36" s="16"/>
      <c r="LE36" s="16"/>
      <c r="LF36" s="17"/>
      <c r="LH36" s="15" t="s">
        <v>212</v>
      </c>
      <c r="LI36" s="51"/>
      <c r="LJ36" s="17"/>
      <c r="LK36" s="59"/>
      <c r="LL36" s="16"/>
      <c r="LM36" s="16"/>
      <c r="LN36" s="16"/>
      <c r="LO36" s="16"/>
      <c r="LP36" s="16"/>
      <c r="LQ36" s="17"/>
    </row>
    <row r="37">
      <c r="A37" s="15" t="s">
        <v>213</v>
      </c>
      <c r="B37" s="54"/>
      <c r="C37" s="63">
        <v>31</v>
      </c>
      <c r="D37" s="65">
        <v>16002</v>
      </c>
      <c r="E37" s="30" t="s">
        <v>20</v>
      </c>
      <c r="F37" s="16" t="s">
        <v>20</v>
      </c>
      <c r="G37" s="21" t="s">
        <v>20</v>
      </c>
      <c r="H37" s="33" t="s">
        <v>20</v>
      </c>
      <c r="I37" s="33" t="s">
        <v>20</v>
      </c>
      <c r="J37" s="17"/>
      <c r="L37" s="15" t="s">
        <v>213</v>
      </c>
      <c r="M37" s="54" t="s">
        <v>20</v>
      </c>
      <c r="N37" s="66">
        <v>31</v>
      </c>
      <c r="O37" s="64">
        <v>15941</v>
      </c>
      <c r="P37" s="16" t="s">
        <v>20</v>
      </c>
      <c r="Q37" s="16" t="s">
        <v>20</v>
      </c>
      <c r="R37" s="16" t="s">
        <v>20</v>
      </c>
      <c r="S37" s="16" t="s">
        <v>20</v>
      </c>
      <c r="T37" s="16" t="s">
        <v>20</v>
      </c>
      <c r="U37" s="17"/>
      <c r="W37" s="15" t="s">
        <v>213</v>
      </c>
      <c r="X37" s="54"/>
      <c r="Y37" s="66">
        <v>31</v>
      </c>
      <c r="Z37" s="64">
        <v>15339</v>
      </c>
      <c r="AA37" s="16" t="s">
        <v>20</v>
      </c>
      <c r="AB37" s="16" t="s">
        <v>20</v>
      </c>
      <c r="AC37" s="16" t="s">
        <v>20</v>
      </c>
      <c r="AD37" s="16" t="s">
        <v>20</v>
      </c>
      <c r="AE37" s="16" t="s">
        <v>20</v>
      </c>
      <c r="AF37" s="17"/>
      <c r="AH37" s="15" t="s">
        <v>213</v>
      </c>
      <c r="AI37" s="54">
        <v>8950</v>
      </c>
      <c r="AJ37" s="17">
        <v>31</v>
      </c>
      <c r="AK37" s="64">
        <v>14989</v>
      </c>
      <c r="AL37" s="16">
        <v>4.9999999999999964</v>
      </c>
      <c r="AM37" s="16">
        <v>20.000000008149073</v>
      </c>
      <c r="AN37" s="16" t="s">
        <v>20</v>
      </c>
      <c r="AO37" s="16">
        <v>4.5</v>
      </c>
      <c r="AP37" s="16">
        <v>4.2</v>
      </c>
      <c r="AQ37" s="17"/>
      <c r="AS37" s="15" t="s">
        <v>213</v>
      </c>
      <c r="AT37" s="54">
        <v>8621</v>
      </c>
      <c r="AU37" s="17">
        <v>31</v>
      </c>
      <c r="AV37" s="64">
        <v>14642</v>
      </c>
      <c r="AW37" s="16" t="s">
        <v>20</v>
      </c>
      <c r="AX37" s="16" t="s">
        <v>20</v>
      </c>
      <c r="AY37" s="16"/>
      <c r="AZ37" s="16" t="s">
        <v>20</v>
      </c>
      <c r="BA37" s="16" t="s">
        <v>20</v>
      </c>
      <c r="BB37" s="17"/>
      <c r="BD37" s="15" t="s">
        <v>213</v>
      </c>
      <c r="BE37" s="54">
        <v>9110</v>
      </c>
      <c r="BF37" s="17">
        <v>31</v>
      </c>
      <c r="BG37" s="64">
        <v>15143</v>
      </c>
      <c r="BH37" s="16">
        <v>2.9999999999999947</v>
      </c>
      <c r="BI37" s="16">
        <v>11.99999999650754</v>
      </c>
      <c r="BJ37" s="16" t="s">
        <v>20</v>
      </c>
      <c r="BK37" s="16">
        <v>4.5</v>
      </c>
      <c r="BL37" s="16">
        <v>3</v>
      </c>
      <c r="BM37" s="17"/>
      <c r="BO37" s="15" t="s">
        <v>213</v>
      </c>
      <c r="BP37" s="54">
        <v>9106</v>
      </c>
      <c r="BQ37" s="17">
        <v>31</v>
      </c>
      <c r="BR37" s="64">
        <v>14905</v>
      </c>
      <c r="BS37" s="16">
        <v>4.0000000000000036</v>
      </c>
      <c r="BT37" s="16">
        <v>26.999999995576218</v>
      </c>
      <c r="BU37" s="16" t="s">
        <v>20</v>
      </c>
      <c r="BV37" s="16">
        <v>4.5</v>
      </c>
      <c r="BW37" s="16">
        <v>3</v>
      </c>
      <c r="BX37" s="17"/>
      <c r="BZ37" s="15" t="s">
        <v>213</v>
      </c>
      <c r="CA37" s="54">
        <v>10532</v>
      </c>
      <c r="CB37" s="17">
        <v>31</v>
      </c>
      <c r="CC37" s="64">
        <v>16329</v>
      </c>
      <c r="CD37" s="16">
        <v>4.9999999999999964</v>
      </c>
      <c r="CE37" s="16">
        <v>34.000000001396984</v>
      </c>
      <c r="CF37" s="16">
        <v>2000</v>
      </c>
      <c r="CG37" s="16">
        <v>5.6999999999999833</v>
      </c>
      <c r="CH37" s="16">
        <v>5.7</v>
      </c>
      <c r="CI37" s="17"/>
      <c r="CK37" s="15" t="s">
        <v>213</v>
      </c>
      <c r="CL37" s="54">
        <v>10499</v>
      </c>
      <c r="CM37" s="17">
        <v>31</v>
      </c>
      <c r="CN37" s="64">
        <v>16549</v>
      </c>
      <c r="CO37" s="16">
        <v>24.999999999999982</v>
      </c>
      <c r="CP37" s="16">
        <v>18.999999996740371</v>
      </c>
      <c r="CQ37" s="16">
        <v>1000</v>
      </c>
      <c r="CR37" s="16">
        <v>5</v>
      </c>
      <c r="CS37" s="16">
        <v>4.9</v>
      </c>
      <c r="CT37" s="17"/>
      <c r="CV37" s="15" t="s">
        <v>213</v>
      </c>
      <c r="CW37" s="54">
        <v>8860</v>
      </c>
      <c r="CX37" s="17">
        <v>31</v>
      </c>
      <c r="CY37" s="59">
        <v>14857</v>
      </c>
      <c r="CZ37" s="16" t="s">
        <v>20</v>
      </c>
      <c r="DA37" s="16" t="s">
        <v>20</v>
      </c>
      <c r="DB37" s="16" t="s">
        <v>20</v>
      </c>
      <c r="DC37" s="16" t="s">
        <v>20</v>
      </c>
      <c r="DD37" s="16" t="s">
        <v>20</v>
      </c>
      <c r="DE37" s="17"/>
      <c r="DG37" s="15" t="s">
        <v>213</v>
      </c>
      <c r="DH37" s="54" t="s">
        <v>20</v>
      </c>
      <c r="DI37" s="17">
        <v>31</v>
      </c>
      <c r="DJ37" s="59">
        <v>15705</v>
      </c>
      <c r="DK37" s="16" t="s">
        <v>20</v>
      </c>
      <c r="DL37" s="16" t="s">
        <v>20</v>
      </c>
      <c r="DM37" s="16" t="s">
        <v>20</v>
      </c>
      <c r="DN37" s="16" t="s">
        <v>20</v>
      </c>
      <c r="DO37" s="16" t="s">
        <v>20</v>
      </c>
      <c r="DP37" s="17"/>
      <c r="DR37" s="15" t="s">
        <v>213</v>
      </c>
      <c r="DS37" s="54">
        <v>9355</v>
      </c>
      <c r="DT37" s="17">
        <v>31</v>
      </c>
      <c r="DU37" s="59">
        <v>15442</v>
      </c>
      <c r="DV37" s="16">
        <v>4.0000000000000036</v>
      </c>
      <c r="DW37" s="16">
        <v>25.000000000232831</v>
      </c>
      <c r="DX37" s="16" t="s">
        <v>20</v>
      </c>
      <c r="DY37" s="16">
        <v>4</v>
      </c>
      <c r="DZ37" s="16">
        <v>4</v>
      </c>
      <c r="EA37" s="17"/>
      <c r="EC37" s="15" t="s">
        <v>213</v>
      </c>
      <c r="ED37" s="54">
        <v>8209</v>
      </c>
      <c r="EE37" s="17">
        <v>31</v>
      </c>
      <c r="EF37" s="59">
        <v>14266</v>
      </c>
      <c r="EG37" s="16">
        <v>9</v>
      </c>
      <c r="EH37" s="16">
        <v>10.999999990686774</v>
      </c>
      <c r="EI37" s="16" t="s">
        <v>20</v>
      </c>
      <c r="EJ37" s="16">
        <v>5</v>
      </c>
      <c r="EK37" s="16">
        <v>4.6</v>
      </c>
      <c r="EL37" s="17"/>
      <c r="EN37" s="15" t="s">
        <v>213</v>
      </c>
      <c r="EO37" s="54">
        <v>9080</v>
      </c>
      <c r="EP37" s="17">
        <v>31</v>
      </c>
      <c r="EQ37" s="59">
        <v>15122</v>
      </c>
      <c r="ER37" s="16">
        <v>2.0000000000000018</v>
      </c>
      <c r="ES37" s="16">
        <v>19.999999998370185</v>
      </c>
      <c r="ET37" s="16" t="s">
        <v>20</v>
      </c>
      <c r="EU37" s="16">
        <v>4</v>
      </c>
      <c r="EV37" s="16">
        <v>3.6</v>
      </c>
      <c r="EW37" s="17"/>
      <c r="EY37" s="15" t="s">
        <v>213</v>
      </c>
      <c r="EZ37" s="54">
        <v>11262</v>
      </c>
      <c r="FA37" s="17">
        <v>31</v>
      </c>
      <c r="FB37" s="59">
        <v>17064</v>
      </c>
      <c r="FC37" s="16">
        <v>6.9999999999999991</v>
      </c>
      <c r="FD37" s="16">
        <v>33.000000004656613</v>
      </c>
      <c r="FE37" s="16" t="s">
        <v>20</v>
      </c>
      <c r="FF37" s="16">
        <v>5.5</v>
      </c>
      <c r="FG37" s="16">
        <v>5.5</v>
      </c>
      <c r="FH37" s="17"/>
      <c r="FJ37" s="15" t="s">
        <v>213</v>
      </c>
      <c r="FK37" s="54">
        <v>11140</v>
      </c>
      <c r="FL37" s="17">
        <v>31</v>
      </c>
      <c r="FM37" s="59">
        <v>16894</v>
      </c>
      <c r="FN37" s="16">
        <v>4.9999999999999964</v>
      </c>
      <c r="FO37" s="16">
        <v>18.999999994412065</v>
      </c>
      <c r="FP37" s="16" t="s">
        <v>20</v>
      </c>
      <c r="FQ37" s="16">
        <v>5.1999999999999833</v>
      </c>
      <c r="FR37" s="16">
        <v>5.2</v>
      </c>
      <c r="FS37" s="17"/>
      <c r="FU37" s="15" t="s">
        <v>213</v>
      </c>
      <c r="FV37" s="54">
        <v>8566</v>
      </c>
      <c r="FW37" s="17">
        <v>31</v>
      </c>
      <c r="FX37" s="59">
        <v>15787</v>
      </c>
      <c r="FY37" s="16">
        <v>6.0000000000000053</v>
      </c>
      <c r="FZ37" s="16">
        <v>28.000000006053597</v>
      </c>
      <c r="GA37" s="16" t="s">
        <v>20</v>
      </c>
      <c r="GB37" s="16">
        <v>4</v>
      </c>
      <c r="GC37" s="16">
        <v>4.2</v>
      </c>
      <c r="GD37" s="17"/>
      <c r="GF37" s="15" t="s">
        <v>213</v>
      </c>
      <c r="GG37" s="54">
        <v>9456</v>
      </c>
      <c r="GH37" s="17">
        <v>31</v>
      </c>
      <c r="GI37" s="59">
        <v>15296</v>
      </c>
      <c r="GJ37" s="16">
        <v>9.9999999999999929</v>
      </c>
      <c r="GK37" s="16">
        <v>35</v>
      </c>
      <c r="GL37" s="16">
        <v>500</v>
      </c>
      <c r="GM37" s="16">
        <v>4.5</v>
      </c>
      <c r="GN37" s="16">
        <v>4.5</v>
      </c>
      <c r="GO37" s="17"/>
      <c r="GQ37" s="15" t="s">
        <v>213</v>
      </c>
      <c r="GR37" s="54"/>
      <c r="GS37" s="17"/>
      <c r="GT37" s="59"/>
      <c r="GU37" s="16"/>
      <c r="GV37" s="16"/>
      <c r="GW37" s="16"/>
      <c r="GX37" s="16"/>
      <c r="GY37" s="16"/>
      <c r="GZ37" s="17"/>
      <c r="HB37" s="15" t="s">
        <v>213</v>
      </c>
      <c r="HC37" s="54"/>
      <c r="HD37" s="17"/>
      <c r="HE37" s="59"/>
      <c r="HF37" s="16"/>
      <c r="HG37" s="16"/>
      <c r="HH37" s="16"/>
      <c r="HI37" s="16"/>
      <c r="HJ37" s="16"/>
      <c r="HK37" s="17"/>
      <c r="HM37" s="15" t="s">
        <v>213</v>
      </c>
      <c r="HN37" s="54"/>
      <c r="HO37" s="17"/>
      <c r="HP37" s="59"/>
      <c r="HQ37" s="16"/>
      <c r="HR37" s="16"/>
      <c r="HS37" s="16"/>
      <c r="HT37" s="16"/>
      <c r="HU37" s="16"/>
      <c r="HV37" s="17"/>
      <c r="HX37" s="15" t="s">
        <v>213</v>
      </c>
      <c r="HY37" s="54"/>
      <c r="HZ37" s="17"/>
      <c r="IA37" s="59"/>
      <c r="IB37" s="16"/>
      <c r="IC37" s="16"/>
      <c r="ID37" s="16"/>
      <c r="IE37" s="16"/>
      <c r="IF37" s="16"/>
      <c r="IG37" s="17"/>
      <c r="II37" s="15" t="s">
        <v>213</v>
      </c>
      <c r="IJ37" s="54"/>
      <c r="IK37" s="17"/>
      <c r="IL37" s="59"/>
      <c r="IM37" s="16"/>
      <c r="IN37" s="16"/>
      <c r="IO37" s="16"/>
      <c r="IP37" s="16"/>
      <c r="IQ37" s="16"/>
      <c r="IR37" s="17"/>
      <c r="IT37" s="15" t="s">
        <v>213</v>
      </c>
      <c r="IU37" s="54"/>
      <c r="IV37" s="17"/>
      <c r="IW37" s="59"/>
      <c r="IX37" s="16"/>
      <c r="IY37" s="16"/>
      <c r="IZ37" s="16"/>
      <c r="JA37" s="16"/>
      <c r="JB37" s="16"/>
      <c r="JC37" s="17"/>
      <c r="JE37" s="15" t="s">
        <v>213</v>
      </c>
      <c r="JF37" s="54"/>
      <c r="JG37" s="17"/>
      <c r="JH37" s="59"/>
      <c r="JI37" s="16"/>
      <c r="JJ37" s="16"/>
      <c r="JK37" s="16"/>
      <c r="JL37" s="16"/>
      <c r="JM37" s="16"/>
      <c r="JN37" s="17"/>
      <c r="JP37" s="15" t="s">
        <v>213</v>
      </c>
      <c r="JQ37" s="54"/>
      <c r="JR37" s="17"/>
      <c r="JS37" s="59"/>
      <c r="JT37" s="16"/>
      <c r="JU37" s="16"/>
      <c r="JV37" s="16"/>
      <c r="JW37" s="16"/>
      <c r="JX37" s="16"/>
      <c r="JY37" s="17"/>
      <c r="KA37" s="15" t="s">
        <v>213</v>
      </c>
      <c r="KB37" s="54"/>
      <c r="KC37" s="17"/>
      <c r="KD37" s="59"/>
      <c r="KE37" s="16"/>
      <c r="KF37" s="16"/>
      <c r="KG37" s="16"/>
      <c r="KH37" s="16"/>
      <c r="KI37" s="16"/>
      <c r="KJ37" s="17"/>
      <c r="KL37" s="15" t="s">
        <v>213</v>
      </c>
      <c r="KM37" s="54"/>
      <c r="KN37" s="17"/>
      <c r="KO37" s="59"/>
      <c r="KP37" s="16"/>
      <c r="KQ37" s="16"/>
      <c r="KR37" s="16"/>
      <c r="KS37" s="16"/>
      <c r="KT37" s="16"/>
      <c r="KU37" s="17"/>
      <c r="KW37" s="15" t="s">
        <v>213</v>
      </c>
      <c r="KX37" s="54"/>
      <c r="KY37" s="17"/>
      <c r="KZ37" s="59"/>
      <c r="LA37" s="16"/>
      <c r="LB37" s="16"/>
      <c r="LC37" s="16"/>
      <c r="LD37" s="16"/>
      <c r="LE37" s="16"/>
      <c r="LF37" s="17"/>
      <c r="LH37" s="15" t="s">
        <v>213</v>
      </c>
      <c r="LI37" s="54"/>
      <c r="LJ37" s="17"/>
      <c r="LK37" s="59"/>
      <c r="LL37" s="16"/>
      <c r="LM37" s="16"/>
      <c r="LN37" s="16"/>
      <c r="LO37" s="16"/>
      <c r="LP37" s="16"/>
      <c r="LQ37" s="17"/>
    </row>
    <row r="38">
      <c r="A38" s="15" t="s">
        <v>214</v>
      </c>
      <c r="B38" s="54"/>
      <c r="C38" s="63">
        <v>32</v>
      </c>
      <c r="D38" s="65">
        <v>16204</v>
      </c>
      <c r="E38" s="30" t="s">
        <v>20</v>
      </c>
      <c r="F38" s="16" t="s">
        <v>20</v>
      </c>
      <c r="G38" s="21" t="s">
        <v>20</v>
      </c>
      <c r="H38" s="33" t="s">
        <v>20</v>
      </c>
      <c r="I38" s="33" t="s">
        <v>20</v>
      </c>
      <c r="J38" s="17"/>
      <c r="L38" s="15" t="s">
        <v>214</v>
      </c>
      <c r="M38" s="54">
        <v>8660</v>
      </c>
      <c r="N38" s="66">
        <v>32</v>
      </c>
      <c r="O38" s="64">
        <v>16184</v>
      </c>
      <c r="P38" s="16" t="s">
        <v>20</v>
      </c>
      <c r="Q38" s="16" t="s">
        <v>20</v>
      </c>
      <c r="R38" s="16" t="s">
        <v>20</v>
      </c>
      <c r="S38" s="16" t="s">
        <v>20</v>
      </c>
      <c r="T38" s="16" t="s">
        <v>20</v>
      </c>
      <c r="U38" s="17"/>
      <c r="W38" s="15" t="s">
        <v>214</v>
      </c>
      <c r="X38" s="54"/>
      <c r="Y38" s="66">
        <v>32</v>
      </c>
      <c r="Z38" s="64">
        <v>15540</v>
      </c>
      <c r="AA38" s="16" t="s">
        <v>20</v>
      </c>
      <c r="AB38" s="16" t="s">
        <v>20</v>
      </c>
      <c r="AC38" s="16" t="s">
        <v>20</v>
      </c>
      <c r="AD38" s="16" t="s">
        <v>20</v>
      </c>
      <c r="AE38" s="16" t="s">
        <v>20</v>
      </c>
      <c r="AF38" s="17"/>
      <c r="AH38" s="15" t="s">
        <v>214</v>
      </c>
      <c r="AI38" s="54">
        <v>8950</v>
      </c>
      <c r="AJ38" s="17">
        <v>32</v>
      </c>
      <c r="AK38" s="64">
        <v>15190</v>
      </c>
      <c r="AL38" s="16">
        <v>4.0000000000000036</v>
      </c>
      <c r="AM38" s="16">
        <v>16.999999995110556</v>
      </c>
      <c r="AN38" s="16" t="s">
        <v>20</v>
      </c>
      <c r="AO38" s="16">
        <v>4.5</v>
      </c>
      <c r="AP38" s="16">
        <v>3.6</v>
      </c>
      <c r="AQ38" s="17"/>
      <c r="AS38" s="15" t="s">
        <v>214</v>
      </c>
      <c r="AT38" s="54">
        <v>8621</v>
      </c>
      <c r="AU38" s="17">
        <v>32</v>
      </c>
      <c r="AV38" s="64">
        <v>14843</v>
      </c>
      <c r="AW38" s="16" t="s">
        <v>20</v>
      </c>
      <c r="AX38" s="16" t="s">
        <v>20</v>
      </c>
      <c r="AY38" s="16"/>
      <c r="AZ38" s="16" t="s">
        <v>20</v>
      </c>
      <c r="BA38" s="16" t="s">
        <v>20</v>
      </c>
      <c r="BB38" s="17"/>
      <c r="BD38" s="15" t="s">
        <v>214</v>
      </c>
      <c r="BE38" s="54">
        <v>9110</v>
      </c>
      <c r="BF38" s="17">
        <v>32</v>
      </c>
      <c r="BG38" s="64">
        <v>15344</v>
      </c>
      <c r="BH38" s="16">
        <v>2.9999999999999947</v>
      </c>
      <c r="BI38" s="16">
        <v>17.999999995110556</v>
      </c>
      <c r="BJ38" s="16" t="s">
        <v>20</v>
      </c>
      <c r="BK38" s="16">
        <v>4.5</v>
      </c>
      <c r="BL38" s="16">
        <v>2.7</v>
      </c>
      <c r="BM38" s="17"/>
      <c r="BO38" s="15" t="s">
        <v>214</v>
      </c>
      <c r="BP38" s="54">
        <v>9106</v>
      </c>
      <c r="BQ38" s="17">
        <v>32</v>
      </c>
      <c r="BR38" s="64">
        <v>15106</v>
      </c>
      <c r="BS38" s="16">
        <v>4.9999999999999964</v>
      </c>
      <c r="BT38" s="16">
        <v>18.000000001629815</v>
      </c>
      <c r="BU38" s="16" t="s">
        <v>20</v>
      </c>
      <c r="BV38" s="16">
        <v>4.5</v>
      </c>
      <c r="BW38" s="16">
        <v>2.9</v>
      </c>
      <c r="BX38" s="17"/>
      <c r="BZ38" s="15" t="s">
        <v>214</v>
      </c>
      <c r="CA38" s="54">
        <v>10532</v>
      </c>
      <c r="CB38" s="17">
        <v>32</v>
      </c>
      <c r="CC38" s="64">
        <v>16532</v>
      </c>
      <c r="CD38" s="16">
        <v>4.9999999999999964</v>
      </c>
      <c r="CE38" s="16">
        <v>28.000000002793968</v>
      </c>
      <c r="CF38" s="16">
        <v>2000</v>
      </c>
      <c r="CG38" s="16">
        <v>5.6999999999999833</v>
      </c>
      <c r="CH38" s="16">
        <v>5.7</v>
      </c>
      <c r="CI38" s="17"/>
      <c r="CK38" s="15" t="s">
        <v>214</v>
      </c>
      <c r="CL38" s="54">
        <v>10499</v>
      </c>
      <c r="CM38" s="17">
        <v>32</v>
      </c>
      <c r="CN38" s="64">
        <v>16751</v>
      </c>
      <c r="CO38" s="16">
        <v>13.000000000000002</v>
      </c>
      <c r="CP38" s="16">
        <v>137.99999999976717</v>
      </c>
      <c r="CQ38" s="16">
        <v>1000</v>
      </c>
      <c r="CR38" s="16">
        <v>5</v>
      </c>
      <c r="CS38" s="16">
        <v>4.8</v>
      </c>
      <c r="CT38" s="17"/>
      <c r="CV38" s="15" t="s">
        <v>214</v>
      </c>
      <c r="CW38" s="54">
        <v>8860</v>
      </c>
      <c r="CX38" s="17">
        <v>32</v>
      </c>
      <c r="CY38" s="59">
        <v>15057</v>
      </c>
      <c r="CZ38" s="16" t="s">
        <v>20</v>
      </c>
      <c r="DA38" s="16" t="s">
        <v>20</v>
      </c>
      <c r="DB38" s="16" t="s">
        <v>20</v>
      </c>
      <c r="DC38" s="16" t="s">
        <v>20</v>
      </c>
      <c r="DD38" s="16" t="s">
        <v>20</v>
      </c>
      <c r="DE38" s="17"/>
      <c r="DG38" s="15" t="s">
        <v>214</v>
      </c>
      <c r="DH38" s="54">
        <v>9678</v>
      </c>
      <c r="DI38" s="17">
        <v>32</v>
      </c>
      <c r="DJ38" s="59">
        <v>15906</v>
      </c>
      <c r="DK38" s="16" t="s">
        <v>20</v>
      </c>
      <c r="DL38" s="16" t="s">
        <v>20</v>
      </c>
      <c r="DM38" s="16" t="s">
        <v>20</v>
      </c>
      <c r="DN38" s="16" t="s">
        <v>20</v>
      </c>
      <c r="DO38" s="16" t="s">
        <v>20</v>
      </c>
      <c r="DP38" s="17"/>
      <c r="DR38" s="15" t="s">
        <v>214</v>
      </c>
      <c r="DS38" s="54">
        <v>9355</v>
      </c>
      <c r="DT38" s="17">
        <v>32</v>
      </c>
      <c r="DU38" s="59">
        <v>15645</v>
      </c>
      <c r="DV38" s="16">
        <v>4.0000000000000036</v>
      </c>
      <c r="DW38" s="16">
        <v>29.000000002793968</v>
      </c>
      <c r="DX38" s="16" t="s">
        <v>20</v>
      </c>
      <c r="DY38" s="16">
        <v>4</v>
      </c>
      <c r="DZ38" s="16">
        <v>4</v>
      </c>
      <c r="EA38" s="17"/>
      <c r="EC38" s="15" t="s">
        <v>214</v>
      </c>
      <c r="ED38" s="54">
        <v>8209</v>
      </c>
      <c r="EE38" s="17">
        <v>32</v>
      </c>
      <c r="EF38" s="59">
        <v>14468</v>
      </c>
      <c r="EG38" s="16">
        <v>8.0000000000000071</v>
      </c>
      <c r="EH38" s="16">
        <v>13.000000005587935</v>
      </c>
      <c r="EI38" s="16" t="s">
        <v>20</v>
      </c>
      <c r="EJ38" s="16">
        <v>5</v>
      </c>
      <c r="EK38" s="16">
        <v>4.4</v>
      </c>
      <c r="EL38" s="17"/>
      <c r="EN38" s="15" t="s">
        <v>214</v>
      </c>
      <c r="EO38" s="54">
        <v>9080</v>
      </c>
      <c r="EP38" s="17">
        <v>32</v>
      </c>
      <c r="EQ38" s="59">
        <v>15324</v>
      </c>
      <c r="ER38" s="16">
        <v>2.0000000000000018</v>
      </c>
      <c r="ES38" s="16">
        <v>32.0000000060536</v>
      </c>
      <c r="ET38" s="16" t="s">
        <v>20</v>
      </c>
      <c r="EU38" s="16">
        <v>4</v>
      </c>
      <c r="EV38" s="16">
        <v>3.5</v>
      </c>
      <c r="EW38" s="17"/>
      <c r="EY38" s="15" t="s">
        <v>214</v>
      </c>
      <c r="EZ38" s="54">
        <v>11262</v>
      </c>
      <c r="FA38" s="17">
        <v>32</v>
      </c>
      <c r="FB38" s="59">
        <v>17265</v>
      </c>
      <c r="FC38" s="16">
        <v>4.9999999999999964</v>
      </c>
      <c r="FD38" s="16">
        <v>24.000000000232831</v>
      </c>
      <c r="FE38" s="16" t="s">
        <v>20</v>
      </c>
      <c r="FF38" s="16">
        <v>5.5</v>
      </c>
      <c r="FG38" s="16">
        <v>5.5</v>
      </c>
      <c r="FH38" s="17"/>
      <c r="FJ38" s="15" t="s">
        <v>214</v>
      </c>
      <c r="FK38" s="54">
        <v>11140</v>
      </c>
      <c r="FL38" s="17">
        <v>32</v>
      </c>
      <c r="FM38" s="59">
        <v>17092</v>
      </c>
      <c r="FN38" s="16">
        <v>6.9999999999999991</v>
      </c>
      <c r="FO38" s="16">
        <v>24.999999999534339</v>
      </c>
      <c r="FP38" s="16" t="s">
        <v>20</v>
      </c>
      <c r="FQ38" s="16">
        <v>5.1999999999999833</v>
      </c>
      <c r="FR38" s="16">
        <v>5.2</v>
      </c>
      <c r="FS38" s="17"/>
      <c r="FU38" s="15" t="s">
        <v>214</v>
      </c>
      <c r="FV38" s="54">
        <v>8566</v>
      </c>
      <c r="FW38" s="17">
        <v>32</v>
      </c>
      <c r="FX38" s="59">
        <v>16028</v>
      </c>
      <c r="FY38" s="16">
        <v>6.0000000000000053</v>
      </c>
      <c r="FZ38" s="16">
        <v>20.999999993713573</v>
      </c>
      <c r="GA38" s="16" t="s">
        <v>20</v>
      </c>
      <c r="GB38" s="16">
        <v>4</v>
      </c>
      <c r="GC38" s="16">
        <v>3.8</v>
      </c>
      <c r="GD38" s="17"/>
      <c r="GF38" s="15" t="s">
        <v>214</v>
      </c>
      <c r="GG38" s="54">
        <v>9456</v>
      </c>
      <c r="GH38" s="17">
        <v>32</v>
      </c>
      <c r="GI38" s="59">
        <v>15498</v>
      </c>
      <c r="GJ38" s="16">
        <v>6.0000000000000053</v>
      </c>
      <c r="GK38" s="16">
        <v>28.999999998835847</v>
      </c>
      <c r="GL38" s="16">
        <v>500</v>
      </c>
      <c r="GM38" s="16">
        <v>4.5</v>
      </c>
      <c r="GN38" s="16">
        <v>4.5</v>
      </c>
      <c r="GO38" s="17"/>
      <c r="GQ38" s="15" t="s">
        <v>214</v>
      </c>
      <c r="GR38" s="54"/>
      <c r="GS38" s="17"/>
      <c r="GT38" s="59"/>
      <c r="GU38" s="16"/>
      <c r="GV38" s="16"/>
      <c r="GW38" s="16"/>
      <c r="GX38" s="16"/>
      <c r="GY38" s="16"/>
      <c r="GZ38" s="17"/>
      <c r="HB38" s="15" t="s">
        <v>214</v>
      </c>
      <c r="HC38" s="54"/>
      <c r="HD38" s="17"/>
      <c r="HE38" s="59"/>
      <c r="HF38" s="16"/>
      <c r="HG38" s="16"/>
      <c r="HH38" s="16"/>
      <c r="HI38" s="16"/>
      <c r="HJ38" s="16"/>
      <c r="HK38" s="17"/>
      <c r="HM38" s="15" t="s">
        <v>214</v>
      </c>
      <c r="HN38" s="54"/>
      <c r="HO38" s="17"/>
      <c r="HP38" s="59"/>
      <c r="HQ38" s="16"/>
      <c r="HR38" s="16"/>
      <c r="HS38" s="16"/>
      <c r="HT38" s="16"/>
      <c r="HU38" s="16"/>
      <c r="HV38" s="17"/>
      <c r="HX38" s="15" t="s">
        <v>214</v>
      </c>
      <c r="HY38" s="54"/>
      <c r="HZ38" s="17"/>
      <c r="IA38" s="59"/>
      <c r="IB38" s="16"/>
      <c r="IC38" s="16"/>
      <c r="ID38" s="16"/>
      <c r="IE38" s="16"/>
      <c r="IF38" s="16"/>
      <c r="IG38" s="17"/>
      <c r="II38" s="15" t="s">
        <v>214</v>
      </c>
      <c r="IJ38" s="54"/>
      <c r="IK38" s="17"/>
      <c r="IL38" s="59"/>
      <c r="IM38" s="16"/>
      <c r="IN38" s="16"/>
      <c r="IO38" s="16"/>
      <c r="IP38" s="16"/>
      <c r="IQ38" s="16"/>
      <c r="IR38" s="17"/>
      <c r="IT38" s="15" t="s">
        <v>214</v>
      </c>
      <c r="IU38" s="54"/>
      <c r="IV38" s="17"/>
      <c r="IW38" s="59"/>
      <c r="IX38" s="16"/>
      <c r="IY38" s="16"/>
      <c r="IZ38" s="16"/>
      <c r="JA38" s="16"/>
      <c r="JB38" s="16"/>
      <c r="JC38" s="17"/>
      <c r="JE38" s="15" t="s">
        <v>214</v>
      </c>
      <c r="JF38" s="54"/>
      <c r="JG38" s="17"/>
      <c r="JH38" s="59"/>
      <c r="JI38" s="16"/>
      <c r="JJ38" s="16"/>
      <c r="JK38" s="16"/>
      <c r="JL38" s="16"/>
      <c r="JM38" s="16"/>
      <c r="JN38" s="17"/>
      <c r="JP38" s="15" t="s">
        <v>214</v>
      </c>
      <c r="JQ38" s="54"/>
      <c r="JR38" s="17"/>
      <c r="JS38" s="59"/>
      <c r="JT38" s="16"/>
      <c r="JU38" s="16"/>
      <c r="JV38" s="16"/>
      <c r="JW38" s="16"/>
      <c r="JX38" s="16"/>
      <c r="JY38" s="17"/>
      <c r="KA38" s="15" t="s">
        <v>214</v>
      </c>
      <c r="KB38" s="54"/>
      <c r="KC38" s="17"/>
      <c r="KD38" s="59"/>
      <c r="KE38" s="16"/>
      <c r="KF38" s="16"/>
      <c r="KG38" s="16"/>
      <c r="KH38" s="16"/>
      <c r="KI38" s="16"/>
      <c r="KJ38" s="17"/>
      <c r="KL38" s="15" t="s">
        <v>214</v>
      </c>
      <c r="KM38" s="54"/>
      <c r="KN38" s="17"/>
      <c r="KO38" s="59"/>
      <c r="KP38" s="16"/>
      <c r="KQ38" s="16"/>
      <c r="KR38" s="16"/>
      <c r="KS38" s="16"/>
      <c r="KT38" s="16"/>
      <c r="KU38" s="17"/>
      <c r="KW38" s="15" t="s">
        <v>214</v>
      </c>
      <c r="KX38" s="54"/>
      <c r="KY38" s="17"/>
      <c r="KZ38" s="59"/>
      <c r="LA38" s="16"/>
      <c r="LB38" s="16"/>
      <c r="LC38" s="16"/>
      <c r="LD38" s="16"/>
      <c r="LE38" s="16"/>
      <c r="LF38" s="17"/>
      <c r="LH38" s="15" t="s">
        <v>214</v>
      </c>
      <c r="LI38" s="54"/>
      <c r="LJ38" s="17"/>
      <c r="LK38" s="59"/>
      <c r="LL38" s="16"/>
      <c r="LM38" s="16"/>
      <c r="LN38" s="16"/>
      <c r="LO38" s="16"/>
      <c r="LP38" s="16"/>
      <c r="LQ38" s="17"/>
    </row>
    <row r="39">
      <c r="A39" s="15" t="s">
        <v>215</v>
      </c>
      <c r="B39" s="51"/>
      <c r="C39" s="63">
        <v>33</v>
      </c>
      <c r="D39" s="65">
        <v>16406</v>
      </c>
      <c r="E39" s="30" t="s">
        <v>20</v>
      </c>
      <c r="F39" s="16" t="s">
        <v>20</v>
      </c>
      <c r="G39" s="21" t="s">
        <v>20</v>
      </c>
      <c r="H39" s="33" t="s">
        <v>20</v>
      </c>
      <c r="I39" s="33" t="s">
        <v>20</v>
      </c>
      <c r="J39" s="17"/>
      <c r="L39" s="15" t="s">
        <v>215</v>
      </c>
      <c r="M39" s="51"/>
      <c r="N39" s="66">
        <v>33</v>
      </c>
      <c r="O39" s="64">
        <v>16427</v>
      </c>
      <c r="P39" s="16" t="s">
        <v>20</v>
      </c>
      <c r="Q39" s="16" t="s">
        <v>20</v>
      </c>
      <c r="R39" s="16" t="s">
        <v>20</v>
      </c>
      <c r="S39" s="16" t="s">
        <v>20</v>
      </c>
      <c r="T39" s="16" t="s">
        <v>20</v>
      </c>
      <c r="U39" s="17"/>
      <c r="W39" s="15" t="s">
        <v>215</v>
      </c>
      <c r="X39" s="51"/>
      <c r="Y39" s="66">
        <v>33</v>
      </c>
      <c r="Z39" s="64">
        <v>15741</v>
      </c>
      <c r="AA39" s="16" t="s">
        <v>20</v>
      </c>
      <c r="AB39" s="16" t="s">
        <v>20</v>
      </c>
      <c r="AC39" s="16" t="s">
        <v>20</v>
      </c>
      <c r="AD39" s="16" t="s">
        <v>20</v>
      </c>
      <c r="AE39" s="16" t="s">
        <v>20</v>
      </c>
      <c r="AF39" s="17"/>
      <c r="AH39" s="15" t="s">
        <v>215</v>
      </c>
      <c r="AI39" s="51">
        <v>46270.54375</v>
      </c>
      <c r="AJ39" s="17">
        <v>33</v>
      </c>
      <c r="AK39" s="64">
        <v>15392</v>
      </c>
      <c r="AL39" s="16">
        <v>2.9999999999999947</v>
      </c>
      <c r="AM39" s="16">
        <v>14.000000003026798</v>
      </c>
      <c r="AN39" s="16" t="s">
        <v>20</v>
      </c>
      <c r="AO39" s="16">
        <v>4.5</v>
      </c>
      <c r="AP39" s="16">
        <v>3.5</v>
      </c>
      <c r="AQ39" s="17"/>
      <c r="AS39" s="15" t="s">
        <v>215</v>
      </c>
      <c r="AT39" s="51">
        <v>46274.8333333333</v>
      </c>
      <c r="AU39" s="17">
        <v>33</v>
      </c>
      <c r="AV39" s="64">
        <v>15044</v>
      </c>
      <c r="AW39" s="16" t="s">
        <v>20</v>
      </c>
      <c r="AX39" s="16" t="s">
        <v>20</v>
      </c>
      <c r="AY39" s="16"/>
      <c r="AZ39" s="16" t="s">
        <v>20</v>
      </c>
      <c r="BA39" s="16" t="s">
        <v>20</v>
      </c>
      <c r="BB39" s="17"/>
      <c r="BD39" s="15" t="s">
        <v>215</v>
      </c>
      <c r="BE39" s="51">
        <v>46274.0208333333</v>
      </c>
      <c r="BF39" s="17">
        <v>33</v>
      </c>
      <c r="BG39" s="64">
        <v>15546</v>
      </c>
      <c r="BH39" s="16">
        <v>9</v>
      </c>
      <c r="BI39" s="16">
        <v>14.000000001629815</v>
      </c>
      <c r="BJ39" s="16" t="s">
        <v>20</v>
      </c>
      <c r="BK39" s="16">
        <v>4.5</v>
      </c>
      <c r="BL39" s="16">
        <v>2.8</v>
      </c>
      <c r="BM39" s="17"/>
      <c r="BO39" s="15" t="s">
        <v>215</v>
      </c>
      <c r="BP39" s="51">
        <v>46270.9895833333</v>
      </c>
      <c r="BQ39" s="17">
        <v>33</v>
      </c>
      <c r="BR39" s="64">
        <v>15306</v>
      </c>
      <c r="BS39" s="16">
        <v>4.0000000000000036</v>
      </c>
      <c r="BT39" s="16">
        <v>27.000000006752089</v>
      </c>
      <c r="BU39" s="16" t="s">
        <v>20</v>
      </c>
      <c r="BV39" s="16">
        <v>4.5</v>
      </c>
      <c r="BW39" s="16">
        <v>2.9</v>
      </c>
      <c r="BX39" s="17"/>
      <c r="BZ39" s="15" t="s">
        <v>215</v>
      </c>
      <c r="CA39" s="51">
        <v>46272.9805555556</v>
      </c>
      <c r="CB39" s="17">
        <v>33</v>
      </c>
      <c r="CC39" s="64">
        <v>16735</v>
      </c>
      <c r="CD39" s="16">
        <v>4.9999999999999964</v>
      </c>
      <c r="CE39" s="16">
        <v>156.99999999371357</v>
      </c>
      <c r="CF39" s="16">
        <v>500</v>
      </c>
      <c r="CG39" s="16">
        <v>5.6999999999999833</v>
      </c>
      <c r="CH39" s="16">
        <v>5.7</v>
      </c>
      <c r="CI39" s="17"/>
      <c r="CK39" s="15" t="s">
        <v>215</v>
      </c>
      <c r="CL39" s="51">
        <v>46273.2291666667</v>
      </c>
      <c r="CM39" s="17">
        <v>33</v>
      </c>
      <c r="CN39" s="64">
        <v>16953</v>
      </c>
      <c r="CO39" s="16">
        <v>9</v>
      </c>
      <c r="CP39" s="16">
        <v>18.000000004190952</v>
      </c>
      <c r="CQ39" s="16">
        <v>1000</v>
      </c>
      <c r="CR39" s="16">
        <v>5</v>
      </c>
      <c r="CS39" s="16">
        <v>4.8</v>
      </c>
      <c r="CT39" s="17"/>
      <c r="CV39" s="15" t="s">
        <v>215</v>
      </c>
      <c r="CW39" s="51">
        <v>46274.5625</v>
      </c>
      <c r="CX39" s="17">
        <v>33</v>
      </c>
      <c r="CY39" s="59">
        <v>15258</v>
      </c>
      <c r="CZ39" s="16" t="s">
        <v>20</v>
      </c>
      <c r="DA39" s="16" t="s">
        <v>20</v>
      </c>
      <c r="DB39" s="16" t="s">
        <v>20</v>
      </c>
      <c r="DC39" s="16" t="s">
        <v>20</v>
      </c>
      <c r="DD39" s="16" t="s">
        <v>20</v>
      </c>
      <c r="DE39" s="17"/>
      <c r="DG39" s="15" t="s">
        <v>215</v>
      </c>
      <c r="DH39" s="51"/>
      <c r="DI39" s="17">
        <v>33</v>
      </c>
      <c r="DJ39" s="59">
        <v>16107</v>
      </c>
      <c r="DK39" s="16" t="s">
        <v>20</v>
      </c>
      <c r="DL39" s="16" t="s">
        <v>20</v>
      </c>
      <c r="DM39" s="16" t="s">
        <v>20</v>
      </c>
      <c r="DN39" s="16" t="s">
        <v>20</v>
      </c>
      <c r="DO39" s="16" t="s">
        <v>20</v>
      </c>
      <c r="DP39" s="17"/>
      <c r="DR39" s="15" t="s">
        <v>215</v>
      </c>
      <c r="DS39" s="51">
        <v>46272.03125</v>
      </c>
      <c r="DT39" s="17">
        <v>33</v>
      </c>
      <c r="DU39" s="59">
        <v>15849</v>
      </c>
      <c r="DV39" s="16">
        <v>4.9999999999999964</v>
      </c>
      <c r="DW39" s="16">
        <v>20.000000000931323</v>
      </c>
      <c r="DX39" s="16" t="s">
        <v>20</v>
      </c>
      <c r="DY39" s="16">
        <v>4</v>
      </c>
      <c r="DZ39" s="16">
        <v>4</v>
      </c>
      <c r="EA39" s="17"/>
      <c r="EC39" s="15" t="s">
        <v>215</v>
      </c>
      <c r="ED39" s="51">
        <v>46273.8125</v>
      </c>
      <c r="EE39" s="17">
        <v>33</v>
      </c>
      <c r="EF39" s="59">
        <v>14670</v>
      </c>
      <c r="EG39" s="16">
        <v>15.999999999999984</v>
      </c>
      <c r="EH39" s="16">
        <v>-8.0000000053551048</v>
      </c>
      <c r="EI39" s="16" t="s">
        <v>20</v>
      </c>
      <c r="EJ39" s="16">
        <v>5</v>
      </c>
      <c r="EK39" s="16">
        <v>4.4</v>
      </c>
      <c r="EL39" s="17"/>
      <c r="EN39" s="15" t="s">
        <v>215</v>
      </c>
      <c r="EO39" s="51">
        <v>46273.25</v>
      </c>
      <c r="EP39" s="17">
        <v>33</v>
      </c>
      <c r="EQ39" s="59">
        <v>15525</v>
      </c>
      <c r="ER39" s="16">
        <v>2.0000000000000018</v>
      </c>
      <c r="ES39" s="16">
        <v>18.999999995110556</v>
      </c>
      <c r="ET39" s="16" t="s">
        <v>20</v>
      </c>
      <c r="EU39" s="16">
        <v>4</v>
      </c>
      <c r="EV39" s="16">
        <v>2.9</v>
      </c>
      <c r="EW39" s="17"/>
      <c r="EY39" s="15" t="s">
        <v>215</v>
      </c>
      <c r="EZ39" s="51">
        <v>46271.125</v>
      </c>
      <c r="FA39" s="17">
        <v>33</v>
      </c>
      <c r="FB39" s="59">
        <v>17466</v>
      </c>
      <c r="FC39" s="16">
        <v>4.9999999999999964</v>
      </c>
      <c r="FD39" s="16">
        <v>13.999999999068677</v>
      </c>
      <c r="FE39" s="16" t="s">
        <v>20</v>
      </c>
      <c r="FF39" s="16">
        <v>5.5</v>
      </c>
      <c r="FG39" s="16">
        <v>5.5</v>
      </c>
      <c r="FH39" s="17"/>
      <c r="FJ39" s="15" t="s">
        <v>215</v>
      </c>
      <c r="FK39" s="51">
        <v>46273.9145833333</v>
      </c>
      <c r="FL39" s="17">
        <v>33</v>
      </c>
      <c r="FM39" s="59">
        <v>17291</v>
      </c>
      <c r="FN39" s="16">
        <v>6.0000000000000053</v>
      </c>
      <c r="FO39" s="16">
        <v>21.000000004190952</v>
      </c>
      <c r="FP39" s="16" t="s">
        <v>20</v>
      </c>
      <c r="FQ39" s="16">
        <v>5.1999999999999833</v>
      </c>
      <c r="FR39" s="16">
        <v>5.2</v>
      </c>
      <c r="FS39" s="17"/>
      <c r="FU39" s="15" t="s">
        <v>215</v>
      </c>
      <c r="FV39" s="51">
        <v>46272.9430555556</v>
      </c>
      <c r="FW39" s="17">
        <v>33</v>
      </c>
      <c r="FX39" s="59">
        <v>16270</v>
      </c>
      <c r="FY39" s="16">
        <v>6.0000000000000053</v>
      </c>
      <c r="FZ39" s="16">
        <v>33.000000001396984</v>
      </c>
      <c r="GA39" s="16" t="s">
        <v>20</v>
      </c>
      <c r="GB39" s="16">
        <v>4</v>
      </c>
      <c r="GC39" s="16">
        <v>3.6</v>
      </c>
      <c r="GD39" s="17"/>
      <c r="GF39" s="15" t="s">
        <v>215</v>
      </c>
      <c r="GG39" s="51">
        <v>46248.56875</v>
      </c>
      <c r="GH39" s="17">
        <v>33</v>
      </c>
      <c r="GI39" s="59">
        <v>15700</v>
      </c>
      <c r="GJ39" s="16">
        <v>13.999999999999998</v>
      </c>
      <c r="GK39" s="16">
        <v>33.999999999301508</v>
      </c>
      <c r="GL39" s="16">
        <v>500</v>
      </c>
      <c r="GM39" s="16">
        <v>4.5</v>
      </c>
      <c r="GN39" s="16">
        <v>4.5</v>
      </c>
      <c r="GO39" s="17"/>
      <c r="GQ39" s="15" t="s">
        <v>215</v>
      </c>
      <c r="GR39" s="51"/>
      <c r="GS39" s="17"/>
      <c r="GT39" s="59"/>
      <c r="GU39" s="16"/>
      <c r="GV39" s="16"/>
      <c r="GW39" s="16"/>
      <c r="GX39" s="16"/>
      <c r="GY39" s="16"/>
      <c r="GZ39" s="17"/>
      <c r="HB39" s="15" t="s">
        <v>215</v>
      </c>
      <c r="HC39" s="51"/>
      <c r="HD39" s="17"/>
      <c r="HE39" s="59"/>
      <c r="HF39" s="16"/>
      <c r="HG39" s="16"/>
      <c r="HH39" s="16"/>
      <c r="HI39" s="16"/>
      <c r="HJ39" s="16"/>
      <c r="HK39" s="17"/>
      <c r="HM39" s="15" t="s">
        <v>215</v>
      </c>
      <c r="HN39" s="51"/>
      <c r="HO39" s="17"/>
      <c r="HP39" s="59"/>
      <c r="HQ39" s="16"/>
      <c r="HR39" s="16"/>
      <c r="HS39" s="16"/>
      <c r="HT39" s="16"/>
      <c r="HU39" s="16"/>
      <c r="HV39" s="17"/>
      <c r="HX39" s="15" t="s">
        <v>215</v>
      </c>
      <c r="HY39" s="51"/>
      <c r="HZ39" s="17"/>
      <c r="IA39" s="59"/>
      <c r="IB39" s="16"/>
      <c r="IC39" s="16"/>
      <c r="ID39" s="16"/>
      <c r="IE39" s="16"/>
      <c r="IF39" s="16"/>
      <c r="IG39" s="17"/>
      <c r="II39" s="15" t="s">
        <v>215</v>
      </c>
      <c r="IJ39" s="51"/>
      <c r="IK39" s="17"/>
      <c r="IL39" s="59"/>
      <c r="IM39" s="16"/>
      <c r="IN39" s="16"/>
      <c r="IO39" s="16"/>
      <c r="IP39" s="16"/>
      <c r="IQ39" s="16"/>
      <c r="IR39" s="17"/>
      <c r="IT39" s="15" t="s">
        <v>215</v>
      </c>
      <c r="IU39" s="51"/>
      <c r="IV39" s="17"/>
      <c r="IW39" s="59"/>
      <c r="IX39" s="16"/>
      <c r="IY39" s="16"/>
      <c r="IZ39" s="16"/>
      <c r="JA39" s="16"/>
      <c r="JB39" s="16"/>
      <c r="JC39" s="17"/>
      <c r="JE39" s="15" t="s">
        <v>215</v>
      </c>
      <c r="JF39" s="51"/>
      <c r="JG39" s="17"/>
      <c r="JH39" s="59"/>
      <c r="JI39" s="16"/>
      <c r="JJ39" s="16"/>
      <c r="JK39" s="16"/>
      <c r="JL39" s="16"/>
      <c r="JM39" s="16"/>
      <c r="JN39" s="17"/>
      <c r="JP39" s="15" t="s">
        <v>215</v>
      </c>
      <c r="JQ39" s="51"/>
      <c r="JR39" s="17"/>
      <c r="JS39" s="59"/>
      <c r="JT39" s="16"/>
      <c r="JU39" s="16"/>
      <c r="JV39" s="16"/>
      <c r="JW39" s="16"/>
      <c r="JX39" s="16"/>
      <c r="JY39" s="17"/>
      <c r="KA39" s="15" t="s">
        <v>215</v>
      </c>
      <c r="KB39" s="51"/>
      <c r="KC39" s="17"/>
      <c r="KD39" s="59"/>
      <c r="KE39" s="16"/>
      <c r="KF39" s="16"/>
      <c r="KG39" s="16"/>
      <c r="KH39" s="16"/>
      <c r="KI39" s="16"/>
      <c r="KJ39" s="17"/>
      <c r="KL39" s="15" t="s">
        <v>215</v>
      </c>
      <c r="KM39" s="51"/>
      <c r="KN39" s="17"/>
      <c r="KO39" s="59"/>
      <c r="KP39" s="16"/>
      <c r="KQ39" s="16"/>
      <c r="KR39" s="16"/>
      <c r="KS39" s="16"/>
      <c r="KT39" s="16"/>
      <c r="KU39" s="17"/>
      <c r="KW39" s="15" t="s">
        <v>215</v>
      </c>
      <c r="KX39" s="51"/>
      <c r="KY39" s="17"/>
      <c r="KZ39" s="59"/>
      <c r="LA39" s="16"/>
      <c r="LB39" s="16"/>
      <c r="LC39" s="16"/>
      <c r="LD39" s="16"/>
      <c r="LE39" s="16"/>
      <c r="LF39" s="17"/>
      <c r="LH39" s="15" t="s">
        <v>215</v>
      </c>
      <c r="LI39" s="51"/>
      <c r="LJ39" s="17"/>
      <c r="LK39" s="59"/>
      <c r="LL39" s="16"/>
      <c r="LM39" s="16"/>
      <c r="LN39" s="16"/>
      <c r="LO39" s="16"/>
      <c r="LP39" s="16"/>
      <c r="LQ39" s="17"/>
    </row>
    <row r="40">
      <c r="A40" s="15" t="s">
        <v>216</v>
      </c>
      <c r="B40" s="51"/>
      <c r="C40" s="63">
        <v>34</v>
      </c>
      <c r="D40" s="65">
        <v>16608</v>
      </c>
      <c r="E40" s="30" t="s">
        <v>20</v>
      </c>
      <c r="F40" s="16" t="s">
        <v>20</v>
      </c>
      <c r="G40" s="21" t="s">
        <v>20</v>
      </c>
      <c r="H40" s="33" t="s">
        <v>20</v>
      </c>
      <c r="I40" s="33" t="s">
        <v>20</v>
      </c>
      <c r="J40" s="17"/>
      <c r="L40" s="15" t="s">
        <v>216</v>
      </c>
      <c r="M40" s="51"/>
      <c r="N40" s="66">
        <v>34</v>
      </c>
      <c r="O40" s="64">
        <v>16670</v>
      </c>
      <c r="P40" s="16" t="s">
        <v>20</v>
      </c>
      <c r="Q40" s="16" t="s">
        <v>20</v>
      </c>
      <c r="R40" s="16" t="s">
        <v>20</v>
      </c>
      <c r="S40" s="16" t="s">
        <v>20</v>
      </c>
      <c r="T40" s="16" t="s">
        <v>20</v>
      </c>
      <c r="U40" s="17"/>
      <c r="W40" s="15" t="s">
        <v>216</v>
      </c>
      <c r="X40" s="51"/>
      <c r="Y40" s="66">
        <v>34</v>
      </c>
      <c r="Z40" s="64">
        <v>15941</v>
      </c>
      <c r="AA40" s="16" t="s">
        <v>20</v>
      </c>
      <c r="AB40" s="16" t="s">
        <v>20</v>
      </c>
      <c r="AC40" s="16" t="s">
        <v>20</v>
      </c>
      <c r="AD40" s="16" t="s">
        <v>20</v>
      </c>
      <c r="AE40" s="16" t="s">
        <v>20</v>
      </c>
      <c r="AF40" s="17"/>
      <c r="AH40" s="15" t="s">
        <v>216</v>
      </c>
      <c r="AI40" s="51">
        <v>46272.9270833333</v>
      </c>
      <c r="AJ40" s="17">
        <v>34</v>
      </c>
      <c r="AK40" s="64">
        <v>15594</v>
      </c>
      <c r="AL40" s="16">
        <v>6.0000000000000053</v>
      </c>
      <c r="AM40" s="16">
        <v>15.999999998370185</v>
      </c>
      <c r="AN40" s="16" t="s">
        <v>20</v>
      </c>
      <c r="AO40" s="16">
        <v>4.5</v>
      </c>
      <c r="AP40" s="16">
        <v>4</v>
      </c>
      <c r="AQ40" s="17"/>
      <c r="AS40" s="15" t="s">
        <v>216</v>
      </c>
      <c r="AT40" s="51">
        <v>46275.25</v>
      </c>
      <c r="AU40" s="17">
        <v>34</v>
      </c>
      <c r="AV40" s="64">
        <v>15245</v>
      </c>
      <c r="AW40" s="16" t="s">
        <v>20</v>
      </c>
      <c r="AX40" s="16" t="s">
        <v>20</v>
      </c>
      <c r="AY40" s="16"/>
      <c r="AZ40" s="16" t="s">
        <v>20</v>
      </c>
      <c r="BA40" s="16" t="s">
        <v>20</v>
      </c>
      <c r="BB40" s="17"/>
      <c r="BD40" s="15" t="s">
        <v>216</v>
      </c>
      <c r="BE40" s="51">
        <v>46275.25</v>
      </c>
      <c r="BF40" s="17">
        <v>34</v>
      </c>
      <c r="BG40" s="64">
        <v>15747</v>
      </c>
      <c r="BH40" s="16">
        <v>2.0000000000000018</v>
      </c>
      <c r="BI40" s="16">
        <v>12.00000000372529</v>
      </c>
      <c r="BJ40" s="16" t="s">
        <v>20</v>
      </c>
      <c r="BK40" s="16">
        <v>4.5</v>
      </c>
      <c r="BL40" s="16">
        <v>2.8</v>
      </c>
      <c r="BM40" s="17"/>
      <c r="BO40" s="15" t="s">
        <v>216</v>
      </c>
      <c r="BP40" s="51">
        <v>46273.6979166667</v>
      </c>
      <c r="BQ40" s="17">
        <v>34</v>
      </c>
      <c r="BR40" s="64">
        <v>15507</v>
      </c>
      <c r="BS40" s="16">
        <v>2.0000000000000018</v>
      </c>
      <c r="BT40" s="16">
        <v>15.999999995809048</v>
      </c>
      <c r="BU40" s="16" t="s">
        <v>20</v>
      </c>
      <c r="BV40" s="16">
        <v>4.5</v>
      </c>
      <c r="BW40" s="16">
        <v>2.9</v>
      </c>
      <c r="BX40" s="17"/>
      <c r="BZ40" s="15" t="s">
        <v>216</v>
      </c>
      <c r="CA40" s="51">
        <v>46274.7083333333</v>
      </c>
      <c r="CB40" s="17">
        <v>34</v>
      </c>
      <c r="CC40" s="64">
        <v>16937</v>
      </c>
      <c r="CD40" s="16">
        <v>4.0000000000000036</v>
      </c>
      <c r="CE40" s="16">
        <v>27.000000006752089</v>
      </c>
      <c r="CF40" s="16">
        <v>500</v>
      </c>
      <c r="CG40" s="16">
        <v>5.6999999999999833</v>
      </c>
      <c r="CH40" s="16">
        <v>5.7</v>
      </c>
      <c r="CI40" s="17"/>
      <c r="CK40" s="15" t="s">
        <v>216</v>
      </c>
      <c r="CL40" s="51">
        <v>45910.25</v>
      </c>
      <c r="CM40" s="17">
        <v>34</v>
      </c>
      <c r="CN40" s="64">
        <v>17156</v>
      </c>
      <c r="CO40" s="16">
        <v>9</v>
      </c>
      <c r="CP40" s="16">
        <v>31.000000004656613</v>
      </c>
      <c r="CQ40" s="16">
        <v>1000</v>
      </c>
      <c r="CR40" s="16">
        <v>5</v>
      </c>
      <c r="CS40" s="16">
        <v>4.8</v>
      </c>
      <c r="CT40" s="17"/>
      <c r="CV40" s="15" t="s">
        <v>216</v>
      </c>
      <c r="CW40" s="51">
        <v>46275.25</v>
      </c>
      <c r="CX40" s="17">
        <v>34</v>
      </c>
      <c r="CY40" s="59">
        <v>15458</v>
      </c>
      <c r="CZ40" s="16" t="s">
        <v>20</v>
      </c>
      <c r="DA40" s="16" t="s">
        <v>20</v>
      </c>
      <c r="DB40" s="16" t="s">
        <v>20</v>
      </c>
      <c r="DC40" s="16" t="s">
        <v>20</v>
      </c>
      <c r="DD40" s="16" t="s">
        <v>20</v>
      </c>
      <c r="DE40" s="17"/>
      <c r="DG40" s="15" t="s">
        <v>216</v>
      </c>
      <c r="DH40" s="51"/>
      <c r="DI40" s="17">
        <v>34</v>
      </c>
      <c r="DJ40" s="59">
        <v>16309</v>
      </c>
      <c r="DK40" s="16" t="s">
        <v>20</v>
      </c>
      <c r="DL40" s="16" t="s">
        <v>20</v>
      </c>
      <c r="DM40" s="16" t="s">
        <v>20</v>
      </c>
      <c r="DN40" s="16" t="s">
        <v>20</v>
      </c>
      <c r="DO40" s="16" t="s">
        <v>20</v>
      </c>
      <c r="DP40" s="17"/>
      <c r="DR40" s="15" t="s">
        <v>216</v>
      </c>
      <c r="DS40" s="51">
        <v>46273.1041666667</v>
      </c>
      <c r="DT40" s="17">
        <v>34</v>
      </c>
      <c r="DU40" s="59">
        <v>16052</v>
      </c>
      <c r="DV40" s="16">
        <v>4.0000000000000036</v>
      </c>
      <c r="DW40" s="16">
        <v>30.999999998835847</v>
      </c>
      <c r="DX40" s="16" t="s">
        <v>20</v>
      </c>
      <c r="DY40" s="16">
        <v>4</v>
      </c>
      <c r="DZ40" s="16">
        <v>4</v>
      </c>
      <c r="EA40" s="17"/>
      <c r="EC40" s="15" t="s">
        <v>216</v>
      </c>
      <c r="ED40" s="51">
        <v>46275.0416666667</v>
      </c>
      <c r="EE40" s="17">
        <v>34</v>
      </c>
      <c r="EF40" s="59">
        <v>14873</v>
      </c>
      <c r="EG40" s="16">
        <v>6.9999999999999991</v>
      </c>
      <c r="EH40" s="16">
        <v>28.000000009313226</v>
      </c>
      <c r="EI40" s="16" t="s">
        <v>20</v>
      </c>
      <c r="EJ40" s="16">
        <v>5</v>
      </c>
      <c r="EK40" s="16">
        <v>4.4</v>
      </c>
      <c r="EL40" s="17"/>
      <c r="EN40" s="15" t="s">
        <v>216</v>
      </c>
      <c r="EO40" s="51">
        <v>46275.25</v>
      </c>
      <c r="EP40" s="17">
        <v>34</v>
      </c>
      <c r="EQ40" s="59">
        <v>15727</v>
      </c>
      <c r="ER40" s="16">
        <v>0.99999999999999933</v>
      </c>
      <c r="ES40" s="16">
        <v>24.000000001164153</v>
      </c>
      <c r="ET40" s="16" t="s">
        <v>20</v>
      </c>
      <c r="EU40" s="16">
        <v>4</v>
      </c>
      <c r="EV40" s="16">
        <v>3.2</v>
      </c>
      <c r="EW40" s="17"/>
      <c r="EY40" s="15" t="s">
        <v>216</v>
      </c>
      <c r="EZ40" s="51">
        <v>46273.2013888889</v>
      </c>
      <c r="FA40" s="17">
        <v>34</v>
      </c>
      <c r="FB40" s="59">
        <v>17666</v>
      </c>
      <c r="FC40" s="16">
        <v>6.9999999999999991</v>
      </c>
      <c r="FD40" s="16">
        <v>9.99999999254942</v>
      </c>
      <c r="FE40" s="16" t="s">
        <v>20</v>
      </c>
      <c r="FF40" s="16">
        <v>5.5</v>
      </c>
      <c r="FG40" s="16">
        <v>5.5</v>
      </c>
      <c r="FH40" s="17"/>
      <c r="FJ40" s="15" t="s">
        <v>216</v>
      </c>
      <c r="FK40" s="51">
        <v>46275.25</v>
      </c>
      <c r="FL40" s="17">
        <v>34</v>
      </c>
      <c r="FM40" s="59">
        <v>17490</v>
      </c>
      <c r="FN40" s="16">
        <v>6.0000000000000053</v>
      </c>
      <c r="FO40" s="16">
        <v>20.000000000931323</v>
      </c>
      <c r="FP40" s="16" t="s">
        <v>20</v>
      </c>
      <c r="FQ40" s="16">
        <v>5.1999999999999833</v>
      </c>
      <c r="FR40" s="16">
        <v>5.2</v>
      </c>
      <c r="FS40" s="17"/>
      <c r="FU40" s="15" t="s">
        <v>216</v>
      </c>
      <c r="FV40" s="51">
        <v>46275.25</v>
      </c>
      <c r="FW40" s="17">
        <v>34</v>
      </c>
      <c r="FX40" s="59">
        <v>16511</v>
      </c>
      <c r="FY40" s="16">
        <v>4.0000000000000036</v>
      </c>
      <c r="FZ40" s="16">
        <v>24.000000007450581</v>
      </c>
      <c r="GA40" s="16" t="s">
        <v>20</v>
      </c>
      <c r="GB40" s="16">
        <v>4</v>
      </c>
      <c r="GC40" s="16">
        <v>3.5</v>
      </c>
      <c r="GD40" s="17"/>
      <c r="GF40" s="15" t="s">
        <v>216</v>
      </c>
      <c r="GG40" s="51">
        <v>46255.125</v>
      </c>
      <c r="GH40" s="17">
        <v>34</v>
      </c>
      <c r="GI40" s="59">
        <v>15902</v>
      </c>
      <c r="GJ40" s="16">
        <v>6.9999999999999991</v>
      </c>
      <c r="GK40" s="16">
        <v>27.000000006053597</v>
      </c>
      <c r="GL40" s="16">
        <v>500</v>
      </c>
      <c r="GM40" s="16">
        <v>4.5</v>
      </c>
      <c r="GN40" s="16">
        <v>4.5</v>
      </c>
      <c r="GO40" s="17"/>
      <c r="GQ40" s="15" t="s">
        <v>216</v>
      </c>
      <c r="GR40" s="51"/>
      <c r="GS40" s="17"/>
      <c r="GT40" s="59"/>
      <c r="GU40" s="16"/>
      <c r="GV40" s="16"/>
      <c r="GW40" s="16"/>
      <c r="GX40" s="16"/>
      <c r="GY40" s="16"/>
      <c r="GZ40" s="17"/>
      <c r="HB40" s="15" t="s">
        <v>216</v>
      </c>
      <c r="HC40" s="51"/>
      <c r="HD40" s="17"/>
      <c r="HE40" s="59"/>
      <c r="HF40" s="16"/>
      <c r="HG40" s="16"/>
      <c r="HH40" s="16"/>
      <c r="HI40" s="16"/>
      <c r="HJ40" s="16"/>
      <c r="HK40" s="17"/>
      <c r="HM40" s="15" t="s">
        <v>216</v>
      </c>
      <c r="HN40" s="51"/>
      <c r="HO40" s="17"/>
      <c r="HP40" s="59"/>
      <c r="HQ40" s="16"/>
      <c r="HR40" s="16"/>
      <c r="HS40" s="16"/>
      <c r="HT40" s="16"/>
      <c r="HU40" s="16"/>
      <c r="HV40" s="17"/>
      <c r="HX40" s="15" t="s">
        <v>216</v>
      </c>
      <c r="HY40" s="51"/>
      <c r="HZ40" s="17"/>
      <c r="IA40" s="59"/>
      <c r="IB40" s="16"/>
      <c r="IC40" s="16"/>
      <c r="ID40" s="16"/>
      <c r="IE40" s="16"/>
      <c r="IF40" s="16"/>
      <c r="IG40" s="17"/>
      <c r="II40" s="15" t="s">
        <v>216</v>
      </c>
      <c r="IJ40" s="51"/>
      <c r="IK40" s="17"/>
      <c r="IL40" s="59"/>
      <c r="IM40" s="16"/>
      <c r="IN40" s="16"/>
      <c r="IO40" s="16"/>
      <c r="IP40" s="16"/>
      <c r="IQ40" s="16"/>
      <c r="IR40" s="17"/>
      <c r="IT40" s="15" t="s">
        <v>216</v>
      </c>
      <c r="IU40" s="51"/>
      <c r="IV40" s="17"/>
      <c r="IW40" s="59"/>
      <c r="IX40" s="16"/>
      <c r="IY40" s="16"/>
      <c r="IZ40" s="16"/>
      <c r="JA40" s="16"/>
      <c r="JB40" s="16"/>
      <c r="JC40" s="17"/>
      <c r="JE40" s="15" t="s">
        <v>216</v>
      </c>
      <c r="JF40" s="51"/>
      <c r="JG40" s="17"/>
      <c r="JH40" s="59"/>
      <c r="JI40" s="16"/>
      <c r="JJ40" s="16"/>
      <c r="JK40" s="16"/>
      <c r="JL40" s="16"/>
      <c r="JM40" s="16"/>
      <c r="JN40" s="17"/>
      <c r="JP40" s="15" t="s">
        <v>216</v>
      </c>
      <c r="JQ40" s="51"/>
      <c r="JR40" s="17"/>
      <c r="JS40" s="59"/>
      <c r="JT40" s="16"/>
      <c r="JU40" s="16"/>
      <c r="JV40" s="16"/>
      <c r="JW40" s="16"/>
      <c r="JX40" s="16"/>
      <c r="JY40" s="17"/>
      <c r="KA40" s="15" t="s">
        <v>216</v>
      </c>
      <c r="KB40" s="51"/>
      <c r="KC40" s="17"/>
      <c r="KD40" s="59"/>
      <c r="KE40" s="16"/>
      <c r="KF40" s="16"/>
      <c r="KG40" s="16"/>
      <c r="KH40" s="16"/>
      <c r="KI40" s="16"/>
      <c r="KJ40" s="17"/>
      <c r="KL40" s="15" t="s">
        <v>216</v>
      </c>
      <c r="KM40" s="51"/>
      <c r="KN40" s="17"/>
      <c r="KO40" s="59"/>
      <c r="KP40" s="16"/>
      <c r="KQ40" s="16"/>
      <c r="KR40" s="16"/>
      <c r="KS40" s="16"/>
      <c r="KT40" s="16"/>
      <c r="KU40" s="17"/>
      <c r="KW40" s="15" t="s">
        <v>216</v>
      </c>
      <c r="KX40" s="51"/>
      <c r="KY40" s="17"/>
      <c r="KZ40" s="59"/>
      <c r="LA40" s="16"/>
      <c r="LB40" s="16"/>
      <c r="LC40" s="16"/>
      <c r="LD40" s="16"/>
      <c r="LE40" s="16"/>
      <c r="LF40" s="17"/>
      <c r="LH40" s="15" t="s">
        <v>216</v>
      </c>
      <c r="LI40" s="51"/>
      <c r="LJ40" s="17"/>
      <c r="LK40" s="59"/>
      <c r="LL40" s="16"/>
      <c r="LM40" s="16"/>
      <c r="LN40" s="16"/>
      <c r="LO40" s="16"/>
      <c r="LP40" s="16"/>
      <c r="LQ40" s="17"/>
    </row>
    <row r="41">
      <c r="A41" s="15" t="s">
        <v>217</v>
      </c>
      <c r="B41" s="51"/>
      <c r="C41" s="63">
        <v>35</v>
      </c>
      <c r="D41" s="65">
        <v>16806</v>
      </c>
      <c r="E41" s="30" t="s">
        <v>20</v>
      </c>
      <c r="F41" s="16" t="s">
        <v>20</v>
      </c>
      <c r="G41" s="21" t="s">
        <v>20</v>
      </c>
      <c r="H41" s="33" t="s">
        <v>20</v>
      </c>
      <c r="I41" s="33" t="s">
        <v>20</v>
      </c>
      <c r="J41" s="17"/>
      <c r="L41" s="15" t="s">
        <v>217</v>
      </c>
      <c r="M41" s="51"/>
      <c r="N41" s="66">
        <v>35</v>
      </c>
      <c r="O41" s="64">
        <v>16913</v>
      </c>
      <c r="P41" s="16" t="s">
        <v>20</v>
      </c>
      <c r="Q41" s="16" t="s">
        <v>20</v>
      </c>
      <c r="R41" s="16" t="s">
        <v>20</v>
      </c>
      <c r="S41" s="16" t="s">
        <v>20</v>
      </c>
      <c r="T41" s="16" t="s">
        <v>20</v>
      </c>
      <c r="U41" s="17"/>
      <c r="W41" s="15" t="s">
        <v>217</v>
      </c>
      <c r="X41" s="51"/>
      <c r="Y41" s="66">
        <v>35</v>
      </c>
      <c r="Z41" s="64">
        <v>16142</v>
      </c>
      <c r="AA41" s="16" t="s">
        <v>20</v>
      </c>
      <c r="AB41" s="16" t="s">
        <v>20</v>
      </c>
      <c r="AC41" s="16" t="s">
        <v>20</v>
      </c>
      <c r="AD41" s="16" t="s">
        <v>20</v>
      </c>
      <c r="AE41" s="16" t="s">
        <v>20</v>
      </c>
      <c r="AF41" s="17"/>
      <c r="AH41" s="15" t="s">
        <v>217</v>
      </c>
      <c r="AI41" s="51">
        <v>46272.9270833333</v>
      </c>
      <c r="AJ41" s="17">
        <v>35</v>
      </c>
      <c r="AK41" s="64">
        <v>15795</v>
      </c>
      <c r="AL41" s="16">
        <v>6.0000000000000053</v>
      </c>
      <c r="AM41" s="16">
        <v>14.000000002328306</v>
      </c>
      <c r="AN41" s="16" t="s">
        <v>20</v>
      </c>
      <c r="AO41" s="16">
        <v>4.5</v>
      </c>
      <c r="AP41" s="16">
        <v>3.7</v>
      </c>
      <c r="AQ41" s="17"/>
      <c r="AS41" s="15" t="s">
        <v>217</v>
      </c>
      <c r="AT41" s="51"/>
      <c r="AU41" s="17">
        <v>35</v>
      </c>
      <c r="AV41" s="64">
        <v>15446</v>
      </c>
      <c r="AW41" s="16" t="s">
        <v>20</v>
      </c>
      <c r="AX41" s="16" t="s">
        <v>20</v>
      </c>
      <c r="AY41" s="16"/>
      <c r="AZ41" s="16" t="s">
        <v>20</v>
      </c>
      <c r="BA41" s="16" t="s">
        <v>20</v>
      </c>
      <c r="BB41" s="17"/>
      <c r="BD41" s="15" t="s">
        <v>217</v>
      </c>
      <c r="BE41" s="51"/>
      <c r="BF41" s="17">
        <v>35</v>
      </c>
      <c r="BG41" s="64">
        <v>15949</v>
      </c>
      <c r="BH41" s="16">
        <v>4.9999999999999964</v>
      </c>
      <c r="BI41" s="16">
        <v>13.999999999068677</v>
      </c>
      <c r="BJ41" s="16" t="s">
        <v>20</v>
      </c>
      <c r="BK41" s="16">
        <v>4.5</v>
      </c>
      <c r="BL41" s="16">
        <v>2.8</v>
      </c>
      <c r="BM41" s="17"/>
      <c r="BO41" s="15" t="s">
        <v>217</v>
      </c>
      <c r="BP41" s="51">
        <v>46273.6979166667</v>
      </c>
      <c r="BQ41" s="17">
        <v>35</v>
      </c>
      <c r="BR41" s="64">
        <v>15707</v>
      </c>
      <c r="BS41" s="16">
        <v>6.0000000000000053</v>
      </c>
      <c r="BT41" s="16">
        <v>15.999999998370185</v>
      </c>
      <c r="BU41" s="16" t="s">
        <v>20</v>
      </c>
      <c r="BV41" s="16">
        <v>4.5</v>
      </c>
      <c r="BW41" s="16">
        <v>2</v>
      </c>
      <c r="BX41" s="17"/>
      <c r="BZ41" s="15" t="s">
        <v>217</v>
      </c>
      <c r="CA41" s="51">
        <v>46274.7083333333</v>
      </c>
      <c r="CB41" s="17">
        <v>35</v>
      </c>
      <c r="CC41" s="64">
        <v>17140</v>
      </c>
      <c r="CD41" s="16">
        <v>4.0000000000000036</v>
      </c>
      <c r="CE41" s="16">
        <v>26.99999999627471</v>
      </c>
      <c r="CF41" s="16">
        <v>500</v>
      </c>
      <c r="CG41" s="16">
        <v>5.6999999999999833</v>
      </c>
      <c r="CH41" s="16">
        <v>5.7</v>
      </c>
      <c r="CI41" s="17"/>
      <c r="CK41" s="15" t="s">
        <v>217</v>
      </c>
      <c r="CL41" s="51"/>
      <c r="CM41" s="17">
        <v>35</v>
      </c>
      <c r="CN41" s="64">
        <v>17358</v>
      </c>
      <c r="CO41" s="16">
        <v>8.0000000000000071</v>
      </c>
      <c r="CP41" s="16">
        <v>30.999999990919605</v>
      </c>
      <c r="CQ41" s="16">
        <v>1000</v>
      </c>
      <c r="CR41" s="16">
        <v>5</v>
      </c>
      <c r="CS41" s="16">
        <v>4.8</v>
      </c>
      <c r="CT41" s="17"/>
      <c r="CV41" s="15" t="s">
        <v>217</v>
      </c>
      <c r="CW41" s="51"/>
      <c r="CX41" s="17">
        <v>35</v>
      </c>
      <c r="CY41" s="59">
        <v>15658</v>
      </c>
      <c r="CZ41" s="16" t="s">
        <v>20</v>
      </c>
      <c r="DA41" s="16" t="s">
        <v>20</v>
      </c>
      <c r="DB41" s="16" t="s">
        <v>20</v>
      </c>
      <c r="DC41" s="16" t="s">
        <v>20</v>
      </c>
      <c r="DD41" s="16" t="s">
        <v>20</v>
      </c>
      <c r="DE41" s="17"/>
      <c r="DG41" s="15" t="s">
        <v>217</v>
      </c>
      <c r="DH41" s="51"/>
      <c r="DI41" s="17">
        <v>35</v>
      </c>
      <c r="DJ41" s="59">
        <v>16510</v>
      </c>
      <c r="DK41" s="16" t="s">
        <v>20</v>
      </c>
      <c r="DL41" s="16" t="s">
        <v>20</v>
      </c>
      <c r="DM41" s="16" t="s">
        <v>20</v>
      </c>
      <c r="DN41" s="16" t="s">
        <v>20</v>
      </c>
      <c r="DO41" s="16" t="s">
        <v>20</v>
      </c>
      <c r="DP41" s="17"/>
      <c r="DR41" s="15" t="s">
        <v>217</v>
      </c>
      <c r="DS41" s="51">
        <v>46273.1041666667</v>
      </c>
      <c r="DT41" s="17">
        <v>35</v>
      </c>
      <c r="DU41" s="59">
        <v>16255</v>
      </c>
      <c r="DV41" s="16">
        <v>9</v>
      </c>
      <c r="DW41" s="16">
        <v>21.00000000349246</v>
      </c>
      <c r="DX41" s="16" t="s">
        <v>20</v>
      </c>
      <c r="DY41" s="16">
        <v>4</v>
      </c>
      <c r="DZ41" s="16">
        <v>3.7</v>
      </c>
      <c r="EA41" s="17"/>
      <c r="EC41" s="15" t="s">
        <v>217</v>
      </c>
      <c r="ED41" s="51">
        <v>46275.0416666667</v>
      </c>
      <c r="EE41" s="17">
        <v>35</v>
      </c>
      <c r="EF41" s="59">
        <v>15075</v>
      </c>
      <c r="EG41" s="16">
        <v>6.9999999999999991</v>
      </c>
      <c r="EH41" s="16">
        <v>8.99999999976717</v>
      </c>
      <c r="EI41" s="16" t="s">
        <v>20</v>
      </c>
      <c r="EJ41" s="16">
        <v>5</v>
      </c>
      <c r="EK41" s="16">
        <v>4.6</v>
      </c>
      <c r="EL41" s="17"/>
      <c r="EN41" s="15" t="s">
        <v>217</v>
      </c>
      <c r="EO41" s="51"/>
      <c r="EP41" s="17">
        <v>35</v>
      </c>
      <c r="EQ41" s="59">
        <v>15929</v>
      </c>
      <c r="ER41" s="16">
        <v>0.99999999999999933</v>
      </c>
      <c r="ES41" s="16">
        <v>17.999999999068677</v>
      </c>
      <c r="ET41" s="16" t="s">
        <v>20</v>
      </c>
      <c r="EU41" s="16">
        <v>4</v>
      </c>
      <c r="EV41" s="16">
        <v>3.3</v>
      </c>
      <c r="EW41" s="17"/>
      <c r="EY41" s="15" t="s">
        <v>217</v>
      </c>
      <c r="EZ41" s="51">
        <v>46273.2013888889</v>
      </c>
      <c r="FA41" s="17">
        <v>35</v>
      </c>
      <c r="FB41" s="59">
        <v>17866</v>
      </c>
      <c r="FC41" s="16">
        <v>6.0000000000000053</v>
      </c>
      <c r="FD41" s="16">
        <v>14.000000002328306</v>
      </c>
      <c r="FE41" s="16" t="s">
        <v>20</v>
      </c>
      <c r="FF41" s="16">
        <v>5.5</v>
      </c>
      <c r="FG41" s="16">
        <v>5.5</v>
      </c>
      <c r="FH41" s="17"/>
      <c r="FJ41" s="15" t="s">
        <v>217</v>
      </c>
      <c r="FK41" s="51"/>
      <c r="FL41" s="17">
        <v>35</v>
      </c>
      <c r="FM41" s="59">
        <v>17689</v>
      </c>
      <c r="FN41" s="16">
        <v>8.0000000000000071</v>
      </c>
      <c r="FO41" s="16">
        <v>12.999999995110556</v>
      </c>
      <c r="FP41" s="16" t="s">
        <v>20</v>
      </c>
      <c r="FQ41" s="16">
        <v>5.1999999999999833</v>
      </c>
      <c r="FR41" s="16">
        <v>5.2</v>
      </c>
      <c r="FS41" s="17"/>
      <c r="FU41" s="15" t="s">
        <v>217</v>
      </c>
      <c r="FV41" s="51"/>
      <c r="FW41" s="17">
        <v>35</v>
      </c>
      <c r="FX41" s="59">
        <v>16752</v>
      </c>
      <c r="FY41" s="16">
        <v>2.9999999999999947</v>
      </c>
      <c r="FZ41" s="16">
        <v>28.999999991152436</v>
      </c>
      <c r="GA41" s="16" t="s">
        <v>20</v>
      </c>
      <c r="GB41" s="16">
        <v>4</v>
      </c>
      <c r="GC41" s="16">
        <v>4</v>
      </c>
      <c r="GD41" s="17"/>
      <c r="GF41" s="15" t="s">
        <v>217</v>
      </c>
      <c r="GG41" s="51">
        <v>46255.125</v>
      </c>
      <c r="GH41" s="17">
        <v>35</v>
      </c>
      <c r="GI41" s="59">
        <v>16103</v>
      </c>
      <c r="GJ41" s="16">
        <v>9.9999999999999929</v>
      </c>
      <c r="GK41" s="16">
        <v>217.99999999930151</v>
      </c>
      <c r="GL41" s="16">
        <v>500</v>
      </c>
      <c r="GM41" s="16">
        <v>5</v>
      </c>
      <c r="GN41" s="16">
        <v>5</v>
      </c>
      <c r="GO41" s="17"/>
      <c r="GQ41" s="15" t="s">
        <v>217</v>
      </c>
      <c r="GR41" s="51"/>
      <c r="GS41" s="17"/>
      <c r="GT41" s="59"/>
      <c r="GU41" s="16"/>
      <c r="GV41" s="16"/>
      <c r="GW41" s="16"/>
      <c r="GX41" s="16"/>
      <c r="GY41" s="16"/>
      <c r="GZ41" s="17"/>
      <c r="HB41" s="15" t="s">
        <v>217</v>
      </c>
      <c r="HC41" s="51"/>
      <c r="HD41" s="17"/>
      <c r="HE41" s="59"/>
      <c r="HF41" s="16"/>
      <c r="HG41" s="16"/>
      <c r="HH41" s="16"/>
      <c r="HI41" s="16"/>
      <c r="HJ41" s="16"/>
      <c r="HK41" s="17"/>
      <c r="HM41" s="15" t="s">
        <v>217</v>
      </c>
      <c r="HN41" s="51"/>
      <c r="HO41" s="17"/>
      <c r="HP41" s="59"/>
      <c r="HQ41" s="16"/>
      <c r="HR41" s="16"/>
      <c r="HS41" s="16"/>
      <c r="HT41" s="16"/>
      <c r="HU41" s="16"/>
      <c r="HV41" s="17"/>
      <c r="HX41" s="15" t="s">
        <v>217</v>
      </c>
      <c r="HY41" s="51"/>
      <c r="HZ41" s="17"/>
      <c r="IA41" s="59"/>
      <c r="IB41" s="16"/>
      <c r="IC41" s="16"/>
      <c r="ID41" s="16"/>
      <c r="IE41" s="16"/>
      <c r="IF41" s="16"/>
      <c r="IG41" s="17"/>
      <c r="II41" s="15" t="s">
        <v>217</v>
      </c>
      <c r="IJ41" s="51"/>
      <c r="IK41" s="17"/>
      <c r="IL41" s="59"/>
      <c r="IM41" s="16"/>
      <c r="IN41" s="16"/>
      <c r="IO41" s="16"/>
      <c r="IP41" s="16"/>
      <c r="IQ41" s="16"/>
      <c r="IR41" s="17"/>
      <c r="IT41" s="15" t="s">
        <v>217</v>
      </c>
      <c r="IU41" s="51"/>
      <c r="IV41" s="17"/>
      <c r="IW41" s="59"/>
      <c r="IX41" s="16"/>
      <c r="IY41" s="16"/>
      <c r="IZ41" s="16"/>
      <c r="JA41" s="16"/>
      <c r="JB41" s="16"/>
      <c r="JC41" s="17"/>
      <c r="JE41" s="15" t="s">
        <v>217</v>
      </c>
      <c r="JF41" s="51"/>
      <c r="JG41" s="17"/>
      <c r="JH41" s="59"/>
      <c r="JI41" s="16"/>
      <c r="JJ41" s="16"/>
      <c r="JK41" s="16"/>
      <c r="JL41" s="16"/>
      <c r="JM41" s="16"/>
      <c r="JN41" s="17"/>
      <c r="JP41" s="15" t="s">
        <v>217</v>
      </c>
      <c r="JQ41" s="51"/>
      <c r="JR41" s="17"/>
      <c r="JS41" s="59"/>
      <c r="JT41" s="16"/>
      <c r="JU41" s="16"/>
      <c r="JV41" s="16"/>
      <c r="JW41" s="16"/>
      <c r="JX41" s="16"/>
      <c r="JY41" s="17"/>
      <c r="KA41" s="15" t="s">
        <v>217</v>
      </c>
      <c r="KB41" s="51"/>
      <c r="KC41" s="17"/>
      <c r="KD41" s="59"/>
      <c r="KE41" s="16"/>
      <c r="KF41" s="16"/>
      <c r="KG41" s="16"/>
      <c r="KH41" s="16"/>
      <c r="KI41" s="16"/>
      <c r="KJ41" s="17"/>
      <c r="KL41" s="15" t="s">
        <v>217</v>
      </c>
      <c r="KM41" s="51"/>
      <c r="KN41" s="17"/>
      <c r="KO41" s="59"/>
      <c r="KP41" s="16"/>
      <c r="KQ41" s="16"/>
      <c r="KR41" s="16"/>
      <c r="KS41" s="16"/>
      <c r="KT41" s="16"/>
      <c r="KU41" s="17"/>
      <c r="KW41" s="15" t="s">
        <v>217</v>
      </c>
      <c r="KX41" s="51"/>
      <c r="KY41" s="17"/>
      <c r="KZ41" s="59"/>
      <c r="LA41" s="16"/>
      <c r="LB41" s="16"/>
      <c r="LC41" s="16"/>
      <c r="LD41" s="16"/>
      <c r="LE41" s="16"/>
      <c r="LF41" s="17"/>
      <c r="LH41" s="15" t="s">
        <v>217</v>
      </c>
      <c r="LI41" s="51"/>
      <c r="LJ41" s="17"/>
      <c r="LK41" s="59"/>
      <c r="LL41" s="16"/>
      <c r="LM41" s="16"/>
      <c r="LN41" s="16"/>
      <c r="LO41" s="16"/>
      <c r="LP41" s="16"/>
      <c r="LQ41" s="17"/>
    </row>
    <row r="42">
      <c r="A42" s="15" t="s">
        <v>218</v>
      </c>
      <c r="B42" s="51"/>
      <c r="C42" s="63">
        <v>36</v>
      </c>
      <c r="D42" s="65">
        <v>17013</v>
      </c>
      <c r="E42" s="30" t="s">
        <v>20</v>
      </c>
      <c r="F42" s="16" t="s">
        <v>20</v>
      </c>
      <c r="G42" s="21" t="s">
        <v>20</v>
      </c>
      <c r="H42" s="33" t="s">
        <v>20</v>
      </c>
      <c r="I42" s="33" t="s">
        <v>20</v>
      </c>
      <c r="J42" s="17"/>
      <c r="L42" s="15" t="s">
        <v>218</v>
      </c>
      <c r="M42" s="51"/>
      <c r="N42" s="66">
        <v>36</v>
      </c>
      <c r="O42" s="64">
        <v>17156</v>
      </c>
      <c r="P42" s="16" t="s">
        <v>20</v>
      </c>
      <c r="Q42" s="16" t="s">
        <v>20</v>
      </c>
      <c r="R42" s="16" t="s">
        <v>20</v>
      </c>
      <c r="S42" s="16" t="s">
        <v>20</v>
      </c>
      <c r="T42" s="16" t="s">
        <v>20</v>
      </c>
      <c r="U42" s="17"/>
      <c r="W42" s="15" t="s">
        <v>218</v>
      </c>
      <c r="X42" s="51"/>
      <c r="Y42" s="66">
        <v>36</v>
      </c>
      <c r="Z42" s="64">
        <v>16342</v>
      </c>
      <c r="AA42" s="16" t="s">
        <v>20</v>
      </c>
      <c r="AB42" s="16" t="s">
        <v>20</v>
      </c>
      <c r="AC42" s="16" t="s">
        <v>20</v>
      </c>
      <c r="AD42" s="16" t="s">
        <v>20</v>
      </c>
      <c r="AE42" s="16" t="s">
        <v>20</v>
      </c>
      <c r="AF42" s="17"/>
      <c r="AH42" s="15" t="s">
        <v>218</v>
      </c>
      <c r="AI42" s="51">
        <v>46273.7708333333</v>
      </c>
      <c r="AJ42" s="17">
        <v>36</v>
      </c>
      <c r="AK42" s="64">
        <v>15997</v>
      </c>
      <c r="AL42" s="16">
        <v>2.9999999999999947</v>
      </c>
      <c r="AM42" s="16">
        <v>14.999999995809048</v>
      </c>
      <c r="AN42" s="16" t="s">
        <v>20</v>
      </c>
      <c r="AO42" s="16">
        <v>4.5</v>
      </c>
      <c r="AP42" s="16">
        <v>3.7</v>
      </c>
      <c r="AQ42" s="17"/>
      <c r="AS42" s="15" t="s">
        <v>218</v>
      </c>
      <c r="AT42" s="51"/>
      <c r="AU42" s="17">
        <v>36</v>
      </c>
      <c r="AV42" s="64">
        <v>15647</v>
      </c>
      <c r="AW42" s="16" t="s">
        <v>20</v>
      </c>
      <c r="AX42" s="16" t="s">
        <v>20</v>
      </c>
      <c r="AY42" s="16"/>
      <c r="AZ42" s="16" t="s">
        <v>20</v>
      </c>
      <c r="BA42" s="16" t="s">
        <v>20</v>
      </c>
      <c r="BB42" s="17"/>
      <c r="BD42" s="15" t="s">
        <v>218</v>
      </c>
      <c r="BE42" s="51"/>
      <c r="BF42" s="17">
        <v>36</v>
      </c>
      <c r="BG42" s="64">
        <v>16150</v>
      </c>
      <c r="BH42" s="16">
        <v>6.9999999999999991</v>
      </c>
      <c r="BI42" s="16">
        <v>13.000000002328306</v>
      </c>
      <c r="BJ42" s="16" t="s">
        <v>20</v>
      </c>
      <c r="BK42" s="16">
        <v>4.5</v>
      </c>
      <c r="BL42" s="16">
        <v>3.6</v>
      </c>
      <c r="BM42" s="17"/>
      <c r="BO42" s="15" t="s">
        <v>218</v>
      </c>
      <c r="BP42" s="51">
        <v>46274.375</v>
      </c>
      <c r="BQ42" s="17">
        <v>36</v>
      </c>
      <c r="BR42" s="64">
        <v>15907</v>
      </c>
      <c r="BS42" s="16">
        <v>6.0000000000000053</v>
      </c>
      <c r="BT42" s="16">
        <v>20.000000000931323</v>
      </c>
      <c r="BU42" s="16" t="s">
        <v>20</v>
      </c>
      <c r="BV42" s="16">
        <v>4.5</v>
      </c>
      <c r="BW42" s="16">
        <v>2.8</v>
      </c>
      <c r="BX42" s="17"/>
      <c r="BZ42" s="15" t="s">
        <v>218</v>
      </c>
      <c r="CA42" s="51">
        <v>46275.0833333333</v>
      </c>
      <c r="CB42" s="17">
        <v>36</v>
      </c>
      <c r="CC42" s="64">
        <v>17343</v>
      </c>
      <c r="CD42" s="16">
        <v>13.999999999999998</v>
      </c>
      <c r="CE42" s="16">
        <v>13.000000004190952</v>
      </c>
      <c r="CF42" s="16">
        <v>500</v>
      </c>
      <c r="CG42" s="16">
        <v>5.6999999999999833</v>
      </c>
      <c r="CH42" s="16">
        <v>5.7</v>
      </c>
      <c r="CI42" s="17"/>
      <c r="CK42" s="15" t="s">
        <v>218</v>
      </c>
      <c r="CL42" s="51"/>
      <c r="CM42" s="17">
        <v>36</v>
      </c>
      <c r="CN42" s="64">
        <v>17560</v>
      </c>
      <c r="CO42" s="16">
        <v>8.0000000000000071</v>
      </c>
      <c r="CP42" s="16">
        <v>31.000000001396984</v>
      </c>
      <c r="CQ42" s="16">
        <v>1000</v>
      </c>
      <c r="CR42" s="16">
        <v>5</v>
      </c>
      <c r="CS42" s="16">
        <v>4.8</v>
      </c>
      <c r="CT42" s="17"/>
      <c r="CV42" s="15" t="s">
        <v>218</v>
      </c>
      <c r="CW42" s="51"/>
      <c r="CX42" s="17">
        <v>36</v>
      </c>
      <c r="CY42" s="59">
        <v>15858</v>
      </c>
      <c r="CZ42" s="16" t="s">
        <v>20</v>
      </c>
      <c r="DA42" s="16" t="s">
        <v>20</v>
      </c>
      <c r="DB42" s="16" t="s">
        <v>20</v>
      </c>
      <c r="DC42" s="16" t="s">
        <v>20</v>
      </c>
      <c r="DD42" s="16" t="s">
        <v>20</v>
      </c>
      <c r="DE42" s="17"/>
      <c r="DG42" s="15" t="s">
        <v>218</v>
      </c>
      <c r="DH42" s="51"/>
      <c r="DI42" s="17">
        <v>36</v>
      </c>
      <c r="DJ42" s="59">
        <v>16711</v>
      </c>
      <c r="DK42" s="16" t="s">
        <v>20</v>
      </c>
      <c r="DL42" s="16" t="s">
        <v>20</v>
      </c>
      <c r="DM42" s="16" t="s">
        <v>20</v>
      </c>
      <c r="DN42" s="16" t="s">
        <v>20</v>
      </c>
      <c r="DO42" s="16" t="s">
        <v>20</v>
      </c>
      <c r="DP42" s="17"/>
      <c r="DR42" s="15" t="s">
        <v>218</v>
      </c>
      <c r="DS42" s="51">
        <v>46273.7291666667</v>
      </c>
      <c r="DT42" s="17">
        <v>36</v>
      </c>
      <c r="DU42" s="59">
        <v>16459</v>
      </c>
      <c r="DV42" s="16">
        <v>4.9999999999999964</v>
      </c>
      <c r="DW42" s="16">
        <v>54.99999999650754</v>
      </c>
      <c r="DX42" s="16" t="s">
        <v>20</v>
      </c>
      <c r="DY42" s="16">
        <v>4</v>
      </c>
      <c r="DZ42" s="16">
        <v>4</v>
      </c>
      <c r="EA42" s="17"/>
      <c r="EC42" s="15" t="s">
        <v>218</v>
      </c>
      <c r="ED42" s="51" t="s">
        <v>20</v>
      </c>
      <c r="EE42" s="17">
        <v>36</v>
      </c>
      <c r="EF42" s="59">
        <v>15277</v>
      </c>
      <c r="EG42" s="16">
        <v>13.999999999999998</v>
      </c>
      <c r="EH42" s="16">
        <v>12.000000000931323</v>
      </c>
      <c r="EI42" s="16" t="s">
        <v>20</v>
      </c>
      <c r="EJ42" s="16">
        <v>5</v>
      </c>
      <c r="EK42" s="16">
        <v>4.6</v>
      </c>
      <c r="EL42" s="17"/>
      <c r="EN42" s="15" t="s">
        <v>218</v>
      </c>
      <c r="EO42" s="51"/>
      <c r="EP42" s="17">
        <v>36</v>
      </c>
      <c r="EQ42" s="59">
        <v>16131</v>
      </c>
      <c r="ER42" s="16">
        <v>2.0000000000000018</v>
      </c>
      <c r="ES42" s="16">
        <v>28.00000000349246</v>
      </c>
      <c r="ET42" s="16" t="s">
        <v>20</v>
      </c>
      <c r="EU42" s="16">
        <v>4</v>
      </c>
      <c r="EV42" s="16">
        <v>3.1</v>
      </c>
      <c r="EW42" s="17"/>
      <c r="EY42" s="15" t="s">
        <v>218</v>
      </c>
      <c r="EZ42" s="51">
        <v>46273.5833333333</v>
      </c>
      <c r="FA42" s="17">
        <v>36</v>
      </c>
      <c r="FB42" s="59">
        <v>18067</v>
      </c>
      <c r="FC42" s="16">
        <v>6.0000000000000053</v>
      </c>
      <c r="FD42" s="16">
        <v>24.00000000349246</v>
      </c>
      <c r="FE42" s="16" t="s">
        <v>20</v>
      </c>
      <c r="FF42" s="16">
        <v>5.5</v>
      </c>
      <c r="FG42" s="16">
        <v>5.5</v>
      </c>
      <c r="FH42" s="17"/>
      <c r="FJ42" s="15" t="s">
        <v>218</v>
      </c>
      <c r="FK42" s="51"/>
      <c r="FL42" s="17">
        <v>36</v>
      </c>
      <c r="FM42" s="59">
        <v>17888</v>
      </c>
      <c r="FN42" s="16">
        <v>4.9999999999999964</v>
      </c>
      <c r="FO42" s="16">
        <v>19.000000004889444</v>
      </c>
      <c r="FP42" s="16" t="s">
        <v>20</v>
      </c>
      <c r="FQ42" s="16">
        <v>5.1999999999999833</v>
      </c>
      <c r="FR42" s="16">
        <v>5.2</v>
      </c>
      <c r="FS42" s="17"/>
      <c r="FU42" s="15" t="s">
        <v>218</v>
      </c>
      <c r="FV42" s="51"/>
      <c r="FW42" s="17">
        <v>36</v>
      </c>
      <c r="FX42" s="59">
        <v>16993</v>
      </c>
      <c r="FY42" s="16">
        <v>2.9999999999999947</v>
      </c>
      <c r="FZ42" s="16">
        <v>22.000000008149073</v>
      </c>
      <c r="GA42" s="16" t="s">
        <v>20</v>
      </c>
      <c r="GB42" s="16">
        <v>4</v>
      </c>
      <c r="GC42" s="16">
        <v>3.8</v>
      </c>
      <c r="GD42" s="17"/>
      <c r="GF42" s="15" t="s">
        <v>218</v>
      </c>
      <c r="GG42" s="51">
        <v>46255.5</v>
      </c>
      <c r="GH42" s="17">
        <v>36</v>
      </c>
      <c r="GI42" s="59">
        <v>16305</v>
      </c>
      <c r="GJ42" s="16">
        <v>4.9999999999999964</v>
      </c>
      <c r="GK42" s="16">
        <v>26.999999999534339</v>
      </c>
      <c r="GL42" s="16">
        <v>500</v>
      </c>
      <c r="GM42" s="16">
        <v>5</v>
      </c>
      <c r="GN42" s="16">
        <v>5</v>
      </c>
      <c r="GO42" s="17"/>
      <c r="GQ42" s="15" t="s">
        <v>218</v>
      </c>
      <c r="GR42" s="51"/>
      <c r="GS42" s="17"/>
      <c r="GT42" s="59"/>
      <c r="GU42" s="16"/>
      <c r="GV42" s="16"/>
      <c r="GW42" s="16"/>
      <c r="GX42" s="16"/>
      <c r="GY42" s="16"/>
      <c r="GZ42" s="17"/>
      <c r="HB42" s="15" t="s">
        <v>218</v>
      </c>
      <c r="HC42" s="51"/>
      <c r="HD42" s="17"/>
      <c r="HE42" s="59"/>
      <c r="HF42" s="16"/>
      <c r="HG42" s="16"/>
      <c r="HH42" s="16"/>
      <c r="HI42" s="16"/>
      <c r="HJ42" s="16"/>
      <c r="HK42" s="17"/>
      <c r="HM42" s="15" t="s">
        <v>218</v>
      </c>
      <c r="HN42" s="51"/>
      <c r="HO42" s="17"/>
      <c r="HP42" s="59"/>
      <c r="HQ42" s="16"/>
      <c r="HR42" s="16"/>
      <c r="HS42" s="16"/>
      <c r="HT42" s="16"/>
      <c r="HU42" s="16"/>
      <c r="HV42" s="17"/>
      <c r="HX42" s="15" t="s">
        <v>218</v>
      </c>
      <c r="HY42" s="51"/>
      <c r="HZ42" s="17"/>
      <c r="IA42" s="59"/>
      <c r="IB42" s="16"/>
      <c r="IC42" s="16"/>
      <c r="ID42" s="16"/>
      <c r="IE42" s="16"/>
      <c r="IF42" s="16"/>
      <c r="IG42" s="17"/>
      <c r="II42" s="15" t="s">
        <v>218</v>
      </c>
      <c r="IJ42" s="51"/>
      <c r="IK42" s="17"/>
      <c r="IL42" s="59"/>
      <c r="IM42" s="16"/>
      <c r="IN42" s="16"/>
      <c r="IO42" s="16"/>
      <c r="IP42" s="16"/>
      <c r="IQ42" s="16"/>
      <c r="IR42" s="17"/>
      <c r="IT42" s="15" t="s">
        <v>218</v>
      </c>
      <c r="IU42" s="51"/>
      <c r="IV42" s="17"/>
      <c r="IW42" s="59"/>
      <c r="IX42" s="16"/>
      <c r="IY42" s="16"/>
      <c r="IZ42" s="16"/>
      <c r="JA42" s="16"/>
      <c r="JB42" s="16"/>
      <c r="JC42" s="17"/>
      <c r="JE42" s="15" t="s">
        <v>218</v>
      </c>
      <c r="JF42" s="51"/>
      <c r="JG42" s="17"/>
      <c r="JH42" s="59"/>
      <c r="JI42" s="16"/>
      <c r="JJ42" s="16"/>
      <c r="JK42" s="16"/>
      <c r="JL42" s="16"/>
      <c r="JM42" s="16"/>
      <c r="JN42" s="17"/>
      <c r="JP42" s="15" t="s">
        <v>218</v>
      </c>
      <c r="JQ42" s="51"/>
      <c r="JR42" s="17"/>
      <c r="JS42" s="59"/>
      <c r="JT42" s="16"/>
      <c r="JU42" s="16"/>
      <c r="JV42" s="16"/>
      <c r="JW42" s="16"/>
      <c r="JX42" s="16"/>
      <c r="JY42" s="17"/>
      <c r="KA42" s="15" t="s">
        <v>218</v>
      </c>
      <c r="KB42" s="51"/>
      <c r="KC42" s="17"/>
      <c r="KD42" s="59"/>
      <c r="KE42" s="16"/>
      <c r="KF42" s="16"/>
      <c r="KG42" s="16"/>
      <c r="KH42" s="16"/>
      <c r="KI42" s="16"/>
      <c r="KJ42" s="17"/>
      <c r="KL42" s="15" t="s">
        <v>218</v>
      </c>
      <c r="KM42" s="51"/>
      <c r="KN42" s="17"/>
      <c r="KO42" s="59"/>
      <c r="KP42" s="16"/>
      <c r="KQ42" s="16"/>
      <c r="KR42" s="16"/>
      <c r="KS42" s="16"/>
      <c r="KT42" s="16"/>
      <c r="KU42" s="17"/>
      <c r="KW42" s="15" t="s">
        <v>218</v>
      </c>
      <c r="KX42" s="51"/>
      <c r="KY42" s="17"/>
      <c r="KZ42" s="59"/>
      <c r="LA42" s="16"/>
      <c r="LB42" s="16"/>
      <c r="LC42" s="16"/>
      <c r="LD42" s="16"/>
      <c r="LE42" s="16"/>
      <c r="LF42" s="17"/>
      <c r="LH42" s="15" t="s">
        <v>218</v>
      </c>
      <c r="LI42" s="51"/>
      <c r="LJ42" s="17"/>
      <c r="LK42" s="59"/>
      <c r="LL42" s="16"/>
      <c r="LM42" s="16"/>
      <c r="LN42" s="16"/>
      <c r="LO42" s="16"/>
      <c r="LP42" s="16"/>
      <c r="LQ42" s="17"/>
    </row>
    <row r="43">
      <c r="A43" s="15" t="s">
        <v>219</v>
      </c>
      <c r="B43" s="51"/>
      <c r="C43" s="63">
        <v>37</v>
      </c>
      <c r="D43" s="65">
        <v>17215</v>
      </c>
      <c r="E43" s="30" t="s">
        <v>20</v>
      </c>
      <c r="F43" s="16" t="s">
        <v>20</v>
      </c>
      <c r="G43" s="21" t="s">
        <v>20</v>
      </c>
      <c r="H43" s="33" t="s">
        <v>20</v>
      </c>
      <c r="I43" s="33" t="s">
        <v>20</v>
      </c>
      <c r="J43" s="17"/>
      <c r="L43" s="15" t="s">
        <v>219</v>
      </c>
      <c r="M43" s="51"/>
      <c r="N43" s="66">
        <v>37</v>
      </c>
      <c r="O43" s="64">
        <v>17399</v>
      </c>
      <c r="P43" s="16" t="s">
        <v>20</v>
      </c>
      <c r="Q43" s="16" t="s">
        <v>20</v>
      </c>
      <c r="R43" s="16" t="s">
        <v>20</v>
      </c>
      <c r="S43" s="16" t="s">
        <v>20</v>
      </c>
      <c r="T43" s="16" t="s">
        <v>20</v>
      </c>
      <c r="U43" s="17"/>
      <c r="W43" s="15" t="s">
        <v>219</v>
      </c>
      <c r="X43" s="51"/>
      <c r="Y43" s="66">
        <v>37</v>
      </c>
      <c r="Z43" s="64">
        <v>16543</v>
      </c>
      <c r="AA43" s="16" t="s">
        <v>20</v>
      </c>
      <c r="AB43" s="16" t="s">
        <v>20</v>
      </c>
      <c r="AC43" s="16" t="s">
        <v>20</v>
      </c>
      <c r="AD43" s="16" t="s">
        <v>20</v>
      </c>
      <c r="AE43" s="16" t="s">
        <v>20</v>
      </c>
      <c r="AF43" s="17"/>
      <c r="AH43" s="15" t="s">
        <v>219</v>
      </c>
      <c r="AI43" s="51">
        <v>46273.7708333333</v>
      </c>
      <c r="AJ43" s="17">
        <v>37</v>
      </c>
      <c r="AK43" s="64">
        <v>16199</v>
      </c>
      <c r="AL43" s="16">
        <v>4.0000000000000036</v>
      </c>
      <c r="AM43" s="16">
        <v>22.000000000931323</v>
      </c>
      <c r="AN43" s="16" t="s">
        <v>20</v>
      </c>
      <c r="AO43" s="16">
        <v>4.5</v>
      </c>
      <c r="AP43" s="16">
        <v>3.8</v>
      </c>
      <c r="AQ43" s="17"/>
      <c r="AS43" s="15" t="s">
        <v>219</v>
      </c>
      <c r="AT43" s="51"/>
      <c r="AU43" s="17">
        <v>37</v>
      </c>
      <c r="AV43" s="64">
        <v>15849</v>
      </c>
      <c r="AW43" s="16" t="s">
        <v>20</v>
      </c>
      <c r="AX43" s="16" t="s">
        <v>20</v>
      </c>
      <c r="AY43" s="16"/>
      <c r="AZ43" s="16" t="s">
        <v>20</v>
      </c>
      <c r="BA43" s="16" t="s">
        <v>20</v>
      </c>
      <c r="BB43" s="17"/>
      <c r="BD43" s="15" t="s">
        <v>219</v>
      </c>
      <c r="BE43" s="51"/>
      <c r="BF43" s="17">
        <v>37</v>
      </c>
      <c r="BG43" s="64">
        <v>16352</v>
      </c>
      <c r="BH43" s="16">
        <v>2.0000000000000018</v>
      </c>
      <c r="BI43" s="16">
        <v>13.999999999767169</v>
      </c>
      <c r="BJ43" s="16" t="s">
        <v>20</v>
      </c>
      <c r="BK43" s="16">
        <v>4.5</v>
      </c>
      <c r="BL43" s="16">
        <v>2.7</v>
      </c>
      <c r="BM43" s="17"/>
      <c r="BO43" s="15" t="s">
        <v>219</v>
      </c>
      <c r="BP43" s="51">
        <v>46274.375</v>
      </c>
      <c r="BQ43" s="17">
        <v>37</v>
      </c>
      <c r="BR43" s="64">
        <v>16108</v>
      </c>
      <c r="BS43" s="16">
        <v>4.9999999999999964</v>
      </c>
      <c r="BT43" s="16">
        <v>19.000000004889444</v>
      </c>
      <c r="BU43" s="16" t="s">
        <v>20</v>
      </c>
      <c r="BV43" s="16">
        <v>4.5</v>
      </c>
      <c r="BW43" s="16">
        <v>2.6</v>
      </c>
      <c r="BX43" s="17"/>
      <c r="BZ43" s="15" t="s">
        <v>219</v>
      </c>
      <c r="CA43" s="51"/>
      <c r="CB43" s="17">
        <v>37</v>
      </c>
      <c r="CC43" s="64">
        <v>17548</v>
      </c>
      <c r="CD43" s="16">
        <v>8.0000000000000071</v>
      </c>
      <c r="CE43" s="16">
        <v>31.999999994179234</v>
      </c>
      <c r="CF43" s="16">
        <v>1000</v>
      </c>
      <c r="CG43" s="16">
        <v>5.6999999999999833</v>
      </c>
      <c r="CH43" s="16">
        <v>5.7</v>
      </c>
      <c r="CI43" s="17"/>
      <c r="CK43" s="15" t="s">
        <v>219</v>
      </c>
      <c r="CL43" s="51"/>
      <c r="CM43" s="17">
        <v>37</v>
      </c>
      <c r="CN43" s="64">
        <v>17763</v>
      </c>
      <c r="CO43" s="16">
        <v>4.0000000000000036</v>
      </c>
      <c r="CP43" s="16">
        <v>23.000000004190952</v>
      </c>
      <c r="CQ43" s="16">
        <v>1000</v>
      </c>
      <c r="CR43" s="16">
        <v>5</v>
      </c>
      <c r="CS43" s="16">
        <v>4.8</v>
      </c>
      <c r="CT43" s="17"/>
      <c r="CV43" s="15" t="s">
        <v>219</v>
      </c>
      <c r="CW43" s="51"/>
      <c r="CX43" s="17">
        <v>37</v>
      </c>
      <c r="CY43" s="59">
        <v>16059</v>
      </c>
      <c r="CZ43" s="16" t="s">
        <v>20</v>
      </c>
      <c r="DA43" s="16" t="s">
        <v>20</v>
      </c>
      <c r="DB43" s="16" t="s">
        <v>20</v>
      </c>
      <c r="DC43" s="16" t="s">
        <v>20</v>
      </c>
      <c r="DD43" s="16" t="s">
        <v>20</v>
      </c>
      <c r="DE43" s="17"/>
      <c r="DG43" s="15" t="s">
        <v>219</v>
      </c>
      <c r="DH43" s="51"/>
      <c r="DI43" s="17">
        <v>37</v>
      </c>
      <c r="DJ43" s="59">
        <v>16913</v>
      </c>
      <c r="DK43" s="16" t="s">
        <v>20</v>
      </c>
      <c r="DL43" s="16" t="s">
        <v>20</v>
      </c>
      <c r="DM43" s="16" t="s">
        <v>20</v>
      </c>
      <c r="DN43" s="16" t="s">
        <v>20</v>
      </c>
      <c r="DO43" s="16" t="s">
        <v>20</v>
      </c>
      <c r="DP43" s="17"/>
      <c r="DR43" s="15" t="s">
        <v>219</v>
      </c>
      <c r="DS43" s="51">
        <v>46273.7291666667</v>
      </c>
      <c r="DT43" s="17">
        <v>37</v>
      </c>
      <c r="DU43" s="59">
        <v>16662</v>
      </c>
      <c r="DV43" s="16">
        <v>4.0000000000000036</v>
      </c>
      <c r="DW43" s="16">
        <v>22.000000000931323</v>
      </c>
      <c r="DX43" s="16" t="s">
        <v>20</v>
      </c>
      <c r="DY43" s="16">
        <v>4</v>
      </c>
      <c r="DZ43" s="16">
        <v>3.5</v>
      </c>
      <c r="EA43" s="17"/>
      <c r="EC43" s="15" t="s">
        <v>219</v>
      </c>
      <c r="ED43" s="51"/>
      <c r="EE43" s="17">
        <v>37</v>
      </c>
      <c r="EF43" s="59">
        <v>15480</v>
      </c>
      <c r="EG43" s="16">
        <v>4.9999999999999964</v>
      </c>
      <c r="EH43" s="16">
        <v>9.99999999650754</v>
      </c>
      <c r="EI43" s="16" t="s">
        <v>20</v>
      </c>
      <c r="EJ43" s="16">
        <v>5</v>
      </c>
      <c r="EK43" s="16">
        <v>4.6</v>
      </c>
      <c r="EL43" s="17"/>
      <c r="EN43" s="15" t="s">
        <v>219</v>
      </c>
      <c r="EO43" s="51"/>
      <c r="EP43" s="17">
        <v>37</v>
      </c>
      <c r="EQ43" s="59">
        <v>16333</v>
      </c>
      <c r="ER43" s="16">
        <v>2.0000000000000018</v>
      </c>
      <c r="ES43" s="16">
        <v>16.999999999068677</v>
      </c>
      <c r="ET43" s="16" t="s">
        <v>20</v>
      </c>
      <c r="EU43" s="16">
        <v>4</v>
      </c>
      <c r="EV43" s="16">
        <v>3.2</v>
      </c>
      <c r="EW43" s="17"/>
      <c r="EY43" s="15" t="s">
        <v>219</v>
      </c>
      <c r="EZ43" s="51"/>
      <c r="FA43" s="17">
        <v>37</v>
      </c>
      <c r="FB43" s="59">
        <v>18268</v>
      </c>
      <c r="FC43" s="16">
        <v>6.9999999999999991</v>
      </c>
      <c r="FD43" s="16">
        <v>11.999999999068677</v>
      </c>
      <c r="FE43" s="16" t="s">
        <v>20</v>
      </c>
      <c r="FF43" s="16">
        <v>5.5</v>
      </c>
      <c r="FG43" s="16">
        <v>5.5</v>
      </c>
      <c r="FH43" s="17"/>
      <c r="FJ43" s="15" t="s">
        <v>219</v>
      </c>
      <c r="FK43" s="51"/>
      <c r="FL43" s="17">
        <v>37</v>
      </c>
      <c r="FM43" s="59">
        <v>18086</v>
      </c>
      <c r="FN43" s="16">
        <v>4.9999999999999964</v>
      </c>
      <c r="FO43" s="16">
        <v>22.9999999969732</v>
      </c>
      <c r="FP43" s="16" t="s">
        <v>20</v>
      </c>
      <c r="FQ43" s="16">
        <v>5.1999999999999833</v>
      </c>
      <c r="FR43" s="16">
        <v>5.2</v>
      </c>
      <c r="FS43" s="17"/>
      <c r="FU43" s="15" t="s">
        <v>219</v>
      </c>
      <c r="FV43" s="51"/>
      <c r="FW43" s="17">
        <v>37</v>
      </c>
      <c r="FX43" s="59">
        <v>17234</v>
      </c>
      <c r="FY43" s="16">
        <v>2.0000000000000018</v>
      </c>
      <c r="FZ43" s="16">
        <v>27.999999993015081</v>
      </c>
      <c r="GA43" s="16" t="s">
        <v>20</v>
      </c>
      <c r="GB43" s="16">
        <v>4</v>
      </c>
      <c r="GC43" s="16">
        <v>3</v>
      </c>
      <c r="GD43" s="17"/>
      <c r="GF43" s="15" t="s">
        <v>219</v>
      </c>
      <c r="GG43" s="51">
        <v>46255.5</v>
      </c>
      <c r="GH43" s="17">
        <v>37</v>
      </c>
      <c r="GI43" s="59">
        <v>16507</v>
      </c>
      <c r="GJ43" s="16">
        <v>4.9999999999999964</v>
      </c>
      <c r="GK43" s="16">
        <v>21.000000000931323</v>
      </c>
      <c r="GL43" s="16">
        <v>500</v>
      </c>
      <c r="GM43" s="16">
        <v>5</v>
      </c>
      <c r="GN43" s="16">
        <v>4.9</v>
      </c>
      <c r="GO43" s="17"/>
      <c r="GQ43" s="15" t="s">
        <v>219</v>
      </c>
      <c r="GR43" s="51"/>
      <c r="GS43" s="17"/>
      <c r="GT43" s="59"/>
      <c r="GU43" s="16"/>
      <c r="GV43" s="16"/>
      <c r="GW43" s="16"/>
      <c r="GX43" s="16"/>
      <c r="GY43" s="16"/>
      <c r="GZ43" s="17"/>
      <c r="HB43" s="15" t="s">
        <v>219</v>
      </c>
      <c r="HC43" s="51"/>
      <c r="HD43" s="17"/>
      <c r="HE43" s="59"/>
      <c r="HF43" s="16"/>
      <c r="HG43" s="16"/>
      <c r="HH43" s="16"/>
      <c r="HI43" s="16"/>
      <c r="HJ43" s="16"/>
      <c r="HK43" s="17"/>
      <c r="HM43" s="15" t="s">
        <v>219</v>
      </c>
      <c r="HN43" s="51"/>
      <c r="HO43" s="17"/>
      <c r="HP43" s="59"/>
      <c r="HQ43" s="16"/>
      <c r="HR43" s="16"/>
      <c r="HS43" s="16"/>
      <c r="HT43" s="16"/>
      <c r="HU43" s="16"/>
      <c r="HV43" s="17"/>
      <c r="HX43" s="15" t="s">
        <v>219</v>
      </c>
      <c r="HY43" s="51"/>
      <c r="HZ43" s="17"/>
      <c r="IA43" s="59"/>
      <c r="IB43" s="16"/>
      <c r="IC43" s="16"/>
      <c r="ID43" s="16"/>
      <c r="IE43" s="16"/>
      <c r="IF43" s="16"/>
      <c r="IG43" s="17"/>
      <c r="II43" s="15" t="s">
        <v>219</v>
      </c>
      <c r="IJ43" s="51"/>
      <c r="IK43" s="17"/>
      <c r="IL43" s="59"/>
      <c r="IM43" s="16"/>
      <c r="IN43" s="16"/>
      <c r="IO43" s="16"/>
      <c r="IP43" s="16"/>
      <c r="IQ43" s="16"/>
      <c r="IR43" s="17"/>
      <c r="IT43" s="15" t="s">
        <v>219</v>
      </c>
      <c r="IU43" s="51"/>
      <c r="IV43" s="17"/>
      <c r="IW43" s="59"/>
      <c r="IX43" s="16"/>
      <c r="IY43" s="16"/>
      <c r="IZ43" s="16"/>
      <c r="JA43" s="16"/>
      <c r="JB43" s="16"/>
      <c r="JC43" s="17"/>
      <c r="JE43" s="15" t="s">
        <v>219</v>
      </c>
      <c r="JF43" s="51"/>
      <c r="JG43" s="17"/>
      <c r="JH43" s="59"/>
      <c r="JI43" s="16"/>
      <c r="JJ43" s="16"/>
      <c r="JK43" s="16"/>
      <c r="JL43" s="16"/>
      <c r="JM43" s="16"/>
      <c r="JN43" s="17"/>
      <c r="JP43" s="15" t="s">
        <v>219</v>
      </c>
      <c r="JQ43" s="51"/>
      <c r="JR43" s="17"/>
      <c r="JS43" s="59"/>
      <c r="JT43" s="16"/>
      <c r="JU43" s="16"/>
      <c r="JV43" s="16"/>
      <c r="JW43" s="16"/>
      <c r="JX43" s="16"/>
      <c r="JY43" s="17"/>
      <c r="KA43" s="15" t="s">
        <v>219</v>
      </c>
      <c r="KB43" s="51"/>
      <c r="KC43" s="17"/>
      <c r="KD43" s="59"/>
      <c r="KE43" s="16"/>
      <c r="KF43" s="16"/>
      <c r="KG43" s="16"/>
      <c r="KH43" s="16"/>
      <c r="KI43" s="16"/>
      <c r="KJ43" s="17"/>
      <c r="KL43" s="15" t="s">
        <v>219</v>
      </c>
      <c r="KM43" s="51"/>
      <c r="KN43" s="17"/>
      <c r="KO43" s="59"/>
      <c r="KP43" s="16"/>
      <c r="KQ43" s="16"/>
      <c r="KR43" s="16"/>
      <c r="KS43" s="16"/>
      <c r="KT43" s="16"/>
      <c r="KU43" s="17"/>
      <c r="KW43" s="15" t="s">
        <v>219</v>
      </c>
      <c r="KX43" s="51"/>
      <c r="KY43" s="17"/>
      <c r="KZ43" s="59"/>
      <c r="LA43" s="16"/>
      <c r="LB43" s="16"/>
      <c r="LC43" s="16"/>
      <c r="LD43" s="16"/>
      <c r="LE43" s="16"/>
      <c r="LF43" s="17"/>
      <c r="LH43" s="15" t="s">
        <v>219</v>
      </c>
      <c r="LI43" s="51"/>
      <c r="LJ43" s="17"/>
      <c r="LK43" s="59"/>
      <c r="LL43" s="16"/>
      <c r="LM43" s="16"/>
      <c r="LN43" s="16"/>
      <c r="LO43" s="16"/>
      <c r="LP43" s="16"/>
      <c r="LQ43" s="17"/>
    </row>
    <row r="44">
      <c r="A44" s="15" t="s">
        <v>220</v>
      </c>
      <c r="B44" s="51"/>
      <c r="C44" s="63">
        <v>38</v>
      </c>
      <c r="D44" s="65">
        <v>17619</v>
      </c>
      <c r="E44" s="30" t="s">
        <v>20</v>
      </c>
      <c r="F44" s="16" t="s">
        <v>20</v>
      </c>
      <c r="G44" s="21" t="s">
        <v>20</v>
      </c>
      <c r="H44" s="33" t="s">
        <v>20</v>
      </c>
      <c r="I44" s="33" t="s">
        <v>20</v>
      </c>
      <c r="J44" s="17"/>
      <c r="L44" s="15" t="s">
        <v>220</v>
      </c>
      <c r="M44" s="51"/>
      <c r="N44" s="66">
        <v>38</v>
      </c>
      <c r="O44" s="64">
        <v>17643</v>
      </c>
      <c r="P44" s="16" t="s">
        <v>20</v>
      </c>
      <c r="Q44" s="16" t="s">
        <v>20</v>
      </c>
      <c r="R44" s="16" t="s">
        <v>20</v>
      </c>
      <c r="S44" s="16" t="s">
        <v>20</v>
      </c>
      <c r="T44" s="16" t="s">
        <v>20</v>
      </c>
      <c r="U44" s="17"/>
      <c r="W44" s="15" t="s">
        <v>220</v>
      </c>
      <c r="X44" s="51"/>
      <c r="Y44" s="66">
        <v>38</v>
      </c>
      <c r="Z44" s="64">
        <v>16744</v>
      </c>
      <c r="AA44" s="16" t="s">
        <v>20</v>
      </c>
      <c r="AB44" s="16" t="s">
        <v>20</v>
      </c>
      <c r="AC44" s="16" t="s">
        <v>20</v>
      </c>
      <c r="AD44" s="16" t="s">
        <v>20</v>
      </c>
      <c r="AE44" s="16" t="s">
        <v>20</v>
      </c>
      <c r="AF44" s="17"/>
      <c r="AH44" s="15" t="s">
        <v>220</v>
      </c>
      <c r="AI44" s="51">
        <v>46274.8958333333</v>
      </c>
      <c r="AJ44" s="17">
        <v>38</v>
      </c>
      <c r="AK44" s="64">
        <v>16401</v>
      </c>
      <c r="AL44" s="16">
        <v>4.0000000000000036</v>
      </c>
      <c r="AM44" s="16">
        <v>10.00000000372529</v>
      </c>
      <c r="AN44" s="16" t="s">
        <v>20</v>
      </c>
      <c r="AO44" s="16">
        <v>4.5</v>
      </c>
      <c r="AP44" s="16">
        <v>4.2</v>
      </c>
      <c r="AQ44" s="17"/>
      <c r="AS44" s="15" t="s">
        <v>220</v>
      </c>
      <c r="AT44" s="51"/>
      <c r="AU44" s="17">
        <v>38</v>
      </c>
      <c r="AV44" s="64">
        <v>16050</v>
      </c>
      <c r="AW44" s="16" t="s">
        <v>20</v>
      </c>
      <c r="AX44" s="16" t="s">
        <v>20</v>
      </c>
      <c r="AY44" s="16"/>
      <c r="AZ44" s="16" t="s">
        <v>20</v>
      </c>
      <c r="BA44" s="16" t="s">
        <v>20</v>
      </c>
      <c r="BB44" s="17"/>
      <c r="BD44" s="15" t="s">
        <v>220</v>
      </c>
      <c r="BE44" s="51"/>
      <c r="BF44" s="17">
        <v>38</v>
      </c>
      <c r="BG44" s="64">
        <v>16553</v>
      </c>
      <c r="BH44" s="16">
        <v>2.9999999999999947</v>
      </c>
      <c r="BI44" s="16">
        <v>14.000000003026798</v>
      </c>
      <c r="BJ44" s="16" t="s">
        <v>20</v>
      </c>
      <c r="BK44" s="16">
        <v>4.5</v>
      </c>
      <c r="BL44" s="16">
        <v>2.7</v>
      </c>
      <c r="BM44" s="17"/>
      <c r="BO44" s="15" t="s">
        <v>220</v>
      </c>
      <c r="BP44" s="51" t="s">
        <v>20</v>
      </c>
      <c r="BQ44" s="17">
        <v>38</v>
      </c>
      <c r="BR44" s="64">
        <v>16308</v>
      </c>
      <c r="BS44" s="16">
        <v>4.0000000000000036</v>
      </c>
      <c r="BT44" s="16">
        <v>25.000000000232831</v>
      </c>
      <c r="BU44" s="16" t="s">
        <v>20</v>
      </c>
      <c r="BV44" s="16">
        <v>4.5</v>
      </c>
      <c r="BW44" s="16">
        <v>2.7</v>
      </c>
      <c r="BX44" s="17"/>
      <c r="BZ44" s="15" t="s">
        <v>220</v>
      </c>
      <c r="CA44" s="51"/>
      <c r="CB44" s="17">
        <v>38</v>
      </c>
      <c r="CC44" s="64">
        <v>17749</v>
      </c>
      <c r="CD44" s="16">
        <v>6.9999999999999991</v>
      </c>
      <c r="CE44" s="16">
        <v>23.00000000349246</v>
      </c>
      <c r="CF44" s="16">
        <v>500</v>
      </c>
      <c r="CG44" s="16">
        <v>5.6999999999999833</v>
      </c>
      <c r="CH44" s="16">
        <v>5.7</v>
      </c>
      <c r="CI44" s="17"/>
      <c r="CK44" s="15" t="s">
        <v>220</v>
      </c>
      <c r="CL44" s="51"/>
      <c r="CM44" s="17">
        <v>38</v>
      </c>
      <c r="CN44" s="64">
        <v>17965</v>
      </c>
      <c r="CO44" s="16">
        <v>9</v>
      </c>
      <c r="CP44" s="16">
        <v>22.999999999534339</v>
      </c>
      <c r="CQ44" s="16">
        <v>1000</v>
      </c>
      <c r="CR44" s="16">
        <v>5</v>
      </c>
      <c r="CS44" s="16">
        <v>4.8</v>
      </c>
      <c r="CT44" s="17"/>
      <c r="CV44" s="15" t="s">
        <v>220</v>
      </c>
      <c r="CW44" s="51"/>
      <c r="CX44" s="17">
        <v>38</v>
      </c>
      <c r="CY44" s="59">
        <v>16259</v>
      </c>
      <c r="CZ44" s="16" t="s">
        <v>20</v>
      </c>
      <c r="DA44" s="16" t="s">
        <v>20</v>
      </c>
      <c r="DB44" s="16" t="s">
        <v>20</v>
      </c>
      <c r="DC44" s="16" t="s">
        <v>20</v>
      </c>
      <c r="DD44" s="16" t="s">
        <v>20</v>
      </c>
      <c r="DE44" s="17"/>
      <c r="DG44" s="15" t="s">
        <v>220</v>
      </c>
      <c r="DH44" s="51"/>
      <c r="DI44" s="17">
        <v>38</v>
      </c>
      <c r="DJ44" s="59">
        <v>17114</v>
      </c>
      <c r="DK44" s="16" t="s">
        <v>20</v>
      </c>
      <c r="DL44" s="16" t="s">
        <v>20</v>
      </c>
      <c r="DM44" s="16" t="s">
        <v>20</v>
      </c>
      <c r="DN44" s="16" t="s">
        <v>20</v>
      </c>
      <c r="DO44" s="16" t="s">
        <v>20</v>
      </c>
      <c r="DP44" s="17"/>
      <c r="DR44" s="15" t="s">
        <v>220</v>
      </c>
      <c r="DS44" s="51">
        <v>46274.5833333333</v>
      </c>
      <c r="DT44" s="17">
        <v>38</v>
      </c>
      <c r="DU44" s="59">
        <v>16865</v>
      </c>
      <c r="DV44" s="16">
        <v>9</v>
      </c>
      <c r="DW44" s="16">
        <v>17.000000004423782</v>
      </c>
      <c r="DX44" s="16" t="s">
        <v>20</v>
      </c>
      <c r="DY44" s="16">
        <v>4</v>
      </c>
      <c r="DZ44" s="16">
        <v>3.6</v>
      </c>
      <c r="EA44" s="17"/>
      <c r="EC44" s="15" t="s">
        <v>220</v>
      </c>
      <c r="ED44" s="51"/>
      <c r="EE44" s="17">
        <v>38</v>
      </c>
      <c r="EF44" s="59">
        <v>15682</v>
      </c>
      <c r="EG44" s="16">
        <v>6.0000000000000053</v>
      </c>
      <c r="EH44" s="16">
        <v>8.99999999650754</v>
      </c>
      <c r="EI44" s="16" t="s">
        <v>20</v>
      </c>
      <c r="EJ44" s="16">
        <v>5</v>
      </c>
      <c r="EK44" s="16">
        <v>4.4</v>
      </c>
      <c r="EL44" s="17"/>
      <c r="EN44" s="15" t="s">
        <v>220</v>
      </c>
      <c r="EO44" s="51"/>
      <c r="EP44" s="17">
        <v>38</v>
      </c>
      <c r="EQ44" s="59">
        <v>16534</v>
      </c>
      <c r="ER44" s="16">
        <v>0.99999999999999933</v>
      </c>
      <c r="ES44" s="16">
        <v>49.000000005820766</v>
      </c>
      <c r="ET44" s="16" t="s">
        <v>20</v>
      </c>
      <c r="EU44" s="16">
        <v>4.5</v>
      </c>
      <c r="EV44" s="16">
        <v>2.9</v>
      </c>
      <c r="EW44" s="17"/>
      <c r="EY44" s="15" t="s">
        <v>220</v>
      </c>
      <c r="EZ44" s="51"/>
      <c r="FA44" s="17">
        <v>38</v>
      </c>
      <c r="FB44" s="59">
        <v>18468</v>
      </c>
      <c r="FC44" s="16">
        <v>4.9999999999999964</v>
      </c>
      <c r="FD44" s="16">
        <v>16.999999998370185</v>
      </c>
      <c r="FE44" s="16" t="s">
        <v>20</v>
      </c>
      <c r="FF44" s="16">
        <v>5.5</v>
      </c>
      <c r="FG44" s="16">
        <v>5.5</v>
      </c>
      <c r="FH44" s="17"/>
      <c r="FJ44" s="15" t="s">
        <v>220</v>
      </c>
      <c r="FK44" s="51"/>
      <c r="FL44" s="17">
        <v>38</v>
      </c>
      <c r="FM44" s="59">
        <v>18285</v>
      </c>
      <c r="FN44" s="16">
        <v>6.0000000000000053</v>
      </c>
      <c r="FO44" s="16">
        <v>23.000000000232831</v>
      </c>
      <c r="FP44" s="16" t="s">
        <v>20</v>
      </c>
      <c r="FQ44" s="16">
        <v>5.1999999999999833</v>
      </c>
      <c r="FR44" s="16">
        <v>5.2</v>
      </c>
      <c r="FS44" s="17"/>
      <c r="FU44" s="15" t="s">
        <v>220</v>
      </c>
      <c r="FV44" s="51"/>
      <c r="FW44" s="17">
        <v>38</v>
      </c>
      <c r="FX44" s="59">
        <v>17475</v>
      </c>
      <c r="FY44" s="16">
        <v>2.0000000000000018</v>
      </c>
      <c r="FZ44" s="16">
        <v>53.000000001164153</v>
      </c>
      <c r="GA44" s="16" t="s">
        <v>20</v>
      </c>
      <c r="GB44" s="16">
        <v>4</v>
      </c>
      <c r="GC44" s="16">
        <v>3</v>
      </c>
      <c r="GD44" s="17"/>
      <c r="GF44" s="15" t="s">
        <v>220</v>
      </c>
      <c r="GG44" s="51" t="s">
        <v>20</v>
      </c>
      <c r="GH44" s="17">
        <v>38</v>
      </c>
      <c r="GI44" s="59">
        <v>16709</v>
      </c>
      <c r="GJ44" s="16">
        <v>6.0000000000000053</v>
      </c>
      <c r="GK44" s="16">
        <v>23.000000000232831</v>
      </c>
      <c r="GL44" s="16">
        <v>500</v>
      </c>
      <c r="GM44" s="16">
        <v>5</v>
      </c>
      <c r="GN44" s="16">
        <v>4.9</v>
      </c>
      <c r="GO44" s="17"/>
      <c r="GQ44" s="15" t="s">
        <v>220</v>
      </c>
      <c r="GR44" s="51"/>
      <c r="GS44" s="17"/>
      <c r="GT44" s="59"/>
      <c r="GU44" s="16"/>
      <c r="GV44" s="16"/>
      <c r="GW44" s="16"/>
      <c r="GX44" s="16"/>
      <c r="GY44" s="16"/>
      <c r="GZ44" s="17"/>
      <c r="HB44" s="15" t="s">
        <v>220</v>
      </c>
      <c r="HC44" s="51"/>
      <c r="HD44" s="17"/>
      <c r="HE44" s="59"/>
      <c r="HF44" s="16"/>
      <c r="HG44" s="16"/>
      <c r="HH44" s="16"/>
      <c r="HI44" s="16"/>
      <c r="HJ44" s="16"/>
      <c r="HK44" s="17"/>
      <c r="HM44" s="15" t="s">
        <v>220</v>
      </c>
      <c r="HN44" s="51"/>
      <c r="HO44" s="17"/>
      <c r="HP44" s="59"/>
      <c r="HQ44" s="16"/>
      <c r="HR44" s="16"/>
      <c r="HS44" s="16"/>
      <c r="HT44" s="16"/>
      <c r="HU44" s="16"/>
      <c r="HV44" s="17"/>
      <c r="HX44" s="15" t="s">
        <v>220</v>
      </c>
      <c r="HY44" s="51"/>
      <c r="HZ44" s="17"/>
      <c r="IA44" s="59"/>
      <c r="IB44" s="16"/>
      <c r="IC44" s="16"/>
      <c r="ID44" s="16"/>
      <c r="IE44" s="16"/>
      <c r="IF44" s="16"/>
      <c r="IG44" s="17"/>
      <c r="II44" s="15" t="s">
        <v>220</v>
      </c>
      <c r="IJ44" s="51"/>
      <c r="IK44" s="17"/>
      <c r="IL44" s="59"/>
      <c r="IM44" s="16"/>
      <c r="IN44" s="16"/>
      <c r="IO44" s="16"/>
      <c r="IP44" s="16"/>
      <c r="IQ44" s="16"/>
      <c r="IR44" s="17"/>
      <c r="IT44" s="15" t="s">
        <v>220</v>
      </c>
      <c r="IU44" s="51"/>
      <c r="IV44" s="17"/>
      <c r="IW44" s="59"/>
      <c r="IX44" s="16"/>
      <c r="IY44" s="16"/>
      <c r="IZ44" s="16"/>
      <c r="JA44" s="16"/>
      <c r="JB44" s="16"/>
      <c r="JC44" s="17"/>
      <c r="JE44" s="15" t="s">
        <v>220</v>
      </c>
      <c r="JF44" s="51"/>
      <c r="JG44" s="17"/>
      <c r="JH44" s="59"/>
      <c r="JI44" s="16"/>
      <c r="JJ44" s="16"/>
      <c r="JK44" s="16"/>
      <c r="JL44" s="16"/>
      <c r="JM44" s="16"/>
      <c r="JN44" s="17"/>
      <c r="JP44" s="15" t="s">
        <v>220</v>
      </c>
      <c r="JQ44" s="51"/>
      <c r="JR44" s="17"/>
      <c r="JS44" s="59"/>
      <c r="JT44" s="16"/>
      <c r="JU44" s="16"/>
      <c r="JV44" s="16"/>
      <c r="JW44" s="16"/>
      <c r="JX44" s="16"/>
      <c r="JY44" s="17"/>
      <c r="KA44" s="15" t="s">
        <v>220</v>
      </c>
      <c r="KB44" s="51"/>
      <c r="KC44" s="17"/>
      <c r="KD44" s="59"/>
      <c r="KE44" s="16"/>
      <c r="KF44" s="16"/>
      <c r="KG44" s="16"/>
      <c r="KH44" s="16"/>
      <c r="KI44" s="16"/>
      <c r="KJ44" s="17"/>
      <c r="KL44" s="15" t="s">
        <v>220</v>
      </c>
      <c r="KM44" s="51"/>
      <c r="KN44" s="17"/>
      <c r="KO44" s="59"/>
      <c r="KP44" s="16"/>
      <c r="KQ44" s="16"/>
      <c r="KR44" s="16"/>
      <c r="KS44" s="16"/>
      <c r="KT44" s="16"/>
      <c r="KU44" s="17"/>
      <c r="KW44" s="15" t="s">
        <v>220</v>
      </c>
      <c r="KX44" s="51"/>
      <c r="KY44" s="17"/>
      <c r="KZ44" s="59"/>
      <c r="LA44" s="16"/>
      <c r="LB44" s="16"/>
      <c r="LC44" s="16"/>
      <c r="LD44" s="16"/>
      <c r="LE44" s="16"/>
      <c r="LF44" s="17"/>
      <c r="LH44" s="15" t="s">
        <v>220</v>
      </c>
      <c r="LI44" s="51"/>
      <c r="LJ44" s="17"/>
      <c r="LK44" s="59"/>
      <c r="LL44" s="16"/>
      <c r="LM44" s="16"/>
      <c r="LN44" s="16"/>
      <c r="LO44" s="16"/>
      <c r="LP44" s="16"/>
      <c r="LQ44" s="17"/>
    </row>
    <row r="45">
      <c r="A45" s="15" t="s">
        <v>221</v>
      </c>
      <c r="B45" s="49" t="s">
        <v>20</v>
      </c>
      <c r="C45" s="63">
        <v>39</v>
      </c>
      <c r="D45" s="65">
        <v>17821</v>
      </c>
      <c r="E45" s="30" t="s">
        <v>20</v>
      </c>
      <c r="F45" s="16" t="s">
        <v>20</v>
      </c>
      <c r="G45" s="21" t="s">
        <v>20</v>
      </c>
      <c r="H45" s="33" t="s">
        <v>20</v>
      </c>
      <c r="I45" s="33" t="s">
        <v>20</v>
      </c>
      <c r="J45" s="17"/>
      <c r="L45" s="15" t="s">
        <v>221</v>
      </c>
      <c r="M45" s="49" t="s">
        <v>20</v>
      </c>
      <c r="N45" s="66">
        <v>39</v>
      </c>
      <c r="O45" s="64">
        <v>17886</v>
      </c>
      <c r="P45" s="16" t="s">
        <v>20</v>
      </c>
      <c r="Q45" s="16" t="s">
        <v>20</v>
      </c>
      <c r="R45" s="16" t="s">
        <v>20</v>
      </c>
      <c r="S45" s="16" t="s">
        <v>20</v>
      </c>
      <c r="T45" s="16" t="s">
        <v>20</v>
      </c>
      <c r="U45" s="17"/>
      <c r="W45" s="15" t="s">
        <v>221</v>
      </c>
      <c r="X45" s="49" t="s">
        <v>20</v>
      </c>
      <c r="Y45" s="66">
        <v>39</v>
      </c>
      <c r="Z45" s="64">
        <v>16944</v>
      </c>
      <c r="AA45" s="16" t="s">
        <v>20</v>
      </c>
      <c r="AB45" s="16" t="s">
        <v>20</v>
      </c>
      <c r="AC45" s="16" t="s">
        <v>20</v>
      </c>
      <c r="AD45" s="16" t="s">
        <v>20</v>
      </c>
      <c r="AE45" s="16" t="s">
        <v>20</v>
      </c>
      <c r="AF45" s="17"/>
      <c r="AH45" s="15" t="s">
        <v>221</v>
      </c>
      <c r="AI45" s="49" t="s">
        <v>20</v>
      </c>
      <c r="AJ45" s="17">
        <v>39</v>
      </c>
      <c r="AK45" s="64">
        <v>16602</v>
      </c>
      <c r="AL45" s="16">
        <v>4.9999999999999964</v>
      </c>
      <c r="AM45" s="16">
        <v>6.9999999972060323</v>
      </c>
      <c r="AN45" s="16" t="s">
        <v>20</v>
      </c>
      <c r="AO45" s="16">
        <v>4.5</v>
      </c>
      <c r="AP45" s="16">
        <v>4</v>
      </c>
      <c r="AQ45" s="17"/>
      <c r="AS45" s="15" t="s">
        <v>221</v>
      </c>
      <c r="AT45" s="49">
        <v>7.435</v>
      </c>
      <c r="AU45" s="17">
        <v>39</v>
      </c>
      <c r="AV45" s="64">
        <v>16251</v>
      </c>
      <c r="AW45" s="16" t="s">
        <v>20</v>
      </c>
      <c r="AX45" s="16" t="s">
        <v>20</v>
      </c>
      <c r="AY45" s="16"/>
      <c r="AZ45" s="16" t="s">
        <v>20</v>
      </c>
      <c r="BA45" s="16" t="s">
        <v>20</v>
      </c>
      <c r="BB45" s="17"/>
      <c r="BD45" s="15" t="s">
        <v>221</v>
      </c>
      <c r="BE45" s="49">
        <v>0</v>
      </c>
      <c r="BF45" s="17">
        <v>39</v>
      </c>
      <c r="BG45" s="64">
        <v>16755</v>
      </c>
      <c r="BH45" s="16">
        <v>2.0000000000000018</v>
      </c>
      <c r="BI45" s="16">
        <v>13.999999999767169</v>
      </c>
      <c r="BJ45" s="16" t="s">
        <v>20</v>
      </c>
      <c r="BK45" s="16">
        <v>4.5</v>
      </c>
      <c r="BL45" s="16">
        <v>2.5</v>
      </c>
      <c r="BM45" s="17"/>
      <c r="BO45" s="15" t="s">
        <v>221</v>
      </c>
      <c r="BP45" s="49">
        <v>0</v>
      </c>
      <c r="BQ45" s="17">
        <v>39</v>
      </c>
      <c r="BR45" s="64">
        <v>16509</v>
      </c>
      <c r="BS45" s="16">
        <v>4.9999999999999964</v>
      </c>
      <c r="BT45" s="16">
        <v>16.999999998370185</v>
      </c>
      <c r="BU45" s="16" t="s">
        <v>20</v>
      </c>
      <c r="BV45" s="16">
        <v>4.5</v>
      </c>
      <c r="BW45" s="16">
        <v>2.6</v>
      </c>
      <c r="BX45" s="17"/>
      <c r="BZ45" s="15" t="s">
        <v>221</v>
      </c>
      <c r="CA45" s="49">
        <v>1078.87</v>
      </c>
      <c r="CB45" s="17">
        <v>39</v>
      </c>
      <c r="CC45" s="64">
        <v>17951</v>
      </c>
      <c r="CD45" s="16">
        <v>8.0000000000000071</v>
      </c>
      <c r="CE45" s="16">
        <v>22.99999999627471</v>
      </c>
      <c r="CF45" s="16">
        <v>500</v>
      </c>
      <c r="CG45" s="16">
        <v>5.6999999999999833</v>
      </c>
      <c r="CH45" s="16">
        <v>5.7</v>
      </c>
      <c r="CI45" s="17"/>
      <c r="CK45" s="15" t="s">
        <v>221</v>
      </c>
      <c r="CL45" s="49">
        <v>5.277</v>
      </c>
      <c r="CM45" s="17">
        <v>39</v>
      </c>
      <c r="CN45" s="64">
        <v>18167</v>
      </c>
      <c r="CO45" s="16">
        <v>4.9999999999999964</v>
      </c>
      <c r="CP45" s="16">
        <v>31.999999994877726</v>
      </c>
      <c r="CQ45" s="16">
        <v>1000</v>
      </c>
      <c r="CR45" s="16">
        <v>5</v>
      </c>
      <c r="CS45" s="16">
        <v>4.8</v>
      </c>
      <c r="CT45" s="17"/>
      <c r="CV45" s="15" t="s">
        <v>221</v>
      </c>
      <c r="CW45" s="49">
        <v>0</v>
      </c>
      <c r="CX45" s="17">
        <v>39</v>
      </c>
      <c r="CY45" s="59">
        <v>16459</v>
      </c>
      <c r="CZ45" s="16" t="s">
        <v>20</v>
      </c>
      <c r="DA45" s="16" t="s">
        <v>20</v>
      </c>
      <c r="DB45" s="16" t="s">
        <v>20</v>
      </c>
      <c r="DC45" s="16" t="s">
        <v>20</v>
      </c>
      <c r="DD45" s="16" t="s">
        <v>20</v>
      </c>
      <c r="DE45" s="17"/>
      <c r="DG45" s="15" t="s">
        <v>221</v>
      </c>
      <c r="DH45" s="49" t="s">
        <v>20</v>
      </c>
      <c r="DI45" s="17">
        <v>39</v>
      </c>
      <c r="DJ45" s="59">
        <v>17315</v>
      </c>
      <c r="DK45" s="16" t="s">
        <v>20</v>
      </c>
      <c r="DL45" s="16" t="s">
        <v>20</v>
      </c>
      <c r="DM45" s="16" t="s">
        <v>20</v>
      </c>
      <c r="DN45" s="16" t="s">
        <v>20</v>
      </c>
      <c r="DO45" s="16" t="s">
        <v>20</v>
      </c>
      <c r="DP45" s="17"/>
      <c r="DR45" s="15" t="s">
        <v>221</v>
      </c>
      <c r="DS45" s="49" t="s">
        <v>20</v>
      </c>
      <c r="DT45" s="17">
        <v>39</v>
      </c>
      <c r="DU45" s="59">
        <v>17068</v>
      </c>
      <c r="DV45" s="16">
        <v>11.999999999999995</v>
      </c>
      <c r="DW45" s="16">
        <v>14.999999993713573</v>
      </c>
      <c r="DX45" s="16" t="s">
        <v>20</v>
      </c>
      <c r="DY45" s="16">
        <v>4</v>
      </c>
      <c r="DZ45" s="16">
        <v>3.6</v>
      </c>
      <c r="EA45" s="17"/>
      <c r="EC45" s="15" t="s">
        <v>221</v>
      </c>
      <c r="ED45" s="49">
        <v>2.46118</v>
      </c>
      <c r="EE45" s="17">
        <v>39</v>
      </c>
      <c r="EF45" s="59">
        <v>15884</v>
      </c>
      <c r="EG45" s="16">
        <v>9</v>
      </c>
      <c r="EH45" s="16">
        <v>9.9999999990686774</v>
      </c>
      <c r="EI45" s="16" t="s">
        <v>20</v>
      </c>
      <c r="EJ45" s="16">
        <v>5</v>
      </c>
      <c r="EK45" s="16">
        <v>4.6</v>
      </c>
      <c r="EL45" s="17"/>
      <c r="EN45" s="15" t="s">
        <v>221</v>
      </c>
      <c r="EO45" s="49" t="s">
        <v>20</v>
      </c>
      <c r="EP45" s="17">
        <v>39</v>
      </c>
      <c r="EQ45" s="59">
        <v>16736</v>
      </c>
      <c r="ER45" s="16">
        <v>0.99999999999999933</v>
      </c>
      <c r="ES45" s="16">
        <v>11.999999989988282</v>
      </c>
      <c r="ET45" s="16" t="s">
        <v>20</v>
      </c>
      <c r="EU45" s="16">
        <v>4.5</v>
      </c>
      <c r="EV45" s="16">
        <v>2.9</v>
      </c>
      <c r="EW45" s="17"/>
      <c r="EY45" s="15" t="s">
        <v>221</v>
      </c>
      <c r="EZ45" s="49" t="s">
        <v>20</v>
      </c>
      <c r="FA45" s="17">
        <v>39</v>
      </c>
      <c r="FB45" s="59">
        <v>18668</v>
      </c>
      <c r="FC45" s="16">
        <v>6.9999999999999991</v>
      </c>
      <c r="FD45" s="16">
        <v>11.000000006286427</v>
      </c>
      <c r="FE45" s="16" t="s">
        <v>20</v>
      </c>
      <c r="FF45" s="16">
        <v>5.5</v>
      </c>
      <c r="FG45" s="16">
        <v>5.5</v>
      </c>
      <c r="FH45" s="17"/>
      <c r="FJ45" s="15" t="s">
        <v>221</v>
      </c>
      <c r="FK45" s="49">
        <v>0.15</v>
      </c>
      <c r="FL45" s="17">
        <v>39</v>
      </c>
      <c r="FM45" s="59">
        <v>18484</v>
      </c>
      <c r="FN45" s="16">
        <v>6.0000000000000053</v>
      </c>
      <c r="FO45" s="16">
        <v>18.999999997671694</v>
      </c>
      <c r="FP45" s="16" t="s">
        <v>20</v>
      </c>
      <c r="FQ45" s="16">
        <v>5.1999999999999833</v>
      </c>
      <c r="FR45" s="16">
        <v>5.2</v>
      </c>
      <c r="FS45" s="17"/>
      <c r="FU45" s="15" t="s">
        <v>221</v>
      </c>
      <c r="FV45" s="49" t="s">
        <v>20</v>
      </c>
      <c r="FW45" s="17">
        <v>39</v>
      </c>
      <c r="FX45" s="59">
        <v>17716</v>
      </c>
      <c r="FY45" s="16">
        <v>2.9999999999999947</v>
      </c>
      <c r="FZ45" s="16">
        <v>23.000000000931323</v>
      </c>
      <c r="GA45" s="16" t="s">
        <v>20</v>
      </c>
      <c r="GB45" s="16">
        <v>4</v>
      </c>
      <c r="GC45" s="16">
        <v>3.5</v>
      </c>
      <c r="GD45" s="17"/>
      <c r="GF45" s="15" t="s">
        <v>221</v>
      </c>
      <c r="GG45" s="49" t="s">
        <v>20</v>
      </c>
      <c r="GH45" s="17">
        <v>39</v>
      </c>
      <c r="GI45" s="59">
        <v>17314</v>
      </c>
      <c r="GJ45" s="16">
        <v>11.000000000000002</v>
      </c>
      <c r="GK45" s="16">
        <v>29.000000004656613</v>
      </c>
      <c r="GL45" s="16">
        <v>500</v>
      </c>
      <c r="GM45" s="16">
        <v>5</v>
      </c>
      <c r="GN45" s="16">
        <v>4.8</v>
      </c>
      <c r="GO45" s="17"/>
      <c r="GQ45" s="15" t="s">
        <v>221</v>
      </c>
      <c r="GR45" s="49"/>
      <c r="GS45" s="17"/>
      <c r="GT45" s="59"/>
      <c r="GU45" s="16"/>
      <c r="GV45" s="16"/>
      <c r="GW45" s="16"/>
      <c r="GX45" s="16"/>
      <c r="GY45" s="16"/>
      <c r="GZ45" s="17"/>
      <c r="HB45" s="15" t="s">
        <v>221</v>
      </c>
      <c r="HC45" s="49"/>
      <c r="HD45" s="17"/>
      <c r="HE45" s="59"/>
      <c r="HF45" s="16"/>
      <c r="HG45" s="16"/>
      <c r="HH45" s="16"/>
      <c r="HI45" s="16"/>
      <c r="HJ45" s="16"/>
      <c r="HK45" s="17"/>
      <c r="HM45" s="15" t="s">
        <v>221</v>
      </c>
      <c r="HN45" s="49"/>
      <c r="HO45" s="17"/>
      <c r="HP45" s="59"/>
      <c r="HQ45" s="16"/>
      <c r="HR45" s="16"/>
      <c r="HS45" s="16"/>
      <c r="HT45" s="16"/>
      <c r="HU45" s="16"/>
      <c r="HV45" s="17"/>
      <c r="HX45" s="15" t="s">
        <v>221</v>
      </c>
      <c r="HY45" s="49"/>
      <c r="HZ45" s="17"/>
      <c r="IA45" s="59"/>
      <c r="IB45" s="16"/>
      <c r="IC45" s="16"/>
      <c r="ID45" s="16"/>
      <c r="IE45" s="16"/>
      <c r="IF45" s="16"/>
      <c r="IG45" s="17"/>
      <c r="II45" s="15" t="s">
        <v>221</v>
      </c>
      <c r="IJ45" s="49"/>
      <c r="IK45" s="17"/>
      <c r="IL45" s="59"/>
      <c r="IM45" s="16"/>
      <c r="IN45" s="16"/>
      <c r="IO45" s="16"/>
      <c r="IP45" s="16"/>
      <c r="IQ45" s="16"/>
      <c r="IR45" s="17"/>
      <c r="IT45" s="15" t="s">
        <v>221</v>
      </c>
      <c r="IU45" s="49"/>
      <c r="IV45" s="17"/>
      <c r="IW45" s="59"/>
      <c r="IX45" s="16"/>
      <c r="IY45" s="16"/>
      <c r="IZ45" s="16"/>
      <c r="JA45" s="16"/>
      <c r="JB45" s="16"/>
      <c r="JC45" s="17"/>
      <c r="JE45" s="15" t="s">
        <v>221</v>
      </c>
      <c r="JF45" s="49"/>
      <c r="JG45" s="17"/>
      <c r="JH45" s="59"/>
      <c r="JI45" s="16"/>
      <c r="JJ45" s="16"/>
      <c r="JK45" s="16"/>
      <c r="JL45" s="16"/>
      <c r="JM45" s="16"/>
      <c r="JN45" s="17"/>
      <c r="JP45" s="15" t="s">
        <v>221</v>
      </c>
      <c r="JQ45" s="49"/>
      <c r="JR45" s="17"/>
      <c r="JS45" s="59"/>
      <c r="JT45" s="16"/>
      <c r="JU45" s="16"/>
      <c r="JV45" s="16"/>
      <c r="JW45" s="16"/>
      <c r="JX45" s="16"/>
      <c r="JY45" s="17"/>
      <c r="KA45" s="15" t="s">
        <v>221</v>
      </c>
      <c r="KB45" s="49"/>
      <c r="KC45" s="17"/>
      <c r="KD45" s="59"/>
      <c r="KE45" s="16"/>
      <c r="KF45" s="16"/>
      <c r="KG45" s="16"/>
      <c r="KH45" s="16"/>
      <c r="KI45" s="16"/>
      <c r="KJ45" s="17"/>
      <c r="KL45" s="15" t="s">
        <v>221</v>
      </c>
      <c r="KM45" s="49"/>
      <c r="KN45" s="17"/>
      <c r="KO45" s="59"/>
      <c r="KP45" s="16"/>
      <c r="KQ45" s="16"/>
      <c r="KR45" s="16"/>
      <c r="KS45" s="16"/>
      <c r="KT45" s="16"/>
      <c r="KU45" s="17"/>
      <c r="KW45" s="15" t="s">
        <v>221</v>
      </c>
      <c r="KX45" s="49"/>
      <c r="KY45" s="17"/>
      <c r="KZ45" s="59"/>
      <c r="LA45" s="16"/>
      <c r="LB45" s="16"/>
      <c r="LC45" s="16"/>
      <c r="LD45" s="16"/>
      <c r="LE45" s="16"/>
      <c r="LF45" s="17"/>
      <c r="LH45" s="15" t="s">
        <v>221</v>
      </c>
      <c r="LI45" s="49"/>
      <c r="LJ45" s="17"/>
      <c r="LK45" s="59"/>
      <c r="LL45" s="16"/>
      <c r="LM45" s="16"/>
      <c r="LN45" s="16"/>
      <c r="LO45" s="16"/>
      <c r="LP45" s="16"/>
      <c r="LQ45" s="17"/>
    </row>
    <row r="46">
      <c r="A46" s="15" t="s">
        <v>222</v>
      </c>
      <c r="B46" s="49">
        <v>0</v>
      </c>
      <c r="C46" s="63">
        <v>40</v>
      </c>
      <c r="D46" s="65">
        <v>18023</v>
      </c>
      <c r="E46" s="30" t="s">
        <v>20</v>
      </c>
      <c r="F46" s="16" t="s">
        <v>20</v>
      </c>
      <c r="G46" s="21" t="s">
        <v>20</v>
      </c>
      <c r="H46" s="33" t="s">
        <v>20</v>
      </c>
      <c r="I46" s="33" t="s">
        <v>20</v>
      </c>
      <c r="J46" s="17"/>
      <c r="L46" s="15" t="s">
        <v>222</v>
      </c>
      <c r="M46" s="49">
        <v>0</v>
      </c>
      <c r="N46" s="66">
        <v>40</v>
      </c>
      <c r="O46" s="64">
        <v>18129</v>
      </c>
      <c r="P46" s="16" t="s">
        <v>20</v>
      </c>
      <c r="Q46" s="16" t="s">
        <v>20</v>
      </c>
      <c r="R46" s="16" t="s">
        <v>20</v>
      </c>
      <c r="S46" s="16" t="s">
        <v>20</v>
      </c>
      <c r="T46" s="16" t="s">
        <v>20</v>
      </c>
      <c r="U46" s="17"/>
      <c r="W46" s="15" t="s">
        <v>222</v>
      </c>
      <c r="X46" s="49">
        <v>0</v>
      </c>
      <c r="Y46" s="66">
        <v>40</v>
      </c>
      <c r="Z46" s="64">
        <v>17145</v>
      </c>
      <c r="AA46" s="16" t="s">
        <v>20</v>
      </c>
      <c r="AB46" s="16" t="s">
        <v>20</v>
      </c>
      <c r="AC46" s="16" t="s">
        <v>20</v>
      </c>
      <c r="AD46" s="16" t="s">
        <v>20</v>
      </c>
      <c r="AE46" s="16" t="s">
        <v>20</v>
      </c>
      <c r="AF46" s="17"/>
      <c r="AH46" s="15" t="s">
        <v>222</v>
      </c>
      <c r="AI46" s="49">
        <v>0</v>
      </c>
      <c r="AJ46" s="17">
        <v>40</v>
      </c>
      <c r="AK46" s="64">
        <v>16804</v>
      </c>
      <c r="AL46" s="16">
        <v>2.9999999999999947</v>
      </c>
      <c r="AM46" s="16">
        <v>14.999999995809048</v>
      </c>
      <c r="AN46" s="16" t="s">
        <v>20</v>
      </c>
      <c r="AO46" s="16">
        <v>4.5</v>
      </c>
      <c r="AP46" s="16">
        <v>4</v>
      </c>
      <c r="AQ46" s="17"/>
      <c r="AS46" s="15" t="s">
        <v>222</v>
      </c>
      <c r="AT46" s="49">
        <v>0</v>
      </c>
      <c r="AU46" s="17">
        <v>40</v>
      </c>
      <c r="AV46" s="64">
        <v>16452</v>
      </c>
      <c r="AW46" s="16" t="s">
        <v>20</v>
      </c>
      <c r="AX46" s="16" t="s">
        <v>20</v>
      </c>
      <c r="AY46" s="16"/>
      <c r="AZ46" s="16" t="s">
        <v>20</v>
      </c>
      <c r="BA46" s="16" t="s">
        <v>20</v>
      </c>
      <c r="BB46" s="17"/>
      <c r="BD46" s="15" t="s">
        <v>222</v>
      </c>
      <c r="BE46" s="49">
        <v>0</v>
      </c>
      <c r="BF46" s="17">
        <v>40</v>
      </c>
      <c r="BG46" s="64">
        <v>16956</v>
      </c>
      <c r="BH46" s="16">
        <v>2.0000000000000018</v>
      </c>
      <c r="BI46" s="16">
        <v>15.999999995809048</v>
      </c>
      <c r="BJ46" s="16" t="s">
        <v>20</v>
      </c>
      <c r="BK46" s="16">
        <v>4.5</v>
      </c>
      <c r="BL46" s="16">
        <v>2.7</v>
      </c>
      <c r="BM46" s="17"/>
      <c r="BO46" s="15" t="s">
        <v>222</v>
      </c>
      <c r="BP46" s="49">
        <v>0</v>
      </c>
      <c r="BQ46" s="17">
        <v>40</v>
      </c>
      <c r="BR46" s="64">
        <v>16709</v>
      </c>
      <c r="BS46" s="16">
        <v>4.0000000000000036</v>
      </c>
      <c r="BT46" s="16">
        <v>22.999999997206032</v>
      </c>
      <c r="BU46" s="16" t="s">
        <v>20</v>
      </c>
      <c r="BV46" s="16">
        <v>4.5</v>
      </c>
      <c r="BW46" s="16">
        <v>3.2</v>
      </c>
      <c r="BX46" s="17"/>
      <c r="BZ46" s="15" t="s">
        <v>222</v>
      </c>
      <c r="CA46" s="49">
        <v>0</v>
      </c>
      <c r="CB46" s="17">
        <v>40</v>
      </c>
      <c r="CC46" s="64">
        <v>18154</v>
      </c>
      <c r="CD46" s="16">
        <v>6.0000000000000053</v>
      </c>
      <c r="CE46" s="16">
        <v>28.000000006053597</v>
      </c>
      <c r="CF46" s="16">
        <v>250</v>
      </c>
      <c r="CG46" s="16">
        <v>5.6999999999999833</v>
      </c>
      <c r="CH46" s="16">
        <v>5.7</v>
      </c>
      <c r="CI46" s="17"/>
      <c r="CK46" s="15" t="s">
        <v>222</v>
      </c>
      <c r="CL46" s="49">
        <v>0</v>
      </c>
      <c r="CM46" s="17">
        <v>40</v>
      </c>
      <c r="CN46" s="64">
        <v>18370</v>
      </c>
      <c r="CO46" s="16">
        <v>4.0000000000000036</v>
      </c>
      <c r="CP46" s="16">
        <v>27.999999999534339</v>
      </c>
      <c r="CQ46" s="16">
        <v>1000</v>
      </c>
      <c r="CR46" s="16">
        <v>5</v>
      </c>
      <c r="CS46" s="16">
        <v>4.8</v>
      </c>
      <c r="CT46" s="17"/>
      <c r="CV46" s="15" t="s">
        <v>222</v>
      </c>
      <c r="CW46" s="49">
        <v>0</v>
      </c>
      <c r="CX46" s="17">
        <v>40</v>
      </c>
      <c r="CY46" s="59">
        <v>16660</v>
      </c>
      <c r="CZ46" s="16" t="s">
        <v>20</v>
      </c>
      <c r="DA46" s="16" t="s">
        <v>20</v>
      </c>
      <c r="DB46" s="16" t="s">
        <v>20</v>
      </c>
      <c r="DC46" s="16" t="s">
        <v>20</v>
      </c>
      <c r="DD46" s="16" t="s">
        <v>20</v>
      </c>
      <c r="DE46" s="17"/>
      <c r="DG46" s="15" t="s">
        <v>222</v>
      </c>
      <c r="DH46" s="49">
        <v>0</v>
      </c>
      <c r="DI46" s="17">
        <v>40</v>
      </c>
      <c r="DJ46" s="59">
        <v>17516</v>
      </c>
      <c r="DK46" s="16" t="s">
        <v>20</v>
      </c>
      <c r="DL46" s="16" t="s">
        <v>20</v>
      </c>
      <c r="DM46" s="16" t="s">
        <v>20</v>
      </c>
      <c r="DN46" s="16" t="s">
        <v>20</v>
      </c>
      <c r="DO46" s="16" t="s">
        <v>20</v>
      </c>
      <c r="DP46" s="17"/>
      <c r="DR46" s="15" t="s">
        <v>222</v>
      </c>
      <c r="DS46" s="49">
        <v>0</v>
      </c>
      <c r="DT46" s="17">
        <v>40</v>
      </c>
      <c r="DU46" s="59">
        <v>17272</v>
      </c>
      <c r="DV46" s="16">
        <v>11.000000000000002</v>
      </c>
      <c r="DW46" s="16">
        <v>14.000000008149073</v>
      </c>
      <c r="DX46" s="16" t="s">
        <v>20</v>
      </c>
      <c r="DY46" s="16">
        <v>4</v>
      </c>
      <c r="DZ46" s="16">
        <v>3.7</v>
      </c>
      <c r="EA46" s="17"/>
      <c r="EC46" s="15" t="s">
        <v>222</v>
      </c>
      <c r="ED46" s="49">
        <v>0</v>
      </c>
      <c r="EE46" s="17">
        <v>40</v>
      </c>
      <c r="EF46" s="59">
        <v>16086</v>
      </c>
      <c r="EG46" s="16">
        <v>9</v>
      </c>
      <c r="EH46" s="16">
        <v>9.9999999990686774</v>
      </c>
      <c r="EI46" s="16" t="s">
        <v>20</v>
      </c>
      <c r="EJ46" s="16">
        <v>5</v>
      </c>
      <c r="EK46" s="16">
        <v>4.8</v>
      </c>
      <c r="EL46" s="17"/>
      <c r="EN46" s="15" t="s">
        <v>222</v>
      </c>
      <c r="EO46" s="49">
        <v>0</v>
      </c>
      <c r="EP46" s="17">
        <v>40</v>
      </c>
      <c r="EQ46" s="59">
        <v>16938</v>
      </c>
      <c r="ER46" s="16">
        <v>0.99999999999999933</v>
      </c>
      <c r="ES46" s="16">
        <v>23.000000004889444</v>
      </c>
      <c r="ET46" s="16" t="s">
        <v>20</v>
      </c>
      <c r="EU46" s="16">
        <v>4.5</v>
      </c>
      <c r="EV46" s="16">
        <v>2.7</v>
      </c>
      <c r="EW46" s="17"/>
      <c r="EY46" s="15" t="s">
        <v>222</v>
      </c>
      <c r="EZ46" s="49">
        <v>0</v>
      </c>
      <c r="FA46" s="17">
        <v>40</v>
      </c>
      <c r="FB46" s="59">
        <v>18869</v>
      </c>
      <c r="FC46" s="16">
        <v>4.9999999999999964</v>
      </c>
      <c r="FD46" s="16">
        <v>760</v>
      </c>
      <c r="FE46" s="16" t="s">
        <v>20</v>
      </c>
      <c r="FF46" s="16">
        <v>5.5</v>
      </c>
      <c r="FG46" s="16">
        <v>5.5</v>
      </c>
      <c r="FH46" s="17"/>
      <c r="FJ46" s="15" t="s">
        <v>222</v>
      </c>
      <c r="FK46" s="49">
        <v>0</v>
      </c>
      <c r="FL46" s="17">
        <v>40</v>
      </c>
      <c r="FM46" s="59">
        <v>18683</v>
      </c>
      <c r="FN46" s="16">
        <v>6.0000000000000053</v>
      </c>
      <c r="FO46" s="16">
        <v>15.999999998370185</v>
      </c>
      <c r="FP46" s="16" t="s">
        <v>20</v>
      </c>
      <c r="FQ46" s="16">
        <v>5.1999999999999833</v>
      </c>
      <c r="FR46" s="16">
        <v>5.2</v>
      </c>
      <c r="FS46" s="17"/>
      <c r="FU46" s="15" t="s">
        <v>222</v>
      </c>
      <c r="FV46" s="49">
        <v>0</v>
      </c>
      <c r="FW46" s="17">
        <v>40</v>
      </c>
      <c r="FX46" s="59">
        <v>17957</v>
      </c>
      <c r="FY46" s="16">
        <v>4.0000000000000036</v>
      </c>
      <c r="FZ46" s="16">
        <v>20.999999997671694</v>
      </c>
      <c r="GA46" s="16" t="s">
        <v>20</v>
      </c>
      <c r="GB46" s="16">
        <v>4</v>
      </c>
      <c r="GC46" s="16">
        <v>3.6</v>
      </c>
      <c r="GD46" s="17"/>
      <c r="GF46" s="15" t="s">
        <v>222</v>
      </c>
      <c r="GG46" s="49">
        <v>0</v>
      </c>
      <c r="GH46" s="17">
        <v>40</v>
      </c>
      <c r="GI46" s="59">
        <v>16911</v>
      </c>
      <c r="GJ46" s="16">
        <v>6.0000000000000053</v>
      </c>
      <c r="GK46" s="16">
        <v>18.999999997671694</v>
      </c>
      <c r="GL46" s="16">
        <v>500</v>
      </c>
      <c r="GM46" s="16">
        <v>5</v>
      </c>
      <c r="GN46" s="16">
        <v>4.9</v>
      </c>
      <c r="GO46" s="17"/>
      <c r="GQ46" s="15" t="s">
        <v>222</v>
      </c>
      <c r="GR46" s="49"/>
      <c r="GS46" s="17"/>
      <c r="GT46" s="59"/>
      <c r="GU46" s="16"/>
      <c r="GV46" s="16"/>
      <c r="GW46" s="16"/>
      <c r="GX46" s="16"/>
      <c r="GY46" s="16"/>
      <c r="GZ46" s="17"/>
      <c r="HB46" s="15" t="s">
        <v>222</v>
      </c>
      <c r="HC46" s="49"/>
      <c r="HD46" s="17"/>
      <c r="HE46" s="59"/>
      <c r="HF46" s="16"/>
      <c r="HG46" s="16"/>
      <c r="HH46" s="16"/>
      <c r="HI46" s="16"/>
      <c r="HJ46" s="16"/>
      <c r="HK46" s="17"/>
      <c r="HM46" s="15" t="s">
        <v>222</v>
      </c>
      <c r="HN46" s="49"/>
      <c r="HO46" s="17"/>
      <c r="HP46" s="59"/>
      <c r="HQ46" s="16"/>
      <c r="HR46" s="16"/>
      <c r="HS46" s="16"/>
      <c r="HT46" s="16"/>
      <c r="HU46" s="16"/>
      <c r="HV46" s="17"/>
      <c r="HX46" s="15" t="s">
        <v>222</v>
      </c>
      <c r="HY46" s="49"/>
      <c r="HZ46" s="17"/>
      <c r="IA46" s="59"/>
      <c r="IB46" s="16"/>
      <c r="IC46" s="16"/>
      <c r="ID46" s="16"/>
      <c r="IE46" s="16"/>
      <c r="IF46" s="16"/>
      <c r="IG46" s="17"/>
      <c r="II46" s="15" t="s">
        <v>222</v>
      </c>
      <c r="IJ46" s="49"/>
      <c r="IK46" s="17"/>
      <c r="IL46" s="59"/>
      <c r="IM46" s="16"/>
      <c r="IN46" s="16"/>
      <c r="IO46" s="16"/>
      <c r="IP46" s="16"/>
      <c r="IQ46" s="16"/>
      <c r="IR46" s="17"/>
      <c r="IT46" s="15" t="s">
        <v>222</v>
      </c>
      <c r="IU46" s="49"/>
      <c r="IV46" s="17"/>
      <c r="IW46" s="59"/>
      <c r="IX46" s="16"/>
      <c r="IY46" s="16"/>
      <c r="IZ46" s="16"/>
      <c r="JA46" s="16"/>
      <c r="JB46" s="16"/>
      <c r="JC46" s="17"/>
      <c r="JE46" s="15" t="s">
        <v>222</v>
      </c>
      <c r="JF46" s="49"/>
      <c r="JG46" s="17"/>
      <c r="JH46" s="59"/>
      <c r="JI46" s="16"/>
      <c r="JJ46" s="16"/>
      <c r="JK46" s="16"/>
      <c r="JL46" s="16"/>
      <c r="JM46" s="16"/>
      <c r="JN46" s="17"/>
      <c r="JP46" s="15" t="s">
        <v>222</v>
      </c>
      <c r="JQ46" s="49"/>
      <c r="JR46" s="17"/>
      <c r="JS46" s="59"/>
      <c r="JT46" s="16"/>
      <c r="JU46" s="16"/>
      <c r="JV46" s="16"/>
      <c r="JW46" s="16"/>
      <c r="JX46" s="16"/>
      <c r="JY46" s="17"/>
      <c r="KA46" s="15" t="s">
        <v>222</v>
      </c>
      <c r="KB46" s="49"/>
      <c r="KC46" s="17"/>
      <c r="KD46" s="59"/>
      <c r="KE46" s="16"/>
      <c r="KF46" s="16"/>
      <c r="KG46" s="16"/>
      <c r="KH46" s="16"/>
      <c r="KI46" s="16"/>
      <c r="KJ46" s="17"/>
      <c r="KL46" s="15" t="s">
        <v>222</v>
      </c>
      <c r="KM46" s="49"/>
      <c r="KN46" s="17"/>
      <c r="KO46" s="59"/>
      <c r="KP46" s="16"/>
      <c r="KQ46" s="16"/>
      <c r="KR46" s="16"/>
      <c r="KS46" s="16"/>
      <c r="KT46" s="16"/>
      <c r="KU46" s="17"/>
      <c r="KW46" s="15" t="s">
        <v>222</v>
      </c>
      <c r="KX46" s="49"/>
      <c r="KY46" s="17"/>
      <c r="KZ46" s="59"/>
      <c r="LA46" s="16"/>
      <c r="LB46" s="16"/>
      <c r="LC46" s="16"/>
      <c r="LD46" s="16"/>
      <c r="LE46" s="16"/>
      <c r="LF46" s="17"/>
      <c r="LH46" s="15" t="s">
        <v>222</v>
      </c>
      <c r="LI46" s="49"/>
      <c r="LJ46" s="17"/>
      <c r="LK46" s="59"/>
      <c r="LL46" s="16"/>
      <c r="LM46" s="16"/>
      <c r="LN46" s="16"/>
      <c r="LO46" s="16"/>
      <c r="LP46" s="16"/>
      <c r="LQ46" s="17"/>
    </row>
    <row r="47">
      <c r="A47" s="15" t="s">
        <v>44</v>
      </c>
      <c r="B47" s="55" t="s">
        <v>223</v>
      </c>
      <c r="C47" s="63">
        <v>41</v>
      </c>
      <c r="D47" s="65">
        <v>18225</v>
      </c>
      <c r="E47" s="30" t="s">
        <v>20</v>
      </c>
      <c r="F47" s="16" t="s">
        <v>20</v>
      </c>
      <c r="G47" s="21" t="s">
        <v>20</v>
      </c>
      <c r="H47" s="33" t="s">
        <v>20</v>
      </c>
      <c r="I47" s="33" t="s">
        <v>20</v>
      </c>
      <c r="J47" s="17"/>
      <c r="L47" s="15" t="s">
        <v>44</v>
      </c>
      <c r="M47" s="55" t="s">
        <v>224</v>
      </c>
      <c r="N47" s="66">
        <v>41</v>
      </c>
      <c r="O47" s="64">
        <v>18372</v>
      </c>
      <c r="P47" s="16" t="s">
        <v>20</v>
      </c>
      <c r="Q47" s="16" t="s">
        <v>20</v>
      </c>
      <c r="R47" s="16" t="s">
        <v>20</v>
      </c>
      <c r="S47" s="16" t="s">
        <v>20</v>
      </c>
      <c r="T47" s="16" t="s">
        <v>20</v>
      </c>
      <c r="U47" s="17"/>
      <c r="W47" s="15" t="s">
        <v>44</v>
      </c>
      <c r="X47" s="55" t="s">
        <v>225</v>
      </c>
      <c r="Y47" s="66">
        <v>41</v>
      </c>
      <c r="Z47" s="64">
        <v>17345</v>
      </c>
      <c r="AA47" s="16" t="s">
        <v>20</v>
      </c>
      <c r="AB47" s="16" t="s">
        <v>20</v>
      </c>
      <c r="AC47" s="16" t="s">
        <v>20</v>
      </c>
      <c r="AD47" s="16" t="s">
        <v>20</v>
      </c>
      <c r="AE47" s="16" t="s">
        <v>20</v>
      </c>
      <c r="AF47" s="17"/>
      <c r="AH47" s="15" t="s">
        <v>44</v>
      </c>
      <c r="AI47" s="55" t="s">
        <v>226</v>
      </c>
      <c r="AJ47" s="17">
        <v>41</v>
      </c>
      <c r="AK47" s="64">
        <v>17006</v>
      </c>
      <c r="AL47" s="16">
        <v>2.9999999999999947</v>
      </c>
      <c r="AM47" s="16">
        <v>15.000000006286427</v>
      </c>
      <c r="AN47" s="16" t="s">
        <v>20</v>
      </c>
      <c r="AO47" s="16">
        <v>4.5</v>
      </c>
      <c r="AP47" s="16">
        <v>3.7</v>
      </c>
      <c r="AQ47" s="17"/>
      <c r="AS47" s="15" t="s">
        <v>44</v>
      </c>
      <c r="AT47" s="55" t="s">
        <v>227</v>
      </c>
      <c r="AU47" s="17">
        <v>41</v>
      </c>
      <c r="AV47" s="64">
        <v>16653</v>
      </c>
      <c r="AW47" s="16" t="s">
        <v>20</v>
      </c>
      <c r="AX47" s="16" t="s">
        <v>20</v>
      </c>
      <c r="AY47" s="16"/>
      <c r="AZ47" s="16" t="s">
        <v>20</v>
      </c>
      <c r="BA47" s="16" t="s">
        <v>20</v>
      </c>
      <c r="BB47" s="17"/>
      <c r="BD47" s="15" t="s">
        <v>44</v>
      </c>
      <c r="BE47" s="55" t="s">
        <v>228</v>
      </c>
      <c r="BF47" s="17">
        <v>41</v>
      </c>
      <c r="BG47" s="64">
        <v>17158</v>
      </c>
      <c r="BH47" s="16">
        <v>4.9999999999999964</v>
      </c>
      <c r="BI47" s="16">
        <v>15.999999995576218</v>
      </c>
      <c r="BJ47" s="16" t="s">
        <v>20</v>
      </c>
      <c r="BK47" s="16">
        <v>4.5</v>
      </c>
      <c r="BL47" s="16">
        <v>3.4</v>
      </c>
      <c r="BM47" s="17"/>
      <c r="BO47" s="15" t="s">
        <v>44</v>
      </c>
      <c r="BP47" s="55" t="s">
        <v>229</v>
      </c>
      <c r="BQ47" s="17">
        <v>41</v>
      </c>
      <c r="BR47" s="64">
        <v>16909</v>
      </c>
      <c r="BS47" s="16">
        <v>6.9999999999999991</v>
      </c>
      <c r="BT47" s="16">
        <v>14.999999998370185</v>
      </c>
      <c r="BU47" s="16" t="s">
        <v>20</v>
      </c>
      <c r="BV47" s="16">
        <v>4.5</v>
      </c>
      <c r="BW47" s="16">
        <v>2</v>
      </c>
      <c r="BX47" s="17"/>
      <c r="BZ47" s="15" t="s">
        <v>44</v>
      </c>
      <c r="CA47" s="55" t="s">
        <v>230</v>
      </c>
      <c r="CB47" s="17">
        <v>41</v>
      </c>
      <c r="CC47" s="64">
        <v>18357</v>
      </c>
      <c r="CD47" s="16">
        <v>4.9999999999999964</v>
      </c>
      <c r="CE47" s="16">
        <v>29.999999998835847</v>
      </c>
      <c r="CF47" s="16">
        <v>500</v>
      </c>
      <c r="CG47" s="16">
        <v>5.6999999999999833</v>
      </c>
      <c r="CH47" s="16">
        <v>5.7</v>
      </c>
      <c r="CI47" s="17"/>
      <c r="CK47" s="15" t="s">
        <v>44</v>
      </c>
      <c r="CL47" s="55" t="s">
        <v>231</v>
      </c>
      <c r="CM47" s="17">
        <v>41</v>
      </c>
      <c r="CN47" s="64">
        <v>18572</v>
      </c>
      <c r="CO47" s="16">
        <v>4.0000000000000036</v>
      </c>
      <c r="CP47" s="16">
        <v>24.000000007450581</v>
      </c>
      <c r="CQ47" s="16">
        <v>1000</v>
      </c>
      <c r="CR47" s="16">
        <v>5</v>
      </c>
      <c r="CS47" s="16">
        <v>4.8</v>
      </c>
      <c r="CT47" s="17"/>
      <c r="CV47" s="15" t="s">
        <v>44</v>
      </c>
      <c r="CW47" s="55" t="s">
        <v>232</v>
      </c>
      <c r="CX47" s="17">
        <v>41</v>
      </c>
      <c r="CY47" s="59">
        <v>16860</v>
      </c>
      <c r="CZ47" s="16" t="s">
        <v>20</v>
      </c>
      <c r="DA47" s="16" t="s">
        <v>20</v>
      </c>
      <c r="DB47" s="16" t="s">
        <v>20</v>
      </c>
      <c r="DC47" s="16" t="s">
        <v>20</v>
      </c>
      <c r="DD47" s="16" t="s">
        <v>20</v>
      </c>
      <c r="DE47" s="17"/>
      <c r="DG47" s="15" t="s">
        <v>44</v>
      </c>
      <c r="DH47" s="55" t="s">
        <v>233</v>
      </c>
      <c r="DI47" s="17">
        <v>41</v>
      </c>
      <c r="DJ47" s="59">
        <v>17718</v>
      </c>
      <c r="DK47" s="16" t="s">
        <v>20</v>
      </c>
      <c r="DL47" s="16" t="s">
        <v>20</v>
      </c>
      <c r="DM47" s="16" t="s">
        <v>20</v>
      </c>
      <c r="DN47" s="16" t="s">
        <v>20</v>
      </c>
      <c r="DO47" s="16" t="s">
        <v>20</v>
      </c>
      <c r="DP47" s="17"/>
      <c r="DR47" s="15" t="s">
        <v>44</v>
      </c>
      <c r="DS47" s="55" t="s">
        <v>234</v>
      </c>
      <c r="DT47" s="17">
        <v>41</v>
      </c>
      <c r="DU47" s="59">
        <v>17475</v>
      </c>
      <c r="DV47" s="16">
        <v>6.9999999999999991</v>
      </c>
      <c r="DW47" s="16">
        <v>5.9999999899882823</v>
      </c>
      <c r="DX47" s="16" t="s">
        <v>20</v>
      </c>
      <c r="DY47" s="16">
        <v>4</v>
      </c>
      <c r="DZ47" s="16">
        <v>3.6</v>
      </c>
      <c r="EA47" s="17"/>
      <c r="EC47" s="15" t="s">
        <v>44</v>
      </c>
      <c r="ED47" s="55" t="s">
        <v>235</v>
      </c>
      <c r="EE47" s="17">
        <v>41</v>
      </c>
      <c r="EF47" s="59">
        <v>16289</v>
      </c>
      <c r="EG47" s="16">
        <v>4.0000000000000036</v>
      </c>
      <c r="EH47" s="16">
        <v>11.000000006984919</v>
      </c>
      <c r="EI47" s="16" t="s">
        <v>20</v>
      </c>
      <c r="EJ47" s="16">
        <v>5</v>
      </c>
      <c r="EK47" s="16">
        <v>4.8</v>
      </c>
      <c r="EL47" s="17"/>
      <c r="EN47" s="15" t="s">
        <v>44</v>
      </c>
      <c r="EO47" s="55" t="s">
        <v>236</v>
      </c>
      <c r="EP47" s="17">
        <v>41</v>
      </c>
      <c r="EQ47" s="59">
        <v>17140</v>
      </c>
      <c r="ER47" s="16">
        <v>0.99999999999999933</v>
      </c>
      <c r="ES47" s="16">
        <v>26.9999999969732</v>
      </c>
      <c r="ET47" s="16" t="s">
        <v>20</v>
      </c>
      <c r="EU47" s="16">
        <v>4.5</v>
      </c>
      <c r="EV47" s="16">
        <v>2.7</v>
      </c>
      <c r="EW47" s="17"/>
      <c r="EY47" s="15" t="s">
        <v>44</v>
      </c>
      <c r="EZ47" s="55" t="s">
        <v>237</v>
      </c>
      <c r="FA47" s="17">
        <v>41</v>
      </c>
      <c r="FB47" s="59">
        <v>19070</v>
      </c>
      <c r="FC47" s="16">
        <v>6.0000000000000053</v>
      </c>
      <c r="FD47" s="16">
        <v>9.99999999976717</v>
      </c>
      <c r="FE47" s="16" t="s">
        <v>20</v>
      </c>
      <c r="FF47" s="16">
        <v>5.5</v>
      </c>
      <c r="FG47" s="16">
        <v>5.5</v>
      </c>
      <c r="FH47" s="17"/>
      <c r="FJ47" s="15" t="s">
        <v>44</v>
      </c>
      <c r="FK47" s="55" t="s">
        <v>238</v>
      </c>
      <c r="FL47" s="17">
        <v>41</v>
      </c>
      <c r="FM47" s="59">
        <v>18882</v>
      </c>
      <c r="FN47" s="16">
        <v>6.0000000000000053</v>
      </c>
      <c r="FO47" s="16">
        <v>21.000000004190952</v>
      </c>
      <c r="FP47" s="16" t="s">
        <v>20</v>
      </c>
      <c r="FQ47" s="16">
        <v>5.1999999999999833</v>
      </c>
      <c r="FR47" s="16">
        <v>5.2</v>
      </c>
      <c r="FS47" s="17"/>
      <c r="FU47" s="15" t="s">
        <v>44</v>
      </c>
      <c r="FV47" s="55" t="s">
        <v>239</v>
      </c>
      <c r="FW47" s="17">
        <v>41</v>
      </c>
      <c r="FX47" s="59">
        <v>18198</v>
      </c>
      <c r="FY47" s="16" t="s">
        <v>20</v>
      </c>
      <c r="FZ47" s="16" t="s">
        <v>20</v>
      </c>
      <c r="GA47" s="16" t="s">
        <v>20</v>
      </c>
      <c r="GB47" s="16" t="s">
        <v>20</v>
      </c>
      <c r="GC47" s="16" t="s">
        <v>20</v>
      </c>
      <c r="GD47" s="17"/>
      <c r="GF47" s="15" t="s">
        <v>44</v>
      </c>
      <c r="GG47" s="55" t="s">
        <v>240</v>
      </c>
      <c r="GH47" s="17">
        <v>41</v>
      </c>
      <c r="GI47" s="59">
        <v>17112</v>
      </c>
      <c r="GJ47" s="16">
        <v>6.9999999999999991</v>
      </c>
      <c r="GK47" s="16">
        <v>14.999999998370185</v>
      </c>
      <c r="GL47" s="16">
        <v>500</v>
      </c>
      <c r="GM47" s="16">
        <v>5</v>
      </c>
      <c r="GN47" s="16">
        <v>4.9</v>
      </c>
      <c r="GO47" s="17"/>
      <c r="GQ47" s="15" t="s">
        <v>44</v>
      </c>
      <c r="GR47" s="55"/>
      <c r="GS47" s="17"/>
      <c r="GT47" s="59"/>
      <c r="GU47" s="16"/>
      <c r="GV47" s="16"/>
      <c r="GW47" s="16"/>
      <c r="GX47" s="16"/>
      <c r="GY47" s="16"/>
      <c r="GZ47" s="17"/>
      <c r="HB47" s="15" t="s">
        <v>44</v>
      </c>
      <c r="HC47" s="55"/>
      <c r="HD47" s="17"/>
      <c r="HE47" s="59"/>
      <c r="HF47" s="16"/>
      <c r="HG47" s="16"/>
      <c r="HH47" s="16"/>
      <c r="HI47" s="16"/>
      <c r="HJ47" s="16"/>
      <c r="HK47" s="17"/>
      <c r="HM47" s="15" t="s">
        <v>44</v>
      </c>
      <c r="HN47" s="55"/>
      <c r="HO47" s="17"/>
      <c r="HP47" s="59"/>
      <c r="HQ47" s="16"/>
      <c r="HR47" s="16"/>
      <c r="HS47" s="16"/>
      <c r="HT47" s="16"/>
      <c r="HU47" s="16"/>
      <c r="HV47" s="17"/>
      <c r="HX47" s="15" t="s">
        <v>44</v>
      </c>
      <c r="HY47" s="55"/>
      <c r="HZ47" s="17"/>
      <c r="IA47" s="59"/>
      <c r="IB47" s="16"/>
      <c r="IC47" s="16"/>
      <c r="ID47" s="16"/>
      <c r="IE47" s="16"/>
      <c r="IF47" s="16"/>
      <c r="IG47" s="17"/>
      <c r="II47" s="15" t="s">
        <v>44</v>
      </c>
      <c r="IJ47" s="55"/>
      <c r="IK47" s="17"/>
      <c r="IL47" s="59"/>
      <c r="IM47" s="16"/>
      <c r="IN47" s="16"/>
      <c r="IO47" s="16"/>
      <c r="IP47" s="16"/>
      <c r="IQ47" s="16"/>
      <c r="IR47" s="17"/>
      <c r="IT47" s="15" t="s">
        <v>44</v>
      </c>
      <c r="IU47" s="55"/>
      <c r="IV47" s="17"/>
      <c r="IW47" s="59"/>
      <c r="IX47" s="16"/>
      <c r="IY47" s="16"/>
      <c r="IZ47" s="16"/>
      <c r="JA47" s="16"/>
      <c r="JB47" s="16"/>
      <c r="JC47" s="17"/>
      <c r="JE47" s="15" t="s">
        <v>44</v>
      </c>
      <c r="JF47" s="55"/>
      <c r="JG47" s="17"/>
      <c r="JH47" s="59"/>
      <c r="JI47" s="16"/>
      <c r="JJ47" s="16"/>
      <c r="JK47" s="16"/>
      <c r="JL47" s="16"/>
      <c r="JM47" s="16"/>
      <c r="JN47" s="17"/>
      <c r="JP47" s="15" t="s">
        <v>44</v>
      </c>
      <c r="JQ47" s="55"/>
      <c r="JR47" s="17"/>
      <c r="JS47" s="59"/>
      <c r="JT47" s="16"/>
      <c r="JU47" s="16"/>
      <c r="JV47" s="16"/>
      <c r="JW47" s="16"/>
      <c r="JX47" s="16"/>
      <c r="JY47" s="17"/>
      <c r="KA47" s="15" t="s">
        <v>44</v>
      </c>
      <c r="KB47" s="55"/>
      <c r="KC47" s="17"/>
      <c r="KD47" s="59"/>
      <c r="KE47" s="16"/>
      <c r="KF47" s="16"/>
      <c r="KG47" s="16"/>
      <c r="KH47" s="16"/>
      <c r="KI47" s="16"/>
      <c r="KJ47" s="17"/>
      <c r="KL47" s="15" t="s">
        <v>44</v>
      </c>
      <c r="KM47" s="55"/>
      <c r="KN47" s="17"/>
      <c r="KO47" s="59"/>
      <c r="KP47" s="16"/>
      <c r="KQ47" s="16"/>
      <c r="KR47" s="16"/>
      <c r="KS47" s="16"/>
      <c r="KT47" s="16"/>
      <c r="KU47" s="17"/>
      <c r="KW47" s="15" t="s">
        <v>44</v>
      </c>
      <c r="KX47" s="55"/>
      <c r="KY47" s="17"/>
      <c r="KZ47" s="59"/>
      <c r="LA47" s="16"/>
      <c r="LB47" s="16"/>
      <c r="LC47" s="16"/>
      <c r="LD47" s="16"/>
      <c r="LE47" s="16"/>
      <c r="LF47" s="17"/>
      <c r="LH47" s="15" t="s">
        <v>44</v>
      </c>
      <c r="LI47" s="55"/>
      <c r="LJ47" s="17"/>
      <c r="LK47" s="59"/>
      <c r="LL47" s="16"/>
      <c r="LM47" s="16"/>
      <c r="LN47" s="16"/>
      <c r="LO47" s="16"/>
      <c r="LP47" s="16"/>
      <c r="LQ47" s="17"/>
    </row>
    <row r="48">
      <c r="A48" s="15" t="s">
        <v>241</v>
      </c>
      <c r="B48" s="54">
        <v>32</v>
      </c>
      <c r="C48" s="63">
        <v>42</v>
      </c>
      <c r="D48" s="65">
        <v>18427</v>
      </c>
      <c r="E48" s="30" t="s">
        <v>20</v>
      </c>
      <c r="F48" s="16" t="s">
        <v>20</v>
      </c>
      <c r="G48" s="21" t="s">
        <v>20</v>
      </c>
      <c r="H48" s="33" t="s">
        <v>20</v>
      </c>
      <c r="I48" s="33" t="s">
        <v>20</v>
      </c>
      <c r="J48" s="17"/>
      <c r="L48" s="15" t="s">
        <v>241</v>
      </c>
      <c r="M48" s="54">
        <v>26</v>
      </c>
      <c r="N48" s="66"/>
      <c r="O48" s="64"/>
      <c r="P48" s="16"/>
      <c r="Q48" s="16"/>
      <c r="R48" s="16"/>
      <c r="S48" s="16"/>
      <c r="T48" s="16"/>
      <c r="U48" s="17"/>
      <c r="W48" s="15" t="s">
        <v>241</v>
      </c>
      <c r="X48" s="54">
        <v>25</v>
      </c>
      <c r="Y48" s="66">
        <v>42</v>
      </c>
      <c r="Z48" s="64">
        <v>17546</v>
      </c>
      <c r="AA48" s="16" t="s">
        <v>20</v>
      </c>
      <c r="AB48" s="16" t="s">
        <v>20</v>
      </c>
      <c r="AC48" s="16" t="s">
        <v>20</v>
      </c>
      <c r="AD48" s="16" t="s">
        <v>20</v>
      </c>
      <c r="AE48" s="16" t="s">
        <v>20</v>
      </c>
      <c r="AF48" s="17"/>
      <c r="AH48" s="15" t="s">
        <v>241</v>
      </c>
      <c r="AI48" s="54">
        <v>25</v>
      </c>
      <c r="AJ48" s="17">
        <v>42</v>
      </c>
      <c r="AK48" s="64">
        <v>17207</v>
      </c>
      <c r="AL48" s="16">
        <v>4.9999999999999964</v>
      </c>
      <c r="AM48" s="16">
        <v>12.000000003026798</v>
      </c>
      <c r="AN48" s="16" t="s">
        <v>20</v>
      </c>
      <c r="AO48" s="16">
        <v>4.5</v>
      </c>
      <c r="AP48" s="16">
        <v>3.9</v>
      </c>
      <c r="AQ48" s="17"/>
      <c r="AS48" s="15" t="s">
        <v>241</v>
      </c>
      <c r="AT48" s="54">
        <v>28</v>
      </c>
      <c r="AU48" s="17">
        <v>42</v>
      </c>
      <c r="AV48" s="64">
        <v>16854</v>
      </c>
      <c r="AW48" s="16" t="s">
        <v>20</v>
      </c>
      <c r="AX48" s="16" t="s">
        <v>20</v>
      </c>
      <c r="AY48" s="16"/>
      <c r="AZ48" s="16" t="s">
        <v>20</v>
      </c>
      <c r="BA48" s="16" t="s">
        <v>20</v>
      </c>
      <c r="BB48" s="17"/>
      <c r="BD48" s="15" t="s">
        <v>241</v>
      </c>
      <c r="BE48" s="54">
        <v>34</v>
      </c>
      <c r="BF48" s="17">
        <v>42</v>
      </c>
      <c r="BG48" s="64">
        <v>17359</v>
      </c>
      <c r="BH48" s="16">
        <v>2.0000000000000018</v>
      </c>
      <c r="BI48" s="16">
        <v>16.000000006286427</v>
      </c>
      <c r="BJ48" s="16" t="s">
        <v>20</v>
      </c>
      <c r="BK48" s="16">
        <v>4.5</v>
      </c>
      <c r="BL48" s="16">
        <v>3.4</v>
      </c>
      <c r="BM48" s="17"/>
      <c r="BO48" s="15" t="s">
        <v>241</v>
      </c>
      <c r="BP48" s="54">
        <v>32</v>
      </c>
      <c r="BQ48" s="17">
        <v>42</v>
      </c>
      <c r="BR48" s="64">
        <v>17110</v>
      </c>
      <c r="BS48" s="16">
        <v>8.0000000000000071</v>
      </c>
      <c r="BT48" s="16">
        <v>12.000000002328306</v>
      </c>
      <c r="BU48" s="16" t="s">
        <v>20</v>
      </c>
      <c r="BV48" s="16">
        <v>4.5</v>
      </c>
      <c r="BW48" s="16">
        <v>3.2</v>
      </c>
      <c r="BX48" s="17"/>
      <c r="BZ48" s="15" t="s">
        <v>241</v>
      </c>
      <c r="CA48" s="54">
        <v>24</v>
      </c>
      <c r="CB48" s="17">
        <v>42</v>
      </c>
      <c r="CC48" s="64">
        <v>18560</v>
      </c>
      <c r="CD48" s="16">
        <v>4.9999999999999964</v>
      </c>
      <c r="CE48" s="16">
        <v>24.000000000232831</v>
      </c>
      <c r="CF48" s="16">
        <v>250</v>
      </c>
      <c r="CG48" s="16">
        <v>5.6999999999999833</v>
      </c>
      <c r="CH48" s="16">
        <v>5.7</v>
      </c>
      <c r="CI48" s="17"/>
      <c r="CK48" s="15" t="s">
        <v>241</v>
      </c>
      <c r="CL48" s="54">
        <v>31</v>
      </c>
      <c r="CM48" s="17">
        <v>42</v>
      </c>
      <c r="CN48" s="64">
        <v>18774</v>
      </c>
      <c r="CO48" s="16">
        <v>6.0000000000000053</v>
      </c>
      <c r="CP48" s="16">
        <v>27.000000002793968</v>
      </c>
      <c r="CQ48" s="16">
        <v>1000</v>
      </c>
      <c r="CR48" s="16">
        <v>5</v>
      </c>
      <c r="CS48" s="16">
        <v>4.8</v>
      </c>
      <c r="CT48" s="17"/>
      <c r="CV48" s="15" t="s">
        <v>241</v>
      </c>
      <c r="CW48" s="54">
        <v>30</v>
      </c>
      <c r="CX48" s="17">
        <v>42</v>
      </c>
      <c r="CY48" s="59">
        <v>17060</v>
      </c>
      <c r="CZ48" s="16" t="s">
        <v>20</v>
      </c>
      <c r="DA48" s="16" t="s">
        <v>20</v>
      </c>
      <c r="DB48" s="16" t="s">
        <v>20</v>
      </c>
      <c r="DC48" s="16" t="s">
        <v>20</v>
      </c>
      <c r="DD48" s="16" t="s">
        <v>20</v>
      </c>
      <c r="DE48" s="17"/>
      <c r="DG48" s="15" t="s">
        <v>241</v>
      </c>
      <c r="DH48" s="54">
        <v>27</v>
      </c>
      <c r="DI48" s="17">
        <v>42</v>
      </c>
      <c r="DJ48" s="59">
        <v>17919</v>
      </c>
      <c r="DK48" s="16" t="s">
        <v>20</v>
      </c>
      <c r="DL48" s="16" t="s">
        <v>20</v>
      </c>
      <c r="DM48" s="16" t="s">
        <v>20</v>
      </c>
      <c r="DN48" s="16" t="s">
        <v>20</v>
      </c>
      <c r="DO48" s="16" t="s">
        <v>20</v>
      </c>
      <c r="DP48" s="17"/>
      <c r="DR48" s="15" t="s">
        <v>241</v>
      </c>
      <c r="DS48" s="54">
        <v>27</v>
      </c>
      <c r="DT48" s="17">
        <v>42</v>
      </c>
      <c r="DU48" s="59">
        <v>17678</v>
      </c>
      <c r="DV48" s="16">
        <v>8.0000000000000071</v>
      </c>
      <c r="DW48" s="16">
        <v>13.000000005587935</v>
      </c>
      <c r="DX48" s="16" t="s">
        <v>20</v>
      </c>
      <c r="DY48" s="16">
        <v>4</v>
      </c>
      <c r="DZ48" s="16">
        <v>3.6</v>
      </c>
      <c r="EA48" s="17"/>
      <c r="EC48" s="15" t="s">
        <v>241</v>
      </c>
      <c r="ED48" s="55">
        <v>28</v>
      </c>
      <c r="EE48" s="17">
        <v>42</v>
      </c>
      <c r="EF48" s="59">
        <v>16491</v>
      </c>
      <c r="EG48" s="16">
        <v>15.000000000000048</v>
      </c>
      <c r="EH48" s="16">
        <v>8.0000000016298145</v>
      </c>
      <c r="EI48" s="16" t="s">
        <v>20</v>
      </c>
      <c r="EJ48" s="16">
        <v>5</v>
      </c>
      <c r="EK48" s="16">
        <v>5.2</v>
      </c>
      <c r="EL48" s="17"/>
      <c r="EN48" s="15" t="s">
        <v>241</v>
      </c>
      <c r="EO48" s="54">
        <v>24</v>
      </c>
      <c r="EP48" s="17">
        <v>42</v>
      </c>
      <c r="EQ48" s="59">
        <v>17342</v>
      </c>
      <c r="ER48" s="16">
        <v>0.99999999999999933</v>
      </c>
      <c r="ES48" s="16">
        <v>16.0000000030268</v>
      </c>
      <c r="ET48" s="16" t="s">
        <v>20</v>
      </c>
      <c r="EU48" s="16">
        <v>4.5</v>
      </c>
      <c r="EV48" s="16">
        <v>2.7</v>
      </c>
      <c r="EW48" s="17"/>
      <c r="EY48" s="15" t="s">
        <v>241</v>
      </c>
      <c r="EZ48" s="54">
        <v>24</v>
      </c>
      <c r="FA48" s="17">
        <v>42</v>
      </c>
      <c r="FB48" s="59">
        <v>19270</v>
      </c>
      <c r="FC48" s="16">
        <v>6.9999999999999991</v>
      </c>
      <c r="FD48" s="16">
        <v>14.999999998370185</v>
      </c>
      <c r="FE48" s="16" t="s">
        <v>20</v>
      </c>
      <c r="FF48" s="16">
        <v>5.5</v>
      </c>
      <c r="FG48" s="16">
        <v>5.5</v>
      </c>
      <c r="FH48" s="17"/>
      <c r="FJ48" s="15" t="s">
        <v>241</v>
      </c>
      <c r="FK48" s="54">
        <v>24</v>
      </c>
      <c r="FL48" s="17">
        <v>42</v>
      </c>
      <c r="FM48" s="59">
        <v>19080</v>
      </c>
      <c r="FN48" s="16">
        <v>4.9999999999999964</v>
      </c>
      <c r="FO48" s="16">
        <v>18.999999994412065</v>
      </c>
      <c r="FP48" s="16" t="s">
        <v>20</v>
      </c>
      <c r="FQ48" s="16">
        <v>5.1999999999999833</v>
      </c>
      <c r="FR48" s="16">
        <v>5.2</v>
      </c>
      <c r="FS48" s="17"/>
      <c r="FU48" s="15" t="s">
        <v>241</v>
      </c>
      <c r="FV48" s="54">
        <v>28</v>
      </c>
      <c r="FW48" s="17">
        <v>42</v>
      </c>
      <c r="FX48" s="59">
        <v>18439</v>
      </c>
      <c r="FY48" s="16" t="s">
        <v>20</v>
      </c>
      <c r="FZ48" s="16" t="s">
        <v>20</v>
      </c>
      <c r="GA48" s="16" t="s">
        <v>20</v>
      </c>
      <c r="GB48" s="16" t="s">
        <v>20</v>
      </c>
      <c r="GC48" s="16" t="s">
        <v>20</v>
      </c>
      <c r="GD48" s="17"/>
      <c r="GF48" s="15" t="s">
        <v>241</v>
      </c>
      <c r="GG48" s="54">
        <v>21</v>
      </c>
      <c r="GH48" s="17">
        <v>42</v>
      </c>
      <c r="GI48" s="59">
        <v>17516</v>
      </c>
      <c r="GJ48" s="16">
        <v>9</v>
      </c>
      <c r="GK48" s="16">
        <v>23.999999992316589</v>
      </c>
      <c r="GL48" s="16">
        <v>500</v>
      </c>
      <c r="GM48" s="16">
        <v>5</v>
      </c>
      <c r="GN48" s="16">
        <v>4.8</v>
      </c>
      <c r="GO48" s="17"/>
      <c r="GQ48" s="15" t="s">
        <v>241</v>
      </c>
      <c r="GR48" s="54"/>
      <c r="GS48" s="17"/>
      <c r="GT48" s="59"/>
      <c r="GU48" s="16"/>
      <c r="GV48" s="16"/>
      <c r="GW48" s="16"/>
      <c r="GX48" s="16"/>
      <c r="GY48" s="16"/>
      <c r="GZ48" s="17"/>
      <c r="HB48" s="15" t="s">
        <v>241</v>
      </c>
      <c r="HC48" s="54"/>
      <c r="HD48" s="17"/>
      <c r="HE48" s="59"/>
      <c r="HF48" s="16"/>
      <c r="HG48" s="16"/>
      <c r="HH48" s="16"/>
      <c r="HI48" s="16"/>
      <c r="HJ48" s="16"/>
      <c r="HK48" s="17"/>
      <c r="HM48" s="15" t="s">
        <v>241</v>
      </c>
      <c r="HN48" s="54"/>
      <c r="HO48" s="17"/>
      <c r="HP48" s="59"/>
      <c r="HQ48" s="16"/>
      <c r="HR48" s="16"/>
      <c r="HS48" s="16"/>
      <c r="HT48" s="16"/>
      <c r="HU48" s="16"/>
      <c r="HV48" s="17"/>
      <c r="HX48" s="15" t="s">
        <v>241</v>
      </c>
      <c r="HY48" s="54"/>
      <c r="HZ48" s="17"/>
      <c r="IA48" s="59"/>
      <c r="IB48" s="16"/>
      <c r="IC48" s="16"/>
      <c r="ID48" s="16"/>
      <c r="IE48" s="16"/>
      <c r="IF48" s="16"/>
      <c r="IG48" s="17"/>
      <c r="II48" s="15" t="s">
        <v>241</v>
      </c>
      <c r="IJ48" s="54"/>
      <c r="IK48" s="17"/>
      <c r="IL48" s="59"/>
      <c r="IM48" s="16"/>
      <c r="IN48" s="16"/>
      <c r="IO48" s="16"/>
      <c r="IP48" s="16"/>
      <c r="IQ48" s="16"/>
      <c r="IR48" s="17"/>
      <c r="IT48" s="15" t="s">
        <v>241</v>
      </c>
      <c r="IU48" s="54"/>
      <c r="IV48" s="17"/>
      <c r="IW48" s="59"/>
      <c r="IX48" s="16"/>
      <c r="IY48" s="16"/>
      <c r="IZ48" s="16"/>
      <c r="JA48" s="16"/>
      <c r="JB48" s="16"/>
      <c r="JC48" s="17"/>
      <c r="JE48" s="15" t="s">
        <v>241</v>
      </c>
      <c r="JF48" s="54"/>
      <c r="JG48" s="17"/>
      <c r="JH48" s="59"/>
      <c r="JI48" s="16"/>
      <c r="JJ48" s="16"/>
      <c r="JK48" s="16"/>
      <c r="JL48" s="16"/>
      <c r="JM48" s="16"/>
      <c r="JN48" s="17"/>
      <c r="JP48" s="15" t="s">
        <v>241</v>
      </c>
      <c r="JQ48" s="54"/>
      <c r="JR48" s="17"/>
      <c r="JS48" s="59"/>
      <c r="JT48" s="16"/>
      <c r="JU48" s="16"/>
      <c r="JV48" s="16"/>
      <c r="JW48" s="16"/>
      <c r="JX48" s="16"/>
      <c r="JY48" s="17"/>
      <c r="KA48" s="15" t="s">
        <v>241</v>
      </c>
      <c r="KB48" s="54"/>
      <c r="KC48" s="17"/>
      <c r="KD48" s="59"/>
      <c r="KE48" s="16"/>
      <c r="KF48" s="16"/>
      <c r="KG48" s="16"/>
      <c r="KH48" s="16"/>
      <c r="KI48" s="16"/>
      <c r="KJ48" s="17"/>
      <c r="KL48" s="15" t="s">
        <v>241</v>
      </c>
      <c r="KM48" s="54"/>
      <c r="KN48" s="17"/>
      <c r="KO48" s="59"/>
      <c r="KP48" s="16"/>
      <c r="KQ48" s="16"/>
      <c r="KR48" s="16"/>
      <c r="KS48" s="16"/>
      <c r="KT48" s="16"/>
      <c r="KU48" s="17"/>
      <c r="KW48" s="15" t="s">
        <v>241</v>
      </c>
      <c r="KX48" s="54"/>
      <c r="KY48" s="17"/>
      <c r="KZ48" s="59"/>
      <c r="LA48" s="16"/>
      <c r="LB48" s="16"/>
      <c r="LC48" s="16"/>
      <c r="LD48" s="16"/>
      <c r="LE48" s="16"/>
      <c r="LF48" s="17"/>
      <c r="LH48" s="15" t="s">
        <v>241</v>
      </c>
      <c r="LI48" s="54"/>
      <c r="LJ48" s="17"/>
      <c r="LK48" s="59"/>
      <c r="LL48" s="16"/>
      <c r="LM48" s="16"/>
      <c r="LN48" s="16"/>
      <c r="LO48" s="16"/>
      <c r="LP48" s="16"/>
      <c r="LQ48" s="17"/>
    </row>
    <row r="49">
      <c r="A49" s="15" t="s">
        <v>242</v>
      </c>
      <c r="B49" s="54">
        <v>0</v>
      </c>
      <c r="C49" s="63">
        <v>43</v>
      </c>
      <c r="D49" s="65">
        <v>18629</v>
      </c>
      <c r="E49" s="30" t="s">
        <v>20</v>
      </c>
      <c r="F49" s="16" t="s">
        <v>20</v>
      </c>
      <c r="G49" s="21" t="s">
        <v>20</v>
      </c>
      <c r="H49" s="33" t="s">
        <v>20</v>
      </c>
      <c r="I49" s="33" t="s">
        <v>20</v>
      </c>
      <c r="J49" s="17"/>
      <c r="L49" s="15" t="s">
        <v>242</v>
      </c>
      <c r="M49" s="54">
        <v>0</v>
      </c>
      <c r="N49" s="66"/>
      <c r="O49" s="64"/>
      <c r="P49" s="16"/>
      <c r="Q49" s="16"/>
      <c r="R49" s="16"/>
      <c r="S49" s="16"/>
      <c r="T49" s="16"/>
      <c r="U49" s="17"/>
      <c r="W49" s="15" t="s">
        <v>242</v>
      </c>
      <c r="X49" s="54">
        <v>0</v>
      </c>
      <c r="Y49" s="66">
        <v>43</v>
      </c>
      <c r="Z49" s="64">
        <v>17747</v>
      </c>
      <c r="AA49" s="16" t="s">
        <v>20</v>
      </c>
      <c r="AB49" s="16" t="s">
        <v>20</v>
      </c>
      <c r="AC49" s="16" t="s">
        <v>20</v>
      </c>
      <c r="AD49" s="16" t="s">
        <v>20</v>
      </c>
      <c r="AE49" s="16" t="s">
        <v>20</v>
      </c>
      <c r="AF49" s="17"/>
      <c r="AH49" s="15" t="s">
        <v>242</v>
      </c>
      <c r="AI49" s="54">
        <v>0</v>
      </c>
      <c r="AJ49" s="17">
        <v>43</v>
      </c>
      <c r="AK49" s="64">
        <v>17409</v>
      </c>
      <c r="AL49" s="16">
        <v>4.9999999999999964</v>
      </c>
      <c r="AM49" s="16">
        <v>11.999999992549419</v>
      </c>
      <c r="AN49" s="16" t="s">
        <v>20</v>
      </c>
      <c r="AO49" s="16">
        <v>4.5</v>
      </c>
      <c r="AP49" s="16">
        <v>3.8</v>
      </c>
      <c r="AQ49" s="17"/>
      <c r="AS49" s="15" t="s">
        <v>242</v>
      </c>
      <c r="AT49" s="54">
        <v>0</v>
      </c>
      <c r="AU49" s="17">
        <v>43</v>
      </c>
      <c r="AV49" s="64">
        <v>17055</v>
      </c>
      <c r="AW49" s="16" t="s">
        <v>20</v>
      </c>
      <c r="AX49" s="16" t="s">
        <v>20</v>
      </c>
      <c r="AY49" s="16"/>
      <c r="AZ49" s="16" t="s">
        <v>20</v>
      </c>
      <c r="BA49" s="16" t="s">
        <v>20</v>
      </c>
      <c r="BB49" s="17"/>
      <c r="BD49" s="15" t="s">
        <v>242</v>
      </c>
      <c r="BE49" s="54">
        <v>0</v>
      </c>
      <c r="BF49" s="17">
        <v>43</v>
      </c>
      <c r="BG49" s="64">
        <v>17561</v>
      </c>
      <c r="BH49" s="16">
        <v>4.0000000000000036</v>
      </c>
      <c r="BI49" s="16">
        <v>14.999999999068677</v>
      </c>
      <c r="BJ49" s="16" t="s">
        <v>20</v>
      </c>
      <c r="BK49" s="16">
        <v>4.5</v>
      </c>
      <c r="BL49" s="16">
        <v>3.8</v>
      </c>
      <c r="BM49" s="17"/>
      <c r="BO49" s="15" t="s">
        <v>242</v>
      </c>
      <c r="BP49" s="54">
        <v>0</v>
      </c>
      <c r="BQ49" s="17">
        <v>43</v>
      </c>
      <c r="BR49" s="64">
        <v>17310</v>
      </c>
      <c r="BS49" s="16">
        <v>4.0000000000000036</v>
      </c>
      <c r="BT49" s="16">
        <v>23.9999999969732</v>
      </c>
      <c r="BU49" s="16" t="s">
        <v>20</v>
      </c>
      <c r="BV49" s="16">
        <v>4.5</v>
      </c>
      <c r="BW49" s="16">
        <v>2.5</v>
      </c>
      <c r="BX49" s="17"/>
      <c r="BZ49" s="15" t="s">
        <v>242</v>
      </c>
      <c r="CA49" s="54">
        <v>0</v>
      </c>
      <c r="CB49" s="17">
        <v>43</v>
      </c>
      <c r="CC49" s="64">
        <v>18763</v>
      </c>
      <c r="CD49" s="16">
        <v>4.9999999999999964</v>
      </c>
      <c r="CE49" s="16">
        <v>47.000000001862645</v>
      </c>
      <c r="CF49" s="16">
        <v>2000</v>
      </c>
      <c r="CG49" s="16">
        <v>5.6999999999999833</v>
      </c>
      <c r="CH49" s="16">
        <v>5.7</v>
      </c>
      <c r="CI49" s="17"/>
      <c r="CK49" s="15" t="s">
        <v>242</v>
      </c>
      <c r="CL49" s="54">
        <v>0</v>
      </c>
      <c r="CM49" s="17">
        <v>43</v>
      </c>
      <c r="CN49" s="64">
        <v>18976</v>
      </c>
      <c r="CO49" s="16">
        <v>4.0000000000000036</v>
      </c>
      <c r="CP49" s="16">
        <v>34.999999990919605</v>
      </c>
      <c r="CQ49" s="16">
        <v>1000</v>
      </c>
      <c r="CR49" s="16">
        <v>5</v>
      </c>
      <c r="CS49" s="16">
        <v>4.8</v>
      </c>
      <c r="CT49" s="17"/>
      <c r="CV49" s="15" t="s">
        <v>242</v>
      </c>
      <c r="CW49" s="54">
        <v>0</v>
      </c>
      <c r="CX49" s="17">
        <v>43</v>
      </c>
      <c r="CY49" s="59">
        <v>17261</v>
      </c>
      <c r="CZ49" s="16" t="s">
        <v>20</v>
      </c>
      <c r="DA49" s="16" t="s">
        <v>20</v>
      </c>
      <c r="DB49" s="16" t="s">
        <v>20</v>
      </c>
      <c r="DC49" s="16" t="s">
        <v>20</v>
      </c>
      <c r="DD49" s="16" t="s">
        <v>20</v>
      </c>
      <c r="DE49" s="17"/>
      <c r="DG49" s="15" t="s">
        <v>242</v>
      </c>
      <c r="DH49" s="54">
        <v>0</v>
      </c>
      <c r="DI49" s="17">
        <v>43</v>
      </c>
      <c r="DJ49" s="59">
        <v>18120</v>
      </c>
      <c r="DK49" s="16" t="s">
        <v>20</v>
      </c>
      <c r="DL49" s="16" t="s">
        <v>20</v>
      </c>
      <c r="DM49" s="16" t="s">
        <v>20</v>
      </c>
      <c r="DN49" s="16" t="s">
        <v>20</v>
      </c>
      <c r="DO49" s="16" t="s">
        <v>20</v>
      </c>
      <c r="DP49" s="17"/>
      <c r="DR49" s="15" t="s">
        <v>242</v>
      </c>
      <c r="DS49" s="54">
        <v>0</v>
      </c>
      <c r="DT49" s="17">
        <v>43</v>
      </c>
      <c r="DU49" s="59">
        <v>17882</v>
      </c>
      <c r="DV49" s="16">
        <v>15.999999999999984</v>
      </c>
      <c r="DW49" s="16">
        <v>2.9999999990686774</v>
      </c>
      <c r="DX49" s="16" t="s">
        <v>20</v>
      </c>
      <c r="DY49" s="16">
        <v>4</v>
      </c>
      <c r="DZ49" s="16">
        <v>3.4</v>
      </c>
      <c r="EA49" s="17"/>
      <c r="EC49" s="15" t="s">
        <v>242</v>
      </c>
      <c r="ED49" s="55">
        <v>1</v>
      </c>
      <c r="EE49" s="17">
        <v>43</v>
      </c>
      <c r="EF49" s="59">
        <v>16693</v>
      </c>
      <c r="EG49" s="16">
        <v>0</v>
      </c>
      <c r="EH49" s="16">
        <v>12.999999989988282</v>
      </c>
      <c r="EI49" s="16" t="s">
        <v>20</v>
      </c>
      <c r="EJ49" s="16">
        <v>5</v>
      </c>
      <c r="EK49" s="16">
        <v>5</v>
      </c>
      <c r="EL49" s="17"/>
      <c r="EN49" s="15" t="s">
        <v>242</v>
      </c>
      <c r="EO49" s="54">
        <v>1</v>
      </c>
      <c r="EP49" s="17">
        <v>43</v>
      </c>
      <c r="EQ49" s="59">
        <v>17543</v>
      </c>
      <c r="ER49" s="16">
        <v>0.99999999999999933</v>
      </c>
      <c r="ES49" s="16">
        <v>23.000000004889444</v>
      </c>
      <c r="ET49" s="16" t="s">
        <v>20</v>
      </c>
      <c r="EU49" s="16">
        <v>4.5</v>
      </c>
      <c r="EV49" s="16">
        <v>2.9</v>
      </c>
      <c r="EW49" s="17"/>
      <c r="EY49" s="15" t="s">
        <v>242</v>
      </c>
      <c r="EZ49" s="54">
        <v>0</v>
      </c>
      <c r="FA49" s="17">
        <v>43</v>
      </c>
      <c r="FB49" s="59">
        <v>19470</v>
      </c>
      <c r="FC49" s="16">
        <v>8.0000000000000071</v>
      </c>
      <c r="FD49" s="16">
        <v>22.99999999627471</v>
      </c>
      <c r="FE49" s="16" t="s">
        <v>20</v>
      </c>
      <c r="FF49" s="16">
        <v>5.5</v>
      </c>
      <c r="FG49" s="16">
        <v>5.5</v>
      </c>
      <c r="FH49" s="17"/>
      <c r="FJ49" s="15" t="s">
        <v>242</v>
      </c>
      <c r="FK49" s="54">
        <v>0</v>
      </c>
      <c r="FL49" s="17">
        <v>43</v>
      </c>
      <c r="FM49" s="59">
        <v>19279</v>
      </c>
      <c r="FN49" s="16">
        <v>4.9999999999999964</v>
      </c>
      <c r="FO49" s="16">
        <v>18.000000001629815</v>
      </c>
      <c r="FP49" s="16" t="s">
        <v>20</v>
      </c>
      <c r="FQ49" s="16">
        <v>5.1999999999999833</v>
      </c>
      <c r="FR49" s="16">
        <v>5.2</v>
      </c>
      <c r="FS49" s="17"/>
      <c r="FU49" s="15" t="s">
        <v>242</v>
      </c>
      <c r="FV49" s="54">
        <v>0</v>
      </c>
      <c r="FW49" s="17">
        <v>43</v>
      </c>
      <c r="FX49" s="59">
        <v>18681</v>
      </c>
      <c r="FY49" s="16" t="s">
        <v>20</v>
      </c>
      <c r="FZ49" s="16" t="s">
        <v>20</v>
      </c>
      <c r="GA49" s="16" t="s">
        <v>20</v>
      </c>
      <c r="GB49" s="16" t="s">
        <v>20</v>
      </c>
      <c r="GC49" s="16" t="s">
        <v>20</v>
      </c>
      <c r="GD49" s="17"/>
      <c r="GF49" s="15" t="s">
        <v>242</v>
      </c>
      <c r="GG49" s="54">
        <v>0</v>
      </c>
      <c r="GH49" s="17">
        <v>43</v>
      </c>
      <c r="GI49" s="59">
        <v>17718</v>
      </c>
      <c r="GJ49" s="16">
        <v>9</v>
      </c>
      <c r="GK49" s="16">
        <v>44.000000005122274</v>
      </c>
      <c r="GL49" s="16">
        <v>500</v>
      </c>
      <c r="GM49" s="16">
        <v>5</v>
      </c>
      <c r="GN49" s="16">
        <v>4.8</v>
      </c>
      <c r="GO49" s="17"/>
      <c r="GQ49" s="15" t="s">
        <v>242</v>
      </c>
      <c r="GR49" s="54"/>
      <c r="GS49" s="17"/>
      <c r="GT49" s="59"/>
      <c r="GU49" s="16"/>
      <c r="GV49" s="16"/>
      <c r="GW49" s="16"/>
      <c r="GX49" s="16"/>
      <c r="GY49" s="16"/>
      <c r="GZ49" s="17"/>
      <c r="HB49" s="15" t="s">
        <v>242</v>
      </c>
      <c r="HC49" s="54"/>
      <c r="HD49" s="17"/>
      <c r="HE49" s="59"/>
      <c r="HF49" s="16"/>
      <c r="HG49" s="16"/>
      <c r="HH49" s="16"/>
      <c r="HI49" s="16"/>
      <c r="HJ49" s="16"/>
      <c r="HK49" s="17"/>
      <c r="HM49" s="15" t="s">
        <v>242</v>
      </c>
      <c r="HN49" s="54"/>
      <c r="HO49" s="17"/>
      <c r="HP49" s="59"/>
      <c r="HQ49" s="16"/>
      <c r="HR49" s="16"/>
      <c r="HS49" s="16"/>
      <c r="HT49" s="16"/>
      <c r="HU49" s="16"/>
      <c r="HV49" s="17"/>
      <c r="HX49" s="15" t="s">
        <v>242</v>
      </c>
      <c r="HY49" s="54"/>
      <c r="HZ49" s="17"/>
      <c r="IA49" s="59"/>
      <c r="IB49" s="16"/>
      <c r="IC49" s="16"/>
      <c r="ID49" s="16"/>
      <c r="IE49" s="16"/>
      <c r="IF49" s="16"/>
      <c r="IG49" s="17"/>
      <c r="II49" s="15" t="s">
        <v>242</v>
      </c>
      <c r="IJ49" s="54"/>
      <c r="IK49" s="17"/>
      <c r="IL49" s="59"/>
      <c r="IM49" s="16"/>
      <c r="IN49" s="16"/>
      <c r="IO49" s="16"/>
      <c r="IP49" s="16"/>
      <c r="IQ49" s="16"/>
      <c r="IR49" s="17"/>
      <c r="IT49" s="15" t="s">
        <v>242</v>
      </c>
      <c r="IU49" s="54"/>
      <c r="IV49" s="17"/>
      <c r="IW49" s="59"/>
      <c r="IX49" s="16"/>
      <c r="IY49" s="16"/>
      <c r="IZ49" s="16"/>
      <c r="JA49" s="16"/>
      <c r="JB49" s="16"/>
      <c r="JC49" s="17"/>
      <c r="JE49" s="15" t="s">
        <v>242</v>
      </c>
      <c r="JF49" s="54"/>
      <c r="JG49" s="17"/>
      <c r="JH49" s="59"/>
      <c r="JI49" s="16"/>
      <c r="JJ49" s="16"/>
      <c r="JK49" s="16"/>
      <c r="JL49" s="16"/>
      <c r="JM49" s="16"/>
      <c r="JN49" s="17"/>
      <c r="JP49" s="15" t="s">
        <v>242</v>
      </c>
      <c r="JQ49" s="54"/>
      <c r="JR49" s="17"/>
      <c r="JS49" s="59"/>
      <c r="JT49" s="16"/>
      <c r="JU49" s="16"/>
      <c r="JV49" s="16"/>
      <c r="JW49" s="16"/>
      <c r="JX49" s="16"/>
      <c r="JY49" s="17"/>
      <c r="KA49" s="15" t="s">
        <v>242</v>
      </c>
      <c r="KB49" s="54"/>
      <c r="KC49" s="17"/>
      <c r="KD49" s="59"/>
      <c r="KE49" s="16"/>
      <c r="KF49" s="16"/>
      <c r="KG49" s="16"/>
      <c r="KH49" s="16"/>
      <c r="KI49" s="16"/>
      <c r="KJ49" s="17"/>
      <c r="KL49" s="15" t="s">
        <v>242</v>
      </c>
      <c r="KM49" s="54"/>
      <c r="KN49" s="17"/>
      <c r="KO49" s="59"/>
      <c r="KP49" s="16"/>
      <c r="KQ49" s="16"/>
      <c r="KR49" s="16"/>
      <c r="KS49" s="16"/>
      <c r="KT49" s="16"/>
      <c r="KU49" s="17"/>
      <c r="KW49" s="15" t="s">
        <v>242</v>
      </c>
      <c r="KX49" s="54"/>
      <c r="KY49" s="17"/>
      <c r="KZ49" s="59"/>
      <c r="LA49" s="16"/>
      <c r="LB49" s="16"/>
      <c r="LC49" s="16"/>
      <c r="LD49" s="16"/>
      <c r="LE49" s="16"/>
      <c r="LF49" s="17"/>
      <c r="LH49" s="15" t="s">
        <v>242</v>
      </c>
      <c r="LI49" s="54"/>
      <c r="LJ49" s="17"/>
      <c r="LK49" s="59"/>
      <c r="LL49" s="16"/>
      <c r="LM49" s="16"/>
      <c r="LN49" s="16"/>
      <c r="LO49" s="16"/>
      <c r="LP49" s="16"/>
      <c r="LQ49" s="17"/>
    </row>
    <row r="50">
      <c r="A50" s="15" t="s">
        <v>243</v>
      </c>
      <c r="B50" s="49" t="s">
        <v>244</v>
      </c>
      <c r="C50" s="63">
        <v>44</v>
      </c>
      <c r="D50" s="64">
        <v>18832</v>
      </c>
      <c r="E50" s="16" t="s">
        <v>20</v>
      </c>
      <c r="F50" s="16" t="s">
        <v>20</v>
      </c>
      <c r="G50" s="21" t="s">
        <v>20</v>
      </c>
      <c r="H50" s="16" t="s">
        <v>20</v>
      </c>
      <c r="I50" s="16" t="s">
        <v>20</v>
      </c>
      <c r="J50" s="17"/>
      <c r="L50" s="15" t="s">
        <v>243</v>
      </c>
      <c r="M50" s="49" t="s">
        <v>244</v>
      </c>
      <c r="N50" s="66"/>
      <c r="O50" s="64"/>
      <c r="P50" s="16"/>
      <c r="Q50" s="16"/>
      <c r="R50" s="16"/>
      <c r="S50" s="16"/>
      <c r="T50" s="16"/>
      <c r="U50" s="17"/>
      <c r="W50" s="15" t="s">
        <v>243</v>
      </c>
      <c r="X50" s="49" t="s">
        <v>244</v>
      </c>
      <c r="Y50" s="66">
        <v>44</v>
      </c>
      <c r="Z50" s="64">
        <v>17947</v>
      </c>
      <c r="AA50" s="16" t="s">
        <v>20</v>
      </c>
      <c r="AB50" s="16" t="s">
        <v>20</v>
      </c>
      <c r="AC50" s="16" t="s">
        <v>20</v>
      </c>
      <c r="AD50" s="16" t="s">
        <v>20</v>
      </c>
      <c r="AE50" s="16" t="s">
        <v>20</v>
      </c>
      <c r="AF50" s="17"/>
      <c r="AH50" s="15" t="s">
        <v>243</v>
      </c>
      <c r="AI50" s="49" t="s">
        <v>244</v>
      </c>
      <c r="AJ50" s="17">
        <v>44</v>
      </c>
      <c r="AK50" s="64">
        <v>17611</v>
      </c>
      <c r="AL50" s="16">
        <v>4.0000000000000036</v>
      </c>
      <c r="AM50" s="16">
        <v>14.999999999068677</v>
      </c>
      <c r="AN50" s="16" t="s">
        <v>20</v>
      </c>
      <c r="AO50" s="16">
        <v>4.5</v>
      </c>
      <c r="AP50" s="16">
        <v>4</v>
      </c>
      <c r="AQ50" s="17"/>
      <c r="AS50" s="15" t="s">
        <v>243</v>
      </c>
      <c r="AT50" s="49" t="s">
        <v>244</v>
      </c>
      <c r="AU50" s="17">
        <v>44</v>
      </c>
      <c r="AV50" s="64">
        <v>17256</v>
      </c>
      <c r="AW50" s="16" t="s">
        <v>20</v>
      </c>
      <c r="AX50" s="16" t="s">
        <v>20</v>
      </c>
      <c r="AY50" s="16"/>
      <c r="AZ50" s="16" t="s">
        <v>20</v>
      </c>
      <c r="BA50" s="16" t="s">
        <v>20</v>
      </c>
      <c r="BB50" s="17"/>
      <c r="BD50" s="15" t="s">
        <v>243</v>
      </c>
      <c r="BE50" s="49" t="s">
        <v>244</v>
      </c>
      <c r="BF50" s="17">
        <v>44</v>
      </c>
      <c r="BG50" s="64">
        <v>17762</v>
      </c>
      <c r="BH50" s="16">
        <v>2.9999999999999947</v>
      </c>
      <c r="BI50" s="16">
        <v>14.999999995809048</v>
      </c>
      <c r="BJ50" s="16" t="s">
        <v>20</v>
      </c>
      <c r="BK50" s="16">
        <v>4.5</v>
      </c>
      <c r="BL50" s="16">
        <v>3</v>
      </c>
      <c r="BM50" s="17"/>
      <c r="BO50" s="15" t="s">
        <v>243</v>
      </c>
      <c r="BP50" s="49" t="s">
        <v>244</v>
      </c>
      <c r="BQ50" s="17">
        <v>44</v>
      </c>
      <c r="BR50" s="64">
        <v>17511</v>
      </c>
      <c r="BS50" s="16">
        <v>8.0000000000000071</v>
      </c>
      <c r="BT50" s="16">
        <v>4.0000000076834112</v>
      </c>
      <c r="BU50" s="16" t="s">
        <v>20</v>
      </c>
      <c r="BV50" s="16">
        <v>4.5</v>
      </c>
      <c r="BW50" s="16">
        <v>2.5</v>
      </c>
      <c r="BX50" s="17"/>
      <c r="BZ50" s="15" t="s">
        <v>243</v>
      </c>
      <c r="CA50" s="49" t="s">
        <v>245</v>
      </c>
      <c r="CB50" s="17">
        <v>44</v>
      </c>
      <c r="CC50" s="64">
        <v>18965</v>
      </c>
      <c r="CD50" s="16">
        <v>6.0000000000000053</v>
      </c>
      <c r="CE50" s="16">
        <v>23.000000000232831</v>
      </c>
      <c r="CF50" s="16">
        <v>2000</v>
      </c>
      <c r="CG50" s="16">
        <v>5.6999999999999833</v>
      </c>
      <c r="CH50" s="16">
        <v>5.7</v>
      </c>
      <c r="CI50" s="17"/>
      <c r="CK50" s="15" t="s">
        <v>243</v>
      </c>
      <c r="CL50" s="49" t="s">
        <v>245</v>
      </c>
      <c r="CM50" s="17">
        <v>44</v>
      </c>
      <c r="CN50" s="64">
        <v>19179</v>
      </c>
      <c r="CO50" s="16">
        <v>6.9999999999999991</v>
      </c>
      <c r="CP50" s="16">
        <v>33.000000004656613</v>
      </c>
      <c r="CQ50" s="16">
        <v>1000</v>
      </c>
      <c r="CR50" s="16">
        <v>5</v>
      </c>
      <c r="CS50" s="16">
        <v>4.9</v>
      </c>
      <c r="CT50" s="17"/>
      <c r="CV50" s="15" t="s">
        <v>243</v>
      </c>
      <c r="CW50" s="49" t="s">
        <v>246</v>
      </c>
      <c r="CX50" s="17">
        <v>44</v>
      </c>
      <c r="CY50" s="59">
        <v>17461</v>
      </c>
      <c r="CZ50" s="16" t="s">
        <v>20</v>
      </c>
      <c r="DA50" s="16" t="s">
        <v>20</v>
      </c>
      <c r="DB50" s="16" t="s">
        <v>20</v>
      </c>
      <c r="DC50" s="16" t="s">
        <v>20</v>
      </c>
      <c r="DD50" s="16" t="s">
        <v>20</v>
      </c>
      <c r="DE50" s="17"/>
      <c r="DG50" s="15" t="s">
        <v>243</v>
      </c>
      <c r="DH50" s="49" t="s">
        <v>246</v>
      </c>
      <c r="DI50" s="17">
        <v>44</v>
      </c>
      <c r="DJ50" s="59">
        <v>18322</v>
      </c>
      <c r="DK50" s="16" t="s">
        <v>20</v>
      </c>
      <c r="DL50" s="16" t="s">
        <v>20</v>
      </c>
      <c r="DM50" s="16" t="s">
        <v>20</v>
      </c>
      <c r="DN50" s="16" t="s">
        <v>20</v>
      </c>
      <c r="DO50" s="16" t="s">
        <v>20</v>
      </c>
      <c r="DP50" s="17"/>
      <c r="DR50" s="15" t="s">
        <v>243</v>
      </c>
      <c r="DS50" s="49" t="s">
        <v>246</v>
      </c>
      <c r="DT50" s="17">
        <v>44</v>
      </c>
      <c r="DU50" s="59">
        <v>18085</v>
      </c>
      <c r="DV50" s="16">
        <v>11.000000000000002</v>
      </c>
      <c r="DW50" s="16">
        <v>18.000000000232831</v>
      </c>
      <c r="DX50" s="16" t="s">
        <v>20</v>
      </c>
      <c r="DY50" s="16">
        <v>4</v>
      </c>
      <c r="DZ50" s="16">
        <v>3.8</v>
      </c>
      <c r="EA50" s="17"/>
      <c r="EC50" s="15" t="s">
        <v>243</v>
      </c>
      <c r="ED50" s="49" t="s">
        <v>246</v>
      </c>
      <c r="EE50" s="17">
        <v>44</v>
      </c>
      <c r="EF50" s="59">
        <v>16896</v>
      </c>
      <c r="EG50" s="16">
        <v>27</v>
      </c>
      <c r="EH50" s="16">
        <v>7.0000000060535967</v>
      </c>
      <c r="EI50" s="16" t="s">
        <v>20</v>
      </c>
      <c r="EJ50" s="16">
        <v>5</v>
      </c>
      <c r="EK50" s="16">
        <v>5.2</v>
      </c>
      <c r="EL50" s="17"/>
      <c r="EN50" s="15" t="s">
        <v>243</v>
      </c>
      <c r="EO50" s="49" t="s">
        <v>246</v>
      </c>
      <c r="EP50" s="17">
        <v>44</v>
      </c>
      <c r="EQ50" s="59">
        <v>17745</v>
      </c>
      <c r="ER50" s="16">
        <v>0.99999999999999933</v>
      </c>
      <c r="ES50" s="16">
        <v>25.999999993713573</v>
      </c>
      <c r="ET50" s="16" t="s">
        <v>20</v>
      </c>
      <c r="EU50" s="16">
        <v>4.5</v>
      </c>
      <c r="EV50" s="16">
        <v>2.7</v>
      </c>
      <c r="EW50" s="17"/>
      <c r="EY50" s="15" t="s">
        <v>243</v>
      </c>
      <c r="EZ50" s="49" t="s">
        <v>247</v>
      </c>
      <c r="FA50" s="17">
        <v>44</v>
      </c>
      <c r="FB50" s="59">
        <v>19671</v>
      </c>
      <c r="FC50" s="16">
        <v>9</v>
      </c>
      <c r="FD50" s="16">
        <v>14.000000001629815</v>
      </c>
      <c r="FE50" s="16" t="s">
        <v>20</v>
      </c>
      <c r="FF50" s="16">
        <v>5.5</v>
      </c>
      <c r="FG50" s="16">
        <v>5.5</v>
      </c>
      <c r="FH50" s="17"/>
      <c r="FJ50" s="15" t="s">
        <v>243</v>
      </c>
      <c r="FK50" s="49" t="s">
        <v>247</v>
      </c>
      <c r="FL50" s="17">
        <v>44</v>
      </c>
      <c r="FM50" s="59">
        <v>19478</v>
      </c>
      <c r="FN50" s="16">
        <v>8.0000000000000071</v>
      </c>
      <c r="FO50" s="16">
        <v>16.000000004889444</v>
      </c>
      <c r="FP50" s="16" t="s">
        <v>20</v>
      </c>
      <c r="FQ50" s="16">
        <v>5.1999999999999833</v>
      </c>
      <c r="FR50" s="16">
        <v>5.2</v>
      </c>
      <c r="FS50" s="17"/>
      <c r="FU50" s="15" t="s">
        <v>243</v>
      </c>
      <c r="FV50" s="49" t="s">
        <v>247</v>
      </c>
      <c r="FW50" s="17">
        <v>44</v>
      </c>
      <c r="FX50" s="59">
        <v>18922</v>
      </c>
      <c r="FY50" s="16" t="s">
        <v>20</v>
      </c>
      <c r="FZ50" s="16" t="s">
        <v>20</v>
      </c>
      <c r="GA50" s="16" t="s">
        <v>20</v>
      </c>
      <c r="GB50" s="16" t="s">
        <v>20</v>
      </c>
      <c r="GC50" s="16" t="s">
        <v>20</v>
      </c>
      <c r="GD50" s="17"/>
      <c r="GF50" s="15" t="s">
        <v>243</v>
      </c>
      <c r="GG50" s="49" t="s">
        <v>247</v>
      </c>
      <c r="GH50" s="17">
        <v>44</v>
      </c>
      <c r="GI50" s="59">
        <v>17920</v>
      </c>
      <c r="GJ50" s="16">
        <v>8.0000000000000071</v>
      </c>
      <c r="GK50" s="16">
        <v>26.999999998835847</v>
      </c>
      <c r="GL50" s="16">
        <v>500</v>
      </c>
      <c r="GM50" s="16">
        <v>5</v>
      </c>
      <c r="GN50" s="16">
        <v>4.8</v>
      </c>
      <c r="GO50" s="17"/>
      <c r="GQ50" s="15" t="s">
        <v>243</v>
      </c>
      <c r="GR50" s="49"/>
      <c r="GS50" s="17"/>
      <c r="GT50" s="59"/>
      <c r="GU50" s="16"/>
      <c r="GV50" s="16"/>
      <c r="GW50" s="16"/>
      <c r="GX50" s="16"/>
      <c r="GY50" s="16"/>
      <c r="GZ50" s="17"/>
      <c r="HB50" s="15" t="s">
        <v>243</v>
      </c>
      <c r="HC50" s="49"/>
      <c r="HD50" s="17"/>
      <c r="HE50" s="59"/>
      <c r="HF50" s="16"/>
      <c r="HG50" s="16"/>
      <c r="HH50" s="16"/>
      <c r="HI50" s="16"/>
      <c r="HJ50" s="16"/>
      <c r="HK50" s="17"/>
      <c r="HM50" s="15" t="s">
        <v>243</v>
      </c>
      <c r="HN50" s="49"/>
      <c r="HO50" s="17"/>
      <c r="HP50" s="59"/>
      <c r="HQ50" s="16"/>
      <c r="HR50" s="16"/>
      <c r="HS50" s="16"/>
      <c r="HT50" s="16"/>
      <c r="HU50" s="16"/>
      <c r="HV50" s="17"/>
      <c r="HX50" s="15" t="s">
        <v>243</v>
      </c>
      <c r="HY50" s="49"/>
      <c r="HZ50" s="17"/>
      <c r="IA50" s="59"/>
      <c r="IB50" s="16"/>
      <c r="IC50" s="16"/>
      <c r="ID50" s="16"/>
      <c r="IE50" s="16"/>
      <c r="IF50" s="16"/>
      <c r="IG50" s="17"/>
      <c r="II50" s="15" t="s">
        <v>243</v>
      </c>
      <c r="IJ50" s="49"/>
      <c r="IK50" s="17"/>
      <c r="IL50" s="59"/>
      <c r="IM50" s="16"/>
      <c r="IN50" s="16"/>
      <c r="IO50" s="16"/>
      <c r="IP50" s="16"/>
      <c r="IQ50" s="16"/>
      <c r="IR50" s="17"/>
      <c r="IT50" s="15" t="s">
        <v>243</v>
      </c>
      <c r="IU50" s="49"/>
      <c r="IV50" s="17"/>
      <c r="IW50" s="59"/>
      <c r="IX50" s="16"/>
      <c r="IY50" s="16"/>
      <c r="IZ50" s="16"/>
      <c r="JA50" s="16"/>
      <c r="JB50" s="16"/>
      <c r="JC50" s="17"/>
      <c r="JE50" s="15" t="s">
        <v>243</v>
      </c>
      <c r="JF50" s="49"/>
      <c r="JG50" s="17"/>
      <c r="JH50" s="59"/>
      <c r="JI50" s="16"/>
      <c r="JJ50" s="16"/>
      <c r="JK50" s="16"/>
      <c r="JL50" s="16"/>
      <c r="JM50" s="16"/>
      <c r="JN50" s="17"/>
      <c r="JP50" s="15" t="s">
        <v>243</v>
      </c>
      <c r="JQ50" s="49"/>
      <c r="JR50" s="17"/>
      <c r="JS50" s="59"/>
      <c r="JT50" s="16"/>
      <c r="JU50" s="16"/>
      <c r="JV50" s="16"/>
      <c r="JW50" s="16"/>
      <c r="JX50" s="16"/>
      <c r="JY50" s="17"/>
      <c r="KA50" s="15" t="s">
        <v>243</v>
      </c>
      <c r="KB50" s="49"/>
      <c r="KC50" s="17"/>
      <c r="KD50" s="59"/>
      <c r="KE50" s="16"/>
      <c r="KF50" s="16"/>
      <c r="KG50" s="16"/>
      <c r="KH50" s="16"/>
      <c r="KI50" s="16"/>
      <c r="KJ50" s="17"/>
      <c r="KL50" s="15" t="s">
        <v>243</v>
      </c>
      <c r="KM50" s="49"/>
      <c r="KN50" s="17"/>
      <c r="KO50" s="59"/>
      <c r="KP50" s="16"/>
      <c r="KQ50" s="16"/>
      <c r="KR50" s="16"/>
      <c r="KS50" s="16"/>
      <c r="KT50" s="16"/>
      <c r="KU50" s="17"/>
      <c r="KW50" s="15" t="s">
        <v>243</v>
      </c>
      <c r="KX50" s="49"/>
      <c r="KY50" s="17"/>
      <c r="KZ50" s="59"/>
      <c r="LA50" s="16"/>
      <c r="LB50" s="16"/>
      <c r="LC50" s="16"/>
      <c r="LD50" s="16"/>
      <c r="LE50" s="16"/>
      <c r="LF50" s="17"/>
      <c r="LH50" s="15" t="s">
        <v>243</v>
      </c>
      <c r="LI50" s="49"/>
      <c r="LJ50" s="17"/>
      <c r="LK50" s="59"/>
      <c r="LL50" s="16"/>
      <c r="LM50" s="16"/>
      <c r="LN50" s="16"/>
      <c r="LO50" s="16"/>
      <c r="LP50" s="16"/>
      <c r="LQ50" s="17"/>
    </row>
    <row r="51">
      <c r="A51" s="15" t="s">
        <v>248</v>
      </c>
      <c r="B51" s="49" t="s">
        <v>249</v>
      </c>
      <c r="C51" s="63">
        <v>45</v>
      </c>
      <c r="D51" s="64">
        <v>19034</v>
      </c>
      <c r="E51" s="16" t="s">
        <v>20</v>
      </c>
      <c r="F51" s="16" t="s">
        <v>20</v>
      </c>
      <c r="G51" s="21" t="s">
        <v>20</v>
      </c>
      <c r="H51" s="16" t="s">
        <v>20</v>
      </c>
      <c r="I51" s="16" t="s">
        <v>20</v>
      </c>
      <c r="J51" s="17"/>
      <c r="L51" s="15" t="s">
        <v>248</v>
      </c>
      <c r="M51" s="49" t="s">
        <v>250</v>
      </c>
      <c r="N51" s="66"/>
      <c r="O51" s="64"/>
      <c r="P51" s="16"/>
      <c r="Q51" s="16"/>
      <c r="R51" s="16"/>
      <c r="S51" s="16"/>
      <c r="T51" s="16"/>
      <c r="U51" s="17"/>
      <c r="W51" s="15" t="s">
        <v>248</v>
      </c>
      <c r="X51" s="49" t="s">
        <v>250</v>
      </c>
      <c r="Y51" s="66">
        <v>45</v>
      </c>
      <c r="Z51" s="64">
        <v>18148</v>
      </c>
      <c r="AA51" s="16" t="s">
        <v>20</v>
      </c>
      <c r="AB51" s="16" t="s">
        <v>20</v>
      </c>
      <c r="AC51" s="16" t="s">
        <v>20</v>
      </c>
      <c r="AD51" s="16" t="s">
        <v>20</v>
      </c>
      <c r="AE51" s="16" t="s">
        <v>20</v>
      </c>
      <c r="AF51" s="17"/>
      <c r="AH51" s="15" t="s">
        <v>248</v>
      </c>
      <c r="AI51" s="49" t="s">
        <v>250</v>
      </c>
      <c r="AJ51" s="17">
        <v>45</v>
      </c>
      <c r="AK51" s="64">
        <v>17812</v>
      </c>
      <c r="AL51" s="16">
        <v>2.9999999999999947</v>
      </c>
      <c r="AM51" s="16">
        <v>12.999999999767169</v>
      </c>
      <c r="AN51" s="16" t="s">
        <v>20</v>
      </c>
      <c r="AO51" s="16">
        <v>4.5</v>
      </c>
      <c r="AP51" s="16">
        <v>3.8</v>
      </c>
      <c r="AQ51" s="17"/>
      <c r="AS51" s="15" t="s">
        <v>248</v>
      </c>
      <c r="AT51" s="49" t="s">
        <v>249</v>
      </c>
      <c r="AU51" s="17">
        <v>45</v>
      </c>
      <c r="AV51" s="64">
        <v>17457</v>
      </c>
      <c r="AW51" s="16" t="s">
        <v>20</v>
      </c>
      <c r="AX51" s="16" t="s">
        <v>20</v>
      </c>
      <c r="AY51" s="16"/>
      <c r="AZ51" s="16" t="s">
        <v>20</v>
      </c>
      <c r="BA51" s="16" t="s">
        <v>20</v>
      </c>
      <c r="BB51" s="17"/>
      <c r="BD51" s="15" t="s">
        <v>248</v>
      </c>
      <c r="BE51" s="49" t="s">
        <v>250</v>
      </c>
      <c r="BF51" s="17">
        <v>45</v>
      </c>
      <c r="BG51" s="64">
        <v>17964</v>
      </c>
      <c r="BH51" s="16">
        <v>4.0000000000000036</v>
      </c>
      <c r="BI51" s="16">
        <v>14.000000006286427</v>
      </c>
      <c r="BJ51" s="16" t="s">
        <v>20</v>
      </c>
      <c r="BK51" s="16">
        <v>4.5</v>
      </c>
      <c r="BL51" s="16">
        <v>3</v>
      </c>
      <c r="BM51" s="17"/>
      <c r="BO51" s="15" t="s">
        <v>248</v>
      </c>
      <c r="BP51" s="49" t="s">
        <v>249</v>
      </c>
      <c r="BQ51" s="17">
        <v>45</v>
      </c>
      <c r="BR51" s="64">
        <v>17711</v>
      </c>
      <c r="BS51" s="16">
        <v>8.0000000000000071</v>
      </c>
      <c r="BT51" s="16">
        <v>21.999999993015081</v>
      </c>
      <c r="BU51" s="16" t="s">
        <v>20</v>
      </c>
      <c r="BV51" s="16">
        <v>4.5</v>
      </c>
      <c r="BW51" s="16">
        <v>2.5</v>
      </c>
      <c r="BX51" s="17"/>
      <c r="BZ51" s="15" t="s">
        <v>248</v>
      </c>
      <c r="CA51" s="49" t="s">
        <v>251</v>
      </c>
      <c r="CB51" s="17">
        <v>45</v>
      </c>
      <c r="CC51" s="64">
        <v>19168</v>
      </c>
      <c r="CD51" s="16">
        <v>8.0000000000000071</v>
      </c>
      <c r="CE51" s="16">
        <v>21.999999993015081</v>
      </c>
      <c r="CF51" s="16">
        <v>1000</v>
      </c>
      <c r="CG51" s="16">
        <v>5.6999999999999833</v>
      </c>
      <c r="CH51" s="16">
        <v>5.7</v>
      </c>
      <c r="CI51" s="17"/>
      <c r="CK51" s="15" t="s">
        <v>248</v>
      </c>
      <c r="CL51" s="49" t="s">
        <v>251</v>
      </c>
      <c r="CM51" s="17">
        <v>45</v>
      </c>
      <c r="CN51" s="64">
        <v>19381</v>
      </c>
      <c r="CO51" s="16">
        <v>8.0000000000000071</v>
      </c>
      <c r="CP51" s="16">
        <v>34.000000000698492</v>
      </c>
      <c r="CQ51" s="16">
        <v>1000</v>
      </c>
      <c r="CR51" s="16">
        <v>5</v>
      </c>
      <c r="CS51" s="16">
        <v>4.9</v>
      </c>
      <c r="CT51" s="17"/>
      <c r="CV51" s="15" t="s">
        <v>248</v>
      </c>
      <c r="CW51" s="49" t="s">
        <v>249</v>
      </c>
      <c r="CX51" s="17">
        <v>45</v>
      </c>
      <c r="CY51" s="59">
        <v>17661</v>
      </c>
      <c r="CZ51" s="16" t="s">
        <v>20</v>
      </c>
      <c r="DA51" s="16" t="s">
        <v>20</v>
      </c>
      <c r="DB51" s="16" t="s">
        <v>20</v>
      </c>
      <c r="DC51" s="16" t="s">
        <v>20</v>
      </c>
      <c r="DD51" s="16" t="s">
        <v>20</v>
      </c>
      <c r="DE51" s="17"/>
      <c r="DG51" s="15" t="s">
        <v>248</v>
      </c>
      <c r="DH51" s="49" t="s">
        <v>252</v>
      </c>
      <c r="DI51" s="17">
        <v>45</v>
      </c>
      <c r="DJ51" s="59">
        <v>18523</v>
      </c>
      <c r="DK51" s="16" t="s">
        <v>20</v>
      </c>
      <c r="DL51" s="16" t="s">
        <v>20</v>
      </c>
      <c r="DM51" s="16" t="s">
        <v>20</v>
      </c>
      <c r="DN51" s="16" t="s">
        <v>20</v>
      </c>
      <c r="DO51" s="16" t="s">
        <v>20</v>
      </c>
      <c r="DP51" s="17"/>
      <c r="DR51" s="15" t="s">
        <v>248</v>
      </c>
      <c r="DS51" s="49" t="s">
        <v>252</v>
      </c>
      <c r="DT51" s="17">
        <v>45</v>
      </c>
      <c r="DU51" s="59">
        <v>18288</v>
      </c>
      <c r="DV51" s="16">
        <v>4.9999999999999964</v>
      </c>
      <c r="DW51" s="16">
        <v>25.00000000349246</v>
      </c>
      <c r="DX51" s="16" t="s">
        <v>20</v>
      </c>
      <c r="DY51" s="16">
        <v>4</v>
      </c>
      <c r="DZ51" s="16">
        <v>4</v>
      </c>
      <c r="EA51" s="17"/>
      <c r="EC51" s="15" t="s">
        <v>248</v>
      </c>
      <c r="ED51" s="49" t="s">
        <v>250</v>
      </c>
      <c r="EE51" s="17">
        <v>45</v>
      </c>
      <c r="EF51" s="59">
        <v>17098</v>
      </c>
      <c r="EG51" s="16">
        <v>11.000000000000002</v>
      </c>
      <c r="EH51" s="16">
        <v>9.9999999951105565</v>
      </c>
      <c r="EI51" s="16" t="s">
        <v>20</v>
      </c>
      <c r="EJ51" s="16">
        <v>5</v>
      </c>
      <c r="EK51" s="16">
        <v>4.8</v>
      </c>
      <c r="EL51" s="17"/>
      <c r="EN51" s="15" t="s">
        <v>248</v>
      </c>
      <c r="EO51" s="49" t="s">
        <v>253</v>
      </c>
      <c r="EP51" s="17">
        <v>45</v>
      </c>
      <c r="EQ51" s="59">
        <v>17947</v>
      </c>
      <c r="ER51" s="16">
        <v>0.99999999999999933</v>
      </c>
      <c r="ES51" s="16">
        <v>27.000000000465661</v>
      </c>
      <c r="ET51" s="16" t="s">
        <v>20</v>
      </c>
      <c r="EU51" s="16">
        <v>4.5</v>
      </c>
      <c r="EV51" s="16">
        <v>2.7</v>
      </c>
      <c r="EW51" s="17"/>
      <c r="EY51" s="15" t="s">
        <v>248</v>
      </c>
      <c r="EZ51" s="49" t="s">
        <v>254</v>
      </c>
      <c r="FA51" s="17">
        <v>45</v>
      </c>
      <c r="FB51" s="59">
        <v>19872</v>
      </c>
      <c r="FC51" s="16">
        <v>9.9999999999999929</v>
      </c>
      <c r="FD51" s="16">
        <v>14.999999997671694</v>
      </c>
      <c r="FE51" s="16" t="s">
        <v>20</v>
      </c>
      <c r="FF51" s="16">
        <v>5.5</v>
      </c>
      <c r="FG51" s="16">
        <v>5.5</v>
      </c>
      <c r="FH51" s="17"/>
      <c r="FJ51" s="15" t="s">
        <v>248</v>
      </c>
      <c r="FK51" s="49" t="s">
        <v>254</v>
      </c>
      <c r="FL51" s="17">
        <v>45</v>
      </c>
      <c r="FM51" s="59">
        <v>19677</v>
      </c>
      <c r="FN51" s="16">
        <v>6.9999999999999991</v>
      </c>
      <c r="FO51" s="16">
        <v>19.000000000931323</v>
      </c>
      <c r="FP51" s="16" t="s">
        <v>20</v>
      </c>
      <c r="FQ51" s="16">
        <v>5.1999999999999833</v>
      </c>
      <c r="FR51" s="16">
        <v>5.2</v>
      </c>
      <c r="FS51" s="17"/>
      <c r="FU51" s="15" t="s">
        <v>248</v>
      </c>
      <c r="FV51" s="49" t="s">
        <v>253</v>
      </c>
      <c r="FW51" s="17">
        <v>45</v>
      </c>
      <c r="FX51" s="59">
        <v>19163</v>
      </c>
      <c r="FY51" s="16" t="s">
        <v>20</v>
      </c>
      <c r="FZ51" s="16" t="s">
        <v>20</v>
      </c>
      <c r="GA51" s="16" t="s">
        <v>20</v>
      </c>
      <c r="GB51" s="16" t="s">
        <v>20</v>
      </c>
      <c r="GC51" s="16" t="s">
        <v>20</v>
      </c>
      <c r="GD51" s="17"/>
      <c r="GF51" s="15" t="s">
        <v>248</v>
      </c>
      <c r="GG51" s="49" t="s">
        <v>254</v>
      </c>
      <c r="GH51" s="17">
        <v>45</v>
      </c>
      <c r="GI51" s="59">
        <v>18121</v>
      </c>
      <c r="GJ51" s="16">
        <v>0</v>
      </c>
      <c r="GK51" s="16">
        <v>33.999999995576218</v>
      </c>
      <c r="GL51" s="16">
        <v>500</v>
      </c>
      <c r="GM51" s="16">
        <v>5</v>
      </c>
      <c r="GN51" s="16">
        <v>4.8</v>
      </c>
      <c r="GO51" s="17"/>
      <c r="GQ51" s="15" t="s">
        <v>248</v>
      </c>
      <c r="GR51" s="49"/>
      <c r="GS51" s="17"/>
      <c r="GT51" s="59"/>
      <c r="GU51" s="16"/>
      <c r="GV51" s="16"/>
      <c r="GW51" s="16"/>
      <c r="GX51" s="16"/>
      <c r="GY51" s="16"/>
      <c r="GZ51" s="17"/>
      <c r="HB51" s="15" t="s">
        <v>248</v>
      </c>
      <c r="HC51" s="49"/>
      <c r="HD51" s="17"/>
      <c r="HE51" s="59"/>
      <c r="HF51" s="16"/>
      <c r="HG51" s="16"/>
      <c r="HH51" s="16"/>
      <c r="HI51" s="16"/>
      <c r="HJ51" s="16"/>
      <c r="HK51" s="17"/>
      <c r="HM51" s="15" t="s">
        <v>248</v>
      </c>
      <c r="HN51" s="49"/>
      <c r="HO51" s="17"/>
      <c r="HP51" s="59"/>
      <c r="HQ51" s="16"/>
      <c r="HR51" s="16"/>
      <c r="HS51" s="16"/>
      <c r="HT51" s="16"/>
      <c r="HU51" s="16"/>
      <c r="HV51" s="17"/>
      <c r="HX51" s="15" t="s">
        <v>248</v>
      </c>
      <c r="HY51" s="49"/>
      <c r="HZ51" s="17"/>
      <c r="IA51" s="59"/>
      <c r="IB51" s="16"/>
      <c r="IC51" s="16"/>
      <c r="ID51" s="16"/>
      <c r="IE51" s="16"/>
      <c r="IF51" s="16"/>
      <c r="IG51" s="17"/>
      <c r="II51" s="15" t="s">
        <v>248</v>
      </c>
      <c r="IJ51" s="49"/>
      <c r="IK51" s="17"/>
      <c r="IL51" s="59"/>
      <c r="IM51" s="16"/>
      <c r="IN51" s="16"/>
      <c r="IO51" s="16"/>
      <c r="IP51" s="16"/>
      <c r="IQ51" s="16"/>
      <c r="IR51" s="17"/>
      <c r="IT51" s="15" t="s">
        <v>248</v>
      </c>
      <c r="IU51" s="49"/>
      <c r="IV51" s="17"/>
      <c r="IW51" s="59"/>
      <c r="IX51" s="16"/>
      <c r="IY51" s="16"/>
      <c r="IZ51" s="16"/>
      <c r="JA51" s="16"/>
      <c r="JB51" s="16"/>
      <c r="JC51" s="17"/>
      <c r="JE51" s="15" t="s">
        <v>248</v>
      </c>
      <c r="JF51" s="49"/>
      <c r="JG51" s="17"/>
      <c r="JH51" s="59"/>
      <c r="JI51" s="16"/>
      <c r="JJ51" s="16"/>
      <c r="JK51" s="16"/>
      <c r="JL51" s="16"/>
      <c r="JM51" s="16"/>
      <c r="JN51" s="17"/>
      <c r="JP51" s="15" t="s">
        <v>248</v>
      </c>
      <c r="JQ51" s="49"/>
      <c r="JR51" s="17"/>
      <c r="JS51" s="59"/>
      <c r="JT51" s="16"/>
      <c r="JU51" s="16"/>
      <c r="JV51" s="16"/>
      <c r="JW51" s="16"/>
      <c r="JX51" s="16"/>
      <c r="JY51" s="17"/>
      <c r="KA51" s="15" t="s">
        <v>248</v>
      </c>
      <c r="KB51" s="49"/>
      <c r="KC51" s="17"/>
      <c r="KD51" s="59"/>
      <c r="KE51" s="16"/>
      <c r="KF51" s="16"/>
      <c r="KG51" s="16"/>
      <c r="KH51" s="16"/>
      <c r="KI51" s="16"/>
      <c r="KJ51" s="17"/>
      <c r="KL51" s="15" t="s">
        <v>248</v>
      </c>
      <c r="KM51" s="49"/>
      <c r="KN51" s="17"/>
      <c r="KO51" s="59"/>
      <c r="KP51" s="16"/>
      <c r="KQ51" s="16"/>
      <c r="KR51" s="16"/>
      <c r="KS51" s="16"/>
      <c r="KT51" s="16"/>
      <c r="KU51" s="17"/>
      <c r="KW51" s="15" t="s">
        <v>248</v>
      </c>
      <c r="KX51" s="49"/>
      <c r="KY51" s="17"/>
      <c r="KZ51" s="59"/>
      <c r="LA51" s="16"/>
      <c r="LB51" s="16"/>
      <c r="LC51" s="16"/>
      <c r="LD51" s="16"/>
      <c r="LE51" s="16"/>
      <c r="LF51" s="17"/>
      <c r="LH51" s="15" t="s">
        <v>248</v>
      </c>
      <c r="LI51" s="49"/>
      <c r="LJ51" s="17"/>
      <c r="LK51" s="59"/>
      <c r="LL51" s="16"/>
      <c r="LM51" s="16"/>
      <c r="LN51" s="16"/>
      <c r="LO51" s="16"/>
      <c r="LP51" s="16"/>
      <c r="LQ51" s="17"/>
    </row>
    <row r="52">
      <c r="C52" s="63">
        <v>46</v>
      </c>
      <c r="D52" s="64">
        <v>19236</v>
      </c>
      <c r="E52" s="16" t="s">
        <v>20</v>
      </c>
      <c r="F52" s="16" t="s">
        <v>20</v>
      </c>
      <c r="G52" s="21" t="s">
        <v>20</v>
      </c>
      <c r="H52" s="16" t="s">
        <v>20</v>
      </c>
      <c r="I52" s="16" t="s">
        <v>20</v>
      </c>
      <c r="J52" s="17"/>
      <c r="N52" s="66"/>
      <c r="O52" s="64"/>
      <c r="P52" s="16"/>
      <c r="Q52" s="16"/>
      <c r="R52" s="16"/>
      <c r="S52" s="16"/>
      <c r="T52" s="16"/>
      <c r="U52" s="17"/>
      <c r="Y52" s="66">
        <v>46</v>
      </c>
      <c r="Z52" s="64">
        <v>18348</v>
      </c>
      <c r="AA52" s="16" t="s">
        <v>20</v>
      </c>
      <c r="AB52" s="16" t="s">
        <v>20</v>
      </c>
      <c r="AC52" s="16" t="s">
        <v>20</v>
      </c>
      <c r="AD52" s="16" t="s">
        <v>20</v>
      </c>
      <c r="AE52" s="16" t="s">
        <v>20</v>
      </c>
      <c r="AF52" s="17"/>
      <c r="AJ52" s="17">
        <v>46</v>
      </c>
      <c r="AK52" s="64">
        <v>18014</v>
      </c>
      <c r="AL52" s="16">
        <v>2.9999999999999947</v>
      </c>
      <c r="AM52" s="16">
        <v>12.999999999767169</v>
      </c>
      <c r="AN52" s="16" t="s">
        <v>20</v>
      </c>
      <c r="AO52" s="16">
        <v>4.5</v>
      </c>
      <c r="AP52" s="16">
        <v>3.8</v>
      </c>
      <c r="AQ52" s="17"/>
      <c r="AU52" s="17">
        <v>46</v>
      </c>
      <c r="AV52" s="64">
        <v>17658</v>
      </c>
      <c r="AW52" s="16" t="s">
        <v>20</v>
      </c>
      <c r="AX52" s="16" t="s">
        <v>20</v>
      </c>
      <c r="AY52" s="16"/>
      <c r="AZ52" s="16" t="s">
        <v>20</v>
      </c>
      <c r="BA52" s="16" t="s">
        <v>20</v>
      </c>
      <c r="BB52" s="17"/>
      <c r="BF52" s="17">
        <v>46</v>
      </c>
      <c r="BG52" s="64">
        <v>18165</v>
      </c>
      <c r="BH52" s="16">
        <v>2.9999999999999947</v>
      </c>
      <c r="BI52" s="16">
        <v>15.999999999068677</v>
      </c>
      <c r="BJ52" s="16" t="s">
        <v>20</v>
      </c>
      <c r="BK52" s="16">
        <v>4.5</v>
      </c>
      <c r="BL52" s="16">
        <v>3</v>
      </c>
      <c r="BM52" s="17"/>
      <c r="BQ52" s="17">
        <v>46</v>
      </c>
      <c r="BR52" s="64">
        <v>17911</v>
      </c>
      <c r="BS52" s="16">
        <v>2.0000000000000018</v>
      </c>
      <c r="BT52" s="16">
        <v>19.000000005587935</v>
      </c>
      <c r="BU52" s="16" t="s">
        <v>20</v>
      </c>
      <c r="BV52" s="16">
        <v>4.5</v>
      </c>
      <c r="BW52" s="16">
        <v>2.5</v>
      </c>
      <c r="BX52" s="17"/>
      <c r="CB52" s="17"/>
      <c r="CC52" s="64"/>
      <c r="CD52" s="16"/>
      <c r="CE52" s="16"/>
      <c r="CF52" s="16"/>
      <c r="CG52" s="16"/>
      <c r="CH52" s="16"/>
      <c r="CI52" s="17"/>
      <c r="CM52" s="17">
        <v>46</v>
      </c>
      <c r="CN52" s="64">
        <v>19583</v>
      </c>
      <c r="CO52" s="16">
        <v>11.000000000000002</v>
      </c>
      <c r="CP52" s="16">
        <v>23.999999998835847</v>
      </c>
      <c r="CQ52" s="16">
        <v>2000</v>
      </c>
      <c r="CR52" s="16">
        <v>5</v>
      </c>
      <c r="CS52" s="16">
        <v>4.9</v>
      </c>
      <c r="CT52" s="17"/>
      <c r="CX52" s="17">
        <v>46</v>
      </c>
      <c r="CY52" s="59">
        <v>17861</v>
      </c>
      <c r="CZ52" s="16" t="s">
        <v>20</v>
      </c>
      <c r="DA52" s="16" t="s">
        <v>20</v>
      </c>
      <c r="DB52" s="16" t="s">
        <v>20</v>
      </c>
      <c r="DC52" s="16" t="s">
        <v>20</v>
      </c>
      <c r="DD52" s="16" t="s">
        <v>20</v>
      </c>
      <c r="DE52" s="17"/>
      <c r="DI52" s="17">
        <v>46</v>
      </c>
      <c r="DJ52" s="59">
        <v>18724</v>
      </c>
      <c r="DK52" s="16" t="s">
        <v>20</v>
      </c>
      <c r="DL52" s="16" t="s">
        <v>20</v>
      </c>
      <c r="DM52" s="16" t="s">
        <v>20</v>
      </c>
      <c r="DN52" s="16" t="s">
        <v>20</v>
      </c>
      <c r="DO52" s="16" t="s">
        <v>20</v>
      </c>
      <c r="DP52" s="17"/>
      <c r="DT52" s="17">
        <v>46</v>
      </c>
      <c r="DU52" s="59">
        <v>18492</v>
      </c>
      <c r="DV52" s="16">
        <v>8.0000000000000071</v>
      </c>
      <c r="DW52" s="16">
        <v>16.999999997671694</v>
      </c>
      <c r="DX52" s="16" t="s">
        <v>20</v>
      </c>
      <c r="DY52" s="16">
        <v>4</v>
      </c>
      <c r="DZ52" s="16">
        <v>3.8</v>
      </c>
      <c r="EA52" s="17"/>
      <c r="EE52" s="17">
        <v>46</v>
      </c>
      <c r="EF52" s="59">
        <v>17300</v>
      </c>
      <c r="EG52" s="16">
        <v>15.000000000000048</v>
      </c>
      <c r="EH52" s="16">
        <v>9.0000000048894435</v>
      </c>
      <c r="EI52" s="16" t="s">
        <v>20</v>
      </c>
      <c r="EJ52" s="16">
        <v>5</v>
      </c>
      <c r="EK52" s="16">
        <v>4.8</v>
      </c>
      <c r="EL52" s="17"/>
      <c r="EP52" s="17">
        <v>46</v>
      </c>
      <c r="EQ52" s="59">
        <v>18149</v>
      </c>
      <c r="ER52" s="16">
        <v>0.99999999999999933</v>
      </c>
      <c r="ES52" s="16">
        <v>23.999999997671694</v>
      </c>
      <c r="ET52" s="16" t="s">
        <v>20</v>
      </c>
      <c r="EU52" s="16">
        <v>4.5</v>
      </c>
      <c r="EV52" s="16">
        <v>2.8</v>
      </c>
      <c r="EW52" s="17"/>
      <c r="FA52" s="17">
        <v>46</v>
      </c>
      <c r="FB52" s="59">
        <v>20072</v>
      </c>
      <c r="FC52" s="16">
        <v>0</v>
      </c>
      <c r="FD52" s="16">
        <v>37.999999998137355</v>
      </c>
      <c r="FE52" s="16" t="s">
        <v>20</v>
      </c>
      <c r="FF52" s="16">
        <v>5.5</v>
      </c>
      <c r="FG52" s="16">
        <v>5.5</v>
      </c>
      <c r="FH52" s="17"/>
      <c r="FL52" s="17">
        <v>46</v>
      </c>
      <c r="FM52" s="59">
        <v>19876</v>
      </c>
      <c r="FN52" s="16">
        <v>9</v>
      </c>
      <c r="FO52" s="16">
        <v>18.9999999969732</v>
      </c>
      <c r="FP52" s="16" t="s">
        <v>20</v>
      </c>
      <c r="FQ52" s="16">
        <v>5.1999999999999833</v>
      </c>
      <c r="FR52" s="16">
        <v>5.1</v>
      </c>
      <c r="FS52" s="17"/>
      <c r="FW52" s="17">
        <v>46</v>
      </c>
      <c r="FX52" s="59">
        <v>19404</v>
      </c>
      <c r="FY52" s="16" t="s">
        <v>20</v>
      </c>
      <c r="FZ52" s="16" t="s">
        <v>20</v>
      </c>
      <c r="GA52" s="16" t="s">
        <v>20</v>
      </c>
      <c r="GB52" s="16" t="s">
        <v>20</v>
      </c>
      <c r="GC52" s="16" t="s">
        <v>20</v>
      </c>
      <c r="GD52" s="17"/>
      <c r="GH52" s="17">
        <v>46</v>
      </c>
      <c r="GI52" s="59">
        <v>18323</v>
      </c>
      <c r="GJ52" s="16">
        <v>4.9999999999999964</v>
      </c>
      <c r="GK52" s="16">
        <v>21.000000000931323</v>
      </c>
      <c r="GL52" s="16">
        <v>500</v>
      </c>
      <c r="GM52" s="16">
        <v>5</v>
      </c>
      <c r="GN52" s="16">
        <v>4.8</v>
      </c>
      <c r="GO52" s="17"/>
      <c r="GS52" s="17"/>
      <c r="GT52" s="59"/>
      <c r="GU52" s="16"/>
      <c r="GV52" s="16"/>
      <c r="GW52" s="16"/>
      <c r="GX52" s="16"/>
      <c r="GY52" s="16"/>
      <c r="GZ52" s="17"/>
      <c r="HD52" s="17"/>
      <c r="HE52" s="59"/>
      <c r="HF52" s="16"/>
      <c r="HG52" s="16"/>
      <c r="HH52" s="16"/>
      <c r="HI52" s="16"/>
      <c r="HJ52" s="16"/>
      <c r="HK52" s="17"/>
      <c r="HO52" s="17"/>
      <c r="HP52" s="59"/>
      <c r="HQ52" s="16"/>
      <c r="HR52" s="16"/>
      <c r="HS52" s="16"/>
      <c r="HT52" s="16"/>
      <c r="HU52" s="16"/>
      <c r="HV52" s="17"/>
      <c r="HZ52" s="17"/>
      <c r="IA52" s="59"/>
      <c r="IB52" s="16"/>
      <c r="IC52" s="16"/>
      <c r="ID52" s="16"/>
      <c r="IE52" s="16"/>
      <c r="IF52" s="16"/>
      <c r="IG52" s="17"/>
      <c r="IK52" s="17"/>
      <c r="IL52" s="59"/>
      <c r="IM52" s="16"/>
      <c r="IN52" s="16"/>
      <c r="IO52" s="16"/>
      <c r="IP52" s="16"/>
      <c r="IQ52" s="16"/>
      <c r="IR52" s="17"/>
      <c r="IV52" s="17"/>
      <c r="IW52" s="59"/>
      <c r="IX52" s="16"/>
      <c r="IY52" s="16"/>
      <c r="IZ52" s="16"/>
      <c r="JA52" s="16"/>
      <c r="JB52" s="16"/>
      <c r="JC52" s="17"/>
      <c r="JG52" s="17"/>
      <c r="JH52" s="59"/>
      <c r="JI52" s="16"/>
      <c r="JJ52" s="16"/>
      <c r="JK52" s="16"/>
      <c r="JL52" s="16"/>
      <c r="JM52" s="16"/>
      <c r="JN52" s="17"/>
      <c r="JR52" s="17"/>
      <c r="JS52" s="59"/>
      <c r="JT52" s="16"/>
      <c r="JU52" s="16"/>
      <c r="JV52" s="16"/>
      <c r="JW52" s="16"/>
      <c r="JX52" s="16"/>
      <c r="JY52" s="17"/>
      <c r="KC52" s="17"/>
      <c r="KD52" s="59"/>
      <c r="KE52" s="16"/>
      <c r="KF52" s="16"/>
      <c r="KG52" s="16"/>
      <c r="KH52" s="16"/>
      <c r="KI52" s="16"/>
      <c r="KJ52" s="17"/>
      <c r="KN52" s="17"/>
      <c r="KO52" s="59"/>
      <c r="KP52" s="16"/>
      <c r="KQ52" s="16"/>
      <c r="KR52" s="16"/>
      <c r="KS52" s="16"/>
      <c r="KT52" s="16"/>
      <c r="KU52" s="17"/>
      <c r="KY52" s="17"/>
      <c r="KZ52" s="59"/>
      <c r="LA52" s="16"/>
      <c r="LB52" s="16"/>
      <c r="LC52" s="16"/>
      <c r="LD52" s="16"/>
      <c r="LE52" s="16"/>
      <c r="LF52" s="17"/>
      <c r="LJ52" s="17"/>
      <c r="LK52" s="59"/>
      <c r="LL52" s="16"/>
      <c r="LM52" s="16"/>
      <c r="LN52" s="16"/>
      <c r="LO52" s="16"/>
      <c r="LP52" s="16"/>
      <c r="LQ52" s="17"/>
    </row>
    <row r="53">
      <c r="C53" s="63">
        <v>47</v>
      </c>
      <c r="D53" s="64">
        <v>19438</v>
      </c>
      <c r="E53" s="16" t="s">
        <v>20</v>
      </c>
      <c r="F53" s="16" t="s">
        <v>20</v>
      </c>
      <c r="G53" s="21" t="s">
        <v>20</v>
      </c>
      <c r="H53" s="16" t="s">
        <v>20</v>
      </c>
      <c r="I53" s="16" t="s">
        <v>20</v>
      </c>
      <c r="J53" s="17"/>
      <c r="N53" s="66"/>
      <c r="O53" s="64"/>
      <c r="P53" s="16"/>
      <c r="Q53" s="16"/>
      <c r="R53" s="16"/>
      <c r="S53" s="16"/>
      <c r="T53" s="16"/>
      <c r="U53" s="17"/>
      <c r="Y53" s="66">
        <v>47</v>
      </c>
      <c r="Z53" s="64">
        <v>18549</v>
      </c>
      <c r="AA53" s="16" t="s">
        <v>20</v>
      </c>
      <c r="AB53" s="16" t="s">
        <v>20</v>
      </c>
      <c r="AC53" s="16" t="s">
        <v>20</v>
      </c>
      <c r="AD53" s="16" t="s">
        <v>20</v>
      </c>
      <c r="AE53" s="16" t="s">
        <v>20</v>
      </c>
      <c r="AF53" s="17"/>
      <c r="AJ53" s="17">
        <v>47</v>
      </c>
      <c r="AK53" s="64">
        <v>18216</v>
      </c>
      <c r="AL53" s="16">
        <v>4.9999999999999964</v>
      </c>
      <c r="AM53" s="16">
        <v>29.000000006053597</v>
      </c>
      <c r="AN53" s="16" t="s">
        <v>20</v>
      </c>
      <c r="AO53" s="16">
        <v>4.5</v>
      </c>
      <c r="AP53" s="16">
        <v>4</v>
      </c>
      <c r="AQ53" s="17"/>
      <c r="AU53" s="17">
        <v>47</v>
      </c>
      <c r="AV53" s="64">
        <v>17860</v>
      </c>
      <c r="AW53" s="16" t="s">
        <v>20</v>
      </c>
      <c r="AX53" s="16" t="s">
        <v>20</v>
      </c>
      <c r="AY53" s="16"/>
      <c r="AZ53" s="16" t="s">
        <v>20</v>
      </c>
      <c r="BA53" s="16" t="s">
        <v>20</v>
      </c>
      <c r="BB53" s="17"/>
      <c r="BF53" s="17">
        <v>47</v>
      </c>
      <c r="BG53" s="64">
        <v>18367</v>
      </c>
      <c r="BH53" s="16">
        <v>2.0000000000000018</v>
      </c>
      <c r="BI53" s="16">
        <v>21.999999997904524</v>
      </c>
      <c r="BJ53" s="16" t="s">
        <v>20</v>
      </c>
      <c r="BK53" s="16">
        <v>4.5</v>
      </c>
      <c r="BL53" s="16">
        <v>3.2</v>
      </c>
      <c r="BM53" s="17"/>
      <c r="BQ53" s="17">
        <v>47</v>
      </c>
      <c r="BR53" s="64">
        <v>18112</v>
      </c>
      <c r="BS53" s="16">
        <v>6.0000000000000053</v>
      </c>
      <c r="BT53" s="16">
        <v>12.999999999068677</v>
      </c>
      <c r="BU53" s="16" t="s">
        <v>20</v>
      </c>
      <c r="BV53" s="16">
        <v>4.5</v>
      </c>
      <c r="BW53" s="16">
        <v>2.5</v>
      </c>
      <c r="BX53" s="17"/>
      <c r="CB53" s="17"/>
      <c r="CC53" s="64"/>
      <c r="CD53" s="16"/>
      <c r="CE53" s="16"/>
      <c r="CF53" s="16"/>
      <c r="CG53" s="16"/>
      <c r="CH53" s="16"/>
      <c r="CI53" s="17"/>
      <c r="CM53" s="17">
        <v>47</v>
      </c>
      <c r="CN53" s="64">
        <v>19786</v>
      </c>
      <c r="CO53" s="16">
        <v>13.000000000000002</v>
      </c>
      <c r="CP53" s="16">
        <v>153.99999999953434</v>
      </c>
      <c r="CQ53" s="16">
        <v>2000</v>
      </c>
      <c r="CR53" s="16">
        <v>5</v>
      </c>
      <c r="CS53" s="16">
        <v>4.9</v>
      </c>
      <c r="CT53" s="17"/>
      <c r="CX53" s="17">
        <v>47</v>
      </c>
      <c r="CY53" s="59">
        <v>18062</v>
      </c>
      <c r="CZ53" s="16" t="s">
        <v>20</v>
      </c>
      <c r="DA53" s="16" t="s">
        <v>20</v>
      </c>
      <c r="DB53" s="16" t="s">
        <v>20</v>
      </c>
      <c r="DC53" s="16" t="s">
        <v>20</v>
      </c>
      <c r="DD53" s="16" t="s">
        <v>20</v>
      </c>
      <c r="DE53" s="17"/>
      <c r="DI53" s="17">
        <v>47</v>
      </c>
      <c r="DJ53" s="59">
        <v>18926</v>
      </c>
      <c r="DK53" s="16" t="s">
        <v>20</v>
      </c>
      <c r="DL53" s="16" t="s">
        <v>20</v>
      </c>
      <c r="DM53" s="16" t="s">
        <v>20</v>
      </c>
      <c r="DN53" s="16" t="s">
        <v>20</v>
      </c>
      <c r="DO53" s="16" t="s">
        <v>20</v>
      </c>
      <c r="DP53" s="17"/>
      <c r="DT53" s="17">
        <v>47</v>
      </c>
      <c r="DU53" s="59">
        <v>18695</v>
      </c>
      <c r="DV53" s="16">
        <v>9.9999999999999929</v>
      </c>
      <c r="DW53" s="16">
        <v>13.000000001629815</v>
      </c>
      <c r="DX53" s="16" t="s">
        <v>20</v>
      </c>
      <c r="DY53" s="16">
        <v>4</v>
      </c>
      <c r="DZ53" s="16">
        <v>4</v>
      </c>
      <c r="EA53" s="17"/>
      <c r="EE53" s="17">
        <v>47</v>
      </c>
      <c r="EF53" s="59">
        <v>17502</v>
      </c>
      <c r="EG53" s="16">
        <v>13.000000000000002</v>
      </c>
      <c r="EH53" s="16">
        <v>52.000000002328306</v>
      </c>
      <c r="EI53" s="16" t="s">
        <v>20</v>
      </c>
      <c r="EJ53" s="16">
        <v>5</v>
      </c>
      <c r="EK53" s="16">
        <v>4.7</v>
      </c>
      <c r="EL53" s="17"/>
      <c r="EP53" s="17">
        <v>47</v>
      </c>
      <c r="EQ53" s="59">
        <v>18351</v>
      </c>
      <c r="ER53" s="16">
        <v>0.99999999999999933</v>
      </c>
      <c r="ES53" s="16">
        <v>16.0000000030268</v>
      </c>
      <c r="ET53" s="16" t="s">
        <v>20</v>
      </c>
      <c r="EU53" s="16">
        <v>4.5</v>
      </c>
      <c r="EV53" s="16">
        <v>2.7</v>
      </c>
      <c r="EW53" s="17"/>
      <c r="FA53" s="17">
        <v>47</v>
      </c>
      <c r="FB53" s="59">
        <v>20272</v>
      </c>
      <c r="FC53" s="16">
        <v>6.9999999999999991</v>
      </c>
      <c r="FD53" s="16">
        <v>8.99999999976717</v>
      </c>
      <c r="FE53" s="16" t="s">
        <v>20</v>
      </c>
      <c r="FF53" s="16">
        <v>5.5</v>
      </c>
      <c r="FG53" s="16">
        <v>5.5</v>
      </c>
      <c r="FH53" s="17"/>
      <c r="FL53" s="17">
        <v>47</v>
      </c>
      <c r="FM53" s="59">
        <v>20074</v>
      </c>
      <c r="FN53" s="16">
        <v>9</v>
      </c>
      <c r="FO53" s="16">
        <v>17.000000000931323</v>
      </c>
      <c r="FP53" s="16" t="s">
        <v>20</v>
      </c>
      <c r="FQ53" s="16">
        <v>5.1999999999999833</v>
      </c>
      <c r="FR53" s="16">
        <v>5.1</v>
      </c>
      <c r="FS53" s="17"/>
      <c r="FW53" s="17">
        <v>47</v>
      </c>
      <c r="FX53" s="59">
        <v>19645</v>
      </c>
      <c r="FY53" s="16" t="s">
        <v>20</v>
      </c>
      <c r="FZ53" s="16" t="s">
        <v>20</v>
      </c>
      <c r="GA53" s="16" t="s">
        <v>20</v>
      </c>
      <c r="GB53" s="16" t="s">
        <v>20</v>
      </c>
      <c r="GC53" s="16" t="s">
        <v>20</v>
      </c>
      <c r="GD53" s="17"/>
      <c r="GH53" s="17">
        <v>47</v>
      </c>
      <c r="GI53" s="59">
        <v>18525</v>
      </c>
      <c r="GJ53" s="16">
        <v>6.9999999999999991</v>
      </c>
      <c r="GK53" s="16">
        <v>27.999999998835847</v>
      </c>
      <c r="GL53" s="16">
        <v>500</v>
      </c>
      <c r="GM53" s="16">
        <v>5</v>
      </c>
      <c r="GN53" s="16">
        <v>4.8</v>
      </c>
      <c r="GO53" s="17"/>
      <c r="GS53" s="17"/>
      <c r="GT53" s="59"/>
      <c r="GU53" s="16"/>
      <c r="GV53" s="16"/>
      <c r="GW53" s="16"/>
      <c r="GX53" s="16"/>
      <c r="GY53" s="16"/>
      <c r="GZ53" s="17"/>
      <c r="HD53" s="17"/>
      <c r="HE53" s="59"/>
      <c r="HF53" s="16"/>
      <c r="HG53" s="16"/>
      <c r="HH53" s="16"/>
      <c r="HI53" s="16"/>
      <c r="HJ53" s="16"/>
      <c r="HK53" s="17"/>
      <c r="HO53" s="17"/>
      <c r="HP53" s="59"/>
      <c r="HQ53" s="16"/>
      <c r="HR53" s="16"/>
      <c r="HS53" s="16"/>
      <c r="HT53" s="16"/>
      <c r="HU53" s="16"/>
      <c r="HV53" s="17"/>
      <c r="HZ53" s="17"/>
      <c r="IA53" s="59"/>
      <c r="IB53" s="16"/>
      <c r="IC53" s="16"/>
      <c r="ID53" s="16"/>
      <c r="IE53" s="16"/>
      <c r="IF53" s="16"/>
      <c r="IG53" s="17"/>
      <c r="IK53" s="17"/>
      <c r="IL53" s="59"/>
      <c r="IM53" s="16"/>
      <c r="IN53" s="16"/>
      <c r="IO53" s="16"/>
      <c r="IP53" s="16"/>
      <c r="IQ53" s="16"/>
      <c r="IR53" s="17"/>
      <c r="IV53" s="17"/>
      <c r="IW53" s="59"/>
      <c r="IX53" s="16"/>
      <c r="IY53" s="16"/>
      <c r="IZ53" s="16"/>
      <c r="JA53" s="16"/>
      <c r="JB53" s="16"/>
      <c r="JC53" s="17"/>
      <c r="JG53" s="17"/>
      <c r="JH53" s="59"/>
      <c r="JI53" s="16"/>
      <c r="JJ53" s="16"/>
      <c r="JK53" s="16"/>
      <c r="JL53" s="16"/>
      <c r="JM53" s="16"/>
      <c r="JN53" s="17"/>
      <c r="JR53" s="17"/>
      <c r="JS53" s="59"/>
      <c r="JT53" s="16"/>
      <c r="JU53" s="16"/>
      <c r="JV53" s="16"/>
      <c r="JW53" s="16"/>
      <c r="JX53" s="16"/>
      <c r="JY53" s="17"/>
      <c r="KC53" s="17"/>
      <c r="KD53" s="59"/>
      <c r="KE53" s="16"/>
      <c r="KF53" s="16"/>
      <c r="KG53" s="16"/>
      <c r="KH53" s="16"/>
      <c r="KI53" s="16"/>
      <c r="KJ53" s="17"/>
      <c r="KN53" s="17"/>
      <c r="KO53" s="59"/>
      <c r="KP53" s="16"/>
      <c r="KQ53" s="16"/>
      <c r="KR53" s="16"/>
      <c r="KS53" s="16"/>
      <c r="KT53" s="16"/>
      <c r="KU53" s="17"/>
      <c r="KY53" s="17"/>
      <c r="KZ53" s="59"/>
      <c r="LA53" s="16"/>
      <c r="LB53" s="16"/>
      <c r="LC53" s="16"/>
      <c r="LD53" s="16"/>
      <c r="LE53" s="16"/>
      <c r="LF53" s="17"/>
      <c r="LJ53" s="17"/>
      <c r="LK53" s="59"/>
      <c r="LL53" s="16"/>
      <c r="LM53" s="16"/>
      <c r="LN53" s="16"/>
      <c r="LO53" s="16"/>
      <c r="LP53" s="16"/>
      <c r="LQ53" s="17"/>
    </row>
    <row r="54">
      <c r="C54" s="63">
        <v>48</v>
      </c>
      <c r="D54" s="64">
        <v>19640</v>
      </c>
      <c r="E54" s="16" t="s">
        <v>20</v>
      </c>
      <c r="F54" s="16" t="s">
        <v>20</v>
      </c>
      <c r="G54" s="21" t="s">
        <v>20</v>
      </c>
      <c r="H54" s="16" t="s">
        <v>20</v>
      </c>
      <c r="I54" s="16" t="s">
        <v>20</v>
      </c>
      <c r="J54" s="17"/>
      <c r="N54" s="66"/>
      <c r="O54" s="64"/>
      <c r="P54" s="16"/>
      <c r="Q54" s="16"/>
      <c r="R54" s="16"/>
      <c r="S54" s="16"/>
      <c r="T54" s="16"/>
      <c r="U54" s="17"/>
      <c r="Y54" s="66">
        <v>48</v>
      </c>
      <c r="Z54" s="64">
        <v>18750</v>
      </c>
      <c r="AA54" s="16" t="s">
        <v>20</v>
      </c>
      <c r="AB54" s="16" t="s">
        <v>20</v>
      </c>
      <c r="AC54" s="16" t="s">
        <v>20</v>
      </c>
      <c r="AD54" s="16" t="s">
        <v>20</v>
      </c>
      <c r="AE54" s="16" t="s">
        <v>20</v>
      </c>
      <c r="AF54" s="17"/>
      <c r="AJ54" s="17">
        <v>48</v>
      </c>
      <c r="AK54" s="64">
        <v>18418</v>
      </c>
      <c r="AL54" s="16">
        <v>4.9999999999999964</v>
      </c>
      <c r="AM54" s="16">
        <v>15.000000002328306</v>
      </c>
      <c r="AN54" s="16" t="s">
        <v>20</v>
      </c>
      <c r="AO54" s="16">
        <v>4.5</v>
      </c>
      <c r="AP54" s="16">
        <v>4</v>
      </c>
      <c r="AQ54" s="17"/>
      <c r="AU54" s="17">
        <v>48</v>
      </c>
      <c r="AV54" s="64">
        <v>18061</v>
      </c>
      <c r="AW54" s="16" t="s">
        <v>20</v>
      </c>
      <c r="AX54" s="16" t="s">
        <v>20</v>
      </c>
      <c r="AY54" s="16"/>
      <c r="AZ54" s="16" t="s">
        <v>20</v>
      </c>
      <c r="BA54" s="16" t="s">
        <v>20</v>
      </c>
      <c r="BB54" s="17"/>
      <c r="BF54" s="17">
        <v>48</v>
      </c>
      <c r="BG54" s="64">
        <v>18568</v>
      </c>
      <c r="BH54" s="16">
        <v>2.0000000000000018</v>
      </c>
      <c r="BI54" s="16">
        <v>21.000000001629815</v>
      </c>
      <c r="BJ54" s="16" t="s">
        <v>20</v>
      </c>
      <c r="BK54" s="16">
        <v>4.5</v>
      </c>
      <c r="BL54" s="16">
        <v>3.4</v>
      </c>
      <c r="BM54" s="17"/>
      <c r="BQ54" s="17">
        <v>48</v>
      </c>
      <c r="BR54" s="64">
        <v>18310</v>
      </c>
      <c r="BS54" s="16">
        <v>4.0000000000000036</v>
      </c>
      <c r="BT54" s="16">
        <v>12.999999992549419</v>
      </c>
      <c r="BU54" s="16" t="s">
        <v>20</v>
      </c>
      <c r="BV54" s="16">
        <v>4.5</v>
      </c>
      <c r="BW54" s="16">
        <v>2.5</v>
      </c>
      <c r="BX54" s="17"/>
      <c r="CB54" s="17"/>
      <c r="CC54" s="64"/>
      <c r="CD54" s="16"/>
      <c r="CE54" s="16"/>
      <c r="CF54" s="16"/>
      <c r="CG54" s="16"/>
      <c r="CH54" s="16"/>
      <c r="CI54" s="17"/>
      <c r="CM54" s="17">
        <v>48</v>
      </c>
      <c r="CN54" s="64">
        <v>19988</v>
      </c>
      <c r="CO54" s="16">
        <v>15.000000000000048</v>
      </c>
      <c r="CP54" s="16">
        <v>25.999999997438863</v>
      </c>
      <c r="CQ54" s="16">
        <v>1000</v>
      </c>
      <c r="CR54" s="16">
        <v>5</v>
      </c>
      <c r="CS54" s="16">
        <v>5</v>
      </c>
      <c r="CT54" s="17"/>
      <c r="CX54" s="17">
        <v>48</v>
      </c>
      <c r="CY54" s="59">
        <v>18262</v>
      </c>
      <c r="CZ54" s="16" t="s">
        <v>20</v>
      </c>
      <c r="DA54" s="16" t="s">
        <v>20</v>
      </c>
      <c r="DB54" s="16" t="s">
        <v>20</v>
      </c>
      <c r="DC54" s="16" t="s">
        <v>20</v>
      </c>
      <c r="DD54" s="16" t="s">
        <v>20</v>
      </c>
      <c r="DE54" s="17"/>
      <c r="DI54" s="17">
        <v>48</v>
      </c>
      <c r="DJ54" s="59">
        <v>19127</v>
      </c>
      <c r="DK54" s="16" t="s">
        <v>20</v>
      </c>
      <c r="DL54" s="16" t="s">
        <v>20</v>
      </c>
      <c r="DM54" s="16" t="s">
        <v>20</v>
      </c>
      <c r="DN54" s="16" t="s">
        <v>20</v>
      </c>
      <c r="DO54" s="16" t="s">
        <v>20</v>
      </c>
      <c r="DP54" s="17"/>
      <c r="DT54" s="17">
        <v>48</v>
      </c>
      <c r="DU54" s="59">
        <v>18898</v>
      </c>
      <c r="DV54" s="16">
        <v>4.9999999999999964</v>
      </c>
      <c r="DW54" s="16">
        <v>18.999999994412065</v>
      </c>
      <c r="DX54" s="16" t="s">
        <v>20</v>
      </c>
      <c r="DY54" s="16">
        <v>4</v>
      </c>
      <c r="DZ54" s="16">
        <v>3.8</v>
      </c>
      <c r="EA54" s="17"/>
      <c r="EE54" s="17">
        <v>48</v>
      </c>
      <c r="EF54" s="59">
        <v>17705</v>
      </c>
      <c r="EG54" s="16">
        <v>6.0000000000000053</v>
      </c>
      <c r="EH54" s="16">
        <v>14.999999995110556</v>
      </c>
      <c r="EI54" s="16" t="s">
        <v>20</v>
      </c>
      <c r="EJ54" s="16">
        <v>5</v>
      </c>
      <c r="EK54" s="16">
        <v>4.7</v>
      </c>
      <c r="EL54" s="17"/>
      <c r="EP54" s="17">
        <v>48</v>
      </c>
      <c r="EQ54" s="59">
        <v>18552</v>
      </c>
      <c r="ER54" s="16">
        <v>0.99999999999999933</v>
      </c>
      <c r="ES54" s="16">
        <v>52.999999997904524</v>
      </c>
      <c r="ET54" s="16" t="s">
        <v>20</v>
      </c>
      <c r="EU54" s="16">
        <v>4.5</v>
      </c>
      <c r="EV54" s="16">
        <v>3</v>
      </c>
      <c r="EW54" s="17"/>
      <c r="FA54" s="17">
        <v>48</v>
      </c>
      <c r="FB54" s="59">
        <v>20473</v>
      </c>
      <c r="FC54" s="16">
        <v>9</v>
      </c>
      <c r="FD54" s="16">
        <v>14.000000001629815</v>
      </c>
      <c r="FE54" s="16" t="s">
        <v>20</v>
      </c>
      <c r="FF54" s="16">
        <v>5.5</v>
      </c>
      <c r="FG54" s="16">
        <v>5.5</v>
      </c>
      <c r="FH54" s="17"/>
      <c r="FL54" s="17">
        <v>48</v>
      </c>
      <c r="FM54" s="59">
        <v>20273</v>
      </c>
      <c r="FN54" s="16">
        <v>6.9999999999999991</v>
      </c>
      <c r="FO54" s="16">
        <v>52.00000000372529</v>
      </c>
      <c r="FP54" s="16" t="s">
        <v>20</v>
      </c>
      <c r="FQ54" s="16">
        <v>5.1999999999999833</v>
      </c>
      <c r="FR54" s="16">
        <v>5.2</v>
      </c>
      <c r="FS54" s="17"/>
      <c r="FW54" s="17">
        <v>48</v>
      </c>
      <c r="FX54" s="59">
        <v>19886</v>
      </c>
      <c r="FY54" s="16" t="s">
        <v>20</v>
      </c>
      <c r="FZ54" s="16" t="s">
        <v>20</v>
      </c>
      <c r="GA54" s="16" t="s">
        <v>20</v>
      </c>
      <c r="GB54" s="16" t="s">
        <v>20</v>
      </c>
      <c r="GC54" s="16" t="s">
        <v>20</v>
      </c>
      <c r="GD54" s="17"/>
      <c r="GH54" s="17">
        <v>48</v>
      </c>
      <c r="GI54" s="59">
        <v>18727</v>
      </c>
      <c r="GJ54" s="16" t="s">
        <v>20</v>
      </c>
      <c r="GK54" s="16" t="s">
        <v>20</v>
      </c>
      <c r="GL54" s="16" t="s">
        <v>20</v>
      </c>
      <c r="GM54" s="16" t="s">
        <v>20</v>
      </c>
      <c r="GN54" s="16" t="s">
        <v>20</v>
      </c>
      <c r="GO54" s="17"/>
      <c r="GS54" s="17"/>
      <c r="GT54" s="59"/>
      <c r="GU54" s="16"/>
      <c r="GV54" s="16"/>
      <c r="GW54" s="16"/>
      <c r="GX54" s="16"/>
      <c r="GY54" s="16"/>
      <c r="GZ54" s="17"/>
      <c r="HD54" s="17"/>
      <c r="HE54" s="59"/>
      <c r="HF54" s="16"/>
      <c r="HG54" s="16"/>
      <c r="HH54" s="16"/>
      <c r="HI54" s="16"/>
      <c r="HJ54" s="16"/>
      <c r="HK54" s="17"/>
      <c r="HO54" s="17"/>
      <c r="HP54" s="59"/>
      <c r="HQ54" s="16"/>
      <c r="HR54" s="16"/>
      <c r="HS54" s="16"/>
      <c r="HT54" s="16"/>
      <c r="HU54" s="16"/>
      <c r="HV54" s="17"/>
      <c r="HZ54" s="17"/>
      <c r="IA54" s="59"/>
      <c r="IB54" s="16"/>
      <c r="IC54" s="16"/>
      <c r="ID54" s="16"/>
      <c r="IE54" s="16"/>
      <c r="IF54" s="16"/>
      <c r="IG54" s="17"/>
      <c r="IK54" s="17"/>
      <c r="IL54" s="59"/>
      <c r="IM54" s="16"/>
      <c r="IN54" s="16"/>
      <c r="IO54" s="16"/>
      <c r="IP54" s="16"/>
      <c r="IQ54" s="16"/>
      <c r="IR54" s="17"/>
      <c r="IV54" s="17"/>
      <c r="IW54" s="59"/>
      <c r="IX54" s="16"/>
      <c r="IY54" s="16"/>
      <c r="IZ54" s="16"/>
      <c r="JA54" s="16"/>
      <c r="JB54" s="16"/>
      <c r="JC54" s="17"/>
      <c r="JG54" s="17"/>
      <c r="JH54" s="59"/>
      <c r="JI54" s="16"/>
      <c r="JJ54" s="16"/>
      <c r="JK54" s="16"/>
      <c r="JL54" s="16"/>
      <c r="JM54" s="16"/>
      <c r="JN54" s="17"/>
      <c r="JR54" s="17"/>
      <c r="JS54" s="59"/>
      <c r="JT54" s="16"/>
      <c r="JU54" s="16"/>
      <c r="JV54" s="16"/>
      <c r="JW54" s="16"/>
      <c r="JX54" s="16"/>
      <c r="JY54" s="17"/>
      <c r="KC54" s="17"/>
      <c r="KD54" s="59"/>
      <c r="KE54" s="16"/>
      <c r="KF54" s="16"/>
      <c r="KG54" s="16"/>
      <c r="KH54" s="16"/>
      <c r="KI54" s="16"/>
      <c r="KJ54" s="17"/>
      <c r="KN54" s="17"/>
      <c r="KO54" s="59"/>
      <c r="KP54" s="16"/>
      <c r="KQ54" s="16"/>
      <c r="KR54" s="16"/>
      <c r="KS54" s="16"/>
      <c r="KT54" s="16"/>
      <c r="KU54" s="17"/>
      <c r="KY54" s="17"/>
      <c r="KZ54" s="59"/>
      <c r="LA54" s="16"/>
      <c r="LB54" s="16"/>
      <c r="LC54" s="16"/>
      <c r="LD54" s="16"/>
      <c r="LE54" s="16"/>
      <c r="LF54" s="17"/>
      <c r="LJ54" s="17"/>
      <c r="LK54" s="59"/>
      <c r="LL54" s="16"/>
      <c r="LM54" s="16"/>
      <c r="LN54" s="16"/>
      <c r="LO54" s="16"/>
      <c r="LP54" s="16"/>
      <c r="LQ54" s="17"/>
    </row>
    <row r="55">
      <c r="C55" s="63">
        <v>49</v>
      </c>
      <c r="D55" s="64">
        <v>17417</v>
      </c>
      <c r="E55" s="16" t="s">
        <v>20</v>
      </c>
      <c r="F55" s="16" t="s">
        <v>20</v>
      </c>
      <c r="G55" s="21" t="s">
        <v>20</v>
      </c>
      <c r="H55" s="16" t="s">
        <v>20</v>
      </c>
      <c r="I55" s="16" t="s">
        <v>20</v>
      </c>
      <c r="J55" s="17"/>
      <c r="N55" s="66"/>
      <c r="O55" s="64"/>
      <c r="P55" s="16"/>
      <c r="Q55" s="16"/>
      <c r="R55" s="16"/>
      <c r="S55" s="16"/>
      <c r="T55" s="16"/>
      <c r="U55" s="17"/>
      <c r="Y55" s="66">
        <v>49</v>
      </c>
      <c r="Z55" s="64">
        <v>18950</v>
      </c>
      <c r="AA55" s="16" t="s">
        <v>20</v>
      </c>
      <c r="AB55" s="16" t="s">
        <v>20</v>
      </c>
      <c r="AC55" s="16" t="s">
        <v>20</v>
      </c>
      <c r="AD55" s="16" t="s">
        <v>20</v>
      </c>
      <c r="AE55" s="16" t="s">
        <v>20</v>
      </c>
      <c r="AF55" s="17"/>
      <c r="AJ55" s="17">
        <v>49</v>
      </c>
      <c r="AK55" s="64">
        <v>18619</v>
      </c>
      <c r="AL55" s="16">
        <v>4.9999999999999964</v>
      </c>
      <c r="AM55" s="16">
        <v>9.99999999650754</v>
      </c>
      <c r="AN55" s="16" t="s">
        <v>20</v>
      </c>
      <c r="AO55" s="16">
        <v>4.5</v>
      </c>
      <c r="AP55" s="16">
        <v>4</v>
      </c>
      <c r="AQ55" s="17"/>
      <c r="AU55" s="17">
        <v>49</v>
      </c>
      <c r="AV55" s="64">
        <v>18262</v>
      </c>
      <c r="AW55" s="16" t="s">
        <v>20</v>
      </c>
      <c r="AX55" s="16" t="s">
        <v>20</v>
      </c>
      <c r="AY55" s="16"/>
      <c r="AZ55" s="16" t="s">
        <v>20</v>
      </c>
      <c r="BA55" s="16" t="s">
        <v>20</v>
      </c>
      <c r="BB55" s="17"/>
      <c r="BF55" s="17">
        <v>49</v>
      </c>
      <c r="BG55" s="64">
        <v>18770</v>
      </c>
      <c r="BH55" s="16">
        <v>2.0000000000000018</v>
      </c>
      <c r="BI55" s="16">
        <v>18.000000002328306</v>
      </c>
      <c r="BJ55" s="16" t="s">
        <v>20</v>
      </c>
      <c r="BK55" s="16">
        <v>4.5</v>
      </c>
      <c r="BL55" s="16">
        <v>3</v>
      </c>
      <c r="BM55" s="17"/>
      <c r="BQ55" s="17">
        <v>49</v>
      </c>
      <c r="BR55" s="64">
        <v>18513</v>
      </c>
      <c r="BS55" s="16">
        <v>2.9999999999999947</v>
      </c>
      <c r="BT55" s="16">
        <v>26.000000000232831</v>
      </c>
      <c r="BU55" s="16" t="s">
        <v>20</v>
      </c>
      <c r="BV55" s="16">
        <v>4.5</v>
      </c>
      <c r="BW55" s="16">
        <v>2.2</v>
      </c>
      <c r="BX55" s="17"/>
      <c r="CB55" s="17"/>
      <c r="CC55" s="64"/>
      <c r="CD55" s="16"/>
      <c r="CE55" s="16"/>
      <c r="CF55" s="16"/>
      <c r="CG55" s="16"/>
      <c r="CH55" s="16"/>
      <c r="CI55" s="17"/>
      <c r="CM55" s="17">
        <v>49</v>
      </c>
      <c r="CN55" s="64">
        <v>20190</v>
      </c>
      <c r="CO55" s="16">
        <v>9.9999999999999929</v>
      </c>
      <c r="CP55" s="16">
        <v>53.999999999068677</v>
      </c>
      <c r="CQ55" s="16">
        <v>1000</v>
      </c>
      <c r="CR55" s="16">
        <v>5</v>
      </c>
      <c r="CS55" s="16">
        <v>5.1</v>
      </c>
      <c r="CT55" s="17"/>
      <c r="CX55" s="17">
        <v>49</v>
      </c>
      <c r="CY55" s="59">
        <v>18462</v>
      </c>
      <c r="CZ55" s="16" t="s">
        <v>20</v>
      </c>
      <c r="DA55" s="16" t="s">
        <v>20</v>
      </c>
      <c r="DB55" s="16" t="s">
        <v>20</v>
      </c>
      <c r="DC55" s="16" t="s">
        <v>20</v>
      </c>
      <c r="DD55" s="16" t="s">
        <v>20</v>
      </c>
      <c r="DE55" s="17"/>
      <c r="DI55" s="17">
        <v>49</v>
      </c>
      <c r="DJ55" s="59">
        <v>19328</v>
      </c>
      <c r="DK55" s="16" t="s">
        <v>20</v>
      </c>
      <c r="DL55" s="16" t="s">
        <v>20</v>
      </c>
      <c r="DM55" s="16" t="s">
        <v>20</v>
      </c>
      <c r="DN55" s="16" t="s">
        <v>20</v>
      </c>
      <c r="DO55" s="16" t="s">
        <v>20</v>
      </c>
      <c r="DP55" s="17"/>
      <c r="DT55" s="17">
        <v>49</v>
      </c>
      <c r="DU55" s="59">
        <v>19101</v>
      </c>
      <c r="DV55" s="16">
        <v>4.9999999999999964</v>
      </c>
      <c r="DW55" s="16">
        <v>13.000000006286427</v>
      </c>
      <c r="DX55" s="16" t="s">
        <v>20</v>
      </c>
      <c r="DY55" s="16">
        <v>4</v>
      </c>
      <c r="DZ55" s="16">
        <v>3.6</v>
      </c>
      <c r="EA55" s="17"/>
      <c r="EE55" s="17">
        <v>49</v>
      </c>
      <c r="EF55" s="59">
        <v>17877</v>
      </c>
      <c r="EG55" s="16" t="s">
        <v>20</v>
      </c>
      <c r="EH55" s="16" t="s">
        <v>20</v>
      </c>
      <c r="EI55" s="16" t="s">
        <v>20</v>
      </c>
      <c r="EJ55" s="16" t="s">
        <v>20</v>
      </c>
      <c r="EK55" s="16" t="s">
        <v>20</v>
      </c>
      <c r="EL55" s="17"/>
      <c r="EP55" s="17">
        <v>49</v>
      </c>
      <c r="EQ55" s="59">
        <v>18754</v>
      </c>
      <c r="ER55" s="16">
        <v>0.99999999999999933</v>
      </c>
      <c r="ES55" s="16">
        <v>28.000000000232831</v>
      </c>
      <c r="ET55" s="16" t="s">
        <v>20</v>
      </c>
      <c r="EU55" s="16">
        <v>4.5</v>
      </c>
      <c r="EV55" s="16">
        <v>3.1</v>
      </c>
      <c r="EW55" s="17"/>
      <c r="FA55" s="17">
        <v>49</v>
      </c>
      <c r="FB55" s="59">
        <v>20674</v>
      </c>
      <c r="FC55" s="16">
        <v>9.9999999999999929</v>
      </c>
      <c r="FD55" s="16">
        <v>17.9999999969732</v>
      </c>
      <c r="FE55" s="16" t="s">
        <v>20</v>
      </c>
      <c r="FF55" s="16">
        <v>5.5</v>
      </c>
      <c r="FG55" s="16">
        <v>5.5</v>
      </c>
      <c r="FH55" s="17"/>
      <c r="FL55" s="17">
        <v>49</v>
      </c>
      <c r="FM55" s="59">
        <v>20472</v>
      </c>
      <c r="FN55" s="16">
        <v>6.9999999999999991</v>
      </c>
      <c r="FO55" s="16">
        <v>17.999999997671694</v>
      </c>
      <c r="FP55" s="16" t="s">
        <v>20</v>
      </c>
      <c r="FQ55" s="16">
        <v>5.1999999999999833</v>
      </c>
      <c r="FR55" s="16">
        <v>5.4</v>
      </c>
      <c r="FS55" s="17"/>
      <c r="FW55" s="17">
        <v>49</v>
      </c>
      <c r="FX55" s="59">
        <v>20127</v>
      </c>
      <c r="FY55" s="16" t="s">
        <v>20</v>
      </c>
      <c r="FZ55" s="16" t="s">
        <v>20</v>
      </c>
      <c r="GA55" s="16" t="s">
        <v>20</v>
      </c>
      <c r="GB55" s="16" t="s">
        <v>20</v>
      </c>
      <c r="GC55" s="16" t="s">
        <v>20</v>
      </c>
      <c r="GD55" s="17"/>
      <c r="GH55" s="17">
        <v>49</v>
      </c>
      <c r="GI55" s="59">
        <v>18929</v>
      </c>
      <c r="GJ55" s="16" t="s">
        <v>20</v>
      </c>
      <c r="GK55" s="16" t="s">
        <v>20</v>
      </c>
      <c r="GL55" s="16" t="s">
        <v>20</v>
      </c>
      <c r="GM55" s="16" t="s">
        <v>20</v>
      </c>
      <c r="GN55" s="16" t="s">
        <v>20</v>
      </c>
      <c r="GO55" s="17"/>
      <c r="GS55" s="17"/>
      <c r="GT55" s="59"/>
      <c r="GU55" s="16"/>
      <c r="GV55" s="16"/>
      <c r="GW55" s="16"/>
      <c r="GX55" s="16"/>
      <c r="GY55" s="16"/>
      <c r="GZ55" s="17"/>
      <c r="HD55" s="17"/>
      <c r="HE55" s="59"/>
      <c r="HF55" s="16"/>
      <c r="HG55" s="16"/>
      <c r="HH55" s="16"/>
      <c r="HI55" s="16"/>
      <c r="HJ55" s="16"/>
      <c r="HK55" s="17"/>
      <c r="HO55" s="17"/>
      <c r="HP55" s="59"/>
      <c r="HQ55" s="16"/>
      <c r="HR55" s="16"/>
      <c r="HS55" s="16"/>
      <c r="HT55" s="16"/>
      <c r="HU55" s="16"/>
      <c r="HV55" s="17"/>
      <c r="HZ55" s="17"/>
      <c r="IA55" s="59"/>
      <c r="IB55" s="16"/>
      <c r="IC55" s="16"/>
      <c r="ID55" s="16"/>
      <c r="IE55" s="16"/>
      <c r="IF55" s="16"/>
      <c r="IG55" s="17"/>
      <c r="IK55" s="17"/>
      <c r="IL55" s="59"/>
      <c r="IM55" s="16"/>
      <c r="IN55" s="16"/>
      <c r="IO55" s="16"/>
      <c r="IP55" s="16"/>
      <c r="IQ55" s="16"/>
      <c r="IR55" s="17"/>
      <c r="IV55" s="17"/>
      <c r="IW55" s="59"/>
      <c r="IX55" s="16"/>
      <c r="IY55" s="16"/>
      <c r="IZ55" s="16"/>
      <c r="JA55" s="16"/>
      <c r="JB55" s="16"/>
      <c r="JC55" s="17"/>
      <c r="JG55" s="17"/>
      <c r="JH55" s="59"/>
      <c r="JI55" s="16"/>
      <c r="JJ55" s="16"/>
      <c r="JK55" s="16"/>
      <c r="JL55" s="16"/>
      <c r="JM55" s="16"/>
      <c r="JN55" s="17"/>
      <c r="JR55" s="17"/>
      <c r="JS55" s="59"/>
      <c r="JT55" s="16"/>
      <c r="JU55" s="16"/>
      <c r="JV55" s="16"/>
      <c r="JW55" s="16"/>
      <c r="JX55" s="16"/>
      <c r="JY55" s="17"/>
      <c r="KC55" s="17"/>
      <c r="KD55" s="59"/>
      <c r="KE55" s="16"/>
      <c r="KF55" s="16"/>
      <c r="KG55" s="16"/>
      <c r="KH55" s="16"/>
      <c r="KI55" s="16"/>
      <c r="KJ55" s="17"/>
      <c r="KN55" s="17"/>
      <c r="KO55" s="59"/>
      <c r="KP55" s="16"/>
      <c r="KQ55" s="16"/>
      <c r="KR55" s="16"/>
      <c r="KS55" s="16"/>
      <c r="KT55" s="16"/>
      <c r="KU55" s="17"/>
      <c r="KY55" s="17"/>
      <c r="KZ55" s="59"/>
      <c r="LA55" s="16"/>
      <c r="LB55" s="16"/>
      <c r="LC55" s="16"/>
      <c r="LD55" s="16"/>
      <c r="LE55" s="16"/>
      <c r="LF55" s="17"/>
      <c r="LJ55" s="17"/>
      <c r="LK55" s="59"/>
      <c r="LL55" s="16"/>
      <c r="LM55" s="16"/>
      <c r="LN55" s="16"/>
      <c r="LO55" s="16"/>
      <c r="LP55" s="16"/>
      <c r="LQ55" s="17"/>
    </row>
    <row r="56">
      <c r="A56" s="45" t="s">
        <v>255</v>
      </c>
      <c r="B56" s="79"/>
      <c r="C56" s="63">
        <v>50</v>
      </c>
      <c r="D56" s="64">
        <v>19842</v>
      </c>
      <c r="E56" s="16" t="s">
        <v>20</v>
      </c>
      <c r="F56" s="16" t="s">
        <v>20</v>
      </c>
      <c r="G56" s="21" t="s">
        <v>20</v>
      </c>
      <c r="H56" s="16" t="s">
        <v>20</v>
      </c>
      <c r="I56" s="16" t="s">
        <v>20</v>
      </c>
      <c r="J56" s="17"/>
      <c r="L56" s="45" t="s">
        <v>255</v>
      </c>
      <c r="M56" s="79"/>
      <c r="N56" s="66"/>
      <c r="O56" s="64"/>
      <c r="P56" s="16"/>
      <c r="Q56" s="16"/>
      <c r="R56" s="16"/>
      <c r="S56" s="16"/>
      <c r="T56" s="16"/>
      <c r="U56" s="17"/>
      <c r="W56" s="45" t="s">
        <v>255</v>
      </c>
      <c r="X56" s="79"/>
      <c r="Y56" s="66">
        <v>50</v>
      </c>
      <c r="Z56" s="64">
        <v>19151</v>
      </c>
      <c r="AA56" s="16" t="s">
        <v>20</v>
      </c>
      <c r="AB56" s="16" t="s">
        <v>20</v>
      </c>
      <c r="AC56" s="16" t="s">
        <v>20</v>
      </c>
      <c r="AD56" s="16" t="s">
        <v>20</v>
      </c>
      <c r="AE56" s="16" t="s">
        <v>20</v>
      </c>
      <c r="AF56" s="17"/>
      <c r="AH56" s="45" t="s">
        <v>255</v>
      </c>
      <c r="AI56" s="79"/>
      <c r="AJ56" s="17">
        <v>50</v>
      </c>
      <c r="AK56" s="64">
        <v>18821</v>
      </c>
      <c r="AL56" s="16">
        <v>2.9999999999999947</v>
      </c>
      <c r="AM56" s="16">
        <v>12.999999999767169</v>
      </c>
      <c r="AN56" s="16">
        <v>12000</v>
      </c>
      <c r="AO56" s="16">
        <v>4.5</v>
      </c>
      <c r="AP56" s="16">
        <v>4</v>
      </c>
      <c r="AQ56" s="17"/>
      <c r="AS56" s="45" t="s">
        <v>255</v>
      </c>
      <c r="AT56" s="79"/>
      <c r="AU56" s="17">
        <v>50</v>
      </c>
      <c r="AV56" s="64">
        <v>18463</v>
      </c>
      <c r="AW56" s="16" t="s">
        <v>20</v>
      </c>
      <c r="AX56" s="16" t="s">
        <v>20</v>
      </c>
      <c r="AY56" s="16"/>
      <c r="AZ56" s="16" t="s">
        <v>20</v>
      </c>
      <c r="BA56" s="16" t="s">
        <v>20</v>
      </c>
      <c r="BB56" s="17"/>
      <c r="BD56" s="45" t="s">
        <v>255</v>
      </c>
      <c r="BE56" s="79"/>
      <c r="BF56" s="17">
        <v>50</v>
      </c>
      <c r="BG56" s="64">
        <v>18971</v>
      </c>
      <c r="BH56" s="16">
        <v>2.0000000000000018</v>
      </c>
      <c r="BI56" s="16">
        <v>14.999999992549419</v>
      </c>
      <c r="BJ56" s="16" t="s">
        <v>20</v>
      </c>
      <c r="BK56" s="16">
        <v>4.5</v>
      </c>
      <c r="BL56" s="16">
        <v>2.8</v>
      </c>
      <c r="BM56" s="17"/>
      <c r="BO56" s="45" t="s">
        <v>255</v>
      </c>
      <c r="BP56" s="79"/>
      <c r="BQ56" s="17">
        <v>50</v>
      </c>
      <c r="BR56" s="64">
        <v>18713</v>
      </c>
      <c r="BS56" s="16">
        <v>2.9999999999999947</v>
      </c>
      <c r="BT56" s="16">
        <v>19.000000008847564</v>
      </c>
      <c r="BU56" s="16" t="s">
        <v>20</v>
      </c>
      <c r="BV56" s="16">
        <v>4.5</v>
      </c>
      <c r="BW56" s="16">
        <v>2.5</v>
      </c>
      <c r="BX56" s="17"/>
      <c r="BZ56" s="45" t="s">
        <v>255</v>
      </c>
      <c r="CA56" s="79"/>
      <c r="CB56" s="17"/>
      <c r="CC56" s="64"/>
      <c r="CD56" s="16"/>
      <c r="CE56" s="16"/>
      <c r="CF56" s="16"/>
      <c r="CG56" s="16"/>
      <c r="CH56" s="16"/>
      <c r="CI56" s="17"/>
      <c r="CK56" s="45" t="s">
        <v>255</v>
      </c>
      <c r="CL56" s="79"/>
      <c r="CM56" s="17">
        <v>50</v>
      </c>
      <c r="CN56" s="64">
        <v>20393</v>
      </c>
      <c r="CO56" s="16">
        <v>6.9999999999999991</v>
      </c>
      <c r="CP56" s="16">
        <v>39.000000003259629</v>
      </c>
      <c r="CQ56" s="16">
        <v>1000</v>
      </c>
      <c r="CR56" s="16">
        <v>5.1999999999999833</v>
      </c>
      <c r="CS56" s="16">
        <v>5.1</v>
      </c>
      <c r="CT56" s="17"/>
      <c r="CV56" s="45" t="s">
        <v>255</v>
      </c>
      <c r="CW56" s="79"/>
      <c r="CX56" s="17">
        <v>50</v>
      </c>
      <c r="CY56" s="59">
        <v>18663</v>
      </c>
      <c r="CZ56" s="16" t="s">
        <v>20</v>
      </c>
      <c r="DA56" s="16" t="s">
        <v>20</v>
      </c>
      <c r="DB56" s="16" t="s">
        <v>20</v>
      </c>
      <c r="DC56" s="16" t="s">
        <v>20</v>
      </c>
      <c r="DD56" s="16" t="s">
        <v>20</v>
      </c>
      <c r="DE56" s="17"/>
      <c r="DG56" s="45" t="s">
        <v>255</v>
      </c>
      <c r="DH56" s="79"/>
      <c r="DI56" s="17">
        <v>50</v>
      </c>
      <c r="DJ56" s="59">
        <v>19529</v>
      </c>
      <c r="DK56" s="16" t="s">
        <v>20</v>
      </c>
      <c r="DL56" s="16" t="s">
        <v>20</v>
      </c>
      <c r="DM56" s="16" t="s">
        <v>20</v>
      </c>
      <c r="DN56" s="16" t="s">
        <v>20</v>
      </c>
      <c r="DO56" s="16" t="s">
        <v>20</v>
      </c>
      <c r="DP56" s="17"/>
      <c r="DR56" s="45" t="s">
        <v>255</v>
      </c>
      <c r="DS56" s="79"/>
      <c r="DT56" s="17">
        <v>50</v>
      </c>
      <c r="DU56" s="59">
        <v>19305</v>
      </c>
      <c r="DV56" s="16">
        <v>4.0000000000000036</v>
      </c>
      <c r="DW56" s="16">
        <v>22.000000000931323</v>
      </c>
      <c r="DX56" s="16" t="s">
        <v>20</v>
      </c>
      <c r="DY56" s="16">
        <v>4</v>
      </c>
      <c r="DZ56" s="16">
        <v>3.5</v>
      </c>
      <c r="EA56" s="17"/>
      <c r="EC56" s="45" t="s">
        <v>255</v>
      </c>
      <c r="ED56" s="79"/>
      <c r="EE56" s="17">
        <v>50</v>
      </c>
      <c r="EF56" s="59">
        <v>17907</v>
      </c>
      <c r="EG56" s="16" t="s">
        <v>20</v>
      </c>
      <c r="EH56" s="16" t="s">
        <v>20</v>
      </c>
      <c r="EI56" s="16" t="s">
        <v>20</v>
      </c>
      <c r="EJ56" s="16" t="s">
        <v>20</v>
      </c>
      <c r="EK56" s="16" t="s">
        <v>20</v>
      </c>
      <c r="EL56" s="17"/>
      <c r="EN56" s="45" t="s">
        <v>255</v>
      </c>
      <c r="EO56" s="79"/>
      <c r="EP56" s="17">
        <v>50</v>
      </c>
      <c r="EQ56" s="59">
        <v>18956</v>
      </c>
      <c r="ER56" s="16">
        <v>0.99999999999999933</v>
      </c>
      <c r="ES56" s="16">
        <v>26.000000004190952</v>
      </c>
      <c r="ET56" s="16" t="s">
        <v>20</v>
      </c>
      <c r="EU56" s="16">
        <v>4.5</v>
      </c>
      <c r="EV56" s="16">
        <v>3.1</v>
      </c>
      <c r="EW56" s="17"/>
      <c r="EY56" s="45" t="s">
        <v>255</v>
      </c>
      <c r="EZ56" s="79"/>
      <c r="FA56" s="17">
        <v>50</v>
      </c>
      <c r="FB56" s="59">
        <v>20874</v>
      </c>
      <c r="FC56" s="16">
        <v>9.9999999999999929</v>
      </c>
      <c r="FD56" s="16">
        <v>15.000000008149073</v>
      </c>
      <c r="FE56" s="16" t="s">
        <v>20</v>
      </c>
      <c r="FF56" s="16">
        <v>5.5</v>
      </c>
      <c r="FG56" s="16">
        <v>5.5</v>
      </c>
      <c r="FH56" s="17"/>
      <c r="FJ56" s="45" t="s">
        <v>255</v>
      </c>
      <c r="FK56" s="79"/>
      <c r="FL56" s="17">
        <v>50</v>
      </c>
      <c r="FM56" s="59">
        <v>20671</v>
      </c>
      <c r="FN56" s="16">
        <v>11.000000000000002</v>
      </c>
      <c r="FO56" s="16">
        <v>16.9999999969732</v>
      </c>
      <c r="FP56" s="16" t="s">
        <v>20</v>
      </c>
      <c r="FQ56" s="16">
        <v>5.1999999999999833</v>
      </c>
      <c r="FR56" s="16">
        <v>5.4</v>
      </c>
      <c r="FS56" s="17"/>
      <c r="FU56" s="45" t="s">
        <v>255</v>
      </c>
      <c r="FV56" s="79"/>
      <c r="FW56" s="17">
        <v>50</v>
      </c>
      <c r="FX56" s="59">
        <v>20368</v>
      </c>
      <c r="FY56" s="16" t="s">
        <v>20</v>
      </c>
      <c r="FZ56" s="16" t="s">
        <v>20</v>
      </c>
      <c r="GA56" s="16" t="s">
        <v>20</v>
      </c>
      <c r="GB56" s="16" t="s">
        <v>20</v>
      </c>
      <c r="GC56" s="16" t="s">
        <v>20</v>
      </c>
      <c r="GD56" s="17"/>
      <c r="GF56" s="45" t="s">
        <v>255</v>
      </c>
      <c r="GG56" s="79"/>
      <c r="GH56" s="17">
        <v>50</v>
      </c>
      <c r="GI56" s="59">
        <v>19130</v>
      </c>
      <c r="GJ56" s="16" t="s">
        <v>20</v>
      </c>
      <c r="GK56" s="16" t="s">
        <v>20</v>
      </c>
      <c r="GL56" s="16" t="s">
        <v>20</v>
      </c>
      <c r="GM56" s="16" t="s">
        <v>20</v>
      </c>
      <c r="GN56" s="16" t="s">
        <v>20</v>
      </c>
      <c r="GO56" s="17"/>
      <c r="GQ56" s="45" t="s">
        <v>255</v>
      </c>
      <c r="GR56" s="79"/>
      <c r="GS56" s="17"/>
      <c r="GT56" s="59"/>
      <c r="GU56" s="16"/>
      <c r="GV56" s="16"/>
      <c r="GW56" s="16"/>
      <c r="GX56" s="16"/>
      <c r="GY56" s="16"/>
      <c r="GZ56" s="17"/>
      <c r="HB56" s="45" t="s">
        <v>255</v>
      </c>
      <c r="HC56" s="79"/>
      <c r="HD56" s="17"/>
      <c r="HE56" s="59"/>
      <c r="HF56" s="16"/>
      <c r="HG56" s="16"/>
      <c r="HH56" s="16"/>
      <c r="HI56" s="16"/>
      <c r="HJ56" s="16"/>
      <c r="HK56" s="17"/>
      <c r="HM56" s="45" t="s">
        <v>255</v>
      </c>
      <c r="HN56" s="79"/>
      <c r="HO56" s="17"/>
      <c r="HP56" s="59"/>
      <c r="HQ56" s="16"/>
      <c r="HR56" s="16"/>
      <c r="HS56" s="16"/>
      <c r="HT56" s="16"/>
      <c r="HU56" s="16"/>
      <c r="HV56" s="17"/>
      <c r="HX56" s="45" t="s">
        <v>255</v>
      </c>
      <c r="HY56" s="79"/>
      <c r="HZ56" s="17"/>
      <c r="IA56" s="59"/>
      <c r="IB56" s="16"/>
      <c r="IC56" s="16"/>
      <c r="ID56" s="16"/>
      <c r="IE56" s="16"/>
      <c r="IF56" s="16"/>
      <c r="IG56" s="17"/>
      <c r="II56" s="45" t="s">
        <v>255</v>
      </c>
      <c r="IJ56" s="79"/>
      <c r="IK56" s="17"/>
      <c r="IL56" s="59"/>
      <c r="IM56" s="16"/>
      <c r="IN56" s="16"/>
      <c r="IO56" s="16"/>
      <c r="IP56" s="16"/>
      <c r="IQ56" s="16"/>
      <c r="IR56" s="17"/>
      <c r="IT56" s="45" t="s">
        <v>255</v>
      </c>
      <c r="IU56" s="79"/>
      <c r="IV56" s="17"/>
      <c r="IW56" s="59"/>
      <c r="IX56" s="16"/>
      <c r="IY56" s="16"/>
      <c r="IZ56" s="16"/>
      <c r="JA56" s="16"/>
      <c r="JB56" s="16"/>
      <c r="JC56" s="17"/>
      <c r="JE56" s="45" t="s">
        <v>255</v>
      </c>
      <c r="JF56" s="79"/>
      <c r="JG56" s="17"/>
      <c r="JH56" s="59"/>
      <c r="JI56" s="16"/>
      <c r="JJ56" s="16"/>
      <c r="JK56" s="16"/>
      <c r="JL56" s="16"/>
      <c r="JM56" s="16"/>
      <c r="JN56" s="17"/>
      <c r="JP56" s="45" t="s">
        <v>255</v>
      </c>
      <c r="JQ56" s="79"/>
      <c r="JR56" s="17"/>
      <c r="JS56" s="59"/>
      <c r="JT56" s="16"/>
      <c r="JU56" s="16"/>
      <c r="JV56" s="16"/>
      <c r="JW56" s="16"/>
      <c r="JX56" s="16"/>
      <c r="JY56" s="17"/>
      <c r="KA56" s="45" t="s">
        <v>255</v>
      </c>
      <c r="KB56" s="79"/>
      <c r="KC56" s="17"/>
      <c r="KD56" s="59"/>
      <c r="KE56" s="16"/>
      <c r="KF56" s="16"/>
      <c r="KG56" s="16"/>
      <c r="KH56" s="16"/>
      <c r="KI56" s="16"/>
      <c r="KJ56" s="17"/>
      <c r="KL56" s="45" t="s">
        <v>255</v>
      </c>
      <c r="KM56" s="79"/>
      <c r="KN56" s="17"/>
      <c r="KO56" s="59"/>
      <c r="KP56" s="16"/>
      <c r="KQ56" s="16"/>
      <c r="KR56" s="16"/>
      <c r="KS56" s="16"/>
      <c r="KT56" s="16"/>
      <c r="KU56" s="17"/>
      <c r="KW56" s="45" t="s">
        <v>255</v>
      </c>
      <c r="KX56" s="79"/>
      <c r="KY56" s="17"/>
      <c r="KZ56" s="59"/>
      <c r="LA56" s="16"/>
      <c r="LB56" s="16"/>
      <c r="LC56" s="16"/>
      <c r="LD56" s="16"/>
      <c r="LE56" s="16"/>
      <c r="LF56" s="17"/>
      <c r="LH56" s="45" t="s">
        <v>255</v>
      </c>
      <c r="LI56" s="79"/>
      <c r="LJ56" s="17"/>
      <c r="LK56" s="59"/>
      <c r="LL56" s="16"/>
      <c r="LM56" s="16"/>
      <c r="LN56" s="16"/>
      <c r="LO56" s="16"/>
      <c r="LP56" s="16"/>
      <c r="LQ56" s="17"/>
    </row>
    <row r="57">
      <c r="A57" s="0" t="s">
        <v>256</v>
      </c>
      <c r="B57" s="46" t="str">
        <f>LOWER(SUBSTITUTE(_xlfn.CONCAT(B7,B27,B11), " ", ""))</f>
      </c>
      <c r="C57" s="63">
        <v>51</v>
      </c>
      <c r="D57" s="64">
        <v>20044</v>
      </c>
      <c r="E57" s="16" t="s">
        <v>20</v>
      </c>
      <c r="F57" s="16" t="s">
        <v>20</v>
      </c>
      <c r="G57" s="21" t="s">
        <v>20</v>
      </c>
      <c r="H57" s="16" t="s">
        <v>20</v>
      </c>
      <c r="I57" s="16" t="s">
        <v>20</v>
      </c>
      <c r="J57" s="17"/>
      <c r="L57" s="0" t="s">
        <v>256</v>
      </c>
      <c r="M57" s="46" t="str">
        <f>LOWER(SUBSTITUTE(_xlfn.CONCAT(M7,M27,M11), " ", ""))</f>
      </c>
      <c r="N57" s="66"/>
      <c r="O57" s="64"/>
      <c r="P57" s="16"/>
      <c r="Q57" s="16"/>
      <c r="R57" s="16"/>
      <c r="S57" s="16"/>
      <c r="T57" s="16"/>
      <c r="U57" s="17"/>
      <c r="W57" s="0" t="s">
        <v>256</v>
      </c>
      <c r="X57" s="46" t="str">
        <f>LOWER(SUBSTITUTE(_xlfn.CONCAT(X7,X27,X11), " ", ""))</f>
      </c>
      <c r="Y57" s="66">
        <v>51</v>
      </c>
      <c r="Z57" s="64">
        <v>19351</v>
      </c>
      <c r="AA57" s="16" t="s">
        <v>20</v>
      </c>
      <c r="AB57" s="16" t="s">
        <v>20</v>
      </c>
      <c r="AC57" s="16" t="s">
        <v>20</v>
      </c>
      <c r="AD57" s="16" t="s">
        <v>20</v>
      </c>
      <c r="AE57" s="16" t="s">
        <v>20</v>
      </c>
      <c r="AF57" s="17"/>
      <c r="AH57" s="0" t="s">
        <v>256</v>
      </c>
      <c r="AI57" s="46" t="str">
        <f>LOWER(SUBSTITUTE(_xlfn.CONCAT(AI7,AI27,AI11), " ", ""))</f>
      </c>
      <c r="AJ57" s="17">
        <v>51</v>
      </c>
      <c r="AK57" s="64">
        <v>19023</v>
      </c>
      <c r="AL57" s="16">
        <v>2.9999999999999947</v>
      </c>
      <c r="AM57" s="16">
        <v>11.00000000372529</v>
      </c>
      <c r="AN57" s="16" t="s">
        <v>20</v>
      </c>
      <c r="AO57" s="16">
        <v>4.5</v>
      </c>
      <c r="AP57" s="16">
        <v>4</v>
      </c>
      <c r="AQ57" s="17"/>
      <c r="AS57" s="0" t="s">
        <v>256</v>
      </c>
      <c r="AT57" s="46" t="str">
        <f>LOWER(SUBSTITUTE(_xlfn.CONCAT(AT7,AT27,AT11), " ", ""))</f>
      </c>
      <c r="AU57" s="17">
        <v>51</v>
      </c>
      <c r="AV57" s="64">
        <v>18664</v>
      </c>
      <c r="AW57" s="16" t="s">
        <v>20</v>
      </c>
      <c r="AX57" s="16" t="s">
        <v>20</v>
      </c>
      <c r="AY57" s="16"/>
      <c r="AZ57" s="16" t="s">
        <v>20</v>
      </c>
      <c r="BA57" s="16" t="s">
        <v>20</v>
      </c>
      <c r="BB57" s="17"/>
      <c r="BD57" s="0" t="s">
        <v>256</v>
      </c>
      <c r="BE57" s="46" t="str">
        <f>LOWER(SUBSTITUTE(_xlfn.CONCAT(BE7,BE27,BE11), " ", ""))</f>
      </c>
      <c r="BF57" s="17">
        <v>51</v>
      </c>
      <c r="BG57" s="64">
        <v>19173</v>
      </c>
      <c r="BH57" s="16">
        <v>2.0000000000000018</v>
      </c>
      <c r="BI57" s="16">
        <v>19.000000005587935</v>
      </c>
      <c r="BJ57" s="16" t="s">
        <v>20</v>
      </c>
      <c r="BK57" s="16">
        <v>4.5</v>
      </c>
      <c r="BL57" s="16">
        <v>2.8</v>
      </c>
      <c r="BM57" s="17"/>
      <c r="BO57" s="0" t="s">
        <v>256</v>
      </c>
      <c r="BP57" s="46" t="str">
        <f>LOWER(SUBSTITUTE(_xlfn.CONCAT(BP7,BP27,BP11), " ", ""))</f>
      </c>
      <c r="BQ57" s="17">
        <v>51</v>
      </c>
      <c r="BR57" s="64">
        <v>18913</v>
      </c>
      <c r="BS57" s="16">
        <v>4.0000000000000036</v>
      </c>
      <c r="BT57" s="16">
        <v>9.0000000004656613</v>
      </c>
      <c r="BU57" s="16" t="s">
        <v>20</v>
      </c>
      <c r="BV57" s="16">
        <v>4.5</v>
      </c>
      <c r="BW57" s="16">
        <v>2.2</v>
      </c>
      <c r="BX57" s="17"/>
      <c r="BZ57" s="0" t="s">
        <v>256</v>
      </c>
      <c r="CA57" s="46" t="str">
        <f>LOWER(SUBSTITUTE(_xlfn.CONCAT(CA7,CA27,CA11), " ", ""))</f>
      </c>
      <c r="CB57" s="17"/>
      <c r="CC57" s="64"/>
      <c r="CD57" s="16"/>
      <c r="CE57" s="16"/>
      <c r="CF57" s="16"/>
      <c r="CG57" s="16"/>
      <c r="CH57" s="16"/>
      <c r="CI57" s="17"/>
      <c r="CK57" s="0" t="s">
        <v>256</v>
      </c>
      <c r="CL57" s="46" t="str">
        <f>LOWER(SUBSTITUTE(_xlfn.CONCAT(CL7,CL27,CL11), " ", ""))</f>
      </c>
      <c r="CM57" s="17">
        <v>51</v>
      </c>
      <c r="CN57" s="64">
        <v>20595</v>
      </c>
      <c r="CO57" s="16">
        <v>9</v>
      </c>
      <c r="CP57" s="16">
        <v>37.999999996041879</v>
      </c>
      <c r="CQ57" s="16">
        <v>500</v>
      </c>
      <c r="CR57" s="16">
        <v>5.1999999999999833</v>
      </c>
      <c r="CS57" s="16">
        <v>5.1</v>
      </c>
      <c r="CT57" s="17"/>
      <c r="CV57" s="0" t="s">
        <v>256</v>
      </c>
      <c r="CW57" s="46" t="str">
        <f>LOWER(SUBSTITUTE(_xlfn.CONCAT(CW7,CW27,CW11), " ", ""))</f>
      </c>
      <c r="CX57" s="17">
        <v>51</v>
      </c>
      <c r="CY57" s="59">
        <v>18863</v>
      </c>
      <c r="CZ57" s="16" t="s">
        <v>20</v>
      </c>
      <c r="DA57" s="16" t="s">
        <v>20</v>
      </c>
      <c r="DB57" s="16" t="s">
        <v>20</v>
      </c>
      <c r="DC57" s="16" t="s">
        <v>20</v>
      </c>
      <c r="DD57" s="16" t="s">
        <v>20</v>
      </c>
      <c r="DE57" s="17"/>
      <c r="DG57" s="0" t="s">
        <v>256</v>
      </c>
      <c r="DH57" s="46" t="str">
        <f>LOWER(SUBSTITUTE(_xlfn.CONCAT(DH7,DH27,DH11), " ", ""))</f>
      </c>
      <c r="DI57" s="17">
        <v>51</v>
      </c>
      <c r="DJ57" s="59">
        <v>19731</v>
      </c>
      <c r="DK57" s="16" t="s">
        <v>20</v>
      </c>
      <c r="DL57" s="16" t="s">
        <v>20</v>
      </c>
      <c r="DM57" s="16" t="s">
        <v>20</v>
      </c>
      <c r="DN57" s="16" t="s">
        <v>20</v>
      </c>
      <c r="DO57" s="16" t="s">
        <v>20</v>
      </c>
      <c r="DP57" s="17"/>
      <c r="DR57" s="0" t="s">
        <v>256</v>
      </c>
      <c r="DS57" s="46" t="str">
        <f>LOWER(SUBSTITUTE(_xlfn.CONCAT(DS7,DS27,DS11), " ", ""))</f>
      </c>
      <c r="DT57" s="17">
        <v>51</v>
      </c>
      <c r="DU57" s="59">
        <v>19508</v>
      </c>
      <c r="DV57" s="16" t="s">
        <v>20</v>
      </c>
      <c r="DW57" s="16" t="s">
        <v>20</v>
      </c>
      <c r="DX57" s="16" t="s">
        <v>20</v>
      </c>
      <c r="DY57" s="16" t="s">
        <v>20</v>
      </c>
      <c r="DZ57" s="16" t="s">
        <v>20</v>
      </c>
      <c r="EA57" s="17"/>
      <c r="EC57" s="0" t="s">
        <v>256</v>
      </c>
      <c r="ED57" s="46" t="str">
        <f>LOWER(SUBSTITUTE(_xlfn.CONCAT(ED7,ED27,ED11), " ", ""))</f>
      </c>
      <c r="EE57" s="17"/>
      <c r="EF57" s="59"/>
      <c r="EG57" s="16"/>
      <c r="EH57" s="16"/>
      <c r="EI57" s="16"/>
      <c r="EJ57" s="16"/>
      <c r="EK57" s="16"/>
      <c r="EL57" s="17"/>
      <c r="EN57" s="0" t="s">
        <v>256</v>
      </c>
      <c r="EO57" s="46" t="str">
        <f>LOWER(SUBSTITUTE(_xlfn.CONCAT(EO7,EO27,EO11), " ", ""))</f>
      </c>
      <c r="EP57" s="17">
        <v>51</v>
      </c>
      <c r="EQ57" s="59">
        <v>19158</v>
      </c>
      <c r="ER57" s="16">
        <v>0.99999999999999933</v>
      </c>
      <c r="ES57" s="16">
        <v>19.999999995110556</v>
      </c>
      <c r="ET57" s="16" t="s">
        <v>20</v>
      </c>
      <c r="EU57" s="16">
        <v>4.5</v>
      </c>
      <c r="EV57" s="16">
        <v>2</v>
      </c>
      <c r="EW57" s="17"/>
      <c r="EY57" s="0" t="s">
        <v>256</v>
      </c>
      <c r="EZ57" s="46" t="str">
        <f>LOWER(SUBSTITUTE(_xlfn.CONCAT(EZ7,EZ27,EZ11), " ", ""))</f>
      </c>
      <c r="FA57" s="17">
        <v>51</v>
      </c>
      <c r="FB57" s="59">
        <v>21074</v>
      </c>
      <c r="FC57" s="16">
        <v>11.000000000000002</v>
      </c>
      <c r="FD57" s="16">
        <v>18.999999993015081</v>
      </c>
      <c r="FE57" s="16" t="s">
        <v>20</v>
      </c>
      <c r="FF57" s="16">
        <v>5.5</v>
      </c>
      <c r="FG57" s="16">
        <v>5.5</v>
      </c>
      <c r="FH57" s="17"/>
      <c r="FJ57" s="0" t="s">
        <v>256</v>
      </c>
      <c r="FK57" s="46" t="str">
        <f>LOWER(SUBSTITUTE(_xlfn.CONCAT(FK7,FK27,FK11), " ", ""))</f>
      </c>
      <c r="FL57" s="17">
        <v>51</v>
      </c>
      <c r="FM57" s="59">
        <v>20870</v>
      </c>
      <c r="FN57" s="16">
        <v>6.0000000000000053</v>
      </c>
      <c r="FO57" s="16">
        <v>31.000000005355105</v>
      </c>
      <c r="FP57" s="16" t="s">
        <v>20</v>
      </c>
      <c r="FQ57" s="16">
        <v>5.1999999999999833</v>
      </c>
      <c r="FR57" s="16">
        <v>5.2</v>
      </c>
      <c r="FS57" s="17"/>
      <c r="FU57" s="0" t="s">
        <v>256</v>
      </c>
      <c r="FV57" s="46" t="str">
        <f>LOWER(SUBSTITUTE(_xlfn.CONCAT(FV7,FV27,FV11), " ", ""))</f>
      </c>
      <c r="FW57" s="17">
        <v>51</v>
      </c>
      <c r="FX57" s="59">
        <v>20609</v>
      </c>
      <c r="FY57" s="16" t="s">
        <v>20</v>
      </c>
      <c r="FZ57" s="16" t="s">
        <v>20</v>
      </c>
      <c r="GA57" s="16" t="s">
        <v>20</v>
      </c>
      <c r="GB57" s="16" t="s">
        <v>20</v>
      </c>
      <c r="GC57" s="16" t="s">
        <v>20</v>
      </c>
      <c r="GD57" s="17"/>
      <c r="GF57" s="0" t="s">
        <v>256</v>
      </c>
      <c r="GG57" s="46" t="str">
        <f>LOWER(SUBSTITUTE(_xlfn.CONCAT(GG7,GG27,GG11), " ", ""))</f>
      </c>
      <c r="GH57" s="17">
        <v>51</v>
      </c>
      <c r="GI57" s="59">
        <v>19332</v>
      </c>
      <c r="GJ57" s="16" t="s">
        <v>20</v>
      </c>
      <c r="GK57" s="16" t="s">
        <v>20</v>
      </c>
      <c r="GL57" s="16" t="s">
        <v>20</v>
      </c>
      <c r="GM57" s="16" t="s">
        <v>20</v>
      </c>
      <c r="GN57" s="16" t="s">
        <v>20</v>
      </c>
      <c r="GO57" s="17"/>
      <c r="GQ57" s="0" t="s">
        <v>256</v>
      </c>
      <c r="GR57" s="46" t="str">
        <f>LOWER(SUBSTITUTE(_xlfn.CONCAT(GR7,GR27,GR11), " ", ""))</f>
      </c>
      <c r="GS57" s="17"/>
      <c r="GT57" s="59"/>
      <c r="GU57" s="16"/>
      <c r="GV57" s="16"/>
      <c r="GW57" s="16"/>
      <c r="GX57" s="16"/>
      <c r="GY57" s="16"/>
      <c r="GZ57" s="17"/>
      <c r="HB57" s="0" t="s">
        <v>256</v>
      </c>
      <c r="HC57" s="46" t="str">
        <f>LOWER(SUBSTITUTE(_xlfn.CONCAT(HC7,HC27,HC11), " ", ""))</f>
      </c>
      <c r="HD57" s="17"/>
      <c r="HE57" s="59"/>
      <c r="HF57" s="16"/>
      <c r="HG57" s="16"/>
      <c r="HH57" s="16"/>
      <c r="HI57" s="16"/>
      <c r="HJ57" s="16"/>
      <c r="HK57" s="17"/>
      <c r="HM57" s="0" t="s">
        <v>256</v>
      </c>
      <c r="HN57" s="46" t="str">
        <f>LOWER(SUBSTITUTE(_xlfn.CONCAT(HN7,HN27,HN11), " ", ""))</f>
      </c>
      <c r="HO57" s="17"/>
      <c r="HP57" s="59"/>
      <c r="HQ57" s="16"/>
      <c r="HR57" s="16"/>
      <c r="HS57" s="16"/>
      <c r="HT57" s="16"/>
      <c r="HU57" s="16"/>
      <c r="HV57" s="17"/>
      <c r="HX57" s="0" t="s">
        <v>256</v>
      </c>
      <c r="HY57" s="46" t="str">
        <f>LOWER(SUBSTITUTE(_xlfn.CONCAT(HY7,HY27,HY11), " ", ""))</f>
      </c>
      <c r="HZ57" s="17"/>
      <c r="IA57" s="59"/>
      <c r="IB57" s="16"/>
      <c r="IC57" s="16"/>
      <c r="ID57" s="16"/>
      <c r="IE57" s="16"/>
      <c r="IF57" s="16"/>
      <c r="IG57" s="17"/>
      <c r="II57" s="0" t="s">
        <v>256</v>
      </c>
      <c r="IJ57" s="46" t="str">
        <f>LOWER(SUBSTITUTE(_xlfn.CONCAT(IJ7,IJ27,IJ11), " ", ""))</f>
      </c>
      <c r="IK57" s="17"/>
      <c r="IL57" s="59"/>
      <c r="IM57" s="16"/>
      <c r="IN57" s="16"/>
      <c r="IO57" s="16"/>
      <c r="IP57" s="16"/>
      <c r="IQ57" s="16"/>
      <c r="IR57" s="17"/>
      <c r="IT57" s="0" t="s">
        <v>256</v>
      </c>
      <c r="IU57" s="46" t="str">
        <f>LOWER(SUBSTITUTE(_xlfn.CONCAT(IU7,IU27,IU11), " ", ""))</f>
      </c>
      <c r="IV57" s="17"/>
      <c r="IW57" s="59"/>
      <c r="IX57" s="16"/>
      <c r="IY57" s="16"/>
      <c r="IZ57" s="16"/>
      <c r="JA57" s="16"/>
      <c r="JB57" s="16"/>
      <c r="JC57" s="17"/>
      <c r="JE57" s="0" t="s">
        <v>256</v>
      </c>
      <c r="JF57" s="46" t="str">
        <f>LOWER(SUBSTITUTE(_xlfn.CONCAT(JF7,JF27,JF11), " ", ""))</f>
      </c>
      <c r="JG57" s="17"/>
      <c r="JH57" s="59"/>
      <c r="JI57" s="16"/>
      <c r="JJ57" s="16"/>
      <c r="JK57" s="16"/>
      <c r="JL57" s="16"/>
      <c r="JM57" s="16"/>
      <c r="JN57" s="17"/>
      <c r="JP57" s="0" t="s">
        <v>256</v>
      </c>
      <c r="JQ57" s="46" t="str">
        <f>LOWER(SUBSTITUTE(_xlfn.CONCAT(JQ7,JQ27,JQ11), " ", ""))</f>
      </c>
      <c r="JR57" s="17"/>
      <c r="JS57" s="59"/>
      <c r="JT57" s="16"/>
      <c r="JU57" s="16"/>
      <c r="JV57" s="16"/>
      <c r="JW57" s="16"/>
      <c r="JX57" s="16"/>
      <c r="JY57" s="17"/>
      <c r="KA57" s="0" t="s">
        <v>256</v>
      </c>
      <c r="KB57" s="46" t="str">
        <f>LOWER(SUBSTITUTE(_xlfn.CONCAT(KB7,KB27,KB11), " ", ""))</f>
      </c>
      <c r="KC57" s="17"/>
      <c r="KD57" s="59"/>
      <c r="KE57" s="16"/>
      <c r="KF57" s="16"/>
      <c r="KG57" s="16"/>
      <c r="KH57" s="16"/>
      <c r="KI57" s="16"/>
      <c r="KJ57" s="17"/>
      <c r="KL57" s="0" t="s">
        <v>256</v>
      </c>
      <c r="KM57" s="46" t="str">
        <f>LOWER(SUBSTITUTE(_xlfn.CONCAT(KM7,KM27,KM11), " ", ""))</f>
      </c>
      <c r="KN57" s="17"/>
      <c r="KO57" s="59"/>
      <c r="KP57" s="16"/>
      <c r="KQ57" s="16"/>
      <c r="KR57" s="16"/>
      <c r="KS57" s="16"/>
      <c r="KT57" s="16"/>
      <c r="KU57" s="17"/>
      <c r="KW57" s="0" t="s">
        <v>256</v>
      </c>
      <c r="KX57" s="46" t="str">
        <f>LOWER(SUBSTITUTE(_xlfn.CONCAT(KX7,KX27,KX11), " ", ""))</f>
      </c>
      <c r="KY57" s="17"/>
      <c r="KZ57" s="59"/>
      <c r="LA57" s="16"/>
      <c r="LB57" s="16"/>
      <c r="LC57" s="16"/>
      <c r="LD57" s="16"/>
      <c r="LE57" s="16"/>
      <c r="LF57" s="17"/>
      <c r="LH57" s="0" t="s">
        <v>256</v>
      </c>
      <c r="LI57" s="46" t="str">
        <f>LOWER(SUBSTITUTE(_xlfn.CONCAT(LI7,LI27,LI11), " ", ""))</f>
      </c>
      <c r="LJ57" s="17"/>
      <c r="LK57" s="59"/>
      <c r="LL57" s="16"/>
      <c r="LM57" s="16"/>
      <c r="LN57" s="16"/>
      <c r="LO57" s="16"/>
      <c r="LP57" s="16"/>
      <c r="LQ57" s="17"/>
    </row>
    <row r="58">
      <c r="A58" s="0" t="s">
        <v>257</v>
      </c>
      <c r="B58" s="46" t="str">
        <f>LOWER(SUBSTITUTE(_xlfn.CONCAT(B7,B27,"depthranges"), " ", ""))</f>
        <v>depthranges</v>
      </c>
      <c r="C58" s="63">
        <v>52</v>
      </c>
      <c r="D58" s="64">
        <v>20246</v>
      </c>
      <c r="E58" s="16" t="s">
        <v>20</v>
      </c>
      <c r="F58" s="16" t="s">
        <v>20</v>
      </c>
      <c r="G58" s="21" t="s">
        <v>20</v>
      </c>
      <c r="H58" s="16" t="s">
        <v>20</v>
      </c>
      <c r="I58" s="16" t="s">
        <v>20</v>
      </c>
      <c r="J58" s="17"/>
      <c r="L58" s="0" t="s">
        <v>257</v>
      </c>
      <c r="M58" s="46" t="str">
        <f>LOWER(SUBSTITUTE(_xlfn.CONCAT(M7,M27,"depthranges"), " ", ""))</f>
        <v>depthranges</v>
      </c>
      <c r="N58" s="66"/>
      <c r="O58" s="64"/>
      <c r="P58" s="16"/>
      <c r="Q58" s="16"/>
      <c r="R58" s="16"/>
      <c r="S58" s="16"/>
      <c r="T58" s="16"/>
      <c r="U58" s="17"/>
      <c r="W58" s="0" t="s">
        <v>257</v>
      </c>
      <c r="X58" s="46" t="str">
        <f>LOWER(SUBSTITUTE(_xlfn.CONCAT(X7,X27,"depthranges"), " ", ""))</f>
        <v>depthranges</v>
      </c>
      <c r="Y58" s="66">
        <v>52</v>
      </c>
      <c r="Z58" s="64">
        <v>19552</v>
      </c>
      <c r="AA58" s="16" t="s">
        <v>20</v>
      </c>
      <c r="AB58" s="16" t="s">
        <v>20</v>
      </c>
      <c r="AC58" s="16" t="s">
        <v>20</v>
      </c>
      <c r="AD58" s="16" t="s">
        <v>20</v>
      </c>
      <c r="AE58" s="16" t="s">
        <v>20</v>
      </c>
      <c r="AF58" s="17"/>
      <c r="AH58" s="0" t="s">
        <v>257</v>
      </c>
      <c r="AI58" s="46" t="str">
        <f>LOWER(SUBSTITUTE(_xlfn.CONCAT(AI7,AI27,"depthranges"), " ", ""))</f>
        <v>depthranges</v>
      </c>
      <c r="AJ58" s="17">
        <v>52</v>
      </c>
      <c r="AK58" s="64">
        <v>19224</v>
      </c>
      <c r="AL58" s="16">
        <v>2.9999999999999947</v>
      </c>
      <c r="AM58" s="16">
        <v>11.99999999650754</v>
      </c>
      <c r="AN58" s="16" t="s">
        <v>20</v>
      </c>
      <c r="AO58" s="16">
        <v>4.5</v>
      </c>
      <c r="AP58" s="16">
        <v>4</v>
      </c>
      <c r="AQ58" s="17"/>
      <c r="AS58" s="0" t="s">
        <v>257</v>
      </c>
      <c r="AT58" s="46" t="str">
        <f>LOWER(SUBSTITUTE(_xlfn.CONCAT(AT7,AT27,"depthranges"), " ", ""))</f>
        <v>depthranges</v>
      </c>
      <c r="AU58" s="17">
        <v>52</v>
      </c>
      <c r="AV58" s="64">
        <v>18865</v>
      </c>
      <c r="AW58" s="16" t="s">
        <v>20</v>
      </c>
      <c r="AX58" s="16" t="s">
        <v>20</v>
      </c>
      <c r="AY58" s="16"/>
      <c r="AZ58" s="16" t="s">
        <v>20</v>
      </c>
      <c r="BA58" s="16" t="s">
        <v>20</v>
      </c>
      <c r="BB58" s="17"/>
      <c r="BD58" s="0" t="s">
        <v>257</v>
      </c>
      <c r="BE58" s="46" t="str">
        <f>LOWER(SUBSTITUTE(_xlfn.CONCAT(BE7,BE27,"depthranges"), " ", ""))</f>
        <v>depthranges</v>
      </c>
      <c r="BF58" s="17">
        <v>52</v>
      </c>
      <c r="BG58" s="64">
        <v>19374</v>
      </c>
      <c r="BH58" s="16">
        <v>2.0000000000000018</v>
      </c>
      <c r="BI58" s="16">
        <v>15.999999996973202</v>
      </c>
      <c r="BJ58" s="16" t="s">
        <v>20</v>
      </c>
      <c r="BK58" s="16">
        <v>4.5</v>
      </c>
      <c r="BL58" s="16">
        <v>2.8</v>
      </c>
      <c r="BM58" s="17"/>
      <c r="BO58" s="0" t="s">
        <v>257</v>
      </c>
      <c r="BP58" s="46" t="str">
        <f>LOWER(SUBSTITUTE(_xlfn.CONCAT(BP7,BP27,"depthranges"), " ", ""))</f>
        <v>depthranges</v>
      </c>
      <c r="BQ58" s="17">
        <v>52</v>
      </c>
      <c r="BR58" s="64">
        <v>19114</v>
      </c>
      <c r="BS58" s="16">
        <v>9.9999999999999929</v>
      </c>
      <c r="BT58" s="16">
        <v>26.999999994877726</v>
      </c>
      <c r="BU58" s="16" t="s">
        <v>20</v>
      </c>
      <c r="BV58" s="16">
        <v>4.5</v>
      </c>
      <c r="BW58" s="16">
        <v>2.5</v>
      </c>
      <c r="BX58" s="17"/>
      <c r="BZ58" s="0" t="s">
        <v>257</v>
      </c>
      <c r="CA58" s="46" t="str">
        <f>LOWER(SUBSTITUTE(_xlfn.CONCAT(CA7,CA27,"depthranges"), " ", ""))</f>
        <v>depthranges</v>
      </c>
      <c r="CB58" s="17"/>
      <c r="CC58" s="64"/>
      <c r="CD58" s="16"/>
      <c r="CE58" s="16"/>
      <c r="CF58" s="16"/>
      <c r="CG58" s="16"/>
      <c r="CH58" s="16"/>
      <c r="CI58" s="17"/>
      <c r="CK58" s="0" t="s">
        <v>257</v>
      </c>
      <c r="CL58" s="46" t="str">
        <f>LOWER(SUBSTITUTE(_xlfn.CONCAT(CL7,CL27,"depthranges"), " ", ""))</f>
        <v>depthranges</v>
      </c>
      <c r="CM58" s="17">
        <v>52</v>
      </c>
      <c r="CN58" s="64">
        <v>20797</v>
      </c>
      <c r="CO58" s="16">
        <v>6.9999999999999991</v>
      </c>
      <c r="CP58" s="16">
        <v>31.000000008614734</v>
      </c>
      <c r="CQ58" s="16">
        <v>500</v>
      </c>
      <c r="CR58" s="16">
        <v>5.1999999999999833</v>
      </c>
      <c r="CS58" s="16">
        <v>5.1</v>
      </c>
      <c r="CT58" s="17"/>
      <c r="CV58" s="0" t="s">
        <v>257</v>
      </c>
      <c r="CW58" s="46" t="str">
        <f>LOWER(SUBSTITUTE(_xlfn.CONCAT(CW7,CW27,"depthranges"), " ", ""))</f>
        <v>depthranges</v>
      </c>
      <c r="CX58" s="17">
        <v>52</v>
      </c>
      <c r="CY58" s="59">
        <v>19063</v>
      </c>
      <c r="CZ58" s="16" t="s">
        <v>20</v>
      </c>
      <c r="DA58" s="16" t="s">
        <v>20</v>
      </c>
      <c r="DB58" s="16" t="s">
        <v>20</v>
      </c>
      <c r="DC58" s="16" t="s">
        <v>20</v>
      </c>
      <c r="DD58" s="16" t="s">
        <v>20</v>
      </c>
      <c r="DE58" s="17"/>
      <c r="DG58" s="0" t="s">
        <v>257</v>
      </c>
      <c r="DH58" s="46" t="str">
        <f>LOWER(SUBSTITUTE(_xlfn.CONCAT(DH7,DH27,"depthranges"), " ", ""))</f>
        <v>depthranges</v>
      </c>
      <c r="DI58" s="17">
        <v>52</v>
      </c>
      <c r="DJ58" s="59">
        <v>19932</v>
      </c>
      <c r="DK58" s="16" t="s">
        <v>20</v>
      </c>
      <c r="DL58" s="16" t="s">
        <v>20</v>
      </c>
      <c r="DM58" s="16" t="s">
        <v>20</v>
      </c>
      <c r="DN58" s="16" t="s">
        <v>20</v>
      </c>
      <c r="DO58" s="16" t="s">
        <v>20</v>
      </c>
      <c r="DP58" s="17"/>
      <c r="DR58" s="0" t="s">
        <v>257</v>
      </c>
      <c r="DS58" s="46" t="str">
        <f>LOWER(SUBSTITUTE(_xlfn.CONCAT(DS7,DS27,"depthranges"), " ", ""))</f>
        <v>depthranges</v>
      </c>
      <c r="DT58" s="17"/>
      <c r="DU58" s="59"/>
      <c r="DV58" s="16"/>
      <c r="DW58" s="16"/>
      <c r="DX58" s="16"/>
      <c r="DY58" s="16"/>
      <c r="DZ58" s="16"/>
      <c r="EA58" s="17"/>
      <c r="EC58" s="0" t="s">
        <v>257</v>
      </c>
      <c r="ED58" s="46" t="str">
        <f>LOWER(SUBSTITUTE(_xlfn.CONCAT(ED7,ED27,"depthranges"), " ", ""))</f>
        <v>depthranges</v>
      </c>
      <c r="EE58" s="17"/>
      <c r="EF58" s="59"/>
      <c r="EG58" s="16"/>
      <c r="EH58" s="16"/>
      <c r="EI58" s="16"/>
      <c r="EJ58" s="16"/>
      <c r="EK58" s="16"/>
      <c r="EL58" s="17"/>
      <c r="EN58" s="0" t="s">
        <v>257</v>
      </c>
      <c r="EO58" s="46" t="str">
        <f>LOWER(SUBSTITUTE(_xlfn.CONCAT(EO7,EO27,"depthranges"), " ", ""))</f>
        <v>depthranges</v>
      </c>
      <c r="EP58" s="17">
        <v>52</v>
      </c>
      <c r="EQ58" s="59">
        <v>19360</v>
      </c>
      <c r="ER58" s="16">
        <v>2.9999999999999947</v>
      </c>
      <c r="ES58" s="16">
        <v>57.999999999767169</v>
      </c>
      <c r="ET58" s="16" t="s">
        <v>20</v>
      </c>
      <c r="EU58" s="16">
        <v>4.5</v>
      </c>
      <c r="EV58" s="16">
        <v>1.9</v>
      </c>
      <c r="EW58" s="17"/>
      <c r="EY58" s="0" t="s">
        <v>257</v>
      </c>
      <c r="EZ58" s="46" t="str">
        <f>LOWER(SUBSTITUTE(_xlfn.CONCAT(EZ7,EZ27,"depthranges"), " ", ""))</f>
        <v>depthranges</v>
      </c>
      <c r="FA58" s="17">
        <v>52</v>
      </c>
      <c r="FB58" s="59">
        <v>21275</v>
      </c>
      <c r="FC58" s="16">
        <v>9.9999999999999929</v>
      </c>
      <c r="FD58" s="16">
        <v>19.000000000232831</v>
      </c>
      <c r="FE58" s="16" t="s">
        <v>20</v>
      </c>
      <c r="FF58" s="16">
        <v>5.5</v>
      </c>
      <c r="FG58" s="16">
        <v>5.5</v>
      </c>
      <c r="FH58" s="17"/>
      <c r="FJ58" s="0" t="s">
        <v>257</v>
      </c>
      <c r="FK58" s="46" t="str">
        <f>LOWER(SUBSTITUTE(_xlfn.CONCAT(FK7,FK27,"depthranges"), " ", ""))</f>
        <v>depthranges</v>
      </c>
      <c r="FL58" s="17">
        <v>52</v>
      </c>
      <c r="FM58" s="59">
        <v>21068</v>
      </c>
      <c r="FN58" s="16">
        <v>9</v>
      </c>
      <c r="FO58" s="16">
        <v>139.00000000046566</v>
      </c>
      <c r="FP58" s="16" t="s">
        <v>20</v>
      </c>
      <c r="FQ58" s="16">
        <v>5.1999999999999833</v>
      </c>
      <c r="FR58" s="16">
        <v>5.1</v>
      </c>
      <c r="FS58" s="17"/>
      <c r="FU58" s="0" t="s">
        <v>257</v>
      </c>
      <c r="FV58" s="46" t="str">
        <f>LOWER(SUBSTITUTE(_xlfn.CONCAT(FV7,FV27,"depthranges"), " ", ""))</f>
        <v>depthranges</v>
      </c>
      <c r="FW58" s="17">
        <v>52</v>
      </c>
      <c r="FX58" s="59">
        <v>20850</v>
      </c>
      <c r="FY58" s="16" t="s">
        <v>20</v>
      </c>
      <c r="FZ58" s="16" t="s">
        <v>20</v>
      </c>
      <c r="GA58" s="16" t="s">
        <v>20</v>
      </c>
      <c r="GB58" s="16" t="s">
        <v>20</v>
      </c>
      <c r="GC58" s="16" t="s">
        <v>20</v>
      </c>
      <c r="GD58" s="17"/>
      <c r="GF58" s="0" t="s">
        <v>257</v>
      </c>
      <c r="GG58" s="46" t="str">
        <f>LOWER(SUBSTITUTE(_xlfn.CONCAT(GG7,GG27,"depthranges"), " ", ""))</f>
        <v>depthranges</v>
      </c>
      <c r="GH58" s="17">
        <v>52</v>
      </c>
      <c r="GI58" s="59">
        <v>19534</v>
      </c>
      <c r="GJ58" s="16" t="s">
        <v>20</v>
      </c>
      <c r="GK58" s="16" t="s">
        <v>20</v>
      </c>
      <c r="GL58" s="16" t="s">
        <v>20</v>
      </c>
      <c r="GM58" s="16" t="s">
        <v>20</v>
      </c>
      <c r="GN58" s="16" t="s">
        <v>20</v>
      </c>
      <c r="GO58" s="17"/>
      <c r="GQ58" s="0" t="s">
        <v>257</v>
      </c>
      <c r="GR58" s="46" t="str">
        <f>LOWER(SUBSTITUTE(_xlfn.CONCAT(GR7,GR27,"depthranges"), " ", ""))</f>
        <v>depthranges</v>
      </c>
      <c r="GS58" s="17"/>
      <c r="GT58" s="59"/>
      <c r="GU58" s="16"/>
      <c r="GV58" s="16"/>
      <c r="GW58" s="16"/>
      <c r="GX58" s="16"/>
      <c r="GY58" s="16"/>
      <c r="GZ58" s="17"/>
      <c r="HB58" s="0" t="s">
        <v>257</v>
      </c>
      <c r="HC58" s="46" t="str">
        <f>LOWER(SUBSTITUTE(_xlfn.CONCAT(HC7,HC27,"depthranges"), " ", ""))</f>
        <v>depthranges</v>
      </c>
      <c r="HD58" s="17"/>
      <c r="HE58" s="59"/>
      <c r="HF58" s="16"/>
      <c r="HG58" s="16"/>
      <c r="HH58" s="16"/>
      <c r="HI58" s="16"/>
      <c r="HJ58" s="16"/>
      <c r="HK58" s="17"/>
      <c r="HM58" s="0" t="s">
        <v>257</v>
      </c>
      <c r="HN58" s="46" t="str">
        <f>LOWER(SUBSTITUTE(_xlfn.CONCAT(HN7,HN27,"depthranges"), " ", ""))</f>
        <v>depthranges</v>
      </c>
      <c r="HO58" s="17"/>
      <c r="HP58" s="59"/>
      <c r="HQ58" s="16"/>
      <c r="HR58" s="16"/>
      <c r="HS58" s="16"/>
      <c r="HT58" s="16"/>
      <c r="HU58" s="16"/>
      <c r="HV58" s="17"/>
      <c r="HX58" s="0" t="s">
        <v>257</v>
      </c>
      <c r="HY58" s="46" t="str">
        <f>LOWER(SUBSTITUTE(_xlfn.CONCAT(HY7,HY27,"depthranges"), " ", ""))</f>
        <v>depthranges</v>
      </c>
      <c r="HZ58" s="17"/>
      <c r="IA58" s="59"/>
      <c r="IB58" s="16"/>
      <c r="IC58" s="16"/>
      <c r="ID58" s="16"/>
      <c r="IE58" s="16"/>
      <c r="IF58" s="16"/>
      <c r="IG58" s="17"/>
      <c r="II58" s="0" t="s">
        <v>257</v>
      </c>
      <c r="IJ58" s="46" t="str">
        <f>LOWER(SUBSTITUTE(_xlfn.CONCAT(IJ7,IJ27,"depthranges"), " ", ""))</f>
        <v>depthranges</v>
      </c>
      <c r="IK58" s="17"/>
      <c r="IL58" s="59"/>
      <c r="IM58" s="16"/>
      <c r="IN58" s="16"/>
      <c r="IO58" s="16"/>
      <c r="IP58" s="16"/>
      <c r="IQ58" s="16"/>
      <c r="IR58" s="17"/>
      <c r="IT58" s="0" t="s">
        <v>257</v>
      </c>
      <c r="IU58" s="46" t="str">
        <f>LOWER(SUBSTITUTE(_xlfn.CONCAT(IU7,IU27,"depthranges"), " ", ""))</f>
        <v>depthranges</v>
      </c>
      <c r="IV58" s="17"/>
      <c r="IW58" s="59"/>
      <c r="IX58" s="16"/>
      <c r="IY58" s="16"/>
      <c r="IZ58" s="16"/>
      <c r="JA58" s="16"/>
      <c r="JB58" s="16"/>
      <c r="JC58" s="17"/>
      <c r="JE58" s="0" t="s">
        <v>257</v>
      </c>
      <c r="JF58" s="46" t="str">
        <f>LOWER(SUBSTITUTE(_xlfn.CONCAT(JF7,JF27,"depthranges"), " ", ""))</f>
        <v>depthranges</v>
      </c>
      <c r="JG58" s="17"/>
      <c r="JH58" s="59"/>
      <c r="JI58" s="16"/>
      <c r="JJ58" s="16"/>
      <c r="JK58" s="16"/>
      <c r="JL58" s="16"/>
      <c r="JM58" s="16"/>
      <c r="JN58" s="17"/>
      <c r="JP58" s="0" t="s">
        <v>257</v>
      </c>
      <c r="JQ58" s="46" t="str">
        <f>LOWER(SUBSTITUTE(_xlfn.CONCAT(JQ7,JQ27,"depthranges"), " ", ""))</f>
        <v>depthranges</v>
      </c>
      <c r="JR58" s="17"/>
      <c r="JS58" s="59"/>
      <c r="JT58" s="16"/>
      <c r="JU58" s="16"/>
      <c r="JV58" s="16"/>
      <c r="JW58" s="16"/>
      <c r="JX58" s="16"/>
      <c r="JY58" s="17"/>
      <c r="KA58" s="0" t="s">
        <v>257</v>
      </c>
      <c r="KB58" s="46" t="str">
        <f>LOWER(SUBSTITUTE(_xlfn.CONCAT(KB7,KB27,"depthranges"), " ", ""))</f>
        <v>depthranges</v>
      </c>
      <c r="KC58" s="17"/>
      <c r="KD58" s="59"/>
      <c r="KE58" s="16"/>
      <c r="KF58" s="16"/>
      <c r="KG58" s="16"/>
      <c r="KH58" s="16"/>
      <c r="KI58" s="16"/>
      <c r="KJ58" s="17"/>
      <c r="KL58" s="0" t="s">
        <v>257</v>
      </c>
      <c r="KM58" s="46" t="str">
        <f>LOWER(SUBSTITUTE(_xlfn.CONCAT(KM7,KM27,"depthranges"), " ", ""))</f>
        <v>depthranges</v>
      </c>
      <c r="KN58" s="17"/>
      <c r="KO58" s="59"/>
      <c r="KP58" s="16"/>
      <c r="KQ58" s="16"/>
      <c r="KR58" s="16"/>
      <c r="KS58" s="16"/>
      <c r="KT58" s="16"/>
      <c r="KU58" s="17"/>
      <c r="KW58" s="0" t="s">
        <v>257</v>
      </c>
      <c r="KX58" s="46" t="str">
        <f>LOWER(SUBSTITUTE(_xlfn.CONCAT(KX7,KX27,"depthranges"), " ", ""))</f>
        <v>depthranges</v>
      </c>
      <c r="KY58" s="17"/>
      <c r="KZ58" s="59"/>
      <c r="LA58" s="16"/>
      <c r="LB58" s="16"/>
      <c r="LC58" s="16"/>
      <c r="LD58" s="16"/>
      <c r="LE58" s="16"/>
      <c r="LF58" s="17"/>
      <c r="LH58" s="0" t="s">
        <v>257</v>
      </c>
      <c r="LI58" s="46" t="str">
        <f>LOWER(SUBSTITUTE(_xlfn.CONCAT(LI7,LI27,"depthranges"), " ", ""))</f>
        <v>depthranges</v>
      </c>
      <c r="LJ58" s="17"/>
      <c r="LK58" s="59"/>
      <c r="LL58" s="16"/>
      <c r="LM58" s="16"/>
      <c r="LN58" s="16"/>
      <c r="LO58" s="16"/>
      <c r="LP58" s="16"/>
      <c r="LQ58" s="17"/>
    </row>
    <row r="59">
      <c r="A59" s="0" t="s">
        <v>258</v>
      </c>
      <c r="B59" s="71">
        <f>MAX(D7:D1000)</f>
        <v>0</v>
      </c>
      <c r="C59" s="63">
        <v>53</v>
      </c>
      <c r="D59" s="64">
        <v>20448</v>
      </c>
      <c r="E59" s="16" t="s">
        <v>20</v>
      </c>
      <c r="F59" s="16" t="s">
        <v>20</v>
      </c>
      <c r="G59" s="21" t="s">
        <v>20</v>
      </c>
      <c r="H59" s="16" t="s">
        <v>20</v>
      </c>
      <c r="I59" s="16" t="s">
        <v>20</v>
      </c>
      <c r="J59" s="17"/>
      <c r="L59" s="0" t="s">
        <v>258</v>
      </c>
      <c r="M59" s="71">
        <f>MAX(O7:O1000)</f>
        <v>0</v>
      </c>
      <c r="N59" s="66"/>
      <c r="O59" s="64"/>
      <c r="P59" s="16"/>
      <c r="Q59" s="16"/>
      <c r="R59" s="16"/>
      <c r="S59" s="16"/>
      <c r="T59" s="16"/>
      <c r="U59" s="17"/>
      <c r="W59" s="0" t="s">
        <v>258</v>
      </c>
      <c r="X59" s="71">
        <f>MAX(Z7:Z1000)</f>
        <v>0</v>
      </c>
      <c r="Y59" s="66">
        <v>53</v>
      </c>
      <c r="Z59" s="64">
        <v>19753</v>
      </c>
      <c r="AA59" s="16" t="s">
        <v>20</v>
      </c>
      <c r="AB59" s="16" t="s">
        <v>20</v>
      </c>
      <c r="AC59" s="16" t="s">
        <v>20</v>
      </c>
      <c r="AD59" s="16" t="s">
        <v>20</v>
      </c>
      <c r="AE59" s="16" t="s">
        <v>20</v>
      </c>
      <c r="AF59" s="17"/>
      <c r="AH59" s="0" t="s">
        <v>258</v>
      </c>
      <c r="AI59" s="71">
        <f>MAX(AK7:AK1000)</f>
        <v>0</v>
      </c>
      <c r="AJ59" s="17">
        <v>53</v>
      </c>
      <c r="AK59" s="64">
        <v>19426</v>
      </c>
      <c r="AL59" s="16">
        <v>4.0000000000000036</v>
      </c>
      <c r="AM59" s="16">
        <v>14.999999999068677</v>
      </c>
      <c r="AN59" s="16">
        <v>20000</v>
      </c>
      <c r="AO59" s="16">
        <v>4.5</v>
      </c>
      <c r="AP59" s="16">
        <v>4</v>
      </c>
      <c r="AQ59" s="17"/>
      <c r="AS59" s="0" t="s">
        <v>258</v>
      </c>
      <c r="AT59" s="71">
        <f>MAX(AV7:AV1000)</f>
        <v>0</v>
      </c>
      <c r="AU59" s="17">
        <v>53</v>
      </c>
      <c r="AV59" s="64">
        <v>19066</v>
      </c>
      <c r="AW59" s="16" t="s">
        <v>20</v>
      </c>
      <c r="AX59" s="16" t="s">
        <v>20</v>
      </c>
      <c r="AY59" s="16"/>
      <c r="AZ59" s="16" t="s">
        <v>20</v>
      </c>
      <c r="BA59" s="16" t="s">
        <v>20</v>
      </c>
      <c r="BB59" s="17"/>
      <c r="BD59" s="0" t="s">
        <v>258</v>
      </c>
      <c r="BE59" s="71">
        <f>MAX(BG7:BG1000)</f>
        <v>0</v>
      </c>
      <c r="BF59" s="17">
        <v>53</v>
      </c>
      <c r="BG59" s="64">
        <v>19576</v>
      </c>
      <c r="BH59" s="16">
        <v>2.9999999999999947</v>
      </c>
      <c r="BI59" s="16">
        <v>12.999999999767169</v>
      </c>
      <c r="BJ59" s="16" t="s">
        <v>20</v>
      </c>
      <c r="BK59" s="16">
        <v>4.5</v>
      </c>
      <c r="BL59" s="16">
        <v>3.4</v>
      </c>
      <c r="BM59" s="17"/>
      <c r="BO59" s="0" t="s">
        <v>258</v>
      </c>
      <c r="BP59" s="71">
        <f>MAX(BR7:BR1000)</f>
        <v>0</v>
      </c>
      <c r="BQ59" s="17">
        <v>53</v>
      </c>
      <c r="BR59" s="64">
        <v>19314</v>
      </c>
      <c r="BS59" s="16">
        <v>4.9999999999999964</v>
      </c>
      <c r="BT59" s="16">
        <v>9.00000000372529</v>
      </c>
      <c r="BU59" s="16" t="s">
        <v>20</v>
      </c>
      <c r="BV59" s="16">
        <v>4.5</v>
      </c>
      <c r="BW59" s="16">
        <v>2.5</v>
      </c>
      <c r="BX59" s="17"/>
      <c r="BZ59" s="0" t="s">
        <v>258</v>
      </c>
      <c r="CA59" s="71">
        <f>MAX(CC7:CC1000)</f>
        <v>0</v>
      </c>
      <c r="CB59" s="17"/>
      <c r="CC59" s="64"/>
      <c r="CD59" s="16"/>
      <c r="CE59" s="16"/>
      <c r="CF59" s="16"/>
      <c r="CG59" s="16"/>
      <c r="CH59" s="16"/>
      <c r="CI59" s="17"/>
      <c r="CK59" s="0" t="s">
        <v>258</v>
      </c>
      <c r="CL59" s="71">
        <f>MAX(CN7:CN1000)</f>
        <v>0</v>
      </c>
      <c r="CM59" s="17">
        <v>53</v>
      </c>
      <c r="CN59" s="64">
        <v>20999</v>
      </c>
      <c r="CO59" s="16">
        <v>4.9999999999999964</v>
      </c>
      <c r="CP59" s="16">
        <v>32.999999998137355</v>
      </c>
      <c r="CQ59" s="16">
        <v>500</v>
      </c>
      <c r="CR59" s="16">
        <v>5.1999999999999833</v>
      </c>
      <c r="CS59" s="16">
        <v>5.1</v>
      </c>
      <c r="CT59" s="17"/>
      <c r="CV59" s="0" t="s">
        <v>258</v>
      </c>
      <c r="CW59" s="71">
        <f>MAX(CY7:CY1000)</f>
        <v>0</v>
      </c>
      <c r="CX59" s="17">
        <v>53</v>
      </c>
      <c r="CY59" s="59">
        <v>19264</v>
      </c>
      <c r="CZ59" s="16" t="s">
        <v>20</v>
      </c>
      <c r="DA59" s="16" t="s">
        <v>20</v>
      </c>
      <c r="DB59" s="16" t="s">
        <v>20</v>
      </c>
      <c r="DC59" s="16" t="s">
        <v>20</v>
      </c>
      <c r="DD59" s="16" t="s">
        <v>20</v>
      </c>
      <c r="DE59" s="17"/>
      <c r="DG59" s="0" t="s">
        <v>258</v>
      </c>
      <c r="DH59" s="71">
        <f>MAX(DJ7:DJ1000)</f>
        <v>0</v>
      </c>
      <c r="DI59" s="17">
        <v>53</v>
      </c>
      <c r="DJ59" s="59">
        <v>20133</v>
      </c>
      <c r="DK59" s="16" t="s">
        <v>20</v>
      </c>
      <c r="DL59" s="16" t="s">
        <v>20</v>
      </c>
      <c r="DM59" s="16" t="s">
        <v>20</v>
      </c>
      <c r="DN59" s="16" t="s">
        <v>20</v>
      </c>
      <c r="DO59" s="16" t="s">
        <v>20</v>
      </c>
      <c r="DP59" s="17"/>
      <c r="DR59" s="0" t="s">
        <v>258</v>
      </c>
      <c r="DS59" s="71">
        <f>MAX(DU7:DU1000)</f>
        <v>0</v>
      </c>
      <c r="DT59" s="17"/>
      <c r="DU59" s="59"/>
      <c r="DV59" s="16"/>
      <c r="DW59" s="16"/>
      <c r="DX59" s="16"/>
      <c r="DY59" s="16"/>
      <c r="DZ59" s="16"/>
      <c r="EA59" s="17"/>
      <c r="EC59" s="0" t="s">
        <v>258</v>
      </c>
      <c r="ED59" s="71">
        <f>MAX(EF7:EF1000)</f>
        <v>0</v>
      </c>
      <c r="EE59" s="17"/>
      <c r="EF59" s="59"/>
      <c r="EG59" s="16"/>
      <c r="EH59" s="16"/>
      <c r="EI59" s="16"/>
      <c r="EJ59" s="16"/>
      <c r="EK59" s="16"/>
      <c r="EL59" s="17"/>
      <c r="EN59" s="0" t="s">
        <v>258</v>
      </c>
      <c r="EO59" s="71">
        <f>MAX(EQ7:EQ1000)</f>
        <v>0</v>
      </c>
      <c r="EP59" s="17">
        <v>53</v>
      </c>
      <c r="EQ59" s="59">
        <v>19561</v>
      </c>
      <c r="ER59" s="16">
        <v>2.9999999999999947</v>
      </c>
      <c r="ES59" s="16">
        <v>41.00000000721775</v>
      </c>
      <c r="ET59" s="16" t="s">
        <v>20</v>
      </c>
      <c r="EU59" s="16">
        <v>4.5</v>
      </c>
      <c r="EV59" s="16">
        <v>2.1</v>
      </c>
      <c r="EW59" s="17"/>
      <c r="EY59" s="0" t="s">
        <v>258</v>
      </c>
      <c r="EZ59" s="71">
        <f>MAX(FB7:FB1000)</f>
        <v>0</v>
      </c>
      <c r="FA59" s="17">
        <v>53</v>
      </c>
      <c r="FB59" s="59">
        <v>21476</v>
      </c>
      <c r="FC59" s="16">
        <v>9.9999999999999929</v>
      </c>
      <c r="FD59" s="16">
        <v>14.000000004889444</v>
      </c>
      <c r="FE59" s="16" t="s">
        <v>20</v>
      </c>
      <c r="FF59" s="16">
        <v>5.5</v>
      </c>
      <c r="FG59" s="16">
        <v>5.5</v>
      </c>
      <c r="FH59" s="17"/>
      <c r="FJ59" s="0" t="s">
        <v>258</v>
      </c>
      <c r="FK59" s="71">
        <f>MAX(FM7:FM1000)</f>
        <v>0</v>
      </c>
      <c r="FL59" s="17">
        <v>53</v>
      </c>
      <c r="FM59" s="59">
        <v>21267</v>
      </c>
      <c r="FN59" s="16">
        <v>31.000000000000032</v>
      </c>
      <c r="FO59" s="16">
        <v>99.999999997438863</v>
      </c>
      <c r="FP59" s="16" t="s">
        <v>20</v>
      </c>
      <c r="FQ59" s="16">
        <v>5.5</v>
      </c>
      <c r="FR59" s="16">
        <v>5.5</v>
      </c>
      <c r="FS59" s="17"/>
      <c r="FU59" s="0" t="s">
        <v>258</v>
      </c>
      <c r="FV59" s="71">
        <f>MAX(FX7:FX1000)</f>
        <v>0</v>
      </c>
      <c r="FW59" s="17">
        <v>53</v>
      </c>
      <c r="FX59" s="59">
        <v>21092</v>
      </c>
      <c r="FY59" s="16" t="s">
        <v>20</v>
      </c>
      <c r="FZ59" s="16" t="s">
        <v>20</v>
      </c>
      <c r="GA59" s="16" t="s">
        <v>20</v>
      </c>
      <c r="GB59" s="16" t="s">
        <v>20</v>
      </c>
      <c r="GC59" s="16" t="s">
        <v>20</v>
      </c>
      <c r="GD59" s="17"/>
      <c r="GF59" s="0" t="s">
        <v>258</v>
      </c>
      <c r="GG59" s="71">
        <f>MAX(GI7:GI1000)</f>
        <v>0</v>
      </c>
      <c r="GH59" s="17">
        <v>53</v>
      </c>
      <c r="GI59" s="59">
        <v>19736</v>
      </c>
      <c r="GJ59" s="16" t="s">
        <v>20</v>
      </c>
      <c r="GK59" s="16" t="s">
        <v>20</v>
      </c>
      <c r="GL59" s="16" t="s">
        <v>20</v>
      </c>
      <c r="GM59" s="16" t="s">
        <v>20</v>
      </c>
      <c r="GN59" s="16" t="s">
        <v>20</v>
      </c>
      <c r="GO59" s="17"/>
      <c r="GQ59" s="0" t="s">
        <v>258</v>
      </c>
      <c r="GR59" s="71">
        <f>MAX(GT7:GT1000)</f>
        <v>0</v>
      </c>
      <c r="GS59" s="17"/>
      <c r="GT59" s="59"/>
      <c r="GU59" s="16"/>
      <c r="GV59" s="16"/>
      <c r="GW59" s="16"/>
      <c r="GX59" s="16"/>
      <c r="GY59" s="16"/>
      <c r="GZ59" s="17"/>
      <c r="HB59" s="0" t="s">
        <v>258</v>
      </c>
      <c r="HC59" s="71">
        <f>MAX(HE7:HE1000)</f>
        <v>0</v>
      </c>
      <c r="HD59" s="17"/>
      <c r="HE59" s="59"/>
      <c r="HF59" s="16"/>
      <c r="HG59" s="16"/>
      <c r="HH59" s="16"/>
      <c r="HI59" s="16"/>
      <c r="HJ59" s="16"/>
      <c r="HK59" s="17"/>
      <c r="HM59" s="0" t="s">
        <v>258</v>
      </c>
      <c r="HN59" s="71">
        <f>MAX(HP7:HP1000)</f>
        <v>0</v>
      </c>
      <c r="HO59" s="17"/>
      <c r="HP59" s="59"/>
      <c r="HQ59" s="16"/>
      <c r="HR59" s="16"/>
      <c r="HS59" s="16"/>
      <c r="HT59" s="16"/>
      <c r="HU59" s="16"/>
      <c r="HV59" s="17"/>
      <c r="HX59" s="0" t="s">
        <v>258</v>
      </c>
      <c r="HY59" s="71">
        <f>MAX(IA7:IA1000)</f>
        <v>0</v>
      </c>
      <c r="HZ59" s="17"/>
      <c r="IA59" s="59"/>
      <c r="IB59" s="16"/>
      <c r="IC59" s="16"/>
      <c r="ID59" s="16"/>
      <c r="IE59" s="16"/>
      <c r="IF59" s="16"/>
      <c r="IG59" s="17"/>
      <c r="II59" s="0" t="s">
        <v>258</v>
      </c>
      <c r="IJ59" s="71">
        <f>MAX(IL7:IL1000)</f>
        <v>0</v>
      </c>
      <c r="IK59" s="17"/>
      <c r="IL59" s="59"/>
      <c r="IM59" s="16"/>
      <c r="IN59" s="16"/>
      <c r="IO59" s="16"/>
      <c r="IP59" s="16"/>
      <c r="IQ59" s="16"/>
      <c r="IR59" s="17"/>
      <c r="IT59" s="0" t="s">
        <v>258</v>
      </c>
      <c r="IU59" s="71">
        <f>MAX(IW7:IW1000)</f>
        <v>0</v>
      </c>
      <c r="IV59" s="17"/>
      <c r="IW59" s="59"/>
      <c r="IX59" s="16"/>
      <c r="IY59" s="16"/>
      <c r="IZ59" s="16"/>
      <c r="JA59" s="16"/>
      <c r="JB59" s="16"/>
      <c r="JC59" s="17"/>
      <c r="JE59" s="0" t="s">
        <v>258</v>
      </c>
      <c r="JF59" s="71">
        <f>MAX(JH7:JH1000)</f>
        <v>0</v>
      </c>
      <c r="JG59" s="17"/>
      <c r="JH59" s="59"/>
      <c r="JI59" s="16"/>
      <c r="JJ59" s="16"/>
      <c r="JK59" s="16"/>
      <c r="JL59" s="16"/>
      <c r="JM59" s="16"/>
      <c r="JN59" s="17"/>
      <c r="JP59" s="0" t="s">
        <v>258</v>
      </c>
      <c r="JQ59" s="71">
        <f>MAX(JS7:JS1000)</f>
        <v>0</v>
      </c>
      <c r="JR59" s="17"/>
      <c r="JS59" s="59"/>
      <c r="JT59" s="16"/>
      <c r="JU59" s="16"/>
      <c r="JV59" s="16"/>
      <c r="JW59" s="16"/>
      <c r="JX59" s="16"/>
      <c r="JY59" s="17"/>
      <c r="KA59" s="0" t="s">
        <v>258</v>
      </c>
      <c r="KB59" s="71">
        <f>MAX(KD7:KD1000)</f>
        <v>0</v>
      </c>
      <c r="KC59" s="17"/>
      <c r="KD59" s="59"/>
      <c r="KE59" s="16"/>
      <c r="KF59" s="16"/>
      <c r="KG59" s="16"/>
      <c r="KH59" s="16"/>
      <c r="KI59" s="16"/>
      <c r="KJ59" s="17"/>
      <c r="KL59" s="0" t="s">
        <v>258</v>
      </c>
      <c r="KM59" s="71">
        <f>MAX(KO7:KO1000)</f>
        <v>0</v>
      </c>
      <c r="KN59" s="17"/>
      <c r="KO59" s="59"/>
      <c r="KP59" s="16"/>
      <c r="KQ59" s="16"/>
      <c r="KR59" s="16"/>
      <c r="KS59" s="16"/>
      <c r="KT59" s="16"/>
      <c r="KU59" s="17"/>
      <c r="KW59" s="0" t="s">
        <v>258</v>
      </c>
      <c r="KX59" s="71">
        <f>MAX(KZ7:KZ1000)</f>
        <v>0</v>
      </c>
      <c r="KY59" s="17"/>
      <c r="KZ59" s="59"/>
      <c r="LA59" s="16"/>
      <c r="LB59" s="16"/>
      <c r="LC59" s="16"/>
      <c r="LD59" s="16"/>
      <c r="LE59" s="16"/>
      <c r="LF59" s="17"/>
      <c r="LH59" s="0" t="s">
        <v>258</v>
      </c>
      <c r="LI59" s="71">
        <f>MAX(LK7:LK1000)</f>
        <v>0</v>
      </c>
      <c r="LJ59" s="17"/>
      <c r="LK59" s="59"/>
      <c r="LL59" s="16"/>
      <c r="LM59" s="16"/>
      <c r="LN59" s="16"/>
      <c r="LO59" s="16"/>
      <c r="LP59" s="16"/>
      <c r="LQ59" s="17"/>
    </row>
    <row r="60">
      <c r="A60" s="0" t="s">
        <v>259</v>
      </c>
      <c r="B60" s="71">
        <f>MIN(D7:D1000)</f>
        <v>0</v>
      </c>
      <c r="C60" s="63">
        <v>54</v>
      </c>
      <c r="D60" s="64">
        <v>20650</v>
      </c>
      <c r="E60" s="16" t="s">
        <v>20</v>
      </c>
      <c r="F60" s="16" t="s">
        <v>20</v>
      </c>
      <c r="G60" s="21" t="s">
        <v>20</v>
      </c>
      <c r="H60" s="16" t="s">
        <v>20</v>
      </c>
      <c r="I60" s="16" t="s">
        <v>20</v>
      </c>
      <c r="J60" s="17"/>
      <c r="L60" s="0" t="s">
        <v>259</v>
      </c>
      <c r="M60" s="71">
        <f>MIN(O7:O1000)</f>
        <v>0</v>
      </c>
      <c r="N60" s="66"/>
      <c r="O60" s="64"/>
      <c r="P60" s="16"/>
      <c r="Q60" s="16"/>
      <c r="R60" s="16"/>
      <c r="S60" s="16"/>
      <c r="T60" s="16"/>
      <c r="U60" s="17"/>
      <c r="W60" s="0" t="s">
        <v>259</v>
      </c>
      <c r="X60" s="71">
        <f>MIN(Z7:Z1000)</f>
        <v>0</v>
      </c>
      <c r="Y60" s="66">
        <v>54</v>
      </c>
      <c r="Z60" s="64">
        <v>19953</v>
      </c>
      <c r="AA60" s="16" t="s">
        <v>20</v>
      </c>
      <c r="AB60" s="16" t="s">
        <v>20</v>
      </c>
      <c r="AC60" s="16" t="s">
        <v>20</v>
      </c>
      <c r="AD60" s="16" t="s">
        <v>20</v>
      </c>
      <c r="AE60" s="16" t="s">
        <v>20</v>
      </c>
      <c r="AF60" s="17"/>
      <c r="AH60" s="0" t="s">
        <v>259</v>
      </c>
      <c r="AI60" s="71">
        <f>MIN(AK7:AK1000)</f>
        <v>0</v>
      </c>
      <c r="AJ60" s="17">
        <v>54</v>
      </c>
      <c r="AK60" s="64">
        <v>19628</v>
      </c>
      <c r="AL60" s="16">
        <v>4.9999999999999964</v>
      </c>
      <c r="AM60" s="16">
        <v>6.0000000044237822</v>
      </c>
      <c r="AN60" s="16" t="s">
        <v>20</v>
      </c>
      <c r="AO60" s="16">
        <v>4.5</v>
      </c>
      <c r="AP60" s="16">
        <v>4</v>
      </c>
      <c r="AQ60" s="17"/>
      <c r="AS60" s="0" t="s">
        <v>259</v>
      </c>
      <c r="AT60" s="71">
        <f>MIN(AV7:AV1000)</f>
        <v>0</v>
      </c>
      <c r="AU60" s="17">
        <v>54</v>
      </c>
      <c r="AV60" s="64">
        <v>19267</v>
      </c>
      <c r="AW60" s="16" t="s">
        <v>20</v>
      </c>
      <c r="AX60" s="16" t="s">
        <v>20</v>
      </c>
      <c r="AY60" s="16"/>
      <c r="AZ60" s="16" t="s">
        <v>20</v>
      </c>
      <c r="BA60" s="16" t="s">
        <v>20</v>
      </c>
      <c r="BB60" s="17"/>
      <c r="BD60" s="0" t="s">
        <v>259</v>
      </c>
      <c r="BE60" s="71">
        <f>MIN(BG7:BG1000)</f>
        <v>0</v>
      </c>
      <c r="BF60" s="17">
        <v>54</v>
      </c>
      <c r="BG60" s="64">
        <v>19777</v>
      </c>
      <c r="BH60" s="16">
        <v>2.0000000000000018</v>
      </c>
      <c r="BI60" s="16">
        <v>12.00000000372529</v>
      </c>
      <c r="BJ60" s="16" t="s">
        <v>20</v>
      </c>
      <c r="BK60" s="16">
        <v>4.5</v>
      </c>
      <c r="BL60" s="16">
        <v>2.8</v>
      </c>
      <c r="BM60" s="17"/>
      <c r="BO60" s="0" t="s">
        <v>259</v>
      </c>
      <c r="BP60" s="71">
        <f>MIN(BR7:BR1000)</f>
        <v>0</v>
      </c>
      <c r="BQ60" s="17">
        <v>54</v>
      </c>
      <c r="BR60" s="64">
        <v>19515</v>
      </c>
      <c r="BS60" s="16">
        <v>6.9999999999999991</v>
      </c>
      <c r="BT60" s="16">
        <v>12.999999991850927</v>
      </c>
      <c r="BU60" s="16" t="s">
        <v>20</v>
      </c>
      <c r="BV60" s="16">
        <v>4.5</v>
      </c>
      <c r="BW60" s="16">
        <v>2.3</v>
      </c>
      <c r="BX60" s="17"/>
      <c r="BZ60" s="0" t="s">
        <v>259</v>
      </c>
      <c r="CA60" s="71">
        <f>MIN(CC7:CC1000)</f>
        <v>0</v>
      </c>
      <c r="CB60" s="17"/>
      <c r="CC60" s="64"/>
      <c r="CD60" s="16"/>
      <c r="CE60" s="16"/>
      <c r="CF60" s="16"/>
      <c r="CG60" s="16"/>
      <c r="CH60" s="16"/>
      <c r="CI60" s="17"/>
      <c r="CK60" s="0" t="s">
        <v>259</v>
      </c>
      <c r="CL60" s="71">
        <f>MIN(CN7:CN1000)</f>
        <v>0</v>
      </c>
      <c r="CM60" s="17">
        <v>54</v>
      </c>
      <c r="CN60" s="64">
        <v>21202</v>
      </c>
      <c r="CO60" s="16">
        <v>11.000000000000002</v>
      </c>
      <c r="CP60" s="16">
        <v>22.999999995576218</v>
      </c>
      <c r="CQ60" s="16">
        <v>500</v>
      </c>
      <c r="CR60" s="16">
        <v>5.1999999999999833</v>
      </c>
      <c r="CS60" s="16">
        <v>5.1</v>
      </c>
      <c r="CT60" s="17"/>
      <c r="CV60" s="0" t="s">
        <v>259</v>
      </c>
      <c r="CW60" s="71">
        <f>MIN(CY7:CY1000)</f>
        <v>0</v>
      </c>
      <c r="CX60" s="17"/>
      <c r="CY60" s="59"/>
      <c r="CZ60" s="16"/>
      <c r="DA60" s="16"/>
      <c r="DB60" s="16"/>
      <c r="DC60" s="16"/>
      <c r="DD60" s="16"/>
      <c r="DE60" s="17"/>
      <c r="DG60" s="0" t="s">
        <v>259</v>
      </c>
      <c r="DH60" s="71">
        <f>MIN(DJ7:DJ1000)</f>
        <v>0</v>
      </c>
      <c r="DI60" s="17">
        <v>54</v>
      </c>
      <c r="DJ60" s="59">
        <v>20335</v>
      </c>
      <c r="DK60" s="16" t="s">
        <v>20</v>
      </c>
      <c r="DL60" s="16" t="s">
        <v>20</v>
      </c>
      <c r="DM60" s="16" t="s">
        <v>20</v>
      </c>
      <c r="DN60" s="16" t="s">
        <v>20</v>
      </c>
      <c r="DO60" s="16" t="s">
        <v>20</v>
      </c>
      <c r="DP60" s="17"/>
      <c r="DR60" s="0" t="s">
        <v>259</v>
      </c>
      <c r="DS60" s="71">
        <f>MIN(DU7:DU1000)</f>
        <v>0</v>
      </c>
      <c r="DT60" s="17"/>
      <c r="DU60" s="59"/>
      <c r="DV60" s="16"/>
      <c r="DW60" s="16"/>
      <c r="DX60" s="16"/>
      <c r="DY60" s="16"/>
      <c r="DZ60" s="16"/>
      <c r="EA60" s="17"/>
      <c r="EC60" s="0" t="s">
        <v>259</v>
      </c>
      <c r="ED60" s="71">
        <f>MIN(EF7:EF1000)</f>
        <v>0</v>
      </c>
      <c r="EE60" s="17"/>
      <c r="EF60" s="59"/>
      <c r="EG60" s="16"/>
      <c r="EH60" s="16"/>
      <c r="EI60" s="16"/>
      <c r="EJ60" s="16"/>
      <c r="EK60" s="16"/>
      <c r="EL60" s="17"/>
      <c r="EN60" s="0" t="s">
        <v>259</v>
      </c>
      <c r="EO60" s="71">
        <f>MIN(EQ7:EQ1000)</f>
        <v>0</v>
      </c>
      <c r="EP60" s="17">
        <v>54</v>
      </c>
      <c r="EQ60" s="59">
        <v>19763</v>
      </c>
      <c r="ER60" s="16">
        <v>2.9999999999999947</v>
      </c>
      <c r="ES60" s="16">
        <v>-106.00000000628643</v>
      </c>
      <c r="ET60" s="16" t="s">
        <v>20</v>
      </c>
      <c r="EU60" s="16">
        <v>4.5</v>
      </c>
      <c r="EV60" s="16">
        <v>1.8</v>
      </c>
      <c r="EW60" s="17"/>
      <c r="EY60" s="0" t="s">
        <v>259</v>
      </c>
      <c r="EZ60" s="71">
        <f>MIN(FB7:FB1000)</f>
        <v>0</v>
      </c>
      <c r="FA60" s="17">
        <v>54</v>
      </c>
      <c r="FB60" s="59">
        <v>21676</v>
      </c>
      <c r="FC60" s="16">
        <v>9.9999999999999929</v>
      </c>
      <c r="FD60" s="16">
        <v>17.9999999969732</v>
      </c>
      <c r="FE60" s="16" t="s">
        <v>20</v>
      </c>
      <c r="FF60" s="16">
        <v>5.5</v>
      </c>
      <c r="FG60" s="16">
        <v>5.5</v>
      </c>
      <c r="FH60" s="17"/>
      <c r="FJ60" s="0" t="s">
        <v>259</v>
      </c>
      <c r="FK60" s="71">
        <f>MIN(FM7:FM1000)</f>
        <v>0</v>
      </c>
      <c r="FL60" s="17">
        <v>54</v>
      </c>
      <c r="FM60" s="59">
        <v>21466</v>
      </c>
      <c r="FN60" s="16">
        <v>11.000000000000002</v>
      </c>
      <c r="FO60" s="16">
        <v>34.99999999278225</v>
      </c>
      <c r="FP60" s="16" t="s">
        <v>20</v>
      </c>
      <c r="FQ60" s="16">
        <v>5.5</v>
      </c>
      <c r="FR60" s="16">
        <v>5.5</v>
      </c>
      <c r="FS60" s="17"/>
      <c r="FU60" s="0" t="s">
        <v>259</v>
      </c>
      <c r="FV60" s="71">
        <f>MIN(FX7:FX1000)</f>
        <v>0</v>
      </c>
      <c r="FW60" s="17">
        <v>54</v>
      </c>
      <c r="FX60" s="59">
        <v>21333</v>
      </c>
      <c r="FY60" s="16" t="s">
        <v>20</v>
      </c>
      <c r="FZ60" s="16" t="s">
        <v>20</v>
      </c>
      <c r="GA60" s="16" t="s">
        <v>20</v>
      </c>
      <c r="GB60" s="16" t="s">
        <v>20</v>
      </c>
      <c r="GC60" s="16" t="s">
        <v>20</v>
      </c>
      <c r="GD60" s="17"/>
      <c r="GF60" s="0" t="s">
        <v>259</v>
      </c>
      <c r="GG60" s="71">
        <f>MIN(GI7:GI1000)</f>
        <v>0</v>
      </c>
      <c r="GH60" s="17">
        <v>54</v>
      </c>
      <c r="GI60" s="59">
        <v>19938</v>
      </c>
      <c r="GJ60" s="16" t="s">
        <v>20</v>
      </c>
      <c r="GK60" s="16" t="s">
        <v>20</v>
      </c>
      <c r="GL60" s="16" t="s">
        <v>20</v>
      </c>
      <c r="GM60" s="16" t="s">
        <v>20</v>
      </c>
      <c r="GN60" s="16" t="s">
        <v>20</v>
      </c>
      <c r="GO60" s="17"/>
      <c r="GQ60" s="0" t="s">
        <v>259</v>
      </c>
      <c r="GR60" s="71">
        <f>MIN(GT7:GT1000)</f>
        <v>0</v>
      </c>
      <c r="GS60" s="17"/>
      <c r="GT60" s="59"/>
      <c r="GU60" s="16"/>
      <c r="GV60" s="16"/>
      <c r="GW60" s="16"/>
      <c r="GX60" s="16"/>
      <c r="GY60" s="16"/>
      <c r="GZ60" s="17"/>
      <c r="HB60" s="0" t="s">
        <v>259</v>
      </c>
      <c r="HC60" s="71">
        <f>MIN(HE7:HE1000)</f>
        <v>0</v>
      </c>
      <c r="HD60" s="17"/>
      <c r="HE60" s="59"/>
      <c r="HF60" s="16"/>
      <c r="HG60" s="16"/>
      <c r="HH60" s="16"/>
      <c r="HI60" s="16"/>
      <c r="HJ60" s="16"/>
      <c r="HK60" s="17"/>
      <c r="HM60" s="0" t="s">
        <v>259</v>
      </c>
      <c r="HN60" s="71">
        <f>MIN(HP7:HP1000)</f>
        <v>0</v>
      </c>
      <c r="HO60" s="17"/>
      <c r="HP60" s="59"/>
      <c r="HQ60" s="16"/>
      <c r="HR60" s="16"/>
      <c r="HS60" s="16"/>
      <c r="HT60" s="16"/>
      <c r="HU60" s="16"/>
      <c r="HV60" s="17"/>
      <c r="HX60" s="0" t="s">
        <v>259</v>
      </c>
      <c r="HY60" s="71">
        <f>MIN(IA7:IA1000)</f>
        <v>0</v>
      </c>
      <c r="HZ60" s="17"/>
      <c r="IA60" s="59"/>
      <c r="IB60" s="16"/>
      <c r="IC60" s="16"/>
      <c r="ID60" s="16"/>
      <c r="IE60" s="16"/>
      <c r="IF60" s="16"/>
      <c r="IG60" s="17"/>
      <c r="II60" s="0" t="s">
        <v>259</v>
      </c>
      <c r="IJ60" s="71">
        <f>MIN(IL7:IL1000)</f>
        <v>0</v>
      </c>
      <c r="IK60" s="17"/>
      <c r="IL60" s="59"/>
      <c r="IM60" s="16"/>
      <c r="IN60" s="16"/>
      <c r="IO60" s="16"/>
      <c r="IP60" s="16"/>
      <c r="IQ60" s="16"/>
      <c r="IR60" s="17"/>
      <c r="IT60" s="0" t="s">
        <v>259</v>
      </c>
      <c r="IU60" s="71">
        <f>MIN(IW7:IW1000)</f>
        <v>0</v>
      </c>
      <c r="IV60" s="17"/>
      <c r="IW60" s="59"/>
      <c r="IX60" s="16"/>
      <c r="IY60" s="16"/>
      <c r="IZ60" s="16"/>
      <c r="JA60" s="16"/>
      <c r="JB60" s="16"/>
      <c r="JC60" s="17"/>
      <c r="JE60" s="0" t="s">
        <v>259</v>
      </c>
      <c r="JF60" s="71">
        <f>MIN(JH7:JH1000)</f>
        <v>0</v>
      </c>
      <c r="JG60" s="17"/>
      <c r="JH60" s="59"/>
      <c r="JI60" s="16"/>
      <c r="JJ60" s="16"/>
      <c r="JK60" s="16"/>
      <c r="JL60" s="16"/>
      <c r="JM60" s="16"/>
      <c r="JN60" s="17"/>
      <c r="JP60" s="0" t="s">
        <v>259</v>
      </c>
      <c r="JQ60" s="71">
        <f>MIN(JS7:JS1000)</f>
        <v>0</v>
      </c>
      <c r="JR60" s="17"/>
      <c r="JS60" s="59"/>
      <c r="JT60" s="16"/>
      <c r="JU60" s="16"/>
      <c r="JV60" s="16"/>
      <c r="JW60" s="16"/>
      <c r="JX60" s="16"/>
      <c r="JY60" s="17"/>
      <c r="KA60" s="0" t="s">
        <v>259</v>
      </c>
      <c r="KB60" s="71">
        <f>MIN(KD7:KD1000)</f>
        <v>0</v>
      </c>
      <c r="KC60" s="17"/>
      <c r="KD60" s="59"/>
      <c r="KE60" s="16"/>
      <c r="KF60" s="16"/>
      <c r="KG60" s="16"/>
      <c r="KH60" s="16"/>
      <c r="KI60" s="16"/>
      <c r="KJ60" s="17"/>
      <c r="KL60" s="0" t="s">
        <v>259</v>
      </c>
      <c r="KM60" s="71">
        <f>MIN(KO7:KO1000)</f>
        <v>0</v>
      </c>
      <c r="KN60" s="17"/>
      <c r="KO60" s="59"/>
      <c r="KP60" s="16"/>
      <c r="KQ60" s="16"/>
      <c r="KR60" s="16"/>
      <c r="KS60" s="16"/>
      <c r="KT60" s="16"/>
      <c r="KU60" s="17"/>
      <c r="KW60" s="0" t="s">
        <v>259</v>
      </c>
      <c r="KX60" s="71">
        <f>MIN(KZ7:KZ1000)</f>
        <v>0</v>
      </c>
      <c r="KY60" s="17"/>
      <c r="KZ60" s="59"/>
      <c r="LA60" s="16"/>
      <c r="LB60" s="16"/>
      <c r="LC60" s="16"/>
      <c r="LD60" s="16"/>
      <c r="LE60" s="16"/>
      <c r="LF60" s="17"/>
      <c r="LH60" s="0" t="s">
        <v>259</v>
      </c>
      <c r="LI60" s="71">
        <f>MIN(LK7:LK1000)</f>
        <v>0</v>
      </c>
      <c r="LJ60" s="17"/>
      <c r="LK60" s="59"/>
      <c r="LL60" s="16"/>
      <c r="LM60" s="16"/>
      <c r="LN60" s="16"/>
      <c r="LO60" s="16"/>
      <c r="LP60" s="16"/>
      <c r="LQ60" s="17"/>
    </row>
    <row r="61">
      <c r="A61" s="0" t="s">
        <v>260</v>
      </c>
      <c r="B61" s="46" t="e">
        <f>MATCH(B58,'Target Attainment'!$D$3:$D$205,0)</f>
        <v>#N/A</v>
      </c>
      <c r="C61" s="63">
        <v>55</v>
      </c>
      <c r="D61" s="64">
        <v>20853</v>
      </c>
      <c r="E61" s="16" t="s">
        <v>20</v>
      </c>
      <c r="F61" s="16" t="s">
        <v>20</v>
      </c>
      <c r="G61" s="21" t="s">
        <v>20</v>
      </c>
      <c r="H61" s="16" t="s">
        <v>20</v>
      </c>
      <c r="I61" s="16" t="s">
        <v>20</v>
      </c>
      <c r="J61" s="17"/>
      <c r="L61" s="0" t="s">
        <v>260</v>
      </c>
      <c r="M61" s="46" t="e">
        <f>MATCH(M58,'Target Attainment'!$D$3:$D$205,0)</f>
        <v>#N/A</v>
      </c>
      <c r="N61" s="66"/>
      <c r="O61" s="64"/>
      <c r="P61" s="16"/>
      <c r="Q61" s="16"/>
      <c r="R61" s="16"/>
      <c r="S61" s="16"/>
      <c r="T61" s="16"/>
      <c r="U61" s="17"/>
      <c r="W61" s="0" t="s">
        <v>260</v>
      </c>
      <c r="X61" s="46" t="e">
        <f>MATCH(X58,'Target Attainment'!$D$3:$D$205,0)</f>
        <v>#N/A</v>
      </c>
      <c r="Y61" s="66">
        <v>55</v>
      </c>
      <c r="Z61" s="64">
        <v>20154</v>
      </c>
      <c r="AA61" s="16" t="s">
        <v>20</v>
      </c>
      <c r="AB61" s="16" t="s">
        <v>20</v>
      </c>
      <c r="AC61" s="16" t="s">
        <v>20</v>
      </c>
      <c r="AD61" s="16" t="s">
        <v>20</v>
      </c>
      <c r="AE61" s="16" t="s">
        <v>20</v>
      </c>
      <c r="AF61" s="17"/>
      <c r="AH61" s="0" t="s">
        <v>260</v>
      </c>
      <c r="AI61" s="46" t="e">
        <f>MATCH(AI58,'Target Attainment'!$D$3:$D$205,0)</f>
        <v>#N/A</v>
      </c>
      <c r="AJ61" s="17">
        <v>55</v>
      </c>
      <c r="AK61" s="64">
        <v>19829</v>
      </c>
      <c r="AL61" s="16">
        <v>4.9999999999999964</v>
      </c>
      <c r="AM61" s="16">
        <v>9.99999999650754</v>
      </c>
      <c r="AN61" s="16" t="s">
        <v>20</v>
      </c>
      <c r="AO61" s="16">
        <v>4.5</v>
      </c>
      <c r="AP61" s="16">
        <v>4.1</v>
      </c>
      <c r="AQ61" s="17"/>
      <c r="AS61" s="0" t="s">
        <v>260</v>
      </c>
      <c r="AT61" s="46" t="e">
        <f>MATCH(AT58,'Target Attainment'!$D$3:$D$205,0)</f>
        <v>#N/A</v>
      </c>
      <c r="AU61" s="17">
        <v>55</v>
      </c>
      <c r="AV61" s="64">
        <v>19468</v>
      </c>
      <c r="AW61" s="16" t="s">
        <v>20</v>
      </c>
      <c r="AX61" s="16" t="s">
        <v>20</v>
      </c>
      <c r="AY61" s="16"/>
      <c r="AZ61" s="16" t="s">
        <v>20</v>
      </c>
      <c r="BA61" s="16" t="s">
        <v>20</v>
      </c>
      <c r="BB61" s="17"/>
      <c r="BD61" s="0" t="s">
        <v>260</v>
      </c>
      <c r="BE61" s="46" t="e">
        <f>MATCH(BE58,'Target Attainment'!$D$3:$D$205,0)</f>
        <v>#N/A</v>
      </c>
      <c r="BF61" s="17">
        <v>55</v>
      </c>
      <c r="BG61" s="64">
        <v>19979</v>
      </c>
      <c r="BH61" s="16">
        <v>2.0000000000000018</v>
      </c>
      <c r="BI61" s="16">
        <v>12.99999999650754</v>
      </c>
      <c r="BJ61" s="16" t="s">
        <v>20</v>
      </c>
      <c r="BK61" s="16">
        <v>4.5</v>
      </c>
      <c r="BL61" s="16">
        <v>2.1</v>
      </c>
      <c r="BM61" s="17"/>
      <c r="BO61" s="0" t="s">
        <v>260</v>
      </c>
      <c r="BP61" s="46" t="e">
        <f>MATCH(BP58,'Target Attainment'!$D$3:$D$205,0)</f>
        <v>#N/A</v>
      </c>
      <c r="BQ61" s="17">
        <v>55</v>
      </c>
      <c r="BR61" s="64">
        <v>19715</v>
      </c>
      <c r="BS61" s="16">
        <v>6.0000000000000053</v>
      </c>
      <c r="BT61" s="16">
        <v>22.000000009778887</v>
      </c>
      <c r="BU61" s="16" t="s">
        <v>20</v>
      </c>
      <c r="BV61" s="16">
        <v>4.5</v>
      </c>
      <c r="BW61" s="16">
        <v>3.2</v>
      </c>
      <c r="BX61" s="17"/>
      <c r="BZ61" s="0" t="s">
        <v>260</v>
      </c>
      <c r="CA61" s="46" t="e">
        <f>MATCH(CA58,'Target Attainment'!$D$3:$D$205,0)</f>
        <v>#N/A</v>
      </c>
      <c r="CB61" s="17"/>
      <c r="CC61" s="64"/>
      <c r="CD61" s="16"/>
      <c r="CE61" s="16"/>
      <c r="CF61" s="16"/>
      <c r="CG61" s="16"/>
      <c r="CH61" s="16"/>
      <c r="CI61" s="17"/>
      <c r="CK61" s="0" t="s">
        <v>260</v>
      </c>
      <c r="CL61" s="46" t="e">
        <f>MATCH(CL58,'Target Attainment'!$D$3:$D$205,0)</f>
        <v>#N/A</v>
      </c>
      <c r="CM61" s="17">
        <v>55</v>
      </c>
      <c r="CN61" s="64">
        <v>21404</v>
      </c>
      <c r="CO61" s="16">
        <v>8.0000000000000071</v>
      </c>
      <c r="CP61" s="16">
        <v>29.999999998137355</v>
      </c>
      <c r="CQ61" s="16">
        <v>500</v>
      </c>
      <c r="CR61" s="16">
        <v>5.1999999999999833</v>
      </c>
      <c r="CS61" s="16">
        <v>4.9</v>
      </c>
      <c r="CT61" s="17"/>
      <c r="CV61" s="0" t="s">
        <v>260</v>
      </c>
      <c r="CW61" s="46" t="e">
        <f>MATCH(CW58,'Target Attainment'!$D$3:$D$205,0)</f>
        <v>#N/A</v>
      </c>
      <c r="CX61" s="17"/>
      <c r="CY61" s="59"/>
      <c r="CZ61" s="16"/>
      <c r="DA61" s="16"/>
      <c r="DB61" s="16"/>
      <c r="DC61" s="16"/>
      <c r="DD61" s="16"/>
      <c r="DE61" s="17"/>
      <c r="DG61" s="0" t="s">
        <v>260</v>
      </c>
      <c r="DH61" s="46" t="e">
        <f>MATCH(DH58,'Target Attainment'!$D$3:$D$205,0)</f>
        <v>#N/A</v>
      </c>
      <c r="DI61" s="17">
        <v>55</v>
      </c>
      <c r="DJ61" s="59">
        <v>20536</v>
      </c>
      <c r="DK61" s="16" t="s">
        <v>20</v>
      </c>
      <c r="DL61" s="16" t="s">
        <v>20</v>
      </c>
      <c r="DM61" s="16" t="s">
        <v>20</v>
      </c>
      <c r="DN61" s="16" t="s">
        <v>20</v>
      </c>
      <c r="DO61" s="16" t="s">
        <v>20</v>
      </c>
      <c r="DP61" s="17"/>
      <c r="DR61" s="0" t="s">
        <v>260</v>
      </c>
      <c r="DS61" s="46" t="e">
        <f>MATCH(DS58,'Target Attainment'!$D$3:$D$205,0)</f>
        <v>#N/A</v>
      </c>
      <c r="DT61" s="17"/>
      <c r="DU61" s="59"/>
      <c r="DV61" s="16"/>
      <c r="DW61" s="16"/>
      <c r="DX61" s="16"/>
      <c r="DY61" s="16"/>
      <c r="DZ61" s="16"/>
      <c r="EA61" s="17"/>
      <c r="EC61" s="0" t="s">
        <v>260</v>
      </c>
      <c r="ED61" s="46" t="e">
        <f>MATCH(ED58,'Target Attainment'!$D$3:$D$205,0)</f>
        <v>#N/A</v>
      </c>
      <c r="EE61" s="17"/>
      <c r="EF61" s="59"/>
      <c r="EG61" s="16"/>
      <c r="EH61" s="16"/>
      <c r="EI61" s="16"/>
      <c r="EJ61" s="16"/>
      <c r="EK61" s="16"/>
      <c r="EL61" s="17"/>
      <c r="EN61" s="0" t="s">
        <v>260</v>
      </c>
      <c r="EO61" s="46" t="e">
        <f>MATCH(EO58,'Target Attainment'!$D$3:$D$205,0)</f>
        <v>#N/A</v>
      </c>
      <c r="EP61" s="17">
        <v>55</v>
      </c>
      <c r="EQ61" s="59">
        <v>19965</v>
      </c>
      <c r="ER61" s="16">
        <v>2.9999999999999947</v>
      </c>
      <c r="ES61" s="16">
        <v>113.00000000093132</v>
      </c>
      <c r="ET61" s="16" t="s">
        <v>20</v>
      </c>
      <c r="EU61" s="16">
        <v>4.5</v>
      </c>
      <c r="EV61" s="16">
        <v>3.1</v>
      </c>
      <c r="EW61" s="17"/>
      <c r="EY61" s="0" t="s">
        <v>260</v>
      </c>
      <c r="EZ61" s="46" t="e">
        <f>MATCH(EZ58,'Target Attainment'!$D$3:$D$205,0)</f>
        <v>#N/A</v>
      </c>
      <c r="FA61" s="17">
        <v>55</v>
      </c>
      <c r="FB61" s="59">
        <v>21876</v>
      </c>
      <c r="FC61" s="16">
        <v>9</v>
      </c>
      <c r="FD61" s="16">
        <v>18.9999999969732</v>
      </c>
      <c r="FE61" s="16" t="s">
        <v>20</v>
      </c>
      <c r="FF61" s="16">
        <v>5.5</v>
      </c>
      <c r="FG61" s="16">
        <v>5.5</v>
      </c>
      <c r="FH61" s="17"/>
      <c r="FJ61" s="0" t="s">
        <v>260</v>
      </c>
      <c r="FK61" s="46" t="e">
        <f>MATCH(FK58,'Target Attainment'!$D$3:$D$205,0)</f>
        <v>#N/A</v>
      </c>
      <c r="FL61" s="17">
        <v>55</v>
      </c>
      <c r="FM61" s="59">
        <v>21665</v>
      </c>
      <c r="FN61" s="16">
        <v>9</v>
      </c>
      <c r="FO61" s="16">
        <v>20.000000000232831</v>
      </c>
      <c r="FP61" s="16" t="s">
        <v>20</v>
      </c>
      <c r="FQ61" s="16">
        <v>5.1999999999999833</v>
      </c>
      <c r="FR61" s="16">
        <v>5.1</v>
      </c>
      <c r="FS61" s="17"/>
      <c r="FU61" s="0" t="s">
        <v>260</v>
      </c>
      <c r="FV61" s="46" t="e">
        <f>MATCH(FV58,'Target Attainment'!$D$3:$D$205,0)</f>
        <v>#N/A</v>
      </c>
      <c r="FW61" s="17">
        <v>55</v>
      </c>
      <c r="FX61" s="59">
        <v>21574</v>
      </c>
      <c r="FY61" s="16" t="s">
        <v>20</v>
      </c>
      <c r="FZ61" s="16" t="s">
        <v>20</v>
      </c>
      <c r="GA61" s="16" t="s">
        <v>20</v>
      </c>
      <c r="GB61" s="16" t="s">
        <v>20</v>
      </c>
      <c r="GC61" s="16" t="s">
        <v>20</v>
      </c>
      <c r="GD61" s="17"/>
      <c r="GF61" s="0" t="s">
        <v>260</v>
      </c>
      <c r="GG61" s="46" t="e">
        <f>MATCH(GG58,'Target Attainment'!$D$3:$D$205,0)</f>
        <v>#N/A</v>
      </c>
      <c r="GH61" s="17">
        <v>55</v>
      </c>
      <c r="GI61" s="59">
        <v>20139</v>
      </c>
      <c r="GJ61" s="16" t="s">
        <v>20</v>
      </c>
      <c r="GK61" s="16" t="s">
        <v>20</v>
      </c>
      <c r="GL61" s="16" t="s">
        <v>20</v>
      </c>
      <c r="GM61" s="16" t="s">
        <v>20</v>
      </c>
      <c r="GN61" s="16" t="s">
        <v>20</v>
      </c>
      <c r="GO61" s="17"/>
      <c r="GQ61" s="0" t="s">
        <v>260</v>
      </c>
      <c r="GR61" s="46" t="e">
        <f>MATCH(GR58,'Target Attainment'!$D$3:$D$205,0)</f>
        <v>#N/A</v>
      </c>
      <c r="GS61" s="17"/>
      <c r="GT61" s="59"/>
      <c r="GU61" s="16"/>
      <c r="GV61" s="16"/>
      <c r="GW61" s="16"/>
      <c r="GX61" s="16"/>
      <c r="GY61" s="16"/>
      <c r="GZ61" s="17"/>
      <c r="HB61" s="0" t="s">
        <v>260</v>
      </c>
      <c r="HC61" s="46" t="e">
        <f>MATCH(HC58,'Target Attainment'!$D$3:$D$205,0)</f>
        <v>#N/A</v>
      </c>
      <c r="HD61" s="17"/>
      <c r="HE61" s="59"/>
      <c r="HF61" s="16"/>
      <c r="HG61" s="16"/>
      <c r="HH61" s="16"/>
      <c r="HI61" s="16"/>
      <c r="HJ61" s="16"/>
      <c r="HK61" s="17"/>
      <c r="HM61" s="0" t="s">
        <v>260</v>
      </c>
      <c r="HN61" s="46" t="e">
        <f>MATCH(HN58,'Target Attainment'!$D$3:$D$205,0)</f>
        <v>#N/A</v>
      </c>
      <c r="HO61" s="17"/>
      <c r="HP61" s="59"/>
      <c r="HQ61" s="16"/>
      <c r="HR61" s="16"/>
      <c r="HS61" s="16"/>
      <c r="HT61" s="16"/>
      <c r="HU61" s="16"/>
      <c r="HV61" s="17"/>
      <c r="HX61" s="0" t="s">
        <v>260</v>
      </c>
      <c r="HY61" s="46" t="e">
        <f>MATCH(HY58,'Target Attainment'!$D$3:$D$205,0)</f>
        <v>#N/A</v>
      </c>
      <c r="HZ61" s="17"/>
      <c r="IA61" s="59"/>
      <c r="IB61" s="16"/>
      <c r="IC61" s="16"/>
      <c r="ID61" s="16"/>
      <c r="IE61" s="16"/>
      <c r="IF61" s="16"/>
      <c r="IG61" s="17"/>
      <c r="II61" s="0" t="s">
        <v>260</v>
      </c>
      <c r="IJ61" s="46" t="e">
        <f>MATCH(IJ58,'Target Attainment'!$D$3:$D$205,0)</f>
        <v>#N/A</v>
      </c>
      <c r="IK61" s="17"/>
      <c r="IL61" s="59"/>
      <c r="IM61" s="16"/>
      <c r="IN61" s="16"/>
      <c r="IO61" s="16"/>
      <c r="IP61" s="16"/>
      <c r="IQ61" s="16"/>
      <c r="IR61" s="17"/>
      <c r="IT61" s="0" t="s">
        <v>260</v>
      </c>
      <c r="IU61" s="46" t="e">
        <f>MATCH(IU58,'Target Attainment'!$D$3:$D$205,0)</f>
        <v>#N/A</v>
      </c>
      <c r="IV61" s="17"/>
      <c r="IW61" s="59"/>
      <c r="IX61" s="16"/>
      <c r="IY61" s="16"/>
      <c r="IZ61" s="16"/>
      <c r="JA61" s="16"/>
      <c r="JB61" s="16"/>
      <c r="JC61" s="17"/>
      <c r="JE61" s="0" t="s">
        <v>260</v>
      </c>
      <c r="JF61" s="46" t="e">
        <f>MATCH(JF58,'Target Attainment'!$D$3:$D$205,0)</f>
        <v>#N/A</v>
      </c>
      <c r="JG61" s="17"/>
      <c r="JH61" s="59"/>
      <c r="JI61" s="16"/>
      <c r="JJ61" s="16"/>
      <c r="JK61" s="16"/>
      <c r="JL61" s="16"/>
      <c r="JM61" s="16"/>
      <c r="JN61" s="17"/>
      <c r="JP61" s="0" t="s">
        <v>260</v>
      </c>
      <c r="JQ61" s="46" t="e">
        <f>MATCH(JQ58,'Target Attainment'!$D$3:$D$205,0)</f>
        <v>#N/A</v>
      </c>
      <c r="JR61" s="17"/>
      <c r="JS61" s="59"/>
      <c r="JT61" s="16"/>
      <c r="JU61" s="16"/>
      <c r="JV61" s="16"/>
      <c r="JW61" s="16"/>
      <c r="JX61" s="16"/>
      <c r="JY61" s="17"/>
      <c r="KA61" s="0" t="s">
        <v>260</v>
      </c>
      <c r="KB61" s="46" t="e">
        <f>MATCH(KB58,'Target Attainment'!$D$3:$D$205,0)</f>
        <v>#N/A</v>
      </c>
      <c r="KC61" s="17"/>
      <c r="KD61" s="59"/>
      <c r="KE61" s="16"/>
      <c r="KF61" s="16"/>
      <c r="KG61" s="16"/>
      <c r="KH61" s="16"/>
      <c r="KI61" s="16"/>
      <c r="KJ61" s="17"/>
      <c r="KL61" s="0" t="s">
        <v>260</v>
      </c>
      <c r="KM61" s="46" t="e">
        <f>MATCH(KM58,'Target Attainment'!$D$3:$D$205,0)</f>
        <v>#N/A</v>
      </c>
      <c r="KN61" s="17"/>
      <c r="KO61" s="59"/>
      <c r="KP61" s="16"/>
      <c r="KQ61" s="16"/>
      <c r="KR61" s="16"/>
      <c r="KS61" s="16"/>
      <c r="KT61" s="16"/>
      <c r="KU61" s="17"/>
      <c r="KW61" s="0" t="s">
        <v>260</v>
      </c>
      <c r="KX61" s="46" t="e">
        <f>MATCH(KX58,'Target Attainment'!$D$3:$D$205,0)</f>
        <v>#N/A</v>
      </c>
      <c r="KY61" s="17"/>
      <c r="KZ61" s="59"/>
      <c r="LA61" s="16"/>
      <c r="LB61" s="16"/>
      <c r="LC61" s="16"/>
      <c r="LD61" s="16"/>
      <c r="LE61" s="16"/>
      <c r="LF61" s="17"/>
      <c r="LH61" s="0" t="s">
        <v>260</v>
      </c>
      <c r="LI61" s="46" t="e">
        <f>MATCH(LI58,'Target Attainment'!$D$3:$D$205,0)</f>
        <v>#N/A</v>
      </c>
      <c r="LJ61" s="17"/>
      <c r="LK61" s="59"/>
      <c r="LL61" s="16"/>
      <c r="LM61" s="16"/>
      <c r="LN61" s="16"/>
      <c r="LO61" s="16"/>
      <c r="LP61" s="16"/>
      <c r="LQ61" s="17"/>
    </row>
    <row r="62">
      <c r="A62" s="0" t="s">
        <v>261</v>
      </c>
      <c r="B62" s="71" t="e">
        <f>MATCH(B75,OFFSET('Target Attainment'!$D$2,B61,2,1,8),1)-1</f>
        <v>#N/A</v>
      </c>
      <c r="C62" s="63">
        <v>56</v>
      </c>
      <c r="D62" s="64">
        <v>21055</v>
      </c>
      <c r="E62" s="16" t="s">
        <v>20</v>
      </c>
      <c r="F62" s="16" t="s">
        <v>20</v>
      </c>
      <c r="G62" s="21" t="s">
        <v>20</v>
      </c>
      <c r="H62" s="16" t="s">
        <v>20</v>
      </c>
      <c r="I62" s="16" t="s">
        <v>20</v>
      </c>
      <c r="J62" s="17"/>
      <c r="L62" s="0" t="s">
        <v>261</v>
      </c>
      <c r="M62" s="71" t="e">
        <f>MATCH(M75,OFFSET('Target Attainment'!$D$2,M61,2,1,8),1)-1</f>
        <v>#N/A</v>
      </c>
      <c r="N62" s="66"/>
      <c r="O62" s="64"/>
      <c r="P62" s="16"/>
      <c r="Q62" s="16"/>
      <c r="R62" s="16"/>
      <c r="S62" s="16"/>
      <c r="T62" s="16"/>
      <c r="U62" s="17"/>
      <c r="W62" s="0" t="s">
        <v>261</v>
      </c>
      <c r="X62" s="71" t="e">
        <f>MATCH(X75,OFFSET('Target Attainment'!$D$2,X61,2,1,8),1)-1</f>
        <v>#N/A</v>
      </c>
      <c r="Y62" s="66">
        <v>56</v>
      </c>
      <c r="Z62" s="68">
        <v>20354</v>
      </c>
      <c r="AA62" s="41" t="s">
        <v>20</v>
      </c>
      <c r="AB62" s="16" t="s">
        <v>20</v>
      </c>
      <c r="AC62" s="16" t="s">
        <v>20</v>
      </c>
      <c r="AD62" s="44" t="s">
        <v>20</v>
      </c>
      <c r="AE62" s="16" t="s">
        <v>20</v>
      </c>
      <c r="AF62" s="17"/>
      <c r="AH62" s="0" t="s">
        <v>261</v>
      </c>
      <c r="AI62" s="71" t="e">
        <f>MATCH(AI75,OFFSET('Target Attainment'!$D$2,AI61,2,1,8),1)-1</f>
        <v>#N/A</v>
      </c>
      <c r="AJ62" s="17">
        <v>56</v>
      </c>
      <c r="AK62" s="68">
        <v>20031</v>
      </c>
      <c r="AL62" s="41">
        <v>4.9999999999999964</v>
      </c>
      <c r="AM62" s="16">
        <v>15.000000002328306</v>
      </c>
      <c r="AN62" s="16" t="s">
        <v>20</v>
      </c>
      <c r="AO62" s="44">
        <v>4.5</v>
      </c>
      <c r="AP62" s="16">
        <v>4</v>
      </c>
      <c r="AQ62" s="17"/>
      <c r="AS62" s="0" t="s">
        <v>261</v>
      </c>
      <c r="AT62" s="71" t="e">
        <f>MATCH(AT75,OFFSET('Target Attainment'!$D$2,AT61,2,1,8),1)-1</f>
        <v>#N/A</v>
      </c>
      <c r="AU62" s="17">
        <v>56</v>
      </c>
      <c r="AV62" s="68">
        <v>19669</v>
      </c>
      <c r="AW62" s="41" t="s">
        <v>20</v>
      </c>
      <c r="AX62" s="16" t="s">
        <v>20</v>
      </c>
      <c r="AY62" s="16"/>
      <c r="AZ62" s="44" t="s">
        <v>20</v>
      </c>
      <c r="BA62" s="16" t="s">
        <v>20</v>
      </c>
      <c r="BB62" s="17"/>
      <c r="BD62" s="0" t="s">
        <v>261</v>
      </c>
      <c r="BE62" s="71" t="e">
        <f>MATCH(BE75,OFFSET('Target Attainment'!$D$2,BE61,2,1,8),1)-1</f>
        <v>#N/A</v>
      </c>
      <c r="BF62" s="17">
        <v>56</v>
      </c>
      <c r="BG62" s="68">
        <v>20180</v>
      </c>
      <c r="BH62" s="41">
        <v>2.9999999999999947</v>
      </c>
      <c r="BI62" s="16">
        <v>24.000000004190952</v>
      </c>
      <c r="BJ62" s="16" t="s">
        <v>20</v>
      </c>
      <c r="BK62" s="44">
        <v>4.5</v>
      </c>
      <c r="BL62" s="16">
        <v>2.6</v>
      </c>
      <c r="BM62" s="17"/>
      <c r="BO62" s="0" t="s">
        <v>261</v>
      </c>
      <c r="BP62" s="71" t="e">
        <f>MATCH(BP75,OFFSET('Target Attainment'!$D$2,BP61,2,1,8),1)-1</f>
        <v>#N/A</v>
      </c>
      <c r="BQ62" s="17">
        <v>56</v>
      </c>
      <c r="BR62" s="68">
        <v>19915</v>
      </c>
      <c r="BS62" s="41">
        <v>9</v>
      </c>
      <c r="BT62" s="16">
        <v>9.9999999990686774</v>
      </c>
      <c r="BU62" s="16" t="s">
        <v>20</v>
      </c>
      <c r="BV62" s="44">
        <v>4.5</v>
      </c>
      <c r="BW62" s="16">
        <v>3.3</v>
      </c>
      <c r="BX62" s="17"/>
      <c r="BZ62" s="0" t="s">
        <v>261</v>
      </c>
      <c r="CA62" s="71" t="e">
        <f>MATCH(CA75,OFFSET('Target Attainment'!$D$2,CA61,2,1,8),1)-1</f>
        <v>#N/A</v>
      </c>
      <c r="CB62" s="17"/>
      <c r="CC62" s="68"/>
      <c r="CD62" s="41"/>
      <c r="CE62" s="16"/>
      <c r="CF62" s="16"/>
      <c r="CG62" s="44"/>
      <c r="CH62" s="16"/>
      <c r="CI62" s="17"/>
      <c r="CK62" s="0" t="s">
        <v>261</v>
      </c>
      <c r="CL62" s="71" t="e">
        <f>MATCH(CL75,OFFSET('Target Attainment'!$D$2,CL61,2,1,8),1)-1</f>
        <v>#N/A</v>
      </c>
      <c r="CM62" s="17">
        <v>56</v>
      </c>
      <c r="CN62" s="68">
        <v>21606</v>
      </c>
      <c r="CO62" s="41">
        <v>11.999999999999995</v>
      </c>
      <c r="CP62" s="16">
        <v>27.000000001396984</v>
      </c>
      <c r="CQ62" s="16">
        <v>500</v>
      </c>
      <c r="CR62" s="44">
        <v>5.1999999999999833</v>
      </c>
      <c r="CS62" s="16">
        <v>4.9</v>
      </c>
      <c r="CT62" s="17"/>
      <c r="CV62" s="0" t="s">
        <v>261</v>
      </c>
      <c r="CW62" s="71" t="e">
        <f>MATCH(CW75,OFFSET('Target Attainment'!$D$2,CW61,2,1,8),1)-1</f>
        <v>#N/A</v>
      </c>
      <c r="CX62" s="17"/>
      <c r="CY62" s="43"/>
      <c r="CZ62" s="41"/>
      <c r="DA62" s="16"/>
      <c r="DB62" s="16"/>
      <c r="DC62" s="44"/>
      <c r="DD62" s="16"/>
      <c r="DE62" s="17"/>
      <c r="DG62" s="0" t="s">
        <v>261</v>
      </c>
      <c r="DH62" s="71" t="e">
        <f>MATCH(DH75,OFFSET('Target Attainment'!$D$2,DH61,2,1,8),1)-1</f>
        <v>#N/A</v>
      </c>
      <c r="DI62" s="17">
        <v>56</v>
      </c>
      <c r="DJ62" s="43">
        <v>20737</v>
      </c>
      <c r="DK62" s="41" t="s">
        <v>20</v>
      </c>
      <c r="DL62" s="16" t="s">
        <v>20</v>
      </c>
      <c r="DM62" s="16" t="s">
        <v>20</v>
      </c>
      <c r="DN62" s="44" t="s">
        <v>20</v>
      </c>
      <c r="DO62" s="16" t="s">
        <v>20</v>
      </c>
      <c r="DP62" s="17"/>
      <c r="DR62" s="0" t="s">
        <v>261</v>
      </c>
      <c r="DS62" s="71" t="e">
        <f>MATCH(DS75,OFFSET('Target Attainment'!$D$2,DS61,2,1,8),1)-1</f>
        <v>#N/A</v>
      </c>
      <c r="DT62" s="17"/>
      <c r="DU62" s="43"/>
      <c r="DV62" s="41"/>
      <c r="DW62" s="16"/>
      <c r="DX62" s="16"/>
      <c r="DY62" s="44"/>
      <c r="DZ62" s="16"/>
      <c r="EA62" s="17"/>
      <c r="EC62" s="0" t="s">
        <v>261</v>
      </c>
      <c r="ED62" s="71" t="e">
        <f>MATCH(ED75,OFFSET('Target Attainment'!$D$2,ED61,2,1,8),1)-1</f>
        <v>#N/A</v>
      </c>
      <c r="EE62" s="17"/>
      <c r="EF62" s="43"/>
      <c r="EG62" s="41"/>
      <c r="EH62" s="16"/>
      <c r="EI62" s="16"/>
      <c r="EJ62" s="44"/>
      <c r="EK62" s="16"/>
      <c r="EL62" s="17"/>
      <c r="EN62" s="0" t="s">
        <v>261</v>
      </c>
      <c r="EO62" s="71" t="e">
        <f>MATCH(EO75,OFFSET('Target Attainment'!$D$2,EO61,2,1,8),1)-1</f>
        <v>#N/A</v>
      </c>
      <c r="EP62" s="17">
        <v>56</v>
      </c>
      <c r="EQ62" s="43">
        <v>20167</v>
      </c>
      <c r="ER62" s="41">
        <v>2.9999999999999947</v>
      </c>
      <c r="ES62" s="16">
        <v>39.000000000698492</v>
      </c>
      <c r="ET62" s="16" t="s">
        <v>20</v>
      </c>
      <c r="EU62" s="44">
        <v>4.5</v>
      </c>
      <c r="EV62" s="16">
        <v>3.1</v>
      </c>
      <c r="EW62" s="17"/>
      <c r="EY62" s="0" t="s">
        <v>261</v>
      </c>
      <c r="EZ62" s="71" t="e">
        <f>MATCH(EZ75,OFFSET('Target Attainment'!$D$2,EZ61,2,1,8),1)-1</f>
        <v>#N/A</v>
      </c>
      <c r="FA62" s="17">
        <v>56</v>
      </c>
      <c r="FB62" s="43">
        <v>22077</v>
      </c>
      <c r="FC62" s="41">
        <v>9.9999999999999929</v>
      </c>
      <c r="FD62" s="16">
        <v>18.000000007450581</v>
      </c>
      <c r="FE62" s="16" t="s">
        <v>20</v>
      </c>
      <c r="FF62" s="44">
        <v>5.5</v>
      </c>
      <c r="FG62" s="16">
        <v>5.5</v>
      </c>
      <c r="FH62" s="17"/>
      <c r="FJ62" s="0" t="s">
        <v>261</v>
      </c>
      <c r="FK62" s="71" t="e">
        <f>MATCH(FK75,OFFSET('Target Attainment'!$D$2,FK61,2,1,8),1)-1</f>
        <v>#N/A</v>
      </c>
      <c r="FL62" s="17">
        <v>56</v>
      </c>
      <c r="FM62" s="43">
        <v>21864</v>
      </c>
      <c r="FN62" s="41">
        <v>8.0000000000000071</v>
      </c>
      <c r="FO62" s="16">
        <v>16.000000004889444</v>
      </c>
      <c r="FP62" s="16" t="s">
        <v>20</v>
      </c>
      <c r="FQ62" s="44">
        <v>5.1999999999999833</v>
      </c>
      <c r="FR62" s="16">
        <v>5.1</v>
      </c>
      <c r="FS62" s="17"/>
      <c r="FU62" s="0" t="s">
        <v>261</v>
      </c>
      <c r="FV62" s="71" t="e">
        <f>MATCH(FV75,OFFSET('Target Attainment'!$D$2,FV61,2,1,8),1)-1</f>
        <v>#N/A</v>
      </c>
      <c r="FW62" s="17">
        <v>56</v>
      </c>
      <c r="FX62" s="43">
        <v>21815</v>
      </c>
      <c r="FY62" s="41" t="s">
        <v>20</v>
      </c>
      <c r="FZ62" s="16" t="s">
        <v>20</v>
      </c>
      <c r="GA62" s="16" t="s">
        <v>20</v>
      </c>
      <c r="GB62" s="44" t="s">
        <v>20</v>
      </c>
      <c r="GC62" s="16" t="s">
        <v>20</v>
      </c>
      <c r="GD62" s="17"/>
      <c r="GF62" s="0" t="s">
        <v>261</v>
      </c>
      <c r="GG62" s="71" t="e">
        <f>MATCH(GG75,OFFSET('Target Attainment'!$D$2,GG61,2,1,8),1)-1</f>
        <v>#N/A</v>
      </c>
      <c r="GH62" s="17">
        <v>56</v>
      </c>
      <c r="GI62" s="43">
        <v>20341</v>
      </c>
      <c r="GJ62" s="41" t="s">
        <v>20</v>
      </c>
      <c r="GK62" s="16" t="s">
        <v>20</v>
      </c>
      <c r="GL62" s="16" t="s">
        <v>20</v>
      </c>
      <c r="GM62" s="44" t="s">
        <v>20</v>
      </c>
      <c r="GN62" s="16" t="s">
        <v>20</v>
      </c>
      <c r="GO62" s="17"/>
      <c r="GQ62" s="0" t="s">
        <v>261</v>
      </c>
      <c r="GR62" s="71" t="e">
        <f>MATCH(GR75,OFFSET('Target Attainment'!$D$2,GR61,2,1,8),1)-1</f>
        <v>#N/A</v>
      </c>
      <c r="GS62" s="17"/>
      <c r="GT62" s="43"/>
      <c r="GU62" s="41"/>
      <c r="GV62" s="16"/>
      <c r="GW62" s="16"/>
      <c r="GX62" s="44"/>
      <c r="GY62" s="16"/>
      <c r="GZ62" s="17"/>
      <c r="HB62" s="0" t="s">
        <v>261</v>
      </c>
      <c r="HC62" s="71" t="e">
        <f>MATCH(HC75,OFFSET('Target Attainment'!$D$2,HC61,2,1,8),1)-1</f>
        <v>#N/A</v>
      </c>
      <c r="HD62" s="17"/>
      <c r="HE62" s="43"/>
      <c r="HF62" s="41"/>
      <c r="HG62" s="16"/>
      <c r="HH62" s="16"/>
      <c r="HI62" s="44"/>
      <c r="HJ62" s="16"/>
      <c r="HK62" s="17"/>
      <c r="HM62" s="0" t="s">
        <v>261</v>
      </c>
      <c r="HN62" s="71" t="e">
        <f>MATCH(HN75,OFFSET('Target Attainment'!$D$2,HN61,2,1,8),1)-1</f>
        <v>#N/A</v>
      </c>
      <c r="HO62" s="17"/>
      <c r="HP62" s="43"/>
      <c r="HQ62" s="41"/>
      <c r="HR62" s="16"/>
      <c r="HS62" s="16"/>
      <c r="HT62" s="44"/>
      <c r="HU62" s="16"/>
      <c r="HV62" s="17"/>
      <c r="HX62" s="0" t="s">
        <v>261</v>
      </c>
      <c r="HY62" s="71" t="e">
        <f>MATCH(HY75,OFFSET('Target Attainment'!$D$2,HY61,2,1,8),1)-1</f>
        <v>#N/A</v>
      </c>
      <c r="HZ62" s="17"/>
      <c r="IA62" s="43"/>
      <c r="IB62" s="41"/>
      <c r="IC62" s="16"/>
      <c r="ID62" s="16"/>
      <c r="IE62" s="44"/>
      <c r="IF62" s="16"/>
      <c r="IG62" s="17"/>
      <c r="II62" s="0" t="s">
        <v>261</v>
      </c>
      <c r="IJ62" s="71" t="e">
        <f>MATCH(IJ75,OFFSET('Target Attainment'!$D$2,IJ61,2,1,8),1)-1</f>
        <v>#N/A</v>
      </c>
      <c r="IK62" s="17"/>
      <c r="IL62" s="43"/>
      <c r="IM62" s="41"/>
      <c r="IN62" s="16"/>
      <c r="IO62" s="16"/>
      <c r="IP62" s="44"/>
      <c r="IQ62" s="16"/>
      <c r="IR62" s="17"/>
      <c r="IT62" s="0" t="s">
        <v>261</v>
      </c>
      <c r="IU62" s="71" t="e">
        <f>MATCH(IU75,OFFSET('Target Attainment'!$D$2,IU61,2,1,8),1)-1</f>
        <v>#N/A</v>
      </c>
      <c r="IV62" s="17"/>
      <c r="IW62" s="43"/>
      <c r="IX62" s="41"/>
      <c r="IY62" s="16"/>
      <c r="IZ62" s="16"/>
      <c r="JA62" s="44"/>
      <c r="JB62" s="16"/>
      <c r="JC62" s="17"/>
      <c r="JE62" s="0" t="s">
        <v>261</v>
      </c>
      <c r="JF62" s="71" t="e">
        <f>MATCH(JF75,OFFSET('Target Attainment'!$D$2,JF61,2,1,8),1)-1</f>
        <v>#N/A</v>
      </c>
      <c r="JG62" s="17"/>
      <c r="JH62" s="43"/>
      <c r="JI62" s="41"/>
      <c r="JJ62" s="16"/>
      <c r="JK62" s="16"/>
      <c r="JL62" s="44"/>
      <c r="JM62" s="16"/>
      <c r="JN62" s="17"/>
      <c r="JP62" s="0" t="s">
        <v>261</v>
      </c>
      <c r="JQ62" s="71" t="e">
        <f>MATCH(JQ75,OFFSET('Target Attainment'!$D$2,JQ61,2,1,8),1)-1</f>
        <v>#N/A</v>
      </c>
      <c r="JR62" s="17"/>
      <c r="JS62" s="43"/>
      <c r="JT62" s="41"/>
      <c r="JU62" s="16"/>
      <c r="JV62" s="16"/>
      <c r="JW62" s="44"/>
      <c r="JX62" s="16"/>
      <c r="JY62" s="17"/>
      <c r="KA62" s="0" t="s">
        <v>261</v>
      </c>
      <c r="KB62" s="71" t="e">
        <f>MATCH(KB75,OFFSET('Target Attainment'!$D$2,KB61,2,1,8),1)-1</f>
        <v>#N/A</v>
      </c>
      <c r="KC62" s="17"/>
      <c r="KD62" s="43"/>
      <c r="KE62" s="41"/>
      <c r="KF62" s="16"/>
      <c r="KG62" s="16"/>
      <c r="KH62" s="44"/>
      <c r="KI62" s="16"/>
      <c r="KJ62" s="17"/>
      <c r="KL62" s="0" t="s">
        <v>261</v>
      </c>
      <c r="KM62" s="71" t="e">
        <f>MATCH(KM75,OFFSET('Target Attainment'!$D$2,KM61,2,1,8),1)-1</f>
        <v>#N/A</v>
      </c>
      <c r="KN62" s="17"/>
      <c r="KO62" s="43"/>
      <c r="KP62" s="41"/>
      <c r="KQ62" s="16"/>
      <c r="KR62" s="16"/>
      <c r="KS62" s="44"/>
      <c r="KT62" s="16"/>
      <c r="KU62" s="17"/>
      <c r="KW62" s="0" t="s">
        <v>261</v>
      </c>
      <c r="KX62" s="71" t="e">
        <f>MATCH(KX75,OFFSET('Target Attainment'!$D$2,KX61,2,1,8),1)-1</f>
        <v>#N/A</v>
      </c>
      <c r="KY62" s="17"/>
      <c r="KZ62" s="43"/>
      <c r="LA62" s="41"/>
      <c r="LB62" s="16"/>
      <c r="LC62" s="16"/>
      <c r="LD62" s="44"/>
      <c r="LE62" s="16"/>
      <c r="LF62" s="17"/>
      <c r="LH62" s="0" t="s">
        <v>261</v>
      </c>
      <c r="LI62" s="71" t="e">
        <f>MATCH(LI75,OFFSET('Target Attainment'!$D$2,LI61,2,1,8),1)-1</f>
        <v>#N/A</v>
      </c>
      <c r="LJ62" s="17"/>
      <c r="LK62" s="43"/>
      <c r="LL62" s="41"/>
      <c r="LM62" s="16"/>
      <c r="LN62" s="16"/>
      <c r="LO62" s="44"/>
      <c r="LP62" s="16"/>
      <c r="LQ62" s="17"/>
    </row>
    <row r="63">
      <c r="A63" s="0" t="s">
        <v>262</v>
      </c>
      <c r="B63" s="71" t="e">
        <f>MATCH(B84,OFFSET('Target Attainment'!$D$2,B61,12,1,8),1)-1</f>
        <v>#N/A</v>
      </c>
      <c r="C63" s="63">
        <v>57</v>
      </c>
      <c r="D63" s="64">
        <v>21257</v>
      </c>
      <c r="E63" s="16" t="s">
        <v>20</v>
      </c>
      <c r="F63" s="16" t="s">
        <v>20</v>
      </c>
      <c r="G63" s="21" t="s">
        <v>20</v>
      </c>
      <c r="H63" s="16" t="s">
        <v>20</v>
      </c>
      <c r="I63" s="16" t="s">
        <v>20</v>
      </c>
      <c r="J63" s="17"/>
      <c r="L63" s="0" t="s">
        <v>262</v>
      </c>
      <c r="M63" s="71" t="e">
        <f>MATCH(M84,OFFSET('Target Attainment'!$D$2,M61,12,1,8),1)-1</f>
        <v>#N/A</v>
      </c>
      <c r="N63" s="66"/>
      <c r="O63" s="64"/>
      <c r="P63" s="16"/>
      <c r="Q63" s="16"/>
      <c r="R63" s="16"/>
      <c r="S63" s="16"/>
      <c r="T63" s="16"/>
      <c r="U63" s="17"/>
      <c r="W63" s="0" t="s">
        <v>262</v>
      </c>
      <c r="X63" s="71" t="e">
        <f>MATCH(X84,OFFSET('Target Attainment'!$D$2,X61,12,1,8),1)-1</f>
        <v>#N/A</v>
      </c>
      <c r="Y63" s="66">
        <v>57</v>
      </c>
      <c r="Z63" s="68">
        <v>20555</v>
      </c>
      <c r="AA63" s="41" t="s">
        <v>20</v>
      </c>
      <c r="AB63" s="16" t="s">
        <v>20</v>
      </c>
      <c r="AC63" s="16" t="s">
        <v>20</v>
      </c>
      <c r="AD63" s="44" t="s">
        <v>20</v>
      </c>
      <c r="AE63" s="16" t="s">
        <v>20</v>
      </c>
      <c r="AF63" s="17"/>
      <c r="AH63" s="0" t="s">
        <v>262</v>
      </c>
      <c r="AI63" s="71" t="e">
        <f>MATCH(AI84,OFFSET('Target Attainment'!$D$2,AI61,12,1,8),1)-1</f>
        <v>#N/A</v>
      </c>
      <c r="AJ63" s="17">
        <v>57</v>
      </c>
      <c r="AK63" s="68">
        <v>20233</v>
      </c>
      <c r="AL63" s="41">
        <v>4.9999999999999964</v>
      </c>
      <c r="AM63" s="16">
        <v>5.9999999986030161</v>
      </c>
      <c r="AN63" s="16" t="s">
        <v>20</v>
      </c>
      <c r="AO63" s="44">
        <v>4.5</v>
      </c>
      <c r="AP63" s="16">
        <v>3.8</v>
      </c>
      <c r="AQ63" s="17"/>
      <c r="AS63" s="0" t="s">
        <v>262</v>
      </c>
      <c r="AT63" s="71" t="e">
        <f>MATCH(AT84,OFFSET('Target Attainment'!$D$2,AT61,12,1,8),1)-1</f>
        <v>#N/A</v>
      </c>
      <c r="AU63" s="17">
        <v>57</v>
      </c>
      <c r="AV63" s="68">
        <v>19871</v>
      </c>
      <c r="AW63" s="41" t="s">
        <v>20</v>
      </c>
      <c r="AX63" s="16" t="s">
        <v>20</v>
      </c>
      <c r="AY63" s="16"/>
      <c r="AZ63" s="44" t="s">
        <v>20</v>
      </c>
      <c r="BA63" s="16" t="s">
        <v>20</v>
      </c>
      <c r="BB63" s="17"/>
      <c r="BD63" s="0" t="s">
        <v>262</v>
      </c>
      <c r="BE63" s="71" t="e">
        <f>MATCH(BE84,OFFSET('Target Attainment'!$D$2,BE61,12,1,8),1)-1</f>
        <v>#N/A</v>
      </c>
      <c r="BF63" s="17">
        <v>57</v>
      </c>
      <c r="BG63" s="68">
        <v>20382</v>
      </c>
      <c r="BH63" s="41">
        <v>2.9999999999999947</v>
      </c>
      <c r="BI63" s="16">
        <v>15.999999999068677</v>
      </c>
      <c r="BJ63" s="16" t="s">
        <v>20</v>
      </c>
      <c r="BK63" s="44">
        <v>4.5</v>
      </c>
      <c r="BL63" s="16">
        <v>2.4</v>
      </c>
      <c r="BM63" s="17"/>
      <c r="BO63" s="0" t="s">
        <v>262</v>
      </c>
      <c r="BP63" s="71" t="e">
        <f>MATCH(BP84,OFFSET('Target Attainment'!$D$2,BP61,12,1,8),1)-1</f>
        <v>#N/A</v>
      </c>
      <c r="BQ63" s="17">
        <v>57</v>
      </c>
      <c r="BR63" s="68">
        <v>20116</v>
      </c>
      <c r="BS63" s="41">
        <v>13.999999999999998</v>
      </c>
      <c r="BT63" s="16">
        <v>5.9999999918509275</v>
      </c>
      <c r="BU63" s="16" t="s">
        <v>20</v>
      </c>
      <c r="BV63" s="44">
        <v>4.5</v>
      </c>
      <c r="BW63" s="16">
        <v>3.3</v>
      </c>
      <c r="BX63" s="17"/>
      <c r="BZ63" s="0" t="s">
        <v>262</v>
      </c>
      <c r="CA63" s="71" t="e">
        <f>MATCH(CA84,OFFSET('Target Attainment'!$D$2,CA61,12,1,8),1)-1</f>
        <v>#N/A</v>
      </c>
      <c r="CB63" s="17"/>
      <c r="CC63" s="68"/>
      <c r="CD63" s="41"/>
      <c r="CE63" s="16"/>
      <c r="CF63" s="16"/>
      <c r="CG63" s="44"/>
      <c r="CH63" s="16"/>
      <c r="CI63" s="17"/>
      <c r="CK63" s="0" t="s">
        <v>262</v>
      </c>
      <c r="CL63" s="71" t="e">
        <f>MATCH(CL84,OFFSET('Target Attainment'!$D$2,CL61,12,1,8),1)-1</f>
        <v>#N/A</v>
      </c>
      <c r="CM63" s="17">
        <v>57</v>
      </c>
      <c r="CN63" s="68">
        <v>21809</v>
      </c>
      <c r="CO63" s="41">
        <v>6.0000000000000053</v>
      </c>
      <c r="CP63" s="16">
        <v>28.000000006053597</v>
      </c>
      <c r="CQ63" s="16">
        <v>500</v>
      </c>
      <c r="CR63" s="44">
        <v>5.1999999999999833</v>
      </c>
      <c r="CS63" s="16">
        <v>4.9</v>
      </c>
      <c r="CT63" s="17"/>
      <c r="CV63" s="0" t="s">
        <v>262</v>
      </c>
      <c r="CW63" s="71" t="e">
        <f>MATCH(CW84,OFFSET('Target Attainment'!$D$2,CW61,12,1,8),1)-1</f>
        <v>#N/A</v>
      </c>
      <c r="CX63" s="17"/>
      <c r="CY63" s="43"/>
      <c r="CZ63" s="41"/>
      <c r="DA63" s="16"/>
      <c r="DB63" s="16"/>
      <c r="DC63" s="44"/>
      <c r="DD63" s="16"/>
      <c r="DE63" s="17"/>
      <c r="DG63" s="0" t="s">
        <v>262</v>
      </c>
      <c r="DH63" s="71" t="e">
        <f>MATCH(DH84,OFFSET('Target Attainment'!$D$2,DH61,12,1,8),1)-1</f>
        <v>#N/A</v>
      </c>
      <c r="DI63" s="17">
        <v>57</v>
      </c>
      <c r="DJ63" s="43">
        <v>20939</v>
      </c>
      <c r="DK63" s="41" t="s">
        <v>20</v>
      </c>
      <c r="DL63" s="16" t="s">
        <v>20</v>
      </c>
      <c r="DM63" s="16" t="s">
        <v>20</v>
      </c>
      <c r="DN63" s="44" t="s">
        <v>20</v>
      </c>
      <c r="DO63" s="16" t="s">
        <v>20</v>
      </c>
      <c r="DP63" s="17"/>
      <c r="DR63" s="0" t="s">
        <v>262</v>
      </c>
      <c r="DS63" s="71" t="e">
        <f>MATCH(DS84,OFFSET('Target Attainment'!$D$2,DS61,12,1,8),1)-1</f>
        <v>#N/A</v>
      </c>
      <c r="DT63" s="17"/>
      <c r="DU63" s="43"/>
      <c r="DV63" s="41"/>
      <c r="DW63" s="16"/>
      <c r="DX63" s="16"/>
      <c r="DY63" s="44"/>
      <c r="DZ63" s="16"/>
      <c r="EA63" s="17"/>
      <c r="EC63" s="0" t="s">
        <v>262</v>
      </c>
      <c r="ED63" s="71" t="e">
        <f>MATCH(ED84,OFFSET('Target Attainment'!$D$2,ED61,12,1,8),1)-1</f>
        <v>#N/A</v>
      </c>
      <c r="EE63" s="17"/>
      <c r="EF63" s="43"/>
      <c r="EG63" s="41"/>
      <c r="EH63" s="16"/>
      <c r="EI63" s="16"/>
      <c r="EJ63" s="44"/>
      <c r="EK63" s="16"/>
      <c r="EL63" s="17"/>
      <c r="EN63" s="0" t="s">
        <v>262</v>
      </c>
      <c r="EO63" s="71" t="e">
        <f>MATCH(EO84,OFFSET('Target Attainment'!$D$2,EO61,12,1,8),1)-1</f>
        <v>#N/A</v>
      </c>
      <c r="EP63" s="17">
        <v>57</v>
      </c>
      <c r="EQ63" s="43">
        <v>20369</v>
      </c>
      <c r="ER63" s="41">
        <v>2.9999999999999947</v>
      </c>
      <c r="ES63" s="16">
        <v>21.000000004889444</v>
      </c>
      <c r="ET63" s="16" t="s">
        <v>20</v>
      </c>
      <c r="EU63" s="44">
        <v>4.5</v>
      </c>
      <c r="EV63" s="16">
        <v>3.1</v>
      </c>
      <c r="EW63" s="17"/>
      <c r="EY63" s="0" t="s">
        <v>262</v>
      </c>
      <c r="EZ63" s="71" t="e">
        <f>MATCH(EZ84,OFFSET('Target Attainment'!$D$2,EZ61,12,1,8),1)-1</f>
        <v>#N/A</v>
      </c>
      <c r="FA63" s="17">
        <v>57</v>
      </c>
      <c r="FB63" s="43">
        <v>22278</v>
      </c>
      <c r="FC63" s="41">
        <v>9</v>
      </c>
      <c r="FD63" s="16">
        <v>34.999999996740371</v>
      </c>
      <c r="FE63" s="16" t="s">
        <v>20</v>
      </c>
      <c r="FF63" s="44">
        <v>5.5</v>
      </c>
      <c r="FG63" s="16">
        <v>5.5</v>
      </c>
      <c r="FH63" s="17"/>
      <c r="FJ63" s="0" t="s">
        <v>262</v>
      </c>
      <c r="FK63" s="71" t="e">
        <f>MATCH(FK84,OFFSET('Target Attainment'!$D$2,FK61,12,1,8),1)-1</f>
        <v>#N/A</v>
      </c>
      <c r="FL63" s="17">
        <v>57</v>
      </c>
      <c r="FM63" s="43">
        <v>22062</v>
      </c>
      <c r="FN63" s="41" t="s">
        <v>20</v>
      </c>
      <c r="FO63" s="16" t="s">
        <v>20</v>
      </c>
      <c r="FP63" s="16" t="s">
        <v>20</v>
      </c>
      <c r="FQ63" s="44" t="s">
        <v>20</v>
      </c>
      <c r="FR63" s="16" t="s">
        <v>20</v>
      </c>
      <c r="FS63" s="17"/>
      <c r="FU63" s="0" t="s">
        <v>262</v>
      </c>
      <c r="FV63" s="71" t="e">
        <f>MATCH(FV84,OFFSET('Target Attainment'!$D$2,FV61,12,1,8),1)-1</f>
        <v>#N/A</v>
      </c>
      <c r="FW63" s="17">
        <v>57</v>
      </c>
      <c r="FX63" s="43">
        <v>22056</v>
      </c>
      <c r="FY63" s="41" t="s">
        <v>20</v>
      </c>
      <c r="FZ63" s="16" t="s">
        <v>20</v>
      </c>
      <c r="GA63" s="16" t="s">
        <v>20</v>
      </c>
      <c r="GB63" s="44" t="s">
        <v>20</v>
      </c>
      <c r="GC63" s="16" t="s">
        <v>20</v>
      </c>
      <c r="GD63" s="17"/>
      <c r="GF63" s="0" t="s">
        <v>262</v>
      </c>
      <c r="GG63" s="71" t="e">
        <f>MATCH(GG84,OFFSET('Target Attainment'!$D$2,GG61,12,1,8),1)-1</f>
        <v>#N/A</v>
      </c>
      <c r="GH63" s="17">
        <v>57</v>
      </c>
      <c r="GI63" s="43">
        <v>20543</v>
      </c>
      <c r="GJ63" s="41" t="s">
        <v>20</v>
      </c>
      <c r="GK63" s="16" t="s">
        <v>20</v>
      </c>
      <c r="GL63" s="16" t="s">
        <v>20</v>
      </c>
      <c r="GM63" s="44" t="s">
        <v>20</v>
      </c>
      <c r="GN63" s="16" t="s">
        <v>20</v>
      </c>
      <c r="GO63" s="17"/>
      <c r="GQ63" s="0" t="s">
        <v>262</v>
      </c>
      <c r="GR63" s="71" t="e">
        <f>MATCH(GR84,OFFSET('Target Attainment'!$D$2,GR61,12,1,8),1)-1</f>
        <v>#N/A</v>
      </c>
      <c r="GS63" s="17"/>
      <c r="GT63" s="43"/>
      <c r="GU63" s="41"/>
      <c r="GV63" s="16"/>
      <c r="GW63" s="16"/>
      <c r="GX63" s="44"/>
      <c r="GY63" s="16"/>
      <c r="GZ63" s="17"/>
      <c r="HB63" s="0" t="s">
        <v>262</v>
      </c>
      <c r="HC63" s="71" t="e">
        <f>MATCH(HC84,OFFSET('Target Attainment'!$D$2,HC61,12,1,8),1)-1</f>
        <v>#N/A</v>
      </c>
      <c r="HD63" s="17"/>
      <c r="HE63" s="43"/>
      <c r="HF63" s="41"/>
      <c r="HG63" s="16"/>
      <c r="HH63" s="16"/>
      <c r="HI63" s="44"/>
      <c r="HJ63" s="16"/>
      <c r="HK63" s="17"/>
      <c r="HM63" s="0" t="s">
        <v>262</v>
      </c>
      <c r="HN63" s="71" t="e">
        <f>MATCH(HN84,OFFSET('Target Attainment'!$D$2,HN61,12,1,8),1)-1</f>
        <v>#N/A</v>
      </c>
      <c r="HO63" s="17"/>
      <c r="HP63" s="43"/>
      <c r="HQ63" s="41"/>
      <c r="HR63" s="16"/>
      <c r="HS63" s="16"/>
      <c r="HT63" s="44"/>
      <c r="HU63" s="16"/>
      <c r="HV63" s="17"/>
      <c r="HX63" s="0" t="s">
        <v>262</v>
      </c>
      <c r="HY63" s="71" t="e">
        <f>MATCH(HY84,OFFSET('Target Attainment'!$D$2,HY61,12,1,8),1)-1</f>
        <v>#N/A</v>
      </c>
      <c r="HZ63" s="17"/>
      <c r="IA63" s="43"/>
      <c r="IB63" s="41"/>
      <c r="IC63" s="16"/>
      <c r="ID63" s="16"/>
      <c r="IE63" s="44"/>
      <c r="IF63" s="16"/>
      <c r="IG63" s="17"/>
      <c r="II63" s="0" t="s">
        <v>262</v>
      </c>
      <c r="IJ63" s="71" t="e">
        <f>MATCH(IJ84,OFFSET('Target Attainment'!$D$2,IJ61,12,1,8),1)-1</f>
        <v>#N/A</v>
      </c>
      <c r="IK63" s="17"/>
      <c r="IL63" s="43"/>
      <c r="IM63" s="41"/>
      <c r="IN63" s="16"/>
      <c r="IO63" s="16"/>
      <c r="IP63" s="44"/>
      <c r="IQ63" s="16"/>
      <c r="IR63" s="17"/>
      <c r="IT63" s="0" t="s">
        <v>262</v>
      </c>
      <c r="IU63" s="71" t="e">
        <f>MATCH(IU84,OFFSET('Target Attainment'!$D$2,IU61,12,1,8),1)-1</f>
        <v>#N/A</v>
      </c>
      <c r="IV63" s="17"/>
      <c r="IW63" s="43"/>
      <c r="IX63" s="41"/>
      <c r="IY63" s="16"/>
      <c r="IZ63" s="16"/>
      <c r="JA63" s="44"/>
      <c r="JB63" s="16"/>
      <c r="JC63" s="17"/>
      <c r="JE63" s="0" t="s">
        <v>262</v>
      </c>
      <c r="JF63" s="71" t="e">
        <f>MATCH(JF84,OFFSET('Target Attainment'!$D$2,JF61,12,1,8),1)-1</f>
        <v>#N/A</v>
      </c>
      <c r="JG63" s="17"/>
      <c r="JH63" s="43"/>
      <c r="JI63" s="41"/>
      <c r="JJ63" s="16"/>
      <c r="JK63" s="16"/>
      <c r="JL63" s="44"/>
      <c r="JM63" s="16"/>
      <c r="JN63" s="17"/>
      <c r="JP63" s="0" t="s">
        <v>262</v>
      </c>
      <c r="JQ63" s="71" t="e">
        <f>MATCH(JQ84,OFFSET('Target Attainment'!$D$2,JQ61,12,1,8),1)-1</f>
        <v>#N/A</v>
      </c>
      <c r="JR63" s="17"/>
      <c r="JS63" s="43"/>
      <c r="JT63" s="41"/>
      <c r="JU63" s="16"/>
      <c r="JV63" s="16"/>
      <c r="JW63" s="44"/>
      <c r="JX63" s="16"/>
      <c r="JY63" s="17"/>
      <c r="KA63" s="0" t="s">
        <v>262</v>
      </c>
      <c r="KB63" s="71" t="e">
        <f>MATCH(KB84,OFFSET('Target Attainment'!$D$2,KB61,12,1,8),1)-1</f>
        <v>#N/A</v>
      </c>
      <c r="KC63" s="17"/>
      <c r="KD63" s="43"/>
      <c r="KE63" s="41"/>
      <c r="KF63" s="16"/>
      <c r="KG63" s="16"/>
      <c r="KH63" s="44"/>
      <c r="KI63" s="16"/>
      <c r="KJ63" s="17"/>
      <c r="KL63" s="0" t="s">
        <v>262</v>
      </c>
      <c r="KM63" s="71" t="e">
        <f>MATCH(KM84,OFFSET('Target Attainment'!$D$2,KM61,12,1,8),1)-1</f>
        <v>#N/A</v>
      </c>
      <c r="KN63" s="17"/>
      <c r="KO63" s="43"/>
      <c r="KP63" s="41"/>
      <c r="KQ63" s="16"/>
      <c r="KR63" s="16"/>
      <c r="KS63" s="44"/>
      <c r="KT63" s="16"/>
      <c r="KU63" s="17"/>
      <c r="KW63" s="0" t="s">
        <v>262</v>
      </c>
      <c r="KX63" s="71" t="e">
        <f>MATCH(KX84,OFFSET('Target Attainment'!$D$2,KX61,12,1,8),1)-1</f>
        <v>#N/A</v>
      </c>
      <c r="KY63" s="17"/>
      <c r="KZ63" s="43"/>
      <c r="LA63" s="41"/>
      <c r="LB63" s="16"/>
      <c r="LC63" s="16"/>
      <c r="LD63" s="44"/>
      <c r="LE63" s="16"/>
      <c r="LF63" s="17"/>
      <c r="LH63" s="0" t="s">
        <v>262</v>
      </c>
      <c r="LI63" s="71" t="e">
        <f>MATCH(LI84,OFFSET('Target Attainment'!$D$2,LI61,12,1,8),1)-1</f>
        <v>#N/A</v>
      </c>
      <c r="LJ63" s="17"/>
      <c r="LK63" s="43"/>
      <c r="LL63" s="41"/>
      <c r="LM63" s="16"/>
      <c r="LN63" s="16"/>
      <c r="LO63" s="44"/>
      <c r="LP63" s="16"/>
      <c r="LQ63" s="17"/>
    </row>
    <row r="64">
      <c r="A64" s="0" t="s">
        <v>263</v>
      </c>
      <c r="B64" s="46">
        <f>MATCH(B57,'Target Attainment'!$D$3:$D$205,0)</f>
        <v>68</v>
      </c>
      <c r="C64" s="63">
        <v>58</v>
      </c>
      <c r="D64" s="64">
        <v>21459</v>
      </c>
      <c r="E64" s="16" t="s">
        <v>20</v>
      </c>
      <c r="F64" s="16" t="s">
        <v>20</v>
      </c>
      <c r="G64" s="21" t="s">
        <v>20</v>
      </c>
      <c r="H64" s="16" t="s">
        <v>20</v>
      </c>
      <c r="I64" s="16" t="s">
        <v>20</v>
      </c>
      <c r="J64" s="17"/>
      <c r="L64" s="0" t="s">
        <v>263</v>
      </c>
      <c r="M64" s="46">
        <f>MATCH(M57,'Target Attainment'!$D$3:$D$205,0)</f>
        <v>68</v>
      </c>
      <c r="N64" s="66"/>
      <c r="O64" s="64"/>
      <c r="P64" s="16"/>
      <c r="Q64" s="16"/>
      <c r="R64" s="16"/>
      <c r="S64" s="16"/>
      <c r="T64" s="16"/>
      <c r="U64" s="17"/>
      <c r="W64" s="0" t="s">
        <v>263</v>
      </c>
      <c r="X64" s="46">
        <f>MATCH(X57,'Target Attainment'!$D$3:$D$205,0)</f>
        <v>68</v>
      </c>
      <c r="Y64" s="66">
        <v>58</v>
      </c>
      <c r="Z64" s="68">
        <v>20756</v>
      </c>
      <c r="AA64" s="41" t="s">
        <v>20</v>
      </c>
      <c r="AB64" s="16" t="s">
        <v>20</v>
      </c>
      <c r="AC64" s="16" t="s">
        <v>20</v>
      </c>
      <c r="AD64" s="44" t="s">
        <v>20</v>
      </c>
      <c r="AE64" s="16" t="s">
        <v>20</v>
      </c>
      <c r="AF64" s="17"/>
      <c r="AH64" s="0" t="s">
        <v>263</v>
      </c>
      <c r="AI64" s="46">
        <f>MATCH(AI57,'Target Attainment'!$D$3:$D$205,0)</f>
        <v>68</v>
      </c>
      <c r="AJ64" s="17">
        <v>58</v>
      </c>
      <c r="AK64" s="68">
        <v>20435</v>
      </c>
      <c r="AL64" s="41">
        <v>4.0000000000000036</v>
      </c>
      <c r="AM64" s="16">
        <v>11.999999999767169</v>
      </c>
      <c r="AN64" s="16" t="s">
        <v>20</v>
      </c>
      <c r="AO64" s="44">
        <v>4.5</v>
      </c>
      <c r="AP64" s="16">
        <v>4</v>
      </c>
      <c r="AQ64" s="17"/>
      <c r="AS64" s="0" t="s">
        <v>263</v>
      </c>
      <c r="AT64" s="46">
        <f>MATCH(AT57,'Target Attainment'!$D$3:$D$205,0)</f>
        <v>68</v>
      </c>
      <c r="AU64" s="17">
        <v>58</v>
      </c>
      <c r="AV64" s="68">
        <v>20072</v>
      </c>
      <c r="AW64" s="41" t="s">
        <v>20</v>
      </c>
      <c r="AX64" s="16" t="s">
        <v>20</v>
      </c>
      <c r="AY64" s="16"/>
      <c r="AZ64" s="44" t="s">
        <v>20</v>
      </c>
      <c r="BA64" s="16" t="s">
        <v>20</v>
      </c>
      <c r="BB64" s="17"/>
      <c r="BD64" s="0" t="s">
        <v>263</v>
      </c>
      <c r="BE64" s="46">
        <f>MATCH(BE57,'Target Attainment'!$D$3:$D$205,0)</f>
        <v>68</v>
      </c>
      <c r="BF64" s="17">
        <v>58</v>
      </c>
      <c r="BG64" s="68">
        <v>20583</v>
      </c>
      <c r="BH64" s="41">
        <v>2.9999999999999947</v>
      </c>
      <c r="BI64" s="16">
        <v>15.999999999068677</v>
      </c>
      <c r="BJ64" s="16" t="s">
        <v>20</v>
      </c>
      <c r="BK64" s="44">
        <v>4.5</v>
      </c>
      <c r="BL64" s="16">
        <v>3</v>
      </c>
      <c r="BM64" s="17"/>
      <c r="BO64" s="0" t="s">
        <v>263</v>
      </c>
      <c r="BP64" s="46">
        <f>MATCH(BP57,'Target Attainment'!$D$3:$D$205,0)</f>
        <v>68</v>
      </c>
      <c r="BQ64" s="17">
        <v>58</v>
      </c>
      <c r="BR64" s="68">
        <v>20316</v>
      </c>
      <c r="BS64" s="41">
        <v>8.0000000000000071</v>
      </c>
      <c r="BT64" s="16">
        <v>26.000000006053597</v>
      </c>
      <c r="BU64" s="16" t="s">
        <v>20</v>
      </c>
      <c r="BV64" s="44">
        <v>4.75</v>
      </c>
      <c r="BW64" s="16">
        <v>3.4</v>
      </c>
      <c r="BX64" s="17"/>
      <c r="BZ64" s="0" t="s">
        <v>263</v>
      </c>
      <c r="CA64" s="46">
        <f>MATCH(CA57,'Target Attainment'!$D$3:$D$205,0)</f>
        <v>68</v>
      </c>
      <c r="CB64" s="17"/>
      <c r="CC64" s="68"/>
      <c r="CD64" s="41"/>
      <c r="CE64" s="16"/>
      <c r="CF64" s="16"/>
      <c r="CG64" s="44"/>
      <c r="CH64" s="16"/>
      <c r="CI64" s="17"/>
      <c r="CK64" s="0" t="s">
        <v>263</v>
      </c>
      <c r="CL64" s="46">
        <f>MATCH(CL57,'Target Attainment'!$D$3:$D$205,0)</f>
        <v>68</v>
      </c>
      <c r="CM64" s="17">
        <v>58</v>
      </c>
      <c r="CN64" s="68">
        <v>22011</v>
      </c>
      <c r="CO64" s="41">
        <v>9</v>
      </c>
      <c r="CP64" s="16">
        <v>34.999999996740371</v>
      </c>
      <c r="CQ64" s="16">
        <v>500</v>
      </c>
      <c r="CR64" s="44">
        <v>5.1999999999999833</v>
      </c>
      <c r="CS64" s="16">
        <v>4.9</v>
      </c>
      <c r="CT64" s="17"/>
      <c r="CV64" s="0" t="s">
        <v>263</v>
      </c>
      <c r="CW64" s="46">
        <f>MATCH(CW57,'Target Attainment'!$D$3:$D$205,0)</f>
        <v>68</v>
      </c>
      <c r="CX64" s="17"/>
      <c r="CY64" s="43"/>
      <c r="CZ64" s="41"/>
      <c r="DA64" s="16"/>
      <c r="DB64" s="16"/>
      <c r="DC64" s="44"/>
      <c r="DD64" s="16"/>
      <c r="DE64" s="17"/>
      <c r="DG64" s="0" t="s">
        <v>263</v>
      </c>
      <c r="DH64" s="46">
        <f>MATCH(DH57,'Target Attainment'!$D$3:$D$205,0)</f>
        <v>68</v>
      </c>
      <c r="DI64" s="17">
        <v>58</v>
      </c>
      <c r="DJ64" s="43">
        <v>21140</v>
      </c>
      <c r="DK64" s="41" t="s">
        <v>20</v>
      </c>
      <c r="DL64" s="16" t="s">
        <v>20</v>
      </c>
      <c r="DM64" s="16" t="s">
        <v>20</v>
      </c>
      <c r="DN64" s="44" t="s">
        <v>20</v>
      </c>
      <c r="DO64" s="16" t="s">
        <v>20</v>
      </c>
      <c r="DP64" s="17"/>
      <c r="DR64" s="0" t="s">
        <v>263</v>
      </c>
      <c r="DS64" s="46">
        <f>MATCH(DS57,'Target Attainment'!$D$3:$D$205,0)</f>
        <v>68</v>
      </c>
      <c r="DT64" s="17"/>
      <c r="DU64" s="43"/>
      <c r="DV64" s="41"/>
      <c r="DW64" s="16"/>
      <c r="DX64" s="16"/>
      <c r="DY64" s="44"/>
      <c r="DZ64" s="16"/>
      <c r="EA64" s="17"/>
      <c r="EC64" s="0" t="s">
        <v>263</v>
      </c>
      <c r="ED64" s="46">
        <f>MATCH(ED57,'Target Attainment'!$D$3:$D$205,0)</f>
        <v>68</v>
      </c>
      <c r="EE64" s="17"/>
      <c r="EF64" s="43"/>
      <c r="EG64" s="41"/>
      <c r="EH64" s="16"/>
      <c r="EI64" s="16"/>
      <c r="EJ64" s="44"/>
      <c r="EK64" s="16"/>
      <c r="EL64" s="17"/>
      <c r="EN64" s="0" t="s">
        <v>263</v>
      </c>
      <c r="EO64" s="46">
        <f>MATCH(EO57,'Target Attainment'!$D$3:$D$205,0)</f>
        <v>68</v>
      </c>
      <c r="EP64" s="17">
        <v>58</v>
      </c>
      <c r="EQ64" s="43">
        <v>20570</v>
      </c>
      <c r="ER64" s="41">
        <v>2.9999999999999947</v>
      </c>
      <c r="ES64" s="16">
        <v>-146.00000000628643</v>
      </c>
      <c r="ET64" s="16" t="s">
        <v>20</v>
      </c>
      <c r="EU64" s="44">
        <v>4.5</v>
      </c>
      <c r="EV64" s="16">
        <v>3</v>
      </c>
      <c r="EW64" s="17"/>
      <c r="EY64" s="0" t="s">
        <v>263</v>
      </c>
      <c r="EZ64" s="46">
        <f>MATCH(EZ57,'Target Attainment'!$D$3:$D$205,0)</f>
        <v>68</v>
      </c>
      <c r="FA64" s="17">
        <v>58</v>
      </c>
      <c r="FB64" s="43">
        <v>22478</v>
      </c>
      <c r="FC64" s="41">
        <v>4.9999999999999964</v>
      </c>
      <c r="FD64" s="16">
        <v>28.000000002793968</v>
      </c>
      <c r="FE64" s="16" t="s">
        <v>20</v>
      </c>
      <c r="FF64" s="44">
        <v>5.5</v>
      </c>
      <c r="FG64" s="16">
        <v>5.5</v>
      </c>
      <c r="FH64" s="17"/>
      <c r="FJ64" s="0" t="s">
        <v>263</v>
      </c>
      <c r="FK64" s="46">
        <f>MATCH(FK57,'Target Attainment'!$D$3:$D$205,0)</f>
        <v>68</v>
      </c>
      <c r="FL64" s="17">
        <v>58</v>
      </c>
      <c r="FM64" s="43">
        <v>22261</v>
      </c>
      <c r="FN64" s="41" t="s">
        <v>20</v>
      </c>
      <c r="FO64" s="16" t="s">
        <v>20</v>
      </c>
      <c r="FP64" s="16" t="s">
        <v>20</v>
      </c>
      <c r="FQ64" s="44" t="s">
        <v>20</v>
      </c>
      <c r="FR64" s="16" t="s">
        <v>20</v>
      </c>
      <c r="FS64" s="17"/>
      <c r="FU64" s="0" t="s">
        <v>263</v>
      </c>
      <c r="FV64" s="46">
        <f>MATCH(FV57,'Target Attainment'!$D$3:$D$205,0)</f>
        <v>68</v>
      </c>
      <c r="FW64" s="17">
        <v>58</v>
      </c>
      <c r="FX64" s="43">
        <v>22297</v>
      </c>
      <c r="FY64" s="41" t="s">
        <v>20</v>
      </c>
      <c r="FZ64" s="16" t="s">
        <v>20</v>
      </c>
      <c r="GA64" s="16" t="s">
        <v>20</v>
      </c>
      <c r="GB64" s="44" t="s">
        <v>20</v>
      </c>
      <c r="GC64" s="16" t="s">
        <v>20</v>
      </c>
      <c r="GD64" s="17"/>
      <c r="GF64" s="0" t="s">
        <v>263</v>
      </c>
      <c r="GG64" s="46">
        <f>MATCH(GG57,'Target Attainment'!$D$3:$D$205,0)</f>
        <v>68</v>
      </c>
      <c r="GH64" s="17">
        <v>58</v>
      </c>
      <c r="GI64" s="43">
        <v>20745</v>
      </c>
      <c r="GJ64" s="41" t="s">
        <v>20</v>
      </c>
      <c r="GK64" s="16" t="s">
        <v>20</v>
      </c>
      <c r="GL64" s="16" t="s">
        <v>20</v>
      </c>
      <c r="GM64" s="44" t="s">
        <v>20</v>
      </c>
      <c r="GN64" s="16" t="s">
        <v>20</v>
      </c>
      <c r="GO64" s="17"/>
      <c r="GQ64" s="0" t="s">
        <v>263</v>
      </c>
      <c r="GR64" s="46">
        <f>MATCH(GR57,'Target Attainment'!$D$3:$D$205,0)</f>
        <v>68</v>
      </c>
      <c r="GS64" s="17"/>
      <c r="GT64" s="43"/>
      <c r="GU64" s="41"/>
      <c r="GV64" s="16"/>
      <c r="GW64" s="16"/>
      <c r="GX64" s="44"/>
      <c r="GY64" s="16"/>
      <c r="GZ64" s="17"/>
      <c r="HB64" s="0" t="s">
        <v>263</v>
      </c>
      <c r="HC64" s="46">
        <f>MATCH(HC57,'Target Attainment'!$D$3:$D$205,0)</f>
        <v>68</v>
      </c>
      <c r="HD64" s="17"/>
      <c r="HE64" s="43"/>
      <c r="HF64" s="41"/>
      <c r="HG64" s="16"/>
      <c r="HH64" s="16"/>
      <c r="HI64" s="44"/>
      <c r="HJ64" s="16"/>
      <c r="HK64" s="17"/>
      <c r="HM64" s="0" t="s">
        <v>263</v>
      </c>
      <c r="HN64" s="46">
        <f>MATCH(HN57,'Target Attainment'!$D$3:$D$205,0)</f>
        <v>68</v>
      </c>
      <c r="HO64" s="17"/>
      <c r="HP64" s="43"/>
      <c r="HQ64" s="41"/>
      <c r="HR64" s="16"/>
      <c r="HS64" s="16"/>
      <c r="HT64" s="44"/>
      <c r="HU64" s="16"/>
      <c r="HV64" s="17"/>
      <c r="HX64" s="0" t="s">
        <v>263</v>
      </c>
      <c r="HY64" s="46">
        <f>MATCH(HY57,'Target Attainment'!$D$3:$D$205,0)</f>
        <v>68</v>
      </c>
      <c r="HZ64" s="17"/>
      <c r="IA64" s="43"/>
      <c r="IB64" s="41"/>
      <c r="IC64" s="16"/>
      <c r="ID64" s="16"/>
      <c r="IE64" s="44"/>
      <c r="IF64" s="16"/>
      <c r="IG64" s="17"/>
      <c r="II64" s="0" t="s">
        <v>263</v>
      </c>
      <c r="IJ64" s="46">
        <f>MATCH(IJ57,'Target Attainment'!$D$3:$D$205,0)</f>
        <v>68</v>
      </c>
      <c r="IK64" s="17"/>
      <c r="IL64" s="43"/>
      <c r="IM64" s="41"/>
      <c r="IN64" s="16"/>
      <c r="IO64" s="16"/>
      <c r="IP64" s="44"/>
      <c r="IQ64" s="16"/>
      <c r="IR64" s="17"/>
      <c r="IT64" s="0" t="s">
        <v>263</v>
      </c>
      <c r="IU64" s="46">
        <f>MATCH(IU57,'Target Attainment'!$D$3:$D$205,0)</f>
        <v>68</v>
      </c>
      <c r="IV64" s="17"/>
      <c r="IW64" s="43"/>
      <c r="IX64" s="41"/>
      <c r="IY64" s="16"/>
      <c r="IZ64" s="16"/>
      <c r="JA64" s="44"/>
      <c r="JB64" s="16"/>
      <c r="JC64" s="17"/>
      <c r="JE64" s="0" t="s">
        <v>263</v>
      </c>
      <c r="JF64" s="46">
        <f>MATCH(JF57,'Target Attainment'!$D$3:$D$205,0)</f>
        <v>68</v>
      </c>
      <c r="JG64" s="17"/>
      <c r="JH64" s="43"/>
      <c r="JI64" s="41"/>
      <c r="JJ64" s="16"/>
      <c r="JK64" s="16"/>
      <c r="JL64" s="44"/>
      <c r="JM64" s="16"/>
      <c r="JN64" s="17"/>
      <c r="JP64" s="0" t="s">
        <v>263</v>
      </c>
      <c r="JQ64" s="46">
        <f>MATCH(JQ57,'Target Attainment'!$D$3:$D$205,0)</f>
        <v>68</v>
      </c>
      <c r="JR64" s="17"/>
      <c r="JS64" s="43"/>
      <c r="JT64" s="41"/>
      <c r="JU64" s="16"/>
      <c r="JV64" s="16"/>
      <c r="JW64" s="44"/>
      <c r="JX64" s="16"/>
      <c r="JY64" s="17"/>
      <c r="KA64" s="0" t="s">
        <v>263</v>
      </c>
      <c r="KB64" s="46">
        <f>MATCH(KB57,'Target Attainment'!$D$3:$D$205,0)</f>
        <v>68</v>
      </c>
      <c r="KC64" s="17"/>
      <c r="KD64" s="43"/>
      <c r="KE64" s="41"/>
      <c r="KF64" s="16"/>
      <c r="KG64" s="16"/>
      <c r="KH64" s="44"/>
      <c r="KI64" s="16"/>
      <c r="KJ64" s="17"/>
      <c r="KL64" s="0" t="s">
        <v>263</v>
      </c>
      <c r="KM64" s="46">
        <f>MATCH(KM57,'Target Attainment'!$D$3:$D$205,0)</f>
        <v>68</v>
      </c>
      <c r="KN64" s="17"/>
      <c r="KO64" s="43"/>
      <c r="KP64" s="41"/>
      <c r="KQ64" s="16"/>
      <c r="KR64" s="16"/>
      <c r="KS64" s="44"/>
      <c r="KT64" s="16"/>
      <c r="KU64" s="17"/>
      <c r="KW64" s="0" t="s">
        <v>263</v>
      </c>
      <c r="KX64" s="46">
        <f>MATCH(KX57,'Target Attainment'!$D$3:$D$205,0)</f>
        <v>68</v>
      </c>
      <c r="KY64" s="17"/>
      <c r="KZ64" s="43"/>
      <c r="LA64" s="41"/>
      <c r="LB64" s="16"/>
      <c r="LC64" s="16"/>
      <c r="LD64" s="44"/>
      <c r="LE64" s="16"/>
      <c r="LF64" s="17"/>
      <c r="LH64" s="0" t="s">
        <v>263</v>
      </c>
      <c r="LI64" s="46">
        <f>MATCH(LI57,'Target Attainment'!$D$3:$D$205,0)</f>
        <v>68</v>
      </c>
      <c r="LJ64" s="17"/>
      <c r="LK64" s="43"/>
      <c r="LL64" s="41"/>
      <c r="LM64" s="16"/>
      <c r="LN64" s="16"/>
      <c r="LO64" s="44"/>
      <c r="LP64" s="16"/>
      <c r="LQ64" s="17"/>
    </row>
    <row r="65">
      <c r="A65" s="0" t="s">
        <v>264</v>
      </c>
      <c r="B65" s="46">
        <f>OFFSET('Target Attainment'!$E$2,B64,0)</f>
        <v>0</v>
      </c>
      <c r="C65" s="63">
        <v>59</v>
      </c>
      <c r="D65" s="64">
        <v>21661</v>
      </c>
      <c r="E65" s="16" t="s">
        <v>20</v>
      </c>
      <c r="F65" s="16" t="s">
        <v>20</v>
      </c>
      <c r="G65" s="21" t="s">
        <v>20</v>
      </c>
      <c r="H65" s="16" t="s">
        <v>20</v>
      </c>
      <c r="I65" s="16" t="s">
        <v>20</v>
      </c>
      <c r="J65" s="17"/>
      <c r="L65" s="0" t="s">
        <v>264</v>
      </c>
      <c r="M65" s="46">
        <f>OFFSET('Target Attainment'!$E$2,M64,0)</f>
        <v>0</v>
      </c>
      <c r="N65" s="66"/>
      <c r="O65" s="64"/>
      <c r="P65" s="16"/>
      <c r="Q65" s="16"/>
      <c r="R65" s="16"/>
      <c r="S65" s="16"/>
      <c r="T65" s="16"/>
      <c r="U65" s="17"/>
      <c r="W65" s="0" t="s">
        <v>264</v>
      </c>
      <c r="X65" s="46">
        <f>OFFSET('Target Attainment'!$E$2,X64,0)</f>
        <v>0</v>
      </c>
      <c r="Y65" s="66">
        <v>59</v>
      </c>
      <c r="Z65" s="68">
        <v>20956</v>
      </c>
      <c r="AA65" s="41" t="s">
        <v>20</v>
      </c>
      <c r="AB65" s="16" t="s">
        <v>20</v>
      </c>
      <c r="AC65" s="16" t="s">
        <v>20</v>
      </c>
      <c r="AD65" s="44" t="s">
        <v>20</v>
      </c>
      <c r="AE65" s="16" t="s">
        <v>20</v>
      </c>
      <c r="AF65" s="17"/>
      <c r="AH65" s="0" t="s">
        <v>264</v>
      </c>
      <c r="AI65" s="46">
        <f>OFFSET('Target Attainment'!$E$2,AI64,0)</f>
        <v>0</v>
      </c>
      <c r="AJ65" s="17">
        <v>59</v>
      </c>
      <c r="AK65" s="68">
        <v>20636</v>
      </c>
      <c r="AL65" s="41">
        <v>4.0000000000000036</v>
      </c>
      <c r="AM65" s="16">
        <v>13.999999995809048</v>
      </c>
      <c r="AN65" s="16" t="s">
        <v>20</v>
      </c>
      <c r="AO65" s="44">
        <v>4.5</v>
      </c>
      <c r="AP65" s="16">
        <v>3.8</v>
      </c>
      <c r="AQ65" s="17"/>
      <c r="AS65" s="0" t="s">
        <v>264</v>
      </c>
      <c r="AT65" s="46">
        <f>OFFSET('Target Attainment'!$E$2,AT64,0)</f>
        <v>0</v>
      </c>
      <c r="AU65" s="17">
        <v>59</v>
      </c>
      <c r="AV65" s="68">
        <v>20273</v>
      </c>
      <c r="AW65" s="41" t="s">
        <v>20</v>
      </c>
      <c r="AX65" s="16" t="s">
        <v>20</v>
      </c>
      <c r="AY65" s="16"/>
      <c r="AZ65" s="44" t="s">
        <v>20</v>
      </c>
      <c r="BA65" s="16" t="s">
        <v>20</v>
      </c>
      <c r="BB65" s="17"/>
      <c r="BD65" s="0" t="s">
        <v>264</v>
      </c>
      <c r="BE65" s="46">
        <f>OFFSET('Target Attainment'!$E$2,BE64,0)</f>
        <v>0</v>
      </c>
      <c r="BF65" s="17">
        <v>59</v>
      </c>
      <c r="BG65" s="68">
        <v>20785</v>
      </c>
      <c r="BH65" s="41">
        <v>2.9999999999999947</v>
      </c>
      <c r="BI65" s="16">
        <v>20.000000001629815</v>
      </c>
      <c r="BJ65" s="16" t="s">
        <v>20</v>
      </c>
      <c r="BK65" s="44">
        <v>4.5</v>
      </c>
      <c r="BL65" s="16">
        <v>2.6</v>
      </c>
      <c r="BM65" s="17"/>
      <c r="BO65" s="0" t="s">
        <v>264</v>
      </c>
      <c r="BP65" s="46">
        <f>OFFSET('Target Attainment'!$E$2,BP64,0)</f>
        <v>0</v>
      </c>
      <c r="BQ65" s="17">
        <v>59</v>
      </c>
      <c r="BR65" s="68">
        <v>20517</v>
      </c>
      <c r="BS65" s="41">
        <v>9</v>
      </c>
      <c r="BT65" s="16">
        <v>12.999999998370185</v>
      </c>
      <c r="BU65" s="16" t="s">
        <v>20</v>
      </c>
      <c r="BV65" s="44">
        <v>4.75</v>
      </c>
      <c r="BW65" s="16">
        <v>3.2</v>
      </c>
      <c r="BX65" s="17"/>
      <c r="BZ65" s="0" t="s">
        <v>264</v>
      </c>
      <c r="CA65" s="46">
        <f>OFFSET('Target Attainment'!$E$2,CA64,0)</f>
        <v>0</v>
      </c>
      <c r="CB65" s="17"/>
      <c r="CC65" s="68"/>
      <c r="CD65" s="41"/>
      <c r="CE65" s="16"/>
      <c r="CF65" s="16"/>
      <c r="CG65" s="44"/>
      <c r="CH65" s="16"/>
      <c r="CI65" s="17"/>
      <c r="CK65" s="0" t="s">
        <v>264</v>
      </c>
      <c r="CL65" s="46">
        <f>OFFSET('Target Attainment'!$E$2,CL64,0)</f>
        <v>0</v>
      </c>
      <c r="CM65" s="17">
        <v>59</v>
      </c>
      <c r="CN65" s="68">
        <v>22213</v>
      </c>
      <c r="CO65" s="41">
        <v>9</v>
      </c>
      <c r="CP65" s="16">
        <v>28.999999998137355</v>
      </c>
      <c r="CQ65" s="16">
        <v>500</v>
      </c>
      <c r="CR65" s="44">
        <v>5.1999999999999833</v>
      </c>
      <c r="CS65" s="16">
        <v>4.9</v>
      </c>
      <c r="CT65" s="17"/>
      <c r="CV65" s="0" t="s">
        <v>264</v>
      </c>
      <c r="CW65" s="46">
        <f>OFFSET('Target Attainment'!$E$2,CW64,0)</f>
        <v>0</v>
      </c>
      <c r="CX65" s="17"/>
      <c r="CY65" s="43"/>
      <c r="CZ65" s="41"/>
      <c r="DA65" s="16"/>
      <c r="DB65" s="16"/>
      <c r="DC65" s="44"/>
      <c r="DD65" s="16"/>
      <c r="DE65" s="17"/>
      <c r="DG65" s="0" t="s">
        <v>264</v>
      </c>
      <c r="DH65" s="46">
        <f>OFFSET('Target Attainment'!$E$2,DH64,0)</f>
        <v>0</v>
      </c>
      <c r="DI65" s="17">
        <v>59</v>
      </c>
      <c r="DJ65" s="43">
        <v>21341</v>
      </c>
      <c r="DK65" s="41" t="s">
        <v>20</v>
      </c>
      <c r="DL65" s="16" t="s">
        <v>20</v>
      </c>
      <c r="DM65" s="16" t="s">
        <v>20</v>
      </c>
      <c r="DN65" s="44" t="s">
        <v>20</v>
      </c>
      <c r="DO65" s="16" t="s">
        <v>20</v>
      </c>
      <c r="DP65" s="17"/>
      <c r="DR65" s="0" t="s">
        <v>264</v>
      </c>
      <c r="DS65" s="46">
        <f>OFFSET('Target Attainment'!$E$2,DS64,0)</f>
        <v>0</v>
      </c>
      <c r="DT65" s="17"/>
      <c r="DU65" s="43"/>
      <c r="DV65" s="41"/>
      <c r="DW65" s="16"/>
      <c r="DX65" s="16"/>
      <c r="DY65" s="44"/>
      <c r="DZ65" s="16"/>
      <c r="EA65" s="17"/>
      <c r="EC65" s="0" t="s">
        <v>264</v>
      </c>
      <c r="ED65" s="46">
        <f>OFFSET('Target Attainment'!$E$2,ED64,0)</f>
        <v>0</v>
      </c>
      <c r="EE65" s="17"/>
      <c r="EF65" s="43"/>
      <c r="EG65" s="41"/>
      <c r="EH65" s="16"/>
      <c r="EI65" s="16"/>
      <c r="EJ65" s="44"/>
      <c r="EK65" s="16"/>
      <c r="EL65" s="17"/>
      <c r="EN65" s="0" t="s">
        <v>264</v>
      </c>
      <c r="EO65" s="46">
        <f>OFFSET('Target Attainment'!$E$2,EO64,0)</f>
        <v>0</v>
      </c>
      <c r="EP65" s="17">
        <v>59</v>
      </c>
      <c r="EQ65" s="43">
        <v>20772</v>
      </c>
      <c r="ER65" s="41">
        <v>2.9999999999999947</v>
      </c>
      <c r="ES65" s="16">
        <v>147.00000000698492</v>
      </c>
      <c r="ET65" s="16" t="s">
        <v>20</v>
      </c>
      <c r="EU65" s="44">
        <v>4.5</v>
      </c>
      <c r="EV65" s="16">
        <v>2.9</v>
      </c>
      <c r="EW65" s="17"/>
      <c r="EY65" s="0" t="s">
        <v>264</v>
      </c>
      <c r="EZ65" s="46">
        <f>OFFSET('Target Attainment'!$E$2,EZ64,0)</f>
        <v>0</v>
      </c>
      <c r="FA65" s="17">
        <v>59</v>
      </c>
      <c r="FB65" s="43">
        <v>22678</v>
      </c>
      <c r="FC65" s="41">
        <v>6.9999999999999991</v>
      </c>
      <c r="FD65" s="16">
        <v>29.999999994877726</v>
      </c>
      <c r="FE65" s="16" t="s">
        <v>20</v>
      </c>
      <c r="FF65" s="44">
        <v>5.5</v>
      </c>
      <c r="FG65" s="16">
        <v>5.5</v>
      </c>
      <c r="FH65" s="17"/>
      <c r="FJ65" s="0" t="s">
        <v>264</v>
      </c>
      <c r="FK65" s="46">
        <f>OFFSET('Target Attainment'!$E$2,FK64,0)</f>
        <v>0</v>
      </c>
      <c r="FL65" s="17">
        <v>59</v>
      </c>
      <c r="FM65" s="43">
        <v>22460</v>
      </c>
      <c r="FN65" s="41" t="s">
        <v>20</v>
      </c>
      <c r="FO65" s="16" t="s">
        <v>20</v>
      </c>
      <c r="FP65" s="16" t="s">
        <v>20</v>
      </c>
      <c r="FQ65" s="44" t="s">
        <v>20</v>
      </c>
      <c r="FR65" s="16" t="s">
        <v>20</v>
      </c>
      <c r="FS65" s="17"/>
      <c r="FU65" s="0" t="s">
        <v>264</v>
      </c>
      <c r="FV65" s="46">
        <f>OFFSET('Target Attainment'!$E$2,FV64,0)</f>
        <v>0</v>
      </c>
      <c r="FW65" s="17">
        <v>59</v>
      </c>
      <c r="FX65" s="43">
        <v>22538</v>
      </c>
      <c r="FY65" s="41" t="s">
        <v>20</v>
      </c>
      <c r="FZ65" s="16" t="s">
        <v>20</v>
      </c>
      <c r="GA65" s="16" t="s">
        <v>20</v>
      </c>
      <c r="GB65" s="44" t="s">
        <v>20</v>
      </c>
      <c r="GC65" s="16" t="s">
        <v>20</v>
      </c>
      <c r="GD65" s="17"/>
      <c r="GF65" s="0" t="s">
        <v>264</v>
      </c>
      <c r="GG65" s="46">
        <f>OFFSET('Target Attainment'!$E$2,GG64,0)</f>
        <v>0</v>
      </c>
      <c r="GH65" s="17">
        <v>59</v>
      </c>
      <c r="GI65" s="43">
        <v>20947</v>
      </c>
      <c r="GJ65" s="41" t="s">
        <v>20</v>
      </c>
      <c r="GK65" s="16" t="s">
        <v>20</v>
      </c>
      <c r="GL65" s="16" t="s">
        <v>20</v>
      </c>
      <c r="GM65" s="44" t="s">
        <v>20</v>
      </c>
      <c r="GN65" s="16" t="s">
        <v>20</v>
      </c>
      <c r="GO65" s="17"/>
      <c r="GQ65" s="0" t="s">
        <v>264</v>
      </c>
      <c r="GR65" s="46">
        <f>OFFSET('Target Attainment'!$E$2,GR64,0)</f>
        <v>0</v>
      </c>
      <c r="GS65" s="17"/>
      <c r="GT65" s="43"/>
      <c r="GU65" s="41"/>
      <c r="GV65" s="16"/>
      <c r="GW65" s="16"/>
      <c r="GX65" s="44"/>
      <c r="GY65" s="16"/>
      <c r="GZ65" s="17"/>
      <c r="HB65" s="0" t="s">
        <v>264</v>
      </c>
      <c r="HC65" s="46">
        <f>OFFSET('Target Attainment'!$E$2,HC64,0)</f>
        <v>0</v>
      </c>
      <c r="HD65" s="17"/>
      <c r="HE65" s="43"/>
      <c r="HF65" s="41"/>
      <c r="HG65" s="16"/>
      <c r="HH65" s="16"/>
      <c r="HI65" s="44"/>
      <c r="HJ65" s="16"/>
      <c r="HK65" s="17"/>
      <c r="HM65" s="0" t="s">
        <v>264</v>
      </c>
      <c r="HN65" s="46">
        <f>OFFSET('Target Attainment'!$E$2,HN64,0)</f>
        <v>0</v>
      </c>
      <c r="HO65" s="17"/>
      <c r="HP65" s="43"/>
      <c r="HQ65" s="41"/>
      <c r="HR65" s="16"/>
      <c r="HS65" s="16"/>
      <c r="HT65" s="44"/>
      <c r="HU65" s="16"/>
      <c r="HV65" s="17"/>
      <c r="HX65" s="0" t="s">
        <v>264</v>
      </c>
      <c r="HY65" s="46">
        <f>OFFSET('Target Attainment'!$E$2,HY64,0)</f>
        <v>0</v>
      </c>
      <c r="HZ65" s="17"/>
      <c r="IA65" s="43"/>
      <c r="IB65" s="41"/>
      <c r="IC65" s="16"/>
      <c r="ID65" s="16"/>
      <c r="IE65" s="44"/>
      <c r="IF65" s="16"/>
      <c r="IG65" s="17"/>
      <c r="II65" s="0" t="s">
        <v>264</v>
      </c>
      <c r="IJ65" s="46">
        <f>OFFSET('Target Attainment'!$E$2,IJ64,0)</f>
        <v>0</v>
      </c>
      <c r="IK65" s="17"/>
      <c r="IL65" s="43"/>
      <c r="IM65" s="41"/>
      <c r="IN65" s="16"/>
      <c r="IO65" s="16"/>
      <c r="IP65" s="44"/>
      <c r="IQ65" s="16"/>
      <c r="IR65" s="17"/>
      <c r="IT65" s="0" t="s">
        <v>264</v>
      </c>
      <c r="IU65" s="46">
        <f>OFFSET('Target Attainment'!$E$2,IU64,0)</f>
        <v>0</v>
      </c>
      <c r="IV65" s="17"/>
      <c r="IW65" s="43"/>
      <c r="IX65" s="41"/>
      <c r="IY65" s="16"/>
      <c r="IZ65" s="16"/>
      <c r="JA65" s="44"/>
      <c r="JB65" s="16"/>
      <c r="JC65" s="17"/>
      <c r="JE65" s="0" t="s">
        <v>264</v>
      </c>
      <c r="JF65" s="46">
        <f>OFFSET('Target Attainment'!$E$2,JF64,0)</f>
        <v>0</v>
      </c>
      <c r="JG65" s="17"/>
      <c r="JH65" s="43"/>
      <c r="JI65" s="41"/>
      <c r="JJ65" s="16"/>
      <c r="JK65" s="16"/>
      <c r="JL65" s="44"/>
      <c r="JM65" s="16"/>
      <c r="JN65" s="17"/>
      <c r="JP65" s="0" t="s">
        <v>264</v>
      </c>
      <c r="JQ65" s="46">
        <f>OFFSET('Target Attainment'!$E$2,JQ64,0)</f>
        <v>0</v>
      </c>
      <c r="JR65" s="17"/>
      <c r="JS65" s="43"/>
      <c r="JT65" s="41"/>
      <c r="JU65" s="16"/>
      <c r="JV65" s="16"/>
      <c r="JW65" s="44"/>
      <c r="JX65" s="16"/>
      <c r="JY65" s="17"/>
      <c r="KA65" s="0" t="s">
        <v>264</v>
      </c>
      <c r="KB65" s="46">
        <f>OFFSET('Target Attainment'!$E$2,KB64,0)</f>
        <v>0</v>
      </c>
      <c r="KC65" s="17"/>
      <c r="KD65" s="43"/>
      <c r="KE65" s="41"/>
      <c r="KF65" s="16"/>
      <c r="KG65" s="16"/>
      <c r="KH65" s="44"/>
      <c r="KI65" s="16"/>
      <c r="KJ65" s="17"/>
      <c r="KL65" s="0" t="s">
        <v>264</v>
      </c>
      <c r="KM65" s="46">
        <f>OFFSET('Target Attainment'!$E$2,KM64,0)</f>
        <v>0</v>
      </c>
      <c r="KN65" s="17"/>
      <c r="KO65" s="43"/>
      <c r="KP65" s="41"/>
      <c r="KQ65" s="16"/>
      <c r="KR65" s="16"/>
      <c r="KS65" s="44"/>
      <c r="KT65" s="16"/>
      <c r="KU65" s="17"/>
      <c r="KW65" s="0" t="s">
        <v>264</v>
      </c>
      <c r="KX65" s="46">
        <f>OFFSET('Target Attainment'!$E$2,KX64,0)</f>
        <v>0</v>
      </c>
      <c r="KY65" s="17"/>
      <c r="KZ65" s="43"/>
      <c r="LA65" s="41"/>
      <c r="LB65" s="16"/>
      <c r="LC65" s="16"/>
      <c r="LD65" s="44"/>
      <c r="LE65" s="16"/>
      <c r="LF65" s="17"/>
      <c r="LH65" s="0" t="s">
        <v>264</v>
      </c>
      <c r="LI65" s="46">
        <f>OFFSET('Target Attainment'!$E$2,LI64,0)</f>
        <v>0</v>
      </c>
      <c r="LJ65" s="17"/>
      <c r="LK65" s="43"/>
      <c r="LL65" s="41"/>
      <c r="LM65" s="16"/>
      <c r="LN65" s="16"/>
      <c r="LO65" s="44"/>
      <c r="LP65" s="16"/>
      <c r="LQ65" s="17"/>
    </row>
    <row r="66">
      <c r="A66" s="0" t="s">
        <v>265</v>
      </c>
      <c r="B66" s="46" t="str">
        <f>IF(B36&lt;=B35, "", (B36-B35)*24)</f>
      </c>
      <c r="C66" s="63">
        <v>60</v>
      </c>
      <c r="D66" s="64">
        <v>21863</v>
      </c>
      <c r="E66" s="16" t="s">
        <v>20</v>
      </c>
      <c r="F66" s="16" t="s">
        <v>20</v>
      </c>
      <c r="G66" s="21" t="s">
        <v>20</v>
      </c>
      <c r="H66" s="16" t="s">
        <v>20</v>
      </c>
      <c r="I66" s="16" t="s">
        <v>20</v>
      </c>
      <c r="J66" s="17"/>
      <c r="L66" s="0" t="s">
        <v>265</v>
      </c>
      <c r="M66" s="46" t="str">
        <f>IF(M36&lt;=M35, "", (M36-M35)*24)</f>
      </c>
      <c r="N66" s="66"/>
      <c r="O66" s="64"/>
      <c r="P66" s="16"/>
      <c r="Q66" s="16"/>
      <c r="R66" s="16"/>
      <c r="S66" s="16"/>
      <c r="T66" s="16"/>
      <c r="U66" s="17"/>
      <c r="W66" s="0" t="s">
        <v>265</v>
      </c>
      <c r="X66" s="46" t="str">
        <f>IF(X36&lt;=X35, "", (X36-X35)*24)</f>
      </c>
      <c r="Y66" s="66">
        <v>60</v>
      </c>
      <c r="Z66" s="68">
        <v>21157</v>
      </c>
      <c r="AA66" s="41" t="s">
        <v>20</v>
      </c>
      <c r="AB66" s="16" t="s">
        <v>20</v>
      </c>
      <c r="AC66" s="16" t="s">
        <v>20</v>
      </c>
      <c r="AD66" s="44" t="s">
        <v>20</v>
      </c>
      <c r="AE66" s="16" t="s">
        <v>20</v>
      </c>
      <c r="AF66" s="17"/>
      <c r="AH66" s="0" t="s">
        <v>265</v>
      </c>
      <c r="AI66" s="46" t="str">
        <f>IF(AI36&lt;=AI35, "", (AI36-AI35)*24)</f>
      </c>
      <c r="AJ66" s="17">
        <v>60</v>
      </c>
      <c r="AK66" s="68">
        <v>20838</v>
      </c>
      <c r="AL66" s="41">
        <v>6.0000000000000053</v>
      </c>
      <c r="AM66" s="16">
        <v>11.000000003026798</v>
      </c>
      <c r="AN66" s="16" t="s">
        <v>20</v>
      </c>
      <c r="AO66" s="44">
        <v>4.5</v>
      </c>
      <c r="AP66" s="16">
        <v>3.8</v>
      </c>
      <c r="AQ66" s="17"/>
      <c r="AS66" s="0" t="s">
        <v>265</v>
      </c>
      <c r="AT66" s="46" t="str">
        <f>IF(AT36&lt;=AT35, "", (AT36-AT35)*24)</f>
      </c>
      <c r="AU66" s="17">
        <v>60</v>
      </c>
      <c r="AV66" s="68">
        <v>20474</v>
      </c>
      <c r="AW66" s="41" t="s">
        <v>20</v>
      </c>
      <c r="AX66" s="16" t="s">
        <v>20</v>
      </c>
      <c r="AY66" s="16"/>
      <c r="AZ66" s="44" t="s">
        <v>20</v>
      </c>
      <c r="BA66" s="16" t="s">
        <v>20</v>
      </c>
      <c r="BB66" s="17"/>
      <c r="BD66" s="0" t="s">
        <v>265</v>
      </c>
      <c r="BE66" s="46" t="str">
        <f>IF(BE36&lt;=BE35, "", (BE36-BE35)*24)</f>
      </c>
      <c r="BF66" s="17">
        <v>60</v>
      </c>
      <c r="BG66" s="68">
        <v>20986</v>
      </c>
      <c r="BH66" s="41">
        <v>6.0000000000000053</v>
      </c>
      <c r="BI66" s="16">
        <v>13.999999991850927</v>
      </c>
      <c r="BJ66" s="16" t="s">
        <v>20</v>
      </c>
      <c r="BK66" s="44">
        <v>4.5</v>
      </c>
      <c r="BL66" s="16">
        <v>3</v>
      </c>
      <c r="BM66" s="17"/>
      <c r="BO66" s="0" t="s">
        <v>265</v>
      </c>
      <c r="BP66" s="46" t="str">
        <f>IF(BP36&lt;=BP35, "", (BP36-BP35)*24)</f>
      </c>
      <c r="BQ66" s="17">
        <v>60</v>
      </c>
      <c r="BR66" s="68">
        <v>20717</v>
      </c>
      <c r="BS66" s="41">
        <v>9.9999999999999929</v>
      </c>
      <c r="BT66" s="16">
        <v>11.999999998370185</v>
      </c>
      <c r="BU66" s="16" t="s">
        <v>20</v>
      </c>
      <c r="BV66" s="44">
        <v>4.75</v>
      </c>
      <c r="BW66" s="16">
        <v>3.4</v>
      </c>
      <c r="BX66" s="17"/>
      <c r="BZ66" s="0" t="s">
        <v>265</v>
      </c>
      <c r="CA66" s="46" t="str">
        <f>IF(CA36&lt;=CA35, "", (CA36-CA35)*24)</f>
      </c>
      <c r="CB66" s="17"/>
      <c r="CC66" s="68"/>
      <c r="CD66" s="41"/>
      <c r="CE66" s="16"/>
      <c r="CF66" s="16"/>
      <c r="CG66" s="44"/>
      <c r="CH66" s="16"/>
      <c r="CI66" s="17"/>
      <c r="CK66" s="0" t="s">
        <v>265</v>
      </c>
      <c r="CL66" s="46" t="str">
        <f>IF(CL36&lt;=CL35, "", (CL36-CL35)*24)</f>
      </c>
      <c r="CM66" s="17">
        <v>60</v>
      </c>
      <c r="CN66" s="68">
        <v>22416</v>
      </c>
      <c r="CO66" s="41">
        <v>6.9999999999999991</v>
      </c>
      <c r="CP66" s="16">
        <v>20.000000004190952</v>
      </c>
      <c r="CQ66" s="16">
        <v>500</v>
      </c>
      <c r="CR66" s="44">
        <v>5.1999999999999833</v>
      </c>
      <c r="CS66" s="16">
        <v>4.9</v>
      </c>
      <c r="CT66" s="17"/>
      <c r="CV66" s="0" t="s">
        <v>265</v>
      </c>
      <c r="CW66" s="46" t="str">
        <f>IF(CW36&lt;=CW35, "", (CW36-CW35)*24)</f>
      </c>
      <c r="CX66" s="17"/>
      <c r="CY66" s="43"/>
      <c r="CZ66" s="41"/>
      <c r="DA66" s="16"/>
      <c r="DB66" s="16"/>
      <c r="DC66" s="44"/>
      <c r="DD66" s="16"/>
      <c r="DE66" s="17"/>
      <c r="DG66" s="0" t="s">
        <v>265</v>
      </c>
      <c r="DH66" s="46" t="str">
        <f>IF(DH36&lt;=DH35, "", (DH36-DH35)*24)</f>
      </c>
      <c r="DI66" s="17">
        <v>60</v>
      </c>
      <c r="DJ66" s="43">
        <v>21542</v>
      </c>
      <c r="DK66" s="41" t="s">
        <v>20</v>
      </c>
      <c r="DL66" s="16" t="s">
        <v>20</v>
      </c>
      <c r="DM66" s="16" t="s">
        <v>20</v>
      </c>
      <c r="DN66" s="44" t="s">
        <v>20</v>
      </c>
      <c r="DO66" s="16" t="s">
        <v>20</v>
      </c>
      <c r="DP66" s="17"/>
      <c r="DR66" s="0" t="s">
        <v>265</v>
      </c>
      <c r="DS66" s="46" t="str">
        <f>IF(DS36&lt;=DS35, "", (DS36-DS35)*24)</f>
      </c>
      <c r="DT66" s="17"/>
      <c r="DU66" s="43"/>
      <c r="DV66" s="41"/>
      <c r="DW66" s="16"/>
      <c r="DX66" s="16"/>
      <c r="DY66" s="44"/>
      <c r="DZ66" s="16"/>
      <c r="EA66" s="17"/>
      <c r="EC66" s="0" t="s">
        <v>265</v>
      </c>
      <c r="ED66" s="46" t="str">
        <f>IF(ED36&lt;=ED35, "", (ED36-ED35)*24)</f>
      </c>
      <c r="EE66" s="17"/>
      <c r="EF66" s="43"/>
      <c r="EG66" s="41"/>
      <c r="EH66" s="16"/>
      <c r="EI66" s="16"/>
      <c r="EJ66" s="44"/>
      <c r="EK66" s="16"/>
      <c r="EL66" s="17"/>
      <c r="EN66" s="0" t="s">
        <v>265</v>
      </c>
      <c r="EO66" s="46" t="str">
        <f>IF(EO36&lt;=EO35, "", (EO36-EO35)*24)</f>
      </c>
      <c r="EP66" s="17">
        <v>60</v>
      </c>
      <c r="EQ66" s="43">
        <v>20974</v>
      </c>
      <c r="ER66" s="41">
        <v>2.9999999999999947</v>
      </c>
      <c r="ES66" s="16">
        <v>-140.00000000884756</v>
      </c>
      <c r="ET66" s="16" t="s">
        <v>20</v>
      </c>
      <c r="EU66" s="44">
        <v>4.5</v>
      </c>
      <c r="EV66" s="16">
        <v>3.3</v>
      </c>
      <c r="EW66" s="17"/>
      <c r="EY66" s="0" t="s">
        <v>265</v>
      </c>
      <c r="EZ66" s="46" t="str">
        <f>IF(EZ36&lt;=EZ35, "", (EZ36-EZ35)*24)</f>
      </c>
      <c r="FA66" s="17">
        <v>60</v>
      </c>
      <c r="FB66" s="43">
        <v>22879</v>
      </c>
      <c r="FC66" s="41">
        <v>9</v>
      </c>
      <c r="FD66" s="16">
        <v>12.999999998370185</v>
      </c>
      <c r="FE66" s="16" t="s">
        <v>20</v>
      </c>
      <c r="FF66" s="44">
        <v>5.5</v>
      </c>
      <c r="FG66" s="16">
        <v>5.5</v>
      </c>
      <c r="FH66" s="17"/>
      <c r="FJ66" s="0" t="s">
        <v>265</v>
      </c>
      <c r="FK66" s="46" t="str">
        <f>IF(FK36&lt;=FK35, "", (FK36-FK35)*24)</f>
      </c>
      <c r="FL66" s="17">
        <v>60</v>
      </c>
      <c r="FM66" s="43">
        <v>22659</v>
      </c>
      <c r="FN66" s="41" t="s">
        <v>20</v>
      </c>
      <c r="FO66" s="16" t="s">
        <v>20</v>
      </c>
      <c r="FP66" s="16" t="s">
        <v>20</v>
      </c>
      <c r="FQ66" s="44" t="s">
        <v>20</v>
      </c>
      <c r="FR66" s="16" t="s">
        <v>20</v>
      </c>
      <c r="FS66" s="17"/>
      <c r="FU66" s="0" t="s">
        <v>265</v>
      </c>
      <c r="FV66" s="46" t="str">
        <f>IF(FV36&lt;=FV35, "", (FV36-FV35)*24)</f>
      </c>
      <c r="FW66" s="17">
        <v>60</v>
      </c>
      <c r="FX66" s="43">
        <v>22779</v>
      </c>
      <c r="FY66" s="41" t="s">
        <v>20</v>
      </c>
      <c r="FZ66" s="16" t="s">
        <v>20</v>
      </c>
      <c r="GA66" s="16" t="s">
        <v>20</v>
      </c>
      <c r="GB66" s="44" t="s">
        <v>20</v>
      </c>
      <c r="GC66" s="16" t="s">
        <v>20</v>
      </c>
      <c r="GD66" s="17"/>
      <c r="GF66" s="0" t="s">
        <v>265</v>
      </c>
      <c r="GG66" s="46" t="str">
        <f>IF(GG36&lt;=GG35, "", (GG36-GG35)*24)</f>
      </c>
      <c r="GH66" s="17">
        <v>60</v>
      </c>
      <c r="GI66" s="43">
        <v>21148</v>
      </c>
      <c r="GJ66" s="41" t="s">
        <v>20</v>
      </c>
      <c r="GK66" s="16" t="s">
        <v>20</v>
      </c>
      <c r="GL66" s="16" t="s">
        <v>20</v>
      </c>
      <c r="GM66" s="44" t="s">
        <v>20</v>
      </c>
      <c r="GN66" s="16" t="s">
        <v>20</v>
      </c>
      <c r="GO66" s="17"/>
      <c r="GQ66" s="0" t="s">
        <v>265</v>
      </c>
      <c r="GR66" s="46" t="str">
        <f>IF(GR36&lt;=GR35, "", (GR36-GR35)*24)</f>
      </c>
      <c r="GS66" s="17"/>
      <c r="GT66" s="43"/>
      <c r="GU66" s="41"/>
      <c r="GV66" s="16"/>
      <c r="GW66" s="16"/>
      <c r="GX66" s="44"/>
      <c r="GY66" s="16"/>
      <c r="GZ66" s="17"/>
      <c r="HB66" s="0" t="s">
        <v>265</v>
      </c>
      <c r="HC66" s="46" t="str">
        <f>IF(HC36&lt;=HC35, "", (HC36-HC35)*24)</f>
      </c>
      <c r="HD66" s="17"/>
      <c r="HE66" s="43"/>
      <c r="HF66" s="41"/>
      <c r="HG66" s="16"/>
      <c r="HH66" s="16"/>
      <c r="HI66" s="44"/>
      <c r="HJ66" s="16"/>
      <c r="HK66" s="17"/>
      <c r="HM66" s="0" t="s">
        <v>265</v>
      </c>
      <c r="HN66" s="46" t="str">
        <f>IF(HN36&lt;=HN35, "", (HN36-HN35)*24)</f>
      </c>
      <c r="HO66" s="17"/>
      <c r="HP66" s="43"/>
      <c r="HQ66" s="41"/>
      <c r="HR66" s="16"/>
      <c r="HS66" s="16"/>
      <c r="HT66" s="44"/>
      <c r="HU66" s="16"/>
      <c r="HV66" s="17"/>
      <c r="HX66" s="0" t="s">
        <v>265</v>
      </c>
      <c r="HY66" s="46" t="str">
        <f>IF(HY36&lt;=HY35, "", (HY36-HY35)*24)</f>
      </c>
      <c r="HZ66" s="17"/>
      <c r="IA66" s="43"/>
      <c r="IB66" s="41"/>
      <c r="IC66" s="16"/>
      <c r="ID66" s="16"/>
      <c r="IE66" s="44"/>
      <c r="IF66" s="16"/>
      <c r="IG66" s="17"/>
      <c r="II66" s="0" t="s">
        <v>265</v>
      </c>
      <c r="IJ66" s="46" t="str">
        <f>IF(IJ36&lt;=IJ35, "", (IJ36-IJ35)*24)</f>
      </c>
      <c r="IK66" s="17"/>
      <c r="IL66" s="43"/>
      <c r="IM66" s="41"/>
      <c r="IN66" s="16"/>
      <c r="IO66" s="16"/>
      <c r="IP66" s="44"/>
      <c r="IQ66" s="16"/>
      <c r="IR66" s="17"/>
      <c r="IT66" s="0" t="s">
        <v>265</v>
      </c>
      <c r="IU66" s="46" t="str">
        <f>IF(IU36&lt;=IU35, "", (IU36-IU35)*24)</f>
      </c>
      <c r="IV66" s="17"/>
      <c r="IW66" s="43"/>
      <c r="IX66" s="41"/>
      <c r="IY66" s="16"/>
      <c r="IZ66" s="16"/>
      <c r="JA66" s="44"/>
      <c r="JB66" s="16"/>
      <c r="JC66" s="17"/>
      <c r="JE66" s="0" t="s">
        <v>265</v>
      </c>
      <c r="JF66" s="46" t="str">
        <f>IF(JF36&lt;=JF35, "", (JF36-JF35)*24)</f>
      </c>
      <c r="JG66" s="17"/>
      <c r="JH66" s="43"/>
      <c r="JI66" s="41"/>
      <c r="JJ66" s="16"/>
      <c r="JK66" s="16"/>
      <c r="JL66" s="44"/>
      <c r="JM66" s="16"/>
      <c r="JN66" s="17"/>
      <c r="JP66" s="0" t="s">
        <v>265</v>
      </c>
      <c r="JQ66" s="46" t="str">
        <f>IF(JQ36&lt;=JQ35, "", (JQ36-JQ35)*24)</f>
      </c>
      <c r="JR66" s="17"/>
      <c r="JS66" s="43"/>
      <c r="JT66" s="41"/>
      <c r="JU66" s="16"/>
      <c r="JV66" s="16"/>
      <c r="JW66" s="44"/>
      <c r="JX66" s="16"/>
      <c r="JY66" s="17"/>
      <c r="KA66" s="0" t="s">
        <v>265</v>
      </c>
      <c r="KB66" s="46" t="str">
        <f>IF(KB36&lt;=KB35, "", (KB36-KB35)*24)</f>
      </c>
      <c r="KC66" s="17"/>
      <c r="KD66" s="43"/>
      <c r="KE66" s="41"/>
      <c r="KF66" s="16"/>
      <c r="KG66" s="16"/>
      <c r="KH66" s="44"/>
      <c r="KI66" s="16"/>
      <c r="KJ66" s="17"/>
      <c r="KL66" s="0" t="s">
        <v>265</v>
      </c>
      <c r="KM66" s="46" t="str">
        <f>IF(KM36&lt;=KM35, "", (KM36-KM35)*24)</f>
      </c>
      <c r="KN66" s="17"/>
      <c r="KO66" s="43"/>
      <c r="KP66" s="41"/>
      <c r="KQ66" s="16"/>
      <c r="KR66" s="16"/>
      <c r="KS66" s="44"/>
      <c r="KT66" s="16"/>
      <c r="KU66" s="17"/>
      <c r="KW66" s="0" t="s">
        <v>265</v>
      </c>
      <c r="KX66" s="46" t="str">
        <f>IF(KX36&lt;=KX35, "", (KX36-KX35)*24)</f>
      </c>
      <c r="KY66" s="17"/>
      <c r="KZ66" s="43"/>
      <c r="LA66" s="41"/>
      <c r="LB66" s="16"/>
      <c r="LC66" s="16"/>
      <c r="LD66" s="44"/>
      <c r="LE66" s="16"/>
      <c r="LF66" s="17"/>
      <c r="LH66" s="0" t="s">
        <v>265</v>
      </c>
      <c r="LI66" s="46" t="str">
        <f>IF(LI36&lt;=LI35, "", (LI36-LI35)*24)</f>
      </c>
      <c r="LJ66" s="17"/>
      <c r="LK66" s="43"/>
      <c r="LL66" s="41"/>
      <c r="LM66" s="16"/>
      <c r="LN66" s="16"/>
      <c r="LO66" s="44"/>
      <c r="LP66" s="16"/>
      <c r="LQ66" s="17"/>
    </row>
    <row r="67">
      <c r="A67" s="0" t="s">
        <v>266</v>
      </c>
      <c r="B67" s="46" t="e">
        <f>OFFSET('Target Attainment'!$F$2,B64,B62)</f>
        <v>#N/A</v>
      </c>
      <c r="C67" s="63">
        <v>61</v>
      </c>
      <c r="D67" s="64">
        <v>22065</v>
      </c>
      <c r="E67" s="16" t="s">
        <v>20</v>
      </c>
      <c r="F67" s="16" t="s">
        <v>20</v>
      </c>
      <c r="G67" s="21" t="s">
        <v>20</v>
      </c>
      <c r="H67" s="16" t="s">
        <v>20</v>
      </c>
      <c r="I67" s="16" t="s">
        <v>20</v>
      </c>
      <c r="J67" s="17"/>
      <c r="L67" s="0" t="s">
        <v>266</v>
      </c>
      <c r="M67" s="46" t="e">
        <f>OFFSET('Target Attainment'!$F$2,M64,M62)</f>
        <v>#N/A</v>
      </c>
      <c r="N67" s="66"/>
      <c r="O67" s="64"/>
      <c r="P67" s="16"/>
      <c r="Q67" s="16"/>
      <c r="R67" s="16"/>
      <c r="S67" s="16"/>
      <c r="T67" s="16"/>
      <c r="U67" s="17"/>
      <c r="W67" s="0" t="s">
        <v>266</v>
      </c>
      <c r="X67" s="46" t="e">
        <f>OFFSET('Target Attainment'!$F$2,X64,X62)</f>
        <v>#N/A</v>
      </c>
      <c r="Y67" s="66">
        <v>61</v>
      </c>
      <c r="Z67" s="68">
        <v>21357</v>
      </c>
      <c r="AA67" s="41" t="s">
        <v>20</v>
      </c>
      <c r="AB67" s="16" t="s">
        <v>20</v>
      </c>
      <c r="AC67" s="16" t="s">
        <v>20</v>
      </c>
      <c r="AD67" s="44" t="s">
        <v>20</v>
      </c>
      <c r="AE67" s="16" t="s">
        <v>20</v>
      </c>
      <c r="AF67" s="17"/>
      <c r="AH67" s="0" t="s">
        <v>266</v>
      </c>
      <c r="AI67" s="46" t="e">
        <f>OFFSET('Target Attainment'!$F$2,AI64,AI62)</f>
        <v>#N/A</v>
      </c>
      <c r="AJ67" s="17">
        <v>61</v>
      </c>
      <c r="AK67" s="68">
        <v>21040</v>
      </c>
      <c r="AL67" s="41">
        <v>2.9999999999999947</v>
      </c>
      <c r="AM67" s="16">
        <v>17.999999995110556</v>
      </c>
      <c r="AN67" s="16" t="s">
        <v>20</v>
      </c>
      <c r="AO67" s="44">
        <v>4.5</v>
      </c>
      <c r="AP67" s="16">
        <v>3.7</v>
      </c>
      <c r="AQ67" s="17"/>
      <c r="AS67" s="0" t="s">
        <v>266</v>
      </c>
      <c r="AT67" s="46" t="e">
        <f>OFFSET('Target Attainment'!$F$2,AT64,AT62)</f>
        <v>#N/A</v>
      </c>
      <c r="AU67" s="17">
        <v>61</v>
      </c>
      <c r="AV67" s="68">
        <v>20675</v>
      </c>
      <c r="AW67" s="41" t="s">
        <v>20</v>
      </c>
      <c r="AX67" s="16" t="s">
        <v>20</v>
      </c>
      <c r="AY67" s="16"/>
      <c r="AZ67" s="44" t="s">
        <v>20</v>
      </c>
      <c r="BA67" s="16" t="s">
        <v>20</v>
      </c>
      <c r="BB67" s="17"/>
      <c r="BD67" s="0" t="s">
        <v>266</v>
      </c>
      <c r="BE67" s="46" t="e">
        <f>OFFSET('Target Attainment'!$F$2,BE64,BE62)</f>
        <v>#N/A</v>
      </c>
      <c r="BF67" s="17">
        <v>61</v>
      </c>
      <c r="BG67" s="68">
        <v>21188</v>
      </c>
      <c r="BH67" s="41">
        <v>2.9999999999999947</v>
      </c>
      <c r="BI67" s="16">
        <v>14.000000003026798</v>
      </c>
      <c r="BJ67" s="16" t="s">
        <v>20</v>
      </c>
      <c r="BK67" s="44">
        <v>4.5</v>
      </c>
      <c r="BL67" s="16">
        <v>2.3</v>
      </c>
      <c r="BM67" s="17"/>
      <c r="BO67" s="0" t="s">
        <v>266</v>
      </c>
      <c r="BP67" s="46" t="e">
        <f>OFFSET('Target Attainment'!$F$2,BP64,BP62)</f>
        <v>#N/A</v>
      </c>
      <c r="BQ67" s="17">
        <v>61</v>
      </c>
      <c r="BR67" s="68">
        <v>20917</v>
      </c>
      <c r="BS67" s="41">
        <v>6.9999999999999991</v>
      </c>
      <c r="BT67" s="16">
        <v>17.000000004889444</v>
      </c>
      <c r="BU67" s="16" t="s">
        <v>20</v>
      </c>
      <c r="BV67" s="44">
        <v>4.75</v>
      </c>
      <c r="BW67" s="16">
        <v>3.2</v>
      </c>
      <c r="BX67" s="17"/>
      <c r="BZ67" s="0" t="s">
        <v>266</v>
      </c>
      <c r="CA67" s="46" t="e">
        <f>OFFSET('Target Attainment'!$F$2,CA64,CA62)</f>
        <v>#N/A</v>
      </c>
      <c r="CB67" s="17"/>
      <c r="CC67" s="68"/>
      <c r="CD67" s="41"/>
      <c r="CE67" s="16"/>
      <c r="CF67" s="16"/>
      <c r="CG67" s="44"/>
      <c r="CH67" s="16"/>
      <c r="CI67" s="17"/>
      <c r="CK67" s="0" t="s">
        <v>266</v>
      </c>
      <c r="CL67" s="46" t="e">
        <f>OFFSET('Target Attainment'!$F$2,CL64,CL62)</f>
        <v>#N/A</v>
      </c>
      <c r="CM67" s="17">
        <v>61</v>
      </c>
      <c r="CN67" s="68">
        <v>22618</v>
      </c>
      <c r="CO67" s="41">
        <v>13.999999999999998</v>
      </c>
      <c r="CP67" s="16">
        <v>31.99999999278225</v>
      </c>
      <c r="CQ67" s="16">
        <v>500</v>
      </c>
      <c r="CR67" s="44">
        <v>5.1999999999999833</v>
      </c>
      <c r="CS67" s="16">
        <v>4.9</v>
      </c>
      <c r="CT67" s="17"/>
      <c r="CV67" s="0" t="s">
        <v>266</v>
      </c>
      <c r="CW67" s="46" t="e">
        <f>OFFSET('Target Attainment'!$F$2,CW64,CW62)</f>
        <v>#N/A</v>
      </c>
      <c r="CX67" s="17"/>
      <c r="CY67" s="43"/>
      <c r="CZ67" s="41"/>
      <c r="DA67" s="16"/>
      <c r="DB67" s="16"/>
      <c r="DC67" s="44"/>
      <c r="DD67" s="16"/>
      <c r="DE67" s="17"/>
      <c r="DG67" s="0" t="s">
        <v>266</v>
      </c>
      <c r="DH67" s="46" t="e">
        <f>OFFSET('Target Attainment'!$F$2,DH64,DH62)</f>
        <v>#N/A</v>
      </c>
      <c r="DI67" s="17">
        <v>61</v>
      </c>
      <c r="DJ67" s="43">
        <v>21744</v>
      </c>
      <c r="DK67" s="41" t="s">
        <v>20</v>
      </c>
      <c r="DL67" s="16" t="s">
        <v>20</v>
      </c>
      <c r="DM67" s="16" t="s">
        <v>20</v>
      </c>
      <c r="DN67" s="44" t="s">
        <v>20</v>
      </c>
      <c r="DO67" s="16" t="s">
        <v>20</v>
      </c>
      <c r="DP67" s="17"/>
      <c r="DR67" s="0" t="s">
        <v>266</v>
      </c>
      <c r="DS67" s="46" t="e">
        <f>OFFSET('Target Attainment'!$F$2,DS64,DS62)</f>
        <v>#N/A</v>
      </c>
      <c r="DT67" s="17"/>
      <c r="DU67" s="43"/>
      <c r="DV67" s="41"/>
      <c r="DW67" s="16"/>
      <c r="DX67" s="16"/>
      <c r="DY67" s="44"/>
      <c r="DZ67" s="16"/>
      <c r="EA67" s="17"/>
      <c r="EC67" s="0" t="s">
        <v>266</v>
      </c>
      <c r="ED67" s="46" t="e">
        <f>OFFSET('Target Attainment'!$F$2,ED64,ED62)</f>
        <v>#N/A</v>
      </c>
      <c r="EE67" s="17"/>
      <c r="EF67" s="43"/>
      <c r="EG67" s="41"/>
      <c r="EH67" s="16"/>
      <c r="EI67" s="16"/>
      <c r="EJ67" s="44"/>
      <c r="EK67" s="16"/>
      <c r="EL67" s="17"/>
      <c r="EN67" s="0" t="s">
        <v>266</v>
      </c>
      <c r="EO67" s="46" t="e">
        <f>OFFSET('Target Attainment'!$F$2,EO64,EO62)</f>
        <v>#N/A</v>
      </c>
      <c r="EP67" s="17">
        <v>61</v>
      </c>
      <c r="EQ67" s="43">
        <v>21176</v>
      </c>
      <c r="ER67" s="41">
        <v>2.9999999999999947</v>
      </c>
      <c r="ES67" s="16">
        <v>31.000000001396984</v>
      </c>
      <c r="ET67" s="16" t="s">
        <v>20</v>
      </c>
      <c r="EU67" s="44">
        <v>4.5</v>
      </c>
      <c r="EV67" s="16">
        <v>3.4</v>
      </c>
      <c r="EW67" s="17"/>
      <c r="EY67" s="0" t="s">
        <v>266</v>
      </c>
      <c r="EZ67" s="46" t="e">
        <f>OFFSET('Target Attainment'!$F$2,EZ64,EZ62)</f>
        <v>#N/A</v>
      </c>
      <c r="FA67" s="17">
        <v>61</v>
      </c>
      <c r="FB67" s="43">
        <v>23080</v>
      </c>
      <c r="FC67" s="41">
        <v>6.9999999999999991</v>
      </c>
      <c r="FD67" s="16">
        <v>24.999999999534339</v>
      </c>
      <c r="FE67" s="16" t="s">
        <v>20</v>
      </c>
      <c r="FF67" s="44">
        <v>5.5</v>
      </c>
      <c r="FG67" s="16">
        <v>5.5</v>
      </c>
      <c r="FH67" s="17"/>
      <c r="FJ67" s="0" t="s">
        <v>266</v>
      </c>
      <c r="FK67" s="46" t="e">
        <f>OFFSET('Target Attainment'!$F$2,FK64,FK62)</f>
        <v>#N/A</v>
      </c>
      <c r="FL67" s="17">
        <v>61</v>
      </c>
      <c r="FM67" s="43">
        <v>22858</v>
      </c>
      <c r="FN67" s="41" t="s">
        <v>20</v>
      </c>
      <c r="FO67" s="16" t="s">
        <v>20</v>
      </c>
      <c r="FP67" s="16" t="s">
        <v>20</v>
      </c>
      <c r="FQ67" s="44" t="s">
        <v>20</v>
      </c>
      <c r="FR67" s="16" t="s">
        <v>20</v>
      </c>
      <c r="FS67" s="17"/>
      <c r="FU67" s="0" t="s">
        <v>266</v>
      </c>
      <c r="FV67" s="46" t="e">
        <f>OFFSET('Target Attainment'!$F$2,FV64,FV62)</f>
        <v>#N/A</v>
      </c>
      <c r="FW67" s="17">
        <v>61</v>
      </c>
      <c r="FX67" s="43">
        <v>23020</v>
      </c>
      <c r="FY67" s="41" t="s">
        <v>20</v>
      </c>
      <c r="FZ67" s="16" t="s">
        <v>20</v>
      </c>
      <c r="GA67" s="16" t="s">
        <v>20</v>
      </c>
      <c r="GB67" s="44" t="s">
        <v>20</v>
      </c>
      <c r="GC67" s="16" t="s">
        <v>20</v>
      </c>
      <c r="GD67" s="17"/>
      <c r="GF67" s="0" t="s">
        <v>266</v>
      </c>
      <c r="GG67" s="46" t="e">
        <f>OFFSET('Target Attainment'!$F$2,GG64,GG62)</f>
        <v>#N/A</v>
      </c>
      <c r="GH67" s="17">
        <v>61</v>
      </c>
      <c r="GI67" s="43">
        <v>21350</v>
      </c>
      <c r="GJ67" s="41" t="s">
        <v>20</v>
      </c>
      <c r="GK67" s="16" t="s">
        <v>20</v>
      </c>
      <c r="GL67" s="16" t="s">
        <v>20</v>
      </c>
      <c r="GM67" s="44" t="s">
        <v>20</v>
      </c>
      <c r="GN67" s="16" t="s">
        <v>20</v>
      </c>
      <c r="GO67" s="17"/>
      <c r="GQ67" s="0" t="s">
        <v>266</v>
      </c>
      <c r="GR67" s="46" t="e">
        <f>OFFSET('Target Attainment'!$F$2,GR64,GR62)</f>
        <v>#N/A</v>
      </c>
      <c r="GS67" s="17"/>
      <c r="GT67" s="43"/>
      <c r="GU67" s="41"/>
      <c r="GV67" s="16"/>
      <c r="GW67" s="16"/>
      <c r="GX67" s="44"/>
      <c r="GY67" s="16"/>
      <c r="GZ67" s="17"/>
      <c r="HB67" s="0" t="s">
        <v>266</v>
      </c>
      <c r="HC67" s="46" t="e">
        <f>OFFSET('Target Attainment'!$F$2,HC64,HC62)</f>
        <v>#N/A</v>
      </c>
      <c r="HD67" s="17"/>
      <c r="HE67" s="43"/>
      <c r="HF67" s="41"/>
      <c r="HG67" s="16"/>
      <c r="HH67" s="16"/>
      <c r="HI67" s="44"/>
      <c r="HJ67" s="16"/>
      <c r="HK67" s="17"/>
      <c r="HM67" s="0" t="s">
        <v>266</v>
      </c>
      <c r="HN67" s="46" t="e">
        <f>OFFSET('Target Attainment'!$F$2,HN64,HN62)</f>
        <v>#N/A</v>
      </c>
      <c r="HO67" s="17"/>
      <c r="HP67" s="43"/>
      <c r="HQ67" s="41"/>
      <c r="HR67" s="16"/>
      <c r="HS67" s="16"/>
      <c r="HT67" s="44"/>
      <c r="HU67" s="16"/>
      <c r="HV67" s="17"/>
      <c r="HX67" s="0" t="s">
        <v>266</v>
      </c>
      <c r="HY67" s="46" t="e">
        <f>OFFSET('Target Attainment'!$F$2,HY64,HY62)</f>
        <v>#N/A</v>
      </c>
      <c r="HZ67" s="17"/>
      <c r="IA67" s="43"/>
      <c r="IB67" s="41"/>
      <c r="IC67" s="16"/>
      <c r="ID67" s="16"/>
      <c r="IE67" s="44"/>
      <c r="IF67" s="16"/>
      <c r="IG67" s="17"/>
      <c r="II67" s="0" t="s">
        <v>266</v>
      </c>
      <c r="IJ67" s="46" t="e">
        <f>OFFSET('Target Attainment'!$F$2,IJ64,IJ62)</f>
        <v>#N/A</v>
      </c>
      <c r="IK67" s="17"/>
      <c r="IL67" s="43"/>
      <c r="IM67" s="41"/>
      <c r="IN67" s="16"/>
      <c r="IO67" s="16"/>
      <c r="IP67" s="44"/>
      <c r="IQ67" s="16"/>
      <c r="IR67" s="17"/>
      <c r="IT67" s="0" t="s">
        <v>266</v>
      </c>
      <c r="IU67" s="46" t="e">
        <f>OFFSET('Target Attainment'!$F$2,IU64,IU62)</f>
        <v>#N/A</v>
      </c>
      <c r="IV67" s="17"/>
      <c r="IW67" s="43"/>
      <c r="IX67" s="41"/>
      <c r="IY67" s="16"/>
      <c r="IZ67" s="16"/>
      <c r="JA67" s="44"/>
      <c r="JB67" s="16"/>
      <c r="JC67" s="17"/>
      <c r="JE67" s="0" t="s">
        <v>266</v>
      </c>
      <c r="JF67" s="46" t="e">
        <f>OFFSET('Target Attainment'!$F$2,JF64,JF62)</f>
        <v>#N/A</v>
      </c>
      <c r="JG67" s="17"/>
      <c r="JH67" s="43"/>
      <c r="JI67" s="41"/>
      <c r="JJ67" s="16"/>
      <c r="JK67" s="16"/>
      <c r="JL67" s="44"/>
      <c r="JM67" s="16"/>
      <c r="JN67" s="17"/>
      <c r="JP67" s="0" t="s">
        <v>266</v>
      </c>
      <c r="JQ67" s="46" t="e">
        <f>OFFSET('Target Attainment'!$F$2,JQ64,JQ62)</f>
        <v>#N/A</v>
      </c>
      <c r="JR67" s="17"/>
      <c r="JS67" s="43"/>
      <c r="JT67" s="41"/>
      <c r="JU67" s="16"/>
      <c r="JV67" s="16"/>
      <c r="JW67" s="44"/>
      <c r="JX67" s="16"/>
      <c r="JY67" s="17"/>
      <c r="KA67" s="0" t="s">
        <v>266</v>
      </c>
      <c r="KB67" s="46" t="e">
        <f>OFFSET('Target Attainment'!$F$2,KB64,KB62)</f>
        <v>#N/A</v>
      </c>
      <c r="KC67" s="17"/>
      <c r="KD67" s="43"/>
      <c r="KE67" s="41"/>
      <c r="KF67" s="16"/>
      <c r="KG67" s="16"/>
      <c r="KH67" s="44"/>
      <c r="KI67" s="16"/>
      <c r="KJ67" s="17"/>
      <c r="KL67" s="0" t="s">
        <v>266</v>
      </c>
      <c r="KM67" s="46" t="e">
        <f>OFFSET('Target Attainment'!$F$2,KM64,KM62)</f>
        <v>#N/A</v>
      </c>
      <c r="KN67" s="17"/>
      <c r="KO67" s="43"/>
      <c r="KP67" s="41"/>
      <c r="KQ67" s="16"/>
      <c r="KR67" s="16"/>
      <c r="KS67" s="44"/>
      <c r="KT67" s="16"/>
      <c r="KU67" s="17"/>
      <c r="KW67" s="0" t="s">
        <v>266</v>
      </c>
      <c r="KX67" s="46" t="e">
        <f>OFFSET('Target Attainment'!$F$2,KX64,KX62)</f>
        <v>#N/A</v>
      </c>
      <c r="KY67" s="17"/>
      <c r="KZ67" s="43"/>
      <c r="LA67" s="41"/>
      <c r="LB67" s="16"/>
      <c r="LC67" s="16"/>
      <c r="LD67" s="44"/>
      <c r="LE67" s="16"/>
      <c r="LF67" s="17"/>
      <c r="LH67" s="0" t="s">
        <v>266</v>
      </c>
      <c r="LI67" s="46" t="e">
        <f>OFFSET('Target Attainment'!$F$2,LI64,LI62)</f>
        <v>#N/A</v>
      </c>
      <c r="LJ67" s="17"/>
      <c r="LK67" s="43"/>
      <c r="LL67" s="41"/>
      <c r="LM67" s="16"/>
      <c r="LN67" s="16"/>
      <c r="LO67" s="44"/>
      <c r="LP67" s="16"/>
      <c r="LQ67" s="17"/>
    </row>
    <row r="68">
      <c r="A68" s="0" t="s">
        <v>267</v>
      </c>
      <c r="B68" s="46" t="str">
        <f>IF(((B40-B39)*24)&gt;=6,(B23-B60)/(B40-B39),"")</f>
      </c>
      <c r="C68" s="63">
        <v>62</v>
      </c>
      <c r="D68" s="64">
        <v>22267</v>
      </c>
      <c r="E68" s="16" t="s">
        <v>20</v>
      </c>
      <c r="F68" s="16" t="s">
        <v>20</v>
      </c>
      <c r="G68" s="21" t="s">
        <v>20</v>
      </c>
      <c r="H68" s="16" t="s">
        <v>20</v>
      </c>
      <c r="I68" s="16" t="s">
        <v>20</v>
      </c>
      <c r="J68" s="17"/>
      <c r="L68" s="0" t="s">
        <v>267</v>
      </c>
      <c r="M68" s="46" t="str">
        <f>IF(((M40-M39)*24)&gt;=6,(M23-M60)/(M40-M39),"")</f>
      </c>
      <c r="N68" s="66"/>
      <c r="O68" s="64"/>
      <c r="P68" s="16"/>
      <c r="Q68" s="16"/>
      <c r="R68" s="16"/>
      <c r="S68" s="16"/>
      <c r="T68" s="16"/>
      <c r="U68" s="17"/>
      <c r="W68" s="0" t="s">
        <v>267</v>
      </c>
      <c r="X68" s="46" t="str">
        <f>IF(((X40-X39)*24)&gt;=6,(X23-X60)/(X40-X39),"")</f>
      </c>
      <c r="Y68" s="66">
        <v>62</v>
      </c>
      <c r="Z68" s="68">
        <v>21558</v>
      </c>
      <c r="AA68" s="41" t="s">
        <v>20</v>
      </c>
      <c r="AB68" s="16" t="s">
        <v>20</v>
      </c>
      <c r="AC68" s="16" t="s">
        <v>20</v>
      </c>
      <c r="AD68" s="44" t="s">
        <v>20</v>
      </c>
      <c r="AE68" s="16" t="s">
        <v>20</v>
      </c>
      <c r="AF68" s="17"/>
      <c r="AH68" s="0" t="s">
        <v>267</v>
      </c>
      <c r="AI68" s="46" t="str">
        <f>IF(((AI40-AI39)*24)&gt;=6,(AI23-AI60)/(AI40-AI39),"")</f>
      </c>
      <c r="AJ68" s="17">
        <v>62</v>
      </c>
      <c r="AK68" s="68">
        <v>21241</v>
      </c>
      <c r="AL68" s="41">
        <v>4.9999999999999964</v>
      </c>
      <c r="AM68" s="16">
        <v>12.000000003026798</v>
      </c>
      <c r="AN68" s="16" t="s">
        <v>20</v>
      </c>
      <c r="AO68" s="44">
        <v>4.5</v>
      </c>
      <c r="AP68" s="16">
        <v>3.7</v>
      </c>
      <c r="AQ68" s="17"/>
      <c r="AS68" s="0" t="s">
        <v>267</v>
      </c>
      <c r="AT68" s="46" t="str">
        <f>IF(((AT40-AT39)*24)&gt;=6,(AT23-AT60)/(AT40-AT39),"")</f>
      </c>
      <c r="AU68" s="17">
        <v>62</v>
      </c>
      <c r="AV68" s="68">
        <v>20876</v>
      </c>
      <c r="AW68" s="41" t="s">
        <v>20</v>
      </c>
      <c r="AX68" s="16" t="s">
        <v>20</v>
      </c>
      <c r="AY68" s="16"/>
      <c r="AZ68" s="44" t="s">
        <v>20</v>
      </c>
      <c r="BA68" s="16" t="s">
        <v>20</v>
      </c>
      <c r="BB68" s="17"/>
      <c r="BD68" s="0" t="s">
        <v>267</v>
      </c>
      <c r="BE68" s="46" t="str">
        <f>IF(((BE40-BE39)*24)&gt;=6,(BE23-BE60)/(BE40-BE39),"")</f>
      </c>
      <c r="BF68" s="17">
        <v>62</v>
      </c>
      <c r="BG68" s="68">
        <v>21389</v>
      </c>
      <c r="BH68" s="41" t="s">
        <v>20</v>
      </c>
      <c r="BI68" s="16" t="s">
        <v>20</v>
      </c>
      <c r="BJ68" s="16" t="s">
        <v>20</v>
      </c>
      <c r="BK68" s="44" t="s">
        <v>20</v>
      </c>
      <c r="BL68" s="16" t="s">
        <v>20</v>
      </c>
      <c r="BM68" s="17"/>
      <c r="BO68" s="0" t="s">
        <v>267</v>
      </c>
      <c r="BP68" s="46" t="str">
        <f>IF(((BP40-BP39)*24)&gt;=6,(BP23-BP60)/(BP40-BP39),"")</f>
      </c>
      <c r="BQ68" s="17">
        <v>62</v>
      </c>
      <c r="BR68" s="68">
        <v>21118</v>
      </c>
      <c r="BS68" s="41">
        <v>6.0000000000000053</v>
      </c>
      <c r="BT68" s="16">
        <v>15.999999998370185</v>
      </c>
      <c r="BU68" s="16" t="s">
        <v>20</v>
      </c>
      <c r="BV68" s="44">
        <v>4.75</v>
      </c>
      <c r="BW68" s="16">
        <v>3.2</v>
      </c>
      <c r="BX68" s="17"/>
      <c r="BZ68" s="0" t="s">
        <v>267</v>
      </c>
      <c r="CA68" s="46" t="str">
        <f>IF(((CA40-CA39)*24)&gt;=6,(CA23-CA60)/(CA40-CA39),"")</f>
      </c>
      <c r="CB68" s="17"/>
      <c r="CC68" s="68"/>
      <c r="CD68" s="41"/>
      <c r="CE68" s="16"/>
      <c r="CF68" s="16"/>
      <c r="CG68" s="44"/>
      <c r="CH68" s="16"/>
      <c r="CI68" s="17"/>
      <c r="CK68" s="0" t="s">
        <v>267</v>
      </c>
      <c r="CL68" s="46" t="str">
        <f>IF(((CL40-CL39)*24)&gt;=6,(CL23-CL60)/(CL40-CL39),"")</f>
      </c>
      <c r="CM68" s="17">
        <v>62</v>
      </c>
      <c r="CN68" s="68">
        <v>22820</v>
      </c>
      <c r="CO68" s="41">
        <v>8.0000000000000071</v>
      </c>
      <c r="CP68" s="16">
        <v>171.00000000721775</v>
      </c>
      <c r="CQ68" s="16">
        <v>500</v>
      </c>
      <c r="CR68" s="44">
        <v>5.1999999999999833</v>
      </c>
      <c r="CS68" s="16">
        <v>5</v>
      </c>
      <c r="CT68" s="17"/>
      <c r="CV68" s="0" t="s">
        <v>267</v>
      </c>
      <c r="CW68" s="46" t="str">
        <f>IF(((CW40-CW39)*24)&gt;=6,(CW23-CW60)/(CW40-CW39),"")</f>
      </c>
      <c r="CX68" s="17"/>
      <c r="CY68" s="43"/>
      <c r="CZ68" s="41"/>
      <c r="DA68" s="16"/>
      <c r="DB68" s="16"/>
      <c r="DC68" s="44"/>
      <c r="DD68" s="16"/>
      <c r="DE68" s="17"/>
      <c r="DG68" s="0" t="s">
        <v>267</v>
      </c>
      <c r="DH68" s="46" t="str">
        <f>IF(((DH40-DH39)*24)&gt;=6,(DH23-DH60)/(DH40-DH39),"")</f>
      </c>
      <c r="DI68" s="17">
        <v>62</v>
      </c>
      <c r="DJ68" s="43">
        <v>21945</v>
      </c>
      <c r="DK68" s="41" t="s">
        <v>20</v>
      </c>
      <c r="DL68" s="16" t="s">
        <v>20</v>
      </c>
      <c r="DM68" s="16" t="s">
        <v>20</v>
      </c>
      <c r="DN68" s="44" t="s">
        <v>20</v>
      </c>
      <c r="DO68" s="16" t="s">
        <v>20</v>
      </c>
      <c r="DP68" s="17"/>
      <c r="DR68" s="0" t="s">
        <v>267</v>
      </c>
      <c r="DS68" s="46" t="str">
        <f>IF(((DS40-DS39)*24)&gt;=6,(DS23-DS60)/(DS40-DS39),"")</f>
      </c>
      <c r="DT68" s="17"/>
      <c r="DU68" s="43"/>
      <c r="DV68" s="41"/>
      <c r="DW68" s="16"/>
      <c r="DX68" s="16"/>
      <c r="DY68" s="44"/>
      <c r="DZ68" s="16"/>
      <c r="EA68" s="17"/>
      <c r="EC68" s="0" t="s">
        <v>267</v>
      </c>
      <c r="ED68" s="46" t="str">
        <f>IF(((ED40-ED39)*24)&gt;=6,(ED23-ED60)/(ED40-ED39),"")</f>
      </c>
      <c r="EE68" s="17"/>
      <c r="EF68" s="43"/>
      <c r="EG68" s="41"/>
      <c r="EH68" s="16"/>
      <c r="EI68" s="16"/>
      <c r="EJ68" s="44"/>
      <c r="EK68" s="16"/>
      <c r="EL68" s="17"/>
      <c r="EN68" s="0" t="s">
        <v>267</v>
      </c>
      <c r="EO68" s="46" t="str">
        <f>IF(((EO40-EO39)*24)&gt;=6,(EO23-EO60)/(EO40-EO39),"")</f>
      </c>
      <c r="EP68" s="17">
        <v>62</v>
      </c>
      <c r="EQ68" s="43">
        <v>21378</v>
      </c>
      <c r="ER68" s="41">
        <v>2.9999999999999947</v>
      </c>
      <c r="ES68" s="16">
        <v>19.000000006519258</v>
      </c>
      <c r="ET68" s="16" t="s">
        <v>20</v>
      </c>
      <c r="EU68" s="44">
        <v>4</v>
      </c>
      <c r="EV68" s="16">
        <v>3.1</v>
      </c>
      <c r="EW68" s="17"/>
      <c r="EY68" s="0" t="s">
        <v>267</v>
      </c>
      <c r="EZ68" s="46" t="str">
        <f>IF(((EZ40-EZ39)*24)&gt;=6,(EZ23-EZ60)/(EZ40-EZ39),"")</f>
      </c>
      <c r="FA68" s="17">
        <v>62</v>
      </c>
      <c r="FB68" s="43">
        <v>23280</v>
      </c>
      <c r="FC68" s="41">
        <v>9</v>
      </c>
      <c r="FD68" s="16">
        <v>14.000000001629815</v>
      </c>
      <c r="FE68" s="16" t="s">
        <v>20</v>
      </c>
      <c r="FF68" s="44">
        <v>5.5</v>
      </c>
      <c r="FG68" s="16">
        <v>5.5</v>
      </c>
      <c r="FH68" s="17"/>
      <c r="FJ68" s="0" t="s">
        <v>267</v>
      </c>
      <c r="FK68" s="46" t="str">
        <f>IF(((FK40-FK39)*24)&gt;=6,(FK23-FK60)/(FK40-FK39),"")</f>
      </c>
      <c r="FL68" s="17">
        <v>62</v>
      </c>
      <c r="FM68" s="43">
        <v>23056</v>
      </c>
      <c r="FN68" s="41" t="s">
        <v>20</v>
      </c>
      <c r="FO68" s="16" t="s">
        <v>20</v>
      </c>
      <c r="FP68" s="16" t="s">
        <v>20</v>
      </c>
      <c r="FQ68" s="44" t="s">
        <v>20</v>
      </c>
      <c r="FR68" s="16" t="s">
        <v>20</v>
      </c>
      <c r="FS68" s="17"/>
      <c r="FU68" s="0" t="s">
        <v>267</v>
      </c>
      <c r="FV68" s="46" t="str">
        <f>IF(((FV40-FV39)*24)&gt;=6,(FV23-FV60)/(FV40-FV39),"")</f>
      </c>
      <c r="FW68" s="17">
        <v>62</v>
      </c>
      <c r="FX68" s="43">
        <v>23261</v>
      </c>
      <c r="FY68" s="41" t="s">
        <v>20</v>
      </c>
      <c r="FZ68" s="16" t="s">
        <v>20</v>
      </c>
      <c r="GA68" s="16" t="s">
        <v>20</v>
      </c>
      <c r="GB68" s="44" t="s">
        <v>20</v>
      </c>
      <c r="GC68" s="16" t="s">
        <v>20</v>
      </c>
      <c r="GD68" s="17"/>
      <c r="GF68" s="0" t="s">
        <v>267</v>
      </c>
      <c r="GG68" s="46" t="str">
        <f>IF(((GG40-GG39)*24)&gt;=6,(GG23-GG60)/(GG40-GG39),"")</f>
      </c>
      <c r="GH68" s="17">
        <v>62</v>
      </c>
      <c r="GI68" s="43">
        <v>21552</v>
      </c>
      <c r="GJ68" s="41" t="s">
        <v>20</v>
      </c>
      <c r="GK68" s="16" t="s">
        <v>20</v>
      </c>
      <c r="GL68" s="16" t="s">
        <v>20</v>
      </c>
      <c r="GM68" s="44" t="s">
        <v>20</v>
      </c>
      <c r="GN68" s="16" t="s">
        <v>20</v>
      </c>
      <c r="GO68" s="17"/>
      <c r="GQ68" s="0" t="s">
        <v>267</v>
      </c>
      <c r="GR68" s="46" t="str">
        <f>IF(((GR40-GR39)*24)&gt;=6,(GR23-GR60)/(GR40-GR39),"")</f>
      </c>
      <c r="GS68" s="17"/>
      <c r="GT68" s="43"/>
      <c r="GU68" s="41"/>
      <c r="GV68" s="16"/>
      <c r="GW68" s="16"/>
      <c r="GX68" s="44"/>
      <c r="GY68" s="16"/>
      <c r="GZ68" s="17"/>
      <c r="HB68" s="0" t="s">
        <v>267</v>
      </c>
      <c r="HC68" s="46" t="str">
        <f>IF(((HC40-HC39)*24)&gt;=6,(HC23-HC60)/(HC40-HC39),"")</f>
      </c>
      <c r="HD68" s="17"/>
      <c r="HE68" s="43"/>
      <c r="HF68" s="41"/>
      <c r="HG68" s="16"/>
      <c r="HH68" s="16"/>
      <c r="HI68" s="44"/>
      <c r="HJ68" s="16"/>
      <c r="HK68" s="17"/>
      <c r="HM68" s="0" t="s">
        <v>267</v>
      </c>
      <c r="HN68" s="46" t="str">
        <f>IF(((HN40-HN39)*24)&gt;=6,(HN23-HN60)/(HN40-HN39),"")</f>
      </c>
      <c r="HO68" s="17"/>
      <c r="HP68" s="43"/>
      <c r="HQ68" s="41"/>
      <c r="HR68" s="16"/>
      <c r="HS68" s="16"/>
      <c r="HT68" s="44"/>
      <c r="HU68" s="16"/>
      <c r="HV68" s="17"/>
      <c r="HX68" s="0" t="s">
        <v>267</v>
      </c>
      <c r="HY68" s="46" t="str">
        <f>IF(((HY40-HY39)*24)&gt;=6,(HY23-HY60)/(HY40-HY39),"")</f>
      </c>
      <c r="HZ68" s="17"/>
      <c r="IA68" s="43"/>
      <c r="IB68" s="41"/>
      <c r="IC68" s="16"/>
      <c r="ID68" s="16"/>
      <c r="IE68" s="44"/>
      <c r="IF68" s="16"/>
      <c r="IG68" s="17"/>
      <c r="II68" s="0" t="s">
        <v>267</v>
      </c>
      <c r="IJ68" s="46" t="str">
        <f>IF(((IJ40-IJ39)*24)&gt;=6,(IJ23-IJ60)/(IJ40-IJ39),"")</f>
      </c>
      <c r="IK68" s="17"/>
      <c r="IL68" s="43"/>
      <c r="IM68" s="41"/>
      <c r="IN68" s="16"/>
      <c r="IO68" s="16"/>
      <c r="IP68" s="44"/>
      <c r="IQ68" s="16"/>
      <c r="IR68" s="17"/>
      <c r="IT68" s="0" t="s">
        <v>267</v>
      </c>
      <c r="IU68" s="46" t="str">
        <f>IF(((IU40-IU39)*24)&gt;=6,(IU23-IU60)/(IU40-IU39),"")</f>
      </c>
      <c r="IV68" s="17"/>
      <c r="IW68" s="43"/>
      <c r="IX68" s="41"/>
      <c r="IY68" s="16"/>
      <c r="IZ68" s="16"/>
      <c r="JA68" s="44"/>
      <c r="JB68" s="16"/>
      <c r="JC68" s="17"/>
      <c r="JE68" s="0" t="s">
        <v>267</v>
      </c>
      <c r="JF68" s="46" t="str">
        <f>IF(((JF40-JF39)*24)&gt;=6,(JF23-JF60)/(JF40-JF39),"")</f>
      </c>
      <c r="JG68" s="17"/>
      <c r="JH68" s="43"/>
      <c r="JI68" s="41"/>
      <c r="JJ68" s="16"/>
      <c r="JK68" s="16"/>
      <c r="JL68" s="44"/>
      <c r="JM68" s="16"/>
      <c r="JN68" s="17"/>
      <c r="JP68" s="0" t="s">
        <v>267</v>
      </c>
      <c r="JQ68" s="46" t="str">
        <f>IF(((JQ40-JQ39)*24)&gt;=6,(JQ23-JQ60)/(JQ40-JQ39),"")</f>
      </c>
      <c r="JR68" s="17"/>
      <c r="JS68" s="43"/>
      <c r="JT68" s="41"/>
      <c r="JU68" s="16"/>
      <c r="JV68" s="16"/>
      <c r="JW68" s="44"/>
      <c r="JX68" s="16"/>
      <c r="JY68" s="17"/>
      <c r="KA68" s="0" t="s">
        <v>267</v>
      </c>
      <c r="KB68" s="46" t="str">
        <f>IF(((KB40-KB39)*24)&gt;=6,(KB23-KB60)/(KB40-KB39),"")</f>
      </c>
      <c r="KC68" s="17"/>
      <c r="KD68" s="43"/>
      <c r="KE68" s="41"/>
      <c r="KF68" s="16"/>
      <c r="KG68" s="16"/>
      <c r="KH68" s="44"/>
      <c r="KI68" s="16"/>
      <c r="KJ68" s="17"/>
      <c r="KL68" s="0" t="s">
        <v>267</v>
      </c>
      <c r="KM68" s="46" t="str">
        <f>IF(((KM40-KM39)*24)&gt;=6,(KM23-KM60)/(KM40-KM39),"")</f>
      </c>
      <c r="KN68" s="17"/>
      <c r="KO68" s="43"/>
      <c r="KP68" s="41"/>
      <c r="KQ68" s="16"/>
      <c r="KR68" s="16"/>
      <c r="KS68" s="44"/>
      <c r="KT68" s="16"/>
      <c r="KU68" s="17"/>
      <c r="KW68" s="0" t="s">
        <v>267</v>
      </c>
      <c r="KX68" s="46" t="str">
        <f>IF(((KX40-KX39)*24)&gt;=6,(KX23-KX60)/(KX40-KX39),"")</f>
      </c>
      <c r="KY68" s="17"/>
      <c r="KZ68" s="43"/>
      <c r="LA68" s="41"/>
      <c r="LB68" s="16"/>
      <c r="LC68" s="16"/>
      <c r="LD68" s="44"/>
      <c r="LE68" s="16"/>
      <c r="LF68" s="17"/>
      <c r="LH68" s="0" t="s">
        <v>267</v>
      </c>
      <c r="LI68" s="46" t="str">
        <f>IF(((LI40-LI39)*24)&gt;=6,(LI23-LI60)/(LI40-LI39),"")</f>
      </c>
      <c r="LJ68" s="17"/>
      <c r="LK68" s="43"/>
      <c r="LL68" s="41"/>
      <c r="LM68" s="16"/>
      <c r="LN68" s="16"/>
      <c r="LO68" s="44"/>
      <c r="LP68" s="16"/>
      <c r="LQ68" s="17"/>
    </row>
    <row r="69">
      <c r="A69" s="0" t="s">
        <v>268</v>
      </c>
      <c r="B69" s="46" t="str">
        <f>IF(B40&lt;=B39, "", (B75/B68)*24)</f>
      </c>
      <c r="C69" s="63">
        <v>63</v>
      </c>
      <c r="D69" s="64">
        <v>22469</v>
      </c>
      <c r="E69" s="16" t="s">
        <v>20</v>
      </c>
      <c r="F69" s="16" t="s">
        <v>20</v>
      </c>
      <c r="G69" s="21" t="s">
        <v>20</v>
      </c>
      <c r="H69" s="16" t="s">
        <v>20</v>
      </c>
      <c r="I69" s="16" t="s">
        <v>20</v>
      </c>
      <c r="J69" s="17"/>
      <c r="L69" s="0" t="s">
        <v>268</v>
      </c>
      <c r="M69" s="46" t="str">
        <f>IF(M40&lt;=M39, "", (M75/M68)*24)</f>
      </c>
      <c r="N69" s="66"/>
      <c r="O69" s="64"/>
      <c r="P69" s="16"/>
      <c r="Q69" s="16"/>
      <c r="R69" s="16"/>
      <c r="S69" s="16"/>
      <c r="T69" s="16"/>
      <c r="U69" s="17"/>
      <c r="W69" s="0" t="s">
        <v>268</v>
      </c>
      <c r="X69" s="46" t="str">
        <f>IF(X40&lt;=X39, "", (X75/X68)*24)</f>
      </c>
      <c r="Y69" s="66">
        <v>63</v>
      </c>
      <c r="Z69" s="68">
        <v>21759</v>
      </c>
      <c r="AA69" s="41" t="s">
        <v>20</v>
      </c>
      <c r="AB69" s="16" t="s">
        <v>20</v>
      </c>
      <c r="AC69" s="16" t="s">
        <v>20</v>
      </c>
      <c r="AD69" s="44" t="s">
        <v>20</v>
      </c>
      <c r="AE69" s="16" t="s">
        <v>20</v>
      </c>
      <c r="AF69" s="17"/>
      <c r="AH69" s="0" t="s">
        <v>268</v>
      </c>
      <c r="AI69" s="46" t="str">
        <f>IF(AI40&lt;=AI39, "", (AI75/AI68)*24)</f>
      </c>
      <c r="AJ69" s="17">
        <v>63</v>
      </c>
      <c r="AK69" s="68">
        <v>21443</v>
      </c>
      <c r="AL69" s="41">
        <v>4.9999999999999964</v>
      </c>
      <c r="AM69" s="16">
        <v>19.999999997671694</v>
      </c>
      <c r="AN69" s="16" t="s">
        <v>20</v>
      </c>
      <c r="AO69" s="44">
        <v>4.5</v>
      </c>
      <c r="AP69" s="16">
        <v>3.7</v>
      </c>
      <c r="AQ69" s="17"/>
      <c r="AS69" s="0" t="s">
        <v>268</v>
      </c>
      <c r="AT69" s="46" t="str">
        <f>IF(AT40&lt;=AT39, "", (AT75/AT68)*24)</f>
      </c>
      <c r="AU69" s="17">
        <v>63</v>
      </c>
      <c r="AV69" s="68">
        <v>21077</v>
      </c>
      <c r="AW69" s="41" t="s">
        <v>20</v>
      </c>
      <c r="AX69" s="16" t="s">
        <v>20</v>
      </c>
      <c r="AY69" s="16"/>
      <c r="AZ69" s="44" t="s">
        <v>20</v>
      </c>
      <c r="BA69" s="16" t="s">
        <v>20</v>
      </c>
      <c r="BB69" s="17"/>
      <c r="BD69" s="0" t="s">
        <v>268</v>
      </c>
      <c r="BE69" s="46" t="str">
        <f>IF(BE40&lt;=BE39, "", (BE75/BE68)*24)</f>
      </c>
      <c r="BF69" s="17">
        <v>63</v>
      </c>
      <c r="BG69" s="68">
        <v>21591</v>
      </c>
      <c r="BH69" s="41" t="s">
        <v>20</v>
      </c>
      <c r="BI69" s="16" t="s">
        <v>20</v>
      </c>
      <c r="BJ69" s="16" t="s">
        <v>20</v>
      </c>
      <c r="BK69" s="44" t="s">
        <v>20</v>
      </c>
      <c r="BL69" s="16" t="s">
        <v>20</v>
      </c>
      <c r="BM69" s="17"/>
      <c r="BO69" s="0" t="s">
        <v>268</v>
      </c>
      <c r="BP69" s="46" t="str">
        <f>IF(BP40&lt;=BP39, "", (BP75/BP68)*24)</f>
      </c>
      <c r="BQ69" s="17">
        <v>63</v>
      </c>
      <c r="BR69" s="68">
        <v>21318</v>
      </c>
      <c r="BS69" s="41">
        <v>8.0000000000000071</v>
      </c>
      <c r="BT69" s="16">
        <v>14.999999994179234</v>
      </c>
      <c r="BU69" s="16" t="s">
        <v>20</v>
      </c>
      <c r="BV69" s="44">
        <v>4.75</v>
      </c>
      <c r="BW69" s="16">
        <v>3.3</v>
      </c>
      <c r="BX69" s="17"/>
      <c r="BZ69" s="0" t="s">
        <v>268</v>
      </c>
      <c r="CA69" s="46" t="str">
        <f>IF(CA40&lt;=CA39, "", (CA75/CA68)*24)</f>
      </c>
      <c r="CB69" s="17"/>
      <c r="CC69" s="68"/>
      <c r="CD69" s="41"/>
      <c r="CE69" s="16"/>
      <c r="CF69" s="16"/>
      <c r="CG69" s="44"/>
      <c r="CH69" s="16"/>
      <c r="CI69" s="17"/>
      <c r="CK69" s="0" t="s">
        <v>268</v>
      </c>
      <c r="CL69" s="46" t="str">
        <f>IF(CL40&lt;=CL39, "", (CL75/CL68)*24)</f>
      </c>
      <c r="CM69" s="17">
        <v>63</v>
      </c>
      <c r="CN69" s="68">
        <v>23022</v>
      </c>
      <c r="CO69" s="41">
        <v>8.0000000000000071</v>
      </c>
      <c r="CP69" s="16">
        <v>19.9999999969732</v>
      </c>
      <c r="CQ69" s="16">
        <v>500</v>
      </c>
      <c r="CR69" s="44">
        <v>5.1999999999999833</v>
      </c>
      <c r="CS69" s="16">
        <v>5</v>
      </c>
      <c r="CT69" s="17"/>
      <c r="CV69" s="0" t="s">
        <v>268</v>
      </c>
      <c r="CW69" s="46" t="str">
        <f>IF(CW40&lt;=CW39, "", (CW75/CW68)*24)</f>
      </c>
      <c r="CX69" s="17"/>
      <c r="CY69" s="43"/>
      <c r="CZ69" s="41"/>
      <c r="DA69" s="16"/>
      <c r="DB69" s="16"/>
      <c r="DC69" s="44"/>
      <c r="DD69" s="16"/>
      <c r="DE69" s="17"/>
      <c r="DG69" s="0" t="s">
        <v>268</v>
      </c>
      <c r="DH69" s="46" t="str">
        <f>IF(DH40&lt;=DH39, "", (DH75/DH68)*24)</f>
      </c>
      <c r="DI69" s="17">
        <v>63</v>
      </c>
      <c r="DJ69" s="43">
        <v>22146</v>
      </c>
      <c r="DK69" s="41" t="s">
        <v>20</v>
      </c>
      <c r="DL69" s="16" t="s">
        <v>20</v>
      </c>
      <c r="DM69" s="16" t="s">
        <v>20</v>
      </c>
      <c r="DN69" s="44" t="s">
        <v>20</v>
      </c>
      <c r="DO69" s="16" t="s">
        <v>20</v>
      </c>
      <c r="DP69" s="17"/>
      <c r="DR69" s="0" t="s">
        <v>268</v>
      </c>
      <c r="DS69" s="46" t="str">
        <f>IF(DS40&lt;=DS39, "", (DS75/DS68)*24)</f>
      </c>
      <c r="DT69" s="17"/>
      <c r="DU69" s="43"/>
      <c r="DV69" s="41"/>
      <c r="DW69" s="16"/>
      <c r="DX69" s="16"/>
      <c r="DY69" s="44"/>
      <c r="DZ69" s="16"/>
      <c r="EA69" s="17"/>
      <c r="EC69" s="0" t="s">
        <v>268</v>
      </c>
      <c r="ED69" s="46" t="str">
        <f>IF(ED40&lt;=ED39, "", (ED75/ED68)*24)</f>
      </c>
      <c r="EE69" s="17"/>
      <c r="EF69" s="43"/>
      <c r="EG69" s="41"/>
      <c r="EH69" s="16"/>
      <c r="EI69" s="16"/>
      <c r="EJ69" s="44"/>
      <c r="EK69" s="16"/>
      <c r="EL69" s="17"/>
      <c r="EN69" s="0" t="s">
        <v>268</v>
      </c>
      <c r="EO69" s="46" t="str">
        <f>IF(EO40&lt;=EO39, "", (EO75/EO68)*24)</f>
      </c>
      <c r="EP69" s="17">
        <v>63</v>
      </c>
      <c r="EQ69" s="43">
        <v>21579</v>
      </c>
      <c r="ER69" s="41">
        <v>2.0000000000000018</v>
      </c>
      <c r="ES69" s="16">
        <v>28.99999999627471</v>
      </c>
      <c r="ET69" s="16" t="s">
        <v>20</v>
      </c>
      <c r="EU69" s="44">
        <v>4</v>
      </c>
      <c r="EV69" s="16">
        <v>3.9</v>
      </c>
      <c r="EW69" s="17"/>
      <c r="EY69" s="0" t="s">
        <v>268</v>
      </c>
      <c r="EZ69" s="46" t="str">
        <f>IF(EZ40&lt;=EZ39, "", (EZ75/EZ68)*24)</f>
      </c>
      <c r="FA69" s="17">
        <v>63</v>
      </c>
      <c r="FB69" s="43">
        <v>23480</v>
      </c>
      <c r="FC69" s="41">
        <v>8.0000000000000071</v>
      </c>
      <c r="FD69" s="16">
        <v>19.000000004190952</v>
      </c>
      <c r="FE69" s="16" t="s">
        <v>20</v>
      </c>
      <c r="FF69" s="44">
        <v>5.5</v>
      </c>
      <c r="FG69" s="16">
        <v>5.5</v>
      </c>
      <c r="FH69" s="17"/>
      <c r="FJ69" s="0" t="s">
        <v>268</v>
      </c>
      <c r="FK69" s="46" t="str">
        <f>IF(FK40&lt;=FK39, "", (FK75/FK68)*24)</f>
      </c>
      <c r="FL69" s="17">
        <v>63</v>
      </c>
      <c r="FM69" s="43">
        <v>23255</v>
      </c>
      <c r="FN69" s="41" t="s">
        <v>20</v>
      </c>
      <c r="FO69" s="16" t="s">
        <v>20</v>
      </c>
      <c r="FP69" s="16" t="s">
        <v>20</v>
      </c>
      <c r="FQ69" s="44" t="s">
        <v>20</v>
      </c>
      <c r="FR69" s="16" t="s">
        <v>20</v>
      </c>
      <c r="FS69" s="17"/>
      <c r="FU69" s="0" t="s">
        <v>268</v>
      </c>
      <c r="FV69" s="46" t="str">
        <f>IF(FV40&lt;=FV39, "", (FV75/FV68)*24)</f>
      </c>
      <c r="FW69" s="17">
        <v>63</v>
      </c>
      <c r="FX69" s="43">
        <v>23503</v>
      </c>
      <c r="FY69" s="41" t="s">
        <v>20</v>
      </c>
      <c r="FZ69" s="16" t="s">
        <v>20</v>
      </c>
      <c r="GA69" s="16" t="s">
        <v>20</v>
      </c>
      <c r="GB69" s="44" t="s">
        <v>20</v>
      </c>
      <c r="GC69" s="16" t="s">
        <v>20</v>
      </c>
      <c r="GD69" s="17"/>
      <c r="GF69" s="0" t="s">
        <v>268</v>
      </c>
      <c r="GG69" s="46" t="str">
        <f>IF(GG40&lt;=GG39, "", (GG75/GG68)*24)</f>
      </c>
      <c r="GH69" s="17">
        <v>63</v>
      </c>
      <c r="GI69" s="43">
        <v>21754</v>
      </c>
      <c r="GJ69" s="41" t="s">
        <v>20</v>
      </c>
      <c r="GK69" s="16" t="s">
        <v>20</v>
      </c>
      <c r="GL69" s="16" t="s">
        <v>20</v>
      </c>
      <c r="GM69" s="44" t="s">
        <v>20</v>
      </c>
      <c r="GN69" s="16" t="s">
        <v>20</v>
      </c>
      <c r="GO69" s="17"/>
      <c r="GQ69" s="0" t="s">
        <v>268</v>
      </c>
      <c r="GR69" s="46" t="str">
        <f>IF(GR40&lt;=GR39, "", (GR75/GR68)*24)</f>
      </c>
      <c r="GS69" s="17"/>
      <c r="GT69" s="43"/>
      <c r="GU69" s="41"/>
      <c r="GV69" s="16"/>
      <c r="GW69" s="16"/>
      <c r="GX69" s="44"/>
      <c r="GY69" s="16"/>
      <c r="GZ69" s="17"/>
      <c r="HB69" s="0" t="s">
        <v>268</v>
      </c>
      <c r="HC69" s="46" t="str">
        <f>IF(HC40&lt;=HC39, "", (HC75/HC68)*24)</f>
      </c>
      <c r="HD69" s="17"/>
      <c r="HE69" s="43"/>
      <c r="HF69" s="41"/>
      <c r="HG69" s="16"/>
      <c r="HH69" s="16"/>
      <c r="HI69" s="44"/>
      <c r="HJ69" s="16"/>
      <c r="HK69" s="17"/>
      <c r="HM69" s="0" t="s">
        <v>268</v>
      </c>
      <c r="HN69" s="46" t="str">
        <f>IF(HN40&lt;=HN39, "", (HN75/HN68)*24)</f>
      </c>
      <c r="HO69" s="17"/>
      <c r="HP69" s="43"/>
      <c r="HQ69" s="41"/>
      <c r="HR69" s="16"/>
      <c r="HS69" s="16"/>
      <c r="HT69" s="44"/>
      <c r="HU69" s="16"/>
      <c r="HV69" s="17"/>
      <c r="HX69" s="0" t="s">
        <v>268</v>
      </c>
      <c r="HY69" s="46" t="str">
        <f>IF(HY40&lt;=HY39, "", (HY75/HY68)*24)</f>
      </c>
      <c r="HZ69" s="17"/>
      <c r="IA69" s="43"/>
      <c r="IB69" s="41"/>
      <c r="IC69" s="16"/>
      <c r="ID69" s="16"/>
      <c r="IE69" s="44"/>
      <c r="IF69" s="16"/>
      <c r="IG69" s="17"/>
      <c r="II69" s="0" t="s">
        <v>268</v>
      </c>
      <c r="IJ69" s="46" t="str">
        <f>IF(IJ40&lt;=IJ39, "", (IJ75/IJ68)*24)</f>
      </c>
      <c r="IK69" s="17"/>
      <c r="IL69" s="43"/>
      <c r="IM69" s="41"/>
      <c r="IN69" s="16"/>
      <c r="IO69" s="16"/>
      <c r="IP69" s="44"/>
      <c r="IQ69" s="16"/>
      <c r="IR69" s="17"/>
      <c r="IT69" s="0" t="s">
        <v>268</v>
      </c>
      <c r="IU69" s="46" t="str">
        <f>IF(IU40&lt;=IU39, "", (IU75/IU68)*24)</f>
      </c>
      <c r="IV69" s="17"/>
      <c r="IW69" s="43"/>
      <c r="IX69" s="41"/>
      <c r="IY69" s="16"/>
      <c r="IZ69" s="16"/>
      <c r="JA69" s="44"/>
      <c r="JB69" s="16"/>
      <c r="JC69" s="17"/>
      <c r="JE69" s="0" t="s">
        <v>268</v>
      </c>
      <c r="JF69" s="46" t="str">
        <f>IF(JF40&lt;=JF39, "", (JF75/JF68)*24)</f>
      </c>
      <c r="JG69" s="17"/>
      <c r="JH69" s="43"/>
      <c r="JI69" s="41"/>
      <c r="JJ69" s="16"/>
      <c r="JK69" s="16"/>
      <c r="JL69" s="44"/>
      <c r="JM69" s="16"/>
      <c r="JN69" s="17"/>
      <c r="JP69" s="0" t="s">
        <v>268</v>
      </c>
      <c r="JQ69" s="46" t="str">
        <f>IF(JQ40&lt;=JQ39, "", (JQ75/JQ68)*24)</f>
      </c>
      <c r="JR69" s="17"/>
      <c r="JS69" s="43"/>
      <c r="JT69" s="41"/>
      <c r="JU69" s="16"/>
      <c r="JV69" s="16"/>
      <c r="JW69" s="44"/>
      <c r="JX69" s="16"/>
      <c r="JY69" s="17"/>
      <c r="KA69" s="0" t="s">
        <v>268</v>
      </c>
      <c r="KB69" s="46" t="str">
        <f>IF(KB40&lt;=KB39, "", (KB75/KB68)*24)</f>
      </c>
      <c r="KC69" s="17"/>
      <c r="KD69" s="43"/>
      <c r="KE69" s="41"/>
      <c r="KF69" s="16"/>
      <c r="KG69" s="16"/>
      <c r="KH69" s="44"/>
      <c r="KI69" s="16"/>
      <c r="KJ69" s="17"/>
      <c r="KL69" s="0" t="s">
        <v>268</v>
      </c>
      <c r="KM69" s="46" t="str">
        <f>IF(KM40&lt;=KM39, "", (KM75/KM68)*24)</f>
      </c>
      <c r="KN69" s="17"/>
      <c r="KO69" s="43"/>
      <c r="KP69" s="41"/>
      <c r="KQ69" s="16"/>
      <c r="KR69" s="16"/>
      <c r="KS69" s="44"/>
      <c r="KT69" s="16"/>
      <c r="KU69" s="17"/>
      <c r="KW69" s="0" t="s">
        <v>268</v>
      </c>
      <c r="KX69" s="46" t="str">
        <f>IF(KX40&lt;=KX39, "", (KX75/KX68)*24)</f>
      </c>
      <c r="KY69" s="17"/>
      <c r="KZ69" s="43"/>
      <c r="LA69" s="41"/>
      <c r="LB69" s="16"/>
      <c r="LC69" s="16"/>
      <c r="LD69" s="44"/>
      <c r="LE69" s="16"/>
      <c r="LF69" s="17"/>
      <c r="LH69" s="0" t="s">
        <v>268</v>
      </c>
      <c r="LI69" s="46" t="str">
        <f>IF(LI40&lt;=LI39, "", (LI75/LI68)*24)</f>
      </c>
      <c r="LJ69" s="17"/>
      <c r="LK69" s="43"/>
      <c r="LL69" s="41"/>
      <c r="LM69" s="16"/>
      <c r="LN69" s="16"/>
      <c r="LO69" s="44"/>
      <c r="LP69" s="16"/>
      <c r="LQ69" s="17"/>
    </row>
    <row r="70">
      <c r="A70" s="0" t="s">
        <v>269</v>
      </c>
      <c r="B70" s="46" t="e">
        <f>(B75/B67)*24</f>
        <v>#N/A</v>
      </c>
      <c r="C70" s="63">
        <v>64</v>
      </c>
      <c r="D70" s="64">
        <v>22671</v>
      </c>
      <c r="E70" s="16" t="s">
        <v>20</v>
      </c>
      <c r="F70" s="16" t="s">
        <v>20</v>
      </c>
      <c r="G70" s="21" t="s">
        <v>20</v>
      </c>
      <c r="H70" s="16" t="s">
        <v>20</v>
      </c>
      <c r="I70" s="16" t="s">
        <v>20</v>
      </c>
      <c r="J70" s="17"/>
      <c r="L70" s="0" t="s">
        <v>269</v>
      </c>
      <c r="M70" s="46" t="e">
        <f>(M75/M67)*24</f>
        <v>#N/A</v>
      </c>
      <c r="N70" s="66"/>
      <c r="O70" s="64"/>
      <c r="P70" s="16"/>
      <c r="Q70" s="16"/>
      <c r="R70" s="16"/>
      <c r="S70" s="16"/>
      <c r="T70" s="16"/>
      <c r="U70" s="17"/>
      <c r="W70" s="0" t="s">
        <v>269</v>
      </c>
      <c r="X70" s="46" t="e">
        <f>(X75/X67)*24</f>
        <v>#N/A</v>
      </c>
      <c r="Y70" s="66">
        <v>64</v>
      </c>
      <c r="Z70" s="68">
        <v>21959</v>
      </c>
      <c r="AA70" s="41" t="s">
        <v>20</v>
      </c>
      <c r="AB70" s="16" t="s">
        <v>20</v>
      </c>
      <c r="AC70" s="16" t="s">
        <v>20</v>
      </c>
      <c r="AD70" s="44" t="s">
        <v>20</v>
      </c>
      <c r="AE70" s="16" t="s">
        <v>20</v>
      </c>
      <c r="AF70" s="17"/>
      <c r="AH70" s="0" t="s">
        <v>269</v>
      </c>
      <c r="AI70" s="46" t="e">
        <f>(AI75/AI67)*24</f>
        <v>#N/A</v>
      </c>
      <c r="AJ70" s="17">
        <v>64</v>
      </c>
      <c r="AK70" s="68">
        <v>21645</v>
      </c>
      <c r="AL70" s="41">
        <v>4.9999999999999964</v>
      </c>
      <c r="AM70" s="16">
        <v>10.000000006984919</v>
      </c>
      <c r="AN70" s="16" t="s">
        <v>20</v>
      </c>
      <c r="AO70" s="44">
        <v>4.5</v>
      </c>
      <c r="AP70" s="16">
        <v>3.7</v>
      </c>
      <c r="AQ70" s="17"/>
      <c r="AS70" s="0" t="s">
        <v>269</v>
      </c>
      <c r="AT70" s="46" t="e">
        <f>(AT75/AT67)*24</f>
        <v>#N/A</v>
      </c>
      <c r="AU70" s="17">
        <v>64</v>
      </c>
      <c r="AV70" s="68">
        <v>21278</v>
      </c>
      <c r="AW70" s="41" t="s">
        <v>20</v>
      </c>
      <c r="AX70" s="16" t="s">
        <v>20</v>
      </c>
      <c r="AY70" s="16"/>
      <c r="AZ70" s="44" t="s">
        <v>20</v>
      </c>
      <c r="BA70" s="16" t="s">
        <v>20</v>
      </c>
      <c r="BB70" s="17"/>
      <c r="BD70" s="0" t="s">
        <v>269</v>
      </c>
      <c r="BE70" s="46" t="e">
        <f>(BE75/BE67)*24</f>
        <v>#N/A</v>
      </c>
      <c r="BF70" s="17">
        <v>64</v>
      </c>
      <c r="BG70" s="68">
        <v>21792</v>
      </c>
      <c r="BH70" s="41" t="s">
        <v>20</v>
      </c>
      <c r="BI70" s="16" t="s">
        <v>20</v>
      </c>
      <c r="BJ70" s="16" t="s">
        <v>20</v>
      </c>
      <c r="BK70" s="44" t="s">
        <v>20</v>
      </c>
      <c r="BL70" s="16" t="s">
        <v>20</v>
      </c>
      <c r="BM70" s="17"/>
      <c r="BO70" s="0" t="s">
        <v>269</v>
      </c>
      <c r="BP70" s="46" t="e">
        <f>(BP75/BP67)*24</f>
        <v>#N/A</v>
      </c>
      <c r="BQ70" s="17">
        <v>64</v>
      </c>
      <c r="BR70" s="68">
        <v>21519</v>
      </c>
      <c r="BS70" s="41">
        <v>6.9999999999999991</v>
      </c>
      <c r="BT70" s="16">
        <v>16.000000001629815</v>
      </c>
      <c r="BU70" s="16" t="s">
        <v>20</v>
      </c>
      <c r="BV70" s="44">
        <v>4.75</v>
      </c>
      <c r="BW70" s="16">
        <v>2.9</v>
      </c>
      <c r="BX70" s="17"/>
      <c r="BZ70" s="0" t="s">
        <v>269</v>
      </c>
      <c r="CA70" s="46" t="e">
        <f>(CA75/CA67)*24</f>
        <v>#N/A</v>
      </c>
      <c r="CB70" s="17"/>
      <c r="CC70" s="68"/>
      <c r="CD70" s="41"/>
      <c r="CE70" s="16"/>
      <c r="CF70" s="16"/>
      <c r="CG70" s="44"/>
      <c r="CH70" s="16"/>
      <c r="CI70" s="17"/>
      <c r="CK70" s="0" t="s">
        <v>269</v>
      </c>
      <c r="CL70" s="46" t="e">
        <f>(CL75/CL67)*24</f>
        <v>#N/A</v>
      </c>
      <c r="CM70" s="17">
        <v>64</v>
      </c>
      <c r="CN70" s="68">
        <v>23225</v>
      </c>
      <c r="CO70" s="41">
        <v>6.9999999999999991</v>
      </c>
      <c r="CP70" s="16">
        <v>36.999999996740371</v>
      </c>
      <c r="CQ70" s="16">
        <v>500</v>
      </c>
      <c r="CR70" s="44">
        <v>5.1999999999999833</v>
      </c>
      <c r="CS70" s="16">
        <v>5</v>
      </c>
      <c r="CT70" s="17"/>
      <c r="CV70" s="0" t="s">
        <v>269</v>
      </c>
      <c r="CW70" s="46" t="e">
        <f>(CW75/CW67)*24</f>
        <v>#N/A</v>
      </c>
      <c r="CX70" s="17"/>
      <c r="CY70" s="43"/>
      <c r="CZ70" s="41"/>
      <c r="DA70" s="16"/>
      <c r="DB70" s="16"/>
      <c r="DC70" s="44"/>
      <c r="DD70" s="16"/>
      <c r="DE70" s="17"/>
      <c r="DG70" s="0" t="s">
        <v>269</v>
      </c>
      <c r="DH70" s="46" t="e">
        <f>(DH75/DH67)*24</f>
        <v>#N/A</v>
      </c>
      <c r="DI70" s="17">
        <v>64</v>
      </c>
      <c r="DJ70" s="43">
        <v>22348</v>
      </c>
      <c r="DK70" s="41" t="s">
        <v>20</v>
      </c>
      <c r="DL70" s="16" t="s">
        <v>20</v>
      </c>
      <c r="DM70" s="16" t="s">
        <v>20</v>
      </c>
      <c r="DN70" s="44" t="s">
        <v>20</v>
      </c>
      <c r="DO70" s="16" t="s">
        <v>20</v>
      </c>
      <c r="DP70" s="17"/>
      <c r="DR70" s="0" t="s">
        <v>269</v>
      </c>
      <c r="DS70" s="46" t="e">
        <f>(DS75/DS67)*24</f>
        <v>#N/A</v>
      </c>
      <c r="DT70" s="17"/>
      <c r="DU70" s="43"/>
      <c r="DV70" s="41"/>
      <c r="DW70" s="16"/>
      <c r="DX70" s="16"/>
      <c r="DY70" s="44"/>
      <c r="DZ70" s="16"/>
      <c r="EA70" s="17"/>
      <c r="EC70" s="0" t="s">
        <v>269</v>
      </c>
      <c r="ED70" s="46" t="e">
        <f>(ED75/ED67)*24</f>
        <v>#N/A</v>
      </c>
      <c r="EE70" s="17"/>
      <c r="EF70" s="43"/>
      <c r="EG70" s="41"/>
      <c r="EH70" s="16"/>
      <c r="EI70" s="16"/>
      <c r="EJ70" s="44"/>
      <c r="EK70" s="16"/>
      <c r="EL70" s="17"/>
      <c r="EN70" s="0" t="s">
        <v>269</v>
      </c>
      <c r="EO70" s="46" t="e">
        <f>(EO75/EO67)*24</f>
        <v>#N/A</v>
      </c>
      <c r="EP70" s="17">
        <v>64</v>
      </c>
      <c r="EQ70" s="43">
        <v>21781</v>
      </c>
      <c r="ER70" s="41">
        <v>4.9999999999999964</v>
      </c>
      <c r="ES70" s="16">
        <v>40</v>
      </c>
      <c r="ET70" s="16" t="s">
        <v>20</v>
      </c>
      <c r="EU70" s="44">
        <v>4</v>
      </c>
      <c r="EV70" s="16">
        <v>4</v>
      </c>
      <c r="EW70" s="17"/>
      <c r="EY70" s="0" t="s">
        <v>269</v>
      </c>
      <c r="EZ70" s="46" t="e">
        <f>(EZ75/EZ67)*24</f>
        <v>#N/A</v>
      </c>
      <c r="FA70" s="17">
        <v>64</v>
      </c>
      <c r="FB70" s="43">
        <v>23681</v>
      </c>
      <c r="FC70" s="41">
        <v>9.9999999999999929</v>
      </c>
      <c r="FD70" s="16">
        <v>13.000000001629815</v>
      </c>
      <c r="FE70" s="16" t="s">
        <v>20</v>
      </c>
      <c r="FF70" s="44">
        <v>5.5</v>
      </c>
      <c r="FG70" s="16">
        <v>5.5</v>
      </c>
      <c r="FH70" s="17"/>
      <c r="FJ70" s="0" t="s">
        <v>269</v>
      </c>
      <c r="FK70" s="46" t="e">
        <f>(FK75/FK67)*24</f>
        <v>#N/A</v>
      </c>
      <c r="FL70" s="17">
        <v>64</v>
      </c>
      <c r="FM70" s="43">
        <v>23454</v>
      </c>
      <c r="FN70" s="41" t="s">
        <v>20</v>
      </c>
      <c r="FO70" s="16" t="s">
        <v>20</v>
      </c>
      <c r="FP70" s="16" t="s">
        <v>20</v>
      </c>
      <c r="FQ70" s="44" t="s">
        <v>20</v>
      </c>
      <c r="FR70" s="16" t="s">
        <v>20</v>
      </c>
      <c r="FS70" s="17"/>
      <c r="FU70" s="0" t="s">
        <v>269</v>
      </c>
      <c r="FV70" s="46" t="e">
        <f>(FV75/FV67)*24</f>
        <v>#N/A</v>
      </c>
      <c r="FW70" s="17">
        <v>64</v>
      </c>
      <c r="FX70" s="43">
        <v>23744</v>
      </c>
      <c r="FY70" s="41" t="s">
        <v>20</v>
      </c>
      <c r="FZ70" s="16" t="s">
        <v>20</v>
      </c>
      <c r="GA70" s="16" t="s">
        <v>20</v>
      </c>
      <c r="GB70" s="44" t="s">
        <v>20</v>
      </c>
      <c r="GC70" s="16" t="s">
        <v>20</v>
      </c>
      <c r="GD70" s="17"/>
      <c r="GF70" s="0" t="s">
        <v>269</v>
      </c>
      <c r="GG70" s="46" t="e">
        <f>(GG75/GG67)*24</f>
        <v>#N/A</v>
      </c>
      <c r="GH70" s="17">
        <v>64</v>
      </c>
      <c r="GI70" s="43">
        <v>21956</v>
      </c>
      <c r="GJ70" s="41" t="s">
        <v>20</v>
      </c>
      <c r="GK70" s="16" t="s">
        <v>20</v>
      </c>
      <c r="GL70" s="16" t="s">
        <v>20</v>
      </c>
      <c r="GM70" s="44" t="s">
        <v>20</v>
      </c>
      <c r="GN70" s="16" t="s">
        <v>20</v>
      </c>
      <c r="GO70" s="17"/>
      <c r="GQ70" s="0" t="s">
        <v>269</v>
      </c>
      <c r="GR70" s="46" t="e">
        <f>(GR75/GR67)*24</f>
        <v>#N/A</v>
      </c>
      <c r="GS70" s="17"/>
      <c r="GT70" s="43"/>
      <c r="GU70" s="41"/>
      <c r="GV70" s="16"/>
      <c r="GW70" s="16"/>
      <c r="GX70" s="44"/>
      <c r="GY70" s="16"/>
      <c r="GZ70" s="17"/>
      <c r="HB70" s="0" t="s">
        <v>269</v>
      </c>
      <c r="HC70" s="46" t="e">
        <f>(HC75/HC67)*24</f>
        <v>#N/A</v>
      </c>
      <c r="HD70" s="17"/>
      <c r="HE70" s="43"/>
      <c r="HF70" s="41"/>
      <c r="HG70" s="16"/>
      <c r="HH70" s="16"/>
      <c r="HI70" s="44"/>
      <c r="HJ70" s="16"/>
      <c r="HK70" s="17"/>
      <c r="HM70" s="0" t="s">
        <v>269</v>
      </c>
      <c r="HN70" s="46" t="e">
        <f>(HN75/HN67)*24</f>
        <v>#N/A</v>
      </c>
      <c r="HO70" s="17"/>
      <c r="HP70" s="43"/>
      <c r="HQ70" s="41"/>
      <c r="HR70" s="16"/>
      <c r="HS70" s="16"/>
      <c r="HT70" s="44"/>
      <c r="HU70" s="16"/>
      <c r="HV70" s="17"/>
      <c r="HX70" s="0" t="s">
        <v>269</v>
      </c>
      <c r="HY70" s="46" t="e">
        <f>(HY75/HY67)*24</f>
        <v>#N/A</v>
      </c>
      <c r="HZ70" s="17"/>
      <c r="IA70" s="43"/>
      <c r="IB70" s="41"/>
      <c r="IC70" s="16"/>
      <c r="ID70" s="16"/>
      <c r="IE70" s="44"/>
      <c r="IF70" s="16"/>
      <c r="IG70" s="17"/>
      <c r="II70" s="0" t="s">
        <v>269</v>
      </c>
      <c r="IJ70" s="46" t="e">
        <f>(IJ75/IJ67)*24</f>
        <v>#N/A</v>
      </c>
      <c r="IK70" s="17"/>
      <c r="IL70" s="43"/>
      <c r="IM70" s="41"/>
      <c r="IN70" s="16"/>
      <c r="IO70" s="16"/>
      <c r="IP70" s="44"/>
      <c r="IQ70" s="16"/>
      <c r="IR70" s="17"/>
      <c r="IT70" s="0" t="s">
        <v>269</v>
      </c>
      <c r="IU70" s="46" t="e">
        <f>(IU75/IU67)*24</f>
        <v>#N/A</v>
      </c>
      <c r="IV70" s="17"/>
      <c r="IW70" s="43"/>
      <c r="IX70" s="41"/>
      <c r="IY70" s="16"/>
      <c r="IZ70" s="16"/>
      <c r="JA70" s="44"/>
      <c r="JB70" s="16"/>
      <c r="JC70" s="17"/>
      <c r="JE70" s="0" t="s">
        <v>269</v>
      </c>
      <c r="JF70" s="46" t="e">
        <f>(JF75/JF67)*24</f>
        <v>#N/A</v>
      </c>
      <c r="JG70" s="17"/>
      <c r="JH70" s="43"/>
      <c r="JI70" s="41"/>
      <c r="JJ70" s="16"/>
      <c r="JK70" s="16"/>
      <c r="JL70" s="44"/>
      <c r="JM70" s="16"/>
      <c r="JN70" s="17"/>
      <c r="JP70" s="0" t="s">
        <v>269</v>
      </c>
      <c r="JQ70" s="46" t="e">
        <f>(JQ75/JQ67)*24</f>
        <v>#N/A</v>
      </c>
      <c r="JR70" s="17"/>
      <c r="JS70" s="43"/>
      <c r="JT70" s="41"/>
      <c r="JU70" s="16"/>
      <c r="JV70" s="16"/>
      <c r="JW70" s="44"/>
      <c r="JX70" s="16"/>
      <c r="JY70" s="17"/>
      <c r="KA70" s="0" t="s">
        <v>269</v>
      </c>
      <c r="KB70" s="46" t="e">
        <f>(KB75/KB67)*24</f>
        <v>#N/A</v>
      </c>
      <c r="KC70" s="17"/>
      <c r="KD70" s="43"/>
      <c r="KE70" s="41"/>
      <c r="KF70" s="16"/>
      <c r="KG70" s="16"/>
      <c r="KH70" s="44"/>
      <c r="KI70" s="16"/>
      <c r="KJ70" s="17"/>
      <c r="KL70" s="0" t="s">
        <v>269</v>
      </c>
      <c r="KM70" s="46" t="e">
        <f>(KM75/KM67)*24</f>
        <v>#N/A</v>
      </c>
      <c r="KN70" s="17"/>
      <c r="KO70" s="43"/>
      <c r="KP70" s="41"/>
      <c r="KQ70" s="16"/>
      <c r="KR70" s="16"/>
      <c r="KS70" s="44"/>
      <c r="KT70" s="16"/>
      <c r="KU70" s="17"/>
      <c r="KW70" s="0" t="s">
        <v>269</v>
      </c>
      <c r="KX70" s="46" t="e">
        <f>(KX75/KX67)*24</f>
        <v>#N/A</v>
      </c>
      <c r="KY70" s="17"/>
      <c r="KZ70" s="43"/>
      <c r="LA70" s="41"/>
      <c r="LB70" s="16"/>
      <c r="LC70" s="16"/>
      <c r="LD70" s="44"/>
      <c r="LE70" s="16"/>
      <c r="LF70" s="17"/>
      <c r="LH70" s="0" t="s">
        <v>269</v>
      </c>
      <c r="LI70" s="46" t="e">
        <f>(LI75/LI67)*24</f>
        <v>#N/A</v>
      </c>
      <c r="LJ70" s="17"/>
      <c r="LK70" s="43"/>
      <c r="LL70" s="41"/>
      <c r="LM70" s="16"/>
      <c r="LN70" s="16"/>
      <c r="LO70" s="44"/>
      <c r="LP70" s="16"/>
      <c r="LQ70" s="17"/>
    </row>
    <row r="71">
      <c r="A71" s="0" t="s">
        <v>270</v>
      </c>
      <c r="B71" s="46" t="e">
        <f>IF(OFFSET('Target Attainment'!$O$2,B61,0)="ft",B84/B85,B85)</f>
        <v>#N/A</v>
      </c>
      <c r="C71" s="63">
        <v>65</v>
      </c>
      <c r="D71" s="64">
        <v>22874</v>
      </c>
      <c r="E71" s="16" t="s">
        <v>20</v>
      </c>
      <c r="F71" s="16" t="s">
        <v>20</v>
      </c>
      <c r="G71" s="21" t="s">
        <v>20</v>
      </c>
      <c r="H71" s="16" t="s">
        <v>20</v>
      </c>
      <c r="I71" s="16" t="s">
        <v>20</v>
      </c>
      <c r="J71" s="17"/>
      <c r="L71" s="0" t="s">
        <v>270</v>
      </c>
      <c r="M71" s="46" t="e">
        <f>IF(OFFSET('Target Attainment'!$O$2,M61,0)="ft",M84/M85,M85)</f>
        <v>#N/A</v>
      </c>
      <c r="N71" s="66"/>
      <c r="O71" s="64"/>
      <c r="P71" s="16"/>
      <c r="Q71" s="16"/>
      <c r="R71" s="16"/>
      <c r="S71" s="16"/>
      <c r="T71" s="16"/>
      <c r="U71" s="17"/>
      <c r="W71" s="0" t="s">
        <v>270</v>
      </c>
      <c r="X71" s="46" t="e">
        <f>IF(OFFSET('Target Attainment'!$O$2,X61,0)="ft",X84/X85,X85)</f>
        <v>#N/A</v>
      </c>
      <c r="Y71" s="66">
        <v>65</v>
      </c>
      <c r="Z71" s="68">
        <v>22160</v>
      </c>
      <c r="AA71" s="41" t="s">
        <v>20</v>
      </c>
      <c r="AB71" s="16" t="s">
        <v>20</v>
      </c>
      <c r="AC71" s="16" t="s">
        <v>20</v>
      </c>
      <c r="AD71" s="44" t="s">
        <v>20</v>
      </c>
      <c r="AE71" s="16" t="s">
        <v>20</v>
      </c>
      <c r="AF71" s="17"/>
      <c r="AH71" s="0" t="s">
        <v>270</v>
      </c>
      <c r="AI71" s="46" t="e">
        <f>IF(OFFSET('Target Attainment'!$O$2,AI61,0)="ft",AI84/AI85,AI85)</f>
        <v>#N/A</v>
      </c>
      <c r="AJ71" s="17">
        <v>65</v>
      </c>
      <c r="AK71" s="68">
        <v>21846</v>
      </c>
      <c r="AL71" s="41">
        <v>4.9999999999999964</v>
      </c>
      <c r="AM71" s="16">
        <v>13.999999994412065</v>
      </c>
      <c r="AN71" s="16" t="s">
        <v>20</v>
      </c>
      <c r="AO71" s="44">
        <v>4.5</v>
      </c>
      <c r="AP71" s="16">
        <v>3.7</v>
      </c>
      <c r="AQ71" s="17"/>
      <c r="AS71" s="0" t="s">
        <v>270</v>
      </c>
      <c r="AT71" s="46" t="e">
        <f>IF(OFFSET('Target Attainment'!$O$2,AT61,0)="ft",AT84/AT85,AT85)</f>
        <v>#N/A</v>
      </c>
      <c r="AU71" s="17">
        <v>65</v>
      </c>
      <c r="AV71" s="68">
        <v>21479</v>
      </c>
      <c r="AW71" s="41" t="s">
        <v>20</v>
      </c>
      <c r="AX71" s="16" t="s">
        <v>20</v>
      </c>
      <c r="AY71" s="16"/>
      <c r="AZ71" s="44" t="s">
        <v>20</v>
      </c>
      <c r="BA71" s="16" t="s">
        <v>20</v>
      </c>
      <c r="BB71" s="17"/>
      <c r="BD71" s="0" t="s">
        <v>270</v>
      </c>
      <c r="BE71" s="46" t="e">
        <f>IF(OFFSET('Target Attainment'!$O$2,BE61,0)="ft",BE84/BE85,BE85)</f>
        <v>#N/A</v>
      </c>
      <c r="BF71" s="17">
        <v>65</v>
      </c>
      <c r="BG71" s="68">
        <v>21994</v>
      </c>
      <c r="BH71" s="41" t="s">
        <v>20</v>
      </c>
      <c r="BI71" s="16" t="s">
        <v>20</v>
      </c>
      <c r="BJ71" s="16" t="s">
        <v>20</v>
      </c>
      <c r="BK71" s="44" t="s">
        <v>20</v>
      </c>
      <c r="BL71" s="16" t="s">
        <v>20</v>
      </c>
      <c r="BM71" s="17"/>
      <c r="BO71" s="0" t="s">
        <v>270</v>
      </c>
      <c r="BP71" s="46" t="e">
        <f>IF(OFFSET('Target Attainment'!$O$2,BP61,0)="ft",BP84/BP85,BP85)</f>
        <v>#N/A</v>
      </c>
      <c r="BQ71" s="17">
        <v>65</v>
      </c>
      <c r="BR71" s="68">
        <v>21719</v>
      </c>
      <c r="BS71" s="41">
        <v>4.9999999999999964</v>
      </c>
      <c r="BT71" s="16">
        <v>22.000000004190952</v>
      </c>
      <c r="BU71" s="16" t="s">
        <v>20</v>
      </c>
      <c r="BV71" s="44">
        <v>4.75</v>
      </c>
      <c r="BW71" s="16">
        <v>2.9</v>
      </c>
      <c r="BX71" s="17"/>
      <c r="BZ71" s="0" t="s">
        <v>270</v>
      </c>
      <c r="CA71" s="46" t="e">
        <f>IF(OFFSET('Target Attainment'!$O$2,CA61,0)="ft",CA84/CA85,CA85)</f>
        <v>#N/A</v>
      </c>
      <c r="CB71" s="17"/>
      <c r="CC71" s="68"/>
      <c r="CD71" s="41"/>
      <c r="CE71" s="16"/>
      <c r="CF71" s="16"/>
      <c r="CG71" s="44"/>
      <c r="CH71" s="16"/>
      <c r="CI71" s="17"/>
      <c r="CK71" s="0" t="s">
        <v>270</v>
      </c>
      <c r="CL71" s="46" t="e">
        <f>IF(OFFSET('Target Attainment'!$O$2,CL61,0)="ft",CL84/CL85,CL85)</f>
        <v>#N/A</v>
      </c>
      <c r="CM71" s="17">
        <v>65</v>
      </c>
      <c r="CN71" s="68">
        <v>23427</v>
      </c>
      <c r="CO71" s="41">
        <v>8.0000000000000071</v>
      </c>
      <c r="CP71" s="16">
        <v>37</v>
      </c>
      <c r="CQ71" s="16">
        <v>500</v>
      </c>
      <c r="CR71" s="44">
        <v>5.1999999999999833</v>
      </c>
      <c r="CS71" s="16">
        <v>5</v>
      </c>
      <c r="CT71" s="17"/>
      <c r="CV71" s="0" t="s">
        <v>270</v>
      </c>
      <c r="CW71" s="46" t="e">
        <f>IF(OFFSET('Target Attainment'!$O$2,CW61,0)="ft",CW84/CW85,CW85)</f>
        <v>#N/A</v>
      </c>
      <c r="CX71" s="17"/>
      <c r="CY71" s="43"/>
      <c r="CZ71" s="41"/>
      <c r="DA71" s="16"/>
      <c r="DB71" s="16"/>
      <c r="DC71" s="44"/>
      <c r="DD71" s="16"/>
      <c r="DE71" s="17"/>
      <c r="DG71" s="0" t="s">
        <v>270</v>
      </c>
      <c r="DH71" s="46" t="e">
        <f>IF(OFFSET('Target Attainment'!$O$2,DH61,0)="ft",DH84/DH85,DH85)</f>
        <v>#N/A</v>
      </c>
      <c r="DI71" s="17">
        <v>65</v>
      </c>
      <c r="DJ71" s="43">
        <v>22549</v>
      </c>
      <c r="DK71" s="41" t="s">
        <v>20</v>
      </c>
      <c r="DL71" s="16" t="s">
        <v>20</v>
      </c>
      <c r="DM71" s="16" t="s">
        <v>20</v>
      </c>
      <c r="DN71" s="44" t="s">
        <v>20</v>
      </c>
      <c r="DO71" s="16" t="s">
        <v>20</v>
      </c>
      <c r="DP71" s="17"/>
      <c r="DR71" s="0" t="s">
        <v>270</v>
      </c>
      <c r="DS71" s="46" t="e">
        <f>IF(OFFSET('Target Attainment'!$O$2,DS61,0)="ft",DS84/DS85,DS85)</f>
        <v>#N/A</v>
      </c>
      <c r="DT71" s="17"/>
      <c r="DU71" s="43"/>
      <c r="DV71" s="41"/>
      <c r="DW71" s="16"/>
      <c r="DX71" s="16"/>
      <c r="DY71" s="44"/>
      <c r="DZ71" s="16"/>
      <c r="EA71" s="17"/>
      <c r="EC71" s="0" t="s">
        <v>270</v>
      </c>
      <c r="ED71" s="46" t="e">
        <f>IF(OFFSET('Target Attainment'!$O$2,ED61,0)="ft",ED84/ED85,ED85)</f>
        <v>#N/A</v>
      </c>
      <c r="EE71" s="17"/>
      <c r="EF71" s="43"/>
      <c r="EG71" s="41"/>
      <c r="EH71" s="16"/>
      <c r="EI71" s="16"/>
      <c r="EJ71" s="44"/>
      <c r="EK71" s="16"/>
      <c r="EL71" s="17"/>
      <c r="EN71" s="0" t="s">
        <v>270</v>
      </c>
      <c r="EO71" s="46" t="e">
        <f>IF(OFFSET('Target Attainment'!$O$2,EO61,0)="ft",EO84/EO85,EO85)</f>
        <v>#N/A</v>
      </c>
      <c r="EP71" s="17">
        <v>65</v>
      </c>
      <c r="EQ71" s="43">
        <v>21983</v>
      </c>
      <c r="ER71" s="41" t="s">
        <v>20</v>
      </c>
      <c r="ES71" s="16" t="s">
        <v>20</v>
      </c>
      <c r="ET71" s="16" t="s">
        <v>20</v>
      </c>
      <c r="EU71" s="44" t="s">
        <v>20</v>
      </c>
      <c r="EV71" s="16" t="s">
        <v>20</v>
      </c>
      <c r="EW71" s="17"/>
      <c r="EY71" s="0" t="s">
        <v>270</v>
      </c>
      <c r="EZ71" s="46" t="e">
        <f>IF(OFFSET('Target Attainment'!$O$2,EZ61,0)="ft",EZ84/EZ85,EZ85)</f>
        <v>#N/A</v>
      </c>
      <c r="FA71" s="17">
        <v>65</v>
      </c>
      <c r="FB71" s="43">
        <v>23882</v>
      </c>
      <c r="FC71" s="41">
        <v>6.0000000000000053</v>
      </c>
      <c r="FD71" s="16">
        <v>23.999999993015081</v>
      </c>
      <c r="FE71" s="16" t="s">
        <v>20</v>
      </c>
      <c r="FF71" s="44">
        <v>5.5</v>
      </c>
      <c r="FG71" s="16">
        <v>5.5</v>
      </c>
      <c r="FH71" s="17"/>
      <c r="FJ71" s="0" t="s">
        <v>270</v>
      </c>
      <c r="FK71" s="46" t="e">
        <f>IF(OFFSET('Target Attainment'!$O$2,FK61,0)="ft",FK84/FK85,FK85)</f>
        <v>#N/A</v>
      </c>
      <c r="FL71" s="17">
        <v>65</v>
      </c>
      <c r="FM71" s="43">
        <v>23653</v>
      </c>
      <c r="FN71" s="41" t="s">
        <v>20</v>
      </c>
      <c r="FO71" s="16" t="s">
        <v>20</v>
      </c>
      <c r="FP71" s="16" t="s">
        <v>20</v>
      </c>
      <c r="FQ71" s="44" t="s">
        <v>20</v>
      </c>
      <c r="FR71" s="16" t="s">
        <v>20</v>
      </c>
      <c r="FS71" s="17"/>
      <c r="FU71" s="0" t="s">
        <v>270</v>
      </c>
      <c r="FV71" s="46" t="e">
        <f>IF(OFFSET('Target Attainment'!$O$2,FV61,0)="ft",FV84/FV85,FV85)</f>
        <v>#N/A</v>
      </c>
      <c r="FW71" s="17">
        <v>65</v>
      </c>
      <c r="FX71" s="43">
        <v>23985</v>
      </c>
      <c r="FY71" s="41" t="s">
        <v>20</v>
      </c>
      <c r="FZ71" s="16" t="s">
        <v>20</v>
      </c>
      <c r="GA71" s="16" t="s">
        <v>20</v>
      </c>
      <c r="GB71" s="44" t="s">
        <v>20</v>
      </c>
      <c r="GC71" s="16" t="s">
        <v>20</v>
      </c>
      <c r="GD71" s="17"/>
      <c r="GF71" s="0" t="s">
        <v>270</v>
      </c>
      <c r="GG71" s="46" t="e">
        <f>IF(OFFSET('Target Attainment'!$O$2,GG61,0)="ft",GG84/GG85,GG85)</f>
        <v>#N/A</v>
      </c>
      <c r="GH71" s="17">
        <v>65</v>
      </c>
      <c r="GI71" s="43">
        <v>22359</v>
      </c>
      <c r="GJ71" s="41" t="s">
        <v>20</v>
      </c>
      <c r="GK71" s="16" t="s">
        <v>20</v>
      </c>
      <c r="GL71" s="16" t="s">
        <v>20</v>
      </c>
      <c r="GM71" s="44" t="s">
        <v>20</v>
      </c>
      <c r="GN71" s="16" t="s">
        <v>20</v>
      </c>
      <c r="GO71" s="17"/>
      <c r="GQ71" s="0" t="s">
        <v>270</v>
      </c>
      <c r="GR71" s="46" t="e">
        <f>IF(OFFSET('Target Attainment'!$O$2,GR61,0)="ft",GR84/GR85,GR85)</f>
        <v>#N/A</v>
      </c>
      <c r="GS71" s="17"/>
      <c r="GT71" s="43"/>
      <c r="GU71" s="41"/>
      <c r="GV71" s="16"/>
      <c r="GW71" s="16"/>
      <c r="GX71" s="44"/>
      <c r="GY71" s="16"/>
      <c r="GZ71" s="17"/>
      <c r="HB71" s="0" t="s">
        <v>270</v>
      </c>
      <c r="HC71" s="46" t="e">
        <f>IF(OFFSET('Target Attainment'!$O$2,HC61,0)="ft",HC84/HC85,HC85)</f>
        <v>#N/A</v>
      </c>
      <c r="HD71" s="17"/>
      <c r="HE71" s="43"/>
      <c r="HF71" s="41"/>
      <c r="HG71" s="16"/>
      <c r="HH71" s="16"/>
      <c r="HI71" s="44"/>
      <c r="HJ71" s="16"/>
      <c r="HK71" s="17"/>
      <c r="HM71" s="0" t="s">
        <v>270</v>
      </c>
      <c r="HN71" s="46" t="e">
        <f>IF(OFFSET('Target Attainment'!$O$2,HN61,0)="ft",HN84/HN85,HN85)</f>
        <v>#N/A</v>
      </c>
      <c r="HO71" s="17"/>
      <c r="HP71" s="43"/>
      <c r="HQ71" s="41"/>
      <c r="HR71" s="16"/>
      <c r="HS71" s="16"/>
      <c r="HT71" s="44"/>
      <c r="HU71" s="16"/>
      <c r="HV71" s="17"/>
      <c r="HX71" s="0" t="s">
        <v>270</v>
      </c>
      <c r="HY71" s="46" t="e">
        <f>IF(OFFSET('Target Attainment'!$O$2,HY61,0)="ft",HY84/HY85,HY85)</f>
        <v>#N/A</v>
      </c>
      <c r="HZ71" s="17"/>
      <c r="IA71" s="43"/>
      <c r="IB71" s="41"/>
      <c r="IC71" s="16"/>
      <c r="ID71" s="16"/>
      <c r="IE71" s="44"/>
      <c r="IF71" s="16"/>
      <c r="IG71" s="17"/>
      <c r="II71" s="0" t="s">
        <v>270</v>
      </c>
      <c r="IJ71" s="46" t="e">
        <f>IF(OFFSET('Target Attainment'!$O$2,IJ61,0)="ft",IJ84/IJ85,IJ85)</f>
        <v>#N/A</v>
      </c>
      <c r="IK71" s="17"/>
      <c r="IL71" s="43"/>
      <c r="IM71" s="41"/>
      <c r="IN71" s="16"/>
      <c r="IO71" s="16"/>
      <c r="IP71" s="44"/>
      <c r="IQ71" s="16"/>
      <c r="IR71" s="17"/>
      <c r="IT71" s="0" t="s">
        <v>270</v>
      </c>
      <c r="IU71" s="46" t="e">
        <f>IF(OFFSET('Target Attainment'!$O$2,IU61,0)="ft",IU84/IU85,IU85)</f>
        <v>#N/A</v>
      </c>
      <c r="IV71" s="17"/>
      <c r="IW71" s="43"/>
      <c r="IX71" s="41"/>
      <c r="IY71" s="16"/>
      <c r="IZ71" s="16"/>
      <c r="JA71" s="44"/>
      <c r="JB71" s="16"/>
      <c r="JC71" s="17"/>
      <c r="JE71" s="0" t="s">
        <v>270</v>
      </c>
      <c r="JF71" s="46" t="e">
        <f>IF(OFFSET('Target Attainment'!$O$2,JF61,0)="ft",JF84/JF85,JF85)</f>
        <v>#N/A</v>
      </c>
      <c r="JG71" s="17"/>
      <c r="JH71" s="43"/>
      <c r="JI71" s="41"/>
      <c r="JJ71" s="16"/>
      <c r="JK71" s="16"/>
      <c r="JL71" s="44"/>
      <c r="JM71" s="16"/>
      <c r="JN71" s="17"/>
      <c r="JP71" s="0" t="s">
        <v>270</v>
      </c>
      <c r="JQ71" s="46" t="e">
        <f>IF(OFFSET('Target Attainment'!$O$2,JQ61,0)="ft",JQ84/JQ85,JQ85)</f>
        <v>#N/A</v>
      </c>
      <c r="JR71" s="17"/>
      <c r="JS71" s="43"/>
      <c r="JT71" s="41"/>
      <c r="JU71" s="16"/>
      <c r="JV71" s="16"/>
      <c r="JW71" s="44"/>
      <c r="JX71" s="16"/>
      <c r="JY71" s="17"/>
      <c r="KA71" s="0" t="s">
        <v>270</v>
      </c>
      <c r="KB71" s="46" t="e">
        <f>IF(OFFSET('Target Attainment'!$O$2,KB61,0)="ft",KB84/KB85,KB85)</f>
        <v>#N/A</v>
      </c>
      <c r="KC71" s="17"/>
      <c r="KD71" s="43"/>
      <c r="KE71" s="41"/>
      <c r="KF71" s="16"/>
      <c r="KG71" s="16"/>
      <c r="KH71" s="44"/>
      <c r="KI71" s="16"/>
      <c r="KJ71" s="17"/>
      <c r="KL71" s="0" t="s">
        <v>270</v>
      </c>
      <c r="KM71" s="46" t="e">
        <f>IF(OFFSET('Target Attainment'!$O$2,KM61,0)="ft",KM84/KM85,KM85)</f>
        <v>#N/A</v>
      </c>
      <c r="KN71" s="17"/>
      <c r="KO71" s="43"/>
      <c r="KP71" s="41"/>
      <c r="KQ71" s="16"/>
      <c r="KR71" s="16"/>
      <c r="KS71" s="44"/>
      <c r="KT71" s="16"/>
      <c r="KU71" s="17"/>
      <c r="KW71" s="0" t="s">
        <v>270</v>
      </c>
      <c r="KX71" s="46" t="e">
        <f>IF(OFFSET('Target Attainment'!$O$2,KX61,0)="ft",KX84/KX85,KX85)</f>
        <v>#N/A</v>
      </c>
      <c r="KY71" s="17"/>
      <c r="KZ71" s="43"/>
      <c r="LA71" s="41"/>
      <c r="LB71" s="16"/>
      <c r="LC71" s="16"/>
      <c r="LD71" s="44"/>
      <c r="LE71" s="16"/>
      <c r="LF71" s="17"/>
      <c r="LH71" s="0" t="s">
        <v>270</v>
      </c>
      <c r="LI71" s="46" t="e">
        <f>IF(OFFSET('Target Attainment'!$O$2,LI61,0)="ft",LI84/LI85,LI85)</f>
        <v>#N/A</v>
      </c>
      <c r="LJ71" s="17"/>
      <c r="LK71" s="43"/>
      <c r="LL71" s="41"/>
      <c r="LM71" s="16"/>
      <c r="LN71" s="16"/>
      <c r="LO71" s="44"/>
      <c r="LP71" s="16"/>
      <c r="LQ71" s="17"/>
    </row>
    <row r="72">
      <c r="A72" s="0" t="s">
        <v>271</v>
      </c>
      <c r="B72" s="46" t="str">
        <f>IF(B42="", "", (B42-B41)*24)</f>
      </c>
      <c r="C72" s="63">
        <v>66</v>
      </c>
      <c r="D72" s="64">
        <v>23076</v>
      </c>
      <c r="E72" s="16" t="s">
        <v>20</v>
      </c>
      <c r="F72" s="16" t="s">
        <v>20</v>
      </c>
      <c r="G72" s="21" t="s">
        <v>20</v>
      </c>
      <c r="H72" s="16" t="s">
        <v>20</v>
      </c>
      <c r="I72" s="16" t="s">
        <v>20</v>
      </c>
      <c r="J72" s="17"/>
      <c r="L72" s="0" t="s">
        <v>271</v>
      </c>
      <c r="M72" s="46" t="str">
        <f>IF(M42="", "", (M42-M41)*24)</f>
      </c>
      <c r="N72" s="66"/>
      <c r="O72" s="64"/>
      <c r="P72" s="16"/>
      <c r="Q72" s="16"/>
      <c r="R72" s="16"/>
      <c r="S72" s="16"/>
      <c r="T72" s="16"/>
      <c r="U72" s="17"/>
      <c r="W72" s="0" t="s">
        <v>271</v>
      </c>
      <c r="X72" s="46" t="str">
        <f>IF(X42="", "", (X42-X41)*24)</f>
      </c>
      <c r="Y72" s="66">
        <v>66</v>
      </c>
      <c r="Z72" s="68">
        <v>22360</v>
      </c>
      <c r="AA72" s="41" t="s">
        <v>20</v>
      </c>
      <c r="AB72" s="16" t="s">
        <v>20</v>
      </c>
      <c r="AC72" s="16" t="s">
        <v>20</v>
      </c>
      <c r="AD72" s="44" t="s">
        <v>20</v>
      </c>
      <c r="AE72" s="16" t="s">
        <v>20</v>
      </c>
      <c r="AF72" s="17"/>
      <c r="AH72" s="0" t="s">
        <v>271</v>
      </c>
      <c r="AI72" s="46" t="str">
        <f>IF(AI42="", "", (AI42-AI41)*24)</f>
      </c>
      <c r="AJ72" s="17">
        <v>66</v>
      </c>
      <c r="AK72" s="68">
        <v>22048</v>
      </c>
      <c r="AL72" s="41">
        <v>6.0000000000000053</v>
      </c>
      <c r="AM72" s="16">
        <v>14.000000002328306</v>
      </c>
      <c r="AN72" s="16" t="s">
        <v>20</v>
      </c>
      <c r="AO72" s="44">
        <v>4.5</v>
      </c>
      <c r="AP72" s="16">
        <v>4</v>
      </c>
      <c r="AQ72" s="17"/>
      <c r="AS72" s="0" t="s">
        <v>271</v>
      </c>
      <c r="AT72" s="46" t="str">
        <f>IF(AT42="", "", (AT42-AT41)*24)</f>
      </c>
      <c r="AU72" s="17">
        <v>66</v>
      </c>
      <c r="AV72" s="68">
        <v>21680</v>
      </c>
      <c r="AW72" s="41" t="s">
        <v>20</v>
      </c>
      <c r="AX72" s="16" t="s">
        <v>20</v>
      </c>
      <c r="AY72" s="16"/>
      <c r="AZ72" s="44" t="s">
        <v>20</v>
      </c>
      <c r="BA72" s="16" t="s">
        <v>20</v>
      </c>
      <c r="BB72" s="17"/>
      <c r="BD72" s="0" t="s">
        <v>271</v>
      </c>
      <c r="BE72" s="46" t="str">
        <f>IF(BE42="", "", (BE42-BE41)*24)</f>
      </c>
      <c r="BF72" s="17">
        <v>66</v>
      </c>
      <c r="BG72" s="68">
        <v>22195</v>
      </c>
      <c r="BH72" s="41" t="s">
        <v>20</v>
      </c>
      <c r="BI72" s="16" t="s">
        <v>20</v>
      </c>
      <c r="BJ72" s="16" t="s">
        <v>20</v>
      </c>
      <c r="BK72" s="44" t="s">
        <v>20</v>
      </c>
      <c r="BL72" s="16" t="s">
        <v>20</v>
      </c>
      <c r="BM72" s="17"/>
      <c r="BO72" s="0" t="s">
        <v>271</v>
      </c>
      <c r="BP72" s="46" t="str">
        <f>IF(BP42="", "", (BP42-BP41)*24)</f>
      </c>
      <c r="BQ72" s="17">
        <v>66</v>
      </c>
      <c r="BR72" s="68">
        <v>21919</v>
      </c>
      <c r="BS72" s="41">
        <v>8.0000000000000071</v>
      </c>
      <c r="BT72" s="16">
        <v>25.000000002793968</v>
      </c>
      <c r="BU72" s="16" t="s">
        <v>20</v>
      </c>
      <c r="BV72" s="44">
        <v>4.75</v>
      </c>
      <c r="BW72" s="16">
        <v>2.8</v>
      </c>
      <c r="BX72" s="17"/>
      <c r="BZ72" s="0" t="s">
        <v>271</v>
      </c>
      <c r="CA72" s="46" t="str">
        <f>IF(CA42="", "", (CA42-CA41)*24)</f>
      </c>
      <c r="CB72" s="17"/>
      <c r="CC72" s="68"/>
      <c r="CD72" s="41"/>
      <c r="CE72" s="16"/>
      <c r="CF72" s="16"/>
      <c r="CG72" s="44"/>
      <c r="CH72" s="16"/>
      <c r="CI72" s="17"/>
      <c r="CK72" s="0" t="s">
        <v>271</v>
      </c>
      <c r="CL72" s="46" t="str">
        <f>IF(CL42="", "", (CL42-CL41)*24)</f>
      </c>
      <c r="CM72" s="17">
        <v>66</v>
      </c>
      <c r="CN72" s="68">
        <v>23629</v>
      </c>
      <c r="CO72" s="41" t="s">
        <v>20</v>
      </c>
      <c r="CP72" s="16" t="s">
        <v>20</v>
      </c>
      <c r="CQ72" s="16" t="s">
        <v>20</v>
      </c>
      <c r="CR72" s="44" t="s">
        <v>20</v>
      </c>
      <c r="CS72" s="16" t="s">
        <v>20</v>
      </c>
      <c r="CT72" s="17"/>
      <c r="CV72" s="0" t="s">
        <v>271</v>
      </c>
      <c r="CW72" s="46" t="str">
        <f>IF(CW42="", "", (CW42-CW41)*24)</f>
      </c>
      <c r="CX72" s="17"/>
      <c r="CY72" s="43"/>
      <c r="CZ72" s="41"/>
      <c r="DA72" s="16"/>
      <c r="DB72" s="16"/>
      <c r="DC72" s="44"/>
      <c r="DD72" s="16"/>
      <c r="DE72" s="17"/>
      <c r="DG72" s="0" t="s">
        <v>271</v>
      </c>
      <c r="DH72" s="46" t="str">
        <f>IF(DH42="", "", (DH42-DH41)*24)</f>
      </c>
      <c r="DI72" s="17">
        <v>66</v>
      </c>
      <c r="DJ72" s="43">
        <v>22750</v>
      </c>
      <c r="DK72" s="41" t="s">
        <v>20</v>
      </c>
      <c r="DL72" s="16" t="s">
        <v>20</v>
      </c>
      <c r="DM72" s="16" t="s">
        <v>20</v>
      </c>
      <c r="DN72" s="44" t="s">
        <v>20</v>
      </c>
      <c r="DO72" s="16" t="s">
        <v>20</v>
      </c>
      <c r="DP72" s="17"/>
      <c r="DR72" s="0" t="s">
        <v>271</v>
      </c>
      <c r="DS72" s="46" t="str">
        <f>IF(DS42="", "", (DS42-DS41)*24)</f>
      </c>
      <c r="DT72" s="17"/>
      <c r="DU72" s="43"/>
      <c r="DV72" s="41"/>
      <c r="DW72" s="16"/>
      <c r="DX72" s="16"/>
      <c r="DY72" s="44"/>
      <c r="DZ72" s="16"/>
      <c r="EA72" s="17"/>
      <c r="EC72" s="0" t="s">
        <v>271</v>
      </c>
      <c r="ED72" s="46" t="str">
        <f>IF(ED42="", "", (ED42-ED41)*24)</f>
      </c>
      <c r="EE72" s="17"/>
      <c r="EF72" s="43"/>
      <c r="EG72" s="41"/>
      <c r="EH72" s="16"/>
      <c r="EI72" s="16"/>
      <c r="EJ72" s="44"/>
      <c r="EK72" s="16"/>
      <c r="EL72" s="17"/>
      <c r="EN72" s="0" t="s">
        <v>271</v>
      </c>
      <c r="EO72" s="46" t="str">
        <f>IF(EO42="", "", (EO42-EO41)*24)</f>
      </c>
      <c r="EP72" s="17">
        <v>66</v>
      </c>
      <c r="EQ72" s="43">
        <v>22185</v>
      </c>
      <c r="ER72" s="41" t="s">
        <v>20</v>
      </c>
      <c r="ES72" s="16" t="s">
        <v>20</v>
      </c>
      <c r="ET72" s="16" t="s">
        <v>20</v>
      </c>
      <c r="EU72" s="44" t="s">
        <v>20</v>
      </c>
      <c r="EV72" s="16" t="s">
        <v>20</v>
      </c>
      <c r="EW72" s="17"/>
      <c r="EY72" s="0" t="s">
        <v>271</v>
      </c>
      <c r="EZ72" s="46" t="str">
        <f>IF(EZ42="", "", (EZ42-EZ41)*24)</f>
      </c>
      <c r="FA72" s="17">
        <v>66</v>
      </c>
      <c r="FB72" s="43">
        <v>24082</v>
      </c>
      <c r="FC72" s="41">
        <v>9</v>
      </c>
      <c r="FD72" s="16">
        <v>38.000000006519258</v>
      </c>
      <c r="FE72" s="16" t="s">
        <v>20</v>
      </c>
      <c r="FF72" s="44">
        <v>5.5</v>
      </c>
      <c r="FG72" s="16">
        <v>5.5</v>
      </c>
      <c r="FH72" s="17"/>
      <c r="FJ72" s="0" t="s">
        <v>271</v>
      </c>
      <c r="FK72" s="46" t="str">
        <f>IF(FK42="", "", (FK42-FK41)*24)</f>
      </c>
      <c r="FL72" s="17">
        <v>66</v>
      </c>
      <c r="FM72" s="43">
        <v>23852</v>
      </c>
      <c r="FN72" s="41" t="s">
        <v>20</v>
      </c>
      <c r="FO72" s="16" t="s">
        <v>20</v>
      </c>
      <c r="FP72" s="16" t="s">
        <v>20</v>
      </c>
      <c r="FQ72" s="44" t="s">
        <v>20</v>
      </c>
      <c r="FR72" s="16" t="s">
        <v>20</v>
      </c>
      <c r="FS72" s="17"/>
      <c r="FU72" s="0" t="s">
        <v>271</v>
      </c>
      <c r="FV72" s="46" t="str">
        <f>IF(FV42="", "", (FV42-FV41)*24)</f>
      </c>
      <c r="FW72" s="17">
        <v>66</v>
      </c>
      <c r="FX72" s="43">
        <v>24226</v>
      </c>
      <c r="FY72" s="41" t="s">
        <v>20</v>
      </c>
      <c r="FZ72" s="16" t="s">
        <v>20</v>
      </c>
      <c r="GA72" s="16" t="s">
        <v>20</v>
      </c>
      <c r="GB72" s="44" t="s">
        <v>20</v>
      </c>
      <c r="GC72" s="16" t="s">
        <v>20</v>
      </c>
      <c r="GD72" s="17"/>
      <c r="GF72" s="0" t="s">
        <v>271</v>
      </c>
      <c r="GG72" s="46" t="str">
        <f>IF(GG42="", "", (GG42-GG41)*24)</f>
      </c>
      <c r="GH72" s="17">
        <v>66</v>
      </c>
      <c r="GI72" s="43">
        <v>22157</v>
      </c>
      <c r="GJ72" s="41" t="s">
        <v>20</v>
      </c>
      <c r="GK72" s="16" t="s">
        <v>20</v>
      </c>
      <c r="GL72" s="16" t="s">
        <v>20</v>
      </c>
      <c r="GM72" s="44" t="s">
        <v>20</v>
      </c>
      <c r="GN72" s="16" t="s">
        <v>20</v>
      </c>
      <c r="GO72" s="17"/>
      <c r="GQ72" s="0" t="s">
        <v>271</v>
      </c>
      <c r="GR72" s="46" t="str">
        <f>IF(GR42="", "", (GR42-GR41)*24)</f>
      </c>
      <c r="GS72" s="17"/>
      <c r="GT72" s="43"/>
      <c r="GU72" s="41"/>
      <c r="GV72" s="16"/>
      <c r="GW72" s="16"/>
      <c r="GX72" s="44"/>
      <c r="GY72" s="16"/>
      <c r="GZ72" s="17"/>
      <c r="HB72" s="0" t="s">
        <v>271</v>
      </c>
      <c r="HC72" s="46" t="str">
        <f>IF(HC42="", "", (HC42-HC41)*24)</f>
      </c>
      <c r="HD72" s="17"/>
      <c r="HE72" s="43"/>
      <c r="HF72" s="41"/>
      <c r="HG72" s="16"/>
      <c r="HH72" s="16"/>
      <c r="HI72" s="44"/>
      <c r="HJ72" s="16"/>
      <c r="HK72" s="17"/>
      <c r="HM72" s="0" t="s">
        <v>271</v>
      </c>
      <c r="HN72" s="46" t="str">
        <f>IF(HN42="", "", (HN42-HN41)*24)</f>
      </c>
      <c r="HO72" s="17"/>
      <c r="HP72" s="43"/>
      <c r="HQ72" s="41"/>
      <c r="HR72" s="16"/>
      <c r="HS72" s="16"/>
      <c r="HT72" s="44"/>
      <c r="HU72" s="16"/>
      <c r="HV72" s="17"/>
      <c r="HX72" s="0" t="s">
        <v>271</v>
      </c>
      <c r="HY72" s="46" t="str">
        <f>IF(HY42="", "", (HY42-HY41)*24)</f>
      </c>
      <c r="HZ72" s="17"/>
      <c r="IA72" s="43"/>
      <c r="IB72" s="41"/>
      <c r="IC72" s="16"/>
      <c r="ID72" s="16"/>
      <c r="IE72" s="44"/>
      <c r="IF72" s="16"/>
      <c r="IG72" s="17"/>
      <c r="II72" s="0" t="s">
        <v>271</v>
      </c>
      <c r="IJ72" s="46" t="str">
        <f>IF(IJ42="", "", (IJ42-IJ41)*24)</f>
      </c>
      <c r="IK72" s="17"/>
      <c r="IL72" s="43"/>
      <c r="IM72" s="41"/>
      <c r="IN72" s="16"/>
      <c r="IO72" s="16"/>
      <c r="IP72" s="44"/>
      <c r="IQ72" s="16"/>
      <c r="IR72" s="17"/>
      <c r="IT72" s="0" t="s">
        <v>271</v>
      </c>
      <c r="IU72" s="46" t="str">
        <f>IF(IU42="", "", (IU42-IU41)*24)</f>
      </c>
      <c r="IV72" s="17"/>
      <c r="IW72" s="43"/>
      <c r="IX72" s="41"/>
      <c r="IY72" s="16"/>
      <c r="IZ72" s="16"/>
      <c r="JA72" s="44"/>
      <c r="JB72" s="16"/>
      <c r="JC72" s="17"/>
      <c r="JE72" s="0" t="s">
        <v>271</v>
      </c>
      <c r="JF72" s="46" t="str">
        <f>IF(JF42="", "", (JF42-JF41)*24)</f>
      </c>
      <c r="JG72" s="17"/>
      <c r="JH72" s="43"/>
      <c r="JI72" s="41"/>
      <c r="JJ72" s="16"/>
      <c r="JK72" s="16"/>
      <c r="JL72" s="44"/>
      <c r="JM72" s="16"/>
      <c r="JN72" s="17"/>
      <c r="JP72" s="0" t="s">
        <v>271</v>
      </c>
      <c r="JQ72" s="46" t="str">
        <f>IF(JQ42="", "", (JQ42-JQ41)*24)</f>
      </c>
      <c r="JR72" s="17"/>
      <c r="JS72" s="43"/>
      <c r="JT72" s="41"/>
      <c r="JU72" s="16"/>
      <c r="JV72" s="16"/>
      <c r="JW72" s="44"/>
      <c r="JX72" s="16"/>
      <c r="JY72" s="17"/>
      <c r="KA72" s="0" t="s">
        <v>271</v>
      </c>
      <c r="KB72" s="46" t="str">
        <f>IF(KB42="", "", (KB42-KB41)*24)</f>
      </c>
      <c r="KC72" s="17"/>
      <c r="KD72" s="43"/>
      <c r="KE72" s="41"/>
      <c r="KF72" s="16"/>
      <c r="KG72" s="16"/>
      <c r="KH72" s="44"/>
      <c r="KI72" s="16"/>
      <c r="KJ72" s="17"/>
      <c r="KL72" s="0" t="s">
        <v>271</v>
      </c>
      <c r="KM72" s="46" t="str">
        <f>IF(KM42="", "", (KM42-KM41)*24)</f>
      </c>
      <c r="KN72" s="17"/>
      <c r="KO72" s="43"/>
      <c r="KP72" s="41"/>
      <c r="KQ72" s="16"/>
      <c r="KR72" s="16"/>
      <c r="KS72" s="44"/>
      <c r="KT72" s="16"/>
      <c r="KU72" s="17"/>
      <c r="KW72" s="0" t="s">
        <v>271</v>
      </c>
      <c r="KX72" s="46" t="str">
        <f>IF(KX42="", "", (KX42-KX41)*24)</f>
      </c>
      <c r="KY72" s="17"/>
      <c r="KZ72" s="43"/>
      <c r="LA72" s="41"/>
      <c r="LB72" s="16"/>
      <c r="LC72" s="16"/>
      <c r="LD72" s="44"/>
      <c r="LE72" s="16"/>
      <c r="LF72" s="17"/>
      <c r="LH72" s="0" t="s">
        <v>271</v>
      </c>
      <c r="LI72" s="46" t="str">
        <f>IF(LI42="", "", (LI42-LI41)*24)</f>
      </c>
      <c r="LJ72" s="17"/>
      <c r="LK72" s="43"/>
      <c r="LL72" s="41"/>
      <c r="LM72" s="16"/>
      <c r="LN72" s="16"/>
      <c r="LO72" s="44"/>
      <c r="LP72" s="16"/>
      <c r="LQ72" s="17"/>
    </row>
    <row r="73">
      <c r="A73" s="0" t="s">
        <v>272</v>
      </c>
      <c r="B73" s="46" t="str">
        <f>IF(ISBLANK(OFFSET('Target Attainment'!$X$2,B64,0)), "", OFFSET('Target Attainment'!$X$2,B64,0))</f>
      </c>
      <c r="C73" s="63">
        <v>67</v>
      </c>
      <c r="D73" s="64">
        <v>23278</v>
      </c>
      <c r="E73" s="16" t="s">
        <v>20</v>
      </c>
      <c r="F73" s="16" t="s">
        <v>20</v>
      </c>
      <c r="G73" s="21" t="s">
        <v>20</v>
      </c>
      <c r="H73" s="16" t="s">
        <v>20</v>
      </c>
      <c r="I73" s="16" t="s">
        <v>20</v>
      </c>
      <c r="J73" s="17"/>
      <c r="L73" s="0" t="s">
        <v>272</v>
      </c>
      <c r="M73" s="46" t="str">
        <f>IF(ISBLANK(OFFSET('Target Attainment'!$X$2,M64,0)), "", OFFSET('Target Attainment'!$X$2,M64,0))</f>
      </c>
      <c r="N73" s="17"/>
      <c r="O73" s="64"/>
      <c r="P73" s="16"/>
      <c r="Q73" s="16"/>
      <c r="R73" s="16"/>
      <c r="S73" s="16"/>
      <c r="T73" s="16"/>
      <c r="U73" s="17"/>
      <c r="W73" s="0" t="s">
        <v>272</v>
      </c>
      <c r="X73" s="46" t="str">
        <f>IF(ISBLANK(OFFSET('Target Attainment'!$X$2,X64,0)), "", OFFSET('Target Attainment'!$X$2,X64,0))</f>
      </c>
      <c r="Y73" s="66">
        <v>67</v>
      </c>
      <c r="Z73" s="64">
        <v>22561</v>
      </c>
      <c r="AA73" s="16" t="s">
        <v>20</v>
      </c>
      <c r="AB73" s="16" t="s">
        <v>20</v>
      </c>
      <c r="AC73" s="16" t="s">
        <v>20</v>
      </c>
      <c r="AD73" s="16" t="s">
        <v>20</v>
      </c>
      <c r="AE73" s="16" t="s">
        <v>20</v>
      </c>
      <c r="AF73" s="17"/>
      <c r="AH73" s="0" t="s">
        <v>272</v>
      </c>
      <c r="AI73" s="46" t="str">
        <f>IF(ISBLANK(OFFSET('Target Attainment'!$X$2,AI64,0)), "", OFFSET('Target Attainment'!$X$2,AI64,0))</f>
      </c>
      <c r="AJ73" s="17">
        <v>67</v>
      </c>
      <c r="AK73" s="64">
        <v>22250</v>
      </c>
      <c r="AL73" s="16">
        <v>6.0000000000000053</v>
      </c>
      <c r="AM73" s="16">
        <v>11.000000003026798</v>
      </c>
      <c r="AN73" s="16" t="s">
        <v>20</v>
      </c>
      <c r="AO73" s="16">
        <v>4.5</v>
      </c>
      <c r="AP73" s="16">
        <v>3.9</v>
      </c>
      <c r="AQ73" s="17"/>
      <c r="AS73" s="0" t="s">
        <v>272</v>
      </c>
      <c r="AT73" s="46" t="str">
        <f>IF(ISBLANK(OFFSET('Target Attainment'!$X$2,AT64,0)), "", OFFSET('Target Attainment'!$X$2,AT64,0))</f>
      </c>
      <c r="AU73" s="17">
        <v>67</v>
      </c>
      <c r="AV73" s="64">
        <v>21882</v>
      </c>
      <c r="AW73" s="16" t="s">
        <v>20</v>
      </c>
      <c r="AX73" s="16" t="s">
        <v>20</v>
      </c>
      <c r="AY73" s="16"/>
      <c r="AZ73" s="16" t="s">
        <v>20</v>
      </c>
      <c r="BA73" s="16" t="s">
        <v>20</v>
      </c>
      <c r="BB73" s="17"/>
      <c r="BD73" s="0" t="s">
        <v>272</v>
      </c>
      <c r="BE73" s="46" t="str">
        <f>IF(ISBLANK(OFFSET('Target Attainment'!$X$2,BE64,0)), "", OFFSET('Target Attainment'!$X$2,BE64,0))</f>
      </c>
      <c r="BF73" s="17">
        <v>67</v>
      </c>
      <c r="BG73" s="64">
        <v>22397</v>
      </c>
      <c r="BH73" s="16" t="s">
        <v>20</v>
      </c>
      <c r="BI73" s="16" t="s">
        <v>20</v>
      </c>
      <c r="BJ73" s="16" t="s">
        <v>20</v>
      </c>
      <c r="BK73" s="16" t="s">
        <v>20</v>
      </c>
      <c r="BL73" s="16" t="s">
        <v>20</v>
      </c>
      <c r="BM73" s="17"/>
      <c r="BO73" s="0" t="s">
        <v>272</v>
      </c>
      <c r="BP73" s="46" t="str">
        <f>IF(ISBLANK(OFFSET('Target Attainment'!$X$2,BP64,0)), "", OFFSET('Target Attainment'!$X$2,BP64,0))</f>
      </c>
      <c r="BQ73" s="17">
        <v>67</v>
      </c>
      <c r="BR73" s="64">
        <v>22120</v>
      </c>
      <c r="BS73" s="16">
        <v>4.9999999999999964</v>
      </c>
      <c r="BT73" s="16">
        <v>33.999999990919605</v>
      </c>
      <c r="BU73" s="16" t="s">
        <v>20</v>
      </c>
      <c r="BV73" s="16">
        <v>4.75</v>
      </c>
      <c r="BW73" s="16">
        <v>2.7</v>
      </c>
      <c r="BX73" s="17"/>
      <c r="BZ73" s="0" t="s">
        <v>272</v>
      </c>
      <c r="CA73" s="46" t="str">
        <f>IF(ISBLANK(OFFSET('Target Attainment'!$X$2,CA64,0)), "", OFFSET('Target Attainment'!$X$2,CA64,0))</f>
      </c>
      <c r="CB73" s="17"/>
      <c r="CC73" s="64"/>
      <c r="CD73" s="16"/>
      <c r="CE73" s="16"/>
      <c r="CF73" s="16"/>
      <c r="CG73" s="16"/>
      <c r="CH73" s="16"/>
      <c r="CI73" s="17"/>
      <c r="CK73" s="0" t="s">
        <v>272</v>
      </c>
      <c r="CL73" s="46" t="str">
        <f>IF(ISBLANK(OFFSET('Target Attainment'!$X$2,CL64,0)), "", OFFSET('Target Attainment'!$X$2,CL64,0))</f>
      </c>
      <c r="CM73" s="17">
        <v>67</v>
      </c>
      <c r="CN73" s="64">
        <v>23832</v>
      </c>
      <c r="CO73" s="16" t="s">
        <v>20</v>
      </c>
      <c r="CP73" s="16" t="s">
        <v>20</v>
      </c>
      <c r="CQ73" s="16" t="s">
        <v>20</v>
      </c>
      <c r="CR73" s="16" t="s">
        <v>20</v>
      </c>
      <c r="CS73" s="16" t="s">
        <v>20</v>
      </c>
      <c r="CT73" s="17"/>
      <c r="CV73" s="0" t="s">
        <v>272</v>
      </c>
      <c r="CW73" s="46" t="str">
        <f>IF(ISBLANK(OFFSET('Target Attainment'!$X$2,CW64,0)), "", OFFSET('Target Attainment'!$X$2,CW64,0))</f>
      </c>
      <c r="CX73" s="17"/>
      <c r="CY73" s="59"/>
      <c r="CZ73" s="16"/>
      <c r="DA73" s="16"/>
      <c r="DB73" s="16"/>
      <c r="DC73" s="16"/>
      <c r="DD73" s="16"/>
      <c r="DE73" s="17"/>
      <c r="DG73" s="0" t="s">
        <v>272</v>
      </c>
      <c r="DH73" s="46" t="str">
        <f>IF(ISBLANK(OFFSET('Target Attainment'!$X$2,DH64,0)), "", OFFSET('Target Attainment'!$X$2,DH64,0))</f>
      </c>
      <c r="DI73" s="17">
        <v>67</v>
      </c>
      <c r="DJ73" s="59">
        <v>22952</v>
      </c>
      <c r="DK73" s="16" t="s">
        <v>20</v>
      </c>
      <c r="DL73" s="16" t="s">
        <v>20</v>
      </c>
      <c r="DM73" s="16" t="s">
        <v>20</v>
      </c>
      <c r="DN73" s="16" t="s">
        <v>20</v>
      </c>
      <c r="DO73" s="16" t="s">
        <v>20</v>
      </c>
      <c r="DP73" s="17"/>
      <c r="DR73" s="0" t="s">
        <v>272</v>
      </c>
      <c r="DS73" s="46" t="str">
        <f>IF(ISBLANK(OFFSET('Target Attainment'!$X$2,DS64,0)), "", OFFSET('Target Attainment'!$X$2,DS64,0))</f>
      </c>
      <c r="DT73" s="17"/>
      <c r="DU73" s="59"/>
      <c r="DV73" s="16"/>
      <c r="DW73" s="16"/>
      <c r="DX73" s="16"/>
      <c r="DY73" s="16"/>
      <c r="DZ73" s="16"/>
      <c r="EA73" s="17"/>
      <c r="EC73" s="0" t="s">
        <v>272</v>
      </c>
      <c r="ED73" s="46" t="str">
        <f>IF(ISBLANK(OFFSET('Target Attainment'!$X$2,ED64,0)), "", OFFSET('Target Attainment'!$X$2,ED64,0))</f>
      </c>
      <c r="EE73" s="17"/>
      <c r="EF73" s="59"/>
      <c r="EG73" s="16"/>
      <c r="EH73" s="16"/>
      <c r="EI73" s="16"/>
      <c r="EJ73" s="16"/>
      <c r="EK73" s="16"/>
      <c r="EL73" s="17"/>
      <c r="EN73" s="0" t="s">
        <v>272</v>
      </c>
      <c r="EO73" s="46" t="str">
        <f>IF(ISBLANK(OFFSET('Target Attainment'!$X$2,EO64,0)), "", OFFSET('Target Attainment'!$X$2,EO64,0))</f>
      </c>
      <c r="EP73" s="17">
        <v>67</v>
      </c>
      <c r="EQ73" s="59">
        <v>22387</v>
      </c>
      <c r="ER73" s="16" t="s">
        <v>20</v>
      </c>
      <c r="ES73" s="16" t="s">
        <v>20</v>
      </c>
      <c r="ET73" s="16" t="s">
        <v>20</v>
      </c>
      <c r="EU73" s="16" t="s">
        <v>20</v>
      </c>
      <c r="EV73" s="16" t="s">
        <v>20</v>
      </c>
      <c r="EW73" s="17"/>
      <c r="EY73" s="0" t="s">
        <v>272</v>
      </c>
      <c r="EZ73" s="46" t="str">
        <f>IF(ISBLANK(OFFSET('Target Attainment'!$X$2,EZ64,0)), "", OFFSET('Target Attainment'!$X$2,EZ64,0))</f>
      </c>
      <c r="FA73" s="17">
        <v>67</v>
      </c>
      <c r="FB73" s="59">
        <v>24282</v>
      </c>
      <c r="FC73" s="16">
        <v>8.0000000000000071</v>
      </c>
      <c r="FD73" s="16">
        <v>18.999999993713573</v>
      </c>
      <c r="FE73" s="16" t="s">
        <v>20</v>
      </c>
      <c r="FF73" s="16">
        <v>5.5</v>
      </c>
      <c r="FG73" s="16">
        <v>5.4</v>
      </c>
      <c r="FH73" s="17"/>
      <c r="FJ73" s="0" t="s">
        <v>272</v>
      </c>
      <c r="FK73" s="46" t="str">
        <f>IF(ISBLANK(OFFSET('Target Attainment'!$X$2,FK64,0)), "", OFFSET('Target Attainment'!$X$2,FK64,0))</f>
      </c>
      <c r="FL73" s="17">
        <v>67</v>
      </c>
      <c r="FM73" s="59">
        <v>24050</v>
      </c>
      <c r="FN73" s="16" t="s">
        <v>20</v>
      </c>
      <c r="FO73" s="16" t="s">
        <v>20</v>
      </c>
      <c r="FP73" s="16" t="s">
        <v>20</v>
      </c>
      <c r="FQ73" s="16" t="s">
        <v>20</v>
      </c>
      <c r="FR73" s="16" t="s">
        <v>20</v>
      </c>
      <c r="FS73" s="17"/>
      <c r="FU73" s="0" t="s">
        <v>272</v>
      </c>
      <c r="FV73" s="46" t="str">
        <f>IF(ISBLANK(OFFSET('Target Attainment'!$X$2,FV64,0)), "", OFFSET('Target Attainment'!$X$2,FV64,0))</f>
      </c>
      <c r="FW73" s="17">
        <v>67</v>
      </c>
      <c r="FX73" s="59">
        <v>24467</v>
      </c>
      <c r="FY73" s="16" t="s">
        <v>20</v>
      </c>
      <c r="FZ73" s="16" t="s">
        <v>20</v>
      </c>
      <c r="GA73" s="16" t="s">
        <v>20</v>
      </c>
      <c r="GB73" s="16" t="s">
        <v>20</v>
      </c>
      <c r="GC73" s="16" t="s">
        <v>20</v>
      </c>
      <c r="GD73" s="17"/>
      <c r="GF73" s="0" t="s">
        <v>272</v>
      </c>
      <c r="GG73" s="46" t="str">
        <f>IF(ISBLANK(OFFSET('Target Attainment'!$X$2,GG64,0)), "", OFFSET('Target Attainment'!$X$2,GG64,0))</f>
      </c>
      <c r="GH73" s="17">
        <v>67</v>
      </c>
      <c r="GI73" s="59">
        <v>22561</v>
      </c>
      <c r="GJ73" s="16" t="s">
        <v>20</v>
      </c>
      <c r="GK73" s="16" t="s">
        <v>20</v>
      </c>
      <c r="GL73" s="16" t="s">
        <v>20</v>
      </c>
      <c r="GM73" s="16" t="s">
        <v>20</v>
      </c>
      <c r="GN73" s="16" t="s">
        <v>20</v>
      </c>
      <c r="GO73" s="17"/>
      <c r="GQ73" s="0" t="s">
        <v>272</v>
      </c>
      <c r="GR73" s="46" t="str">
        <f>IF(ISBLANK(OFFSET('Target Attainment'!$X$2,GR64,0)), "", OFFSET('Target Attainment'!$X$2,GR64,0))</f>
      </c>
      <c r="GS73" s="17"/>
      <c r="GT73" s="59"/>
      <c r="GU73" s="16"/>
      <c r="GV73" s="16"/>
      <c r="GW73" s="16"/>
      <c r="GX73" s="16"/>
      <c r="GY73" s="16"/>
      <c r="GZ73" s="17"/>
      <c r="HB73" s="0" t="s">
        <v>272</v>
      </c>
      <c r="HC73" s="46" t="str">
        <f>IF(ISBLANK(OFFSET('Target Attainment'!$X$2,HC64,0)), "", OFFSET('Target Attainment'!$X$2,HC64,0))</f>
      </c>
      <c r="HD73" s="17"/>
      <c r="HE73" s="59"/>
      <c r="HF73" s="16"/>
      <c r="HG73" s="16"/>
      <c r="HH73" s="16"/>
      <c r="HI73" s="16"/>
      <c r="HJ73" s="16"/>
      <c r="HK73" s="17"/>
      <c r="HM73" s="0" t="s">
        <v>272</v>
      </c>
      <c r="HN73" s="46" t="str">
        <f>IF(ISBLANK(OFFSET('Target Attainment'!$X$2,HN64,0)), "", OFFSET('Target Attainment'!$X$2,HN64,0))</f>
      </c>
      <c r="HO73" s="17"/>
      <c r="HP73" s="59"/>
      <c r="HQ73" s="16"/>
      <c r="HR73" s="16"/>
      <c r="HS73" s="16"/>
      <c r="HT73" s="16"/>
      <c r="HU73" s="16"/>
      <c r="HV73" s="17"/>
      <c r="HX73" s="0" t="s">
        <v>272</v>
      </c>
      <c r="HY73" s="46" t="str">
        <f>IF(ISBLANK(OFFSET('Target Attainment'!$X$2,HY64,0)), "", OFFSET('Target Attainment'!$X$2,HY64,0))</f>
      </c>
      <c r="HZ73" s="17"/>
      <c r="IA73" s="59"/>
      <c r="IB73" s="16"/>
      <c r="IC73" s="16"/>
      <c r="ID73" s="16"/>
      <c r="IE73" s="16"/>
      <c r="IF73" s="16"/>
      <c r="IG73" s="17"/>
      <c r="II73" s="0" t="s">
        <v>272</v>
      </c>
      <c r="IJ73" s="46" t="str">
        <f>IF(ISBLANK(OFFSET('Target Attainment'!$X$2,IJ64,0)), "", OFFSET('Target Attainment'!$X$2,IJ64,0))</f>
      </c>
      <c r="IK73" s="17"/>
      <c r="IL73" s="59"/>
      <c r="IM73" s="16"/>
      <c r="IN73" s="16"/>
      <c r="IO73" s="16"/>
      <c r="IP73" s="16"/>
      <c r="IQ73" s="16"/>
      <c r="IR73" s="17"/>
      <c r="IT73" s="0" t="s">
        <v>272</v>
      </c>
      <c r="IU73" s="46" t="str">
        <f>IF(ISBLANK(OFFSET('Target Attainment'!$X$2,IU64,0)), "", OFFSET('Target Attainment'!$X$2,IU64,0))</f>
      </c>
      <c r="IV73" s="17"/>
      <c r="IW73" s="59"/>
      <c r="IX73" s="16"/>
      <c r="IY73" s="16"/>
      <c r="IZ73" s="16"/>
      <c r="JA73" s="16"/>
      <c r="JB73" s="16"/>
      <c r="JC73" s="17"/>
      <c r="JE73" s="0" t="s">
        <v>272</v>
      </c>
      <c r="JF73" s="46" t="str">
        <f>IF(ISBLANK(OFFSET('Target Attainment'!$X$2,JF64,0)), "", OFFSET('Target Attainment'!$X$2,JF64,0))</f>
      </c>
      <c r="JG73" s="17"/>
      <c r="JH73" s="59"/>
      <c r="JI73" s="16"/>
      <c r="JJ73" s="16"/>
      <c r="JK73" s="16"/>
      <c r="JL73" s="16"/>
      <c r="JM73" s="16"/>
      <c r="JN73" s="17"/>
      <c r="JP73" s="0" t="s">
        <v>272</v>
      </c>
      <c r="JQ73" s="46" t="str">
        <f>IF(ISBLANK(OFFSET('Target Attainment'!$X$2,JQ64,0)), "", OFFSET('Target Attainment'!$X$2,JQ64,0))</f>
      </c>
      <c r="JR73" s="17"/>
      <c r="JS73" s="59"/>
      <c r="JT73" s="16"/>
      <c r="JU73" s="16"/>
      <c r="JV73" s="16"/>
      <c r="JW73" s="16"/>
      <c r="JX73" s="16"/>
      <c r="JY73" s="17"/>
      <c r="KA73" s="0" t="s">
        <v>272</v>
      </c>
      <c r="KB73" s="46" t="str">
        <f>IF(ISBLANK(OFFSET('Target Attainment'!$X$2,KB64,0)), "", OFFSET('Target Attainment'!$X$2,KB64,0))</f>
      </c>
      <c r="KC73" s="17"/>
      <c r="KD73" s="59"/>
      <c r="KE73" s="16"/>
      <c r="KF73" s="16"/>
      <c r="KG73" s="16"/>
      <c r="KH73" s="16"/>
      <c r="KI73" s="16"/>
      <c r="KJ73" s="17"/>
      <c r="KL73" s="0" t="s">
        <v>272</v>
      </c>
      <c r="KM73" s="46" t="str">
        <f>IF(ISBLANK(OFFSET('Target Attainment'!$X$2,KM64,0)), "", OFFSET('Target Attainment'!$X$2,KM64,0))</f>
      </c>
      <c r="KN73" s="17"/>
      <c r="KO73" s="59"/>
      <c r="KP73" s="16"/>
      <c r="KQ73" s="16"/>
      <c r="KR73" s="16"/>
      <c r="KS73" s="16"/>
      <c r="KT73" s="16"/>
      <c r="KU73" s="17"/>
      <c r="KW73" s="0" t="s">
        <v>272</v>
      </c>
      <c r="KX73" s="46" t="str">
        <f>IF(ISBLANK(OFFSET('Target Attainment'!$X$2,KX64,0)), "", OFFSET('Target Attainment'!$X$2,KX64,0))</f>
      </c>
      <c r="KY73" s="17"/>
      <c r="KZ73" s="59"/>
      <c r="LA73" s="16"/>
      <c r="LB73" s="16"/>
      <c r="LC73" s="16"/>
      <c r="LD73" s="16"/>
      <c r="LE73" s="16"/>
      <c r="LF73" s="17"/>
      <c r="LH73" s="0" t="s">
        <v>272</v>
      </c>
      <c r="LI73" s="46" t="str">
        <f>IF(ISBLANK(OFFSET('Target Attainment'!$X$2,LI64,0)), "", OFFSET('Target Attainment'!$X$2,LI64,0))</f>
      </c>
      <c r="LJ73" s="17"/>
      <c r="LK73" s="59"/>
      <c r="LL73" s="16"/>
      <c r="LM73" s="16"/>
      <c r="LN73" s="16"/>
      <c r="LO73" s="16"/>
      <c r="LP73" s="16"/>
      <c r="LQ73" s="17"/>
    </row>
    <row r="74">
      <c r="A74" s="0" t="s">
        <v>273</v>
      </c>
      <c r="B74" s="46" t="str">
        <f>IF(B44&lt;=B43, "", (B44-B43)*24)</f>
      </c>
      <c r="C74" s="63">
        <v>68</v>
      </c>
      <c r="D74" s="64">
        <v>23480</v>
      </c>
      <c r="E74" s="16" t="s">
        <v>20</v>
      </c>
      <c r="F74" s="16" t="s">
        <v>20</v>
      </c>
      <c r="G74" s="21" t="s">
        <v>20</v>
      </c>
      <c r="H74" s="16" t="s">
        <v>20</v>
      </c>
      <c r="I74" s="16" t="s">
        <v>20</v>
      </c>
      <c r="J74" s="17"/>
      <c r="L74" s="0" t="s">
        <v>273</v>
      </c>
      <c r="M74" s="46" t="str">
        <f>IF(M44&lt;=M43, "", (M44-M43)*24)</f>
      </c>
      <c r="N74" s="17"/>
      <c r="O74" s="64"/>
      <c r="P74" s="16"/>
      <c r="Q74" s="16"/>
      <c r="R74" s="16"/>
      <c r="S74" s="16"/>
      <c r="T74" s="16"/>
      <c r="U74" s="17"/>
      <c r="W74" s="0" t="s">
        <v>273</v>
      </c>
      <c r="X74" s="46" t="str">
        <f>IF(X44&lt;=X43, "", (X44-X43)*24)</f>
      </c>
      <c r="Y74" s="66">
        <v>68</v>
      </c>
      <c r="Z74" s="64">
        <v>22762</v>
      </c>
      <c r="AA74" s="16" t="s">
        <v>20</v>
      </c>
      <c r="AB74" s="16" t="s">
        <v>20</v>
      </c>
      <c r="AC74" s="16" t="s">
        <v>20</v>
      </c>
      <c r="AD74" s="16" t="s">
        <v>20</v>
      </c>
      <c r="AE74" s="16" t="s">
        <v>20</v>
      </c>
      <c r="AF74" s="17"/>
      <c r="AH74" s="0" t="s">
        <v>273</v>
      </c>
      <c r="AI74" s="46" t="str">
        <f>IF(AI44&lt;=AI43, "", (AI44-AI43)*24)</f>
      </c>
      <c r="AJ74" s="17">
        <v>68</v>
      </c>
      <c r="AK74" s="64">
        <v>22452</v>
      </c>
      <c r="AL74" s="16">
        <v>6.9999999999999991</v>
      </c>
      <c r="AM74" s="16">
        <v>12.999999991850927</v>
      </c>
      <c r="AN74" s="16" t="s">
        <v>20</v>
      </c>
      <c r="AO74" s="16">
        <v>4.5</v>
      </c>
      <c r="AP74" s="16">
        <v>3.9</v>
      </c>
      <c r="AQ74" s="17"/>
      <c r="AS74" s="0" t="s">
        <v>273</v>
      </c>
      <c r="AT74" s="46" t="str">
        <f>IF(AT44&lt;=AT43, "", (AT44-AT43)*24)</f>
      </c>
      <c r="AU74" s="17">
        <v>68</v>
      </c>
      <c r="AV74" s="64">
        <v>22083</v>
      </c>
      <c r="AW74" s="16" t="s">
        <v>20</v>
      </c>
      <c r="AX74" s="16" t="s">
        <v>20</v>
      </c>
      <c r="AY74" s="16"/>
      <c r="AZ74" s="16" t="s">
        <v>20</v>
      </c>
      <c r="BA74" s="16" t="s">
        <v>20</v>
      </c>
      <c r="BB74" s="17"/>
      <c r="BD74" s="0" t="s">
        <v>273</v>
      </c>
      <c r="BE74" s="46" t="str">
        <f>IF(BE44&lt;=BE43, "", (BE44-BE43)*24)</f>
      </c>
      <c r="BF74" s="17">
        <v>68</v>
      </c>
      <c r="BG74" s="64">
        <v>22598</v>
      </c>
      <c r="BH74" s="16" t="s">
        <v>20</v>
      </c>
      <c r="BI74" s="16" t="s">
        <v>20</v>
      </c>
      <c r="BJ74" s="16" t="s">
        <v>20</v>
      </c>
      <c r="BK74" s="16" t="s">
        <v>20</v>
      </c>
      <c r="BL74" s="16" t="s">
        <v>20</v>
      </c>
      <c r="BM74" s="17"/>
      <c r="BO74" s="0" t="s">
        <v>273</v>
      </c>
      <c r="BP74" s="46" t="str">
        <f>IF(BP44&lt;=BP43, "", (BP44-BP43)*24)</f>
      </c>
      <c r="BQ74" s="17">
        <v>68</v>
      </c>
      <c r="BR74" s="64">
        <v>22320</v>
      </c>
      <c r="BS74" s="16">
        <v>9</v>
      </c>
      <c r="BT74" s="16">
        <v>19.000000007450581</v>
      </c>
      <c r="BU74" s="16" t="s">
        <v>20</v>
      </c>
      <c r="BV74" s="16">
        <v>4.75</v>
      </c>
      <c r="BW74" s="16">
        <v>2.7</v>
      </c>
      <c r="BX74" s="17"/>
      <c r="BZ74" s="0" t="s">
        <v>273</v>
      </c>
      <c r="CA74" s="46" t="str">
        <f>IF(CA44&lt;=CA43, "", (CA44-CA43)*24)</f>
      </c>
      <c r="CB74" s="17"/>
      <c r="CC74" s="64"/>
      <c r="CD74" s="16"/>
      <c r="CE74" s="16"/>
      <c r="CF74" s="16"/>
      <c r="CG74" s="16"/>
      <c r="CH74" s="16"/>
      <c r="CI74" s="17"/>
      <c r="CK74" s="0" t="s">
        <v>273</v>
      </c>
      <c r="CL74" s="46" t="str">
        <f>IF(CL44&lt;=CL43, "", (CL44-CL43)*24)</f>
      </c>
      <c r="CM74" s="17">
        <v>68</v>
      </c>
      <c r="CN74" s="64">
        <v>24034</v>
      </c>
      <c r="CO74" s="16" t="s">
        <v>20</v>
      </c>
      <c r="CP74" s="16" t="s">
        <v>20</v>
      </c>
      <c r="CQ74" s="16" t="s">
        <v>20</v>
      </c>
      <c r="CR74" s="16" t="s">
        <v>20</v>
      </c>
      <c r="CS74" s="16" t="s">
        <v>20</v>
      </c>
      <c r="CT74" s="17"/>
      <c r="CV74" s="0" t="s">
        <v>273</v>
      </c>
      <c r="CW74" s="46" t="str">
        <f>IF(CW44&lt;=CW43, "", (CW44-CW43)*24)</f>
      </c>
      <c r="CX74" s="17"/>
      <c r="CY74" s="59"/>
      <c r="CZ74" s="16"/>
      <c r="DA74" s="16"/>
      <c r="DB74" s="16"/>
      <c r="DC74" s="16"/>
      <c r="DD74" s="16"/>
      <c r="DE74" s="17"/>
      <c r="DG74" s="0" t="s">
        <v>273</v>
      </c>
      <c r="DH74" s="46" t="str">
        <f>IF(DH44&lt;=DH43, "", (DH44-DH43)*24)</f>
      </c>
      <c r="DI74" s="17">
        <v>68</v>
      </c>
      <c r="DJ74" s="59">
        <v>23153</v>
      </c>
      <c r="DK74" s="16" t="s">
        <v>20</v>
      </c>
      <c r="DL74" s="16" t="s">
        <v>20</v>
      </c>
      <c r="DM74" s="16" t="s">
        <v>20</v>
      </c>
      <c r="DN74" s="16" t="s">
        <v>20</v>
      </c>
      <c r="DO74" s="16" t="s">
        <v>20</v>
      </c>
      <c r="DP74" s="17"/>
      <c r="DR74" s="0" t="s">
        <v>273</v>
      </c>
      <c r="DS74" s="46" t="str">
        <f>IF(DS44&lt;=DS43, "", (DS44-DS43)*24)</f>
      </c>
      <c r="DT74" s="17"/>
      <c r="DU74" s="59"/>
      <c r="DV74" s="16"/>
      <c r="DW74" s="16"/>
      <c r="DX74" s="16"/>
      <c r="DY74" s="16"/>
      <c r="DZ74" s="16"/>
      <c r="EA74" s="17"/>
      <c r="EC74" s="0" t="s">
        <v>273</v>
      </c>
      <c r="ED74" s="46" t="str">
        <f>IF(ED44&lt;=ED43, "", (ED44-ED43)*24)</f>
      </c>
      <c r="EE74" s="17"/>
      <c r="EF74" s="59"/>
      <c r="EG74" s="16"/>
      <c r="EH74" s="16"/>
      <c r="EI74" s="16"/>
      <c r="EJ74" s="16"/>
      <c r="EK74" s="16"/>
      <c r="EL74" s="17"/>
      <c r="EN74" s="0" t="s">
        <v>273</v>
      </c>
      <c r="EO74" s="46" t="str">
        <f>IF(EO44&lt;=EO43, "", (EO44-EO43)*24)</f>
      </c>
      <c r="EP74" s="17">
        <v>68</v>
      </c>
      <c r="EQ74" s="59">
        <v>22588</v>
      </c>
      <c r="ER74" s="16" t="s">
        <v>20</v>
      </c>
      <c r="ES74" s="16" t="s">
        <v>20</v>
      </c>
      <c r="ET74" s="16" t="s">
        <v>20</v>
      </c>
      <c r="EU74" s="16" t="s">
        <v>20</v>
      </c>
      <c r="EV74" s="16" t="s">
        <v>20</v>
      </c>
      <c r="EW74" s="17"/>
      <c r="EY74" s="0" t="s">
        <v>273</v>
      </c>
      <c r="EZ74" s="46" t="str">
        <f>IF(EZ44&lt;=EZ43, "", (EZ44-EZ43)*24)</f>
      </c>
      <c r="FA74" s="17">
        <v>68</v>
      </c>
      <c r="FB74" s="59">
        <v>24483</v>
      </c>
      <c r="FC74" s="16">
        <v>6.9999999999999991</v>
      </c>
      <c r="FD74" s="16">
        <v>122.00000000139698</v>
      </c>
      <c r="FE74" s="16" t="s">
        <v>20</v>
      </c>
      <c r="FF74" s="16">
        <v>5.5</v>
      </c>
      <c r="FG74" s="16">
        <v>5.4</v>
      </c>
      <c r="FH74" s="17"/>
      <c r="FJ74" s="0" t="s">
        <v>273</v>
      </c>
      <c r="FK74" s="46" t="str">
        <f>IF(FK44&lt;=FK43, "", (FK44-FK43)*24)</f>
      </c>
      <c r="FL74" s="17">
        <v>68</v>
      </c>
      <c r="FM74" s="59">
        <v>24249</v>
      </c>
      <c r="FN74" s="16" t="s">
        <v>20</v>
      </c>
      <c r="FO74" s="16" t="s">
        <v>20</v>
      </c>
      <c r="FP74" s="16" t="s">
        <v>20</v>
      </c>
      <c r="FQ74" s="16" t="s">
        <v>20</v>
      </c>
      <c r="FR74" s="16" t="s">
        <v>20</v>
      </c>
      <c r="FS74" s="17"/>
      <c r="FU74" s="0" t="s">
        <v>273</v>
      </c>
      <c r="FV74" s="46" t="str">
        <f>IF(FV44&lt;=FV43, "", (FV44-FV43)*24)</f>
      </c>
      <c r="FW74" s="17">
        <v>68</v>
      </c>
      <c r="FX74" s="59">
        <v>24708</v>
      </c>
      <c r="FY74" s="16" t="s">
        <v>20</v>
      </c>
      <c r="FZ74" s="16" t="s">
        <v>20</v>
      </c>
      <c r="GA74" s="16" t="s">
        <v>20</v>
      </c>
      <c r="GB74" s="16" t="s">
        <v>20</v>
      </c>
      <c r="GC74" s="16" t="s">
        <v>20</v>
      </c>
      <c r="GD74" s="17"/>
      <c r="GF74" s="0" t="s">
        <v>273</v>
      </c>
      <c r="GG74" s="46" t="str">
        <f>IF(GG44&lt;=GG43, "", (GG44-GG43)*24)</f>
      </c>
      <c r="GH74" s="17">
        <v>68</v>
      </c>
      <c r="GI74" s="59">
        <v>22763</v>
      </c>
      <c r="GJ74" s="16" t="s">
        <v>20</v>
      </c>
      <c r="GK74" s="16" t="s">
        <v>20</v>
      </c>
      <c r="GL74" s="16" t="s">
        <v>20</v>
      </c>
      <c r="GM74" s="16" t="s">
        <v>20</v>
      </c>
      <c r="GN74" s="16" t="s">
        <v>20</v>
      </c>
      <c r="GO74" s="17"/>
      <c r="GQ74" s="0" t="s">
        <v>273</v>
      </c>
      <c r="GR74" s="46" t="str">
        <f>IF(GR44&lt;=GR43, "", (GR44-GR43)*24)</f>
      </c>
      <c r="GS74" s="17"/>
      <c r="GT74" s="59"/>
      <c r="GU74" s="16"/>
      <c r="GV74" s="16"/>
      <c r="GW74" s="16"/>
      <c r="GX74" s="16"/>
      <c r="GY74" s="16"/>
      <c r="GZ74" s="17"/>
      <c r="HB74" s="0" t="s">
        <v>273</v>
      </c>
      <c r="HC74" s="46" t="str">
        <f>IF(HC44&lt;=HC43, "", (HC44-HC43)*24)</f>
      </c>
      <c r="HD74" s="17"/>
      <c r="HE74" s="59"/>
      <c r="HF74" s="16"/>
      <c r="HG74" s="16"/>
      <c r="HH74" s="16"/>
      <c r="HI74" s="16"/>
      <c r="HJ74" s="16"/>
      <c r="HK74" s="17"/>
      <c r="HM74" s="0" t="s">
        <v>273</v>
      </c>
      <c r="HN74" s="46" t="str">
        <f>IF(HN44&lt;=HN43, "", (HN44-HN43)*24)</f>
      </c>
      <c r="HO74" s="17"/>
      <c r="HP74" s="59"/>
      <c r="HQ74" s="16"/>
      <c r="HR74" s="16"/>
      <c r="HS74" s="16"/>
      <c r="HT74" s="16"/>
      <c r="HU74" s="16"/>
      <c r="HV74" s="17"/>
      <c r="HX74" s="0" t="s">
        <v>273</v>
      </c>
      <c r="HY74" s="46" t="str">
        <f>IF(HY44&lt;=HY43, "", (HY44-HY43)*24)</f>
      </c>
      <c r="HZ74" s="17"/>
      <c r="IA74" s="59"/>
      <c r="IB74" s="16"/>
      <c r="IC74" s="16"/>
      <c r="ID74" s="16"/>
      <c r="IE74" s="16"/>
      <c r="IF74" s="16"/>
      <c r="IG74" s="17"/>
      <c r="II74" s="0" t="s">
        <v>273</v>
      </c>
      <c r="IJ74" s="46" t="str">
        <f>IF(IJ44&lt;=IJ43, "", (IJ44-IJ43)*24)</f>
      </c>
      <c r="IK74" s="17"/>
      <c r="IL74" s="59"/>
      <c r="IM74" s="16"/>
      <c r="IN74" s="16"/>
      <c r="IO74" s="16"/>
      <c r="IP74" s="16"/>
      <c r="IQ74" s="16"/>
      <c r="IR74" s="17"/>
      <c r="IT74" s="0" t="s">
        <v>273</v>
      </c>
      <c r="IU74" s="46" t="str">
        <f>IF(IU44&lt;=IU43, "", (IU44-IU43)*24)</f>
      </c>
      <c r="IV74" s="17"/>
      <c r="IW74" s="59"/>
      <c r="IX74" s="16"/>
      <c r="IY74" s="16"/>
      <c r="IZ74" s="16"/>
      <c r="JA74" s="16"/>
      <c r="JB74" s="16"/>
      <c r="JC74" s="17"/>
      <c r="JE74" s="0" t="s">
        <v>273</v>
      </c>
      <c r="JF74" s="46" t="str">
        <f>IF(JF44&lt;=JF43, "", (JF44-JF43)*24)</f>
      </c>
      <c r="JG74" s="17"/>
      <c r="JH74" s="59"/>
      <c r="JI74" s="16"/>
      <c r="JJ74" s="16"/>
      <c r="JK74" s="16"/>
      <c r="JL74" s="16"/>
      <c r="JM74" s="16"/>
      <c r="JN74" s="17"/>
      <c r="JP74" s="0" t="s">
        <v>273</v>
      </c>
      <c r="JQ74" s="46" t="str">
        <f>IF(JQ44&lt;=JQ43, "", (JQ44-JQ43)*24)</f>
      </c>
      <c r="JR74" s="17"/>
      <c r="JS74" s="59"/>
      <c r="JT74" s="16"/>
      <c r="JU74" s="16"/>
      <c r="JV74" s="16"/>
      <c r="JW74" s="16"/>
      <c r="JX74" s="16"/>
      <c r="JY74" s="17"/>
      <c r="KA74" s="0" t="s">
        <v>273</v>
      </c>
      <c r="KB74" s="46" t="str">
        <f>IF(KB44&lt;=KB43, "", (KB44-KB43)*24)</f>
      </c>
      <c r="KC74" s="17"/>
      <c r="KD74" s="59"/>
      <c r="KE74" s="16"/>
      <c r="KF74" s="16"/>
      <c r="KG74" s="16"/>
      <c r="KH74" s="16"/>
      <c r="KI74" s="16"/>
      <c r="KJ74" s="17"/>
      <c r="KL74" s="0" t="s">
        <v>273</v>
      </c>
      <c r="KM74" s="46" t="str">
        <f>IF(KM44&lt;=KM43, "", (KM44-KM43)*24)</f>
      </c>
      <c r="KN74" s="17"/>
      <c r="KO74" s="59"/>
      <c r="KP74" s="16"/>
      <c r="KQ74" s="16"/>
      <c r="KR74" s="16"/>
      <c r="KS74" s="16"/>
      <c r="KT74" s="16"/>
      <c r="KU74" s="17"/>
      <c r="KW74" s="0" t="s">
        <v>273</v>
      </c>
      <c r="KX74" s="46" t="str">
        <f>IF(KX44&lt;=KX43, "", (KX44-KX43)*24)</f>
      </c>
      <c r="KY74" s="17"/>
      <c r="KZ74" s="59"/>
      <c r="LA74" s="16"/>
      <c r="LB74" s="16"/>
      <c r="LC74" s="16"/>
      <c r="LD74" s="16"/>
      <c r="LE74" s="16"/>
      <c r="LF74" s="17"/>
      <c r="LH74" s="0" t="s">
        <v>273</v>
      </c>
      <c r="LI74" s="46" t="str">
        <f>IF(LI44&lt;=LI43, "", (LI44-LI43)*24)</f>
      </c>
      <c r="LJ74" s="17"/>
      <c r="LK74" s="59"/>
      <c r="LL74" s="16"/>
      <c r="LM74" s="16"/>
      <c r="LN74" s="16"/>
      <c r="LO74" s="16"/>
      <c r="LP74" s="16"/>
      <c r="LQ74" s="17"/>
    </row>
    <row r="75">
      <c r="A75" s="0" t="s">
        <v>274</v>
      </c>
      <c r="B75" s="72">
        <f>B13-B12</f>
        <v>0</v>
      </c>
      <c r="C75" s="63">
        <v>69</v>
      </c>
      <c r="D75" s="64">
        <v>23682</v>
      </c>
      <c r="E75" s="16" t="s">
        <v>20</v>
      </c>
      <c r="F75" s="16" t="s">
        <v>20</v>
      </c>
      <c r="G75" s="21" t="s">
        <v>20</v>
      </c>
      <c r="H75" s="16" t="s">
        <v>20</v>
      </c>
      <c r="I75" s="16" t="s">
        <v>20</v>
      </c>
      <c r="J75" s="17"/>
      <c r="L75" s="0" t="s">
        <v>274</v>
      </c>
      <c r="M75" s="72">
        <f>M13-M12</f>
        <v>0</v>
      </c>
      <c r="N75" s="17"/>
      <c r="O75" s="64"/>
      <c r="P75" s="16"/>
      <c r="Q75" s="16"/>
      <c r="R75" s="16"/>
      <c r="S75" s="16"/>
      <c r="T75" s="16"/>
      <c r="U75" s="17"/>
      <c r="W75" s="0" t="s">
        <v>274</v>
      </c>
      <c r="X75" s="72">
        <f>X13-X12</f>
        <v>0</v>
      </c>
      <c r="Y75" s="66">
        <v>69</v>
      </c>
      <c r="Z75" s="61">
        <v>22962</v>
      </c>
      <c r="AA75" s="16" t="s">
        <v>20</v>
      </c>
      <c r="AB75" s="16" t="s">
        <v>20</v>
      </c>
      <c r="AC75" s="16" t="s">
        <v>20</v>
      </c>
      <c r="AD75" s="16" t="s">
        <v>20</v>
      </c>
      <c r="AE75" s="16" t="s">
        <v>20</v>
      </c>
      <c r="AF75" s="17"/>
      <c r="AH75" s="0" t="s">
        <v>274</v>
      </c>
      <c r="AI75" s="72">
        <f>AI13-AI12</f>
        <v>0</v>
      </c>
      <c r="AJ75" s="17">
        <v>69</v>
      </c>
      <c r="AK75" s="61">
        <v>22653</v>
      </c>
      <c r="AL75" s="16">
        <v>9</v>
      </c>
      <c r="AM75" s="16">
        <v>11.000000002328306</v>
      </c>
      <c r="AN75" s="16" t="s">
        <v>20</v>
      </c>
      <c r="AO75" s="16">
        <v>4.5</v>
      </c>
      <c r="AP75" s="16">
        <v>3.7</v>
      </c>
      <c r="AQ75" s="17"/>
      <c r="AS75" s="0" t="s">
        <v>274</v>
      </c>
      <c r="AT75" s="72">
        <f>AT13-AT12</f>
        <v>0</v>
      </c>
      <c r="AU75" s="17">
        <v>69</v>
      </c>
      <c r="AV75" s="61">
        <v>22284</v>
      </c>
      <c r="AW75" s="16" t="s">
        <v>20</v>
      </c>
      <c r="AX75" s="16" t="s">
        <v>20</v>
      </c>
      <c r="AY75" s="16"/>
      <c r="AZ75" s="16" t="s">
        <v>20</v>
      </c>
      <c r="BA75" s="16" t="s">
        <v>20</v>
      </c>
      <c r="BB75" s="17"/>
      <c r="BD75" s="0" t="s">
        <v>274</v>
      </c>
      <c r="BE75" s="72">
        <f>BE13-BE12</f>
        <v>0</v>
      </c>
      <c r="BF75" s="17">
        <v>69</v>
      </c>
      <c r="BG75" s="61">
        <v>22800</v>
      </c>
      <c r="BH75" s="16" t="s">
        <v>20</v>
      </c>
      <c r="BI75" s="16" t="s">
        <v>20</v>
      </c>
      <c r="BJ75" s="16" t="s">
        <v>20</v>
      </c>
      <c r="BK75" s="16" t="s">
        <v>20</v>
      </c>
      <c r="BL75" s="16" t="s">
        <v>20</v>
      </c>
      <c r="BM75" s="17"/>
      <c r="BO75" s="0" t="s">
        <v>274</v>
      </c>
      <c r="BP75" s="72">
        <f>BP13-BP12</f>
        <v>0</v>
      </c>
      <c r="BQ75" s="17">
        <v>69</v>
      </c>
      <c r="BR75" s="61">
        <v>22521</v>
      </c>
      <c r="BS75" s="16">
        <v>8.0000000000000071</v>
      </c>
      <c r="BT75" s="16">
        <v>15.000000001629815</v>
      </c>
      <c r="BU75" s="16" t="s">
        <v>20</v>
      </c>
      <c r="BV75" s="16">
        <v>4.75</v>
      </c>
      <c r="BW75" s="16">
        <v>2.7</v>
      </c>
      <c r="BX75" s="17"/>
      <c r="BZ75" s="0" t="s">
        <v>274</v>
      </c>
      <c r="CA75" s="72">
        <f>CA13-CA12</f>
        <v>0</v>
      </c>
      <c r="CB75" s="17"/>
      <c r="CC75" s="61"/>
      <c r="CD75" s="16"/>
      <c r="CE75" s="16"/>
      <c r="CF75" s="16"/>
      <c r="CG75" s="16"/>
      <c r="CH75" s="16"/>
      <c r="CI75" s="17"/>
      <c r="CK75" s="0" t="s">
        <v>274</v>
      </c>
      <c r="CL75" s="72">
        <f>CL13-CL12</f>
        <v>0</v>
      </c>
      <c r="CM75" s="17">
        <v>69</v>
      </c>
      <c r="CN75" s="61">
        <v>24236</v>
      </c>
      <c r="CO75" s="16" t="s">
        <v>20</v>
      </c>
      <c r="CP75" s="16" t="s">
        <v>20</v>
      </c>
      <c r="CQ75" s="16" t="s">
        <v>20</v>
      </c>
      <c r="CR75" s="16" t="s">
        <v>20</v>
      </c>
      <c r="CS75" s="16" t="s">
        <v>20</v>
      </c>
      <c r="CT75" s="17"/>
      <c r="CV75" s="0" t="s">
        <v>274</v>
      </c>
      <c r="CW75" s="72">
        <f>CW13-CW12</f>
        <v>0</v>
      </c>
      <c r="CX75" s="17"/>
      <c r="CY75" s="60"/>
      <c r="CZ75" s="16"/>
      <c r="DA75" s="16"/>
      <c r="DB75" s="16"/>
      <c r="DC75" s="16"/>
      <c r="DD75" s="16"/>
      <c r="DE75" s="17"/>
      <c r="DG75" s="0" t="s">
        <v>274</v>
      </c>
      <c r="DH75" s="72">
        <f>DH13-DH12</f>
        <v>0</v>
      </c>
      <c r="DI75" s="17">
        <v>69</v>
      </c>
      <c r="DJ75" s="60">
        <v>23354</v>
      </c>
      <c r="DK75" s="16" t="s">
        <v>20</v>
      </c>
      <c r="DL75" s="16" t="s">
        <v>20</v>
      </c>
      <c r="DM75" s="16" t="s">
        <v>20</v>
      </c>
      <c r="DN75" s="16" t="s">
        <v>20</v>
      </c>
      <c r="DO75" s="16" t="s">
        <v>20</v>
      </c>
      <c r="DP75" s="17"/>
      <c r="DR75" s="0" t="s">
        <v>274</v>
      </c>
      <c r="DS75" s="72">
        <f>DS13-DS12</f>
        <v>0</v>
      </c>
      <c r="DT75" s="17"/>
      <c r="DU75" s="60"/>
      <c r="DV75" s="16"/>
      <c r="DW75" s="16"/>
      <c r="DX75" s="16"/>
      <c r="DY75" s="16"/>
      <c r="DZ75" s="16"/>
      <c r="EA75" s="17"/>
      <c r="EC75" s="0" t="s">
        <v>274</v>
      </c>
      <c r="ED75" s="72">
        <f>ED13-ED12</f>
        <v>0</v>
      </c>
      <c r="EE75" s="17"/>
      <c r="EF75" s="60"/>
      <c r="EG75" s="16"/>
      <c r="EH75" s="16"/>
      <c r="EI75" s="16"/>
      <c r="EJ75" s="16"/>
      <c r="EK75" s="16"/>
      <c r="EL75" s="17"/>
      <c r="EN75" s="0" t="s">
        <v>274</v>
      </c>
      <c r="EO75" s="72">
        <f>EO13-EO12</f>
        <v>0</v>
      </c>
      <c r="EP75" s="17">
        <v>69</v>
      </c>
      <c r="EQ75" s="60">
        <v>22790</v>
      </c>
      <c r="ER75" s="16" t="s">
        <v>20</v>
      </c>
      <c r="ES75" s="16" t="s">
        <v>20</v>
      </c>
      <c r="ET75" s="16" t="s">
        <v>20</v>
      </c>
      <c r="EU75" s="16" t="s">
        <v>20</v>
      </c>
      <c r="EV75" s="16" t="s">
        <v>20</v>
      </c>
      <c r="EW75" s="17"/>
      <c r="EY75" s="0" t="s">
        <v>274</v>
      </c>
      <c r="EZ75" s="72">
        <f>EZ13-EZ12</f>
        <v>0</v>
      </c>
      <c r="FA75" s="17">
        <v>69</v>
      </c>
      <c r="FB75" s="60">
        <v>24684</v>
      </c>
      <c r="FC75" s="16">
        <v>8.0000000000000071</v>
      </c>
      <c r="FD75" s="16">
        <v>42.000000005820766</v>
      </c>
      <c r="FE75" s="16" t="s">
        <v>20</v>
      </c>
      <c r="FF75" s="16">
        <v>5.3000000000000176</v>
      </c>
      <c r="FG75" s="16">
        <v>5.3</v>
      </c>
      <c r="FH75" s="17"/>
      <c r="FJ75" s="0" t="s">
        <v>274</v>
      </c>
      <c r="FK75" s="72">
        <f>FK13-FK12</f>
        <v>0</v>
      </c>
      <c r="FL75" s="17">
        <v>69</v>
      </c>
      <c r="FM75" s="60">
        <v>24448</v>
      </c>
      <c r="FN75" s="16" t="s">
        <v>20</v>
      </c>
      <c r="FO75" s="16" t="s">
        <v>20</v>
      </c>
      <c r="FP75" s="16" t="s">
        <v>20</v>
      </c>
      <c r="FQ75" s="16" t="s">
        <v>20</v>
      </c>
      <c r="FR75" s="16" t="s">
        <v>20</v>
      </c>
      <c r="FS75" s="17"/>
      <c r="FU75" s="0" t="s">
        <v>274</v>
      </c>
      <c r="FV75" s="72">
        <f>FV13-FV12</f>
        <v>0</v>
      </c>
      <c r="FW75" s="17">
        <v>69</v>
      </c>
      <c r="FX75" s="60">
        <v>24949</v>
      </c>
      <c r="FY75" s="16" t="s">
        <v>20</v>
      </c>
      <c r="FZ75" s="16" t="s">
        <v>20</v>
      </c>
      <c r="GA75" s="16" t="s">
        <v>20</v>
      </c>
      <c r="GB75" s="16" t="s">
        <v>20</v>
      </c>
      <c r="GC75" s="16" t="s">
        <v>20</v>
      </c>
      <c r="GD75" s="17"/>
      <c r="GF75" s="0" t="s">
        <v>274</v>
      </c>
      <c r="GG75" s="72">
        <f>GG13-GG12</f>
        <v>0</v>
      </c>
      <c r="GH75" s="17">
        <v>69</v>
      </c>
      <c r="GI75" s="60">
        <v>22965</v>
      </c>
      <c r="GJ75" s="16" t="s">
        <v>20</v>
      </c>
      <c r="GK75" s="16" t="s">
        <v>20</v>
      </c>
      <c r="GL75" s="16" t="s">
        <v>20</v>
      </c>
      <c r="GM75" s="16" t="s">
        <v>20</v>
      </c>
      <c r="GN75" s="16" t="s">
        <v>20</v>
      </c>
      <c r="GO75" s="17"/>
      <c r="GQ75" s="0" t="s">
        <v>274</v>
      </c>
      <c r="GR75" s="72">
        <f>GR13-GR12</f>
        <v>0</v>
      </c>
      <c r="GS75" s="17"/>
      <c r="GT75" s="60"/>
      <c r="GU75" s="16"/>
      <c r="GV75" s="16"/>
      <c r="GW75" s="16"/>
      <c r="GX75" s="16"/>
      <c r="GY75" s="16"/>
      <c r="GZ75" s="17"/>
      <c r="HB75" s="0" t="s">
        <v>274</v>
      </c>
      <c r="HC75" s="72">
        <f>HC13-HC12</f>
        <v>0</v>
      </c>
      <c r="HD75" s="17"/>
      <c r="HE75" s="60"/>
      <c r="HF75" s="16"/>
      <c r="HG75" s="16"/>
      <c r="HH75" s="16"/>
      <c r="HI75" s="16"/>
      <c r="HJ75" s="16"/>
      <c r="HK75" s="17"/>
      <c r="HM75" s="0" t="s">
        <v>274</v>
      </c>
      <c r="HN75" s="72">
        <f>HN13-HN12</f>
        <v>0</v>
      </c>
      <c r="HO75" s="17"/>
      <c r="HP75" s="60"/>
      <c r="HQ75" s="16"/>
      <c r="HR75" s="16"/>
      <c r="HS75" s="16"/>
      <c r="HT75" s="16"/>
      <c r="HU75" s="16"/>
      <c r="HV75" s="17"/>
      <c r="HX75" s="0" t="s">
        <v>274</v>
      </c>
      <c r="HY75" s="72">
        <f>HY13-HY12</f>
        <v>0</v>
      </c>
      <c r="HZ75" s="17"/>
      <c r="IA75" s="60"/>
      <c r="IB75" s="16"/>
      <c r="IC75" s="16"/>
      <c r="ID75" s="16"/>
      <c r="IE75" s="16"/>
      <c r="IF75" s="16"/>
      <c r="IG75" s="17"/>
      <c r="II75" s="0" t="s">
        <v>274</v>
      </c>
      <c r="IJ75" s="72">
        <f>IJ13-IJ12</f>
        <v>0</v>
      </c>
      <c r="IK75" s="17"/>
      <c r="IL75" s="60"/>
      <c r="IM75" s="16"/>
      <c r="IN75" s="16"/>
      <c r="IO75" s="16"/>
      <c r="IP75" s="16"/>
      <c r="IQ75" s="16"/>
      <c r="IR75" s="17"/>
      <c r="IT75" s="0" t="s">
        <v>274</v>
      </c>
      <c r="IU75" s="72">
        <f>IU13-IU12</f>
        <v>0</v>
      </c>
      <c r="IV75" s="17"/>
      <c r="IW75" s="60"/>
      <c r="IX75" s="16"/>
      <c r="IY75" s="16"/>
      <c r="IZ75" s="16"/>
      <c r="JA75" s="16"/>
      <c r="JB75" s="16"/>
      <c r="JC75" s="17"/>
      <c r="JE75" s="0" t="s">
        <v>274</v>
      </c>
      <c r="JF75" s="72">
        <f>JF13-JF12</f>
        <v>0</v>
      </c>
      <c r="JG75" s="17"/>
      <c r="JH75" s="60"/>
      <c r="JI75" s="16"/>
      <c r="JJ75" s="16"/>
      <c r="JK75" s="16"/>
      <c r="JL75" s="16"/>
      <c r="JM75" s="16"/>
      <c r="JN75" s="17"/>
      <c r="JP75" s="0" t="s">
        <v>274</v>
      </c>
      <c r="JQ75" s="72">
        <f>JQ13-JQ12</f>
        <v>0</v>
      </c>
      <c r="JR75" s="17"/>
      <c r="JS75" s="60"/>
      <c r="JT75" s="16"/>
      <c r="JU75" s="16"/>
      <c r="JV75" s="16"/>
      <c r="JW75" s="16"/>
      <c r="JX75" s="16"/>
      <c r="JY75" s="17"/>
      <c r="KA75" s="0" t="s">
        <v>274</v>
      </c>
      <c r="KB75" s="72">
        <f>KB13-KB12</f>
        <v>0</v>
      </c>
      <c r="KC75" s="17"/>
      <c r="KD75" s="60"/>
      <c r="KE75" s="16"/>
      <c r="KF75" s="16"/>
      <c r="KG75" s="16"/>
      <c r="KH75" s="16"/>
      <c r="KI75" s="16"/>
      <c r="KJ75" s="17"/>
      <c r="KL75" s="0" t="s">
        <v>274</v>
      </c>
      <c r="KM75" s="72">
        <f>KM13-KM12</f>
        <v>0</v>
      </c>
      <c r="KN75" s="17"/>
      <c r="KO75" s="60"/>
      <c r="KP75" s="16"/>
      <c r="KQ75" s="16"/>
      <c r="KR75" s="16"/>
      <c r="KS75" s="16"/>
      <c r="KT75" s="16"/>
      <c r="KU75" s="17"/>
      <c r="KW75" s="0" t="s">
        <v>274</v>
      </c>
      <c r="KX75" s="72">
        <f>KX13-KX12</f>
        <v>0</v>
      </c>
      <c r="KY75" s="17"/>
      <c r="KZ75" s="60"/>
      <c r="LA75" s="16"/>
      <c r="LB75" s="16"/>
      <c r="LC75" s="16"/>
      <c r="LD75" s="16"/>
      <c r="LE75" s="16"/>
      <c r="LF75" s="17"/>
      <c r="LH75" s="0" t="s">
        <v>274</v>
      </c>
      <c r="LI75" s="72">
        <f>LI13-LI12</f>
        <v>0</v>
      </c>
      <c r="LJ75" s="17"/>
      <c r="LK75" s="60"/>
      <c r="LL75" s="16"/>
      <c r="LM75" s="16"/>
      <c r="LN75" s="16"/>
      <c r="LO75" s="16"/>
      <c r="LP75" s="16"/>
      <c r="LQ75" s="17"/>
    </row>
    <row r="76">
      <c r="A76" s="0" t="s">
        <v>275</v>
      </c>
      <c r="B76" s="46">
        <f>MAX(C7:C1000)</f>
        <v>0</v>
      </c>
      <c r="C76" s="63">
        <v>70</v>
      </c>
      <c r="D76" s="64">
        <v>23884</v>
      </c>
      <c r="E76" s="16" t="s">
        <v>20</v>
      </c>
      <c r="F76" s="16" t="s">
        <v>20</v>
      </c>
      <c r="G76" s="21" t="s">
        <v>20</v>
      </c>
      <c r="H76" s="16" t="s">
        <v>20</v>
      </c>
      <c r="I76" s="16" t="s">
        <v>20</v>
      </c>
      <c r="J76" s="17"/>
      <c r="L76" s="0" t="s">
        <v>275</v>
      </c>
      <c r="M76" s="46">
        <f>MAX(N7:N1000)</f>
        <v>0</v>
      </c>
      <c r="N76" s="17"/>
      <c r="O76" s="64"/>
      <c r="P76" s="16"/>
      <c r="Q76" s="16"/>
      <c r="R76" s="16"/>
      <c r="S76" s="16"/>
      <c r="T76" s="16"/>
      <c r="U76" s="17"/>
      <c r="W76" s="0" t="s">
        <v>275</v>
      </c>
      <c r="X76" s="46">
        <f>MAX(Y7:Y1000)</f>
        <v>0</v>
      </c>
      <c r="Y76" s="66">
        <v>70</v>
      </c>
      <c r="Z76" s="61">
        <v>23163</v>
      </c>
      <c r="AA76" s="16" t="s">
        <v>20</v>
      </c>
      <c r="AB76" s="16" t="s">
        <v>20</v>
      </c>
      <c r="AC76" s="16" t="s">
        <v>20</v>
      </c>
      <c r="AD76" s="16" t="s">
        <v>20</v>
      </c>
      <c r="AE76" s="16" t="s">
        <v>20</v>
      </c>
      <c r="AF76" s="17"/>
      <c r="AH76" s="0" t="s">
        <v>275</v>
      </c>
      <c r="AI76" s="71">
        <f>MAX(AJ7:AJ1000)</f>
        <v>0</v>
      </c>
      <c r="AJ76" s="17">
        <v>70</v>
      </c>
      <c r="AK76" s="61">
        <v>22855</v>
      </c>
      <c r="AL76" s="16">
        <v>9</v>
      </c>
      <c r="AM76" s="16">
        <v>15.999999997671694</v>
      </c>
      <c r="AN76" s="16" t="s">
        <v>20</v>
      </c>
      <c r="AO76" s="16">
        <v>4.5</v>
      </c>
      <c r="AP76" s="16">
        <v>3.9</v>
      </c>
      <c r="AQ76" s="17"/>
      <c r="AS76" s="0" t="s">
        <v>275</v>
      </c>
      <c r="AT76" s="71">
        <f>MAX(AU7:AU1000)</f>
        <v>0</v>
      </c>
      <c r="AU76" s="17">
        <v>70</v>
      </c>
      <c r="AV76" s="61">
        <v>22485</v>
      </c>
      <c r="AW76" s="16" t="s">
        <v>20</v>
      </c>
      <c r="AX76" s="16" t="s">
        <v>20</v>
      </c>
      <c r="AY76" s="16"/>
      <c r="AZ76" s="16" t="s">
        <v>20</v>
      </c>
      <c r="BA76" s="16" t="s">
        <v>20</v>
      </c>
      <c r="BB76" s="17"/>
      <c r="BD76" s="0" t="s">
        <v>275</v>
      </c>
      <c r="BE76" s="71">
        <f>MAX(BF7:BF1000)</f>
        <v>0</v>
      </c>
      <c r="BF76" s="17">
        <v>70</v>
      </c>
      <c r="BG76" s="61">
        <v>23001</v>
      </c>
      <c r="BH76" s="16" t="s">
        <v>20</v>
      </c>
      <c r="BI76" s="16" t="s">
        <v>20</v>
      </c>
      <c r="BJ76" s="16" t="s">
        <v>20</v>
      </c>
      <c r="BK76" s="16" t="s">
        <v>20</v>
      </c>
      <c r="BL76" s="16" t="s">
        <v>20</v>
      </c>
      <c r="BM76" s="17"/>
      <c r="BO76" s="0" t="s">
        <v>275</v>
      </c>
      <c r="BP76" s="71">
        <f>MAX(BQ7:BQ1000)</f>
        <v>0</v>
      </c>
      <c r="BQ76" s="17">
        <v>70</v>
      </c>
      <c r="BR76" s="61">
        <v>22721</v>
      </c>
      <c r="BS76" s="16">
        <v>2.0000000000000018</v>
      </c>
      <c r="BT76" s="16">
        <v>22.999999997671694</v>
      </c>
      <c r="BU76" s="16" t="s">
        <v>20</v>
      </c>
      <c r="BV76" s="16">
        <v>4.75</v>
      </c>
      <c r="BW76" s="16">
        <v>2.6</v>
      </c>
      <c r="BX76" s="17"/>
      <c r="BZ76" s="0" t="s">
        <v>275</v>
      </c>
      <c r="CA76" s="71">
        <f>MAX(CB7:CB1000)</f>
        <v>0</v>
      </c>
      <c r="CB76" s="17"/>
      <c r="CC76" s="61"/>
      <c r="CD76" s="16"/>
      <c r="CE76" s="16"/>
      <c r="CF76" s="16"/>
      <c r="CG76" s="16"/>
      <c r="CH76" s="16"/>
      <c r="CI76" s="17"/>
      <c r="CK76" s="0" t="s">
        <v>275</v>
      </c>
      <c r="CL76" s="71">
        <f>MAX(CM7:CM1000)</f>
        <v>0</v>
      </c>
      <c r="CM76" s="17">
        <v>70</v>
      </c>
      <c r="CN76" s="61">
        <v>24439</v>
      </c>
      <c r="CO76" s="16" t="s">
        <v>20</v>
      </c>
      <c r="CP76" s="16" t="s">
        <v>20</v>
      </c>
      <c r="CQ76" s="16" t="s">
        <v>20</v>
      </c>
      <c r="CR76" s="16" t="s">
        <v>20</v>
      </c>
      <c r="CS76" s="16" t="s">
        <v>20</v>
      </c>
      <c r="CT76" s="17"/>
      <c r="CV76" s="0" t="s">
        <v>275</v>
      </c>
      <c r="CW76" s="71">
        <f>MAX(CX7:CX1000)</f>
        <v>0</v>
      </c>
      <c r="CX76" s="17"/>
      <c r="CY76" s="60"/>
      <c r="CZ76" s="16"/>
      <c r="DA76" s="16"/>
      <c r="DB76" s="16"/>
      <c r="DC76" s="16"/>
      <c r="DD76" s="16"/>
      <c r="DE76" s="17"/>
      <c r="DG76" s="0" t="s">
        <v>275</v>
      </c>
      <c r="DH76" s="71">
        <f>MAX(DI7:DI1000)</f>
        <v>0</v>
      </c>
      <c r="DI76" s="17">
        <v>70</v>
      </c>
      <c r="DJ76" s="60">
        <v>23555</v>
      </c>
      <c r="DK76" s="16" t="s">
        <v>20</v>
      </c>
      <c r="DL76" s="16" t="s">
        <v>20</v>
      </c>
      <c r="DM76" s="16" t="s">
        <v>20</v>
      </c>
      <c r="DN76" s="16" t="s">
        <v>20</v>
      </c>
      <c r="DO76" s="16" t="s">
        <v>20</v>
      </c>
      <c r="DP76" s="17"/>
      <c r="DR76" s="0" t="s">
        <v>275</v>
      </c>
      <c r="DS76" s="71">
        <f>MAX(DT7:DT1000)</f>
        <v>0</v>
      </c>
      <c r="DT76" s="17"/>
      <c r="DU76" s="60"/>
      <c r="DV76" s="16"/>
      <c r="DW76" s="16"/>
      <c r="DX76" s="16"/>
      <c r="DY76" s="16"/>
      <c r="DZ76" s="16"/>
      <c r="EA76" s="17"/>
      <c r="EC76" s="0" t="s">
        <v>275</v>
      </c>
      <c r="ED76" s="71">
        <f>MAX(EE7:EE1000)</f>
        <v>0</v>
      </c>
      <c r="EE76" s="17"/>
      <c r="EF76" s="60"/>
      <c r="EG76" s="16"/>
      <c r="EH76" s="16"/>
      <c r="EI76" s="16"/>
      <c r="EJ76" s="16"/>
      <c r="EK76" s="16"/>
      <c r="EL76" s="17"/>
      <c r="EN76" s="0" t="s">
        <v>275</v>
      </c>
      <c r="EO76" s="71">
        <f>MAX(EP7:EP1000)</f>
        <v>0</v>
      </c>
      <c r="EP76" s="17">
        <v>70</v>
      </c>
      <c r="EQ76" s="60">
        <v>22992</v>
      </c>
      <c r="ER76" s="16" t="s">
        <v>20</v>
      </c>
      <c r="ES76" s="16" t="s">
        <v>20</v>
      </c>
      <c r="ET76" s="16" t="s">
        <v>20</v>
      </c>
      <c r="EU76" s="16" t="s">
        <v>20</v>
      </c>
      <c r="EV76" s="16" t="s">
        <v>20</v>
      </c>
      <c r="EW76" s="17"/>
      <c r="EY76" s="0" t="s">
        <v>275</v>
      </c>
      <c r="EZ76" s="71">
        <f>MAX(FA7:FA1000)</f>
        <v>0</v>
      </c>
      <c r="FA76" s="17">
        <v>70</v>
      </c>
      <c r="FB76" s="60">
        <v>24884</v>
      </c>
      <c r="FC76" s="16">
        <v>11.999999999999995</v>
      </c>
      <c r="FD76" s="16">
        <v>-69.000000007683411</v>
      </c>
      <c r="FE76" s="16" t="s">
        <v>20</v>
      </c>
      <c r="FF76" s="16">
        <v>5.3000000000000176</v>
      </c>
      <c r="FG76" s="16">
        <v>5</v>
      </c>
      <c r="FH76" s="17"/>
      <c r="FJ76" s="0" t="s">
        <v>275</v>
      </c>
      <c r="FK76" s="71">
        <f>MAX(FL7:FL1000)</f>
        <v>0</v>
      </c>
      <c r="FL76" s="17">
        <v>70</v>
      </c>
      <c r="FM76" s="60">
        <v>24647</v>
      </c>
      <c r="FN76" s="16" t="s">
        <v>20</v>
      </c>
      <c r="FO76" s="16" t="s">
        <v>20</v>
      </c>
      <c r="FP76" s="16" t="s">
        <v>20</v>
      </c>
      <c r="FQ76" s="16" t="s">
        <v>20</v>
      </c>
      <c r="FR76" s="16" t="s">
        <v>20</v>
      </c>
      <c r="FS76" s="17"/>
      <c r="FU76" s="0" t="s">
        <v>275</v>
      </c>
      <c r="FV76" s="71">
        <f>MAX(FW7:FW1000)</f>
        <v>0</v>
      </c>
      <c r="FW76" s="17">
        <v>70</v>
      </c>
      <c r="FX76" s="60">
        <v>25190</v>
      </c>
      <c r="FY76" s="16" t="s">
        <v>20</v>
      </c>
      <c r="FZ76" s="16" t="s">
        <v>20</v>
      </c>
      <c r="GA76" s="16" t="s">
        <v>20</v>
      </c>
      <c r="GB76" s="16" t="s">
        <v>20</v>
      </c>
      <c r="GC76" s="16" t="s">
        <v>20</v>
      </c>
      <c r="GD76" s="17"/>
      <c r="GF76" s="0" t="s">
        <v>275</v>
      </c>
      <c r="GG76" s="71">
        <f>MAX(GH7:GH1000)</f>
        <v>0</v>
      </c>
      <c r="GH76" s="17">
        <v>70</v>
      </c>
      <c r="GI76" s="60">
        <v>23166</v>
      </c>
      <c r="GJ76" s="16" t="s">
        <v>20</v>
      </c>
      <c r="GK76" s="16" t="s">
        <v>20</v>
      </c>
      <c r="GL76" s="16" t="s">
        <v>20</v>
      </c>
      <c r="GM76" s="16" t="s">
        <v>20</v>
      </c>
      <c r="GN76" s="16" t="s">
        <v>20</v>
      </c>
      <c r="GO76" s="17"/>
      <c r="GQ76" s="0" t="s">
        <v>275</v>
      </c>
      <c r="GR76" s="71">
        <f>MAX(GS7:GS1000)</f>
        <v>0</v>
      </c>
      <c r="GS76" s="17"/>
      <c r="GT76" s="60"/>
      <c r="GU76" s="16"/>
      <c r="GV76" s="16"/>
      <c r="GW76" s="16"/>
      <c r="GX76" s="16"/>
      <c r="GY76" s="16"/>
      <c r="GZ76" s="17"/>
      <c r="HB76" s="0" t="s">
        <v>275</v>
      </c>
      <c r="HC76" s="71">
        <f>MAX(HD7:HD1000)</f>
        <v>0</v>
      </c>
      <c r="HD76" s="17"/>
      <c r="HE76" s="60"/>
      <c r="HF76" s="16"/>
      <c r="HG76" s="16"/>
      <c r="HH76" s="16"/>
      <c r="HI76" s="16"/>
      <c r="HJ76" s="16"/>
      <c r="HK76" s="17"/>
      <c r="HM76" s="0" t="s">
        <v>275</v>
      </c>
      <c r="HN76" s="71">
        <f>MAX(HO7:HO1000)</f>
        <v>0</v>
      </c>
      <c r="HO76" s="17"/>
      <c r="HP76" s="60"/>
      <c r="HQ76" s="16"/>
      <c r="HR76" s="16"/>
      <c r="HS76" s="16"/>
      <c r="HT76" s="16"/>
      <c r="HU76" s="16"/>
      <c r="HV76" s="17"/>
      <c r="HX76" s="0" t="s">
        <v>275</v>
      </c>
      <c r="HY76" s="71">
        <f>MAX(HZ7:HZ1000)</f>
        <v>0</v>
      </c>
      <c r="HZ76" s="17"/>
      <c r="IA76" s="60"/>
      <c r="IB76" s="16"/>
      <c r="IC76" s="16"/>
      <c r="ID76" s="16"/>
      <c r="IE76" s="16"/>
      <c r="IF76" s="16"/>
      <c r="IG76" s="17"/>
      <c r="II76" s="0" t="s">
        <v>275</v>
      </c>
      <c r="IJ76" s="71">
        <f>MAX(IK7:IK1000)</f>
        <v>0</v>
      </c>
      <c r="IK76" s="17"/>
      <c r="IL76" s="60"/>
      <c r="IM76" s="16"/>
      <c r="IN76" s="16"/>
      <c r="IO76" s="16"/>
      <c r="IP76" s="16"/>
      <c r="IQ76" s="16"/>
      <c r="IR76" s="17"/>
      <c r="IT76" s="0" t="s">
        <v>275</v>
      </c>
      <c r="IU76" s="71">
        <f>MAX(IV7:IV1000)</f>
        <v>0</v>
      </c>
      <c r="IV76" s="17"/>
      <c r="IW76" s="60"/>
      <c r="IX76" s="16"/>
      <c r="IY76" s="16"/>
      <c r="IZ76" s="16"/>
      <c r="JA76" s="16"/>
      <c r="JB76" s="16"/>
      <c r="JC76" s="17"/>
      <c r="JE76" s="0" t="s">
        <v>275</v>
      </c>
      <c r="JF76" s="71">
        <f>MAX(JG7:JG1000)</f>
        <v>0</v>
      </c>
      <c r="JG76" s="17"/>
      <c r="JH76" s="60"/>
      <c r="JI76" s="16"/>
      <c r="JJ76" s="16"/>
      <c r="JK76" s="16"/>
      <c r="JL76" s="16"/>
      <c r="JM76" s="16"/>
      <c r="JN76" s="17"/>
      <c r="JP76" s="0" t="s">
        <v>275</v>
      </c>
      <c r="JQ76" s="71">
        <f>MAX(JR7:JR1000)</f>
        <v>0</v>
      </c>
      <c r="JR76" s="17"/>
      <c r="JS76" s="60"/>
      <c r="JT76" s="16"/>
      <c r="JU76" s="16"/>
      <c r="JV76" s="16"/>
      <c r="JW76" s="16"/>
      <c r="JX76" s="16"/>
      <c r="JY76" s="17"/>
      <c r="KA76" s="0" t="s">
        <v>275</v>
      </c>
      <c r="KB76" s="71">
        <f>MAX(KC7:KC1000)</f>
        <v>0</v>
      </c>
      <c r="KC76" s="17"/>
      <c r="KD76" s="60"/>
      <c r="KE76" s="16"/>
      <c r="KF76" s="16"/>
      <c r="KG76" s="16"/>
      <c r="KH76" s="16"/>
      <c r="KI76" s="16"/>
      <c r="KJ76" s="17"/>
      <c r="KL76" s="0" t="s">
        <v>275</v>
      </c>
      <c r="KM76" s="71">
        <f>MAX(KN7:KN1000)</f>
        <v>0</v>
      </c>
      <c r="KN76" s="17"/>
      <c r="KO76" s="60"/>
      <c r="KP76" s="16"/>
      <c r="KQ76" s="16"/>
      <c r="KR76" s="16"/>
      <c r="KS76" s="16"/>
      <c r="KT76" s="16"/>
      <c r="KU76" s="17"/>
      <c r="KW76" s="0" t="s">
        <v>275</v>
      </c>
      <c r="KX76" s="71">
        <f>MAX(KY7:KY1000)</f>
        <v>0</v>
      </c>
      <c r="KY76" s="17"/>
      <c r="KZ76" s="60"/>
      <c r="LA76" s="16"/>
      <c r="LB76" s="16"/>
      <c r="LC76" s="16"/>
      <c r="LD76" s="16"/>
      <c r="LE76" s="16"/>
      <c r="LF76" s="17"/>
      <c r="LH76" s="0" t="s">
        <v>275</v>
      </c>
      <c r="LI76" s="71">
        <f>MAX(LJ7:LJ1000)</f>
        <v>0</v>
      </c>
      <c r="LJ76" s="17"/>
      <c r="LK76" s="60"/>
      <c r="LL76" s="16"/>
      <c r="LM76" s="16"/>
      <c r="LN76" s="16"/>
      <c r="LO76" s="16"/>
      <c r="LP76" s="16"/>
      <c r="LQ76" s="17"/>
    </row>
    <row r="77">
      <c r="A77" s="0" t="s">
        <v>276</v>
      </c>
      <c r="B77" s="46">
        <f>IFERROR(IF(ISBLANK(E7),0,AVERAGE(E7:E1000)),0)</f>
        <v>0</v>
      </c>
      <c r="C77" s="63">
        <v>71</v>
      </c>
      <c r="D77" s="64">
        <v>24086</v>
      </c>
      <c r="E77" s="16" t="s">
        <v>20</v>
      </c>
      <c r="F77" s="16" t="s">
        <v>20</v>
      </c>
      <c r="G77" s="21" t="s">
        <v>20</v>
      </c>
      <c r="H77" s="16" t="s">
        <v>20</v>
      </c>
      <c r="I77" s="16" t="s">
        <v>20</v>
      </c>
      <c r="J77" s="17"/>
      <c r="L77" s="0" t="s">
        <v>276</v>
      </c>
      <c r="M77" s="46">
        <f>IFERROR(IF(ISBLANK(P7),0,AVERAGE(P7:P1000)),0)</f>
        <v>0</v>
      </c>
      <c r="N77" s="17"/>
      <c r="O77" s="64"/>
      <c r="P77" s="16"/>
      <c r="Q77" s="16"/>
      <c r="R77" s="16"/>
      <c r="S77" s="16"/>
      <c r="T77" s="16"/>
      <c r="U77" s="17"/>
      <c r="W77" s="0" t="s">
        <v>276</v>
      </c>
      <c r="X77" s="46">
        <f>IFERROR(IF(ISBLANK(AA7),0,AVERAGE(AA7:AA1000)),0)</f>
        <v>0</v>
      </c>
      <c r="Y77" s="66">
        <v>71</v>
      </c>
      <c r="Z77" s="61">
        <v>23363</v>
      </c>
      <c r="AA77" s="16" t="s">
        <v>20</v>
      </c>
      <c r="AB77" s="16" t="s">
        <v>20</v>
      </c>
      <c r="AC77" s="16" t="s">
        <v>20</v>
      </c>
      <c r="AD77" s="16" t="s">
        <v>20</v>
      </c>
      <c r="AE77" s="16" t="s">
        <v>20</v>
      </c>
      <c r="AF77" s="17"/>
      <c r="AH77" s="0" t="s">
        <v>276</v>
      </c>
      <c r="AI77" s="46">
        <f>IFERROR(IF(ISBLANK(AL7),0,AVERAGE(AL7:AL1000)),0)</f>
        <v>0</v>
      </c>
      <c r="AJ77" s="17">
        <v>71</v>
      </c>
      <c r="AK77" s="61">
        <v>23057</v>
      </c>
      <c r="AL77" s="16">
        <v>4.0000000000000036</v>
      </c>
      <c r="AM77" s="16">
        <v>22.000000000931323</v>
      </c>
      <c r="AN77" s="16" t="s">
        <v>20</v>
      </c>
      <c r="AO77" s="16">
        <v>4.5</v>
      </c>
      <c r="AP77" s="16">
        <v>3</v>
      </c>
      <c r="AQ77" s="17"/>
      <c r="AS77" s="0" t="s">
        <v>276</v>
      </c>
      <c r="AT77" s="46">
        <f>IFERROR(IF(ISBLANK(AW7),0,AVERAGE(AW7:AW1000)),0)</f>
        <v>0</v>
      </c>
      <c r="AU77" s="17">
        <v>71</v>
      </c>
      <c r="AV77" s="61">
        <v>22686</v>
      </c>
      <c r="AW77" s="16" t="s">
        <v>20</v>
      </c>
      <c r="AX77" s="16" t="s">
        <v>20</v>
      </c>
      <c r="AY77" s="16"/>
      <c r="AZ77" s="16" t="s">
        <v>20</v>
      </c>
      <c r="BA77" s="16" t="s">
        <v>20</v>
      </c>
      <c r="BB77" s="17"/>
      <c r="BD77" s="0" t="s">
        <v>276</v>
      </c>
      <c r="BE77" s="46">
        <f>IFERROR(IF(ISBLANK(BH7),0,AVERAGE(BH7:BH1000)),0)</f>
        <v>0</v>
      </c>
      <c r="BF77" s="17">
        <v>71</v>
      </c>
      <c r="BG77" s="61">
        <v>23203</v>
      </c>
      <c r="BH77" s="16" t="s">
        <v>20</v>
      </c>
      <c r="BI77" s="16" t="s">
        <v>20</v>
      </c>
      <c r="BJ77" s="16" t="s">
        <v>20</v>
      </c>
      <c r="BK77" s="16" t="s">
        <v>20</v>
      </c>
      <c r="BL77" s="16" t="s">
        <v>20</v>
      </c>
      <c r="BM77" s="17"/>
      <c r="BO77" s="0" t="s">
        <v>276</v>
      </c>
      <c r="BP77" s="46">
        <f>IFERROR(IF(ISBLANK(BS7),0,AVERAGE(BS7:BS1000)),0)</f>
        <v>0</v>
      </c>
      <c r="BQ77" s="17">
        <v>71</v>
      </c>
      <c r="BR77" s="61">
        <v>22921</v>
      </c>
      <c r="BS77" s="16">
        <v>4.0000000000000036</v>
      </c>
      <c r="BT77" s="16">
        <v>30.999999998835847</v>
      </c>
      <c r="BU77" s="16" t="s">
        <v>20</v>
      </c>
      <c r="BV77" s="16">
        <v>4.75</v>
      </c>
      <c r="BW77" s="16">
        <v>2.6</v>
      </c>
      <c r="BX77" s="17"/>
      <c r="BZ77" s="0" t="s">
        <v>276</v>
      </c>
      <c r="CA77" s="46">
        <f>IFERROR(IF(ISBLANK(CD7),0,AVERAGE(CD7:CD1000)),0)</f>
        <v>0</v>
      </c>
      <c r="CB77" s="17"/>
      <c r="CC77" s="61"/>
      <c r="CD77" s="16"/>
      <c r="CE77" s="16"/>
      <c r="CF77" s="16"/>
      <c r="CG77" s="16"/>
      <c r="CH77" s="16"/>
      <c r="CI77" s="17"/>
      <c r="CK77" s="0" t="s">
        <v>276</v>
      </c>
      <c r="CL77" s="46">
        <f>IFERROR(IF(ISBLANK(CO7),0,AVERAGE(CO7:CO1000)),0)</f>
        <v>0</v>
      </c>
      <c r="CM77" s="17">
        <v>71</v>
      </c>
      <c r="CN77" s="61">
        <v>24641</v>
      </c>
      <c r="CO77" s="16" t="s">
        <v>20</v>
      </c>
      <c r="CP77" s="16" t="s">
        <v>20</v>
      </c>
      <c r="CQ77" s="16" t="s">
        <v>20</v>
      </c>
      <c r="CR77" s="16" t="s">
        <v>20</v>
      </c>
      <c r="CS77" s="16" t="s">
        <v>20</v>
      </c>
      <c r="CT77" s="17"/>
      <c r="CV77" s="0" t="s">
        <v>276</v>
      </c>
      <c r="CW77" s="46">
        <f>IFERROR(IF(ISBLANK(CZ7),0,AVERAGE(CZ7:CZ1000)),0)</f>
        <v>0</v>
      </c>
      <c r="CX77" s="17"/>
      <c r="CY77" s="60"/>
      <c r="CZ77" s="16"/>
      <c r="DA77" s="16"/>
      <c r="DB77" s="16"/>
      <c r="DC77" s="16"/>
      <c r="DD77" s="16"/>
      <c r="DE77" s="17"/>
      <c r="DG77" s="0" t="s">
        <v>276</v>
      </c>
      <c r="DH77" s="46">
        <f>IFERROR(IF(ISBLANK(DK7),0,AVERAGE(DK7:DK1000)),0)</f>
        <v>0</v>
      </c>
      <c r="DI77" s="17">
        <v>71</v>
      </c>
      <c r="DJ77" s="60">
        <v>23757</v>
      </c>
      <c r="DK77" s="16" t="s">
        <v>20</v>
      </c>
      <c r="DL77" s="16" t="s">
        <v>20</v>
      </c>
      <c r="DM77" s="16" t="s">
        <v>20</v>
      </c>
      <c r="DN77" s="16" t="s">
        <v>20</v>
      </c>
      <c r="DO77" s="16" t="s">
        <v>20</v>
      </c>
      <c r="DP77" s="17"/>
      <c r="DR77" s="0" t="s">
        <v>276</v>
      </c>
      <c r="DS77" s="46">
        <f>IFERROR(IF(ISBLANK(DV7),0,AVERAGE(DV7:DV1000)),0)</f>
        <v>0</v>
      </c>
      <c r="DT77" s="17"/>
      <c r="DU77" s="60"/>
      <c r="DV77" s="16"/>
      <c r="DW77" s="16"/>
      <c r="DX77" s="16"/>
      <c r="DY77" s="16"/>
      <c r="DZ77" s="16"/>
      <c r="EA77" s="17"/>
      <c r="EC77" s="0" t="s">
        <v>276</v>
      </c>
      <c r="ED77" s="46">
        <f>IFERROR(IF(ISBLANK(EG7),0,AVERAGE(EG7:EG1000)),0)</f>
        <v>0</v>
      </c>
      <c r="EE77" s="17"/>
      <c r="EF77" s="60"/>
      <c r="EG77" s="16"/>
      <c r="EH77" s="16"/>
      <c r="EI77" s="16"/>
      <c r="EJ77" s="16"/>
      <c r="EK77" s="16"/>
      <c r="EL77" s="17"/>
      <c r="EN77" s="0" t="s">
        <v>276</v>
      </c>
      <c r="EO77" s="46">
        <f>IFERROR(IF(ISBLANK(ER7),0,AVERAGE(ER7:ER1000)),0)</f>
        <v>0</v>
      </c>
      <c r="EP77" s="17">
        <v>71</v>
      </c>
      <c r="EQ77" s="60">
        <v>23194</v>
      </c>
      <c r="ER77" s="16" t="s">
        <v>20</v>
      </c>
      <c r="ES77" s="16" t="s">
        <v>20</v>
      </c>
      <c r="ET77" s="16" t="s">
        <v>20</v>
      </c>
      <c r="EU77" s="16" t="s">
        <v>20</v>
      </c>
      <c r="EV77" s="16" t="s">
        <v>20</v>
      </c>
      <c r="EW77" s="17"/>
      <c r="EY77" s="0" t="s">
        <v>276</v>
      </c>
      <c r="EZ77" s="46">
        <f>IFERROR(IF(ISBLANK(FC7),0,AVERAGE(FC7:FC1000)),0)</f>
        <v>0</v>
      </c>
      <c r="FA77" s="17">
        <v>71</v>
      </c>
      <c r="FB77" s="60">
        <v>25084</v>
      </c>
      <c r="FC77" s="16">
        <v>4.0000000000000036</v>
      </c>
      <c r="FD77" s="16">
        <v>161.00000000349246</v>
      </c>
      <c r="FE77" s="16" t="s">
        <v>20</v>
      </c>
      <c r="FF77" s="16">
        <v>5.3000000000000176</v>
      </c>
      <c r="FG77" s="16">
        <v>5</v>
      </c>
      <c r="FH77" s="17"/>
      <c r="FJ77" s="0" t="s">
        <v>276</v>
      </c>
      <c r="FK77" s="46">
        <f>IFERROR(IF(ISBLANK(FN7),0,AVERAGE(FN7:FN1000)),0)</f>
        <v>0</v>
      </c>
      <c r="FL77" s="17">
        <v>71</v>
      </c>
      <c r="FM77" s="60">
        <v>24846</v>
      </c>
      <c r="FN77" s="16" t="s">
        <v>20</v>
      </c>
      <c r="FO77" s="16" t="s">
        <v>20</v>
      </c>
      <c r="FP77" s="16" t="s">
        <v>20</v>
      </c>
      <c r="FQ77" s="16" t="s">
        <v>20</v>
      </c>
      <c r="FR77" s="16" t="s">
        <v>20</v>
      </c>
      <c r="FS77" s="17"/>
      <c r="FU77" s="0" t="s">
        <v>276</v>
      </c>
      <c r="FV77" s="46">
        <f>IFERROR(IF(ISBLANK(FY7),0,AVERAGE(FY7:FY1000)),0)</f>
        <v>0</v>
      </c>
      <c r="FW77" s="17">
        <v>71</v>
      </c>
      <c r="FX77" s="60">
        <v>25431</v>
      </c>
      <c r="FY77" s="16" t="s">
        <v>20</v>
      </c>
      <c r="FZ77" s="16" t="s">
        <v>20</v>
      </c>
      <c r="GA77" s="16" t="s">
        <v>20</v>
      </c>
      <c r="GB77" s="16" t="s">
        <v>20</v>
      </c>
      <c r="GC77" s="16" t="s">
        <v>20</v>
      </c>
      <c r="GD77" s="17"/>
      <c r="GF77" s="0" t="s">
        <v>276</v>
      </c>
      <c r="GG77" s="46">
        <f>IFERROR(IF(ISBLANK(GJ7),0,AVERAGE(GJ7:GJ1000)),0)</f>
        <v>0</v>
      </c>
      <c r="GH77" s="17">
        <v>71</v>
      </c>
      <c r="GI77" s="60">
        <v>23570</v>
      </c>
      <c r="GJ77" s="16" t="s">
        <v>20</v>
      </c>
      <c r="GK77" s="16" t="s">
        <v>20</v>
      </c>
      <c r="GL77" s="16" t="s">
        <v>20</v>
      </c>
      <c r="GM77" s="16" t="s">
        <v>20</v>
      </c>
      <c r="GN77" s="16" t="s">
        <v>20</v>
      </c>
      <c r="GO77" s="17"/>
      <c r="GQ77" s="0" t="s">
        <v>276</v>
      </c>
      <c r="GR77" s="46">
        <f>IFERROR(IF(ISBLANK(GU7),0,AVERAGE(GU7:GU1000)),0)</f>
        <v>0</v>
      </c>
      <c r="GS77" s="17"/>
      <c r="GT77" s="60"/>
      <c r="GU77" s="16"/>
      <c r="GV77" s="16"/>
      <c r="GW77" s="16"/>
      <c r="GX77" s="16"/>
      <c r="GY77" s="16"/>
      <c r="GZ77" s="17"/>
      <c r="HB77" s="0" t="s">
        <v>276</v>
      </c>
      <c r="HC77" s="46">
        <f>IFERROR(IF(ISBLANK(HF7),0,AVERAGE(HF7:HF1000)),0)</f>
        <v>0</v>
      </c>
      <c r="HD77" s="17"/>
      <c r="HE77" s="60"/>
      <c r="HF77" s="16"/>
      <c r="HG77" s="16"/>
      <c r="HH77" s="16"/>
      <c r="HI77" s="16"/>
      <c r="HJ77" s="16"/>
      <c r="HK77" s="17"/>
      <c r="HM77" s="0" t="s">
        <v>276</v>
      </c>
      <c r="HN77" s="46">
        <f>IFERROR(IF(ISBLANK(HQ7),0,AVERAGE(HQ7:HQ1000)),0)</f>
        <v>0</v>
      </c>
      <c r="HO77" s="17"/>
      <c r="HP77" s="60"/>
      <c r="HQ77" s="16"/>
      <c r="HR77" s="16"/>
      <c r="HS77" s="16"/>
      <c r="HT77" s="16"/>
      <c r="HU77" s="16"/>
      <c r="HV77" s="17"/>
      <c r="HX77" s="0" t="s">
        <v>276</v>
      </c>
      <c r="HY77" s="46">
        <f>IFERROR(IF(ISBLANK(IB7),0,AVERAGE(IB7:IB1000)),0)</f>
        <v>0</v>
      </c>
      <c r="HZ77" s="17"/>
      <c r="IA77" s="60"/>
      <c r="IB77" s="16"/>
      <c r="IC77" s="16"/>
      <c r="ID77" s="16"/>
      <c r="IE77" s="16"/>
      <c r="IF77" s="16"/>
      <c r="IG77" s="17"/>
      <c r="II77" s="0" t="s">
        <v>276</v>
      </c>
      <c r="IJ77" s="46">
        <f>IFERROR(IF(ISBLANK(IM7),0,AVERAGE(IM7:IM1000)),0)</f>
        <v>0</v>
      </c>
      <c r="IK77" s="17"/>
      <c r="IL77" s="60"/>
      <c r="IM77" s="16"/>
      <c r="IN77" s="16"/>
      <c r="IO77" s="16"/>
      <c r="IP77" s="16"/>
      <c r="IQ77" s="16"/>
      <c r="IR77" s="17"/>
      <c r="IT77" s="0" t="s">
        <v>276</v>
      </c>
      <c r="IU77" s="46">
        <f>IFERROR(IF(ISBLANK(IX7),0,AVERAGE(IX7:IX1000)),0)</f>
        <v>0</v>
      </c>
      <c r="IV77" s="17"/>
      <c r="IW77" s="60"/>
      <c r="IX77" s="16"/>
      <c r="IY77" s="16"/>
      <c r="IZ77" s="16"/>
      <c r="JA77" s="16"/>
      <c r="JB77" s="16"/>
      <c r="JC77" s="17"/>
      <c r="JE77" s="0" t="s">
        <v>276</v>
      </c>
      <c r="JF77" s="46">
        <f>IFERROR(IF(ISBLANK(JI7),0,AVERAGE(JI7:JI1000)),0)</f>
        <v>0</v>
      </c>
      <c r="JG77" s="17"/>
      <c r="JH77" s="60"/>
      <c r="JI77" s="16"/>
      <c r="JJ77" s="16"/>
      <c r="JK77" s="16"/>
      <c r="JL77" s="16"/>
      <c r="JM77" s="16"/>
      <c r="JN77" s="17"/>
      <c r="JP77" s="0" t="s">
        <v>276</v>
      </c>
      <c r="JQ77" s="46">
        <f>IFERROR(IF(ISBLANK(JT7),0,AVERAGE(JT7:JT1000)),0)</f>
        <v>0</v>
      </c>
      <c r="JR77" s="17"/>
      <c r="JS77" s="60"/>
      <c r="JT77" s="16"/>
      <c r="JU77" s="16"/>
      <c r="JV77" s="16"/>
      <c r="JW77" s="16"/>
      <c r="JX77" s="16"/>
      <c r="JY77" s="17"/>
      <c r="KA77" s="0" t="s">
        <v>276</v>
      </c>
      <c r="KB77" s="46">
        <f>IFERROR(IF(ISBLANK(KE7),0,AVERAGE(KE7:KE1000)),0)</f>
        <v>0</v>
      </c>
      <c r="KC77" s="17"/>
      <c r="KD77" s="60"/>
      <c r="KE77" s="16"/>
      <c r="KF77" s="16"/>
      <c r="KG77" s="16"/>
      <c r="KH77" s="16"/>
      <c r="KI77" s="16"/>
      <c r="KJ77" s="17"/>
      <c r="KL77" s="0" t="s">
        <v>276</v>
      </c>
      <c r="KM77" s="46">
        <f>IFERROR(IF(ISBLANK(KP7),0,AVERAGE(KP7:KP1000)),0)</f>
        <v>0</v>
      </c>
      <c r="KN77" s="17"/>
      <c r="KO77" s="60"/>
      <c r="KP77" s="16"/>
      <c r="KQ77" s="16"/>
      <c r="KR77" s="16"/>
      <c r="KS77" s="16"/>
      <c r="KT77" s="16"/>
      <c r="KU77" s="17"/>
      <c r="KW77" s="0" t="s">
        <v>276</v>
      </c>
      <c r="KX77" s="46">
        <f>IFERROR(IF(ISBLANK(LA7),0,AVERAGE(LA7:LA1000)),0)</f>
        <v>0</v>
      </c>
      <c r="KY77" s="17"/>
      <c r="KZ77" s="60"/>
      <c r="LA77" s="16"/>
      <c r="LB77" s="16"/>
      <c r="LC77" s="16"/>
      <c r="LD77" s="16"/>
      <c r="LE77" s="16"/>
      <c r="LF77" s="17"/>
      <c r="LH77" s="0" t="s">
        <v>276</v>
      </c>
      <c r="LI77" s="46">
        <f>IFERROR(IF(ISBLANK(LL7),0,AVERAGE(LL7:LL1000)),0)</f>
        <v>0</v>
      </c>
      <c r="LJ77" s="17"/>
      <c r="LK77" s="60"/>
      <c r="LL77" s="16"/>
      <c r="LM77" s="16"/>
      <c r="LN77" s="16"/>
      <c r="LO77" s="16"/>
      <c r="LP77" s="16"/>
      <c r="LQ77" s="17"/>
    </row>
    <row r="78">
      <c r="A78" s="0" t="s">
        <v>277</v>
      </c>
      <c r="B78" s="46">
        <f>IFERROR(SUM(G7:G1000)/1000, 0)</f>
        <v>0</v>
      </c>
      <c r="C78" s="63">
        <v>72</v>
      </c>
      <c r="D78" s="64">
        <v>24288</v>
      </c>
      <c r="E78" s="16" t="s">
        <v>20</v>
      </c>
      <c r="F78" s="16" t="s">
        <v>20</v>
      </c>
      <c r="G78" s="21" t="s">
        <v>20</v>
      </c>
      <c r="H78" s="16" t="s">
        <v>20</v>
      </c>
      <c r="I78" s="16" t="s">
        <v>20</v>
      </c>
      <c r="J78" s="17"/>
      <c r="L78" s="0" t="s">
        <v>277</v>
      </c>
      <c r="M78" s="46">
        <f>IFERROR(SUM(R7:R1000)/1000, 0)</f>
        <v>0</v>
      </c>
      <c r="N78" s="17"/>
      <c r="O78" s="64"/>
      <c r="P78" s="16"/>
      <c r="Q78" s="16"/>
      <c r="R78" s="16"/>
      <c r="S78" s="16"/>
      <c r="T78" s="16"/>
      <c r="U78" s="17"/>
      <c r="W78" s="0" t="s">
        <v>277</v>
      </c>
      <c r="X78" s="46">
        <f>IFERROR(SUM(AC7:AC1000)/1000, 0)</f>
        <v>0</v>
      </c>
      <c r="Y78" s="66">
        <v>72</v>
      </c>
      <c r="Z78" s="61">
        <v>23564</v>
      </c>
      <c r="AA78" s="16" t="s">
        <v>20</v>
      </c>
      <c r="AB78" s="16" t="s">
        <v>20</v>
      </c>
      <c r="AC78" s="16" t="s">
        <v>20</v>
      </c>
      <c r="AD78" s="16" t="s">
        <v>20</v>
      </c>
      <c r="AE78" s="16" t="s">
        <v>20</v>
      </c>
      <c r="AF78" s="17"/>
      <c r="AH78" s="0" t="s">
        <v>277</v>
      </c>
      <c r="AI78" s="46">
        <f>IFERROR(SUM(AN7:AN1000)/1000, 0)</f>
        <v>0</v>
      </c>
      <c r="AJ78" s="17">
        <v>72</v>
      </c>
      <c r="AK78" s="61">
        <v>23258</v>
      </c>
      <c r="AL78" s="16">
        <v>6.0000000000000053</v>
      </c>
      <c r="AM78" s="16">
        <v>16.000000008847564</v>
      </c>
      <c r="AN78" s="16" t="s">
        <v>20</v>
      </c>
      <c r="AO78" s="16">
        <v>4.5</v>
      </c>
      <c r="AP78" s="16">
        <v>3.3</v>
      </c>
      <c r="AQ78" s="17"/>
      <c r="AS78" s="0" t="s">
        <v>277</v>
      </c>
      <c r="AT78" s="46">
        <f>IFERROR(SUM(AY7:AY1000)/1000, 0)</f>
        <v>0</v>
      </c>
      <c r="AU78" s="17">
        <v>72</v>
      </c>
      <c r="AV78" s="61">
        <v>22887</v>
      </c>
      <c r="AW78" s="16" t="s">
        <v>20</v>
      </c>
      <c r="AX78" s="16" t="s">
        <v>20</v>
      </c>
      <c r="AY78" s="16"/>
      <c r="AZ78" s="16" t="s">
        <v>20</v>
      </c>
      <c r="BA78" s="16" t="s">
        <v>20</v>
      </c>
      <c r="BB78" s="17"/>
      <c r="BD78" s="0" t="s">
        <v>277</v>
      </c>
      <c r="BE78" s="46">
        <f>IFERROR(SUM(BJ7:BJ1000)/1000, 0)</f>
        <v>0</v>
      </c>
      <c r="BF78" s="17">
        <v>72</v>
      </c>
      <c r="BG78" s="61">
        <v>23404</v>
      </c>
      <c r="BH78" s="16" t="s">
        <v>20</v>
      </c>
      <c r="BI78" s="16" t="s">
        <v>20</v>
      </c>
      <c r="BJ78" s="16" t="s">
        <v>20</v>
      </c>
      <c r="BK78" s="16" t="s">
        <v>20</v>
      </c>
      <c r="BL78" s="16" t="s">
        <v>20</v>
      </c>
      <c r="BM78" s="17"/>
      <c r="BO78" s="0" t="s">
        <v>277</v>
      </c>
      <c r="BP78" s="46">
        <f>IFERROR(SUM(BU7:BU1000)/1000, 0)</f>
        <v>0</v>
      </c>
      <c r="BQ78" s="17">
        <v>72</v>
      </c>
      <c r="BR78" s="61">
        <v>23122</v>
      </c>
      <c r="BS78" s="16">
        <v>9</v>
      </c>
      <c r="BT78" s="16">
        <v>14.999999994412065</v>
      </c>
      <c r="BU78" s="16" t="s">
        <v>20</v>
      </c>
      <c r="BV78" s="16">
        <v>4.75</v>
      </c>
      <c r="BW78" s="16">
        <v>2.7</v>
      </c>
      <c r="BX78" s="17"/>
      <c r="BZ78" s="0" t="s">
        <v>277</v>
      </c>
      <c r="CA78" s="46">
        <f>IFERROR(SUM(CF7:CF1000)/1000, 0)</f>
        <v>0</v>
      </c>
      <c r="CB78" s="17"/>
      <c r="CC78" s="61"/>
      <c r="CD78" s="16"/>
      <c r="CE78" s="16"/>
      <c r="CF78" s="16"/>
      <c r="CG78" s="16"/>
      <c r="CH78" s="16"/>
      <c r="CI78" s="17"/>
      <c r="CK78" s="0" t="s">
        <v>277</v>
      </c>
      <c r="CL78" s="46">
        <f>IFERROR(SUM(CQ7:CQ1000)/1000, 0)</f>
        <v>0</v>
      </c>
      <c r="CM78" s="17">
        <v>72</v>
      </c>
      <c r="CN78" s="61">
        <v>24843</v>
      </c>
      <c r="CO78" s="16" t="s">
        <v>20</v>
      </c>
      <c r="CP78" s="16" t="s">
        <v>20</v>
      </c>
      <c r="CQ78" s="16" t="s">
        <v>20</v>
      </c>
      <c r="CR78" s="16" t="s">
        <v>20</v>
      </c>
      <c r="CS78" s="16" t="s">
        <v>20</v>
      </c>
      <c r="CT78" s="17"/>
      <c r="CV78" s="0" t="s">
        <v>277</v>
      </c>
      <c r="CW78" s="46">
        <f>IFERROR(SUM(DB7:DB1000)/1000, 0)</f>
        <v>0</v>
      </c>
      <c r="CX78" s="17"/>
      <c r="CY78" s="60"/>
      <c r="CZ78" s="16"/>
      <c r="DA78" s="16"/>
      <c r="DB78" s="16"/>
      <c r="DC78" s="16"/>
      <c r="DD78" s="16"/>
      <c r="DE78" s="17"/>
      <c r="DG78" s="0" t="s">
        <v>277</v>
      </c>
      <c r="DH78" s="46">
        <f>IFERROR(SUM(DM7:DM1000)/1000, 0)</f>
        <v>0</v>
      </c>
      <c r="DI78" s="17">
        <v>72</v>
      </c>
      <c r="DJ78" s="60">
        <v>23958</v>
      </c>
      <c r="DK78" s="16" t="s">
        <v>20</v>
      </c>
      <c r="DL78" s="16" t="s">
        <v>20</v>
      </c>
      <c r="DM78" s="16" t="s">
        <v>20</v>
      </c>
      <c r="DN78" s="16" t="s">
        <v>20</v>
      </c>
      <c r="DO78" s="16" t="s">
        <v>20</v>
      </c>
      <c r="DP78" s="17"/>
      <c r="DR78" s="0" t="s">
        <v>277</v>
      </c>
      <c r="DS78" s="46">
        <f>IFERROR(SUM(DX7:DX1000)/1000, 0)</f>
        <v>0</v>
      </c>
      <c r="DT78" s="17"/>
      <c r="DU78" s="60"/>
      <c r="DV78" s="16"/>
      <c r="DW78" s="16"/>
      <c r="DX78" s="16"/>
      <c r="DY78" s="16"/>
      <c r="DZ78" s="16"/>
      <c r="EA78" s="17"/>
      <c r="EC78" s="0" t="s">
        <v>277</v>
      </c>
      <c r="ED78" s="46">
        <f>IFERROR(SUM(EI7:EI1000)/1000, 0)</f>
        <v>0</v>
      </c>
      <c r="EE78" s="17"/>
      <c r="EF78" s="60"/>
      <c r="EG78" s="16"/>
      <c r="EH78" s="16"/>
      <c r="EI78" s="16"/>
      <c r="EJ78" s="16"/>
      <c r="EK78" s="16"/>
      <c r="EL78" s="17"/>
      <c r="EN78" s="0" t="s">
        <v>277</v>
      </c>
      <c r="EO78" s="46">
        <f>IFERROR(SUM(ET7:ET1000)/1000, 0)</f>
        <v>0</v>
      </c>
      <c r="EP78" s="17">
        <v>72</v>
      </c>
      <c r="EQ78" s="60">
        <v>23396</v>
      </c>
      <c r="ER78" s="16" t="s">
        <v>20</v>
      </c>
      <c r="ES78" s="16" t="s">
        <v>20</v>
      </c>
      <c r="ET78" s="16" t="s">
        <v>20</v>
      </c>
      <c r="EU78" s="16" t="s">
        <v>20</v>
      </c>
      <c r="EV78" s="16" t="s">
        <v>20</v>
      </c>
      <c r="EW78" s="17"/>
      <c r="EY78" s="0" t="s">
        <v>277</v>
      </c>
      <c r="EZ78" s="46">
        <f>IFERROR(SUM(FE7:FE1000)/1000, 0)</f>
        <v>0</v>
      </c>
      <c r="FA78" s="17">
        <v>72</v>
      </c>
      <c r="FB78" s="60">
        <v>25285</v>
      </c>
      <c r="FC78" s="16">
        <v>9.9999999999999929</v>
      </c>
      <c r="FD78" s="16">
        <v>17.000000004190952</v>
      </c>
      <c r="FE78" s="16" t="s">
        <v>20</v>
      </c>
      <c r="FF78" s="16">
        <v>5.3000000000000176</v>
      </c>
      <c r="FG78" s="16">
        <v>5</v>
      </c>
      <c r="FH78" s="17"/>
      <c r="FJ78" s="0" t="s">
        <v>277</v>
      </c>
      <c r="FK78" s="46">
        <f>IFERROR(SUM(FP7:FP1000)/1000, 0)</f>
        <v>0</v>
      </c>
      <c r="FL78" s="17">
        <v>72</v>
      </c>
      <c r="FM78" s="60">
        <v>25044</v>
      </c>
      <c r="FN78" s="16" t="s">
        <v>20</v>
      </c>
      <c r="FO78" s="16" t="s">
        <v>20</v>
      </c>
      <c r="FP78" s="16" t="s">
        <v>20</v>
      </c>
      <c r="FQ78" s="16" t="s">
        <v>20</v>
      </c>
      <c r="FR78" s="16" t="s">
        <v>20</v>
      </c>
      <c r="FS78" s="17"/>
      <c r="FU78" s="0" t="s">
        <v>277</v>
      </c>
      <c r="FV78" s="46">
        <f>IFERROR(SUM(GA7:GA1000)/1000, 0)</f>
        <v>0</v>
      </c>
      <c r="FW78" s="17">
        <v>72</v>
      </c>
      <c r="FX78" s="60">
        <v>25672</v>
      </c>
      <c r="FY78" s="16" t="s">
        <v>20</v>
      </c>
      <c r="FZ78" s="16" t="s">
        <v>20</v>
      </c>
      <c r="GA78" s="16" t="s">
        <v>20</v>
      </c>
      <c r="GB78" s="16" t="s">
        <v>20</v>
      </c>
      <c r="GC78" s="16" t="s">
        <v>20</v>
      </c>
      <c r="GD78" s="17"/>
      <c r="GF78" s="0" t="s">
        <v>277</v>
      </c>
      <c r="GG78" s="46">
        <f>IFERROR(SUM(GL7:GL1000)/1000, 0)</f>
        <v>0</v>
      </c>
      <c r="GH78" s="17">
        <v>72</v>
      </c>
      <c r="GI78" s="60">
        <v>8829</v>
      </c>
      <c r="GJ78" s="16" t="s">
        <v>20</v>
      </c>
      <c r="GK78" s="16" t="s">
        <v>20</v>
      </c>
      <c r="GL78" s="16" t="s">
        <v>20</v>
      </c>
      <c r="GM78" s="16" t="s">
        <v>20</v>
      </c>
      <c r="GN78" s="16" t="s">
        <v>20</v>
      </c>
      <c r="GO78" s="17"/>
      <c r="GQ78" s="0" t="s">
        <v>277</v>
      </c>
      <c r="GR78" s="46">
        <f>IFERROR(SUM(GW7:GW1000)/1000, 0)</f>
        <v>0</v>
      </c>
      <c r="GS78" s="17"/>
      <c r="GT78" s="60"/>
      <c r="GU78" s="16"/>
      <c r="GV78" s="16"/>
      <c r="GW78" s="16"/>
      <c r="GX78" s="16"/>
      <c r="GY78" s="16"/>
      <c r="GZ78" s="17"/>
      <c r="HB78" s="0" t="s">
        <v>277</v>
      </c>
      <c r="HC78" s="46">
        <f>IFERROR(SUM(HH7:HH1000)/1000, 0)</f>
        <v>0</v>
      </c>
      <c r="HD78" s="17"/>
      <c r="HE78" s="60"/>
      <c r="HF78" s="16"/>
      <c r="HG78" s="16"/>
      <c r="HH78" s="16"/>
      <c r="HI78" s="16"/>
      <c r="HJ78" s="16"/>
      <c r="HK78" s="17"/>
      <c r="HM78" s="0" t="s">
        <v>277</v>
      </c>
      <c r="HN78" s="46">
        <f>IFERROR(SUM(HS7:HS1000)/1000, 0)</f>
        <v>0</v>
      </c>
      <c r="HO78" s="17"/>
      <c r="HP78" s="60"/>
      <c r="HQ78" s="16"/>
      <c r="HR78" s="16"/>
      <c r="HS78" s="16"/>
      <c r="HT78" s="16"/>
      <c r="HU78" s="16"/>
      <c r="HV78" s="17"/>
      <c r="HX78" s="0" t="s">
        <v>277</v>
      </c>
      <c r="HY78" s="46">
        <f>IFERROR(SUM(ID7:ID1000)/1000, 0)</f>
        <v>0</v>
      </c>
      <c r="HZ78" s="17"/>
      <c r="IA78" s="60"/>
      <c r="IB78" s="16"/>
      <c r="IC78" s="16"/>
      <c r="ID78" s="16"/>
      <c r="IE78" s="16"/>
      <c r="IF78" s="16"/>
      <c r="IG78" s="17"/>
      <c r="II78" s="0" t="s">
        <v>277</v>
      </c>
      <c r="IJ78" s="46">
        <f>IFERROR(SUM(IO7:IO1000)/1000, 0)</f>
        <v>0</v>
      </c>
      <c r="IK78" s="17"/>
      <c r="IL78" s="60"/>
      <c r="IM78" s="16"/>
      <c r="IN78" s="16"/>
      <c r="IO78" s="16"/>
      <c r="IP78" s="16"/>
      <c r="IQ78" s="16"/>
      <c r="IR78" s="17"/>
      <c r="IT78" s="0" t="s">
        <v>277</v>
      </c>
      <c r="IU78" s="46">
        <f>IFERROR(SUM(IZ7:IZ1000)/1000, 0)</f>
        <v>0</v>
      </c>
      <c r="IV78" s="17"/>
      <c r="IW78" s="60"/>
      <c r="IX78" s="16"/>
      <c r="IY78" s="16"/>
      <c r="IZ78" s="16"/>
      <c r="JA78" s="16"/>
      <c r="JB78" s="16"/>
      <c r="JC78" s="17"/>
      <c r="JE78" s="0" t="s">
        <v>277</v>
      </c>
      <c r="JF78" s="46">
        <f>IFERROR(SUM(JK7:JK1000)/1000, 0)</f>
        <v>0</v>
      </c>
      <c r="JG78" s="17"/>
      <c r="JH78" s="60"/>
      <c r="JI78" s="16"/>
      <c r="JJ78" s="16"/>
      <c r="JK78" s="16"/>
      <c r="JL78" s="16"/>
      <c r="JM78" s="16"/>
      <c r="JN78" s="17"/>
      <c r="JP78" s="0" t="s">
        <v>277</v>
      </c>
      <c r="JQ78" s="46">
        <f>IFERROR(SUM(JV7:JV1000)/1000, 0)</f>
        <v>0</v>
      </c>
      <c r="JR78" s="17"/>
      <c r="JS78" s="60"/>
      <c r="JT78" s="16"/>
      <c r="JU78" s="16"/>
      <c r="JV78" s="16"/>
      <c r="JW78" s="16"/>
      <c r="JX78" s="16"/>
      <c r="JY78" s="17"/>
      <c r="KA78" s="0" t="s">
        <v>277</v>
      </c>
      <c r="KB78" s="46">
        <f>IFERROR(SUM(KG7:KG1000)/1000, 0)</f>
        <v>0</v>
      </c>
      <c r="KC78" s="17"/>
      <c r="KD78" s="60"/>
      <c r="KE78" s="16"/>
      <c r="KF78" s="16"/>
      <c r="KG78" s="16"/>
      <c r="KH78" s="16"/>
      <c r="KI78" s="16"/>
      <c r="KJ78" s="17"/>
      <c r="KL78" s="0" t="s">
        <v>277</v>
      </c>
      <c r="KM78" s="46">
        <f>IFERROR(SUM(KR7:KR1000)/1000, 0)</f>
        <v>0</v>
      </c>
      <c r="KN78" s="17"/>
      <c r="KO78" s="60"/>
      <c r="KP78" s="16"/>
      <c r="KQ78" s="16"/>
      <c r="KR78" s="16"/>
      <c r="KS78" s="16"/>
      <c r="KT78" s="16"/>
      <c r="KU78" s="17"/>
      <c r="KW78" s="0" t="s">
        <v>277</v>
      </c>
      <c r="KX78" s="46">
        <f>IFERROR(SUM(LC7:LC1000)/1000, 0)</f>
        <v>0</v>
      </c>
      <c r="KY78" s="17"/>
      <c r="KZ78" s="60"/>
      <c r="LA78" s="16"/>
      <c r="LB78" s="16"/>
      <c r="LC78" s="16"/>
      <c r="LD78" s="16"/>
      <c r="LE78" s="16"/>
      <c r="LF78" s="17"/>
      <c r="LH78" s="0" t="s">
        <v>277</v>
      </c>
      <c r="LI78" s="46">
        <f>IFERROR(SUM(LN7:LN1000)/1000, 0)</f>
        <v>0</v>
      </c>
      <c r="LJ78" s="17"/>
      <c r="LK78" s="60"/>
      <c r="LL78" s="16"/>
      <c r="LM78" s="16"/>
      <c r="LN78" s="16"/>
      <c r="LO78" s="16"/>
      <c r="LP78" s="16"/>
      <c r="LQ78" s="17"/>
    </row>
    <row r="79">
      <c r="A79" s="0" t="s">
        <v>278</v>
      </c>
      <c r="B79" s="46">
        <f>IFERROR(IF(ISBLANK(H7),0,AVERAGE(H7:H1000)), 0)</f>
        <v>0</v>
      </c>
      <c r="C79" s="63">
        <v>73</v>
      </c>
      <c r="D79" s="64">
        <v>24490</v>
      </c>
      <c r="E79" s="16" t="s">
        <v>20</v>
      </c>
      <c r="F79" s="16" t="s">
        <v>20</v>
      </c>
      <c r="G79" s="21" t="s">
        <v>20</v>
      </c>
      <c r="H79" s="16" t="s">
        <v>20</v>
      </c>
      <c r="I79" s="16" t="s">
        <v>20</v>
      </c>
      <c r="J79" s="17"/>
      <c r="L79" s="0" t="s">
        <v>278</v>
      </c>
      <c r="M79" s="46">
        <f>IFERROR(IF(ISBLANK(S7),0,AVERAGE(S7:S1000)), 0)</f>
        <v>0</v>
      </c>
      <c r="N79" s="17"/>
      <c r="O79" s="64"/>
      <c r="P79" s="16"/>
      <c r="Q79" s="16"/>
      <c r="R79" s="16"/>
      <c r="S79" s="16"/>
      <c r="T79" s="16"/>
      <c r="U79" s="17"/>
      <c r="W79" s="0" t="s">
        <v>278</v>
      </c>
      <c r="X79" s="46">
        <f>IFERROR(IF(ISBLANK(AD7),0,AVERAGE(AD7:AD1000)), 0)</f>
        <v>0</v>
      </c>
      <c r="Y79" s="66">
        <v>73</v>
      </c>
      <c r="Z79" s="61">
        <v>23765</v>
      </c>
      <c r="AA79" s="16" t="s">
        <v>20</v>
      </c>
      <c r="AB79" s="16" t="s">
        <v>20</v>
      </c>
      <c r="AC79" s="16" t="s">
        <v>20</v>
      </c>
      <c r="AD79" s="16" t="s">
        <v>20</v>
      </c>
      <c r="AE79" s="16" t="s">
        <v>20</v>
      </c>
      <c r="AF79" s="17"/>
      <c r="AH79" s="0" t="s">
        <v>278</v>
      </c>
      <c r="AI79" s="46">
        <f>IFERROR(IF(ISBLANK(AO7),0,AVERAGE(AO7:AO1000)), 0)</f>
        <v>0</v>
      </c>
      <c r="AJ79" s="17">
        <v>73</v>
      </c>
      <c r="AK79" s="61">
        <v>23460</v>
      </c>
      <c r="AL79" s="16">
        <v>4.0000000000000036</v>
      </c>
      <c r="AM79" s="16">
        <v>17.999999998370185</v>
      </c>
      <c r="AN79" s="16" t="s">
        <v>20</v>
      </c>
      <c r="AO79" s="16">
        <v>4.5</v>
      </c>
      <c r="AP79" s="16">
        <v>3.8</v>
      </c>
      <c r="AQ79" s="17"/>
      <c r="AS79" s="0" t="s">
        <v>278</v>
      </c>
      <c r="AT79" s="46">
        <f>IFERROR(IF(ISBLANK(AZ7),0,AVERAGE(AZ7:AZ1000)), 0)</f>
        <v>0</v>
      </c>
      <c r="AU79" s="17">
        <v>73</v>
      </c>
      <c r="AV79" s="61">
        <v>23088</v>
      </c>
      <c r="AW79" s="16" t="s">
        <v>20</v>
      </c>
      <c r="AX79" s="16" t="s">
        <v>20</v>
      </c>
      <c r="AY79" s="16"/>
      <c r="AZ79" s="16" t="s">
        <v>20</v>
      </c>
      <c r="BA79" s="16" t="s">
        <v>20</v>
      </c>
      <c r="BB79" s="17"/>
      <c r="BD79" s="0" t="s">
        <v>278</v>
      </c>
      <c r="BE79" s="46">
        <f>IFERROR(IF(ISBLANK(BK7),0,AVERAGE(BK7:BK1000)), 0)</f>
        <v>0</v>
      </c>
      <c r="BF79" s="17">
        <v>73</v>
      </c>
      <c r="BG79" s="61">
        <v>23606</v>
      </c>
      <c r="BH79" s="16" t="s">
        <v>20</v>
      </c>
      <c r="BI79" s="16" t="s">
        <v>20</v>
      </c>
      <c r="BJ79" s="16" t="s">
        <v>20</v>
      </c>
      <c r="BK79" s="16" t="s">
        <v>20</v>
      </c>
      <c r="BL79" s="16" t="s">
        <v>20</v>
      </c>
      <c r="BM79" s="17"/>
      <c r="BO79" s="0" t="s">
        <v>278</v>
      </c>
      <c r="BP79" s="46">
        <f>IFERROR(IF(ISBLANK(BV7),0,AVERAGE(BV7:BV1000)), 0)</f>
        <v>0</v>
      </c>
      <c r="BQ79" s="17">
        <v>73</v>
      </c>
      <c r="BR79" s="61">
        <v>23322</v>
      </c>
      <c r="BS79" s="16">
        <v>8.0000000000000071</v>
      </c>
      <c r="BT79" s="16">
        <v>23.999999999534339</v>
      </c>
      <c r="BU79" s="16" t="s">
        <v>20</v>
      </c>
      <c r="BV79" s="16">
        <v>4.75</v>
      </c>
      <c r="BW79" s="16">
        <v>2.4</v>
      </c>
      <c r="BX79" s="17"/>
      <c r="BZ79" s="0" t="s">
        <v>278</v>
      </c>
      <c r="CA79" s="46">
        <f>IFERROR(IF(ISBLANK(CG7),0,AVERAGE(CG7:CG1000)), 0)</f>
        <v>0</v>
      </c>
      <c r="CB79" s="17"/>
      <c r="CC79" s="61"/>
      <c r="CD79" s="16"/>
      <c r="CE79" s="16"/>
      <c r="CF79" s="16"/>
      <c r="CG79" s="16"/>
      <c r="CH79" s="16"/>
      <c r="CI79" s="17"/>
      <c r="CK79" s="0" t="s">
        <v>278</v>
      </c>
      <c r="CL79" s="46">
        <f>IFERROR(IF(ISBLANK(CR7),0,AVERAGE(CR7:CR1000)), 0)</f>
        <v>0</v>
      </c>
      <c r="CM79" s="17">
        <v>73</v>
      </c>
      <c r="CN79" s="61">
        <v>25045</v>
      </c>
      <c r="CO79" s="16" t="s">
        <v>20</v>
      </c>
      <c r="CP79" s="16" t="s">
        <v>20</v>
      </c>
      <c r="CQ79" s="16" t="s">
        <v>20</v>
      </c>
      <c r="CR79" s="16" t="s">
        <v>20</v>
      </c>
      <c r="CS79" s="16" t="s">
        <v>20</v>
      </c>
      <c r="CT79" s="17"/>
      <c r="CV79" s="0" t="s">
        <v>278</v>
      </c>
      <c r="CW79" s="46">
        <f>IFERROR(IF(ISBLANK(DC7),0,AVERAGE(DC7:DC1000)), 0)</f>
        <v>0</v>
      </c>
      <c r="CX79" s="17"/>
      <c r="CY79" s="60"/>
      <c r="CZ79" s="16"/>
      <c r="DA79" s="16"/>
      <c r="DB79" s="16"/>
      <c r="DC79" s="16"/>
      <c r="DD79" s="16"/>
      <c r="DE79" s="17"/>
      <c r="DG79" s="0" t="s">
        <v>278</v>
      </c>
      <c r="DH79" s="46">
        <f>IFERROR(IF(ISBLANK(DN7),0,AVERAGE(DN7:DN1000)), 0)</f>
        <v>0</v>
      </c>
      <c r="DI79" s="17">
        <v>73</v>
      </c>
      <c r="DJ79" s="60">
        <v>24159</v>
      </c>
      <c r="DK79" s="16" t="s">
        <v>20</v>
      </c>
      <c r="DL79" s="16" t="s">
        <v>20</v>
      </c>
      <c r="DM79" s="16" t="s">
        <v>20</v>
      </c>
      <c r="DN79" s="16" t="s">
        <v>20</v>
      </c>
      <c r="DO79" s="16" t="s">
        <v>20</v>
      </c>
      <c r="DP79" s="17"/>
      <c r="DR79" s="0" t="s">
        <v>278</v>
      </c>
      <c r="DS79" s="46">
        <f>IFERROR(IF(ISBLANK(DY7),0,AVERAGE(DY7:DY1000)), 0)</f>
        <v>0</v>
      </c>
      <c r="DT79" s="17"/>
      <c r="DU79" s="60"/>
      <c r="DV79" s="16"/>
      <c r="DW79" s="16"/>
      <c r="DX79" s="16"/>
      <c r="DY79" s="16"/>
      <c r="DZ79" s="16"/>
      <c r="EA79" s="17"/>
      <c r="EC79" s="0" t="s">
        <v>278</v>
      </c>
      <c r="ED79" s="46">
        <f>IFERROR(IF(ISBLANK(EJ7),0,AVERAGE(EJ7:EJ1000)), 0)</f>
        <v>0</v>
      </c>
      <c r="EE79" s="17"/>
      <c r="EF79" s="60"/>
      <c r="EG79" s="16"/>
      <c r="EH79" s="16"/>
      <c r="EI79" s="16"/>
      <c r="EJ79" s="16"/>
      <c r="EK79" s="16"/>
      <c r="EL79" s="17"/>
      <c r="EN79" s="0" t="s">
        <v>278</v>
      </c>
      <c r="EO79" s="46">
        <f>IFERROR(IF(ISBLANK(EU7),0,AVERAGE(EU7:EU1000)), 0)</f>
        <v>0</v>
      </c>
      <c r="EP79" s="17">
        <v>73</v>
      </c>
      <c r="EQ79" s="60">
        <v>23597</v>
      </c>
      <c r="ER79" s="16" t="s">
        <v>20</v>
      </c>
      <c r="ES79" s="16" t="s">
        <v>20</v>
      </c>
      <c r="ET79" s="16" t="s">
        <v>20</v>
      </c>
      <c r="EU79" s="16" t="s">
        <v>20</v>
      </c>
      <c r="EV79" s="16" t="s">
        <v>20</v>
      </c>
      <c r="EW79" s="17"/>
      <c r="EY79" s="0" t="s">
        <v>278</v>
      </c>
      <c r="EZ79" s="46">
        <f>IFERROR(IF(ISBLANK(FF7),0,AVERAGE(FF7:FF1000)), 0)</f>
        <v>0</v>
      </c>
      <c r="FA79" s="17">
        <v>73</v>
      </c>
      <c r="FB79" s="60">
        <v>25486</v>
      </c>
      <c r="FC79" s="16">
        <v>6.9999999999999991</v>
      </c>
      <c r="FD79" s="16">
        <v>25.999999992316589</v>
      </c>
      <c r="FE79" s="16" t="s">
        <v>20</v>
      </c>
      <c r="FF79" s="16">
        <v>5.3000000000000176</v>
      </c>
      <c r="FG79" s="16">
        <v>5</v>
      </c>
      <c r="FH79" s="17"/>
      <c r="FJ79" s="0" t="s">
        <v>278</v>
      </c>
      <c r="FK79" s="46">
        <f>IFERROR(IF(ISBLANK(FQ7),0,AVERAGE(FQ7:FQ1000)), 0)</f>
        <v>0</v>
      </c>
      <c r="FL79" s="17">
        <v>73</v>
      </c>
      <c r="FM79" s="60">
        <v>25243</v>
      </c>
      <c r="FN79" s="16" t="s">
        <v>20</v>
      </c>
      <c r="FO79" s="16" t="s">
        <v>20</v>
      </c>
      <c r="FP79" s="16" t="s">
        <v>20</v>
      </c>
      <c r="FQ79" s="16" t="s">
        <v>20</v>
      </c>
      <c r="FR79" s="16" t="s">
        <v>20</v>
      </c>
      <c r="FS79" s="17"/>
      <c r="FU79" s="0" t="s">
        <v>278</v>
      </c>
      <c r="FV79" s="46">
        <f>IFERROR(IF(ISBLANK(GB7),0,AVERAGE(GB7:GB1000)), 0)</f>
        <v>0</v>
      </c>
      <c r="FW79" s="17">
        <v>73</v>
      </c>
      <c r="FX79" s="60">
        <v>25914</v>
      </c>
      <c r="FY79" s="16" t="s">
        <v>20</v>
      </c>
      <c r="FZ79" s="16" t="s">
        <v>20</v>
      </c>
      <c r="GA79" s="16" t="s">
        <v>20</v>
      </c>
      <c r="GB79" s="16" t="s">
        <v>20</v>
      </c>
      <c r="GC79" s="16" t="s">
        <v>20</v>
      </c>
      <c r="GD79" s="17"/>
      <c r="GF79" s="0" t="s">
        <v>278</v>
      </c>
      <c r="GG79" s="46">
        <f>IFERROR(IF(ISBLANK(GM7),0,AVERAGE(GM7:GM1000)), 0)</f>
        <v>0</v>
      </c>
      <c r="GH79" s="17"/>
      <c r="GI79" s="60"/>
      <c r="GJ79" s="16"/>
      <c r="GK79" s="16"/>
      <c r="GL79" s="16"/>
      <c r="GM79" s="16"/>
      <c r="GN79" s="16"/>
      <c r="GO79" s="17"/>
      <c r="GQ79" s="0" t="s">
        <v>278</v>
      </c>
      <c r="GR79" s="46">
        <f>IFERROR(IF(ISBLANK(GX7),0,AVERAGE(GX7:GX1000)), 0)</f>
        <v>0</v>
      </c>
      <c r="GS79" s="17"/>
      <c r="GT79" s="60"/>
      <c r="GU79" s="16"/>
      <c r="GV79" s="16"/>
      <c r="GW79" s="16"/>
      <c r="GX79" s="16"/>
      <c r="GY79" s="16"/>
      <c r="GZ79" s="17"/>
      <c r="HB79" s="0" t="s">
        <v>278</v>
      </c>
      <c r="HC79" s="46">
        <f>IFERROR(IF(ISBLANK(HI7),0,AVERAGE(HI7:HI1000)), 0)</f>
        <v>0</v>
      </c>
      <c r="HD79" s="17"/>
      <c r="HE79" s="60"/>
      <c r="HF79" s="16"/>
      <c r="HG79" s="16"/>
      <c r="HH79" s="16"/>
      <c r="HI79" s="16"/>
      <c r="HJ79" s="16"/>
      <c r="HK79" s="17"/>
      <c r="HM79" s="0" t="s">
        <v>278</v>
      </c>
      <c r="HN79" s="46">
        <f>IFERROR(IF(ISBLANK(HT7),0,AVERAGE(HT7:HT1000)), 0)</f>
        <v>0</v>
      </c>
      <c r="HO79" s="17"/>
      <c r="HP79" s="60"/>
      <c r="HQ79" s="16"/>
      <c r="HR79" s="16"/>
      <c r="HS79" s="16"/>
      <c r="HT79" s="16"/>
      <c r="HU79" s="16"/>
      <c r="HV79" s="17"/>
      <c r="HX79" s="0" t="s">
        <v>278</v>
      </c>
      <c r="HY79" s="46">
        <f>IFERROR(IF(ISBLANK(IE7),0,AVERAGE(IE7:IE1000)), 0)</f>
        <v>0</v>
      </c>
      <c r="HZ79" s="17"/>
      <c r="IA79" s="60"/>
      <c r="IB79" s="16"/>
      <c r="IC79" s="16"/>
      <c r="ID79" s="16"/>
      <c r="IE79" s="16"/>
      <c r="IF79" s="16"/>
      <c r="IG79" s="17"/>
      <c r="II79" s="0" t="s">
        <v>278</v>
      </c>
      <c r="IJ79" s="46">
        <f>IFERROR(IF(ISBLANK(IP7),0,AVERAGE(IP7:IP1000)), 0)</f>
        <v>0</v>
      </c>
      <c r="IK79" s="17"/>
      <c r="IL79" s="60"/>
      <c r="IM79" s="16"/>
      <c r="IN79" s="16"/>
      <c r="IO79" s="16"/>
      <c r="IP79" s="16"/>
      <c r="IQ79" s="16"/>
      <c r="IR79" s="17"/>
      <c r="IT79" s="0" t="s">
        <v>278</v>
      </c>
      <c r="IU79" s="46">
        <f>IFERROR(IF(ISBLANK(JA7),0,AVERAGE(JA7:JA1000)), 0)</f>
        <v>0</v>
      </c>
      <c r="IV79" s="17"/>
      <c r="IW79" s="60"/>
      <c r="IX79" s="16"/>
      <c r="IY79" s="16"/>
      <c r="IZ79" s="16"/>
      <c r="JA79" s="16"/>
      <c r="JB79" s="16"/>
      <c r="JC79" s="17"/>
      <c r="JE79" s="0" t="s">
        <v>278</v>
      </c>
      <c r="JF79" s="46">
        <f>IFERROR(IF(ISBLANK(JL7),0,AVERAGE(JL7:JL1000)), 0)</f>
        <v>0</v>
      </c>
      <c r="JG79" s="17"/>
      <c r="JH79" s="60"/>
      <c r="JI79" s="16"/>
      <c r="JJ79" s="16"/>
      <c r="JK79" s="16"/>
      <c r="JL79" s="16"/>
      <c r="JM79" s="16"/>
      <c r="JN79" s="17"/>
      <c r="JP79" s="0" t="s">
        <v>278</v>
      </c>
      <c r="JQ79" s="46">
        <f>IFERROR(IF(ISBLANK(JW7),0,AVERAGE(JW7:JW1000)), 0)</f>
        <v>0</v>
      </c>
      <c r="JR79" s="17"/>
      <c r="JS79" s="60"/>
      <c r="JT79" s="16"/>
      <c r="JU79" s="16"/>
      <c r="JV79" s="16"/>
      <c r="JW79" s="16"/>
      <c r="JX79" s="16"/>
      <c r="JY79" s="17"/>
      <c r="KA79" s="0" t="s">
        <v>278</v>
      </c>
      <c r="KB79" s="46">
        <f>IFERROR(IF(ISBLANK(KH7),0,AVERAGE(KH7:KH1000)), 0)</f>
        <v>0</v>
      </c>
      <c r="KC79" s="17"/>
      <c r="KD79" s="60"/>
      <c r="KE79" s="16"/>
      <c r="KF79" s="16"/>
      <c r="KG79" s="16"/>
      <c r="KH79" s="16"/>
      <c r="KI79" s="16"/>
      <c r="KJ79" s="17"/>
      <c r="KL79" s="0" t="s">
        <v>278</v>
      </c>
      <c r="KM79" s="46">
        <f>IFERROR(IF(ISBLANK(KS7),0,AVERAGE(KS7:KS1000)), 0)</f>
        <v>0</v>
      </c>
      <c r="KN79" s="17"/>
      <c r="KO79" s="60"/>
      <c r="KP79" s="16"/>
      <c r="KQ79" s="16"/>
      <c r="KR79" s="16"/>
      <c r="KS79" s="16"/>
      <c r="KT79" s="16"/>
      <c r="KU79" s="17"/>
      <c r="KW79" s="0" t="s">
        <v>278</v>
      </c>
      <c r="KX79" s="46">
        <f>IFERROR(IF(ISBLANK(LD7),0,AVERAGE(LD7:LD1000)), 0)</f>
        <v>0</v>
      </c>
      <c r="KY79" s="17"/>
      <c r="KZ79" s="60"/>
      <c r="LA79" s="16"/>
      <c r="LB79" s="16"/>
      <c r="LC79" s="16"/>
      <c r="LD79" s="16"/>
      <c r="LE79" s="16"/>
      <c r="LF79" s="17"/>
      <c r="LH79" s="0" t="s">
        <v>278</v>
      </c>
      <c r="LI79" s="46">
        <f>IFERROR(IF(ISBLANK(LO7),0,AVERAGE(LO7:LO1000)), 0)</f>
        <v>0</v>
      </c>
      <c r="LJ79" s="17"/>
      <c r="LK79" s="60"/>
      <c r="LL79" s="16"/>
      <c r="LM79" s="16"/>
      <c r="LN79" s="16"/>
      <c r="LO79" s="16"/>
      <c r="LP79" s="16"/>
      <c r="LQ79" s="17"/>
    </row>
    <row r="80">
      <c r="A80" s="0" t="s">
        <v>279</v>
      </c>
      <c r="B80" s="46">
        <f>IFERROR(IF(ISBLANK(I7),0,AVERAGE(I7:I1000)), 0)</f>
        <v>0</v>
      </c>
      <c r="C80" s="63">
        <v>74</v>
      </c>
      <c r="D80" s="64">
        <v>24692</v>
      </c>
      <c r="E80" s="16" t="s">
        <v>20</v>
      </c>
      <c r="F80" s="16" t="s">
        <v>20</v>
      </c>
      <c r="G80" s="21" t="s">
        <v>20</v>
      </c>
      <c r="H80" s="16" t="s">
        <v>20</v>
      </c>
      <c r="I80" s="16" t="s">
        <v>20</v>
      </c>
      <c r="J80" s="17"/>
      <c r="L80" s="0" t="s">
        <v>279</v>
      </c>
      <c r="M80" s="46">
        <f>IFERROR(IF(ISBLANK(T7),0,AVERAGE(T7:T1000)), 0)</f>
        <v>0</v>
      </c>
      <c r="N80" s="17"/>
      <c r="O80" s="64"/>
      <c r="P80" s="16"/>
      <c r="Q80" s="16"/>
      <c r="R80" s="16"/>
      <c r="S80" s="16"/>
      <c r="T80" s="16"/>
      <c r="U80" s="17"/>
      <c r="W80" s="0" t="s">
        <v>279</v>
      </c>
      <c r="X80" s="46">
        <f>IFERROR(IF(ISBLANK(AE7),0,AVERAGE(AE7:AE1000)), 0)</f>
        <v>0</v>
      </c>
      <c r="Y80" s="66">
        <v>74</v>
      </c>
      <c r="Z80" s="61">
        <v>23965</v>
      </c>
      <c r="AA80" s="16" t="s">
        <v>20</v>
      </c>
      <c r="AB80" s="16" t="s">
        <v>20</v>
      </c>
      <c r="AC80" s="16" t="s">
        <v>20</v>
      </c>
      <c r="AD80" s="16" t="s">
        <v>20</v>
      </c>
      <c r="AE80" s="16" t="s">
        <v>20</v>
      </c>
      <c r="AF80" s="17"/>
      <c r="AH80" s="0" t="s">
        <v>279</v>
      </c>
      <c r="AI80" s="46">
        <f>IFERROR(IF(ISBLANK(AP7),0,AVERAGE(AP7:AP1000)), 0)</f>
        <v>0</v>
      </c>
      <c r="AJ80" s="17">
        <v>74</v>
      </c>
      <c r="AK80" s="61">
        <v>23662</v>
      </c>
      <c r="AL80" s="16">
        <v>2.9999999999999947</v>
      </c>
      <c r="AM80" s="16">
        <v>20.999999994412065</v>
      </c>
      <c r="AN80" s="16" t="s">
        <v>20</v>
      </c>
      <c r="AO80" s="16">
        <v>4.5</v>
      </c>
      <c r="AP80" s="16">
        <v>3.6</v>
      </c>
      <c r="AQ80" s="17"/>
      <c r="AS80" s="0" t="s">
        <v>279</v>
      </c>
      <c r="AT80" s="46">
        <f>IFERROR(IF(ISBLANK(BA7),0,AVERAGE(BA7:BA1000)), 0)</f>
        <v>0</v>
      </c>
      <c r="AU80" s="17">
        <v>74</v>
      </c>
      <c r="AV80" s="61">
        <v>23289</v>
      </c>
      <c r="AW80" s="16" t="s">
        <v>20</v>
      </c>
      <c r="AX80" s="16" t="s">
        <v>20</v>
      </c>
      <c r="AY80" s="16"/>
      <c r="AZ80" s="16" t="s">
        <v>20</v>
      </c>
      <c r="BA80" s="16" t="s">
        <v>20</v>
      </c>
      <c r="BB80" s="17"/>
      <c r="BD80" s="0" t="s">
        <v>279</v>
      </c>
      <c r="BE80" s="46">
        <f>IFERROR(IF(ISBLANK(BL7),0,AVERAGE(BL7:BL1000)), 0)</f>
        <v>0</v>
      </c>
      <c r="BF80" s="17">
        <v>74</v>
      </c>
      <c r="BG80" s="61">
        <v>23807</v>
      </c>
      <c r="BH80" s="16" t="s">
        <v>20</v>
      </c>
      <c r="BI80" s="16" t="s">
        <v>20</v>
      </c>
      <c r="BJ80" s="16" t="s">
        <v>20</v>
      </c>
      <c r="BK80" s="16" t="s">
        <v>20</v>
      </c>
      <c r="BL80" s="16" t="s">
        <v>20</v>
      </c>
      <c r="BM80" s="17"/>
      <c r="BO80" s="0" t="s">
        <v>279</v>
      </c>
      <c r="BP80" s="46">
        <f>IFERROR(IF(ISBLANK(BW7),0,AVERAGE(BW7:BW1000)), 0)</f>
        <v>0</v>
      </c>
      <c r="BQ80" s="17">
        <v>74</v>
      </c>
      <c r="BR80" s="61">
        <v>23523</v>
      </c>
      <c r="BS80" s="16">
        <v>6.0000000000000053</v>
      </c>
      <c r="BT80" s="16">
        <v>94.000000001164153</v>
      </c>
      <c r="BU80" s="16" t="s">
        <v>20</v>
      </c>
      <c r="BV80" s="16">
        <v>4.75</v>
      </c>
      <c r="BW80" s="16">
        <v>2.4</v>
      </c>
      <c r="BX80" s="17"/>
      <c r="BZ80" s="0" t="s">
        <v>279</v>
      </c>
      <c r="CA80" s="46">
        <f>IFERROR(IF(ISBLANK(CH7),0,AVERAGE(CH7:CH1000)), 0)</f>
        <v>0</v>
      </c>
      <c r="CB80" s="17"/>
      <c r="CC80" s="61"/>
      <c r="CD80" s="16"/>
      <c r="CE80" s="16"/>
      <c r="CF80" s="16"/>
      <c r="CG80" s="16"/>
      <c r="CH80" s="16"/>
      <c r="CI80" s="17"/>
      <c r="CK80" s="0" t="s">
        <v>279</v>
      </c>
      <c r="CL80" s="46">
        <f>IFERROR(IF(ISBLANK(CS7),0,AVERAGE(CS7:CS1000)), 0)</f>
        <v>0</v>
      </c>
      <c r="CM80" s="17">
        <v>74</v>
      </c>
      <c r="CN80" s="61">
        <v>25248</v>
      </c>
      <c r="CO80" s="16" t="s">
        <v>20</v>
      </c>
      <c r="CP80" s="16" t="s">
        <v>20</v>
      </c>
      <c r="CQ80" s="16" t="s">
        <v>20</v>
      </c>
      <c r="CR80" s="16" t="s">
        <v>20</v>
      </c>
      <c r="CS80" s="16" t="s">
        <v>20</v>
      </c>
      <c r="CT80" s="17"/>
      <c r="CV80" s="0" t="s">
        <v>279</v>
      </c>
      <c r="CW80" s="46">
        <f>IFERROR(IF(ISBLANK(DD7),0,AVERAGE(DD7:DD1000)), 0)</f>
        <v>0</v>
      </c>
      <c r="CX80" s="17"/>
      <c r="CY80" s="60"/>
      <c r="CZ80" s="16"/>
      <c r="DA80" s="16"/>
      <c r="DB80" s="16"/>
      <c r="DC80" s="16"/>
      <c r="DD80" s="16"/>
      <c r="DE80" s="17"/>
      <c r="DG80" s="0" t="s">
        <v>279</v>
      </c>
      <c r="DH80" s="46">
        <f>IFERROR(IF(ISBLANK(DO7),0,AVERAGE(DO7:DO1000)), 0)</f>
        <v>0</v>
      </c>
      <c r="DI80" s="17">
        <v>74</v>
      </c>
      <c r="DJ80" s="60">
        <v>24361</v>
      </c>
      <c r="DK80" s="16" t="s">
        <v>20</v>
      </c>
      <c r="DL80" s="16" t="s">
        <v>20</v>
      </c>
      <c r="DM80" s="16" t="s">
        <v>20</v>
      </c>
      <c r="DN80" s="16" t="s">
        <v>20</v>
      </c>
      <c r="DO80" s="16" t="s">
        <v>20</v>
      </c>
      <c r="DP80" s="17"/>
      <c r="DR80" s="0" t="s">
        <v>279</v>
      </c>
      <c r="DS80" s="46">
        <f>IFERROR(IF(ISBLANK(DZ7),0,AVERAGE(DZ7:DZ1000)), 0)</f>
        <v>0</v>
      </c>
      <c r="DT80" s="17"/>
      <c r="DU80" s="60"/>
      <c r="DV80" s="16"/>
      <c r="DW80" s="16"/>
      <c r="DX80" s="16"/>
      <c r="DY80" s="16"/>
      <c r="DZ80" s="16"/>
      <c r="EA80" s="17"/>
      <c r="EC80" s="0" t="s">
        <v>279</v>
      </c>
      <c r="ED80" s="46">
        <f>IFERROR(IF(ISBLANK(EK7),0,AVERAGE(EK7:EK1000)), 0)</f>
        <v>0</v>
      </c>
      <c r="EE80" s="17"/>
      <c r="EF80" s="60"/>
      <c r="EG80" s="16"/>
      <c r="EH80" s="16"/>
      <c r="EI80" s="16"/>
      <c r="EJ80" s="16"/>
      <c r="EK80" s="16"/>
      <c r="EL80" s="17"/>
      <c r="EN80" s="0" t="s">
        <v>279</v>
      </c>
      <c r="EO80" s="46">
        <f>IFERROR(IF(ISBLANK(EV7),0,AVERAGE(EV7:EV1000)), 0)</f>
        <v>0</v>
      </c>
      <c r="EP80" s="17">
        <v>74</v>
      </c>
      <c r="EQ80" s="60">
        <v>23799</v>
      </c>
      <c r="ER80" s="16" t="s">
        <v>20</v>
      </c>
      <c r="ES80" s="16" t="s">
        <v>20</v>
      </c>
      <c r="ET80" s="16" t="s">
        <v>20</v>
      </c>
      <c r="EU80" s="16" t="s">
        <v>20</v>
      </c>
      <c r="EV80" s="16" t="s">
        <v>20</v>
      </c>
      <c r="EW80" s="17"/>
      <c r="EY80" s="0" t="s">
        <v>279</v>
      </c>
      <c r="EZ80" s="46">
        <f>IFERROR(IF(ISBLANK(FG7),0,AVERAGE(FG7:FG1000)), 0)</f>
        <v>0</v>
      </c>
      <c r="FA80" s="17">
        <v>74</v>
      </c>
      <c r="FB80" s="60">
        <v>25686</v>
      </c>
      <c r="FC80" s="16" t="s">
        <v>20</v>
      </c>
      <c r="FD80" s="16" t="s">
        <v>20</v>
      </c>
      <c r="FE80" s="16" t="s">
        <v>20</v>
      </c>
      <c r="FF80" s="16" t="s">
        <v>20</v>
      </c>
      <c r="FG80" s="16" t="s">
        <v>20</v>
      </c>
      <c r="FH80" s="17"/>
      <c r="FJ80" s="0" t="s">
        <v>279</v>
      </c>
      <c r="FK80" s="46">
        <f>IFERROR(IF(ISBLANK(FR7),0,AVERAGE(FR7:FR1000)), 0)</f>
        <v>0</v>
      </c>
      <c r="FL80" s="17">
        <v>74</v>
      </c>
      <c r="FM80" s="60">
        <v>25442</v>
      </c>
      <c r="FN80" s="16" t="s">
        <v>20</v>
      </c>
      <c r="FO80" s="16" t="s">
        <v>20</v>
      </c>
      <c r="FP80" s="16" t="s">
        <v>20</v>
      </c>
      <c r="FQ80" s="16" t="s">
        <v>20</v>
      </c>
      <c r="FR80" s="16" t="s">
        <v>20</v>
      </c>
      <c r="FS80" s="17"/>
      <c r="FU80" s="0" t="s">
        <v>279</v>
      </c>
      <c r="FV80" s="46">
        <f>IFERROR(IF(ISBLANK(GC7),0,AVERAGE(GC7:GC1000)), 0)</f>
        <v>0</v>
      </c>
      <c r="FW80" s="17">
        <v>74</v>
      </c>
      <c r="FX80" s="60">
        <v>26155</v>
      </c>
      <c r="FY80" s="16" t="s">
        <v>20</v>
      </c>
      <c r="FZ80" s="16" t="s">
        <v>20</v>
      </c>
      <c r="GA80" s="16" t="s">
        <v>20</v>
      </c>
      <c r="GB80" s="16" t="s">
        <v>20</v>
      </c>
      <c r="GC80" s="16" t="s">
        <v>20</v>
      </c>
      <c r="GD80" s="17"/>
      <c r="GF80" s="0" t="s">
        <v>279</v>
      </c>
      <c r="GG80" s="46">
        <f>IFERROR(IF(ISBLANK(GN7),0,AVERAGE(GN7:GN1000)), 0)</f>
        <v>0</v>
      </c>
      <c r="GH80" s="17"/>
      <c r="GI80" s="60"/>
      <c r="GJ80" s="16"/>
      <c r="GK80" s="16"/>
      <c r="GL80" s="16"/>
      <c r="GM80" s="16"/>
      <c r="GN80" s="16"/>
      <c r="GO80" s="17"/>
      <c r="GQ80" s="0" t="s">
        <v>279</v>
      </c>
      <c r="GR80" s="46">
        <f>IFERROR(IF(ISBLANK(GY7),0,AVERAGE(GY7:GY1000)), 0)</f>
        <v>0</v>
      </c>
      <c r="GS80" s="17"/>
      <c r="GT80" s="60"/>
      <c r="GU80" s="16"/>
      <c r="GV80" s="16"/>
      <c r="GW80" s="16"/>
      <c r="GX80" s="16"/>
      <c r="GY80" s="16"/>
      <c r="GZ80" s="17"/>
      <c r="HB80" s="0" t="s">
        <v>279</v>
      </c>
      <c r="HC80" s="46">
        <f>IFERROR(IF(ISBLANK(HJ7),0,AVERAGE(HJ7:HJ1000)), 0)</f>
        <v>0</v>
      </c>
      <c r="HD80" s="17"/>
      <c r="HE80" s="60"/>
      <c r="HF80" s="16"/>
      <c r="HG80" s="16"/>
      <c r="HH80" s="16"/>
      <c r="HI80" s="16"/>
      <c r="HJ80" s="16"/>
      <c r="HK80" s="17"/>
      <c r="HM80" s="0" t="s">
        <v>279</v>
      </c>
      <c r="HN80" s="46">
        <f>IFERROR(IF(ISBLANK(HU7),0,AVERAGE(HU7:HU1000)), 0)</f>
        <v>0</v>
      </c>
      <c r="HO80" s="17"/>
      <c r="HP80" s="60"/>
      <c r="HQ80" s="16"/>
      <c r="HR80" s="16"/>
      <c r="HS80" s="16"/>
      <c r="HT80" s="16"/>
      <c r="HU80" s="16"/>
      <c r="HV80" s="17"/>
      <c r="HX80" s="0" t="s">
        <v>279</v>
      </c>
      <c r="HY80" s="46">
        <f>IFERROR(IF(ISBLANK(IF7),0,AVERAGE(IF7:IF1000)), 0)</f>
        <v>0</v>
      </c>
      <c r="HZ80" s="17"/>
      <c r="IA80" s="60"/>
      <c r="IB80" s="16"/>
      <c r="IC80" s="16"/>
      <c r="ID80" s="16"/>
      <c r="IE80" s="16"/>
      <c r="IF80" s="16"/>
      <c r="IG80" s="17"/>
      <c r="II80" s="0" t="s">
        <v>279</v>
      </c>
      <c r="IJ80" s="46">
        <f>IFERROR(IF(ISBLANK(IQ7),0,AVERAGE(IQ7:IQ1000)), 0)</f>
        <v>0</v>
      </c>
      <c r="IK80" s="17"/>
      <c r="IL80" s="60"/>
      <c r="IM80" s="16"/>
      <c r="IN80" s="16"/>
      <c r="IO80" s="16"/>
      <c r="IP80" s="16"/>
      <c r="IQ80" s="16"/>
      <c r="IR80" s="17"/>
      <c r="IT80" s="0" t="s">
        <v>279</v>
      </c>
      <c r="IU80" s="46">
        <f>IFERROR(IF(ISBLANK(JB7),0,AVERAGE(JB7:JB1000)), 0)</f>
        <v>0</v>
      </c>
      <c r="IV80" s="17"/>
      <c r="IW80" s="60"/>
      <c r="IX80" s="16"/>
      <c r="IY80" s="16"/>
      <c r="IZ80" s="16"/>
      <c r="JA80" s="16"/>
      <c r="JB80" s="16"/>
      <c r="JC80" s="17"/>
      <c r="JE80" s="0" t="s">
        <v>279</v>
      </c>
      <c r="JF80" s="46">
        <f>IFERROR(IF(ISBLANK(JM7),0,AVERAGE(JM7:JM1000)), 0)</f>
        <v>0</v>
      </c>
      <c r="JG80" s="17"/>
      <c r="JH80" s="60"/>
      <c r="JI80" s="16"/>
      <c r="JJ80" s="16"/>
      <c r="JK80" s="16"/>
      <c r="JL80" s="16"/>
      <c r="JM80" s="16"/>
      <c r="JN80" s="17"/>
      <c r="JP80" s="0" t="s">
        <v>279</v>
      </c>
      <c r="JQ80" s="46">
        <f>IFERROR(IF(ISBLANK(JX7),0,AVERAGE(JX7:JX1000)), 0)</f>
        <v>0</v>
      </c>
      <c r="JR80" s="17"/>
      <c r="JS80" s="60"/>
      <c r="JT80" s="16"/>
      <c r="JU80" s="16"/>
      <c r="JV80" s="16"/>
      <c r="JW80" s="16"/>
      <c r="JX80" s="16"/>
      <c r="JY80" s="17"/>
      <c r="KA80" s="0" t="s">
        <v>279</v>
      </c>
      <c r="KB80" s="46">
        <f>IFERROR(IF(ISBLANK(KI7),0,AVERAGE(KI7:KI1000)), 0)</f>
        <v>0</v>
      </c>
      <c r="KC80" s="17"/>
      <c r="KD80" s="60"/>
      <c r="KE80" s="16"/>
      <c r="KF80" s="16"/>
      <c r="KG80" s="16"/>
      <c r="KH80" s="16"/>
      <c r="KI80" s="16"/>
      <c r="KJ80" s="17"/>
      <c r="KL80" s="0" t="s">
        <v>279</v>
      </c>
      <c r="KM80" s="46">
        <f>IFERROR(IF(ISBLANK(KT7),0,AVERAGE(KT7:KT1000)), 0)</f>
        <v>0</v>
      </c>
      <c r="KN80" s="17"/>
      <c r="KO80" s="60"/>
      <c r="KP80" s="16"/>
      <c r="KQ80" s="16"/>
      <c r="KR80" s="16"/>
      <c r="KS80" s="16"/>
      <c r="KT80" s="16"/>
      <c r="KU80" s="17"/>
      <c r="KW80" s="0" t="s">
        <v>279</v>
      </c>
      <c r="KX80" s="46">
        <f>IFERROR(IF(ISBLANK(LE7),0,AVERAGE(LE7:LE1000)), 0)</f>
        <v>0</v>
      </c>
      <c r="KY80" s="17"/>
      <c r="KZ80" s="60"/>
      <c r="LA80" s="16"/>
      <c r="LB80" s="16"/>
      <c r="LC80" s="16"/>
      <c r="LD80" s="16"/>
      <c r="LE80" s="16"/>
      <c r="LF80" s="17"/>
      <c r="LH80" s="0" t="s">
        <v>279</v>
      </c>
      <c r="LI80" s="46">
        <f>IFERROR(IF(ISBLANK(LP7),0,AVERAGE(LP7:LP1000)), 0)</f>
        <v>0</v>
      </c>
      <c r="LJ80" s="17"/>
      <c r="LK80" s="60"/>
      <c r="LL80" s="16"/>
      <c r="LM80" s="16"/>
      <c r="LN80" s="16"/>
      <c r="LO80" s="16"/>
      <c r="LP80" s="16"/>
      <c r="LQ80" s="17"/>
    </row>
    <row r="81">
      <c r="A81" s="0" t="s">
        <v>280</v>
      </c>
      <c r="B81" s="46">
        <f>IFERROR(IF(ISBLANK(I7),0,MIN(I7:I1000)), 0)</f>
        <v>0</v>
      </c>
      <c r="C81" s="63">
        <v>75</v>
      </c>
      <c r="D81" s="64">
        <v>24895</v>
      </c>
      <c r="E81" s="16" t="s">
        <v>20</v>
      </c>
      <c r="F81" s="16" t="s">
        <v>20</v>
      </c>
      <c r="G81" s="21" t="s">
        <v>20</v>
      </c>
      <c r="H81" s="16" t="s">
        <v>20</v>
      </c>
      <c r="I81" s="16" t="s">
        <v>20</v>
      </c>
      <c r="J81" s="17"/>
      <c r="L81" s="0" t="s">
        <v>280</v>
      </c>
      <c r="M81" s="46">
        <f>IFERROR(IF(ISBLANK(T7),0,MIN(T7:T1000)), 0)</f>
        <v>0</v>
      </c>
      <c r="N81" s="17"/>
      <c r="O81" s="64"/>
      <c r="P81" s="16"/>
      <c r="Q81" s="16"/>
      <c r="R81" s="16"/>
      <c r="S81" s="16"/>
      <c r="T81" s="16"/>
      <c r="U81" s="17"/>
      <c r="W81" s="0" t="s">
        <v>280</v>
      </c>
      <c r="X81" s="46">
        <f>IFERROR(IF(ISBLANK(AE7),0,MIN(AE7:AE1000)), 0)</f>
        <v>0</v>
      </c>
      <c r="Y81" s="66">
        <v>75</v>
      </c>
      <c r="Z81" s="61">
        <v>24166</v>
      </c>
      <c r="AA81" s="16" t="s">
        <v>20</v>
      </c>
      <c r="AB81" s="16" t="s">
        <v>20</v>
      </c>
      <c r="AC81" s="16" t="s">
        <v>20</v>
      </c>
      <c r="AD81" s="16" t="s">
        <v>20</v>
      </c>
      <c r="AE81" s="16" t="s">
        <v>20</v>
      </c>
      <c r="AF81" s="17"/>
      <c r="AH81" s="0" t="s">
        <v>280</v>
      </c>
      <c r="AI81" s="46">
        <f>IFERROR(IF(ISBLANK(AP7),0,MIN(AP7:AP1000)), 0)</f>
        <v>0</v>
      </c>
      <c r="AJ81" s="17">
        <v>75</v>
      </c>
      <c r="AK81" s="61">
        <v>23863</v>
      </c>
      <c r="AL81" s="16">
        <v>2.9999999999999947</v>
      </c>
      <c r="AM81" s="16">
        <v>8.9999999972060323</v>
      </c>
      <c r="AN81" s="16" t="s">
        <v>20</v>
      </c>
      <c r="AO81" s="16">
        <v>4.5</v>
      </c>
      <c r="AP81" s="16">
        <v>3.7</v>
      </c>
      <c r="AQ81" s="17"/>
      <c r="AS81" s="0" t="s">
        <v>280</v>
      </c>
      <c r="AT81" s="46">
        <f>IFERROR(IF(ISBLANK(BA7),0,MIN(BA7:BA1000)), 0)</f>
        <v>0</v>
      </c>
      <c r="AU81" s="17">
        <v>75</v>
      </c>
      <c r="AV81" s="61">
        <v>23490</v>
      </c>
      <c r="AW81" s="16" t="s">
        <v>20</v>
      </c>
      <c r="AX81" s="16" t="s">
        <v>20</v>
      </c>
      <c r="AY81" s="16"/>
      <c r="AZ81" s="16" t="s">
        <v>20</v>
      </c>
      <c r="BA81" s="16" t="s">
        <v>20</v>
      </c>
      <c r="BB81" s="17"/>
      <c r="BD81" s="0" t="s">
        <v>280</v>
      </c>
      <c r="BE81" s="46">
        <f>IFERROR(IF(ISBLANK(BL7),0,MIN(BL7:BL1000)), 0)</f>
        <v>0</v>
      </c>
      <c r="BF81" s="17">
        <v>75</v>
      </c>
      <c r="BG81" s="61">
        <v>24009</v>
      </c>
      <c r="BH81" s="16" t="s">
        <v>20</v>
      </c>
      <c r="BI81" s="16" t="s">
        <v>20</v>
      </c>
      <c r="BJ81" s="16" t="s">
        <v>20</v>
      </c>
      <c r="BK81" s="16" t="s">
        <v>20</v>
      </c>
      <c r="BL81" s="16" t="s">
        <v>20</v>
      </c>
      <c r="BM81" s="17"/>
      <c r="BO81" s="0" t="s">
        <v>280</v>
      </c>
      <c r="BP81" s="46">
        <f>IFERROR(IF(ISBLANK(BW7),0,MIN(BW7:BW1000)), 0)</f>
        <v>0</v>
      </c>
      <c r="BQ81" s="17">
        <v>75</v>
      </c>
      <c r="BR81" s="61">
        <v>23723</v>
      </c>
      <c r="BS81" s="16">
        <v>2.0000000000000018</v>
      </c>
      <c r="BT81" s="16">
        <v>18.000000002328306</v>
      </c>
      <c r="BU81" s="16" t="s">
        <v>20</v>
      </c>
      <c r="BV81" s="16">
        <v>4.75</v>
      </c>
      <c r="BW81" s="16">
        <v>2.4</v>
      </c>
      <c r="BX81" s="17"/>
      <c r="BZ81" s="0" t="s">
        <v>280</v>
      </c>
      <c r="CA81" s="46">
        <f>IFERROR(IF(ISBLANK(CH7),0,MIN(CH7:CH1000)), 0)</f>
        <v>0</v>
      </c>
      <c r="CB81" s="17"/>
      <c r="CC81" s="61"/>
      <c r="CD81" s="16"/>
      <c r="CE81" s="16"/>
      <c r="CF81" s="16"/>
      <c r="CG81" s="16"/>
      <c r="CH81" s="16"/>
      <c r="CI81" s="17"/>
      <c r="CK81" s="0" t="s">
        <v>280</v>
      </c>
      <c r="CL81" s="46">
        <f>IFERROR(IF(ISBLANK(CS7),0,MIN(CS7:CS1000)), 0)</f>
        <v>0</v>
      </c>
      <c r="CM81" s="17">
        <v>75</v>
      </c>
      <c r="CN81" s="61">
        <v>25450</v>
      </c>
      <c r="CO81" s="16" t="s">
        <v>20</v>
      </c>
      <c r="CP81" s="16" t="s">
        <v>20</v>
      </c>
      <c r="CQ81" s="16" t="s">
        <v>20</v>
      </c>
      <c r="CR81" s="16" t="s">
        <v>20</v>
      </c>
      <c r="CS81" s="16" t="s">
        <v>20</v>
      </c>
      <c r="CT81" s="17"/>
      <c r="CV81" s="0" t="s">
        <v>280</v>
      </c>
      <c r="CW81" s="46">
        <f>IFERROR(IF(ISBLANK(DD7),0,MIN(DD7:DD1000)), 0)</f>
        <v>0</v>
      </c>
      <c r="CX81" s="17"/>
      <c r="CY81" s="60"/>
      <c r="CZ81" s="16"/>
      <c r="DA81" s="16"/>
      <c r="DB81" s="16"/>
      <c r="DC81" s="16"/>
      <c r="DD81" s="16"/>
      <c r="DE81" s="17"/>
      <c r="DG81" s="0" t="s">
        <v>280</v>
      </c>
      <c r="DH81" s="46">
        <f>IFERROR(IF(ISBLANK(DO7),0,MIN(DO7:DO1000)), 0)</f>
        <v>0</v>
      </c>
      <c r="DI81" s="17">
        <v>75</v>
      </c>
      <c r="DJ81" s="60">
        <v>24562</v>
      </c>
      <c r="DK81" s="16" t="s">
        <v>20</v>
      </c>
      <c r="DL81" s="16" t="s">
        <v>20</v>
      </c>
      <c r="DM81" s="16" t="s">
        <v>20</v>
      </c>
      <c r="DN81" s="16" t="s">
        <v>20</v>
      </c>
      <c r="DO81" s="16" t="s">
        <v>20</v>
      </c>
      <c r="DP81" s="17"/>
      <c r="DR81" s="0" t="s">
        <v>280</v>
      </c>
      <c r="DS81" s="46">
        <f>IFERROR(IF(ISBLANK(DZ7),0,MIN(DZ7:DZ1000)), 0)</f>
        <v>0</v>
      </c>
      <c r="DT81" s="17"/>
      <c r="DU81" s="60"/>
      <c r="DV81" s="16"/>
      <c r="DW81" s="16"/>
      <c r="DX81" s="16"/>
      <c r="DY81" s="16"/>
      <c r="DZ81" s="16"/>
      <c r="EA81" s="17"/>
      <c r="EC81" s="0" t="s">
        <v>280</v>
      </c>
      <c r="ED81" s="46">
        <f>IFERROR(IF(ISBLANK(EK7),0,MIN(EK7:EK1000)), 0)</f>
        <v>0</v>
      </c>
      <c r="EE81" s="17"/>
      <c r="EF81" s="60"/>
      <c r="EG81" s="16"/>
      <c r="EH81" s="16"/>
      <c r="EI81" s="16"/>
      <c r="EJ81" s="16"/>
      <c r="EK81" s="16"/>
      <c r="EL81" s="17"/>
      <c r="EN81" s="0" t="s">
        <v>280</v>
      </c>
      <c r="EO81" s="46">
        <f>IFERROR(IF(ISBLANK(EV7),0,MIN(EV7:EV1000)), 0)</f>
        <v>0</v>
      </c>
      <c r="EP81" s="17">
        <v>75</v>
      </c>
      <c r="EQ81" s="60">
        <v>24001</v>
      </c>
      <c r="ER81" s="16" t="s">
        <v>20</v>
      </c>
      <c r="ES81" s="16" t="s">
        <v>20</v>
      </c>
      <c r="ET81" s="16" t="s">
        <v>20</v>
      </c>
      <c r="EU81" s="16" t="s">
        <v>20</v>
      </c>
      <c r="EV81" s="16" t="s">
        <v>20</v>
      </c>
      <c r="EW81" s="17"/>
      <c r="EY81" s="0" t="s">
        <v>280</v>
      </c>
      <c r="EZ81" s="46">
        <f>IFERROR(IF(ISBLANK(FG7),0,MIN(FG7:FG1000)), 0)</f>
        <v>0</v>
      </c>
      <c r="FA81" s="17"/>
      <c r="FB81" s="60"/>
      <c r="FC81" s="16"/>
      <c r="FD81" s="16"/>
      <c r="FE81" s="16"/>
      <c r="FF81" s="16"/>
      <c r="FG81" s="16"/>
      <c r="FH81" s="17"/>
      <c r="FJ81" s="0" t="s">
        <v>280</v>
      </c>
      <c r="FK81" s="46">
        <f>IFERROR(IF(ISBLANK(FR7),0,MIN(FR7:FR1000)), 0)</f>
        <v>0</v>
      </c>
      <c r="FL81" s="17"/>
      <c r="FM81" s="60"/>
      <c r="FN81" s="16"/>
      <c r="FO81" s="16"/>
      <c r="FP81" s="16"/>
      <c r="FQ81" s="16"/>
      <c r="FR81" s="16"/>
      <c r="FS81" s="17"/>
      <c r="FU81" s="0" t="s">
        <v>280</v>
      </c>
      <c r="FV81" s="46">
        <f>IFERROR(IF(ISBLANK(GC7),0,MIN(GC7:GC1000)), 0)</f>
        <v>0</v>
      </c>
      <c r="FW81" s="17">
        <v>75</v>
      </c>
      <c r="FX81" s="60">
        <v>26396</v>
      </c>
      <c r="FY81" s="16" t="s">
        <v>20</v>
      </c>
      <c r="FZ81" s="16" t="s">
        <v>20</v>
      </c>
      <c r="GA81" s="16" t="s">
        <v>20</v>
      </c>
      <c r="GB81" s="16" t="s">
        <v>20</v>
      </c>
      <c r="GC81" s="16" t="s">
        <v>20</v>
      </c>
      <c r="GD81" s="17"/>
      <c r="GF81" s="0" t="s">
        <v>280</v>
      </c>
      <c r="GG81" s="46">
        <f>IFERROR(IF(ISBLANK(GN7),0,MIN(GN7:GN1000)), 0)</f>
        <v>0</v>
      </c>
      <c r="GH81" s="17"/>
      <c r="GI81" s="60"/>
      <c r="GJ81" s="16"/>
      <c r="GK81" s="16"/>
      <c r="GL81" s="16"/>
      <c r="GM81" s="16"/>
      <c r="GN81" s="16"/>
      <c r="GO81" s="17"/>
      <c r="GQ81" s="0" t="s">
        <v>280</v>
      </c>
      <c r="GR81" s="46">
        <f>IFERROR(IF(ISBLANK(GY7),0,MIN(GY7:GY1000)), 0)</f>
        <v>0</v>
      </c>
      <c r="GS81" s="17"/>
      <c r="GT81" s="60"/>
      <c r="GU81" s="16"/>
      <c r="GV81" s="16"/>
      <c r="GW81" s="16"/>
      <c r="GX81" s="16"/>
      <c r="GY81" s="16"/>
      <c r="GZ81" s="17"/>
      <c r="HB81" s="0" t="s">
        <v>280</v>
      </c>
      <c r="HC81" s="46">
        <f>IFERROR(IF(ISBLANK(HJ7),0,MIN(HJ7:HJ1000)), 0)</f>
        <v>0</v>
      </c>
      <c r="HD81" s="17"/>
      <c r="HE81" s="60"/>
      <c r="HF81" s="16"/>
      <c r="HG81" s="16"/>
      <c r="HH81" s="16"/>
      <c r="HI81" s="16"/>
      <c r="HJ81" s="16"/>
      <c r="HK81" s="17"/>
      <c r="HM81" s="0" t="s">
        <v>280</v>
      </c>
      <c r="HN81" s="46">
        <f>IFERROR(IF(ISBLANK(HU7),0,MIN(HU7:HU1000)), 0)</f>
        <v>0</v>
      </c>
      <c r="HO81" s="17"/>
      <c r="HP81" s="60"/>
      <c r="HQ81" s="16"/>
      <c r="HR81" s="16"/>
      <c r="HS81" s="16"/>
      <c r="HT81" s="16"/>
      <c r="HU81" s="16"/>
      <c r="HV81" s="17"/>
      <c r="HX81" s="0" t="s">
        <v>280</v>
      </c>
      <c r="HY81" s="46">
        <f>IFERROR(IF(ISBLANK(IF7),0,MIN(IF7:IF1000)), 0)</f>
        <v>0</v>
      </c>
      <c r="HZ81" s="17"/>
      <c r="IA81" s="60"/>
      <c r="IB81" s="16"/>
      <c r="IC81" s="16"/>
      <c r="ID81" s="16"/>
      <c r="IE81" s="16"/>
      <c r="IF81" s="16"/>
      <c r="IG81" s="17"/>
      <c r="II81" s="0" t="s">
        <v>280</v>
      </c>
      <c r="IJ81" s="46">
        <f>IFERROR(IF(ISBLANK(IQ7),0,MIN(IQ7:IQ1000)), 0)</f>
        <v>0</v>
      </c>
      <c r="IK81" s="17"/>
      <c r="IL81" s="60"/>
      <c r="IM81" s="16"/>
      <c r="IN81" s="16"/>
      <c r="IO81" s="16"/>
      <c r="IP81" s="16"/>
      <c r="IQ81" s="16"/>
      <c r="IR81" s="17"/>
      <c r="IT81" s="0" t="s">
        <v>280</v>
      </c>
      <c r="IU81" s="46">
        <f>IFERROR(IF(ISBLANK(JB7),0,MIN(JB7:JB1000)), 0)</f>
        <v>0</v>
      </c>
      <c r="IV81" s="17"/>
      <c r="IW81" s="60"/>
      <c r="IX81" s="16"/>
      <c r="IY81" s="16"/>
      <c r="IZ81" s="16"/>
      <c r="JA81" s="16"/>
      <c r="JB81" s="16"/>
      <c r="JC81" s="17"/>
      <c r="JE81" s="0" t="s">
        <v>280</v>
      </c>
      <c r="JF81" s="46">
        <f>IFERROR(IF(ISBLANK(JM7),0,MIN(JM7:JM1000)), 0)</f>
        <v>0</v>
      </c>
      <c r="JG81" s="17"/>
      <c r="JH81" s="60"/>
      <c r="JI81" s="16"/>
      <c r="JJ81" s="16"/>
      <c r="JK81" s="16"/>
      <c r="JL81" s="16"/>
      <c r="JM81" s="16"/>
      <c r="JN81" s="17"/>
      <c r="JP81" s="0" t="s">
        <v>280</v>
      </c>
      <c r="JQ81" s="46">
        <f>IFERROR(IF(ISBLANK(JX7),0,MIN(JX7:JX1000)), 0)</f>
        <v>0</v>
      </c>
      <c r="JR81" s="17"/>
      <c r="JS81" s="60"/>
      <c r="JT81" s="16"/>
      <c r="JU81" s="16"/>
      <c r="JV81" s="16"/>
      <c r="JW81" s="16"/>
      <c r="JX81" s="16"/>
      <c r="JY81" s="17"/>
      <c r="KA81" s="0" t="s">
        <v>280</v>
      </c>
      <c r="KB81" s="46">
        <f>IFERROR(IF(ISBLANK(KI7),0,MIN(KI7:KI1000)), 0)</f>
        <v>0</v>
      </c>
      <c r="KC81" s="17"/>
      <c r="KD81" s="60"/>
      <c r="KE81" s="16"/>
      <c r="KF81" s="16"/>
      <c r="KG81" s="16"/>
      <c r="KH81" s="16"/>
      <c r="KI81" s="16"/>
      <c r="KJ81" s="17"/>
      <c r="KL81" s="0" t="s">
        <v>280</v>
      </c>
      <c r="KM81" s="46">
        <f>IFERROR(IF(ISBLANK(KT7),0,MIN(KT7:KT1000)), 0)</f>
        <v>0</v>
      </c>
      <c r="KN81" s="17"/>
      <c r="KO81" s="60"/>
      <c r="KP81" s="16"/>
      <c r="KQ81" s="16"/>
      <c r="KR81" s="16"/>
      <c r="KS81" s="16"/>
      <c r="KT81" s="16"/>
      <c r="KU81" s="17"/>
      <c r="KW81" s="0" t="s">
        <v>280</v>
      </c>
      <c r="KX81" s="46">
        <f>IFERROR(IF(ISBLANK(LE7),0,MIN(LE7:LE1000)), 0)</f>
        <v>0</v>
      </c>
      <c r="KY81" s="17"/>
      <c r="KZ81" s="60"/>
      <c r="LA81" s="16"/>
      <c r="LB81" s="16"/>
      <c r="LC81" s="16"/>
      <c r="LD81" s="16"/>
      <c r="LE81" s="16"/>
      <c r="LF81" s="17"/>
      <c r="LH81" s="0" t="s">
        <v>280</v>
      </c>
      <c r="LI81" s="46">
        <f>IFERROR(IF(ISBLANK(LP7),0,MIN(LP7:LP1000)), 0)</f>
        <v>0</v>
      </c>
      <c r="LJ81" s="17"/>
      <c r="LK81" s="60"/>
      <c r="LL81" s="16"/>
      <c r="LM81" s="16"/>
      <c r="LN81" s="16"/>
      <c r="LO81" s="16"/>
      <c r="LP81" s="16"/>
      <c r="LQ81" s="17"/>
    </row>
    <row r="82">
      <c r="A82" s="0" t="s">
        <v>281</v>
      </c>
      <c r="B82" s="0" t="str">
        <f>IFERROR((SUM(IF(B66="",0,B65),IF(B69="",0,B70),IF(B72="",0,B71))/SUM(B66,B69,B72)), "")</f>
      </c>
      <c r="C82" s="62">
        <v>76</v>
      </c>
      <c r="D82" s="64">
        <v>25097</v>
      </c>
      <c r="E82" s="16" t="s">
        <v>20</v>
      </c>
      <c r="F82" s="16" t="s">
        <v>20</v>
      </c>
      <c r="G82" s="21" t="s">
        <v>20</v>
      </c>
      <c r="H82" s="16" t="s">
        <v>20</v>
      </c>
      <c r="I82" s="16" t="s">
        <v>20</v>
      </c>
      <c r="J82" s="17"/>
      <c r="L82" s="0" t="s">
        <v>281</v>
      </c>
      <c r="M82" s="0" t="str">
        <f>IFERROR((SUM(IF(M66="",0,M65),IF(M69="",0,M70),IF(M72="",0,M71))/SUM(M66,M69,M72)), "")</f>
      </c>
      <c r="N82" s="17"/>
      <c r="O82" s="64"/>
      <c r="P82" s="16"/>
      <c r="Q82" s="16"/>
      <c r="R82" s="16"/>
      <c r="S82" s="16"/>
      <c r="T82" s="16"/>
      <c r="U82" s="17"/>
      <c r="W82" s="0" t="s">
        <v>281</v>
      </c>
      <c r="X82" s="0" t="str">
        <f>IFERROR((SUM(IF(X66="",0,X65),IF(X69="",0,X70),IF(X72="",0,X71))/SUM(X66,X69,X72)), "")</f>
      </c>
      <c r="Y82" s="66">
        <v>76</v>
      </c>
      <c r="Z82" s="61">
        <v>24366</v>
      </c>
      <c r="AA82" s="16" t="s">
        <v>20</v>
      </c>
      <c r="AB82" s="16" t="s">
        <v>20</v>
      </c>
      <c r="AC82" s="16" t="s">
        <v>20</v>
      </c>
      <c r="AD82" s="16" t="s">
        <v>20</v>
      </c>
      <c r="AE82" s="16" t="s">
        <v>20</v>
      </c>
      <c r="AF82" s="17"/>
      <c r="AH82" s="0" t="s">
        <v>281</v>
      </c>
      <c r="AI82" s="0" t="str">
        <f>IFERROR((SUM(IF(AI66="",0,AI65),IF(AI69="",0,AI70),IF(AI72="",0,AI71))/SUM(AI66,AI69,AI72)), "")</f>
      </c>
      <c r="AJ82" s="17">
        <v>76</v>
      </c>
      <c r="AK82" s="61">
        <v>24065</v>
      </c>
      <c r="AL82" s="16">
        <v>2.9999999999999947</v>
      </c>
      <c r="AM82" s="16">
        <v>18.000000005587935</v>
      </c>
      <c r="AN82" s="16" t="s">
        <v>20</v>
      </c>
      <c r="AO82" s="16">
        <v>4.5</v>
      </c>
      <c r="AP82" s="16">
        <v>3.5</v>
      </c>
      <c r="AQ82" s="17"/>
      <c r="AS82" s="0" t="s">
        <v>281</v>
      </c>
      <c r="AT82" s="0" t="str">
        <f>IFERROR((SUM(IF(AT66="",0,AT65),IF(AT69="",0,AT70),IF(AT72="",0,AT71))/SUM(AT66,AT69,AT72)), "")</f>
      </c>
      <c r="AU82" s="17">
        <v>76</v>
      </c>
      <c r="AV82" s="61">
        <v>23691</v>
      </c>
      <c r="AW82" s="16" t="s">
        <v>20</v>
      </c>
      <c r="AX82" s="16" t="s">
        <v>20</v>
      </c>
      <c r="AY82" s="16"/>
      <c r="AZ82" s="16" t="s">
        <v>20</v>
      </c>
      <c r="BA82" s="16" t="s">
        <v>20</v>
      </c>
      <c r="BB82" s="17"/>
      <c r="BD82" s="0" t="s">
        <v>281</v>
      </c>
      <c r="BE82" s="0" t="str">
        <f>IFERROR((SUM(IF(BE66="",0,BE65),IF(BE69="",0,BE70),IF(BE72="",0,BE71))/SUM(BE66,BE69,BE72)), "")</f>
      </c>
      <c r="BF82" s="17">
        <v>76</v>
      </c>
      <c r="BG82" s="61">
        <v>24210</v>
      </c>
      <c r="BH82" s="16" t="s">
        <v>20</v>
      </c>
      <c r="BI82" s="16" t="s">
        <v>20</v>
      </c>
      <c r="BJ82" s="16" t="s">
        <v>20</v>
      </c>
      <c r="BK82" s="16" t="s">
        <v>20</v>
      </c>
      <c r="BL82" s="16" t="s">
        <v>20</v>
      </c>
      <c r="BM82" s="17"/>
      <c r="BO82" s="0" t="s">
        <v>281</v>
      </c>
      <c r="BP82" s="0" t="str">
        <f>IFERROR((SUM(IF(BP66="",0,BP65),IF(BP69="",0,BP70),IF(BP72="",0,BP71))/SUM(BP66,BP69,BP72)), "")</f>
      </c>
      <c r="BQ82" s="17">
        <v>76</v>
      </c>
      <c r="BR82" s="61">
        <v>23923</v>
      </c>
      <c r="BS82" s="16">
        <v>4.9999999999999964</v>
      </c>
      <c r="BT82" s="16">
        <v>19.999999997671694</v>
      </c>
      <c r="BU82" s="16" t="s">
        <v>20</v>
      </c>
      <c r="BV82" s="16">
        <v>4.75</v>
      </c>
      <c r="BW82" s="16">
        <v>2.4</v>
      </c>
      <c r="BX82" s="17"/>
      <c r="BZ82" s="0" t="s">
        <v>281</v>
      </c>
      <c r="CA82" s="0" t="str">
        <f>IFERROR((SUM(IF(CA66="",0,CA65),IF(CA69="",0,CA70),IF(CA72="",0,CA71))/SUM(CA66,CA69,CA72)), "")</f>
      </c>
      <c r="CB82" s="17"/>
      <c r="CC82" s="61"/>
      <c r="CD82" s="16"/>
      <c r="CE82" s="16"/>
      <c r="CF82" s="16"/>
      <c r="CG82" s="16"/>
      <c r="CH82" s="16"/>
      <c r="CI82" s="17"/>
      <c r="CK82" s="0" t="s">
        <v>281</v>
      </c>
      <c r="CL82" s="0" t="str">
        <f>IFERROR((SUM(IF(CL66="",0,CL65),IF(CL69="",0,CL70),IF(CL72="",0,CL71))/SUM(CL66,CL69,CL72)), "")</f>
      </c>
      <c r="CM82" s="17">
        <v>76</v>
      </c>
      <c r="CN82" s="61">
        <v>25652</v>
      </c>
      <c r="CO82" s="16" t="s">
        <v>20</v>
      </c>
      <c r="CP82" s="16" t="s">
        <v>20</v>
      </c>
      <c r="CQ82" s="16" t="s">
        <v>20</v>
      </c>
      <c r="CR82" s="16" t="s">
        <v>20</v>
      </c>
      <c r="CS82" s="16" t="s">
        <v>20</v>
      </c>
      <c r="CT82" s="17"/>
      <c r="CV82" s="0" t="s">
        <v>281</v>
      </c>
      <c r="CW82" s="0" t="str">
        <f>IFERROR((SUM(IF(CW66="",0,CW65),IF(CW69="",0,CW70),IF(CW72="",0,CW71))/SUM(CW66,CW69,CW72)), "")</f>
      </c>
      <c r="CX82" s="17"/>
      <c r="CY82" s="60"/>
      <c r="CZ82" s="16"/>
      <c r="DA82" s="16"/>
      <c r="DB82" s="16"/>
      <c r="DC82" s="16"/>
      <c r="DD82" s="16"/>
      <c r="DE82" s="17"/>
      <c r="DG82" s="0" t="s">
        <v>281</v>
      </c>
      <c r="DH82" s="0" t="str">
        <f>IFERROR((SUM(IF(DH66="",0,DH65),IF(DH69="",0,DH70),IF(DH72="",0,DH71))/SUM(DH66,DH69,DH72)), "")</f>
      </c>
      <c r="DI82" s="17">
        <v>76</v>
      </c>
      <c r="DJ82" s="60">
        <v>24763</v>
      </c>
      <c r="DK82" s="16" t="s">
        <v>20</v>
      </c>
      <c r="DL82" s="16" t="s">
        <v>20</v>
      </c>
      <c r="DM82" s="16" t="s">
        <v>20</v>
      </c>
      <c r="DN82" s="16" t="s">
        <v>20</v>
      </c>
      <c r="DO82" s="16" t="s">
        <v>20</v>
      </c>
      <c r="DP82" s="17"/>
      <c r="DR82" s="0" t="s">
        <v>281</v>
      </c>
      <c r="DS82" s="0" t="str">
        <f>IFERROR((SUM(IF(DS66="",0,DS65),IF(DS69="",0,DS70),IF(DS72="",0,DS71))/SUM(DS66,DS69,DS72)), "")</f>
      </c>
      <c r="DT82" s="17"/>
      <c r="DU82" s="60"/>
      <c r="DV82" s="16"/>
      <c r="DW82" s="16"/>
      <c r="DX82" s="16"/>
      <c r="DY82" s="16"/>
      <c r="DZ82" s="16"/>
      <c r="EA82" s="17"/>
      <c r="EC82" s="0" t="s">
        <v>281</v>
      </c>
      <c r="ED82" s="0" t="str">
        <f>IFERROR((SUM(IF(ED66="",0,ED65),IF(ED69="",0,ED70),IF(ED72="",0,ED71))/SUM(ED66,ED69,ED72)), "")</f>
      </c>
      <c r="EE82" s="17"/>
      <c r="EF82" s="60"/>
      <c r="EG82" s="16"/>
      <c r="EH82" s="16"/>
      <c r="EI82" s="16"/>
      <c r="EJ82" s="16"/>
      <c r="EK82" s="16"/>
      <c r="EL82" s="17"/>
      <c r="EN82" s="0" t="s">
        <v>281</v>
      </c>
      <c r="EO82" s="0" t="str">
        <f>IFERROR((SUM(IF(EO66="",0,EO65),IF(EO69="",0,EO70),IF(EO72="",0,EO71))/SUM(EO66,EO69,EO72)), "")</f>
      </c>
      <c r="EP82" s="17">
        <v>76</v>
      </c>
      <c r="EQ82" s="60">
        <v>24203</v>
      </c>
      <c r="ER82" s="16" t="s">
        <v>20</v>
      </c>
      <c r="ES82" s="16" t="s">
        <v>20</v>
      </c>
      <c r="ET82" s="16" t="s">
        <v>20</v>
      </c>
      <c r="EU82" s="16" t="s">
        <v>20</v>
      </c>
      <c r="EV82" s="16" t="s">
        <v>20</v>
      </c>
      <c r="EW82" s="17"/>
      <c r="EY82" s="0" t="s">
        <v>281</v>
      </c>
      <c r="EZ82" s="0" t="str">
        <f>IFERROR((SUM(IF(EZ66="",0,EZ65),IF(EZ69="",0,EZ70),IF(EZ72="",0,EZ71))/SUM(EZ66,EZ69,EZ72)), "")</f>
      </c>
      <c r="FA82" s="17"/>
      <c r="FB82" s="60"/>
      <c r="FC82" s="16"/>
      <c r="FD82" s="16"/>
      <c r="FE82" s="16"/>
      <c r="FF82" s="16"/>
      <c r="FG82" s="16"/>
      <c r="FH82" s="17"/>
      <c r="FJ82" s="0" t="s">
        <v>281</v>
      </c>
      <c r="FK82" s="0" t="str">
        <f>IFERROR((SUM(IF(FK66="",0,FK65),IF(FK69="",0,FK70),IF(FK72="",0,FK71))/SUM(FK66,FK69,FK72)), "")</f>
      </c>
      <c r="FL82" s="17"/>
      <c r="FM82" s="60"/>
      <c r="FN82" s="16"/>
      <c r="FO82" s="16"/>
      <c r="FP82" s="16"/>
      <c r="FQ82" s="16"/>
      <c r="FR82" s="16"/>
      <c r="FS82" s="17"/>
      <c r="FU82" s="0" t="s">
        <v>281</v>
      </c>
      <c r="FV82" s="0" t="str">
        <f>IFERROR((SUM(IF(FV66="",0,FV65),IF(FV69="",0,FV70),IF(FV72="",0,FV71))/SUM(FV66,FV69,FV72)), "")</f>
      </c>
      <c r="FW82" s="17">
        <v>76</v>
      </c>
      <c r="FX82" s="60">
        <v>26637</v>
      </c>
      <c r="FY82" s="16" t="s">
        <v>20</v>
      </c>
      <c r="FZ82" s="16" t="s">
        <v>20</v>
      </c>
      <c r="GA82" s="16" t="s">
        <v>20</v>
      </c>
      <c r="GB82" s="16" t="s">
        <v>20</v>
      </c>
      <c r="GC82" s="16" t="s">
        <v>20</v>
      </c>
      <c r="GD82" s="17"/>
      <c r="GF82" s="0" t="s">
        <v>281</v>
      </c>
      <c r="GG82" s="0" t="str">
        <f>IFERROR((SUM(IF(GG66="",0,GG65),IF(GG69="",0,GG70),IF(GG72="",0,GG71))/SUM(GG66,GG69,GG72)), "")</f>
      </c>
      <c r="GH82" s="17"/>
      <c r="GI82" s="60"/>
      <c r="GJ82" s="16"/>
      <c r="GK82" s="16"/>
      <c r="GL82" s="16"/>
      <c r="GM82" s="16"/>
      <c r="GN82" s="16"/>
      <c r="GO82" s="17"/>
      <c r="GQ82" s="0" t="s">
        <v>281</v>
      </c>
      <c r="GR82" s="0" t="str">
        <f>IFERROR((SUM(IF(GR66="",0,GR65),IF(GR69="",0,GR70),IF(GR72="",0,GR71))/SUM(GR66,GR69,GR72)), "")</f>
      </c>
      <c r="GS82" s="17"/>
      <c r="GT82" s="60"/>
      <c r="GU82" s="16"/>
      <c r="GV82" s="16"/>
      <c r="GW82" s="16"/>
      <c r="GX82" s="16"/>
      <c r="GY82" s="16"/>
      <c r="GZ82" s="17"/>
      <c r="HB82" s="0" t="s">
        <v>281</v>
      </c>
      <c r="HC82" s="0" t="str">
        <f>IFERROR((SUM(IF(HC66="",0,HC65),IF(HC69="",0,HC70),IF(HC72="",0,HC71))/SUM(HC66,HC69,HC72)), "")</f>
      </c>
      <c r="HD82" s="17"/>
      <c r="HE82" s="60"/>
      <c r="HF82" s="16"/>
      <c r="HG82" s="16"/>
      <c r="HH82" s="16"/>
      <c r="HI82" s="16"/>
      <c r="HJ82" s="16"/>
      <c r="HK82" s="17"/>
      <c r="HM82" s="0" t="s">
        <v>281</v>
      </c>
      <c r="HN82" s="0" t="str">
        <f>IFERROR((SUM(IF(HN66="",0,HN65),IF(HN69="",0,HN70),IF(HN72="",0,HN71))/SUM(HN66,HN69,HN72)), "")</f>
      </c>
      <c r="HO82" s="17"/>
      <c r="HP82" s="60"/>
      <c r="HQ82" s="16"/>
      <c r="HR82" s="16"/>
      <c r="HS82" s="16"/>
      <c r="HT82" s="16"/>
      <c r="HU82" s="16"/>
      <c r="HV82" s="17"/>
      <c r="HX82" s="0" t="s">
        <v>281</v>
      </c>
      <c r="HY82" s="0" t="str">
        <f>IFERROR((SUM(IF(HY66="",0,HY65),IF(HY69="",0,HY70),IF(HY72="",0,HY71))/SUM(HY66,HY69,HY72)), "")</f>
      </c>
      <c r="HZ82" s="17"/>
      <c r="IA82" s="60"/>
      <c r="IB82" s="16"/>
      <c r="IC82" s="16"/>
      <c r="ID82" s="16"/>
      <c r="IE82" s="16"/>
      <c r="IF82" s="16"/>
      <c r="IG82" s="17"/>
      <c r="II82" s="0" t="s">
        <v>281</v>
      </c>
      <c r="IJ82" s="0" t="str">
        <f>IFERROR((SUM(IF(IJ66="",0,IJ65),IF(IJ69="",0,IJ70),IF(IJ72="",0,IJ71))/SUM(IJ66,IJ69,IJ72)), "")</f>
      </c>
      <c r="IK82" s="17"/>
      <c r="IL82" s="60"/>
      <c r="IM82" s="16"/>
      <c r="IN82" s="16"/>
      <c r="IO82" s="16"/>
      <c r="IP82" s="16"/>
      <c r="IQ82" s="16"/>
      <c r="IR82" s="17"/>
      <c r="IT82" s="0" t="s">
        <v>281</v>
      </c>
      <c r="IU82" s="0" t="str">
        <f>IFERROR((SUM(IF(IU66="",0,IU65),IF(IU69="",0,IU70),IF(IU72="",0,IU71))/SUM(IU66,IU69,IU72)), "")</f>
      </c>
      <c r="IV82" s="17"/>
      <c r="IW82" s="60"/>
      <c r="IX82" s="16"/>
      <c r="IY82" s="16"/>
      <c r="IZ82" s="16"/>
      <c r="JA82" s="16"/>
      <c r="JB82" s="16"/>
      <c r="JC82" s="17"/>
      <c r="JE82" s="0" t="s">
        <v>281</v>
      </c>
      <c r="JF82" s="0" t="str">
        <f>IFERROR((SUM(IF(JF66="",0,JF65),IF(JF69="",0,JF70),IF(JF72="",0,JF71))/SUM(JF66,JF69,JF72)), "")</f>
      </c>
      <c r="JG82" s="17"/>
      <c r="JH82" s="60"/>
      <c r="JI82" s="16"/>
      <c r="JJ82" s="16"/>
      <c r="JK82" s="16"/>
      <c r="JL82" s="16"/>
      <c r="JM82" s="16"/>
      <c r="JN82" s="17"/>
      <c r="JP82" s="0" t="s">
        <v>281</v>
      </c>
      <c r="JQ82" s="0" t="str">
        <f>IFERROR((SUM(IF(JQ66="",0,JQ65),IF(JQ69="",0,JQ70),IF(JQ72="",0,JQ71))/SUM(JQ66,JQ69,JQ72)), "")</f>
      </c>
      <c r="JR82" s="17"/>
      <c r="JS82" s="60"/>
      <c r="JT82" s="16"/>
      <c r="JU82" s="16"/>
      <c r="JV82" s="16"/>
      <c r="JW82" s="16"/>
      <c r="JX82" s="16"/>
      <c r="JY82" s="17"/>
      <c r="KA82" s="0" t="s">
        <v>281</v>
      </c>
      <c r="KB82" s="0" t="str">
        <f>IFERROR((SUM(IF(KB66="",0,KB65),IF(KB69="",0,KB70),IF(KB72="",0,KB71))/SUM(KB66,KB69,KB72)), "")</f>
      </c>
      <c r="KC82" s="17"/>
      <c r="KD82" s="60"/>
      <c r="KE82" s="16"/>
      <c r="KF82" s="16"/>
      <c r="KG82" s="16"/>
      <c r="KH82" s="16"/>
      <c r="KI82" s="16"/>
      <c r="KJ82" s="17"/>
      <c r="KL82" s="0" t="s">
        <v>281</v>
      </c>
      <c r="KM82" s="0" t="str">
        <f>IFERROR((SUM(IF(KM66="",0,KM65),IF(KM69="",0,KM70),IF(KM72="",0,KM71))/SUM(KM66,KM69,KM72)), "")</f>
      </c>
      <c r="KN82" s="17"/>
      <c r="KO82" s="60"/>
      <c r="KP82" s="16"/>
      <c r="KQ82" s="16"/>
      <c r="KR82" s="16"/>
      <c r="KS82" s="16"/>
      <c r="KT82" s="16"/>
      <c r="KU82" s="17"/>
      <c r="KW82" s="0" t="s">
        <v>281</v>
      </c>
      <c r="KX82" s="0" t="str">
        <f>IFERROR((SUM(IF(KX66="",0,KX65),IF(KX69="",0,KX70),IF(KX72="",0,KX71))/SUM(KX66,KX69,KX72)), "")</f>
      </c>
      <c r="KY82" s="17"/>
      <c r="KZ82" s="60"/>
      <c r="LA82" s="16"/>
      <c r="LB82" s="16"/>
      <c r="LC82" s="16"/>
      <c r="LD82" s="16"/>
      <c r="LE82" s="16"/>
      <c r="LF82" s="17"/>
      <c r="LH82" s="0" t="s">
        <v>281</v>
      </c>
      <c r="LI82" s="0" t="str">
        <f>IFERROR((SUM(IF(LI66="",0,LI65),IF(LI69="",0,LI70),IF(LI72="",0,LI71))/SUM(LI66,LI69,LI72)), "")</f>
      </c>
      <c r="LJ82" s="17"/>
      <c r="LK82" s="60"/>
      <c r="LL82" s="16"/>
      <c r="LM82" s="16"/>
      <c r="LN82" s="16"/>
      <c r="LO82" s="16"/>
      <c r="LP82" s="16"/>
      <c r="LQ82" s="17"/>
    </row>
    <row r="83">
      <c r="A83" s="0" t="s">
        <v>32</v>
      </c>
      <c r="B83" s="0">
        <f>SUM(IFERROR(B70, 0),IFERROR(B65, 0),IFERROR(B71, 0))/24</f>
        <v>0</v>
      </c>
      <c r="C83" s="62">
        <v>77</v>
      </c>
      <c r="D83" s="64">
        <v>25299</v>
      </c>
      <c r="E83" s="16" t="s">
        <v>20</v>
      </c>
      <c r="F83" s="16" t="s">
        <v>20</v>
      </c>
      <c r="G83" s="21" t="s">
        <v>20</v>
      </c>
      <c r="H83" s="16" t="s">
        <v>20</v>
      </c>
      <c r="I83" s="16" t="s">
        <v>20</v>
      </c>
      <c r="J83" s="17"/>
      <c r="L83" s="0" t="s">
        <v>32</v>
      </c>
      <c r="M83" s="0">
        <f>SUM(IFERROR(M70, 0),IFERROR(M65, 0),IFERROR(M71, 0))/24</f>
        <v>0</v>
      </c>
      <c r="N83" s="17"/>
      <c r="O83" s="64"/>
      <c r="P83" s="16"/>
      <c r="Q83" s="16"/>
      <c r="R83" s="16"/>
      <c r="S83" s="16"/>
      <c r="T83" s="16"/>
      <c r="U83" s="17"/>
      <c r="W83" s="0" t="s">
        <v>32</v>
      </c>
      <c r="X83" s="0">
        <f>SUM(IFERROR(X70, 0),IFERROR(X65, 0),IFERROR(X71, 0))/24</f>
        <v>0</v>
      </c>
      <c r="Y83" s="66">
        <v>77</v>
      </c>
      <c r="Z83" s="61">
        <v>24567</v>
      </c>
      <c r="AA83" s="16" t="s">
        <v>20</v>
      </c>
      <c r="AB83" s="16" t="s">
        <v>20</v>
      </c>
      <c r="AC83" s="16" t="s">
        <v>20</v>
      </c>
      <c r="AD83" s="16" t="s">
        <v>20</v>
      </c>
      <c r="AE83" s="16" t="s">
        <v>20</v>
      </c>
      <c r="AF83" s="17"/>
      <c r="AH83" s="0" t="s">
        <v>32</v>
      </c>
      <c r="AI83" s="0">
        <f>SUM(IFERROR(AI70, 0),IFERROR(AI65, 0),IFERROR(AI71, 0))/24</f>
        <v>0</v>
      </c>
      <c r="AJ83" s="17">
        <v>77</v>
      </c>
      <c r="AK83" s="61">
        <v>24267</v>
      </c>
      <c r="AL83" s="16">
        <v>2.9999999999999947</v>
      </c>
      <c r="AM83" s="16">
        <v>15.999999999068677</v>
      </c>
      <c r="AN83" s="16" t="s">
        <v>20</v>
      </c>
      <c r="AO83" s="16">
        <v>4.5</v>
      </c>
      <c r="AP83" s="16">
        <v>3.5</v>
      </c>
      <c r="AQ83" s="17"/>
      <c r="AS83" s="0" t="s">
        <v>32</v>
      </c>
      <c r="AT83" s="0">
        <f>SUM(IFERROR(AT70, 0),IFERROR(AT65, 0),IFERROR(AT71, 0))/24</f>
        <v>0</v>
      </c>
      <c r="AU83" s="17">
        <v>77</v>
      </c>
      <c r="AV83" s="61">
        <v>23893</v>
      </c>
      <c r="AW83" s="16" t="s">
        <v>20</v>
      </c>
      <c r="AX83" s="16" t="s">
        <v>20</v>
      </c>
      <c r="AY83" s="16"/>
      <c r="AZ83" s="16" t="s">
        <v>20</v>
      </c>
      <c r="BA83" s="16" t="s">
        <v>20</v>
      </c>
      <c r="BB83" s="17"/>
      <c r="BD83" s="0" t="s">
        <v>32</v>
      </c>
      <c r="BE83" s="0">
        <f>SUM(IFERROR(BE70, 0),IFERROR(BE65, 0),IFERROR(BE71, 0))/24</f>
        <v>0</v>
      </c>
      <c r="BF83" s="17">
        <v>77</v>
      </c>
      <c r="BG83" s="61">
        <v>24412</v>
      </c>
      <c r="BH83" s="16" t="s">
        <v>20</v>
      </c>
      <c r="BI83" s="16" t="s">
        <v>20</v>
      </c>
      <c r="BJ83" s="16" t="s">
        <v>20</v>
      </c>
      <c r="BK83" s="16" t="s">
        <v>20</v>
      </c>
      <c r="BL83" s="16" t="s">
        <v>20</v>
      </c>
      <c r="BM83" s="17"/>
      <c r="BO83" s="0" t="s">
        <v>32</v>
      </c>
      <c r="BP83" s="0">
        <f>SUM(IFERROR(BP70, 0),IFERROR(BP65, 0),IFERROR(BP71, 0))/24</f>
        <v>0</v>
      </c>
      <c r="BQ83" s="17">
        <v>77</v>
      </c>
      <c r="BR83" s="61">
        <v>24124</v>
      </c>
      <c r="BS83" s="16">
        <v>11.000000000000002</v>
      </c>
      <c r="BT83" s="16">
        <v>27.000000005587935</v>
      </c>
      <c r="BU83" s="16" t="s">
        <v>20</v>
      </c>
      <c r="BV83" s="16">
        <v>4.75</v>
      </c>
      <c r="BW83" s="16">
        <v>2.4</v>
      </c>
      <c r="BX83" s="17"/>
      <c r="BZ83" s="0" t="s">
        <v>32</v>
      </c>
      <c r="CA83" s="0">
        <f>SUM(IFERROR(CA70, 0),IFERROR(CA65, 0),IFERROR(CA71, 0))/24</f>
        <v>0</v>
      </c>
      <c r="CB83" s="17"/>
      <c r="CC83" s="61"/>
      <c r="CD83" s="16"/>
      <c r="CE83" s="16"/>
      <c r="CF83" s="16"/>
      <c r="CG83" s="16"/>
      <c r="CH83" s="16"/>
      <c r="CI83" s="17"/>
      <c r="CK83" s="0" t="s">
        <v>32</v>
      </c>
      <c r="CL83" s="0">
        <f>SUM(IFERROR(CL70, 0),IFERROR(CL65, 0),IFERROR(CL71, 0))/24</f>
        <v>0</v>
      </c>
      <c r="CM83" s="17">
        <v>77</v>
      </c>
      <c r="CN83" s="61">
        <v>25855</v>
      </c>
      <c r="CO83" s="16" t="s">
        <v>20</v>
      </c>
      <c r="CP83" s="16" t="s">
        <v>20</v>
      </c>
      <c r="CQ83" s="16" t="s">
        <v>20</v>
      </c>
      <c r="CR83" s="16" t="s">
        <v>20</v>
      </c>
      <c r="CS83" s="16" t="s">
        <v>20</v>
      </c>
      <c r="CT83" s="17"/>
      <c r="CV83" s="0" t="s">
        <v>32</v>
      </c>
      <c r="CW83" s="0">
        <f>SUM(IFERROR(CW70, 0),IFERROR(CW65, 0),IFERROR(CW71, 0))/24</f>
        <v>0</v>
      </c>
      <c r="CX83" s="17"/>
      <c r="CY83" s="60"/>
      <c r="CZ83" s="16"/>
      <c r="DA83" s="16"/>
      <c r="DB83" s="16"/>
      <c r="DC83" s="16"/>
      <c r="DD83" s="16"/>
      <c r="DE83" s="17"/>
      <c r="DG83" s="0" t="s">
        <v>32</v>
      </c>
      <c r="DH83" s="0">
        <f>SUM(IFERROR(DH70, 0),IFERROR(DH65, 0),IFERROR(DH71, 0))/24</f>
        <v>0</v>
      </c>
      <c r="DI83" s="17">
        <v>77</v>
      </c>
      <c r="DJ83" s="60">
        <v>24965</v>
      </c>
      <c r="DK83" s="16" t="s">
        <v>20</v>
      </c>
      <c r="DL83" s="16" t="s">
        <v>20</v>
      </c>
      <c r="DM83" s="16" t="s">
        <v>20</v>
      </c>
      <c r="DN83" s="16" t="s">
        <v>20</v>
      </c>
      <c r="DO83" s="16" t="s">
        <v>20</v>
      </c>
      <c r="DP83" s="17"/>
      <c r="DR83" s="0" t="s">
        <v>32</v>
      </c>
      <c r="DS83" s="0">
        <f>SUM(IFERROR(DS70, 0),IFERROR(DS65, 0),IFERROR(DS71, 0))/24</f>
        <v>0</v>
      </c>
      <c r="DT83" s="17"/>
      <c r="DU83" s="60"/>
      <c r="DV83" s="16"/>
      <c r="DW83" s="16"/>
      <c r="DX83" s="16"/>
      <c r="DY83" s="16"/>
      <c r="DZ83" s="16"/>
      <c r="EA83" s="17"/>
      <c r="EC83" s="0" t="s">
        <v>32</v>
      </c>
      <c r="ED83" s="0">
        <f>SUM(IFERROR(ED70, 0),IFERROR(ED65, 0),IFERROR(ED71, 0))/24</f>
        <v>0</v>
      </c>
      <c r="EE83" s="17"/>
      <c r="EF83" s="60"/>
      <c r="EG83" s="16"/>
      <c r="EH83" s="16"/>
      <c r="EI83" s="16"/>
      <c r="EJ83" s="16"/>
      <c r="EK83" s="16"/>
      <c r="EL83" s="17"/>
      <c r="EN83" s="0" t="s">
        <v>32</v>
      </c>
      <c r="EO83" s="0">
        <f>SUM(IFERROR(EO70, 0),IFERROR(EO65, 0),IFERROR(EO71, 0))/24</f>
        <v>0</v>
      </c>
      <c r="EP83" s="17">
        <v>77</v>
      </c>
      <c r="EQ83" s="60">
        <v>24405</v>
      </c>
      <c r="ER83" s="16" t="s">
        <v>20</v>
      </c>
      <c r="ES83" s="16" t="s">
        <v>20</v>
      </c>
      <c r="ET83" s="16" t="s">
        <v>20</v>
      </c>
      <c r="EU83" s="16" t="s">
        <v>20</v>
      </c>
      <c r="EV83" s="16" t="s">
        <v>20</v>
      </c>
      <c r="EW83" s="17"/>
      <c r="EY83" s="0" t="s">
        <v>32</v>
      </c>
      <c r="EZ83" s="0">
        <f>SUM(IFERROR(EZ70, 0),IFERROR(EZ65, 0),IFERROR(EZ71, 0))/24</f>
        <v>0</v>
      </c>
      <c r="FA83" s="17"/>
      <c r="FB83" s="60"/>
      <c r="FC83" s="16"/>
      <c r="FD83" s="16"/>
      <c r="FE83" s="16"/>
      <c r="FF83" s="16"/>
      <c r="FG83" s="16"/>
      <c r="FH83" s="17"/>
      <c r="FJ83" s="0" t="s">
        <v>32</v>
      </c>
      <c r="FK83" s="0">
        <f>SUM(IFERROR(FK70, 0),IFERROR(FK65, 0),IFERROR(FK71, 0))/24</f>
        <v>0</v>
      </c>
      <c r="FL83" s="17"/>
      <c r="FM83" s="60"/>
      <c r="FN83" s="16"/>
      <c r="FO83" s="16"/>
      <c r="FP83" s="16"/>
      <c r="FQ83" s="16"/>
      <c r="FR83" s="16"/>
      <c r="FS83" s="17"/>
      <c r="FU83" s="0" t="s">
        <v>32</v>
      </c>
      <c r="FV83" s="0">
        <f>SUM(IFERROR(FV70, 0),IFERROR(FV65, 0),IFERROR(FV71, 0))/24</f>
        <v>0</v>
      </c>
      <c r="FW83" s="17">
        <v>77</v>
      </c>
      <c r="FX83" s="60">
        <v>26878</v>
      </c>
      <c r="FY83" s="16" t="s">
        <v>20</v>
      </c>
      <c r="FZ83" s="16" t="s">
        <v>20</v>
      </c>
      <c r="GA83" s="16" t="s">
        <v>20</v>
      </c>
      <c r="GB83" s="16" t="s">
        <v>20</v>
      </c>
      <c r="GC83" s="16" t="s">
        <v>20</v>
      </c>
      <c r="GD83" s="17"/>
      <c r="GF83" s="0" t="s">
        <v>32</v>
      </c>
      <c r="GG83" s="0">
        <f>SUM(IFERROR(GG70, 0),IFERROR(GG65, 0),IFERROR(GG71, 0))/24</f>
        <v>0</v>
      </c>
      <c r="GH83" s="17"/>
      <c r="GI83" s="60"/>
      <c r="GJ83" s="16"/>
      <c r="GK83" s="16"/>
      <c r="GL83" s="16"/>
      <c r="GM83" s="16"/>
      <c r="GN83" s="16"/>
      <c r="GO83" s="17"/>
      <c r="GQ83" s="0" t="s">
        <v>32</v>
      </c>
      <c r="GR83" s="0">
        <f>SUM(IFERROR(GR70, 0),IFERROR(GR65, 0),IFERROR(GR71, 0))/24</f>
        <v>0</v>
      </c>
      <c r="GS83" s="17"/>
      <c r="GT83" s="60"/>
      <c r="GU83" s="16"/>
      <c r="GV83" s="16"/>
      <c r="GW83" s="16"/>
      <c r="GX83" s="16"/>
      <c r="GY83" s="16"/>
      <c r="GZ83" s="17"/>
      <c r="HB83" s="0" t="s">
        <v>32</v>
      </c>
      <c r="HC83" s="0">
        <f>SUM(IFERROR(HC70, 0),IFERROR(HC65, 0),IFERROR(HC71, 0))/24</f>
        <v>0</v>
      </c>
      <c r="HD83" s="17"/>
      <c r="HE83" s="60"/>
      <c r="HF83" s="16"/>
      <c r="HG83" s="16"/>
      <c r="HH83" s="16"/>
      <c r="HI83" s="16"/>
      <c r="HJ83" s="16"/>
      <c r="HK83" s="17"/>
      <c r="HM83" s="0" t="s">
        <v>32</v>
      </c>
      <c r="HN83" s="0">
        <f>SUM(IFERROR(HN70, 0),IFERROR(HN65, 0),IFERROR(HN71, 0))/24</f>
        <v>0</v>
      </c>
      <c r="HO83" s="17"/>
      <c r="HP83" s="60"/>
      <c r="HQ83" s="16"/>
      <c r="HR83" s="16"/>
      <c r="HS83" s="16"/>
      <c r="HT83" s="16"/>
      <c r="HU83" s="16"/>
      <c r="HV83" s="17"/>
      <c r="HX83" s="0" t="s">
        <v>32</v>
      </c>
      <c r="HY83" s="0">
        <f>SUM(IFERROR(HY70, 0),IFERROR(HY65, 0),IFERROR(HY71, 0))/24</f>
        <v>0</v>
      </c>
      <c r="HZ83" s="17"/>
      <c r="IA83" s="60"/>
      <c r="IB83" s="16"/>
      <c r="IC83" s="16"/>
      <c r="ID83" s="16"/>
      <c r="IE83" s="16"/>
      <c r="IF83" s="16"/>
      <c r="IG83" s="17"/>
      <c r="II83" s="0" t="s">
        <v>32</v>
      </c>
      <c r="IJ83" s="0">
        <f>SUM(IFERROR(IJ70, 0),IFERROR(IJ65, 0),IFERROR(IJ71, 0))/24</f>
        <v>0</v>
      </c>
      <c r="IK83" s="17"/>
      <c r="IL83" s="60"/>
      <c r="IM83" s="16"/>
      <c r="IN83" s="16"/>
      <c r="IO83" s="16"/>
      <c r="IP83" s="16"/>
      <c r="IQ83" s="16"/>
      <c r="IR83" s="17"/>
      <c r="IT83" s="0" t="s">
        <v>32</v>
      </c>
      <c r="IU83" s="0">
        <f>SUM(IFERROR(IU70, 0),IFERROR(IU65, 0),IFERROR(IU71, 0))/24</f>
        <v>0</v>
      </c>
      <c r="IV83" s="17"/>
      <c r="IW83" s="60"/>
      <c r="IX83" s="16"/>
      <c r="IY83" s="16"/>
      <c r="IZ83" s="16"/>
      <c r="JA83" s="16"/>
      <c r="JB83" s="16"/>
      <c r="JC83" s="17"/>
      <c r="JE83" s="0" t="s">
        <v>32</v>
      </c>
      <c r="JF83" s="0">
        <f>SUM(IFERROR(JF70, 0),IFERROR(JF65, 0),IFERROR(JF71, 0))/24</f>
        <v>0</v>
      </c>
      <c r="JG83" s="17"/>
      <c r="JH83" s="60"/>
      <c r="JI83" s="16"/>
      <c r="JJ83" s="16"/>
      <c r="JK83" s="16"/>
      <c r="JL83" s="16"/>
      <c r="JM83" s="16"/>
      <c r="JN83" s="17"/>
      <c r="JP83" s="0" t="s">
        <v>32</v>
      </c>
      <c r="JQ83" s="0">
        <f>SUM(IFERROR(JQ70, 0),IFERROR(JQ65, 0),IFERROR(JQ71, 0))/24</f>
        <v>0</v>
      </c>
      <c r="JR83" s="17"/>
      <c r="JS83" s="60"/>
      <c r="JT83" s="16"/>
      <c r="JU83" s="16"/>
      <c r="JV83" s="16"/>
      <c r="JW83" s="16"/>
      <c r="JX83" s="16"/>
      <c r="JY83" s="17"/>
      <c r="KA83" s="0" t="s">
        <v>32</v>
      </c>
      <c r="KB83" s="0">
        <f>SUM(IFERROR(KB70, 0),IFERROR(KB65, 0),IFERROR(KB71, 0))/24</f>
        <v>0</v>
      </c>
      <c r="KC83" s="17"/>
      <c r="KD83" s="60"/>
      <c r="KE83" s="16"/>
      <c r="KF83" s="16"/>
      <c r="KG83" s="16"/>
      <c r="KH83" s="16"/>
      <c r="KI83" s="16"/>
      <c r="KJ83" s="17"/>
      <c r="KL83" s="0" t="s">
        <v>32</v>
      </c>
      <c r="KM83" s="0">
        <f>SUM(IFERROR(KM70, 0),IFERROR(KM65, 0),IFERROR(KM71, 0))/24</f>
        <v>0</v>
      </c>
      <c r="KN83" s="17"/>
      <c r="KO83" s="60"/>
      <c r="KP83" s="16"/>
      <c r="KQ83" s="16"/>
      <c r="KR83" s="16"/>
      <c r="KS83" s="16"/>
      <c r="KT83" s="16"/>
      <c r="KU83" s="17"/>
      <c r="KW83" s="0" t="s">
        <v>32</v>
      </c>
      <c r="KX83" s="0">
        <f>SUM(IFERROR(KX70, 0),IFERROR(KX65, 0),IFERROR(KX71, 0))/24</f>
        <v>0</v>
      </c>
      <c r="KY83" s="17"/>
      <c r="KZ83" s="60"/>
      <c r="LA83" s="16"/>
      <c r="LB83" s="16"/>
      <c r="LC83" s="16"/>
      <c r="LD83" s="16"/>
      <c r="LE83" s="16"/>
      <c r="LF83" s="17"/>
      <c r="LH83" s="0" t="s">
        <v>32</v>
      </c>
      <c r="LI83" s="0">
        <f>SUM(IFERROR(LI70, 0),IFERROR(LI65, 0),IFERROR(LI71, 0))/24</f>
        <v>0</v>
      </c>
      <c r="LJ83" s="17"/>
      <c r="LK83" s="60"/>
      <c r="LL83" s="16"/>
      <c r="LM83" s="16"/>
      <c r="LN83" s="16"/>
      <c r="LO83" s="16"/>
      <c r="LP83" s="16"/>
      <c r="LQ83" s="17"/>
    </row>
    <row r="84">
      <c r="A84" s="0" t="s">
        <v>282</v>
      </c>
      <c r="B84" s="0" t="e">
        <f>IF(OFFSET('Target Attainment'!$N$2,B61,0)="Lateral",B75,B59)</f>
        <v>#N/A</v>
      </c>
      <c r="C84" s="62">
        <v>78</v>
      </c>
      <c r="D84" s="64">
        <v>25501</v>
      </c>
      <c r="E84" s="16" t="s">
        <v>20</v>
      </c>
      <c r="F84" s="16" t="s">
        <v>20</v>
      </c>
      <c r="G84" s="21" t="s">
        <v>20</v>
      </c>
      <c r="H84" s="16" t="s">
        <v>20</v>
      </c>
      <c r="I84" s="16" t="s">
        <v>20</v>
      </c>
      <c r="J84" s="17"/>
      <c r="L84" s="0" t="s">
        <v>282</v>
      </c>
      <c r="M84" s="0" t="e">
        <f>IF(OFFSET('Target Attainment'!$N$2,M61,0)="Lateral",M75,M59)</f>
        <v>#N/A</v>
      </c>
      <c r="N84" s="17"/>
      <c r="O84" s="64"/>
      <c r="P84" s="16"/>
      <c r="Q84" s="16"/>
      <c r="R84" s="16"/>
      <c r="S84" s="16"/>
      <c r="T84" s="16"/>
      <c r="U84" s="17"/>
      <c r="W84" s="0" t="s">
        <v>282</v>
      </c>
      <c r="X84" s="0" t="e">
        <f>IF(OFFSET('Target Attainment'!$N$2,X61,0)="Lateral",X75,X59)</f>
        <v>#N/A</v>
      </c>
      <c r="Y84" s="66">
        <v>78</v>
      </c>
      <c r="Z84" s="61">
        <v>24768</v>
      </c>
      <c r="AA84" s="16" t="s">
        <v>20</v>
      </c>
      <c r="AB84" s="16" t="s">
        <v>20</v>
      </c>
      <c r="AC84" s="16" t="s">
        <v>20</v>
      </c>
      <c r="AD84" s="16" t="s">
        <v>20</v>
      </c>
      <c r="AE84" s="16" t="s">
        <v>20</v>
      </c>
      <c r="AF84" s="17"/>
      <c r="AH84" s="0" t="s">
        <v>282</v>
      </c>
      <c r="AI84" s="0" t="e">
        <f>IF(OFFSET('Target Attainment'!$N$2,AI61,0)="Lateral",AI75,AI59)</f>
        <v>#N/A</v>
      </c>
      <c r="AJ84" s="17">
        <v>78</v>
      </c>
      <c r="AK84" s="61">
        <v>24469</v>
      </c>
      <c r="AL84" s="16">
        <v>4.9999999999999964</v>
      </c>
      <c r="AM84" s="16">
        <v>16.999999998370185</v>
      </c>
      <c r="AN84" s="16" t="s">
        <v>20</v>
      </c>
      <c r="AO84" s="16">
        <v>4.5</v>
      </c>
      <c r="AP84" s="16">
        <v>3.7</v>
      </c>
      <c r="AQ84" s="17"/>
      <c r="AS84" s="0" t="s">
        <v>282</v>
      </c>
      <c r="AT84" s="0" t="e">
        <f>IF(OFFSET('Target Attainment'!$N$2,AT61,0)="Lateral",AT75,AT59)</f>
        <v>#N/A</v>
      </c>
      <c r="AU84" s="17">
        <v>78</v>
      </c>
      <c r="AV84" s="61">
        <v>24094</v>
      </c>
      <c r="AW84" s="16" t="s">
        <v>20</v>
      </c>
      <c r="AX84" s="16" t="s">
        <v>20</v>
      </c>
      <c r="AY84" s="16"/>
      <c r="AZ84" s="16" t="s">
        <v>20</v>
      </c>
      <c r="BA84" s="16" t="s">
        <v>20</v>
      </c>
      <c r="BB84" s="17"/>
      <c r="BD84" s="0" t="s">
        <v>282</v>
      </c>
      <c r="BE84" s="0" t="e">
        <f>IF(OFFSET('Target Attainment'!$N$2,BE61,0)="Lateral",BE75,BE59)</f>
        <v>#N/A</v>
      </c>
      <c r="BF84" s="17">
        <v>78</v>
      </c>
      <c r="BG84" s="61">
        <v>24613</v>
      </c>
      <c r="BH84" s="16" t="s">
        <v>20</v>
      </c>
      <c r="BI84" s="16" t="s">
        <v>20</v>
      </c>
      <c r="BJ84" s="16" t="s">
        <v>20</v>
      </c>
      <c r="BK84" s="16" t="s">
        <v>20</v>
      </c>
      <c r="BL84" s="16" t="s">
        <v>20</v>
      </c>
      <c r="BM84" s="17"/>
      <c r="BO84" s="0" t="s">
        <v>282</v>
      </c>
      <c r="BP84" s="0" t="e">
        <f>IF(OFFSET('Target Attainment'!$N$2,BP61,0)="Lateral",BP75,BP59)</f>
        <v>#N/A</v>
      </c>
      <c r="BQ84" s="17">
        <v>78</v>
      </c>
      <c r="BR84" s="61">
        <v>24324</v>
      </c>
      <c r="BS84" s="16">
        <v>2.9999999999999947</v>
      </c>
      <c r="BT84" s="16">
        <v>30.999999995576218</v>
      </c>
      <c r="BU84" s="16" t="s">
        <v>20</v>
      </c>
      <c r="BV84" s="16">
        <v>4.75</v>
      </c>
      <c r="BW84" s="16">
        <v>2.9</v>
      </c>
      <c r="BX84" s="17"/>
      <c r="BZ84" s="0" t="s">
        <v>282</v>
      </c>
      <c r="CA84" s="0" t="e">
        <f>IF(OFFSET('Target Attainment'!$N$2,CA61,0)="Lateral",CA75,CA59)</f>
        <v>#N/A</v>
      </c>
      <c r="CB84" s="17"/>
      <c r="CC84" s="61"/>
      <c r="CD84" s="16"/>
      <c r="CE84" s="16"/>
      <c r="CF84" s="16"/>
      <c r="CG84" s="16"/>
      <c r="CH84" s="16"/>
      <c r="CI84" s="17"/>
      <c r="CK84" s="0" t="s">
        <v>282</v>
      </c>
      <c r="CL84" s="0" t="e">
        <f>IF(OFFSET('Target Attainment'!$N$2,CL61,0)="Lateral",CL75,CL59)</f>
        <v>#N/A</v>
      </c>
      <c r="CM84" s="17"/>
      <c r="CN84" s="61"/>
      <c r="CO84" s="16"/>
      <c r="CP84" s="16"/>
      <c r="CQ84" s="16"/>
      <c r="CR84" s="16"/>
      <c r="CS84" s="16"/>
      <c r="CT84" s="17"/>
      <c r="CV84" s="0" t="s">
        <v>282</v>
      </c>
      <c r="CW84" s="0" t="e">
        <f>IF(OFFSET('Target Attainment'!$N$2,CW61,0)="Lateral",CW75,CW59)</f>
        <v>#N/A</v>
      </c>
      <c r="CX84" s="17"/>
      <c r="CY84" s="60"/>
      <c r="CZ84" s="16"/>
      <c r="DA84" s="16"/>
      <c r="DB84" s="16"/>
      <c r="DC84" s="16"/>
      <c r="DD84" s="16"/>
      <c r="DE84" s="17"/>
      <c r="DG84" s="0" t="s">
        <v>282</v>
      </c>
      <c r="DH84" s="0" t="e">
        <f>IF(OFFSET('Target Attainment'!$N$2,DH61,0)="Lateral",DH75,DH59)</f>
        <v>#N/A</v>
      </c>
      <c r="DI84" s="17">
        <v>78</v>
      </c>
      <c r="DJ84" s="60">
        <v>25166</v>
      </c>
      <c r="DK84" s="16" t="s">
        <v>20</v>
      </c>
      <c r="DL84" s="16" t="s">
        <v>20</v>
      </c>
      <c r="DM84" s="16" t="s">
        <v>20</v>
      </c>
      <c r="DN84" s="16" t="s">
        <v>20</v>
      </c>
      <c r="DO84" s="16" t="s">
        <v>20</v>
      </c>
      <c r="DP84" s="17"/>
      <c r="DR84" s="0" t="s">
        <v>282</v>
      </c>
      <c r="DS84" s="0" t="e">
        <f>IF(OFFSET('Target Attainment'!$N$2,DS61,0)="Lateral",DS75,DS59)</f>
        <v>#N/A</v>
      </c>
      <c r="DT84" s="17"/>
      <c r="DU84" s="60"/>
      <c r="DV84" s="16"/>
      <c r="DW84" s="16"/>
      <c r="DX84" s="16"/>
      <c r="DY84" s="16"/>
      <c r="DZ84" s="16"/>
      <c r="EA84" s="17"/>
      <c r="EC84" s="0" t="s">
        <v>282</v>
      </c>
      <c r="ED84" s="0" t="e">
        <f>IF(OFFSET('Target Attainment'!$N$2,ED61,0)="Lateral",ED75,ED59)</f>
        <v>#N/A</v>
      </c>
      <c r="EE84" s="17"/>
      <c r="EF84" s="60"/>
      <c r="EG84" s="16"/>
      <c r="EH84" s="16"/>
      <c r="EI84" s="16"/>
      <c r="EJ84" s="16"/>
      <c r="EK84" s="16"/>
      <c r="EL84" s="17"/>
      <c r="EN84" s="0" t="s">
        <v>282</v>
      </c>
      <c r="EO84" s="0" t="e">
        <f>IF(OFFSET('Target Attainment'!$N$2,EO61,0)="Lateral",EO75,EO59)</f>
        <v>#N/A</v>
      </c>
      <c r="EP84" s="17">
        <v>78</v>
      </c>
      <c r="EQ84" s="60">
        <v>24606</v>
      </c>
      <c r="ER84" s="16" t="s">
        <v>20</v>
      </c>
      <c r="ES84" s="16" t="s">
        <v>20</v>
      </c>
      <c r="ET84" s="16" t="s">
        <v>20</v>
      </c>
      <c r="EU84" s="16" t="s">
        <v>20</v>
      </c>
      <c r="EV84" s="16" t="s">
        <v>20</v>
      </c>
      <c r="EW84" s="17"/>
      <c r="EY84" s="0" t="s">
        <v>282</v>
      </c>
      <c r="EZ84" s="0" t="e">
        <f>IF(OFFSET('Target Attainment'!$N$2,EZ61,0)="Lateral",EZ75,EZ59)</f>
        <v>#N/A</v>
      </c>
      <c r="FA84" s="17"/>
      <c r="FB84" s="60"/>
      <c r="FC84" s="16"/>
      <c r="FD84" s="16"/>
      <c r="FE84" s="16"/>
      <c r="FF84" s="16"/>
      <c r="FG84" s="16"/>
      <c r="FH84" s="17"/>
      <c r="FJ84" s="0" t="s">
        <v>282</v>
      </c>
      <c r="FK84" s="0" t="e">
        <f>IF(OFFSET('Target Attainment'!$N$2,FK61,0)="Lateral",FK75,FK59)</f>
        <v>#N/A</v>
      </c>
      <c r="FL84" s="17"/>
      <c r="FM84" s="60"/>
      <c r="FN84" s="16"/>
      <c r="FO84" s="16"/>
      <c r="FP84" s="16"/>
      <c r="FQ84" s="16"/>
      <c r="FR84" s="16"/>
      <c r="FS84" s="17"/>
      <c r="FU84" s="0" t="s">
        <v>282</v>
      </c>
      <c r="FV84" s="0" t="e">
        <f>IF(OFFSET('Target Attainment'!$N$2,FV61,0)="Lateral",FV75,FV59)</f>
        <v>#N/A</v>
      </c>
      <c r="FW84" s="17">
        <v>78</v>
      </c>
      <c r="FX84" s="60">
        <v>27119</v>
      </c>
      <c r="FY84" s="16" t="s">
        <v>20</v>
      </c>
      <c r="FZ84" s="16" t="s">
        <v>20</v>
      </c>
      <c r="GA84" s="16" t="s">
        <v>20</v>
      </c>
      <c r="GB84" s="16" t="s">
        <v>20</v>
      </c>
      <c r="GC84" s="16" t="s">
        <v>20</v>
      </c>
      <c r="GD84" s="17"/>
      <c r="GF84" s="0" t="s">
        <v>282</v>
      </c>
      <c r="GG84" s="0" t="e">
        <f>IF(OFFSET('Target Attainment'!$N$2,GG61,0)="Lateral",GG75,GG59)</f>
        <v>#N/A</v>
      </c>
      <c r="GH84" s="17"/>
      <c r="GI84" s="60"/>
      <c r="GJ84" s="16"/>
      <c r="GK84" s="16"/>
      <c r="GL84" s="16"/>
      <c r="GM84" s="16"/>
      <c r="GN84" s="16"/>
      <c r="GO84" s="17"/>
      <c r="GQ84" s="0" t="s">
        <v>282</v>
      </c>
      <c r="GR84" s="0" t="e">
        <f>IF(OFFSET('Target Attainment'!$N$2,GR61,0)="Lateral",GR75,GR59)</f>
        <v>#N/A</v>
      </c>
      <c r="GS84" s="17"/>
      <c r="GT84" s="60"/>
      <c r="GU84" s="16"/>
      <c r="GV84" s="16"/>
      <c r="GW84" s="16"/>
      <c r="GX84" s="16"/>
      <c r="GY84" s="16"/>
      <c r="GZ84" s="17"/>
      <c r="HB84" s="0" t="s">
        <v>282</v>
      </c>
      <c r="HC84" s="0" t="e">
        <f>IF(OFFSET('Target Attainment'!$N$2,HC61,0)="Lateral",HC75,HC59)</f>
        <v>#N/A</v>
      </c>
      <c r="HD84" s="17"/>
      <c r="HE84" s="60"/>
      <c r="HF84" s="16"/>
      <c r="HG84" s="16"/>
      <c r="HH84" s="16"/>
      <c r="HI84" s="16"/>
      <c r="HJ84" s="16"/>
      <c r="HK84" s="17"/>
      <c r="HM84" s="0" t="s">
        <v>282</v>
      </c>
      <c r="HN84" s="0" t="e">
        <f>IF(OFFSET('Target Attainment'!$N$2,HN61,0)="Lateral",HN75,HN59)</f>
        <v>#N/A</v>
      </c>
      <c r="HO84" s="17"/>
      <c r="HP84" s="60"/>
      <c r="HQ84" s="16"/>
      <c r="HR84" s="16"/>
      <c r="HS84" s="16"/>
      <c r="HT84" s="16"/>
      <c r="HU84" s="16"/>
      <c r="HV84" s="17"/>
      <c r="HX84" s="0" t="s">
        <v>282</v>
      </c>
      <c r="HY84" s="0" t="e">
        <f>IF(OFFSET('Target Attainment'!$N$2,HY61,0)="Lateral",HY75,HY59)</f>
        <v>#N/A</v>
      </c>
      <c r="HZ84" s="17"/>
      <c r="IA84" s="60"/>
      <c r="IB84" s="16"/>
      <c r="IC84" s="16"/>
      <c r="ID84" s="16"/>
      <c r="IE84" s="16"/>
      <c r="IF84" s="16"/>
      <c r="IG84" s="17"/>
      <c r="II84" s="0" t="s">
        <v>282</v>
      </c>
      <c r="IJ84" s="0" t="e">
        <f>IF(OFFSET('Target Attainment'!$N$2,IJ61,0)="Lateral",IJ75,IJ59)</f>
        <v>#N/A</v>
      </c>
      <c r="IK84" s="17"/>
      <c r="IL84" s="60"/>
      <c r="IM84" s="16"/>
      <c r="IN84" s="16"/>
      <c r="IO84" s="16"/>
      <c r="IP84" s="16"/>
      <c r="IQ84" s="16"/>
      <c r="IR84" s="17"/>
      <c r="IT84" s="0" t="s">
        <v>282</v>
      </c>
      <c r="IU84" s="0" t="e">
        <f>IF(OFFSET('Target Attainment'!$N$2,IU61,0)="Lateral",IU75,IU59)</f>
        <v>#N/A</v>
      </c>
      <c r="IV84" s="17"/>
      <c r="IW84" s="60"/>
      <c r="IX84" s="16"/>
      <c r="IY84" s="16"/>
      <c r="IZ84" s="16"/>
      <c r="JA84" s="16"/>
      <c r="JB84" s="16"/>
      <c r="JC84" s="17"/>
      <c r="JE84" s="0" t="s">
        <v>282</v>
      </c>
      <c r="JF84" s="0" t="e">
        <f>IF(OFFSET('Target Attainment'!$N$2,JF61,0)="Lateral",JF75,JF59)</f>
        <v>#N/A</v>
      </c>
      <c r="JG84" s="17"/>
      <c r="JH84" s="60"/>
      <c r="JI84" s="16"/>
      <c r="JJ84" s="16"/>
      <c r="JK84" s="16"/>
      <c r="JL84" s="16"/>
      <c r="JM84" s="16"/>
      <c r="JN84" s="17"/>
      <c r="JP84" s="0" t="s">
        <v>282</v>
      </c>
      <c r="JQ84" s="0" t="e">
        <f>IF(OFFSET('Target Attainment'!$N$2,JQ61,0)="Lateral",JQ75,JQ59)</f>
        <v>#N/A</v>
      </c>
      <c r="JR84" s="17"/>
      <c r="JS84" s="60"/>
      <c r="JT84" s="16"/>
      <c r="JU84" s="16"/>
      <c r="JV84" s="16"/>
      <c r="JW84" s="16"/>
      <c r="JX84" s="16"/>
      <c r="JY84" s="17"/>
      <c r="KA84" s="0" t="s">
        <v>282</v>
      </c>
      <c r="KB84" s="0" t="e">
        <f>IF(OFFSET('Target Attainment'!$N$2,KB61,0)="Lateral",KB75,KB59)</f>
        <v>#N/A</v>
      </c>
      <c r="KC84" s="17"/>
      <c r="KD84" s="60"/>
      <c r="KE84" s="16"/>
      <c r="KF84" s="16"/>
      <c r="KG84" s="16"/>
      <c r="KH84" s="16"/>
      <c r="KI84" s="16"/>
      <c r="KJ84" s="17"/>
      <c r="KL84" s="0" t="s">
        <v>282</v>
      </c>
      <c r="KM84" s="0" t="e">
        <f>IF(OFFSET('Target Attainment'!$N$2,KM61,0)="Lateral",KM75,KM59)</f>
        <v>#N/A</v>
      </c>
      <c r="KN84" s="17"/>
      <c r="KO84" s="60"/>
      <c r="KP84" s="16"/>
      <c r="KQ84" s="16"/>
      <c r="KR84" s="16"/>
      <c r="KS84" s="16"/>
      <c r="KT84" s="16"/>
      <c r="KU84" s="17"/>
      <c r="KW84" s="0" t="s">
        <v>282</v>
      </c>
      <c r="KX84" s="0" t="e">
        <f>IF(OFFSET('Target Attainment'!$N$2,KX61,0)="Lateral",KX75,KX59)</f>
        <v>#N/A</v>
      </c>
      <c r="KY84" s="17"/>
      <c r="KZ84" s="60"/>
      <c r="LA84" s="16"/>
      <c r="LB84" s="16"/>
      <c r="LC84" s="16"/>
      <c r="LD84" s="16"/>
      <c r="LE84" s="16"/>
      <c r="LF84" s="17"/>
      <c r="LH84" s="0" t="s">
        <v>282</v>
      </c>
      <c r="LI84" s="0" t="e">
        <f>IF(OFFSET('Target Attainment'!$N$2,LI61,0)="Lateral",LI75,LI59)</f>
        <v>#N/A</v>
      </c>
      <c r="LJ84" s="17"/>
      <c r="LK84" s="60"/>
      <c r="LL84" s="16"/>
      <c r="LM84" s="16"/>
      <c r="LN84" s="16"/>
      <c r="LO84" s="16"/>
      <c r="LP84" s="16"/>
      <c r="LQ84" s="17"/>
    </row>
    <row r="85">
      <c r="A85" s="0" t="s">
        <v>283</v>
      </c>
      <c r="B85" s="0" t="e">
        <f>OFFSET('Target Attainment'!$P$2,B64,B63)</f>
        <v>#N/A</v>
      </c>
      <c r="C85" s="62">
        <v>79</v>
      </c>
      <c r="D85" s="64">
        <v>25703</v>
      </c>
      <c r="E85" s="16" t="s">
        <v>20</v>
      </c>
      <c r="F85" s="16" t="s">
        <v>20</v>
      </c>
      <c r="G85" s="21" t="s">
        <v>20</v>
      </c>
      <c r="H85" s="16" t="s">
        <v>20</v>
      </c>
      <c r="I85" s="16" t="s">
        <v>20</v>
      </c>
      <c r="J85" s="17"/>
      <c r="L85" s="0" t="s">
        <v>283</v>
      </c>
      <c r="M85" s="0" t="e">
        <f>OFFSET('Target Attainment'!$P$2,M64,M63)</f>
        <v>#N/A</v>
      </c>
      <c r="N85" s="17"/>
      <c r="O85" s="64"/>
      <c r="P85" s="16"/>
      <c r="Q85" s="16"/>
      <c r="R85" s="16"/>
      <c r="S85" s="16"/>
      <c r="T85" s="16"/>
      <c r="U85" s="17"/>
      <c r="W85" s="0" t="s">
        <v>283</v>
      </c>
      <c r="X85" s="0" t="e">
        <f>OFFSET('Target Attainment'!$P$2,X64,X63)</f>
        <v>#N/A</v>
      </c>
      <c r="Y85" s="66">
        <v>79</v>
      </c>
      <c r="Z85" s="61">
        <v>24968</v>
      </c>
      <c r="AA85" s="16" t="s">
        <v>20</v>
      </c>
      <c r="AB85" s="16" t="s">
        <v>20</v>
      </c>
      <c r="AC85" s="16" t="s">
        <v>20</v>
      </c>
      <c r="AD85" s="16" t="s">
        <v>20</v>
      </c>
      <c r="AE85" s="16" t="s">
        <v>20</v>
      </c>
      <c r="AF85" s="17"/>
      <c r="AH85" s="0" t="s">
        <v>283</v>
      </c>
      <c r="AI85" s="0" t="e">
        <f>OFFSET('Target Attainment'!$P$2,AI64,AI63)</f>
        <v>#N/A</v>
      </c>
      <c r="AJ85" s="17">
        <v>79</v>
      </c>
      <c r="AK85" s="61">
        <v>24670</v>
      </c>
      <c r="AL85" s="16">
        <v>4.9999999999999964</v>
      </c>
      <c r="AM85" s="16">
        <v>26.000000006752089</v>
      </c>
      <c r="AN85" s="16" t="s">
        <v>20</v>
      </c>
      <c r="AO85" s="16">
        <v>4.5</v>
      </c>
      <c r="AP85" s="16">
        <v>3.8</v>
      </c>
      <c r="AQ85" s="17"/>
      <c r="AS85" s="0" t="s">
        <v>283</v>
      </c>
      <c r="AT85" s="0" t="e">
        <f>OFFSET('Target Attainment'!$P$2,AT64,AT63)</f>
        <v>#N/A</v>
      </c>
      <c r="AU85" s="17">
        <v>79</v>
      </c>
      <c r="AV85" s="61">
        <v>24295</v>
      </c>
      <c r="AW85" s="16" t="s">
        <v>20</v>
      </c>
      <c r="AX85" s="16" t="s">
        <v>20</v>
      </c>
      <c r="AY85" s="16"/>
      <c r="AZ85" s="16" t="s">
        <v>20</v>
      </c>
      <c r="BA85" s="16" t="s">
        <v>20</v>
      </c>
      <c r="BB85" s="17"/>
      <c r="BD85" s="0" t="s">
        <v>283</v>
      </c>
      <c r="BE85" s="0" t="e">
        <f>OFFSET('Target Attainment'!$P$2,BE64,BE63)</f>
        <v>#N/A</v>
      </c>
      <c r="BF85" s="17">
        <v>79</v>
      </c>
      <c r="BG85" s="61">
        <v>24815</v>
      </c>
      <c r="BH85" s="16" t="s">
        <v>20</v>
      </c>
      <c r="BI85" s="16" t="s">
        <v>20</v>
      </c>
      <c r="BJ85" s="16" t="s">
        <v>20</v>
      </c>
      <c r="BK85" s="16" t="s">
        <v>20</v>
      </c>
      <c r="BL85" s="16" t="s">
        <v>20</v>
      </c>
      <c r="BM85" s="17"/>
      <c r="BO85" s="0" t="s">
        <v>283</v>
      </c>
      <c r="BP85" s="0" t="e">
        <f>OFFSET('Target Attainment'!$P$2,BP64,BP63)</f>
        <v>#N/A</v>
      </c>
      <c r="BQ85" s="17">
        <v>79</v>
      </c>
      <c r="BR85" s="61">
        <v>24525</v>
      </c>
      <c r="BS85" s="16">
        <v>6.0000000000000053</v>
      </c>
      <c r="BT85" s="16">
        <v>25.999999999534339</v>
      </c>
      <c r="BU85" s="16" t="s">
        <v>20</v>
      </c>
      <c r="BV85" s="16">
        <v>4.75</v>
      </c>
      <c r="BW85" s="16">
        <v>2.9</v>
      </c>
      <c r="BX85" s="17"/>
      <c r="BZ85" s="0" t="s">
        <v>283</v>
      </c>
      <c r="CA85" s="0" t="e">
        <f>OFFSET('Target Attainment'!$P$2,CA64,CA63)</f>
        <v>#N/A</v>
      </c>
      <c r="CB85" s="17"/>
      <c r="CC85" s="61"/>
      <c r="CD85" s="16"/>
      <c r="CE85" s="16"/>
      <c r="CF85" s="16"/>
      <c r="CG85" s="16"/>
      <c r="CH85" s="16"/>
      <c r="CI85" s="17"/>
      <c r="CK85" s="0" t="s">
        <v>283</v>
      </c>
      <c r="CL85" s="0" t="e">
        <f>OFFSET('Target Attainment'!$P$2,CL64,CL63)</f>
        <v>#N/A</v>
      </c>
      <c r="CM85" s="17"/>
      <c r="CN85" s="61"/>
      <c r="CO85" s="16"/>
      <c r="CP85" s="16"/>
      <c r="CQ85" s="16"/>
      <c r="CR85" s="16"/>
      <c r="CS85" s="16"/>
      <c r="CT85" s="17"/>
      <c r="CV85" s="0" t="s">
        <v>283</v>
      </c>
      <c r="CW85" s="0" t="e">
        <f>OFFSET('Target Attainment'!$P$2,CW64,CW63)</f>
        <v>#N/A</v>
      </c>
      <c r="CX85" s="17"/>
      <c r="CY85" s="60"/>
      <c r="CZ85" s="16"/>
      <c r="DA85" s="16"/>
      <c r="DB85" s="16"/>
      <c r="DC85" s="16"/>
      <c r="DD85" s="16"/>
      <c r="DE85" s="17"/>
      <c r="DG85" s="0" t="s">
        <v>283</v>
      </c>
      <c r="DH85" s="0" t="e">
        <f>OFFSET('Target Attainment'!$P$2,DH64,DH63)</f>
        <v>#N/A</v>
      </c>
      <c r="DI85" s="17">
        <v>79</v>
      </c>
      <c r="DJ85" s="60">
        <v>25367</v>
      </c>
      <c r="DK85" s="16" t="s">
        <v>20</v>
      </c>
      <c r="DL85" s="16" t="s">
        <v>20</v>
      </c>
      <c r="DM85" s="16" t="s">
        <v>20</v>
      </c>
      <c r="DN85" s="16" t="s">
        <v>20</v>
      </c>
      <c r="DO85" s="16" t="s">
        <v>20</v>
      </c>
      <c r="DP85" s="17"/>
      <c r="DR85" s="0" t="s">
        <v>283</v>
      </c>
      <c r="DS85" s="0" t="e">
        <f>OFFSET('Target Attainment'!$P$2,DS64,DS63)</f>
        <v>#N/A</v>
      </c>
      <c r="DT85" s="17"/>
      <c r="DU85" s="60"/>
      <c r="DV85" s="16"/>
      <c r="DW85" s="16"/>
      <c r="DX85" s="16"/>
      <c r="DY85" s="16"/>
      <c r="DZ85" s="16"/>
      <c r="EA85" s="17"/>
      <c r="EC85" s="0" t="s">
        <v>283</v>
      </c>
      <c r="ED85" s="0" t="e">
        <f>OFFSET('Target Attainment'!$P$2,ED64,ED63)</f>
        <v>#N/A</v>
      </c>
      <c r="EE85" s="17"/>
      <c r="EF85" s="60"/>
      <c r="EG85" s="16"/>
      <c r="EH85" s="16"/>
      <c r="EI85" s="16"/>
      <c r="EJ85" s="16"/>
      <c r="EK85" s="16"/>
      <c r="EL85" s="17"/>
      <c r="EN85" s="0" t="s">
        <v>283</v>
      </c>
      <c r="EO85" s="0" t="e">
        <f>OFFSET('Target Attainment'!$P$2,EO64,EO63)</f>
        <v>#N/A</v>
      </c>
      <c r="EP85" s="17">
        <v>79</v>
      </c>
      <c r="EQ85" s="60">
        <v>24808</v>
      </c>
      <c r="ER85" s="16" t="s">
        <v>20</v>
      </c>
      <c r="ES85" s="16" t="s">
        <v>20</v>
      </c>
      <c r="ET85" s="16" t="s">
        <v>20</v>
      </c>
      <c r="EU85" s="16" t="s">
        <v>20</v>
      </c>
      <c r="EV85" s="16" t="s">
        <v>20</v>
      </c>
      <c r="EW85" s="17"/>
      <c r="EY85" s="0" t="s">
        <v>283</v>
      </c>
      <c r="EZ85" s="0" t="e">
        <f>OFFSET('Target Attainment'!$P$2,EZ64,EZ63)</f>
        <v>#N/A</v>
      </c>
      <c r="FA85" s="17"/>
      <c r="FB85" s="60"/>
      <c r="FC85" s="16"/>
      <c r="FD85" s="16"/>
      <c r="FE85" s="16"/>
      <c r="FF85" s="16"/>
      <c r="FG85" s="16"/>
      <c r="FH85" s="17"/>
      <c r="FJ85" s="0" t="s">
        <v>283</v>
      </c>
      <c r="FK85" s="0" t="e">
        <f>OFFSET('Target Attainment'!$P$2,FK64,FK63)</f>
        <v>#N/A</v>
      </c>
      <c r="FL85" s="17"/>
      <c r="FM85" s="60"/>
      <c r="FN85" s="16"/>
      <c r="FO85" s="16"/>
      <c r="FP85" s="16"/>
      <c r="FQ85" s="16"/>
      <c r="FR85" s="16"/>
      <c r="FS85" s="17"/>
      <c r="FU85" s="0" t="s">
        <v>283</v>
      </c>
      <c r="FV85" s="0" t="e">
        <f>OFFSET('Target Attainment'!$P$2,FV64,FV63)</f>
        <v>#N/A</v>
      </c>
      <c r="FW85" s="17">
        <v>79</v>
      </c>
      <c r="FX85" s="60">
        <v>27360</v>
      </c>
      <c r="FY85" s="16" t="s">
        <v>20</v>
      </c>
      <c r="FZ85" s="16" t="s">
        <v>20</v>
      </c>
      <c r="GA85" s="16" t="s">
        <v>20</v>
      </c>
      <c r="GB85" s="16" t="s">
        <v>20</v>
      </c>
      <c r="GC85" s="16" t="s">
        <v>20</v>
      </c>
      <c r="GD85" s="17"/>
      <c r="GF85" s="0" t="s">
        <v>283</v>
      </c>
      <c r="GG85" s="0" t="e">
        <f>OFFSET('Target Attainment'!$P$2,GG64,GG63)</f>
        <v>#N/A</v>
      </c>
      <c r="GH85" s="17"/>
      <c r="GI85" s="60"/>
      <c r="GJ85" s="16"/>
      <c r="GK85" s="16"/>
      <c r="GL85" s="16"/>
      <c r="GM85" s="16"/>
      <c r="GN85" s="16"/>
      <c r="GO85" s="17"/>
      <c r="GQ85" s="0" t="s">
        <v>283</v>
      </c>
      <c r="GR85" s="0" t="e">
        <f>OFFSET('Target Attainment'!$P$2,GR64,GR63)</f>
        <v>#N/A</v>
      </c>
      <c r="GS85" s="17"/>
      <c r="GT85" s="60"/>
      <c r="GU85" s="16"/>
      <c r="GV85" s="16"/>
      <c r="GW85" s="16"/>
      <c r="GX85" s="16"/>
      <c r="GY85" s="16"/>
      <c r="GZ85" s="17"/>
      <c r="HB85" s="0" t="s">
        <v>283</v>
      </c>
      <c r="HC85" s="0" t="e">
        <f>OFFSET('Target Attainment'!$P$2,HC64,HC63)</f>
        <v>#N/A</v>
      </c>
      <c r="HD85" s="17"/>
      <c r="HE85" s="60"/>
      <c r="HF85" s="16"/>
      <c r="HG85" s="16"/>
      <c r="HH85" s="16"/>
      <c r="HI85" s="16"/>
      <c r="HJ85" s="16"/>
      <c r="HK85" s="17"/>
      <c r="HM85" s="0" t="s">
        <v>283</v>
      </c>
      <c r="HN85" s="0" t="e">
        <f>OFFSET('Target Attainment'!$P$2,HN64,HN63)</f>
        <v>#N/A</v>
      </c>
      <c r="HO85" s="17"/>
      <c r="HP85" s="60"/>
      <c r="HQ85" s="16"/>
      <c r="HR85" s="16"/>
      <c r="HS85" s="16"/>
      <c r="HT85" s="16"/>
      <c r="HU85" s="16"/>
      <c r="HV85" s="17"/>
      <c r="HX85" s="0" t="s">
        <v>283</v>
      </c>
      <c r="HY85" s="0" t="e">
        <f>OFFSET('Target Attainment'!$P$2,HY64,HY63)</f>
        <v>#N/A</v>
      </c>
      <c r="HZ85" s="17"/>
      <c r="IA85" s="60"/>
      <c r="IB85" s="16"/>
      <c r="IC85" s="16"/>
      <c r="ID85" s="16"/>
      <c r="IE85" s="16"/>
      <c r="IF85" s="16"/>
      <c r="IG85" s="17"/>
      <c r="II85" s="0" t="s">
        <v>283</v>
      </c>
      <c r="IJ85" s="0" t="e">
        <f>OFFSET('Target Attainment'!$P$2,IJ64,IJ63)</f>
        <v>#N/A</v>
      </c>
      <c r="IK85" s="17"/>
      <c r="IL85" s="60"/>
      <c r="IM85" s="16"/>
      <c r="IN85" s="16"/>
      <c r="IO85" s="16"/>
      <c r="IP85" s="16"/>
      <c r="IQ85" s="16"/>
      <c r="IR85" s="17"/>
      <c r="IT85" s="0" t="s">
        <v>283</v>
      </c>
      <c r="IU85" s="0" t="e">
        <f>OFFSET('Target Attainment'!$P$2,IU64,IU63)</f>
        <v>#N/A</v>
      </c>
      <c r="IV85" s="17"/>
      <c r="IW85" s="60"/>
      <c r="IX85" s="16"/>
      <c r="IY85" s="16"/>
      <c r="IZ85" s="16"/>
      <c r="JA85" s="16"/>
      <c r="JB85" s="16"/>
      <c r="JC85" s="17"/>
      <c r="JE85" s="0" t="s">
        <v>283</v>
      </c>
      <c r="JF85" s="0" t="e">
        <f>OFFSET('Target Attainment'!$P$2,JF64,JF63)</f>
        <v>#N/A</v>
      </c>
      <c r="JG85" s="17"/>
      <c r="JH85" s="60"/>
      <c r="JI85" s="16"/>
      <c r="JJ85" s="16"/>
      <c r="JK85" s="16"/>
      <c r="JL85" s="16"/>
      <c r="JM85" s="16"/>
      <c r="JN85" s="17"/>
      <c r="JP85" s="0" t="s">
        <v>283</v>
      </c>
      <c r="JQ85" s="0" t="e">
        <f>OFFSET('Target Attainment'!$P$2,JQ64,JQ63)</f>
        <v>#N/A</v>
      </c>
      <c r="JR85" s="17"/>
      <c r="JS85" s="60"/>
      <c r="JT85" s="16"/>
      <c r="JU85" s="16"/>
      <c r="JV85" s="16"/>
      <c r="JW85" s="16"/>
      <c r="JX85" s="16"/>
      <c r="JY85" s="17"/>
      <c r="KA85" s="0" t="s">
        <v>283</v>
      </c>
      <c r="KB85" s="0" t="e">
        <f>OFFSET('Target Attainment'!$P$2,KB64,KB63)</f>
        <v>#N/A</v>
      </c>
      <c r="KC85" s="17"/>
      <c r="KD85" s="60"/>
      <c r="KE85" s="16"/>
      <c r="KF85" s="16"/>
      <c r="KG85" s="16"/>
      <c r="KH85" s="16"/>
      <c r="KI85" s="16"/>
      <c r="KJ85" s="17"/>
      <c r="KL85" s="0" t="s">
        <v>283</v>
      </c>
      <c r="KM85" s="0" t="e">
        <f>OFFSET('Target Attainment'!$P$2,KM64,KM63)</f>
        <v>#N/A</v>
      </c>
      <c r="KN85" s="17"/>
      <c r="KO85" s="60"/>
      <c r="KP85" s="16"/>
      <c r="KQ85" s="16"/>
      <c r="KR85" s="16"/>
      <c r="KS85" s="16"/>
      <c r="KT85" s="16"/>
      <c r="KU85" s="17"/>
      <c r="KW85" s="0" t="s">
        <v>283</v>
      </c>
      <c r="KX85" s="0" t="e">
        <f>OFFSET('Target Attainment'!$P$2,KX64,KX63)</f>
        <v>#N/A</v>
      </c>
      <c r="KY85" s="17"/>
      <c r="KZ85" s="60"/>
      <c r="LA85" s="16"/>
      <c r="LB85" s="16"/>
      <c r="LC85" s="16"/>
      <c r="LD85" s="16"/>
      <c r="LE85" s="16"/>
      <c r="LF85" s="17"/>
      <c r="LH85" s="0" t="s">
        <v>283</v>
      </c>
      <c r="LI85" s="0" t="e">
        <f>OFFSET('Target Attainment'!$P$2,LI64,LI63)</f>
        <v>#N/A</v>
      </c>
      <c r="LJ85" s="17"/>
      <c r="LK85" s="60"/>
      <c r="LL85" s="16"/>
      <c r="LM85" s="16"/>
      <c r="LN85" s="16"/>
      <c r="LO85" s="16"/>
      <c r="LP85" s="16"/>
      <c r="LQ85" s="17"/>
    </row>
    <row r="86">
      <c r="A86" s="0" t="s">
        <v>284</v>
      </c>
      <c r="B86" s="0">
        <f>IFERROR(AVERAGE(F8:F1000),0)</f>
        <v>0</v>
      </c>
      <c r="C86" s="62"/>
      <c r="D86" s="64"/>
      <c r="E86" s="16"/>
      <c r="F86" s="16"/>
      <c r="G86" s="21"/>
      <c r="H86" s="16"/>
      <c r="I86" s="16"/>
      <c r="J86" s="17"/>
      <c r="L86" s="0" t="s">
        <v>284</v>
      </c>
      <c r="M86" s="0">
        <f>IFERROR(AVERAGE(Q8:Q1000),0)</f>
        <v>0</v>
      </c>
      <c r="N86" s="17"/>
      <c r="O86" s="64"/>
      <c r="P86" s="16"/>
      <c r="Q86" s="16"/>
      <c r="R86" s="16"/>
      <c r="S86" s="16"/>
      <c r="T86" s="16"/>
      <c r="U86" s="17"/>
      <c r="W86" s="0" t="s">
        <v>284</v>
      </c>
      <c r="X86" s="0">
        <f>IFERROR(AVERAGE(AB8:AB1000),0)</f>
        <v>0</v>
      </c>
      <c r="Y86" s="66">
        <v>80</v>
      </c>
      <c r="Z86" s="61">
        <v>25169</v>
      </c>
      <c r="AA86" s="16" t="s">
        <v>20</v>
      </c>
      <c r="AB86" s="16" t="s">
        <v>20</v>
      </c>
      <c r="AC86" s="16" t="s">
        <v>20</v>
      </c>
      <c r="AD86" s="16" t="s">
        <v>20</v>
      </c>
      <c r="AE86" s="16" t="s">
        <v>20</v>
      </c>
      <c r="AF86" s="17"/>
      <c r="AH86" s="0" t="s">
        <v>284</v>
      </c>
      <c r="AI86" s="0">
        <f>IFERROR(AVERAGE(AM8:AM1000),0)</f>
        <v>0</v>
      </c>
      <c r="AJ86" s="17">
        <v>80</v>
      </c>
      <c r="AK86" s="61">
        <v>24872</v>
      </c>
      <c r="AL86" s="16">
        <v>2.0000000000000018</v>
      </c>
      <c r="AM86" s="16">
        <v>15.999999995809048</v>
      </c>
      <c r="AN86" s="16" t="s">
        <v>20</v>
      </c>
      <c r="AO86" s="16">
        <v>4.5</v>
      </c>
      <c r="AP86" s="16">
        <v>3.3</v>
      </c>
      <c r="AQ86" s="17"/>
      <c r="AS86" s="0" t="s">
        <v>284</v>
      </c>
      <c r="AT86" s="0">
        <f>IFERROR(AVERAGE(AX8:AX1000),0)</f>
        <v>0</v>
      </c>
      <c r="AU86" s="17">
        <v>80</v>
      </c>
      <c r="AV86" s="61">
        <v>24496</v>
      </c>
      <c r="AW86" s="16" t="s">
        <v>20</v>
      </c>
      <c r="AX86" s="16" t="s">
        <v>20</v>
      </c>
      <c r="AY86" s="16"/>
      <c r="AZ86" s="16" t="s">
        <v>20</v>
      </c>
      <c r="BA86" s="16" t="s">
        <v>20</v>
      </c>
      <c r="BB86" s="17"/>
      <c r="BD86" s="0" t="s">
        <v>284</v>
      </c>
      <c r="BE86" s="0">
        <f>IFERROR(AVERAGE(BI8:BI1000),0)</f>
        <v>0</v>
      </c>
      <c r="BF86" s="17">
        <v>80</v>
      </c>
      <c r="BG86" s="61">
        <v>25016</v>
      </c>
      <c r="BH86" s="16" t="s">
        <v>20</v>
      </c>
      <c r="BI86" s="16" t="s">
        <v>20</v>
      </c>
      <c r="BJ86" s="16" t="s">
        <v>20</v>
      </c>
      <c r="BK86" s="16" t="s">
        <v>20</v>
      </c>
      <c r="BL86" s="16" t="s">
        <v>20</v>
      </c>
      <c r="BM86" s="17"/>
      <c r="BO86" s="0" t="s">
        <v>284</v>
      </c>
      <c r="BP86" s="0">
        <f>IFERROR(AVERAGE(BT8:BT1000),0)</f>
        <v>0</v>
      </c>
      <c r="BQ86" s="17">
        <v>80</v>
      </c>
      <c r="BR86" s="61">
        <v>24725</v>
      </c>
      <c r="BS86" s="16">
        <v>4.9999999999999964</v>
      </c>
      <c r="BT86" s="16">
        <v>64.9999999976717</v>
      </c>
      <c r="BU86" s="16" t="s">
        <v>20</v>
      </c>
      <c r="BV86" s="16">
        <v>4.75</v>
      </c>
      <c r="BW86" s="16">
        <v>2.8</v>
      </c>
      <c r="BX86" s="17"/>
      <c r="BZ86" s="0" t="s">
        <v>284</v>
      </c>
      <c r="CA86" s="0">
        <f>IFERROR(AVERAGE(CE8:CE1000),0)</f>
        <v>0</v>
      </c>
      <c r="CB86" s="17"/>
      <c r="CC86" s="61"/>
      <c r="CD86" s="16"/>
      <c r="CE86" s="16"/>
      <c r="CF86" s="16"/>
      <c r="CG86" s="16"/>
      <c r="CH86" s="16"/>
      <c r="CI86" s="17"/>
      <c r="CK86" s="0" t="s">
        <v>284</v>
      </c>
      <c r="CL86" s="0">
        <f>IFERROR(AVERAGE(CP8:CP1000),0)</f>
        <v>0</v>
      </c>
      <c r="CM86" s="17"/>
      <c r="CN86" s="61"/>
      <c r="CO86" s="16"/>
      <c r="CP86" s="16"/>
      <c r="CQ86" s="16"/>
      <c r="CR86" s="16"/>
      <c r="CS86" s="16"/>
      <c r="CT86" s="17"/>
      <c r="CV86" s="0" t="s">
        <v>284</v>
      </c>
      <c r="CW86" s="0">
        <f>IFERROR(AVERAGE(DA8:DA1000),0)</f>
        <v>0</v>
      </c>
      <c r="CX86" s="17"/>
      <c r="CY86" s="60"/>
      <c r="CZ86" s="16"/>
      <c r="DA86" s="16"/>
      <c r="DB86" s="16"/>
      <c r="DC86" s="16"/>
      <c r="DD86" s="16"/>
      <c r="DE86" s="17"/>
      <c r="DG86" s="0" t="s">
        <v>284</v>
      </c>
      <c r="DH86" s="0">
        <f>IFERROR(AVERAGE(DL8:DL1000),0)</f>
        <v>0</v>
      </c>
      <c r="DI86" s="17">
        <v>80</v>
      </c>
      <c r="DJ86" s="60">
        <v>25568</v>
      </c>
      <c r="DK86" s="16" t="s">
        <v>20</v>
      </c>
      <c r="DL86" s="16" t="s">
        <v>20</v>
      </c>
      <c r="DM86" s="16" t="s">
        <v>20</v>
      </c>
      <c r="DN86" s="16" t="s">
        <v>20</v>
      </c>
      <c r="DO86" s="16" t="s">
        <v>20</v>
      </c>
      <c r="DP86" s="17"/>
      <c r="DR86" s="0" t="s">
        <v>284</v>
      </c>
      <c r="DS86" s="0">
        <f>IFERROR(AVERAGE(DW8:DW1000),0)</f>
        <v>0</v>
      </c>
      <c r="DT86" s="17"/>
      <c r="DU86" s="60"/>
      <c r="DV86" s="16"/>
      <c r="DW86" s="16"/>
      <c r="DX86" s="16"/>
      <c r="DY86" s="16"/>
      <c r="DZ86" s="16"/>
      <c r="EA86" s="17"/>
      <c r="EC86" s="0" t="s">
        <v>284</v>
      </c>
      <c r="ED86" s="0">
        <f>IFERROR(AVERAGE(EH8:EH1000),0)</f>
        <v>0</v>
      </c>
      <c r="EE86" s="17"/>
      <c r="EF86" s="60"/>
      <c r="EG86" s="16"/>
      <c r="EH86" s="16"/>
      <c r="EI86" s="16"/>
      <c r="EJ86" s="16"/>
      <c r="EK86" s="16"/>
      <c r="EL86" s="17"/>
      <c r="EN86" s="0" t="s">
        <v>284</v>
      </c>
      <c r="EO86" s="0">
        <f>IFERROR(AVERAGE(ES8:ES1000),0)</f>
        <v>0</v>
      </c>
      <c r="EP86" s="17">
        <v>80</v>
      </c>
      <c r="EQ86" s="60">
        <v>25010</v>
      </c>
      <c r="ER86" s="16" t="s">
        <v>20</v>
      </c>
      <c r="ES86" s="16" t="s">
        <v>20</v>
      </c>
      <c r="ET86" s="16" t="s">
        <v>20</v>
      </c>
      <c r="EU86" s="16" t="s">
        <v>20</v>
      </c>
      <c r="EV86" s="16" t="s">
        <v>20</v>
      </c>
      <c r="EW86" s="17"/>
      <c r="EY86" s="0" t="s">
        <v>284</v>
      </c>
      <c r="EZ86" s="0">
        <f>IFERROR(AVERAGE(FD8:FD1000),0)</f>
        <v>0</v>
      </c>
      <c r="FA86" s="17"/>
      <c r="FB86" s="60"/>
      <c r="FC86" s="16"/>
      <c r="FD86" s="16"/>
      <c r="FE86" s="16"/>
      <c r="FF86" s="16"/>
      <c r="FG86" s="16"/>
      <c r="FH86" s="17"/>
      <c r="FJ86" s="0" t="s">
        <v>284</v>
      </c>
      <c r="FK86" s="0">
        <f>IFERROR(AVERAGE(FO8:FO1000),0)</f>
        <v>0</v>
      </c>
      <c r="FL86" s="17"/>
      <c r="FM86" s="60"/>
      <c r="FN86" s="16"/>
      <c r="FO86" s="16"/>
      <c r="FP86" s="16"/>
      <c r="FQ86" s="16"/>
      <c r="FR86" s="16"/>
      <c r="FS86" s="17"/>
      <c r="FU86" s="0" t="s">
        <v>284</v>
      </c>
      <c r="FV86" s="0">
        <f>IFERROR(AVERAGE(FZ8:FZ1000),0)</f>
        <v>0</v>
      </c>
      <c r="FW86" s="17">
        <v>80</v>
      </c>
      <c r="FX86" s="60">
        <v>27601</v>
      </c>
      <c r="FY86" s="16" t="s">
        <v>20</v>
      </c>
      <c r="FZ86" s="16" t="s">
        <v>20</v>
      </c>
      <c r="GA86" s="16" t="s">
        <v>20</v>
      </c>
      <c r="GB86" s="16" t="s">
        <v>20</v>
      </c>
      <c r="GC86" s="16" t="s">
        <v>20</v>
      </c>
      <c r="GD86" s="17"/>
      <c r="GF86" s="0" t="s">
        <v>284</v>
      </c>
      <c r="GG86" s="0">
        <f>IFERROR(AVERAGE(GK8:GK1000),0)</f>
        <v>0</v>
      </c>
      <c r="GH86" s="17"/>
      <c r="GI86" s="60"/>
      <c r="GJ86" s="16"/>
      <c r="GK86" s="16"/>
      <c r="GL86" s="16"/>
      <c r="GM86" s="16"/>
      <c r="GN86" s="16"/>
      <c r="GO86" s="17"/>
      <c r="GQ86" s="0" t="s">
        <v>284</v>
      </c>
      <c r="GR86" s="0">
        <f>IFERROR(AVERAGE(GV8:GV1000),0)</f>
        <v>0</v>
      </c>
      <c r="GS86" s="17"/>
      <c r="GT86" s="60"/>
      <c r="GU86" s="16"/>
      <c r="GV86" s="16"/>
      <c r="GW86" s="16"/>
      <c r="GX86" s="16"/>
      <c r="GY86" s="16"/>
      <c r="GZ86" s="17"/>
      <c r="HB86" s="0" t="s">
        <v>284</v>
      </c>
      <c r="HC86" s="0">
        <f>IFERROR(AVERAGE(HG8:HG1000),0)</f>
        <v>0</v>
      </c>
      <c r="HD86" s="17"/>
      <c r="HE86" s="60"/>
      <c r="HF86" s="16"/>
      <c r="HG86" s="16"/>
      <c r="HH86" s="16"/>
      <c r="HI86" s="16"/>
      <c r="HJ86" s="16"/>
      <c r="HK86" s="17"/>
      <c r="HM86" s="0" t="s">
        <v>284</v>
      </c>
      <c r="HN86" s="0">
        <f>IFERROR(AVERAGE(HR8:HR1000),0)</f>
        <v>0</v>
      </c>
      <c r="HO86" s="17"/>
      <c r="HP86" s="60"/>
      <c r="HQ86" s="16"/>
      <c r="HR86" s="16"/>
      <c r="HS86" s="16"/>
      <c r="HT86" s="16"/>
      <c r="HU86" s="16"/>
      <c r="HV86" s="17"/>
      <c r="HX86" s="0" t="s">
        <v>284</v>
      </c>
      <c r="HY86" s="0">
        <f>IFERROR(AVERAGE(IC8:IC1000),0)</f>
        <v>0</v>
      </c>
      <c r="HZ86" s="17"/>
      <c r="IA86" s="60"/>
      <c r="IB86" s="16"/>
      <c r="IC86" s="16"/>
      <c r="ID86" s="16"/>
      <c r="IE86" s="16"/>
      <c r="IF86" s="16"/>
      <c r="IG86" s="17"/>
      <c r="II86" s="0" t="s">
        <v>284</v>
      </c>
      <c r="IJ86" s="0">
        <f>IFERROR(AVERAGE(IN8:IN1000),0)</f>
        <v>0</v>
      </c>
      <c r="IK86" s="17"/>
      <c r="IL86" s="60"/>
      <c r="IM86" s="16"/>
      <c r="IN86" s="16"/>
      <c r="IO86" s="16"/>
      <c r="IP86" s="16"/>
      <c r="IQ86" s="16"/>
      <c r="IR86" s="17"/>
      <c r="IT86" s="0" t="s">
        <v>284</v>
      </c>
      <c r="IU86" s="0">
        <f>IFERROR(AVERAGE(IY8:IY1000),0)</f>
        <v>0</v>
      </c>
      <c r="IV86" s="17"/>
      <c r="IW86" s="60"/>
      <c r="IX86" s="16"/>
      <c r="IY86" s="16"/>
      <c r="IZ86" s="16"/>
      <c r="JA86" s="16"/>
      <c r="JB86" s="16"/>
      <c r="JC86" s="17"/>
      <c r="JE86" s="0" t="s">
        <v>284</v>
      </c>
      <c r="JF86" s="0">
        <f>IFERROR(AVERAGE(JJ8:JJ1000),0)</f>
        <v>0</v>
      </c>
      <c r="JG86" s="17"/>
      <c r="JH86" s="60"/>
      <c r="JI86" s="16"/>
      <c r="JJ86" s="16"/>
      <c r="JK86" s="16"/>
      <c r="JL86" s="16"/>
      <c r="JM86" s="16"/>
      <c r="JN86" s="17"/>
      <c r="JP86" s="0" t="s">
        <v>284</v>
      </c>
      <c r="JQ86" s="0">
        <f>IFERROR(AVERAGE(JU8:JU1000),0)</f>
        <v>0</v>
      </c>
      <c r="JR86" s="17"/>
      <c r="JS86" s="60"/>
      <c r="JT86" s="16"/>
      <c r="JU86" s="16"/>
      <c r="JV86" s="16"/>
      <c r="JW86" s="16"/>
      <c r="JX86" s="16"/>
      <c r="JY86" s="17"/>
      <c r="KA86" s="0" t="s">
        <v>284</v>
      </c>
      <c r="KB86" s="0">
        <f>IFERROR(AVERAGE(KF8:KF1000),0)</f>
        <v>0</v>
      </c>
      <c r="KC86" s="17"/>
      <c r="KD86" s="60"/>
      <c r="KE86" s="16"/>
      <c r="KF86" s="16"/>
      <c r="KG86" s="16"/>
      <c r="KH86" s="16"/>
      <c r="KI86" s="16"/>
      <c r="KJ86" s="17"/>
      <c r="KL86" s="0" t="s">
        <v>284</v>
      </c>
      <c r="KM86" s="0">
        <f>IFERROR(AVERAGE(KQ8:KQ1000),0)</f>
        <v>0</v>
      </c>
      <c r="KN86" s="17"/>
      <c r="KO86" s="60"/>
      <c r="KP86" s="16"/>
      <c r="KQ86" s="16"/>
      <c r="KR86" s="16"/>
      <c r="KS86" s="16"/>
      <c r="KT86" s="16"/>
      <c r="KU86" s="17"/>
      <c r="KW86" s="0" t="s">
        <v>284</v>
      </c>
      <c r="KX86" s="0">
        <f>IFERROR(AVERAGE(LB8:LB1000),0)</f>
        <v>0</v>
      </c>
      <c r="KY86" s="17"/>
      <c r="KZ86" s="60"/>
      <c r="LA86" s="16"/>
      <c r="LB86" s="16"/>
      <c r="LC86" s="16"/>
      <c r="LD86" s="16"/>
      <c r="LE86" s="16"/>
      <c r="LF86" s="17"/>
      <c r="LH86" s="0" t="s">
        <v>284</v>
      </c>
      <c r="LI86" s="0">
        <f>IFERROR(AVERAGE(LM8:LM1000),0)</f>
        <v>0</v>
      </c>
      <c r="LJ86" s="17"/>
      <c r="LK86" s="60"/>
      <c r="LL86" s="16"/>
      <c r="LM86" s="16"/>
      <c r="LN86" s="16"/>
      <c r="LO86" s="16"/>
      <c r="LP86" s="16"/>
      <c r="LQ86" s="17"/>
    </row>
    <row r="87">
      <c r="C87" s="62"/>
      <c r="D87" s="64"/>
      <c r="E87" s="16"/>
      <c r="F87" s="16"/>
      <c r="G87" s="21"/>
      <c r="H87" s="16"/>
      <c r="I87" s="16"/>
      <c r="J87" s="17"/>
      <c r="N87" s="17"/>
      <c r="O87" s="64"/>
      <c r="P87" s="16"/>
      <c r="Q87" s="16"/>
      <c r="R87" s="16"/>
      <c r="S87" s="16"/>
      <c r="T87" s="16"/>
      <c r="U87" s="17"/>
      <c r="Y87" s="66">
        <v>81</v>
      </c>
      <c r="Z87" s="61">
        <v>25369</v>
      </c>
      <c r="AA87" s="16" t="s">
        <v>20</v>
      </c>
      <c r="AB87" s="16" t="s">
        <v>20</v>
      </c>
      <c r="AC87" s="16" t="s">
        <v>20</v>
      </c>
      <c r="AD87" s="16" t="s">
        <v>20</v>
      </c>
      <c r="AE87" s="16" t="s">
        <v>20</v>
      </c>
      <c r="AF87" s="17"/>
      <c r="AJ87" s="17">
        <v>81</v>
      </c>
      <c r="AK87" s="61">
        <v>25074</v>
      </c>
      <c r="AL87" s="16">
        <v>2.9999999999999947</v>
      </c>
      <c r="AM87" s="16">
        <v>20.000000001629815</v>
      </c>
      <c r="AN87" s="16" t="s">
        <v>20</v>
      </c>
      <c r="AO87" s="16">
        <v>4.5</v>
      </c>
      <c r="AP87" s="16">
        <v>3.5</v>
      </c>
      <c r="AQ87" s="17"/>
      <c r="AU87" s="17">
        <v>81</v>
      </c>
      <c r="AV87" s="61">
        <v>24697</v>
      </c>
      <c r="AW87" s="16" t="s">
        <v>20</v>
      </c>
      <c r="AX87" s="16" t="s">
        <v>20</v>
      </c>
      <c r="AY87" s="16"/>
      <c r="AZ87" s="16" t="s">
        <v>20</v>
      </c>
      <c r="BA87" s="16" t="s">
        <v>20</v>
      </c>
      <c r="BB87" s="17"/>
      <c r="BF87" s="17">
        <v>81</v>
      </c>
      <c r="BG87" s="61">
        <v>25218</v>
      </c>
      <c r="BH87" s="16" t="s">
        <v>20</v>
      </c>
      <c r="BI87" s="16" t="s">
        <v>20</v>
      </c>
      <c r="BJ87" s="16" t="s">
        <v>20</v>
      </c>
      <c r="BK87" s="16" t="s">
        <v>20</v>
      </c>
      <c r="BL87" s="16" t="s">
        <v>20</v>
      </c>
      <c r="BM87" s="17"/>
      <c r="BQ87" s="17">
        <v>81</v>
      </c>
      <c r="BR87" s="61">
        <v>24925</v>
      </c>
      <c r="BS87" s="16">
        <v>9.9999999999999929</v>
      </c>
      <c r="BT87" s="16">
        <v>18.000000007450581</v>
      </c>
      <c r="BU87" s="16" t="s">
        <v>20</v>
      </c>
      <c r="BV87" s="16">
        <v>4.75</v>
      </c>
      <c r="BW87" s="16">
        <v>2.8</v>
      </c>
      <c r="BX87" s="17"/>
      <c r="CB87" s="17"/>
      <c r="CC87" s="61"/>
      <c r="CD87" s="16"/>
      <c r="CE87" s="16"/>
      <c r="CF87" s="16"/>
      <c r="CG87" s="16"/>
      <c r="CH87" s="16"/>
      <c r="CI87" s="17"/>
      <c r="CM87" s="17"/>
      <c r="CN87" s="61"/>
      <c r="CO87" s="16"/>
      <c r="CP87" s="16"/>
      <c r="CQ87" s="16"/>
      <c r="CR87" s="16"/>
      <c r="CS87" s="16"/>
      <c r="CT87" s="17"/>
      <c r="CX87" s="17"/>
      <c r="CY87" s="60"/>
      <c r="CZ87" s="16"/>
      <c r="DA87" s="16" t="s">
        <v>20</v>
      </c>
      <c r="DB87" s="16"/>
      <c r="DC87" s="16"/>
      <c r="DD87" s="16"/>
      <c r="DE87" s="17"/>
      <c r="DI87" s="17">
        <v>81</v>
      </c>
      <c r="DJ87" s="60">
        <v>25770</v>
      </c>
      <c r="DK87" s="16" t="s">
        <v>20</v>
      </c>
      <c r="DL87" s="16" t="s">
        <v>20</v>
      </c>
      <c r="DM87" s="16" t="s">
        <v>20</v>
      </c>
      <c r="DN87" s="16" t="s">
        <v>20</v>
      </c>
      <c r="DO87" s="16" t="s">
        <v>20</v>
      </c>
      <c r="DP87" s="17"/>
      <c r="DT87" s="17"/>
      <c r="DU87" s="60"/>
      <c r="DV87" s="16"/>
      <c r="DW87" s="16" t="s">
        <v>20</v>
      </c>
      <c r="DX87" s="16"/>
      <c r="DY87" s="16"/>
      <c r="DZ87" s="16"/>
      <c r="EA87" s="17"/>
      <c r="EE87" s="17"/>
      <c r="EF87" s="60"/>
      <c r="EG87" s="16"/>
      <c r="EH87" s="16" t="s">
        <v>20</v>
      </c>
      <c r="EI87" s="16"/>
      <c r="EJ87" s="16"/>
      <c r="EK87" s="16"/>
      <c r="EL87" s="17"/>
      <c r="EP87" s="17">
        <v>81</v>
      </c>
      <c r="EQ87" s="60">
        <v>25212</v>
      </c>
      <c r="ER87" s="16" t="s">
        <v>20</v>
      </c>
      <c r="ES87" s="16" t="s">
        <v>20</v>
      </c>
      <c r="ET87" s="16" t="s">
        <v>20</v>
      </c>
      <c r="EU87" s="16" t="s">
        <v>20</v>
      </c>
      <c r="EV87" s="16" t="s">
        <v>20</v>
      </c>
      <c r="EW87" s="17"/>
      <c r="FA87" s="17"/>
      <c r="FB87" s="60"/>
      <c r="FC87" s="16"/>
      <c r="FD87" s="16" t="s">
        <v>20</v>
      </c>
      <c r="FE87" s="16"/>
      <c r="FF87" s="16"/>
      <c r="FG87" s="16"/>
      <c r="FH87" s="17"/>
      <c r="FL87" s="17"/>
      <c r="FM87" s="60"/>
      <c r="FN87" s="16"/>
      <c r="FO87" s="16" t="s">
        <v>20</v>
      </c>
      <c r="FP87" s="16"/>
      <c r="FQ87" s="16"/>
      <c r="FR87" s="16"/>
      <c r="FS87" s="17"/>
      <c r="FW87" s="17">
        <v>81</v>
      </c>
      <c r="FX87" s="60">
        <v>27842</v>
      </c>
      <c r="FY87" s="16" t="s">
        <v>20</v>
      </c>
      <c r="FZ87" s="16" t="s">
        <v>20</v>
      </c>
      <c r="GA87" s="16" t="s">
        <v>20</v>
      </c>
      <c r="GB87" s="16" t="s">
        <v>20</v>
      </c>
      <c r="GC87" s="16" t="s">
        <v>20</v>
      </c>
      <c r="GD87" s="17"/>
      <c r="GH87" s="17"/>
      <c r="GI87" s="60"/>
      <c r="GJ87" s="16"/>
      <c r="GK87" s="16" t="s">
        <v>20</v>
      </c>
      <c r="GL87" s="16"/>
      <c r="GM87" s="16"/>
      <c r="GN87" s="16"/>
      <c r="GO87" s="17"/>
      <c r="GS87" s="17"/>
      <c r="GT87" s="60"/>
      <c r="GU87" s="16"/>
      <c r="GV87" s="16" t="s">
        <v>20</v>
      </c>
      <c r="GW87" s="16"/>
      <c r="GX87" s="16"/>
      <c r="GY87" s="16"/>
      <c r="GZ87" s="17"/>
      <c r="HD87" s="17"/>
      <c r="HE87" s="60"/>
      <c r="HF87" s="16"/>
      <c r="HG87" s="16" t="s">
        <v>20</v>
      </c>
      <c r="HH87" s="16"/>
      <c r="HI87" s="16"/>
      <c r="HJ87" s="16"/>
      <c r="HK87" s="17"/>
      <c r="HO87" s="17"/>
      <c r="HP87" s="60"/>
      <c r="HQ87" s="16"/>
      <c r="HR87" s="16" t="s">
        <v>20</v>
      </c>
      <c r="HS87" s="16"/>
      <c r="HT87" s="16"/>
      <c r="HU87" s="16"/>
      <c r="HV87" s="17"/>
      <c r="HZ87" s="17"/>
      <c r="IA87" s="60"/>
      <c r="IB87" s="16"/>
      <c r="IC87" s="16" t="s">
        <v>20</v>
      </c>
      <c r="ID87" s="16"/>
      <c r="IE87" s="16"/>
      <c r="IF87" s="16"/>
      <c r="IG87" s="17"/>
      <c r="IK87" s="17"/>
      <c r="IL87" s="60"/>
      <c r="IM87" s="16"/>
      <c r="IN87" s="16" t="s">
        <v>20</v>
      </c>
      <c r="IO87" s="16"/>
      <c r="IP87" s="16"/>
      <c r="IQ87" s="16"/>
      <c r="IR87" s="17"/>
      <c r="IV87" s="17"/>
      <c r="IW87" s="60"/>
      <c r="IX87" s="16"/>
      <c r="IY87" s="16" t="s">
        <v>20</v>
      </c>
      <c r="IZ87" s="16"/>
      <c r="JA87" s="16"/>
      <c r="JB87" s="16"/>
      <c r="JC87" s="17"/>
      <c r="JG87" s="17"/>
      <c r="JH87" s="60"/>
      <c r="JI87" s="16"/>
      <c r="JJ87" s="16" t="s">
        <v>20</v>
      </c>
      <c r="JK87" s="16"/>
      <c r="JL87" s="16"/>
      <c r="JM87" s="16"/>
      <c r="JN87" s="17"/>
      <c r="JR87" s="17"/>
      <c r="JS87" s="60"/>
      <c r="JT87" s="16"/>
      <c r="JU87" s="16" t="s">
        <v>20</v>
      </c>
      <c r="JV87" s="16"/>
      <c r="JW87" s="16"/>
      <c r="JX87" s="16"/>
      <c r="JY87" s="17"/>
      <c r="KC87" s="17"/>
      <c r="KD87" s="60"/>
      <c r="KE87" s="16"/>
      <c r="KF87" s="16" t="s">
        <v>20</v>
      </c>
      <c r="KG87" s="16"/>
      <c r="KH87" s="16"/>
      <c r="KI87" s="16"/>
      <c r="KJ87" s="17"/>
      <c r="KN87" s="17"/>
      <c r="KO87" s="60"/>
      <c r="KP87" s="16"/>
      <c r="KQ87" s="16" t="s">
        <v>20</v>
      </c>
      <c r="KR87" s="16"/>
      <c r="KS87" s="16"/>
      <c r="KT87" s="16"/>
      <c r="KU87" s="17"/>
      <c r="KY87" s="17"/>
      <c r="KZ87" s="60"/>
      <c r="LA87" s="16"/>
      <c r="LB87" s="16" t="s">
        <v>20</v>
      </c>
      <c r="LC87" s="16"/>
      <c r="LD87" s="16"/>
      <c r="LE87" s="16"/>
      <c r="LF87" s="17"/>
      <c r="LJ87" s="17"/>
      <c r="LK87" s="60"/>
      <c r="LL87" s="16"/>
      <c r="LM87" s="16" t="s">
        <v>20</v>
      </c>
      <c r="LN87" s="16"/>
      <c r="LO87" s="16"/>
      <c r="LP87" s="16"/>
      <c r="LQ87" s="17"/>
    </row>
    <row r="88">
      <c r="C88" s="62"/>
      <c r="D88" s="64"/>
      <c r="E88" s="16"/>
      <c r="F88" s="16"/>
      <c r="G88" s="21"/>
      <c r="H88" s="16"/>
      <c r="I88" s="16"/>
      <c r="J88" s="17"/>
      <c r="N88" s="17"/>
      <c r="O88" s="61"/>
      <c r="P88" s="16"/>
      <c r="Q88" s="16"/>
      <c r="R88" s="16"/>
      <c r="S88" s="16"/>
      <c r="T88" s="16"/>
      <c r="U88" s="17"/>
      <c r="Y88" s="66">
        <v>82</v>
      </c>
      <c r="Z88" s="61">
        <v>25570</v>
      </c>
      <c r="AA88" s="16" t="s">
        <v>20</v>
      </c>
      <c r="AB88" s="16" t="s">
        <v>20</v>
      </c>
      <c r="AC88" s="16" t="s">
        <v>20</v>
      </c>
      <c r="AD88" s="16" t="s">
        <v>20</v>
      </c>
      <c r="AE88" s="16" t="s">
        <v>20</v>
      </c>
      <c r="AF88" s="17"/>
      <c r="AJ88" s="17">
        <v>82</v>
      </c>
      <c r="AK88" s="61">
        <v>25275</v>
      </c>
      <c r="AL88" s="16">
        <v>4.9999999999999964</v>
      </c>
      <c r="AM88" s="16">
        <v>16.999999998370185</v>
      </c>
      <c r="AN88" s="16" t="s">
        <v>20</v>
      </c>
      <c r="AO88" s="16">
        <v>4.5</v>
      </c>
      <c r="AP88" s="16">
        <v>3.8</v>
      </c>
      <c r="AQ88" s="17"/>
      <c r="AU88" s="17">
        <v>82</v>
      </c>
      <c r="AV88" s="61">
        <v>24898</v>
      </c>
      <c r="AW88" s="16" t="s">
        <v>20</v>
      </c>
      <c r="AX88" s="16" t="s">
        <v>20</v>
      </c>
      <c r="AY88" s="16"/>
      <c r="AZ88" s="16" t="s">
        <v>20</v>
      </c>
      <c r="BA88" s="16" t="s">
        <v>20</v>
      </c>
      <c r="BB88" s="17"/>
      <c r="BF88" s="17">
        <v>82</v>
      </c>
      <c r="BG88" s="61">
        <v>25419</v>
      </c>
      <c r="BH88" s="16" t="s">
        <v>20</v>
      </c>
      <c r="BI88" s="16" t="s">
        <v>20</v>
      </c>
      <c r="BJ88" s="16" t="s">
        <v>20</v>
      </c>
      <c r="BK88" s="16" t="s">
        <v>20</v>
      </c>
      <c r="BL88" s="16" t="s">
        <v>20</v>
      </c>
      <c r="BM88" s="17"/>
      <c r="BQ88" s="17">
        <v>82</v>
      </c>
      <c r="BR88" s="61">
        <v>25126</v>
      </c>
      <c r="BS88" s="16">
        <v>2.9999999999999947</v>
      </c>
      <c r="BT88" s="16">
        <v>15.999999999068677</v>
      </c>
      <c r="BU88" s="16" t="s">
        <v>20</v>
      </c>
      <c r="BV88" s="16">
        <v>4.75</v>
      </c>
      <c r="BW88" s="16">
        <v>2.9</v>
      </c>
      <c r="BX88" s="17"/>
      <c r="CB88" s="17"/>
      <c r="CC88" s="61"/>
      <c r="CD88" s="16"/>
      <c r="CE88" s="16"/>
      <c r="CF88" s="16"/>
      <c r="CG88" s="16"/>
      <c r="CH88" s="16"/>
      <c r="CI88" s="17"/>
      <c r="CM88" s="17"/>
      <c r="CN88" s="61"/>
      <c r="CO88" s="16"/>
      <c r="CP88" s="16" t="s">
        <v>20</v>
      </c>
      <c r="CQ88" s="16"/>
      <c r="CR88" s="16"/>
      <c r="CS88" s="16"/>
      <c r="CT88" s="17"/>
      <c r="CX88" s="17"/>
      <c r="CY88" s="60"/>
      <c r="CZ88" s="16"/>
      <c r="DA88" s="16" t="s">
        <v>20</v>
      </c>
      <c r="DB88" s="16"/>
      <c r="DC88" s="16"/>
      <c r="DD88" s="16"/>
      <c r="DE88" s="17"/>
      <c r="DI88" s="17">
        <v>82</v>
      </c>
      <c r="DJ88" s="60">
        <v>25971</v>
      </c>
      <c r="DK88" s="16" t="s">
        <v>20</v>
      </c>
      <c r="DL88" s="16" t="s">
        <v>20</v>
      </c>
      <c r="DM88" s="16" t="s">
        <v>20</v>
      </c>
      <c r="DN88" s="16" t="s">
        <v>20</v>
      </c>
      <c r="DO88" s="16" t="s">
        <v>20</v>
      </c>
      <c r="DP88" s="17"/>
      <c r="DT88" s="17"/>
      <c r="DU88" s="60"/>
      <c r="DV88" s="16"/>
      <c r="DW88" s="16" t="s">
        <v>20</v>
      </c>
      <c r="DX88" s="16"/>
      <c r="DY88" s="16"/>
      <c r="DZ88" s="16"/>
      <c r="EA88" s="17"/>
      <c r="EE88" s="17"/>
      <c r="EF88" s="60"/>
      <c r="EG88" s="16"/>
      <c r="EH88" s="16" t="s">
        <v>20</v>
      </c>
      <c r="EI88" s="16"/>
      <c r="EJ88" s="16"/>
      <c r="EK88" s="16"/>
      <c r="EL88" s="17"/>
      <c r="EP88" s="17">
        <v>82</v>
      </c>
      <c r="EQ88" s="60">
        <v>25414</v>
      </c>
      <c r="ER88" s="16" t="s">
        <v>20</v>
      </c>
      <c r="ES88" s="16" t="s">
        <v>20</v>
      </c>
      <c r="ET88" s="16" t="s">
        <v>20</v>
      </c>
      <c r="EU88" s="16" t="s">
        <v>20</v>
      </c>
      <c r="EV88" s="16" t="s">
        <v>20</v>
      </c>
      <c r="EW88" s="17"/>
      <c r="FA88" s="17"/>
      <c r="FB88" s="60"/>
      <c r="FC88" s="16"/>
      <c r="FD88" s="16" t="s">
        <v>20</v>
      </c>
      <c r="FE88" s="16"/>
      <c r="FF88" s="16"/>
      <c r="FG88" s="16"/>
      <c r="FH88" s="17"/>
      <c r="FL88" s="17"/>
      <c r="FM88" s="60"/>
      <c r="FN88" s="16"/>
      <c r="FO88" s="16" t="s">
        <v>20</v>
      </c>
      <c r="FP88" s="16"/>
      <c r="FQ88" s="16"/>
      <c r="FR88" s="16"/>
      <c r="FS88" s="17"/>
      <c r="FW88" s="17">
        <v>82</v>
      </c>
      <c r="FX88" s="60">
        <v>28083</v>
      </c>
      <c r="FY88" s="16" t="s">
        <v>20</v>
      </c>
      <c r="FZ88" s="16" t="s">
        <v>20</v>
      </c>
      <c r="GA88" s="16" t="s">
        <v>20</v>
      </c>
      <c r="GB88" s="16" t="s">
        <v>20</v>
      </c>
      <c r="GC88" s="16" t="s">
        <v>20</v>
      </c>
      <c r="GD88" s="17"/>
      <c r="GH88" s="17"/>
      <c r="GI88" s="60"/>
      <c r="GJ88" s="16"/>
      <c r="GK88" s="16" t="s">
        <v>20</v>
      </c>
      <c r="GL88" s="16"/>
      <c r="GM88" s="16"/>
      <c r="GN88" s="16"/>
      <c r="GO88" s="17"/>
      <c r="GS88" s="17"/>
      <c r="GT88" s="60"/>
      <c r="GU88" s="16"/>
      <c r="GV88" s="16" t="s">
        <v>20</v>
      </c>
      <c r="GW88" s="16"/>
      <c r="GX88" s="16"/>
      <c r="GY88" s="16"/>
      <c r="GZ88" s="17"/>
      <c r="HD88" s="17"/>
      <c r="HE88" s="60"/>
      <c r="HF88" s="16"/>
      <c r="HG88" s="16" t="s">
        <v>20</v>
      </c>
      <c r="HH88" s="16"/>
      <c r="HI88" s="16"/>
      <c r="HJ88" s="16"/>
      <c r="HK88" s="17"/>
      <c r="HO88" s="17"/>
      <c r="HP88" s="60"/>
      <c r="HQ88" s="16"/>
      <c r="HR88" s="16" t="s">
        <v>20</v>
      </c>
      <c r="HS88" s="16"/>
      <c r="HT88" s="16"/>
      <c r="HU88" s="16"/>
      <c r="HV88" s="17"/>
      <c r="HZ88" s="17"/>
      <c r="IA88" s="60"/>
      <c r="IB88" s="16"/>
      <c r="IC88" s="16" t="s">
        <v>20</v>
      </c>
      <c r="ID88" s="16"/>
      <c r="IE88" s="16"/>
      <c r="IF88" s="16"/>
      <c r="IG88" s="17"/>
      <c r="IK88" s="17"/>
      <c r="IL88" s="60"/>
      <c r="IM88" s="16"/>
      <c r="IN88" s="16" t="s">
        <v>20</v>
      </c>
      <c r="IO88" s="16"/>
      <c r="IP88" s="16"/>
      <c r="IQ88" s="16"/>
      <c r="IR88" s="17"/>
      <c r="IV88" s="17"/>
      <c r="IW88" s="60"/>
      <c r="IX88" s="16"/>
      <c r="IY88" s="16" t="s">
        <v>20</v>
      </c>
      <c r="IZ88" s="16"/>
      <c r="JA88" s="16"/>
      <c r="JB88" s="16"/>
      <c r="JC88" s="17"/>
      <c r="JG88" s="17"/>
      <c r="JH88" s="60"/>
      <c r="JI88" s="16"/>
      <c r="JJ88" s="16" t="s">
        <v>20</v>
      </c>
      <c r="JK88" s="16"/>
      <c r="JL88" s="16"/>
      <c r="JM88" s="16"/>
      <c r="JN88" s="17"/>
      <c r="JR88" s="17"/>
      <c r="JS88" s="60"/>
      <c r="JT88" s="16"/>
      <c r="JU88" s="16" t="s">
        <v>20</v>
      </c>
      <c r="JV88" s="16"/>
      <c r="JW88" s="16"/>
      <c r="JX88" s="16"/>
      <c r="JY88" s="17"/>
      <c r="KC88" s="17"/>
      <c r="KD88" s="60"/>
      <c r="KE88" s="16"/>
      <c r="KF88" s="16" t="s">
        <v>20</v>
      </c>
      <c r="KG88" s="16"/>
      <c r="KH88" s="16"/>
      <c r="KI88" s="16"/>
      <c r="KJ88" s="17"/>
      <c r="KN88" s="17"/>
      <c r="KO88" s="60"/>
      <c r="KP88" s="16"/>
      <c r="KQ88" s="16" t="s">
        <v>20</v>
      </c>
      <c r="KR88" s="16"/>
      <c r="KS88" s="16"/>
      <c r="KT88" s="16"/>
      <c r="KU88" s="17"/>
      <c r="KY88" s="17"/>
      <c r="KZ88" s="60"/>
      <c r="LA88" s="16"/>
      <c r="LB88" s="16" t="s">
        <v>20</v>
      </c>
      <c r="LC88" s="16"/>
      <c r="LD88" s="16"/>
      <c r="LE88" s="16"/>
      <c r="LF88" s="17"/>
      <c r="LJ88" s="17"/>
      <c r="LK88" s="60"/>
      <c r="LL88" s="16"/>
      <c r="LM88" s="16" t="s">
        <v>20</v>
      </c>
      <c r="LN88" s="16"/>
      <c r="LO88" s="16"/>
      <c r="LP88" s="16"/>
      <c r="LQ88" s="17"/>
    </row>
    <row r="89">
      <c r="C89" s="62"/>
      <c r="D89" s="64"/>
      <c r="E89" s="16"/>
      <c r="F89" s="16"/>
      <c r="G89" s="21"/>
      <c r="H89" s="16"/>
      <c r="I89" s="16"/>
      <c r="J89" s="17"/>
      <c r="N89" s="17"/>
      <c r="O89" s="61"/>
      <c r="P89" s="16"/>
      <c r="Q89" s="16"/>
      <c r="R89" s="16"/>
      <c r="S89" s="16"/>
      <c r="T89" s="16"/>
      <c r="U89" s="17"/>
      <c r="Y89" s="66">
        <v>83</v>
      </c>
      <c r="Z89" s="61">
        <v>25771</v>
      </c>
      <c r="AA89" s="16" t="s">
        <v>20</v>
      </c>
      <c r="AB89" s="16" t="s">
        <v>20</v>
      </c>
      <c r="AC89" s="16" t="s">
        <v>20</v>
      </c>
      <c r="AD89" s="16" t="s">
        <v>20</v>
      </c>
      <c r="AE89" s="16" t="s">
        <v>20</v>
      </c>
      <c r="AF89" s="17"/>
      <c r="AJ89" s="17">
        <v>83</v>
      </c>
      <c r="AK89" s="61">
        <v>25477</v>
      </c>
      <c r="AL89" s="16">
        <v>2.9999999999999947</v>
      </c>
      <c r="AM89" s="16">
        <v>24.9999999969732</v>
      </c>
      <c r="AN89" s="16" t="s">
        <v>20</v>
      </c>
      <c r="AO89" s="16">
        <v>4.5</v>
      </c>
      <c r="AP89" s="16">
        <v>3.5</v>
      </c>
      <c r="AQ89" s="17"/>
      <c r="AU89" s="17">
        <v>83</v>
      </c>
      <c r="AV89" s="61">
        <v>25099</v>
      </c>
      <c r="AW89" s="16" t="s">
        <v>20</v>
      </c>
      <c r="AX89" s="16" t="s">
        <v>20</v>
      </c>
      <c r="AY89" s="16"/>
      <c r="AZ89" s="16" t="s">
        <v>20</v>
      </c>
      <c r="BA89" s="16" t="s">
        <v>20</v>
      </c>
      <c r="BB89" s="17"/>
      <c r="BF89" s="17">
        <v>83</v>
      </c>
      <c r="BG89" s="61">
        <v>25621</v>
      </c>
      <c r="BH89" s="16" t="s">
        <v>20</v>
      </c>
      <c r="BI89" s="16" t="s">
        <v>20</v>
      </c>
      <c r="BJ89" s="16" t="s">
        <v>20</v>
      </c>
      <c r="BK89" s="16" t="s">
        <v>20</v>
      </c>
      <c r="BL89" s="16" t="s">
        <v>20</v>
      </c>
      <c r="BM89" s="17"/>
      <c r="BQ89" s="17">
        <v>83</v>
      </c>
      <c r="BR89" s="61">
        <v>25326</v>
      </c>
      <c r="BS89" s="16">
        <v>2.9999999999999947</v>
      </c>
      <c r="BT89" s="16">
        <v>23.000000000931323</v>
      </c>
      <c r="BU89" s="16" t="s">
        <v>20</v>
      </c>
      <c r="BV89" s="16">
        <v>4.75</v>
      </c>
      <c r="BW89" s="16">
        <v>3</v>
      </c>
      <c r="BX89" s="17"/>
      <c r="CB89" s="17"/>
      <c r="CC89" s="61"/>
      <c r="CD89" s="16"/>
      <c r="CE89" s="16"/>
      <c r="CF89" s="16"/>
      <c r="CG89" s="16"/>
      <c r="CH89" s="16"/>
      <c r="CI89" s="17"/>
      <c r="CM89" s="17"/>
      <c r="CN89" s="61"/>
      <c r="CO89" s="16"/>
      <c r="CP89" s="16" t="s">
        <v>20</v>
      </c>
      <c r="CQ89" s="16"/>
      <c r="CR89" s="16"/>
      <c r="CS89" s="16"/>
      <c r="CT89" s="17"/>
      <c r="CX89" s="17"/>
      <c r="CY89" s="60"/>
      <c r="CZ89" s="16"/>
      <c r="DA89" s="16" t="s">
        <v>20</v>
      </c>
      <c r="DB89" s="16"/>
      <c r="DC89" s="16"/>
      <c r="DD89" s="16"/>
      <c r="DE89" s="17"/>
      <c r="DI89" s="17">
        <v>83</v>
      </c>
      <c r="DJ89" s="60">
        <v>26172</v>
      </c>
      <c r="DK89" s="16" t="s">
        <v>20</v>
      </c>
      <c r="DL89" s="16" t="s">
        <v>20</v>
      </c>
      <c r="DM89" s="16" t="s">
        <v>20</v>
      </c>
      <c r="DN89" s="16" t="s">
        <v>20</v>
      </c>
      <c r="DO89" s="16" t="s">
        <v>20</v>
      </c>
      <c r="DP89" s="17"/>
      <c r="DT89" s="17"/>
      <c r="DU89" s="60"/>
      <c r="DV89" s="16"/>
      <c r="DW89" s="16" t="s">
        <v>20</v>
      </c>
      <c r="DX89" s="16"/>
      <c r="DY89" s="16"/>
      <c r="DZ89" s="16"/>
      <c r="EA89" s="17"/>
      <c r="EE89" s="17"/>
      <c r="EF89" s="60"/>
      <c r="EG89" s="16"/>
      <c r="EH89" s="16" t="s">
        <v>20</v>
      </c>
      <c r="EI89" s="16"/>
      <c r="EJ89" s="16"/>
      <c r="EK89" s="16"/>
      <c r="EL89" s="17"/>
      <c r="EP89" s="17">
        <v>83</v>
      </c>
      <c r="EQ89" s="60">
        <v>25615</v>
      </c>
      <c r="ER89" s="16" t="s">
        <v>20</v>
      </c>
      <c r="ES89" s="16" t="s">
        <v>20</v>
      </c>
      <c r="ET89" s="16" t="s">
        <v>20</v>
      </c>
      <c r="EU89" s="16" t="s">
        <v>20</v>
      </c>
      <c r="EV89" s="16" t="s">
        <v>20</v>
      </c>
      <c r="EW89" s="17"/>
      <c r="FA89" s="17"/>
      <c r="FB89" s="60"/>
      <c r="FC89" s="16"/>
      <c r="FD89" s="16" t="s">
        <v>20</v>
      </c>
      <c r="FE89" s="16"/>
      <c r="FF89" s="16"/>
      <c r="FG89" s="16"/>
      <c r="FH89" s="17"/>
      <c r="FL89" s="17"/>
      <c r="FM89" s="60"/>
      <c r="FN89" s="16"/>
      <c r="FO89" s="16" t="s">
        <v>20</v>
      </c>
      <c r="FP89" s="16"/>
      <c r="FQ89" s="16"/>
      <c r="FR89" s="16"/>
      <c r="FS89" s="17"/>
      <c r="FW89" s="17">
        <v>83</v>
      </c>
      <c r="FX89" s="60">
        <v>28325</v>
      </c>
      <c r="FY89" s="16" t="s">
        <v>20</v>
      </c>
      <c r="FZ89" s="16" t="s">
        <v>20</v>
      </c>
      <c r="GA89" s="16" t="s">
        <v>20</v>
      </c>
      <c r="GB89" s="16" t="s">
        <v>20</v>
      </c>
      <c r="GC89" s="16" t="s">
        <v>20</v>
      </c>
      <c r="GD89" s="17"/>
      <c r="GH89" s="17"/>
      <c r="GI89" s="60"/>
      <c r="GJ89" s="16"/>
      <c r="GK89" s="16" t="s">
        <v>20</v>
      </c>
      <c r="GL89" s="16"/>
      <c r="GM89" s="16"/>
      <c r="GN89" s="16"/>
      <c r="GO89" s="17"/>
      <c r="GS89" s="17"/>
      <c r="GT89" s="60"/>
      <c r="GU89" s="16"/>
      <c r="GV89" s="16" t="s">
        <v>20</v>
      </c>
      <c r="GW89" s="16"/>
      <c r="GX89" s="16"/>
      <c r="GY89" s="16"/>
      <c r="GZ89" s="17"/>
      <c r="HD89" s="17"/>
      <c r="HE89" s="60"/>
      <c r="HF89" s="16"/>
      <c r="HG89" s="16" t="s">
        <v>20</v>
      </c>
      <c r="HH89" s="16"/>
      <c r="HI89" s="16"/>
      <c r="HJ89" s="16"/>
      <c r="HK89" s="17"/>
      <c r="HO89" s="17"/>
      <c r="HP89" s="60"/>
      <c r="HQ89" s="16"/>
      <c r="HR89" s="16" t="s">
        <v>20</v>
      </c>
      <c r="HS89" s="16"/>
      <c r="HT89" s="16"/>
      <c r="HU89" s="16"/>
      <c r="HV89" s="17"/>
      <c r="HZ89" s="17"/>
      <c r="IA89" s="60"/>
      <c r="IB89" s="16"/>
      <c r="IC89" s="16" t="s">
        <v>20</v>
      </c>
      <c r="ID89" s="16"/>
      <c r="IE89" s="16"/>
      <c r="IF89" s="16"/>
      <c r="IG89" s="17"/>
      <c r="IK89" s="17"/>
      <c r="IL89" s="60"/>
      <c r="IM89" s="16"/>
      <c r="IN89" s="16" t="s">
        <v>20</v>
      </c>
      <c r="IO89" s="16"/>
      <c r="IP89" s="16"/>
      <c r="IQ89" s="16"/>
      <c r="IR89" s="17"/>
      <c r="IV89" s="17"/>
      <c r="IW89" s="60"/>
      <c r="IX89" s="16"/>
      <c r="IY89" s="16" t="s">
        <v>20</v>
      </c>
      <c r="IZ89" s="16"/>
      <c r="JA89" s="16"/>
      <c r="JB89" s="16"/>
      <c r="JC89" s="17"/>
      <c r="JG89" s="17"/>
      <c r="JH89" s="60"/>
      <c r="JI89" s="16"/>
      <c r="JJ89" s="16" t="s">
        <v>20</v>
      </c>
      <c r="JK89" s="16"/>
      <c r="JL89" s="16"/>
      <c r="JM89" s="16"/>
      <c r="JN89" s="17"/>
      <c r="JR89" s="17"/>
      <c r="JS89" s="60"/>
      <c r="JT89" s="16"/>
      <c r="JU89" s="16" t="s">
        <v>20</v>
      </c>
      <c r="JV89" s="16"/>
      <c r="JW89" s="16"/>
      <c r="JX89" s="16"/>
      <c r="JY89" s="17"/>
      <c r="KC89" s="17"/>
      <c r="KD89" s="60"/>
      <c r="KE89" s="16"/>
      <c r="KF89" s="16" t="s">
        <v>20</v>
      </c>
      <c r="KG89" s="16"/>
      <c r="KH89" s="16"/>
      <c r="KI89" s="16"/>
      <c r="KJ89" s="17"/>
      <c r="KN89" s="17"/>
      <c r="KO89" s="60"/>
      <c r="KP89" s="16"/>
      <c r="KQ89" s="16" t="s">
        <v>20</v>
      </c>
      <c r="KR89" s="16"/>
      <c r="KS89" s="16"/>
      <c r="KT89" s="16"/>
      <c r="KU89" s="17"/>
      <c r="KY89" s="17"/>
      <c r="KZ89" s="60"/>
      <c r="LA89" s="16"/>
      <c r="LB89" s="16" t="s">
        <v>20</v>
      </c>
      <c r="LC89" s="16"/>
      <c r="LD89" s="16"/>
      <c r="LE89" s="16"/>
      <c r="LF89" s="17"/>
      <c r="LJ89" s="17"/>
      <c r="LK89" s="60"/>
      <c r="LL89" s="16"/>
      <c r="LM89" s="16" t="s">
        <v>20</v>
      </c>
      <c r="LN89" s="16"/>
      <c r="LO89" s="16"/>
      <c r="LP89" s="16"/>
      <c r="LQ89" s="17"/>
    </row>
    <row r="90">
      <c r="C90" s="62"/>
      <c r="D90" s="61"/>
      <c r="E90" s="16"/>
      <c r="F90" s="16"/>
      <c r="G90" s="21"/>
      <c r="H90" s="16"/>
      <c r="I90" s="16"/>
      <c r="J90" s="17"/>
      <c r="N90" s="17"/>
      <c r="O90" s="61"/>
      <c r="P90" s="16"/>
      <c r="Q90" s="16" t="s">
        <v>20</v>
      </c>
      <c r="R90" s="16"/>
      <c r="S90" s="16"/>
      <c r="T90" s="16"/>
      <c r="U90" s="17"/>
      <c r="Y90" s="66">
        <v>84</v>
      </c>
      <c r="Z90" s="61">
        <v>25971</v>
      </c>
      <c r="AA90" s="16" t="s">
        <v>20</v>
      </c>
      <c r="AB90" s="16" t="s">
        <v>20</v>
      </c>
      <c r="AC90" s="16" t="s">
        <v>20</v>
      </c>
      <c r="AD90" s="16" t="s">
        <v>20</v>
      </c>
      <c r="AE90" s="16" t="s">
        <v>20</v>
      </c>
      <c r="AF90" s="17"/>
      <c r="AJ90" s="17">
        <v>84</v>
      </c>
      <c r="AK90" s="61">
        <v>25679</v>
      </c>
      <c r="AL90" s="16">
        <v>9</v>
      </c>
      <c r="AM90" s="16">
        <v>47.000000004423782</v>
      </c>
      <c r="AN90" s="16" t="s">
        <v>20</v>
      </c>
      <c r="AO90" s="16">
        <v>4.5</v>
      </c>
      <c r="AP90" s="16">
        <v>3.8</v>
      </c>
      <c r="AQ90" s="17"/>
      <c r="AU90" s="17">
        <v>84</v>
      </c>
      <c r="AV90" s="61">
        <v>25300</v>
      </c>
      <c r="AW90" s="16" t="s">
        <v>20</v>
      </c>
      <c r="AX90" s="16" t="s">
        <v>20</v>
      </c>
      <c r="AY90" s="16"/>
      <c r="AZ90" s="16" t="s">
        <v>20</v>
      </c>
      <c r="BA90" s="16" t="s">
        <v>20</v>
      </c>
      <c r="BB90" s="17"/>
      <c r="BF90" s="17">
        <v>84</v>
      </c>
      <c r="BG90" s="61">
        <v>25822</v>
      </c>
      <c r="BH90" s="16" t="s">
        <v>20</v>
      </c>
      <c r="BI90" s="16" t="s">
        <v>20</v>
      </c>
      <c r="BJ90" s="16" t="s">
        <v>20</v>
      </c>
      <c r="BK90" s="16" t="s">
        <v>20</v>
      </c>
      <c r="BL90" s="16" t="s">
        <v>20</v>
      </c>
      <c r="BM90" s="17"/>
      <c r="BQ90" s="17">
        <v>84</v>
      </c>
      <c r="BR90" s="61">
        <v>25527</v>
      </c>
      <c r="BS90" s="16">
        <v>4.0000000000000036</v>
      </c>
      <c r="BT90" s="16">
        <v>19.000000001629815</v>
      </c>
      <c r="BU90" s="16" t="s">
        <v>20</v>
      </c>
      <c r="BV90" s="16">
        <v>4.75</v>
      </c>
      <c r="BW90" s="16">
        <v>3.5</v>
      </c>
      <c r="BX90" s="17"/>
      <c r="CB90" s="17"/>
      <c r="CC90" s="61"/>
      <c r="CD90" s="16"/>
      <c r="CE90" s="16"/>
      <c r="CF90" s="16"/>
      <c r="CG90" s="16"/>
      <c r="CH90" s="16"/>
      <c r="CI90" s="17"/>
      <c r="CM90" s="17"/>
      <c r="CN90" s="61"/>
      <c r="CO90" s="16"/>
      <c r="CP90" s="16" t="s">
        <v>20</v>
      </c>
      <c r="CQ90" s="16"/>
      <c r="CR90" s="16"/>
      <c r="CS90" s="16"/>
      <c r="CT90" s="17"/>
      <c r="CX90" s="17"/>
      <c r="CY90" s="60"/>
      <c r="CZ90" s="16"/>
      <c r="DA90" s="16" t="s">
        <v>20</v>
      </c>
      <c r="DB90" s="16"/>
      <c r="DC90" s="16"/>
      <c r="DD90" s="16"/>
      <c r="DE90" s="17"/>
      <c r="DI90" s="17">
        <v>84</v>
      </c>
      <c r="DJ90" s="60">
        <v>26374</v>
      </c>
      <c r="DK90" s="16" t="s">
        <v>20</v>
      </c>
      <c r="DL90" s="16" t="s">
        <v>20</v>
      </c>
      <c r="DM90" s="16" t="s">
        <v>20</v>
      </c>
      <c r="DN90" s="16" t="s">
        <v>20</v>
      </c>
      <c r="DO90" s="16" t="s">
        <v>20</v>
      </c>
      <c r="DP90" s="17"/>
      <c r="DT90" s="17"/>
      <c r="DU90" s="60"/>
      <c r="DV90" s="16"/>
      <c r="DW90" s="16" t="s">
        <v>20</v>
      </c>
      <c r="DX90" s="16"/>
      <c r="DY90" s="16"/>
      <c r="DZ90" s="16"/>
      <c r="EA90" s="17"/>
      <c r="EE90" s="17"/>
      <c r="EF90" s="60"/>
      <c r="EG90" s="16"/>
      <c r="EH90" s="16" t="s">
        <v>20</v>
      </c>
      <c r="EI90" s="16"/>
      <c r="EJ90" s="16"/>
      <c r="EK90" s="16"/>
      <c r="EL90" s="17"/>
      <c r="EP90" s="17">
        <v>84</v>
      </c>
      <c r="EQ90" s="60">
        <v>25817</v>
      </c>
      <c r="ER90" s="16" t="s">
        <v>20</v>
      </c>
      <c r="ES90" s="16" t="s">
        <v>20</v>
      </c>
      <c r="ET90" s="16" t="s">
        <v>20</v>
      </c>
      <c r="EU90" s="16" t="s">
        <v>20</v>
      </c>
      <c r="EV90" s="16" t="s">
        <v>20</v>
      </c>
      <c r="EW90" s="17"/>
      <c r="FA90" s="17"/>
      <c r="FB90" s="60"/>
      <c r="FC90" s="16"/>
      <c r="FD90" s="16" t="s">
        <v>20</v>
      </c>
      <c r="FE90" s="16"/>
      <c r="FF90" s="16"/>
      <c r="FG90" s="16"/>
      <c r="FH90" s="17"/>
      <c r="FL90" s="17"/>
      <c r="FM90" s="60"/>
      <c r="FN90" s="16"/>
      <c r="FO90" s="16" t="s">
        <v>20</v>
      </c>
      <c r="FP90" s="16"/>
      <c r="FQ90" s="16"/>
      <c r="FR90" s="16"/>
      <c r="FS90" s="17"/>
      <c r="FW90" s="17">
        <v>84</v>
      </c>
      <c r="FX90" s="60">
        <v>28566</v>
      </c>
      <c r="FY90" s="16" t="s">
        <v>20</v>
      </c>
      <c r="FZ90" s="16" t="s">
        <v>20</v>
      </c>
      <c r="GA90" s="16" t="s">
        <v>20</v>
      </c>
      <c r="GB90" s="16" t="s">
        <v>20</v>
      </c>
      <c r="GC90" s="16" t="s">
        <v>20</v>
      </c>
      <c r="GD90" s="17"/>
      <c r="GH90" s="17"/>
      <c r="GI90" s="60"/>
      <c r="GJ90" s="16"/>
      <c r="GK90" s="16" t="s">
        <v>20</v>
      </c>
      <c r="GL90" s="16"/>
      <c r="GM90" s="16"/>
      <c r="GN90" s="16"/>
      <c r="GO90" s="17"/>
      <c r="GS90" s="17"/>
      <c r="GT90" s="60"/>
      <c r="GU90" s="16"/>
      <c r="GV90" s="16" t="s">
        <v>20</v>
      </c>
      <c r="GW90" s="16"/>
      <c r="GX90" s="16"/>
      <c r="GY90" s="16"/>
      <c r="GZ90" s="17"/>
      <c r="HD90" s="17"/>
      <c r="HE90" s="60"/>
      <c r="HF90" s="16"/>
      <c r="HG90" s="16" t="s">
        <v>20</v>
      </c>
      <c r="HH90" s="16"/>
      <c r="HI90" s="16"/>
      <c r="HJ90" s="16"/>
      <c r="HK90" s="17"/>
      <c r="HO90" s="17"/>
      <c r="HP90" s="60"/>
      <c r="HQ90" s="16"/>
      <c r="HR90" s="16" t="s">
        <v>20</v>
      </c>
      <c r="HS90" s="16"/>
      <c r="HT90" s="16"/>
      <c r="HU90" s="16"/>
      <c r="HV90" s="17"/>
      <c r="HZ90" s="17"/>
      <c r="IA90" s="60"/>
      <c r="IB90" s="16"/>
      <c r="IC90" s="16" t="s">
        <v>20</v>
      </c>
      <c r="ID90" s="16"/>
      <c r="IE90" s="16"/>
      <c r="IF90" s="16"/>
      <c r="IG90" s="17"/>
      <c r="IK90" s="17"/>
      <c r="IL90" s="60"/>
      <c r="IM90" s="16"/>
      <c r="IN90" s="16" t="s">
        <v>20</v>
      </c>
      <c r="IO90" s="16"/>
      <c r="IP90" s="16"/>
      <c r="IQ90" s="16"/>
      <c r="IR90" s="17"/>
      <c r="IV90" s="17"/>
      <c r="IW90" s="60"/>
      <c r="IX90" s="16"/>
      <c r="IY90" s="16" t="s">
        <v>20</v>
      </c>
      <c r="IZ90" s="16"/>
      <c r="JA90" s="16"/>
      <c r="JB90" s="16"/>
      <c r="JC90" s="17"/>
      <c r="JG90" s="17"/>
      <c r="JH90" s="60"/>
      <c r="JI90" s="16"/>
      <c r="JJ90" s="16" t="s">
        <v>20</v>
      </c>
      <c r="JK90" s="16"/>
      <c r="JL90" s="16"/>
      <c r="JM90" s="16"/>
      <c r="JN90" s="17"/>
      <c r="JR90" s="17"/>
      <c r="JS90" s="60"/>
      <c r="JT90" s="16"/>
      <c r="JU90" s="16" t="s">
        <v>20</v>
      </c>
      <c r="JV90" s="16"/>
      <c r="JW90" s="16"/>
      <c r="JX90" s="16"/>
      <c r="JY90" s="17"/>
      <c r="KC90" s="17"/>
      <c r="KD90" s="60"/>
      <c r="KE90" s="16"/>
      <c r="KF90" s="16" t="s">
        <v>20</v>
      </c>
      <c r="KG90" s="16"/>
      <c r="KH90" s="16"/>
      <c r="KI90" s="16"/>
      <c r="KJ90" s="17"/>
      <c r="KN90" s="17"/>
      <c r="KO90" s="60"/>
      <c r="KP90" s="16"/>
      <c r="KQ90" s="16" t="s">
        <v>20</v>
      </c>
      <c r="KR90" s="16"/>
      <c r="KS90" s="16"/>
      <c r="KT90" s="16"/>
      <c r="KU90" s="17"/>
      <c r="KY90" s="17"/>
      <c r="KZ90" s="60"/>
      <c r="LA90" s="16"/>
      <c r="LB90" s="16" t="s">
        <v>20</v>
      </c>
      <c r="LC90" s="16"/>
      <c r="LD90" s="16"/>
      <c r="LE90" s="16"/>
      <c r="LF90" s="17"/>
      <c r="LJ90" s="17"/>
      <c r="LK90" s="60"/>
      <c r="LL90" s="16"/>
      <c r="LM90" s="16" t="s">
        <v>20</v>
      </c>
      <c r="LN90" s="16"/>
      <c r="LO90" s="16"/>
      <c r="LP90" s="16"/>
      <c r="LQ90" s="17"/>
    </row>
    <row r="91">
      <c r="C91" s="62"/>
      <c r="D91" s="61"/>
      <c r="E91" s="16"/>
      <c r="F91" s="16"/>
      <c r="G91" s="21"/>
      <c r="H91" s="16"/>
      <c r="I91" s="16"/>
      <c r="J91" s="17"/>
      <c r="N91" s="17"/>
      <c r="O91" s="61"/>
      <c r="P91" s="16"/>
      <c r="Q91" s="16" t="s">
        <v>20</v>
      </c>
      <c r="R91" s="16"/>
      <c r="S91" s="16"/>
      <c r="T91" s="16"/>
      <c r="U91" s="17"/>
      <c r="Y91" s="66">
        <v>85</v>
      </c>
      <c r="Z91" s="61">
        <v>26172</v>
      </c>
      <c r="AA91" s="16" t="s">
        <v>20</v>
      </c>
      <c r="AB91" s="16" t="s">
        <v>20</v>
      </c>
      <c r="AC91" s="16" t="s">
        <v>20</v>
      </c>
      <c r="AD91" s="16" t="s">
        <v>20</v>
      </c>
      <c r="AE91" s="16" t="s">
        <v>20</v>
      </c>
      <c r="AF91" s="17"/>
      <c r="AJ91" s="17">
        <v>85</v>
      </c>
      <c r="AK91" s="61">
        <v>25880</v>
      </c>
      <c r="AL91" s="16">
        <v>4.9999999999999964</v>
      </c>
      <c r="AM91" s="16">
        <v>23.000000001629815</v>
      </c>
      <c r="AN91" s="16" t="s">
        <v>20</v>
      </c>
      <c r="AO91" s="16">
        <v>4.5</v>
      </c>
      <c r="AP91" s="16">
        <v>1.2</v>
      </c>
      <c r="AQ91" s="17"/>
      <c r="AU91" s="17">
        <v>85</v>
      </c>
      <c r="AV91" s="61">
        <v>25501</v>
      </c>
      <c r="AW91" s="16" t="s">
        <v>20</v>
      </c>
      <c r="AX91" s="16" t="s">
        <v>20</v>
      </c>
      <c r="AY91" s="16"/>
      <c r="AZ91" s="16" t="s">
        <v>20</v>
      </c>
      <c r="BA91" s="16" t="s">
        <v>20</v>
      </c>
      <c r="BB91" s="17"/>
      <c r="BF91" s="17">
        <v>85</v>
      </c>
      <c r="BG91" s="61">
        <v>26024</v>
      </c>
      <c r="BH91" s="16" t="s">
        <v>20</v>
      </c>
      <c r="BI91" s="16" t="s">
        <v>20</v>
      </c>
      <c r="BJ91" s="16" t="s">
        <v>20</v>
      </c>
      <c r="BK91" s="16" t="s">
        <v>20</v>
      </c>
      <c r="BL91" s="16" t="s">
        <v>20</v>
      </c>
      <c r="BM91" s="17"/>
      <c r="BQ91" s="17">
        <v>85</v>
      </c>
      <c r="BR91" s="61">
        <v>25727</v>
      </c>
      <c r="BS91" s="16">
        <v>9</v>
      </c>
      <c r="BT91" s="16">
        <v>20.999999993015081</v>
      </c>
      <c r="BU91" s="16" t="s">
        <v>20</v>
      </c>
      <c r="BV91" s="16">
        <v>4.75</v>
      </c>
      <c r="BW91" s="16">
        <v>3.5</v>
      </c>
      <c r="BX91" s="17"/>
      <c r="CB91" s="17"/>
      <c r="CC91" s="61"/>
      <c r="CD91" s="16"/>
      <c r="CE91" s="16"/>
      <c r="CF91" s="16"/>
      <c r="CG91" s="16"/>
      <c r="CH91" s="16"/>
      <c r="CI91" s="17"/>
      <c r="CM91" s="17"/>
      <c r="CN91" s="61"/>
      <c r="CO91" s="16"/>
      <c r="CP91" s="16" t="s">
        <v>20</v>
      </c>
      <c r="CQ91" s="16"/>
      <c r="CR91" s="16"/>
      <c r="CS91" s="16"/>
      <c r="CT91" s="17"/>
      <c r="CX91" s="17"/>
      <c r="CY91" s="60"/>
      <c r="CZ91" s="16"/>
      <c r="DA91" s="16" t="s">
        <v>20</v>
      </c>
      <c r="DB91" s="16"/>
      <c r="DC91" s="16"/>
      <c r="DD91" s="16"/>
      <c r="DE91" s="17"/>
      <c r="DI91" s="17">
        <v>85</v>
      </c>
      <c r="DJ91" s="60">
        <v>26575</v>
      </c>
      <c r="DK91" s="16" t="s">
        <v>20</v>
      </c>
      <c r="DL91" s="16" t="s">
        <v>20</v>
      </c>
      <c r="DM91" s="16" t="s">
        <v>20</v>
      </c>
      <c r="DN91" s="16" t="s">
        <v>20</v>
      </c>
      <c r="DO91" s="16" t="s">
        <v>20</v>
      </c>
      <c r="DP91" s="17"/>
      <c r="DT91" s="17"/>
      <c r="DU91" s="60"/>
      <c r="DV91" s="16"/>
      <c r="DW91" s="16" t="s">
        <v>20</v>
      </c>
      <c r="DX91" s="16"/>
      <c r="DY91" s="16"/>
      <c r="DZ91" s="16"/>
      <c r="EA91" s="17"/>
      <c r="EE91" s="17"/>
      <c r="EF91" s="60"/>
      <c r="EG91" s="16"/>
      <c r="EH91" s="16" t="s">
        <v>20</v>
      </c>
      <c r="EI91" s="16"/>
      <c r="EJ91" s="16"/>
      <c r="EK91" s="16"/>
      <c r="EL91" s="17"/>
      <c r="EP91" s="17">
        <v>85</v>
      </c>
      <c r="EQ91" s="60">
        <v>26019</v>
      </c>
      <c r="ER91" s="16" t="s">
        <v>20</v>
      </c>
      <c r="ES91" s="16" t="s">
        <v>20</v>
      </c>
      <c r="ET91" s="16" t="s">
        <v>20</v>
      </c>
      <c r="EU91" s="16" t="s">
        <v>20</v>
      </c>
      <c r="EV91" s="16" t="s">
        <v>20</v>
      </c>
      <c r="EW91" s="17"/>
      <c r="FA91" s="17"/>
      <c r="FB91" s="60"/>
      <c r="FC91" s="16"/>
      <c r="FD91" s="16" t="s">
        <v>20</v>
      </c>
      <c r="FE91" s="16"/>
      <c r="FF91" s="16"/>
      <c r="FG91" s="16"/>
      <c r="FH91" s="17"/>
      <c r="FL91" s="17"/>
      <c r="FM91" s="60"/>
      <c r="FN91" s="16"/>
      <c r="FO91" s="16" t="s">
        <v>20</v>
      </c>
      <c r="FP91" s="16"/>
      <c r="FQ91" s="16"/>
      <c r="FR91" s="16"/>
      <c r="FS91" s="17"/>
      <c r="FW91" s="17">
        <v>85</v>
      </c>
      <c r="FX91" s="60">
        <v>28807</v>
      </c>
      <c r="FY91" s="16" t="s">
        <v>20</v>
      </c>
      <c r="FZ91" s="16" t="s">
        <v>20</v>
      </c>
      <c r="GA91" s="16" t="s">
        <v>20</v>
      </c>
      <c r="GB91" s="16" t="s">
        <v>20</v>
      </c>
      <c r="GC91" s="16" t="s">
        <v>20</v>
      </c>
      <c r="GD91" s="17"/>
      <c r="GH91" s="17"/>
      <c r="GI91" s="60"/>
      <c r="GJ91" s="16"/>
      <c r="GK91" s="16" t="s">
        <v>20</v>
      </c>
      <c r="GL91" s="16"/>
      <c r="GM91" s="16"/>
      <c r="GN91" s="16"/>
      <c r="GO91" s="17"/>
      <c r="GS91" s="17"/>
      <c r="GT91" s="60"/>
      <c r="GU91" s="16"/>
      <c r="GV91" s="16" t="s">
        <v>20</v>
      </c>
      <c r="GW91" s="16"/>
      <c r="GX91" s="16"/>
      <c r="GY91" s="16"/>
      <c r="GZ91" s="17"/>
      <c r="HD91" s="17"/>
      <c r="HE91" s="60"/>
      <c r="HF91" s="16"/>
      <c r="HG91" s="16" t="s">
        <v>20</v>
      </c>
      <c r="HH91" s="16"/>
      <c r="HI91" s="16"/>
      <c r="HJ91" s="16"/>
      <c r="HK91" s="17"/>
      <c r="HO91" s="17"/>
      <c r="HP91" s="60"/>
      <c r="HQ91" s="16"/>
      <c r="HR91" s="16" t="s">
        <v>20</v>
      </c>
      <c r="HS91" s="16"/>
      <c r="HT91" s="16"/>
      <c r="HU91" s="16"/>
      <c r="HV91" s="17"/>
      <c r="HZ91" s="17"/>
      <c r="IA91" s="60"/>
      <c r="IB91" s="16"/>
      <c r="IC91" s="16" t="s">
        <v>20</v>
      </c>
      <c r="ID91" s="16"/>
      <c r="IE91" s="16"/>
      <c r="IF91" s="16"/>
      <c r="IG91" s="17"/>
      <c r="IK91" s="17"/>
      <c r="IL91" s="60"/>
      <c r="IM91" s="16"/>
      <c r="IN91" s="16" t="s">
        <v>20</v>
      </c>
      <c r="IO91" s="16"/>
      <c r="IP91" s="16"/>
      <c r="IQ91" s="16"/>
      <c r="IR91" s="17"/>
      <c r="IV91" s="17"/>
      <c r="IW91" s="60"/>
      <c r="IX91" s="16"/>
      <c r="IY91" s="16" t="s">
        <v>20</v>
      </c>
      <c r="IZ91" s="16"/>
      <c r="JA91" s="16"/>
      <c r="JB91" s="16"/>
      <c r="JC91" s="17"/>
      <c r="JG91" s="17"/>
      <c r="JH91" s="60"/>
      <c r="JI91" s="16"/>
      <c r="JJ91" s="16" t="s">
        <v>20</v>
      </c>
      <c r="JK91" s="16"/>
      <c r="JL91" s="16"/>
      <c r="JM91" s="16"/>
      <c r="JN91" s="17"/>
      <c r="JR91" s="17"/>
      <c r="JS91" s="60"/>
      <c r="JT91" s="16"/>
      <c r="JU91" s="16" t="s">
        <v>20</v>
      </c>
      <c r="JV91" s="16"/>
      <c r="JW91" s="16"/>
      <c r="JX91" s="16"/>
      <c r="JY91" s="17"/>
      <c r="KC91" s="17"/>
      <c r="KD91" s="60"/>
      <c r="KE91" s="16"/>
      <c r="KF91" s="16" t="s">
        <v>20</v>
      </c>
      <c r="KG91" s="16"/>
      <c r="KH91" s="16"/>
      <c r="KI91" s="16"/>
      <c r="KJ91" s="17"/>
      <c r="KN91" s="17"/>
      <c r="KO91" s="60"/>
      <c r="KP91" s="16"/>
      <c r="KQ91" s="16" t="s">
        <v>20</v>
      </c>
      <c r="KR91" s="16"/>
      <c r="KS91" s="16"/>
      <c r="KT91" s="16"/>
      <c r="KU91" s="17"/>
      <c r="KY91" s="17"/>
      <c r="KZ91" s="60"/>
      <c r="LA91" s="16"/>
      <c r="LB91" s="16" t="s">
        <v>20</v>
      </c>
      <c r="LC91" s="16"/>
      <c r="LD91" s="16"/>
      <c r="LE91" s="16"/>
      <c r="LF91" s="17"/>
      <c r="LJ91" s="17"/>
      <c r="LK91" s="60"/>
      <c r="LL91" s="16"/>
      <c r="LM91" s="16" t="s">
        <v>20</v>
      </c>
      <c r="LN91" s="16"/>
      <c r="LO91" s="16"/>
      <c r="LP91" s="16"/>
      <c r="LQ91" s="17"/>
    </row>
    <row r="92">
      <c r="C92" s="62"/>
      <c r="D92" s="61"/>
      <c r="E92" s="16"/>
      <c r="F92" s="16"/>
      <c r="G92" s="21"/>
      <c r="H92" s="16"/>
      <c r="I92" s="16"/>
      <c r="J92" s="17"/>
      <c r="N92" s="17"/>
      <c r="O92" s="61"/>
      <c r="P92" s="16"/>
      <c r="Q92" s="16" t="s">
        <v>20</v>
      </c>
      <c r="R92" s="16"/>
      <c r="S92" s="16"/>
      <c r="T92" s="16"/>
      <c r="U92" s="17"/>
      <c r="Y92" s="66">
        <v>86</v>
      </c>
      <c r="Z92" s="61">
        <v>26372</v>
      </c>
      <c r="AA92" s="16" t="s">
        <v>20</v>
      </c>
      <c r="AB92" s="16" t="s">
        <v>20</v>
      </c>
      <c r="AC92" s="16" t="s">
        <v>20</v>
      </c>
      <c r="AD92" s="16" t="s">
        <v>20</v>
      </c>
      <c r="AE92" s="16" t="s">
        <v>20</v>
      </c>
      <c r="AF92" s="17"/>
      <c r="AJ92" s="17">
        <v>86</v>
      </c>
      <c r="AK92" s="61">
        <v>26082</v>
      </c>
      <c r="AL92" s="16">
        <v>0</v>
      </c>
      <c r="AM92" s="16">
        <v>23.000000001629815</v>
      </c>
      <c r="AN92" s="16" t="s">
        <v>20</v>
      </c>
      <c r="AO92" s="16">
        <v>4.5</v>
      </c>
      <c r="AP92" s="16">
        <v>2.1</v>
      </c>
      <c r="AQ92" s="17"/>
      <c r="AU92" s="17">
        <v>86</v>
      </c>
      <c r="AV92" s="61">
        <v>25702</v>
      </c>
      <c r="AW92" s="16" t="s">
        <v>20</v>
      </c>
      <c r="AX92" s="16" t="s">
        <v>20</v>
      </c>
      <c r="AY92" s="16"/>
      <c r="AZ92" s="16" t="s">
        <v>20</v>
      </c>
      <c r="BA92" s="16" t="s">
        <v>20</v>
      </c>
      <c r="BB92" s="17"/>
      <c r="BF92" s="17">
        <v>86</v>
      </c>
      <c r="BG92" s="61">
        <v>26225</v>
      </c>
      <c r="BH92" s="16" t="s">
        <v>20</v>
      </c>
      <c r="BI92" s="16" t="s">
        <v>20</v>
      </c>
      <c r="BJ92" s="16" t="s">
        <v>20</v>
      </c>
      <c r="BK92" s="16" t="s">
        <v>20</v>
      </c>
      <c r="BL92" s="16" t="s">
        <v>20</v>
      </c>
      <c r="BM92" s="17"/>
      <c r="BQ92" s="17">
        <v>86</v>
      </c>
      <c r="BR92" s="61">
        <v>25927</v>
      </c>
      <c r="BS92" s="16">
        <v>6.0000000000000053</v>
      </c>
      <c r="BT92" s="16">
        <v>22.000000007450581</v>
      </c>
      <c r="BU92" s="16" t="s">
        <v>20</v>
      </c>
      <c r="BV92" s="16">
        <v>4.75</v>
      </c>
      <c r="BW92" s="16">
        <v>3.2</v>
      </c>
      <c r="BX92" s="17"/>
      <c r="CB92" s="17"/>
      <c r="CC92" s="61"/>
      <c r="CD92" s="16"/>
      <c r="CE92" s="16"/>
      <c r="CF92" s="16"/>
      <c r="CG92" s="16"/>
      <c r="CH92" s="16"/>
      <c r="CI92" s="17"/>
      <c r="CM92" s="17"/>
      <c r="CN92" s="61"/>
      <c r="CO92" s="16"/>
      <c r="CP92" s="16" t="s">
        <v>20</v>
      </c>
      <c r="CQ92" s="16"/>
      <c r="CR92" s="16"/>
      <c r="CS92" s="16"/>
      <c r="CT92" s="17"/>
      <c r="CX92" s="17"/>
      <c r="CY92" s="60"/>
      <c r="CZ92" s="16"/>
      <c r="DA92" s="16" t="s">
        <v>20</v>
      </c>
      <c r="DB92" s="16"/>
      <c r="DC92" s="16"/>
      <c r="DD92" s="16"/>
      <c r="DE92" s="17"/>
      <c r="DI92" s="17">
        <v>86</v>
      </c>
      <c r="DJ92" s="60">
        <v>26776</v>
      </c>
      <c r="DK92" s="16" t="s">
        <v>20</v>
      </c>
      <c r="DL92" s="16" t="s">
        <v>20</v>
      </c>
      <c r="DM92" s="16" t="s">
        <v>20</v>
      </c>
      <c r="DN92" s="16" t="s">
        <v>20</v>
      </c>
      <c r="DO92" s="16" t="s">
        <v>20</v>
      </c>
      <c r="DP92" s="17"/>
      <c r="DT92" s="17"/>
      <c r="DU92" s="60"/>
      <c r="DV92" s="16"/>
      <c r="DW92" s="16" t="s">
        <v>20</v>
      </c>
      <c r="DX92" s="16"/>
      <c r="DY92" s="16"/>
      <c r="DZ92" s="16"/>
      <c r="EA92" s="17"/>
      <c r="EE92" s="17"/>
      <c r="EF92" s="60"/>
      <c r="EG92" s="16"/>
      <c r="EH92" s="16" t="s">
        <v>20</v>
      </c>
      <c r="EI92" s="16"/>
      <c r="EJ92" s="16"/>
      <c r="EK92" s="16"/>
      <c r="EL92" s="17"/>
      <c r="EP92" s="17">
        <v>86</v>
      </c>
      <c r="EQ92" s="60">
        <v>26221</v>
      </c>
      <c r="ER92" s="16" t="s">
        <v>20</v>
      </c>
      <c r="ES92" s="16" t="s">
        <v>20</v>
      </c>
      <c r="ET92" s="16" t="s">
        <v>20</v>
      </c>
      <c r="EU92" s="16" t="s">
        <v>20</v>
      </c>
      <c r="EV92" s="16" t="s">
        <v>20</v>
      </c>
      <c r="EW92" s="17"/>
      <c r="FA92" s="17"/>
      <c r="FB92" s="60"/>
      <c r="FC92" s="16"/>
      <c r="FD92" s="16" t="s">
        <v>20</v>
      </c>
      <c r="FE92" s="16"/>
      <c r="FF92" s="16"/>
      <c r="FG92" s="16"/>
      <c r="FH92" s="17"/>
      <c r="FL92" s="17"/>
      <c r="FM92" s="60"/>
      <c r="FN92" s="16"/>
      <c r="FO92" s="16" t="s">
        <v>20</v>
      </c>
      <c r="FP92" s="16"/>
      <c r="FQ92" s="16"/>
      <c r="FR92" s="16"/>
      <c r="FS92" s="17"/>
      <c r="FW92" s="17">
        <v>86</v>
      </c>
      <c r="FX92" s="60">
        <v>29048</v>
      </c>
      <c r="FY92" s="16" t="s">
        <v>20</v>
      </c>
      <c r="FZ92" s="16" t="s">
        <v>20</v>
      </c>
      <c r="GA92" s="16" t="s">
        <v>20</v>
      </c>
      <c r="GB92" s="16" t="s">
        <v>20</v>
      </c>
      <c r="GC92" s="16" t="s">
        <v>20</v>
      </c>
      <c r="GD92" s="17"/>
      <c r="GH92" s="17"/>
      <c r="GI92" s="60"/>
      <c r="GJ92" s="16"/>
      <c r="GK92" s="16" t="s">
        <v>20</v>
      </c>
      <c r="GL92" s="16"/>
      <c r="GM92" s="16"/>
      <c r="GN92" s="16"/>
      <c r="GO92" s="17"/>
      <c r="GS92" s="17"/>
      <c r="GT92" s="60"/>
      <c r="GU92" s="16"/>
      <c r="GV92" s="16" t="s">
        <v>20</v>
      </c>
      <c r="GW92" s="16"/>
      <c r="GX92" s="16"/>
      <c r="GY92" s="16"/>
      <c r="GZ92" s="17"/>
      <c r="HD92" s="17"/>
      <c r="HE92" s="60"/>
      <c r="HF92" s="16"/>
      <c r="HG92" s="16" t="s">
        <v>20</v>
      </c>
      <c r="HH92" s="16"/>
      <c r="HI92" s="16"/>
      <c r="HJ92" s="16"/>
      <c r="HK92" s="17"/>
      <c r="HO92" s="17"/>
      <c r="HP92" s="60"/>
      <c r="HQ92" s="16"/>
      <c r="HR92" s="16" t="s">
        <v>20</v>
      </c>
      <c r="HS92" s="16"/>
      <c r="HT92" s="16"/>
      <c r="HU92" s="16"/>
      <c r="HV92" s="17"/>
      <c r="HZ92" s="17"/>
      <c r="IA92" s="60"/>
      <c r="IB92" s="16"/>
      <c r="IC92" s="16" t="s">
        <v>20</v>
      </c>
      <c r="ID92" s="16"/>
      <c r="IE92" s="16"/>
      <c r="IF92" s="16"/>
      <c r="IG92" s="17"/>
      <c r="IK92" s="17"/>
      <c r="IL92" s="60"/>
      <c r="IM92" s="16"/>
      <c r="IN92" s="16" t="s">
        <v>20</v>
      </c>
      <c r="IO92" s="16"/>
      <c r="IP92" s="16"/>
      <c r="IQ92" s="16"/>
      <c r="IR92" s="17"/>
      <c r="IV92" s="17"/>
      <c r="IW92" s="60"/>
      <c r="IX92" s="16"/>
      <c r="IY92" s="16" t="s">
        <v>20</v>
      </c>
      <c r="IZ92" s="16"/>
      <c r="JA92" s="16"/>
      <c r="JB92" s="16"/>
      <c r="JC92" s="17"/>
      <c r="JG92" s="17"/>
      <c r="JH92" s="60"/>
      <c r="JI92" s="16"/>
      <c r="JJ92" s="16" t="s">
        <v>20</v>
      </c>
      <c r="JK92" s="16"/>
      <c r="JL92" s="16"/>
      <c r="JM92" s="16"/>
      <c r="JN92" s="17"/>
      <c r="JR92" s="17"/>
      <c r="JS92" s="60"/>
      <c r="JT92" s="16"/>
      <c r="JU92" s="16" t="s">
        <v>20</v>
      </c>
      <c r="JV92" s="16"/>
      <c r="JW92" s="16"/>
      <c r="JX92" s="16"/>
      <c r="JY92" s="17"/>
      <c r="KC92" s="17"/>
      <c r="KD92" s="60"/>
      <c r="KE92" s="16"/>
      <c r="KF92" s="16" t="s">
        <v>20</v>
      </c>
      <c r="KG92" s="16"/>
      <c r="KH92" s="16"/>
      <c r="KI92" s="16"/>
      <c r="KJ92" s="17"/>
      <c r="KN92" s="17"/>
      <c r="KO92" s="60"/>
      <c r="KP92" s="16"/>
      <c r="KQ92" s="16" t="s">
        <v>20</v>
      </c>
      <c r="KR92" s="16"/>
      <c r="KS92" s="16"/>
      <c r="KT92" s="16"/>
      <c r="KU92" s="17"/>
      <c r="KY92" s="17"/>
      <c r="KZ92" s="60"/>
      <c r="LA92" s="16"/>
      <c r="LB92" s="16" t="s">
        <v>20</v>
      </c>
      <c r="LC92" s="16"/>
      <c r="LD92" s="16"/>
      <c r="LE92" s="16"/>
      <c r="LF92" s="17"/>
      <c r="LJ92" s="17"/>
      <c r="LK92" s="60"/>
      <c r="LL92" s="16"/>
      <c r="LM92" s="16" t="s">
        <v>20</v>
      </c>
      <c r="LN92" s="16"/>
      <c r="LO92" s="16"/>
      <c r="LP92" s="16"/>
      <c r="LQ92" s="17"/>
    </row>
    <row r="93">
      <c r="C93" s="62"/>
      <c r="D93" s="61"/>
      <c r="E93" s="16"/>
      <c r="F93" s="16"/>
      <c r="G93" s="21"/>
      <c r="H93" s="16"/>
      <c r="I93" s="16"/>
      <c r="J93" s="17"/>
      <c r="N93" s="17"/>
      <c r="O93" s="61"/>
      <c r="P93" s="16"/>
      <c r="Q93" s="16" t="s">
        <v>20</v>
      </c>
      <c r="R93" s="16"/>
      <c r="S93" s="16"/>
      <c r="T93" s="16"/>
      <c r="U93" s="17"/>
      <c r="Y93" s="66">
        <v>87</v>
      </c>
      <c r="Z93" s="61">
        <v>26573</v>
      </c>
      <c r="AA93" s="16" t="s">
        <v>20</v>
      </c>
      <c r="AB93" s="16" t="s">
        <v>20</v>
      </c>
      <c r="AC93" s="16" t="s">
        <v>20</v>
      </c>
      <c r="AD93" s="16" t="s">
        <v>20</v>
      </c>
      <c r="AE93" s="16" t="s">
        <v>20</v>
      </c>
      <c r="AF93" s="17"/>
      <c r="AJ93" s="17">
        <v>87</v>
      </c>
      <c r="AK93" s="61">
        <v>26284</v>
      </c>
      <c r="AL93" s="16">
        <v>0</v>
      </c>
      <c r="AM93" s="16">
        <v>18.999999999068677</v>
      </c>
      <c r="AN93" s="16" t="s">
        <v>20</v>
      </c>
      <c r="AO93" s="16">
        <v>4.5</v>
      </c>
      <c r="AP93" s="16">
        <v>2.3</v>
      </c>
      <c r="AQ93" s="17"/>
      <c r="AU93" s="17">
        <v>87</v>
      </c>
      <c r="AV93" s="61">
        <v>25904</v>
      </c>
      <c r="AW93" s="16" t="s">
        <v>20</v>
      </c>
      <c r="AX93" s="16" t="s">
        <v>20</v>
      </c>
      <c r="AY93" s="16"/>
      <c r="AZ93" s="16" t="s">
        <v>20</v>
      </c>
      <c r="BA93" s="16" t="s">
        <v>20</v>
      </c>
      <c r="BB93" s="17"/>
      <c r="BF93" s="17">
        <v>87</v>
      </c>
      <c r="BG93" s="61">
        <v>26427</v>
      </c>
      <c r="BH93" s="16" t="s">
        <v>20</v>
      </c>
      <c r="BI93" s="16" t="s">
        <v>20</v>
      </c>
      <c r="BJ93" s="16" t="s">
        <v>20</v>
      </c>
      <c r="BK93" s="16" t="s">
        <v>20</v>
      </c>
      <c r="BL93" s="16" t="s">
        <v>20</v>
      </c>
      <c r="BM93" s="17"/>
      <c r="BQ93" s="17">
        <v>87</v>
      </c>
      <c r="BR93" s="61">
        <v>26128</v>
      </c>
      <c r="BS93" s="16">
        <v>2.9999999999999947</v>
      </c>
      <c r="BT93" s="16">
        <v>22.99999999650754</v>
      </c>
      <c r="BU93" s="16" t="s">
        <v>20</v>
      </c>
      <c r="BV93" s="16">
        <v>4.75</v>
      </c>
      <c r="BW93" s="16">
        <v>2.5</v>
      </c>
      <c r="BX93" s="17"/>
      <c r="CB93" s="17"/>
      <c r="CC93" s="61"/>
      <c r="CD93" s="16"/>
      <c r="CE93" s="16"/>
      <c r="CF93" s="16"/>
      <c r="CG93" s="16"/>
      <c r="CH93" s="16"/>
      <c r="CI93" s="17"/>
      <c r="CM93" s="17"/>
      <c r="CN93" s="61"/>
      <c r="CO93" s="16"/>
      <c r="CP93" s="16" t="s">
        <v>20</v>
      </c>
      <c r="CQ93" s="16"/>
      <c r="CR93" s="16"/>
      <c r="CS93" s="16"/>
      <c r="CT93" s="17"/>
      <c r="CX93" s="17"/>
      <c r="CY93" s="60"/>
      <c r="CZ93" s="16"/>
      <c r="DA93" s="16" t="s">
        <v>20</v>
      </c>
      <c r="DB93" s="16"/>
      <c r="DC93" s="16"/>
      <c r="DD93" s="16"/>
      <c r="DE93" s="17"/>
      <c r="DI93" s="17">
        <v>87</v>
      </c>
      <c r="DJ93" s="60">
        <v>26978</v>
      </c>
      <c r="DK93" s="16" t="s">
        <v>20</v>
      </c>
      <c r="DL93" s="16" t="s">
        <v>20</v>
      </c>
      <c r="DM93" s="16" t="s">
        <v>20</v>
      </c>
      <c r="DN93" s="16" t="s">
        <v>20</v>
      </c>
      <c r="DO93" s="16" t="s">
        <v>20</v>
      </c>
      <c r="DP93" s="17"/>
      <c r="DT93" s="17"/>
      <c r="DU93" s="60"/>
      <c r="DV93" s="16"/>
      <c r="DW93" s="16" t="s">
        <v>20</v>
      </c>
      <c r="DX93" s="16"/>
      <c r="DY93" s="16"/>
      <c r="DZ93" s="16"/>
      <c r="EA93" s="17"/>
      <c r="EE93" s="17"/>
      <c r="EF93" s="60"/>
      <c r="EG93" s="16"/>
      <c r="EH93" s="16" t="s">
        <v>20</v>
      </c>
      <c r="EI93" s="16"/>
      <c r="EJ93" s="16"/>
      <c r="EK93" s="16"/>
      <c r="EL93" s="17"/>
      <c r="EP93" s="17">
        <v>87</v>
      </c>
      <c r="EQ93" s="60">
        <v>26423</v>
      </c>
      <c r="ER93" s="16" t="s">
        <v>20</v>
      </c>
      <c r="ES93" s="16" t="s">
        <v>20</v>
      </c>
      <c r="ET93" s="16" t="s">
        <v>20</v>
      </c>
      <c r="EU93" s="16" t="s">
        <v>20</v>
      </c>
      <c r="EV93" s="16" t="s">
        <v>20</v>
      </c>
      <c r="EW93" s="17"/>
      <c r="FA93" s="17"/>
      <c r="FB93" s="60"/>
      <c r="FC93" s="16"/>
      <c r="FD93" s="16" t="s">
        <v>20</v>
      </c>
      <c r="FE93" s="16"/>
      <c r="FF93" s="16"/>
      <c r="FG93" s="16"/>
      <c r="FH93" s="17"/>
      <c r="FL93" s="17"/>
      <c r="FM93" s="60"/>
      <c r="FN93" s="16"/>
      <c r="FO93" s="16" t="s">
        <v>20</v>
      </c>
      <c r="FP93" s="16"/>
      <c r="FQ93" s="16"/>
      <c r="FR93" s="16"/>
      <c r="FS93" s="17"/>
      <c r="FW93" s="17">
        <v>87</v>
      </c>
      <c r="FX93" s="60">
        <v>29289</v>
      </c>
      <c r="FY93" s="16" t="s">
        <v>20</v>
      </c>
      <c r="FZ93" s="16" t="s">
        <v>20</v>
      </c>
      <c r="GA93" s="16" t="s">
        <v>20</v>
      </c>
      <c r="GB93" s="16" t="s">
        <v>20</v>
      </c>
      <c r="GC93" s="16" t="s">
        <v>20</v>
      </c>
      <c r="GD93" s="17"/>
      <c r="GH93" s="17"/>
      <c r="GI93" s="60"/>
      <c r="GJ93" s="16"/>
      <c r="GK93" s="16" t="s">
        <v>20</v>
      </c>
      <c r="GL93" s="16"/>
      <c r="GM93" s="16"/>
      <c r="GN93" s="16"/>
      <c r="GO93" s="17"/>
      <c r="GS93" s="17"/>
      <c r="GT93" s="60"/>
      <c r="GU93" s="16"/>
      <c r="GV93" s="16" t="s">
        <v>20</v>
      </c>
      <c r="GW93" s="16"/>
      <c r="GX93" s="16"/>
      <c r="GY93" s="16"/>
      <c r="GZ93" s="17"/>
      <c r="HD93" s="17"/>
      <c r="HE93" s="60"/>
      <c r="HF93" s="16"/>
      <c r="HG93" s="16" t="s">
        <v>20</v>
      </c>
      <c r="HH93" s="16"/>
      <c r="HI93" s="16"/>
      <c r="HJ93" s="16"/>
      <c r="HK93" s="17"/>
      <c r="HO93" s="17"/>
      <c r="HP93" s="60"/>
      <c r="HQ93" s="16"/>
      <c r="HR93" s="16" t="s">
        <v>20</v>
      </c>
      <c r="HS93" s="16"/>
      <c r="HT93" s="16"/>
      <c r="HU93" s="16"/>
      <c r="HV93" s="17"/>
      <c r="HZ93" s="17"/>
      <c r="IA93" s="60"/>
      <c r="IB93" s="16"/>
      <c r="IC93" s="16" t="s">
        <v>20</v>
      </c>
      <c r="ID93" s="16"/>
      <c r="IE93" s="16"/>
      <c r="IF93" s="16"/>
      <c r="IG93" s="17"/>
      <c r="IK93" s="17"/>
      <c r="IL93" s="60"/>
      <c r="IM93" s="16"/>
      <c r="IN93" s="16" t="s">
        <v>20</v>
      </c>
      <c r="IO93" s="16"/>
      <c r="IP93" s="16"/>
      <c r="IQ93" s="16"/>
      <c r="IR93" s="17"/>
      <c r="IV93" s="17"/>
      <c r="IW93" s="60"/>
      <c r="IX93" s="16"/>
      <c r="IY93" s="16" t="s">
        <v>20</v>
      </c>
      <c r="IZ93" s="16"/>
      <c r="JA93" s="16"/>
      <c r="JB93" s="16"/>
      <c r="JC93" s="17"/>
      <c r="JG93" s="17"/>
      <c r="JH93" s="60"/>
      <c r="JI93" s="16"/>
      <c r="JJ93" s="16" t="s">
        <v>20</v>
      </c>
      <c r="JK93" s="16"/>
      <c r="JL93" s="16"/>
      <c r="JM93" s="16"/>
      <c r="JN93" s="17"/>
      <c r="JR93" s="17"/>
      <c r="JS93" s="60"/>
      <c r="JT93" s="16"/>
      <c r="JU93" s="16" t="s">
        <v>20</v>
      </c>
      <c r="JV93" s="16"/>
      <c r="JW93" s="16"/>
      <c r="JX93" s="16"/>
      <c r="JY93" s="17"/>
      <c r="KC93" s="17"/>
      <c r="KD93" s="60"/>
      <c r="KE93" s="16"/>
      <c r="KF93" s="16" t="s">
        <v>20</v>
      </c>
      <c r="KG93" s="16"/>
      <c r="KH93" s="16"/>
      <c r="KI93" s="16"/>
      <c r="KJ93" s="17"/>
      <c r="KN93" s="17"/>
      <c r="KO93" s="60"/>
      <c r="KP93" s="16"/>
      <c r="KQ93" s="16" t="s">
        <v>20</v>
      </c>
      <c r="KR93" s="16"/>
      <c r="KS93" s="16"/>
      <c r="KT93" s="16"/>
      <c r="KU93" s="17"/>
      <c r="KY93" s="17"/>
      <c r="KZ93" s="60"/>
      <c r="LA93" s="16"/>
      <c r="LB93" s="16" t="s">
        <v>20</v>
      </c>
      <c r="LC93" s="16"/>
      <c r="LD93" s="16"/>
      <c r="LE93" s="16"/>
      <c r="LF93" s="17"/>
      <c r="LJ93" s="17"/>
      <c r="LK93" s="60"/>
      <c r="LL93" s="16"/>
      <c r="LM93" s="16" t="s">
        <v>20</v>
      </c>
      <c r="LN93" s="16"/>
      <c r="LO93" s="16"/>
      <c r="LP93" s="16"/>
      <c r="LQ93" s="17"/>
    </row>
    <row r="94">
      <c r="C94" s="62"/>
      <c r="D94" s="61"/>
      <c r="E94" s="16"/>
      <c r="F94" s="16"/>
      <c r="G94" s="21"/>
      <c r="H94" s="16"/>
      <c r="I94" s="16"/>
      <c r="J94" s="17"/>
      <c r="N94" s="17"/>
      <c r="O94" s="61"/>
      <c r="P94" s="16"/>
      <c r="Q94" s="16" t="s">
        <v>20</v>
      </c>
      <c r="R94" s="16"/>
      <c r="S94" s="16"/>
      <c r="T94" s="16"/>
      <c r="U94" s="17"/>
      <c r="Y94" s="66">
        <v>88</v>
      </c>
      <c r="Z94" s="61">
        <v>26774</v>
      </c>
      <c r="AA94" s="16" t="s">
        <v>20</v>
      </c>
      <c r="AB94" s="16" t="s">
        <v>20</v>
      </c>
      <c r="AC94" s="16" t="s">
        <v>20</v>
      </c>
      <c r="AD94" s="16" t="s">
        <v>20</v>
      </c>
      <c r="AE94" s="16" t="s">
        <v>20</v>
      </c>
      <c r="AF94" s="17"/>
      <c r="AJ94" s="17">
        <v>88</v>
      </c>
      <c r="AK94" s="61">
        <v>26486</v>
      </c>
      <c r="AL94" s="16">
        <v>0</v>
      </c>
      <c r="AM94" s="16">
        <v>17.999999995809048</v>
      </c>
      <c r="AN94" s="16" t="s">
        <v>20</v>
      </c>
      <c r="AO94" s="16">
        <v>4.5</v>
      </c>
      <c r="AP94" s="16">
        <v>2.7</v>
      </c>
      <c r="AQ94" s="17"/>
      <c r="AU94" s="17">
        <v>88</v>
      </c>
      <c r="AV94" s="61">
        <v>26105</v>
      </c>
      <c r="AW94" s="16" t="s">
        <v>20</v>
      </c>
      <c r="AX94" s="16" t="s">
        <v>20</v>
      </c>
      <c r="AY94" s="16"/>
      <c r="AZ94" s="16" t="s">
        <v>20</v>
      </c>
      <c r="BA94" s="16" t="s">
        <v>20</v>
      </c>
      <c r="BB94" s="17"/>
      <c r="BF94" s="17">
        <v>88</v>
      </c>
      <c r="BG94" s="61">
        <v>26628</v>
      </c>
      <c r="BH94" s="16" t="s">
        <v>20</v>
      </c>
      <c r="BI94" s="16" t="s">
        <v>20</v>
      </c>
      <c r="BJ94" s="16" t="s">
        <v>20</v>
      </c>
      <c r="BK94" s="16" t="s">
        <v>20</v>
      </c>
      <c r="BL94" s="16" t="s">
        <v>20</v>
      </c>
      <c r="BM94" s="17"/>
      <c r="BQ94" s="17">
        <v>88</v>
      </c>
      <c r="BR94" s="61">
        <v>26328</v>
      </c>
      <c r="BS94" s="16">
        <v>0</v>
      </c>
      <c r="BT94" s="16">
        <v>15.999999999767169</v>
      </c>
      <c r="BU94" s="16" t="s">
        <v>20</v>
      </c>
      <c r="BV94" s="16">
        <v>4.75</v>
      </c>
      <c r="BW94" s="16">
        <v>1.8</v>
      </c>
      <c r="BX94" s="17"/>
      <c r="CB94" s="17"/>
      <c r="CC94" s="61"/>
      <c r="CD94" s="16"/>
      <c r="CE94" s="16"/>
      <c r="CF94" s="16"/>
      <c r="CG94" s="16"/>
      <c r="CH94" s="16"/>
      <c r="CI94" s="17"/>
      <c r="CM94" s="17"/>
      <c r="CN94" s="61"/>
      <c r="CO94" s="16"/>
      <c r="CP94" s="16" t="s">
        <v>20</v>
      </c>
      <c r="CQ94" s="16"/>
      <c r="CR94" s="16"/>
      <c r="CS94" s="16"/>
      <c r="CT94" s="17"/>
      <c r="CX94" s="17"/>
      <c r="CY94" s="60"/>
      <c r="CZ94" s="16"/>
      <c r="DA94" s="16" t="s">
        <v>20</v>
      </c>
      <c r="DB94" s="16"/>
      <c r="DC94" s="16"/>
      <c r="DD94" s="16"/>
      <c r="DE94" s="17"/>
      <c r="DI94" s="17">
        <v>88</v>
      </c>
      <c r="DJ94" s="60">
        <v>27179</v>
      </c>
      <c r="DK94" s="16" t="s">
        <v>20</v>
      </c>
      <c r="DL94" s="16" t="s">
        <v>20</v>
      </c>
      <c r="DM94" s="16" t="s">
        <v>20</v>
      </c>
      <c r="DN94" s="16" t="s">
        <v>20</v>
      </c>
      <c r="DO94" s="16" t="s">
        <v>20</v>
      </c>
      <c r="DP94" s="17"/>
      <c r="DT94" s="17"/>
      <c r="DU94" s="60"/>
      <c r="DV94" s="16"/>
      <c r="DW94" s="16" t="s">
        <v>20</v>
      </c>
      <c r="DX94" s="16"/>
      <c r="DY94" s="16"/>
      <c r="DZ94" s="16"/>
      <c r="EA94" s="17"/>
      <c r="EE94" s="17"/>
      <c r="EF94" s="60"/>
      <c r="EG94" s="16"/>
      <c r="EH94" s="16" t="s">
        <v>20</v>
      </c>
      <c r="EI94" s="16"/>
      <c r="EJ94" s="16"/>
      <c r="EK94" s="16"/>
      <c r="EL94" s="17"/>
      <c r="EP94" s="17">
        <v>88</v>
      </c>
      <c r="EQ94" s="60">
        <v>26624</v>
      </c>
      <c r="ER94" s="16" t="s">
        <v>20</v>
      </c>
      <c r="ES94" s="16" t="s">
        <v>20</v>
      </c>
      <c r="ET94" s="16" t="s">
        <v>20</v>
      </c>
      <c r="EU94" s="16" t="s">
        <v>20</v>
      </c>
      <c r="EV94" s="16" t="s">
        <v>20</v>
      </c>
      <c r="EW94" s="17"/>
      <c r="FA94" s="17"/>
      <c r="FB94" s="60"/>
      <c r="FC94" s="16"/>
      <c r="FD94" s="16" t="s">
        <v>20</v>
      </c>
      <c r="FE94" s="16"/>
      <c r="FF94" s="16"/>
      <c r="FG94" s="16"/>
      <c r="FH94" s="17"/>
      <c r="FL94" s="17"/>
      <c r="FM94" s="60"/>
      <c r="FN94" s="16"/>
      <c r="FO94" s="16" t="s">
        <v>20</v>
      </c>
      <c r="FP94" s="16"/>
      <c r="FQ94" s="16"/>
      <c r="FR94" s="16"/>
      <c r="FS94" s="17"/>
      <c r="FW94" s="17">
        <v>88</v>
      </c>
      <c r="FX94" s="60">
        <v>29530</v>
      </c>
      <c r="FY94" s="16" t="s">
        <v>20</v>
      </c>
      <c r="FZ94" s="16" t="s">
        <v>20</v>
      </c>
      <c r="GA94" s="16" t="s">
        <v>20</v>
      </c>
      <c r="GB94" s="16" t="s">
        <v>20</v>
      </c>
      <c r="GC94" s="16" t="s">
        <v>20</v>
      </c>
      <c r="GD94" s="17"/>
      <c r="GH94" s="17"/>
      <c r="GI94" s="60"/>
      <c r="GJ94" s="16"/>
      <c r="GK94" s="16" t="s">
        <v>20</v>
      </c>
      <c r="GL94" s="16"/>
      <c r="GM94" s="16"/>
      <c r="GN94" s="16"/>
      <c r="GO94" s="17"/>
      <c r="GS94" s="17"/>
      <c r="GT94" s="60"/>
      <c r="GU94" s="16"/>
      <c r="GV94" s="16" t="s">
        <v>20</v>
      </c>
      <c r="GW94" s="16"/>
      <c r="GX94" s="16"/>
      <c r="GY94" s="16"/>
      <c r="GZ94" s="17"/>
      <c r="HD94" s="17"/>
      <c r="HE94" s="60"/>
      <c r="HF94" s="16"/>
      <c r="HG94" s="16" t="s">
        <v>20</v>
      </c>
      <c r="HH94" s="16"/>
      <c r="HI94" s="16"/>
      <c r="HJ94" s="16"/>
      <c r="HK94" s="17"/>
      <c r="HO94" s="17"/>
      <c r="HP94" s="60"/>
      <c r="HQ94" s="16"/>
      <c r="HR94" s="16" t="s">
        <v>20</v>
      </c>
      <c r="HS94" s="16"/>
      <c r="HT94" s="16"/>
      <c r="HU94" s="16"/>
      <c r="HV94" s="17"/>
      <c r="HZ94" s="17"/>
      <c r="IA94" s="60"/>
      <c r="IB94" s="16"/>
      <c r="IC94" s="16" t="s">
        <v>20</v>
      </c>
      <c r="ID94" s="16"/>
      <c r="IE94" s="16"/>
      <c r="IF94" s="16"/>
      <c r="IG94" s="17"/>
      <c r="IK94" s="17"/>
      <c r="IL94" s="60"/>
      <c r="IM94" s="16"/>
      <c r="IN94" s="16" t="s">
        <v>20</v>
      </c>
      <c r="IO94" s="16"/>
      <c r="IP94" s="16"/>
      <c r="IQ94" s="16"/>
      <c r="IR94" s="17"/>
      <c r="IV94" s="17"/>
      <c r="IW94" s="60"/>
      <c r="IX94" s="16"/>
      <c r="IY94" s="16" t="s">
        <v>20</v>
      </c>
      <c r="IZ94" s="16"/>
      <c r="JA94" s="16"/>
      <c r="JB94" s="16"/>
      <c r="JC94" s="17"/>
      <c r="JG94" s="17"/>
      <c r="JH94" s="60"/>
      <c r="JI94" s="16"/>
      <c r="JJ94" s="16" t="s">
        <v>20</v>
      </c>
      <c r="JK94" s="16"/>
      <c r="JL94" s="16"/>
      <c r="JM94" s="16"/>
      <c r="JN94" s="17"/>
      <c r="JR94" s="17"/>
      <c r="JS94" s="60"/>
      <c r="JT94" s="16"/>
      <c r="JU94" s="16" t="s">
        <v>20</v>
      </c>
      <c r="JV94" s="16"/>
      <c r="JW94" s="16"/>
      <c r="JX94" s="16"/>
      <c r="JY94" s="17"/>
      <c r="KC94" s="17"/>
      <c r="KD94" s="60"/>
      <c r="KE94" s="16"/>
      <c r="KF94" s="16" t="s">
        <v>20</v>
      </c>
      <c r="KG94" s="16"/>
      <c r="KH94" s="16"/>
      <c r="KI94" s="16"/>
      <c r="KJ94" s="17"/>
      <c r="KN94" s="17"/>
      <c r="KO94" s="60"/>
      <c r="KP94" s="16"/>
      <c r="KQ94" s="16" t="s">
        <v>20</v>
      </c>
      <c r="KR94" s="16"/>
      <c r="KS94" s="16"/>
      <c r="KT94" s="16"/>
      <c r="KU94" s="17"/>
      <c r="KY94" s="17"/>
      <c r="KZ94" s="60"/>
      <c r="LA94" s="16"/>
      <c r="LB94" s="16" t="s">
        <v>20</v>
      </c>
      <c r="LC94" s="16"/>
      <c r="LD94" s="16"/>
      <c r="LE94" s="16"/>
      <c r="LF94" s="17"/>
      <c r="LJ94" s="17"/>
      <c r="LK94" s="60"/>
      <c r="LL94" s="16"/>
      <c r="LM94" s="16" t="s">
        <v>20</v>
      </c>
      <c r="LN94" s="16"/>
      <c r="LO94" s="16"/>
      <c r="LP94" s="16"/>
      <c r="LQ94" s="17"/>
    </row>
    <row r="95">
      <c r="C95" s="62"/>
      <c r="D95" s="61"/>
      <c r="E95" s="16"/>
      <c r="F95" s="16"/>
      <c r="G95" s="21"/>
      <c r="H95" s="16"/>
      <c r="I95" s="16"/>
      <c r="J95" s="17"/>
      <c r="N95" s="17"/>
      <c r="O95" s="61"/>
      <c r="P95" s="16"/>
      <c r="Q95" s="16" t="s">
        <v>20</v>
      </c>
      <c r="R95" s="16"/>
      <c r="S95" s="16"/>
      <c r="T95" s="16"/>
      <c r="U95" s="17"/>
      <c r="Y95" s="66">
        <v>89</v>
      </c>
      <c r="Z95" s="61">
        <v>26974</v>
      </c>
      <c r="AA95" s="16" t="s">
        <v>20</v>
      </c>
      <c r="AB95" s="16" t="s">
        <v>20</v>
      </c>
      <c r="AC95" s="16" t="s">
        <v>20</v>
      </c>
      <c r="AD95" s="16" t="s">
        <v>20</v>
      </c>
      <c r="AE95" s="16" t="s">
        <v>20</v>
      </c>
      <c r="AF95" s="17"/>
      <c r="AJ95" s="17">
        <v>89</v>
      </c>
      <c r="AK95" s="61">
        <v>26687</v>
      </c>
      <c r="AL95" s="16">
        <v>0</v>
      </c>
      <c r="AM95" s="16">
        <v>26.000000000931323</v>
      </c>
      <c r="AN95" s="16" t="s">
        <v>20</v>
      </c>
      <c r="AO95" s="16">
        <v>4.5</v>
      </c>
      <c r="AP95" s="16">
        <v>2.6</v>
      </c>
      <c r="AQ95" s="17"/>
      <c r="AU95" s="17">
        <v>89</v>
      </c>
      <c r="AV95" s="61">
        <v>26306</v>
      </c>
      <c r="AW95" s="16" t="s">
        <v>20</v>
      </c>
      <c r="AX95" s="16" t="s">
        <v>20</v>
      </c>
      <c r="AY95" s="16"/>
      <c r="AZ95" s="16" t="s">
        <v>20</v>
      </c>
      <c r="BA95" s="16" t="s">
        <v>20</v>
      </c>
      <c r="BB95" s="17"/>
      <c r="BF95" s="17">
        <v>89</v>
      </c>
      <c r="BG95" s="61">
        <v>26830</v>
      </c>
      <c r="BH95" s="16" t="s">
        <v>20</v>
      </c>
      <c r="BI95" s="16" t="s">
        <v>20</v>
      </c>
      <c r="BJ95" s="16" t="s">
        <v>20</v>
      </c>
      <c r="BK95" s="16" t="s">
        <v>20</v>
      </c>
      <c r="BL95" s="16" t="s">
        <v>20</v>
      </c>
      <c r="BM95" s="17"/>
      <c r="BQ95" s="17">
        <v>89</v>
      </c>
      <c r="BR95" s="61">
        <v>26529</v>
      </c>
      <c r="BS95" s="16">
        <v>0</v>
      </c>
      <c r="BT95" s="16">
        <v>14.99999999650754</v>
      </c>
      <c r="BU95" s="16" t="s">
        <v>20</v>
      </c>
      <c r="BV95" s="16">
        <v>4.5</v>
      </c>
      <c r="BW95" s="16">
        <v>2</v>
      </c>
      <c r="BX95" s="17"/>
      <c r="CB95" s="17"/>
      <c r="CC95" s="61"/>
      <c r="CD95" s="16"/>
      <c r="CE95" s="16"/>
      <c r="CF95" s="16"/>
      <c r="CG95" s="16"/>
      <c r="CH95" s="16"/>
      <c r="CI95" s="17"/>
      <c r="CM95" s="17"/>
      <c r="CN95" s="61" t="s">
        <v>20</v>
      </c>
      <c r="CO95" s="16"/>
      <c r="CP95" s="16" t="s">
        <v>20</v>
      </c>
      <c r="CQ95" s="16"/>
      <c r="CR95" s="16"/>
      <c r="CS95" s="16"/>
      <c r="CT95" s="17"/>
      <c r="CX95" s="17"/>
      <c r="CY95" s="60" t="s">
        <v>20</v>
      </c>
      <c r="CZ95" s="16"/>
      <c r="DA95" s="16" t="s">
        <v>20</v>
      </c>
      <c r="DB95" s="16"/>
      <c r="DC95" s="16"/>
      <c r="DD95" s="16"/>
      <c r="DE95" s="17"/>
      <c r="DI95" s="17">
        <v>89</v>
      </c>
      <c r="DJ95" s="60">
        <v>27380</v>
      </c>
      <c r="DK95" s="16" t="s">
        <v>20</v>
      </c>
      <c r="DL95" s="16" t="s">
        <v>20</v>
      </c>
      <c r="DM95" s="16" t="s">
        <v>20</v>
      </c>
      <c r="DN95" s="16" t="s">
        <v>20</v>
      </c>
      <c r="DO95" s="16" t="s">
        <v>20</v>
      </c>
      <c r="DP95" s="17"/>
      <c r="DT95" s="17"/>
      <c r="DU95" s="60" t="s">
        <v>20</v>
      </c>
      <c r="DV95" s="16"/>
      <c r="DW95" s="16" t="s">
        <v>20</v>
      </c>
      <c r="DX95" s="16"/>
      <c r="DY95" s="16"/>
      <c r="DZ95" s="16"/>
      <c r="EA95" s="17"/>
      <c r="EE95" s="17"/>
      <c r="EF95" s="60" t="s">
        <v>20</v>
      </c>
      <c r="EG95" s="16"/>
      <c r="EH95" s="16" t="s">
        <v>20</v>
      </c>
      <c r="EI95" s="16"/>
      <c r="EJ95" s="16"/>
      <c r="EK95" s="16"/>
      <c r="EL95" s="17"/>
      <c r="EP95" s="17">
        <v>89</v>
      </c>
      <c r="EQ95" s="60">
        <v>26826</v>
      </c>
      <c r="ER95" s="16" t="s">
        <v>20</v>
      </c>
      <c r="ES95" s="16" t="s">
        <v>20</v>
      </c>
      <c r="ET95" s="16" t="s">
        <v>20</v>
      </c>
      <c r="EU95" s="16" t="s">
        <v>20</v>
      </c>
      <c r="EV95" s="16" t="s">
        <v>20</v>
      </c>
      <c r="EW95" s="17"/>
      <c r="FA95" s="17"/>
      <c r="FB95" s="60" t="s">
        <v>20</v>
      </c>
      <c r="FC95" s="16"/>
      <c r="FD95" s="16" t="s">
        <v>20</v>
      </c>
      <c r="FE95" s="16"/>
      <c r="FF95" s="16"/>
      <c r="FG95" s="16"/>
      <c r="FH95" s="17"/>
      <c r="FL95" s="17"/>
      <c r="FM95" s="60" t="s">
        <v>20</v>
      </c>
      <c r="FN95" s="16"/>
      <c r="FO95" s="16" t="s">
        <v>20</v>
      </c>
      <c r="FP95" s="16"/>
      <c r="FQ95" s="16"/>
      <c r="FR95" s="16"/>
      <c r="FS95" s="17"/>
      <c r="FW95" s="17"/>
      <c r="FX95" s="60" t="s">
        <v>20</v>
      </c>
      <c r="FY95" s="16"/>
      <c r="FZ95" s="16" t="s">
        <v>20</v>
      </c>
      <c r="GA95" s="16"/>
      <c r="GB95" s="16"/>
      <c r="GC95" s="16"/>
      <c r="GD95" s="17"/>
      <c r="GH95" s="17"/>
      <c r="GI95" s="60" t="s">
        <v>20</v>
      </c>
      <c r="GJ95" s="16"/>
      <c r="GK95" s="16" t="s">
        <v>20</v>
      </c>
      <c r="GL95" s="16"/>
      <c r="GM95" s="16"/>
      <c r="GN95" s="16"/>
      <c r="GO95" s="17"/>
      <c r="GS95" s="17"/>
      <c r="GT95" s="60" t="s">
        <v>20</v>
      </c>
      <c r="GU95" s="16"/>
      <c r="GV95" s="16" t="s">
        <v>20</v>
      </c>
      <c r="GW95" s="16"/>
      <c r="GX95" s="16"/>
      <c r="GY95" s="16"/>
      <c r="GZ95" s="17"/>
      <c r="HD95" s="17"/>
      <c r="HE95" s="60" t="s">
        <v>20</v>
      </c>
      <c r="HF95" s="16"/>
      <c r="HG95" s="16" t="s">
        <v>20</v>
      </c>
      <c r="HH95" s="16"/>
      <c r="HI95" s="16"/>
      <c r="HJ95" s="16"/>
      <c r="HK95" s="17"/>
      <c r="HO95" s="17"/>
      <c r="HP95" s="60" t="s">
        <v>20</v>
      </c>
      <c r="HQ95" s="16"/>
      <c r="HR95" s="16" t="s">
        <v>20</v>
      </c>
      <c r="HS95" s="16"/>
      <c r="HT95" s="16"/>
      <c r="HU95" s="16"/>
      <c r="HV95" s="17"/>
      <c r="HZ95" s="17"/>
      <c r="IA95" s="60" t="s">
        <v>20</v>
      </c>
      <c r="IB95" s="16"/>
      <c r="IC95" s="16" t="s">
        <v>20</v>
      </c>
      <c r="ID95" s="16"/>
      <c r="IE95" s="16"/>
      <c r="IF95" s="16"/>
      <c r="IG95" s="17"/>
      <c r="IK95" s="17"/>
      <c r="IL95" s="60" t="s">
        <v>20</v>
      </c>
      <c r="IM95" s="16"/>
      <c r="IN95" s="16" t="s">
        <v>20</v>
      </c>
      <c r="IO95" s="16"/>
      <c r="IP95" s="16"/>
      <c r="IQ95" s="16"/>
      <c r="IR95" s="17"/>
      <c r="IV95" s="17"/>
      <c r="IW95" s="60" t="s">
        <v>20</v>
      </c>
      <c r="IX95" s="16"/>
      <c r="IY95" s="16" t="s">
        <v>20</v>
      </c>
      <c r="IZ95" s="16"/>
      <c r="JA95" s="16"/>
      <c r="JB95" s="16"/>
      <c r="JC95" s="17"/>
      <c r="JG95" s="17"/>
      <c r="JH95" s="60" t="s">
        <v>20</v>
      </c>
      <c r="JI95" s="16"/>
      <c r="JJ95" s="16" t="s">
        <v>20</v>
      </c>
      <c r="JK95" s="16"/>
      <c r="JL95" s="16"/>
      <c r="JM95" s="16"/>
      <c r="JN95" s="17"/>
      <c r="JR95" s="17"/>
      <c r="JS95" s="60" t="s">
        <v>20</v>
      </c>
      <c r="JT95" s="16"/>
      <c r="JU95" s="16" t="s">
        <v>20</v>
      </c>
      <c r="JV95" s="16"/>
      <c r="JW95" s="16"/>
      <c r="JX95" s="16"/>
      <c r="JY95" s="17"/>
      <c r="KC95" s="17"/>
      <c r="KD95" s="60" t="s">
        <v>20</v>
      </c>
      <c r="KE95" s="16"/>
      <c r="KF95" s="16" t="s">
        <v>20</v>
      </c>
      <c r="KG95" s="16"/>
      <c r="KH95" s="16"/>
      <c r="KI95" s="16"/>
      <c r="KJ95" s="17"/>
      <c r="KN95" s="17"/>
      <c r="KO95" s="60" t="s">
        <v>20</v>
      </c>
      <c r="KP95" s="16"/>
      <c r="KQ95" s="16" t="s">
        <v>20</v>
      </c>
      <c r="KR95" s="16"/>
      <c r="KS95" s="16"/>
      <c r="KT95" s="16"/>
      <c r="KU95" s="17"/>
      <c r="KY95" s="17"/>
      <c r="KZ95" s="60" t="s">
        <v>20</v>
      </c>
      <c r="LA95" s="16"/>
      <c r="LB95" s="16" t="s">
        <v>20</v>
      </c>
      <c r="LC95" s="16"/>
      <c r="LD95" s="16"/>
      <c r="LE95" s="16"/>
      <c r="LF95" s="17"/>
      <c r="LJ95" s="17"/>
      <c r="LK95" s="60" t="s">
        <v>20</v>
      </c>
      <c r="LL95" s="16"/>
      <c r="LM95" s="16" t="s">
        <v>20</v>
      </c>
      <c r="LN95" s="16"/>
      <c r="LO95" s="16"/>
      <c r="LP95" s="16"/>
      <c r="LQ95" s="17"/>
    </row>
    <row r="96">
      <c r="C96" s="62"/>
      <c r="D96" s="61"/>
      <c r="E96" s="16"/>
      <c r="F96" s="16"/>
      <c r="G96" s="21"/>
      <c r="H96" s="16"/>
      <c r="I96" s="16"/>
      <c r="J96" s="17"/>
      <c r="N96" s="17"/>
      <c r="O96" s="61"/>
      <c r="P96" s="16"/>
      <c r="Q96" s="16" t="s">
        <v>20</v>
      </c>
      <c r="R96" s="16"/>
      <c r="S96" s="16"/>
      <c r="T96" s="16"/>
      <c r="U96" s="17"/>
      <c r="Y96" s="66">
        <v>90</v>
      </c>
      <c r="Z96" s="61">
        <v>27175</v>
      </c>
      <c r="AA96" s="16" t="s">
        <v>20</v>
      </c>
      <c r="AB96" s="16" t="s">
        <v>20</v>
      </c>
      <c r="AC96" s="16" t="s">
        <v>20</v>
      </c>
      <c r="AD96" s="16" t="s">
        <v>20</v>
      </c>
      <c r="AE96" s="16" t="s">
        <v>20</v>
      </c>
      <c r="AF96" s="17"/>
      <c r="AJ96" s="17">
        <v>90</v>
      </c>
      <c r="AK96" s="61">
        <v>26889</v>
      </c>
      <c r="AL96" s="16">
        <v>0</v>
      </c>
      <c r="AM96" s="16">
        <v>8.9999999979045242</v>
      </c>
      <c r="AN96" s="16" t="s">
        <v>20</v>
      </c>
      <c r="AO96" s="16">
        <v>4.5</v>
      </c>
      <c r="AP96" s="16">
        <v>2.8</v>
      </c>
      <c r="AQ96" s="17"/>
      <c r="AU96" s="17">
        <v>90</v>
      </c>
      <c r="AV96" s="61">
        <v>26507</v>
      </c>
      <c r="AW96" s="16" t="s">
        <v>20</v>
      </c>
      <c r="AX96" s="16" t="s">
        <v>20</v>
      </c>
      <c r="AY96" s="16"/>
      <c r="AZ96" s="16" t="s">
        <v>20</v>
      </c>
      <c r="BA96" s="16" t="s">
        <v>20</v>
      </c>
      <c r="BB96" s="17"/>
      <c r="BF96" s="17">
        <v>90</v>
      </c>
      <c r="BG96" s="61">
        <v>27031</v>
      </c>
      <c r="BH96" s="16" t="s">
        <v>20</v>
      </c>
      <c r="BI96" s="16" t="s">
        <v>20</v>
      </c>
      <c r="BJ96" s="16" t="s">
        <v>20</v>
      </c>
      <c r="BK96" s="16" t="s">
        <v>20</v>
      </c>
      <c r="BL96" s="16" t="s">
        <v>20</v>
      </c>
      <c r="BM96" s="17"/>
      <c r="BQ96" s="17">
        <v>90</v>
      </c>
      <c r="BR96" s="61">
        <v>26729</v>
      </c>
      <c r="BS96" s="16">
        <v>0</v>
      </c>
      <c r="BT96" s="16">
        <v>15.999999999767169</v>
      </c>
      <c r="BU96" s="16" t="s">
        <v>20</v>
      </c>
      <c r="BV96" s="16">
        <v>4.5</v>
      </c>
      <c r="BW96" s="16">
        <v>2.5</v>
      </c>
      <c r="BX96" s="17"/>
      <c r="CB96" s="17"/>
      <c r="CC96" s="61"/>
      <c r="CD96" s="16"/>
      <c r="CE96" s="16"/>
      <c r="CF96" s="16"/>
      <c r="CG96" s="16"/>
      <c r="CH96" s="16"/>
      <c r="CI96" s="17"/>
      <c r="CM96" s="17"/>
      <c r="CN96" s="61" t="s">
        <v>20</v>
      </c>
      <c r="CO96" s="16"/>
      <c r="CP96" s="16" t="s">
        <v>20</v>
      </c>
      <c r="CQ96" s="16"/>
      <c r="CR96" s="16"/>
      <c r="CS96" s="16"/>
      <c r="CT96" s="17"/>
      <c r="CX96" s="17"/>
      <c r="CY96" s="60" t="s">
        <v>20</v>
      </c>
      <c r="CZ96" s="16"/>
      <c r="DA96" s="16" t="s">
        <v>20</v>
      </c>
      <c r="DB96" s="16"/>
      <c r="DC96" s="16"/>
      <c r="DD96" s="16"/>
      <c r="DE96" s="17"/>
      <c r="DI96" s="17">
        <v>90</v>
      </c>
      <c r="DJ96" s="60">
        <v>27581</v>
      </c>
      <c r="DK96" s="16" t="s">
        <v>20</v>
      </c>
      <c r="DL96" s="16" t="s">
        <v>20</v>
      </c>
      <c r="DM96" s="16" t="s">
        <v>20</v>
      </c>
      <c r="DN96" s="16" t="s">
        <v>20</v>
      </c>
      <c r="DO96" s="16" t="s">
        <v>20</v>
      </c>
      <c r="DP96" s="17"/>
      <c r="DT96" s="17"/>
      <c r="DU96" s="60" t="s">
        <v>20</v>
      </c>
      <c r="DV96" s="16"/>
      <c r="DW96" s="16" t="s">
        <v>20</v>
      </c>
      <c r="DX96" s="16"/>
      <c r="DY96" s="16"/>
      <c r="DZ96" s="16"/>
      <c r="EA96" s="17"/>
      <c r="EE96" s="17"/>
      <c r="EF96" s="60" t="s">
        <v>20</v>
      </c>
      <c r="EG96" s="16"/>
      <c r="EH96" s="16" t="s">
        <v>20</v>
      </c>
      <c r="EI96" s="16"/>
      <c r="EJ96" s="16"/>
      <c r="EK96" s="16"/>
      <c r="EL96" s="17"/>
      <c r="EP96" s="17">
        <v>90</v>
      </c>
      <c r="EQ96" s="60">
        <v>27028</v>
      </c>
      <c r="ER96" s="16" t="s">
        <v>20</v>
      </c>
      <c r="ES96" s="16" t="s">
        <v>20</v>
      </c>
      <c r="ET96" s="16" t="s">
        <v>20</v>
      </c>
      <c r="EU96" s="16" t="s">
        <v>20</v>
      </c>
      <c r="EV96" s="16" t="s">
        <v>20</v>
      </c>
      <c r="EW96" s="17"/>
      <c r="FA96" s="17"/>
      <c r="FB96" s="60" t="s">
        <v>20</v>
      </c>
      <c r="FC96" s="16"/>
      <c r="FD96" s="16" t="s">
        <v>20</v>
      </c>
      <c r="FE96" s="16"/>
      <c r="FF96" s="16"/>
      <c r="FG96" s="16"/>
      <c r="FH96" s="17"/>
      <c r="FL96" s="17"/>
      <c r="FM96" s="60" t="s">
        <v>20</v>
      </c>
      <c r="FN96" s="16"/>
      <c r="FO96" s="16" t="s">
        <v>20</v>
      </c>
      <c r="FP96" s="16"/>
      <c r="FQ96" s="16"/>
      <c r="FR96" s="16"/>
      <c r="FS96" s="17"/>
      <c r="FW96" s="17"/>
      <c r="FX96" s="60" t="s">
        <v>20</v>
      </c>
      <c r="FY96" s="16"/>
      <c r="FZ96" s="16" t="s">
        <v>20</v>
      </c>
      <c r="GA96" s="16"/>
      <c r="GB96" s="16"/>
      <c r="GC96" s="16"/>
      <c r="GD96" s="17"/>
      <c r="GH96" s="17"/>
      <c r="GI96" s="60" t="s">
        <v>20</v>
      </c>
      <c r="GJ96" s="16"/>
      <c r="GK96" s="16" t="s">
        <v>20</v>
      </c>
      <c r="GL96" s="16"/>
      <c r="GM96" s="16"/>
      <c r="GN96" s="16"/>
      <c r="GO96" s="17"/>
      <c r="GS96" s="17"/>
      <c r="GT96" s="60" t="s">
        <v>20</v>
      </c>
      <c r="GU96" s="16"/>
      <c r="GV96" s="16" t="s">
        <v>20</v>
      </c>
      <c r="GW96" s="16"/>
      <c r="GX96" s="16"/>
      <c r="GY96" s="16"/>
      <c r="GZ96" s="17"/>
      <c r="HD96" s="17"/>
      <c r="HE96" s="60" t="s">
        <v>20</v>
      </c>
      <c r="HF96" s="16"/>
      <c r="HG96" s="16" t="s">
        <v>20</v>
      </c>
      <c r="HH96" s="16"/>
      <c r="HI96" s="16"/>
      <c r="HJ96" s="16"/>
      <c r="HK96" s="17"/>
      <c r="HO96" s="17"/>
      <c r="HP96" s="60" t="s">
        <v>20</v>
      </c>
      <c r="HQ96" s="16"/>
      <c r="HR96" s="16" t="s">
        <v>20</v>
      </c>
      <c r="HS96" s="16"/>
      <c r="HT96" s="16"/>
      <c r="HU96" s="16"/>
      <c r="HV96" s="17"/>
      <c r="HZ96" s="17"/>
      <c r="IA96" s="60" t="s">
        <v>20</v>
      </c>
      <c r="IB96" s="16"/>
      <c r="IC96" s="16" t="s">
        <v>20</v>
      </c>
      <c r="ID96" s="16"/>
      <c r="IE96" s="16"/>
      <c r="IF96" s="16"/>
      <c r="IG96" s="17"/>
      <c r="IK96" s="17"/>
      <c r="IL96" s="60" t="s">
        <v>20</v>
      </c>
      <c r="IM96" s="16"/>
      <c r="IN96" s="16" t="s">
        <v>20</v>
      </c>
      <c r="IO96" s="16"/>
      <c r="IP96" s="16"/>
      <c r="IQ96" s="16"/>
      <c r="IR96" s="17"/>
      <c r="IV96" s="17"/>
      <c r="IW96" s="60" t="s">
        <v>20</v>
      </c>
      <c r="IX96" s="16"/>
      <c r="IY96" s="16" t="s">
        <v>20</v>
      </c>
      <c r="IZ96" s="16"/>
      <c r="JA96" s="16"/>
      <c r="JB96" s="16"/>
      <c r="JC96" s="17"/>
      <c r="JG96" s="17"/>
      <c r="JH96" s="60" t="s">
        <v>20</v>
      </c>
      <c r="JI96" s="16"/>
      <c r="JJ96" s="16" t="s">
        <v>20</v>
      </c>
      <c r="JK96" s="16"/>
      <c r="JL96" s="16"/>
      <c r="JM96" s="16"/>
      <c r="JN96" s="17"/>
      <c r="JR96" s="17"/>
      <c r="JS96" s="60" t="s">
        <v>20</v>
      </c>
      <c r="JT96" s="16"/>
      <c r="JU96" s="16" t="s">
        <v>20</v>
      </c>
      <c r="JV96" s="16"/>
      <c r="JW96" s="16"/>
      <c r="JX96" s="16"/>
      <c r="JY96" s="17"/>
      <c r="KC96" s="17"/>
      <c r="KD96" s="60" t="s">
        <v>20</v>
      </c>
      <c r="KE96" s="16"/>
      <c r="KF96" s="16" t="s">
        <v>20</v>
      </c>
      <c r="KG96" s="16"/>
      <c r="KH96" s="16"/>
      <c r="KI96" s="16"/>
      <c r="KJ96" s="17"/>
      <c r="KN96" s="17"/>
      <c r="KO96" s="60" t="s">
        <v>20</v>
      </c>
      <c r="KP96" s="16"/>
      <c r="KQ96" s="16" t="s">
        <v>20</v>
      </c>
      <c r="KR96" s="16"/>
      <c r="KS96" s="16"/>
      <c r="KT96" s="16"/>
      <c r="KU96" s="17"/>
      <c r="KY96" s="17"/>
      <c r="KZ96" s="60" t="s">
        <v>20</v>
      </c>
      <c r="LA96" s="16"/>
      <c r="LB96" s="16" t="s">
        <v>20</v>
      </c>
      <c r="LC96" s="16"/>
      <c r="LD96" s="16"/>
      <c r="LE96" s="16"/>
      <c r="LF96" s="17"/>
      <c r="LJ96" s="17"/>
      <c r="LK96" s="60" t="s">
        <v>20</v>
      </c>
      <c r="LL96" s="16"/>
      <c r="LM96" s="16" t="s">
        <v>20</v>
      </c>
      <c r="LN96" s="16"/>
      <c r="LO96" s="16"/>
      <c r="LP96" s="16"/>
      <c r="LQ96" s="17"/>
    </row>
    <row r="97">
      <c r="C97" s="62"/>
      <c r="D97" s="61"/>
      <c r="E97" s="16"/>
      <c r="F97" s="16"/>
      <c r="G97" s="21"/>
      <c r="H97" s="16"/>
      <c r="I97" s="16"/>
      <c r="J97" s="17"/>
      <c r="N97" s="17"/>
      <c r="O97" s="61"/>
      <c r="P97" s="16"/>
      <c r="Q97" s="16" t="s">
        <v>20</v>
      </c>
      <c r="R97" s="16"/>
      <c r="S97" s="16"/>
      <c r="T97" s="16"/>
      <c r="U97" s="17"/>
      <c r="Y97" s="66">
        <v>91</v>
      </c>
      <c r="Z97" s="61">
        <v>27375</v>
      </c>
      <c r="AA97" s="16" t="s">
        <v>20</v>
      </c>
      <c r="AB97" s="16" t="s">
        <v>20</v>
      </c>
      <c r="AC97" s="16" t="s">
        <v>20</v>
      </c>
      <c r="AD97" s="16" t="s">
        <v>20</v>
      </c>
      <c r="AE97" s="16" t="s">
        <v>20</v>
      </c>
      <c r="AF97" s="17"/>
      <c r="AJ97" s="17">
        <v>91</v>
      </c>
      <c r="AK97" s="61">
        <v>27091</v>
      </c>
      <c r="AL97" s="16">
        <v>0</v>
      </c>
      <c r="AM97" s="16">
        <v>24.000000004889444</v>
      </c>
      <c r="AN97" s="16" t="s">
        <v>20</v>
      </c>
      <c r="AO97" s="16">
        <v>4</v>
      </c>
      <c r="AP97" s="16">
        <v>3.2</v>
      </c>
      <c r="AQ97" s="17"/>
      <c r="AU97" s="17">
        <v>91</v>
      </c>
      <c r="AV97" s="61">
        <v>26708</v>
      </c>
      <c r="AW97" s="16" t="s">
        <v>20</v>
      </c>
      <c r="AX97" s="16" t="s">
        <v>20</v>
      </c>
      <c r="AY97" s="16"/>
      <c r="AZ97" s="16" t="s">
        <v>20</v>
      </c>
      <c r="BA97" s="16" t="s">
        <v>20</v>
      </c>
      <c r="BB97" s="17"/>
      <c r="BF97" s="17">
        <v>91</v>
      </c>
      <c r="BG97" s="61">
        <v>27233</v>
      </c>
      <c r="BH97" s="16" t="s">
        <v>20</v>
      </c>
      <c r="BI97" s="16" t="s">
        <v>20</v>
      </c>
      <c r="BJ97" s="16" t="s">
        <v>20</v>
      </c>
      <c r="BK97" s="16" t="s">
        <v>20</v>
      </c>
      <c r="BL97" s="16" t="s">
        <v>20</v>
      </c>
      <c r="BM97" s="17"/>
      <c r="BQ97" s="17">
        <v>91</v>
      </c>
      <c r="BR97" s="61">
        <v>26929</v>
      </c>
      <c r="BS97" s="16">
        <v>0</v>
      </c>
      <c r="BT97" s="16">
        <v>13.000000000465661</v>
      </c>
      <c r="BU97" s="16" t="s">
        <v>20</v>
      </c>
      <c r="BV97" s="16">
        <v>4.5</v>
      </c>
      <c r="BW97" s="16">
        <v>2.5</v>
      </c>
      <c r="BX97" s="17"/>
      <c r="CB97" s="17"/>
      <c r="CC97" s="61"/>
      <c r="CD97" s="16"/>
      <c r="CE97" s="16"/>
      <c r="CF97" s="16"/>
      <c r="CG97" s="16"/>
      <c r="CH97" s="16"/>
      <c r="CI97" s="17"/>
      <c r="CM97" s="17"/>
      <c r="CN97" s="61"/>
      <c r="CO97" s="16"/>
      <c r="CP97" s="16" t="s">
        <v>20</v>
      </c>
      <c r="CQ97" s="16"/>
      <c r="CR97" s="16"/>
      <c r="CS97" s="16"/>
      <c r="CT97" s="17"/>
      <c r="CX97" s="17"/>
      <c r="CY97" s="60"/>
      <c r="CZ97" s="16"/>
      <c r="DA97" s="16" t="s">
        <v>20</v>
      </c>
      <c r="DB97" s="16"/>
      <c r="DC97" s="16"/>
      <c r="DD97" s="16"/>
      <c r="DE97" s="17"/>
      <c r="DI97" s="17">
        <v>91</v>
      </c>
      <c r="DJ97" s="60">
        <v>27783</v>
      </c>
      <c r="DK97" s="16" t="s">
        <v>20</v>
      </c>
      <c r="DL97" s="16" t="s">
        <v>20</v>
      </c>
      <c r="DM97" s="16" t="s">
        <v>20</v>
      </c>
      <c r="DN97" s="16" t="s">
        <v>20</v>
      </c>
      <c r="DO97" s="16" t="s">
        <v>20</v>
      </c>
      <c r="DP97" s="17"/>
      <c r="DT97" s="17"/>
      <c r="DU97" s="60"/>
      <c r="DV97" s="16"/>
      <c r="DW97" s="16" t="s">
        <v>20</v>
      </c>
      <c r="DX97" s="16"/>
      <c r="DY97" s="16"/>
      <c r="DZ97" s="16"/>
      <c r="EA97" s="17"/>
      <c r="EE97" s="17"/>
      <c r="EF97" s="60"/>
      <c r="EG97" s="16"/>
      <c r="EH97" s="16" t="s">
        <v>20</v>
      </c>
      <c r="EI97" s="16"/>
      <c r="EJ97" s="16"/>
      <c r="EK97" s="16"/>
      <c r="EL97" s="17"/>
      <c r="EP97" s="17">
        <v>91</v>
      </c>
      <c r="EQ97" s="60">
        <v>27230</v>
      </c>
      <c r="ER97" s="16" t="s">
        <v>20</v>
      </c>
      <c r="ES97" s="16" t="s">
        <v>20</v>
      </c>
      <c r="ET97" s="16" t="s">
        <v>20</v>
      </c>
      <c r="EU97" s="16" t="s">
        <v>20</v>
      </c>
      <c r="EV97" s="16" t="s">
        <v>20</v>
      </c>
      <c r="EW97" s="17"/>
      <c r="FA97" s="17"/>
      <c r="FB97" s="60"/>
      <c r="FC97" s="16"/>
      <c r="FD97" s="16" t="s">
        <v>20</v>
      </c>
      <c r="FE97" s="16"/>
      <c r="FF97" s="16"/>
      <c r="FG97" s="16"/>
      <c r="FH97" s="17"/>
      <c r="FL97" s="17"/>
      <c r="FM97" s="60"/>
      <c r="FN97" s="16"/>
      <c r="FO97" s="16" t="s">
        <v>20</v>
      </c>
      <c r="FP97" s="16"/>
      <c r="FQ97" s="16"/>
      <c r="FR97" s="16"/>
      <c r="FS97" s="17"/>
      <c r="FW97" s="17"/>
      <c r="FX97" s="60"/>
      <c r="FY97" s="16"/>
      <c r="FZ97" s="16" t="s">
        <v>20</v>
      </c>
      <c r="GA97" s="16"/>
      <c r="GB97" s="16"/>
      <c r="GC97" s="16"/>
      <c r="GD97" s="17"/>
      <c r="GH97" s="17"/>
      <c r="GI97" s="60"/>
      <c r="GJ97" s="16"/>
      <c r="GK97" s="16" t="s">
        <v>20</v>
      </c>
      <c r="GL97" s="16"/>
      <c r="GM97" s="16"/>
      <c r="GN97" s="16"/>
      <c r="GO97" s="17"/>
      <c r="GS97" s="17"/>
      <c r="GT97" s="60"/>
      <c r="GU97" s="16"/>
      <c r="GV97" s="16" t="s">
        <v>20</v>
      </c>
      <c r="GW97" s="16"/>
      <c r="GX97" s="16"/>
      <c r="GY97" s="16"/>
      <c r="GZ97" s="17"/>
      <c r="HD97" s="17"/>
      <c r="HE97" s="60"/>
      <c r="HF97" s="16"/>
      <c r="HG97" s="16" t="s">
        <v>20</v>
      </c>
      <c r="HH97" s="16"/>
      <c r="HI97" s="16"/>
      <c r="HJ97" s="16"/>
      <c r="HK97" s="17"/>
      <c r="HO97" s="17"/>
      <c r="HP97" s="60"/>
      <c r="HQ97" s="16"/>
      <c r="HR97" s="16" t="s">
        <v>20</v>
      </c>
      <c r="HS97" s="16"/>
      <c r="HT97" s="16"/>
      <c r="HU97" s="16"/>
      <c r="HV97" s="17"/>
      <c r="HZ97" s="17"/>
      <c r="IA97" s="60"/>
      <c r="IB97" s="16"/>
      <c r="IC97" s="16" t="s">
        <v>20</v>
      </c>
      <c r="ID97" s="16"/>
      <c r="IE97" s="16"/>
      <c r="IF97" s="16"/>
      <c r="IG97" s="17"/>
      <c r="IK97" s="17"/>
      <c r="IL97" s="60"/>
      <c r="IM97" s="16"/>
      <c r="IN97" s="16" t="s">
        <v>20</v>
      </c>
      <c r="IO97" s="16"/>
      <c r="IP97" s="16"/>
      <c r="IQ97" s="16"/>
      <c r="IR97" s="17"/>
      <c r="IV97" s="17"/>
      <c r="IW97" s="60"/>
      <c r="IX97" s="16"/>
      <c r="IY97" s="16" t="s">
        <v>20</v>
      </c>
      <c r="IZ97" s="16"/>
      <c r="JA97" s="16"/>
      <c r="JB97" s="16"/>
      <c r="JC97" s="17"/>
      <c r="JG97" s="17"/>
      <c r="JH97" s="60"/>
      <c r="JI97" s="16"/>
      <c r="JJ97" s="16" t="s">
        <v>20</v>
      </c>
      <c r="JK97" s="16"/>
      <c r="JL97" s="16"/>
      <c r="JM97" s="16"/>
      <c r="JN97" s="17"/>
      <c r="JR97" s="17"/>
      <c r="JS97" s="60"/>
      <c r="JT97" s="16"/>
      <c r="JU97" s="16" t="s">
        <v>20</v>
      </c>
      <c r="JV97" s="16"/>
      <c r="JW97" s="16"/>
      <c r="JX97" s="16"/>
      <c r="JY97" s="17"/>
      <c r="KC97" s="17"/>
      <c r="KD97" s="60"/>
      <c r="KE97" s="16"/>
      <c r="KF97" s="16" t="s">
        <v>20</v>
      </c>
      <c r="KG97" s="16"/>
      <c r="KH97" s="16"/>
      <c r="KI97" s="16"/>
      <c r="KJ97" s="17"/>
      <c r="KN97" s="17"/>
      <c r="KO97" s="60"/>
      <c r="KP97" s="16"/>
      <c r="KQ97" s="16" t="s">
        <v>20</v>
      </c>
      <c r="KR97" s="16"/>
      <c r="KS97" s="16"/>
      <c r="KT97" s="16"/>
      <c r="KU97" s="17"/>
      <c r="KY97" s="17"/>
      <c r="KZ97" s="60"/>
      <c r="LA97" s="16"/>
      <c r="LB97" s="16" t="s">
        <v>20</v>
      </c>
      <c r="LC97" s="16"/>
      <c r="LD97" s="16"/>
      <c r="LE97" s="16"/>
      <c r="LF97" s="17"/>
      <c r="LJ97" s="17"/>
      <c r="LK97" s="60"/>
      <c r="LL97" s="16"/>
      <c r="LM97" s="16" t="s">
        <v>20</v>
      </c>
      <c r="LN97" s="16"/>
      <c r="LO97" s="16"/>
      <c r="LP97" s="16"/>
      <c r="LQ97" s="17"/>
    </row>
    <row r="98">
      <c r="C98" s="62"/>
      <c r="D98" s="61"/>
      <c r="E98" s="16"/>
      <c r="F98" s="16"/>
      <c r="G98" s="21"/>
      <c r="H98" s="16"/>
      <c r="I98" s="16"/>
      <c r="J98" s="17"/>
      <c r="N98" s="17"/>
      <c r="O98" s="61"/>
      <c r="P98" s="16"/>
      <c r="Q98" s="16" t="s">
        <v>20</v>
      </c>
      <c r="R98" s="16"/>
      <c r="S98" s="16"/>
      <c r="T98" s="16"/>
      <c r="U98" s="17"/>
      <c r="Y98" s="66">
        <v>92</v>
      </c>
      <c r="Z98" s="61">
        <v>27576</v>
      </c>
      <c r="AA98" s="16" t="s">
        <v>20</v>
      </c>
      <c r="AB98" s="16" t="s">
        <v>20</v>
      </c>
      <c r="AC98" s="16" t="s">
        <v>20</v>
      </c>
      <c r="AD98" s="16" t="s">
        <v>20</v>
      </c>
      <c r="AE98" s="16" t="s">
        <v>20</v>
      </c>
      <c r="AF98" s="17"/>
      <c r="AJ98" s="17">
        <v>92</v>
      </c>
      <c r="AK98" s="61">
        <v>27292</v>
      </c>
      <c r="AL98" s="16">
        <v>0</v>
      </c>
      <c r="AM98" s="16">
        <v>14.99999999650754</v>
      </c>
      <c r="AN98" s="16" t="s">
        <v>20</v>
      </c>
      <c r="AO98" s="16">
        <v>4</v>
      </c>
      <c r="AP98" s="16">
        <v>2.8</v>
      </c>
      <c r="AQ98" s="17"/>
      <c r="AU98" s="17">
        <v>92</v>
      </c>
      <c r="AV98" s="61">
        <v>26909</v>
      </c>
      <c r="AW98" s="16" t="s">
        <v>20</v>
      </c>
      <c r="AX98" s="16" t="s">
        <v>20</v>
      </c>
      <c r="AY98" s="16"/>
      <c r="AZ98" s="16" t="s">
        <v>20</v>
      </c>
      <c r="BA98" s="16" t="s">
        <v>20</v>
      </c>
      <c r="BB98" s="17"/>
      <c r="BF98" s="17">
        <v>92</v>
      </c>
      <c r="BG98" s="61">
        <v>27434</v>
      </c>
      <c r="BH98" s="16" t="s">
        <v>20</v>
      </c>
      <c r="BI98" s="16" t="s">
        <v>20</v>
      </c>
      <c r="BJ98" s="16" t="s">
        <v>20</v>
      </c>
      <c r="BK98" s="16" t="s">
        <v>20</v>
      </c>
      <c r="BL98" s="16" t="s">
        <v>20</v>
      </c>
      <c r="BM98" s="17"/>
      <c r="BQ98" s="17">
        <v>92</v>
      </c>
      <c r="BR98" s="61">
        <v>27130</v>
      </c>
      <c r="BS98" s="16">
        <v>0</v>
      </c>
      <c r="BT98" s="16">
        <v>18.999999999068677</v>
      </c>
      <c r="BU98" s="16" t="s">
        <v>20</v>
      </c>
      <c r="BV98" s="16">
        <v>4.5</v>
      </c>
      <c r="BW98" s="16">
        <v>2.5</v>
      </c>
      <c r="BX98" s="17"/>
      <c r="CB98" s="17"/>
      <c r="CC98" s="61"/>
      <c r="CD98" s="16"/>
      <c r="CE98" s="16"/>
      <c r="CF98" s="16"/>
      <c r="CG98" s="16"/>
      <c r="CH98" s="16"/>
      <c r="CI98" s="17"/>
      <c r="CM98" s="17"/>
      <c r="CN98" s="61"/>
      <c r="CO98" s="16"/>
      <c r="CP98" s="16" t="s">
        <v>20</v>
      </c>
      <c r="CQ98" s="16"/>
      <c r="CR98" s="16"/>
      <c r="CS98" s="16"/>
      <c r="CT98" s="17"/>
      <c r="CX98" s="17"/>
      <c r="CY98" s="60"/>
      <c r="CZ98" s="16"/>
      <c r="DA98" s="16" t="s">
        <v>20</v>
      </c>
      <c r="DB98" s="16"/>
      <c r="DC98" s="16"/>
      <c r="DD98" s="16"/>
      <c r="DE98" s="17"/>
      <c r="DI98" s="17">
        <v>92</v>
      </c>
      <c r="DJ98" s="60">
        <v>27984</v>
      </c>
      <c r="DK98" s="16" t="s">
        <v>20</v>
      </c>
      <c r="DL98" s="16" t="s">
        <v>20</v>
      </c>
      <c r="DM98" s="16" t="s">
        <v>20</v>
      </c>
      <c r="DN98" s="16" t="s">
        <v>20</v>
      </c>
      <c r="DO98" s="16" t="s">
        <v>20</v>
      </c>
      <c r="DP98" s="17"/>
      <c r="DT98" s="17"/>
      <c r="DU98" s="60"/>
      <c r="DV98" s="16"/>
      <c r="DW98" s="16" t="s">
        <v>20</v>
      </c>
      <c r="DX98" s="16"/>
      <c r="DY98" s="16"/>
      <c r="DZ98" s="16"/>
      <c r="EA98" s="17"/>
      <c r="EE98" s="17"/>
      <c r="EF98" s="60"/>
      <c r="EG98" s="16"/>
      <c r="EH98" s="16" t="s">
        <v>20</v>
      </c>
      <c r="EI98" s="16"/>
      <c r="EJ98" s="16"/>
      <c r="EK98" s="16"/>
      <c r="EL98" s="17"/>
      <c r="EP98" s="17">
        <v>92</v>
      </c>
      <c r="EQ98" s="60">
        <v>27432</v>
      </c>
      <c r="ER98" s="16" t="s">
        <v>20</v>
      </c>
      <c r="ES98" s="16" t="s">
        <v>20</v>
      </c>
      <c r="ET98" s="16" t="s">
        <v>20</v>
      </c>
      <c r="EU98" s="16" t="s">
        <v>20</v>
      </c>
      <c r="EV98" s="16" t="s">
        <v>20</v>
      </c>
      <c r="EW98" s="17"/>
      <c r="FA98" s="17"/>
      <c r="FB98" s="60"/>
      <c r="FC98" s="16"/>
      <c r="FD98" s="16" t="s">
        <v>20</v>
      </c>
      <c r="FE98" s="16"/>
      <c r="FF98" s="16"/>
      <c r="FG98" s="16"/>
      <c r="FH98" s="17"/>
      <c r="FL98" s="17"/>
      <c r="FM98" s="60"/>
      <c r="FN98" s="16"/>
      <c r="FO98" s="16" t="s">
        <v>20</v>
      </c>
      <c r="FP98" s="16"/>
      <c r="FQ98" s="16"/>
      <c r="FR98" s="16"/>
      <c r="FS98" s="17"/>
      <c r="FW98" s="17"/>
      <c r="FX98" s="60"/>
      <c r="FY98" s="16"/>
      <c r="FZ98" s="16" t="s">
        <v>20</v>
      </c>
      <c r="GA98" s="16"/>
      <c r="GB98" s="16"/>
      <c r="GC98" s="16"/>
      <c r="GD98" s="17"/>
      <c r="GH98" s="17"/>
      <c r="GI98" s="60"/>
      <c r="GJ98" s="16"/>
      <c r="GK98" s="16" t="s">
        <v>20</v>
      </c>
      <c r="GL98" s="16"/>
      <c r="GM98" s="16"/>
      <c r="GN98" s="16"/>
      <c r="GO98" s="17"/>
      <c r="GS98" s="17"/>
      <c r="GT98" s="60"/>
      <c r="GU98" s="16"/>
      <c r="GV98" s="16" t="s">
        <v>20</v>
      </c>
      <c r="GW98" s="16"/>
      <c r="GX98" s="16"/>
      <c r="GY98" s="16"/>
      <c r="GZ98" s="17"/>
      <c r="HD98" s="17"/>
      <c r="HE98" s="60"/>
      <c r="HF98" s="16"/>
      <c r="HG98" s="16" t="s">
        <v>20</v>
      </c>
      <c r="HH98" s="16"/>
      <c r="HI98" s="16"/>
      <c r="HJ98" s="16"/>
      <c r="HK98" s="17"/>
      <c r="HO98" s="17"/>
      <c r="HP98" s="60"/>
      <c r="HQ98" s="16"/>
      <c r="HR98" s="16" t="s">
        <v>20</v>
      </c>
      <c r="HS98" s="16"/>
      <c r="HT98" s="16"/>
      <c r="HU98" s="16"/>
      <c r="HV98" s="17"/>
      <c r="HZ98" s="17"/>
      <c r="IA98" s="60"/>
      <c r="IB98" s="16"/>
      <c r="IC98" s="16" t="s">
        <v>20</v>
      </c>
      <c r="ID98" s="16"/>
      <c r="IE98" s="16"/>
      <c r="IF98" s="16"/>
      <c r="IG98" s="17"/>
      <c r="IK98" s="17"/>
      <c r="IL98" s="60"/>
      <c r="IM98" s="16"/>
      <c r="IN98" s="16" t="s">
        <v>20</v>
      </c>
      <c r="IO98" s="16"/>
      <c r="IP98" s="16"/>
      <c r="IQ98" s="16"/>
      <c r="IR98" s="17"/>
      <c r="IV98" s="17"/>
      <c r="IW98" s="60"/>
      <c r="IX98" s="16"/>
      <c r="IY98" s="16" t="s">
        <v>20</v>
      </c>
      <c r="IZ98" s="16"/>
      <c r="JA98" s="16"/>
      <c r="JB98" s="16"/>
      <c r="JC98" s="17"/>
      <c r="JG98" s="17"/>
      <c r="JH98" s="60"/>
      <c r="JI98" s="16"/>
      <c r="JJ98" s="16" t="s">
        <v>20</v>
      </c>
      <c r="JK98" s="16"/>
      <c r="JL98" s="16"/>
      <c r="JM98" s="16"/>
      <c r="JN98" s="17"/>
      <c r="JR98" s="17"/>
      <c r="JS98" s="60"/>
      <c r="JT98" s="16"/>
      <c r="JU98" s="16" t="s">
        <v>20</v>
      </c>
      <c r="JV98" s="16"/>
      <c r="JW98" s="16"/>
      <c r="JX98" s="16"/>
      <c r="JY98" s="17"/>
      <c r="KC98" s="17"/>
      <c r="KD98" s="60"/>
      <c r="KE98" s="16"/>
      <c r="KF98" s="16" t="s">
        <v>20</v>
      </c>
      <c r="KG98" s="16"/>
      <c r="KH98" s="16"/>
      <c r="KI98" s="16"/>
      <c r="KJ98" s="17"/>
      <c r="KN98" s="17"/>
      <c r="KO98" s="60"/>
      <c r="KP98" s="16"/>
      <c r="KQ98" s="16" t="s">
        <v>20</v>
      </c>
      <c r="KR98" s="16"/>
      <c r="KS98" s="16"/>
      <c r="KT98" s="16"/>
      <c r="KU98" s="17"/>
      <c r="KY98" s="17"/>
      <c r="KZ98" s="60"/>
      <c r="LA98" s="16"/>
      <c r="LB98" s="16" t="s">
        <v>20</v>
      </c>
      <c r="LC98" s="16"/>
      <c r="LD98" s="16"/>
      <c r="LE98" s="16"/>
      <c r="LF98" s="17"/>
      <c r="LJ98" s="17"/>
      <c r="LK98" s="60"/>
      <c r="LL98" s="16"/>
      <c r="LM98" s="16" t="s">
        <v>20</v>
      </c>
      <c r="LN98" s="16"/>
      <c r="LO98" s="16"/>
      <c r="LP98" s="16"/>
      <c r="LQ98" s="17"/>
    </row>
    <row r="99">
      <c r="C99" s="62"/>
      <c r="D99" s="61"/>
      <c r="E99" s="16"/>
      <c r="F99" s="16"/>
      <c r="G99" s="21"/>
      <c r="H99" s="16"/>
      <c r="I99" s="16"/>
      <c r="J99" s="17"/>
      <c r="N99" s="17"/>
      <c r="O99" s="61"/>
      <c r="P99" s="16"/>
      <c r="Q99" s="16" t="s">
        <v>20</v>
      </c>
      <c r="R99" s="16"/>
      <c r="S99" s="16"/>
      <c r="T99" s="16"/>
      <c r="U99" s="17"/>
      <c r="Y99" s="66">
        <v>93</v>
      </c>
      <c r="Z99" s="61">
        <v>27777</v>
      </c>
      <c r="AA99" s="16" t="s">
        <v>20</v>
      </c>
      <c r="AB99" s="16" t="s">
        <v>20</v>
      </c>
      <c r="AC99" s="16" t="s">
        <v>20</v>
      </c>
      <c r="AD99" s="16" t="s">
        <v>20</v>
      </c>
      <c r="AE99" s="16" t="s">
        <v>20</v>
      </c>
      <c r="AF99" s="17"/>
      <c r="AJ99" s="17">
        <v>93</v>
      </c>
      <c r="AK99" s="61">
        <v>27494</v>
      </c>
      <c r="AL99" s="16">
        <v>0</v>
      </c>
      <c r="AM99" s="16">
        <v>20.999999995110556</v>
      </c>
      <c r="AN99" s="16" t="s">
        <v>20</v>
      </c>
      <c r="AO99" s="16">
        <v>4</v>
      </c>
      <c r="AP99" s="16">
        <v>2.9</v>
      </c>
      <c r="AQ99" s="17"/>
      <c r="AU99" s="17">
        <v>93</v>
      </c>
      <c r="AV99" s="61">
        <v>27110</v>
      </c>
      <c r="AW99" s="16" t="s">
        <v>20</v>
      </c>
      <c r="AX99" s="16" t="s">
        <v>20</v>
      </c>
      <c r="AY99" s="16"/>
      <c r="AZ99" s="16" t="s">
        <v>20</v>
      </c>
      <c r="BA99" s="16" t="s">
        <v>20</v>
      </c>
      <c r="BB99" s="17"/>
      <c r="BF99" s="17">
        <v>93</v>
      </c>
      <c r="BG99" s="61">
        <v>27636</v>
      </c>
      <c r="BH99" s="16" t="s">
        <v>20</v>
      </c>
      <c r="BI99" s="16" t="s">
        <v>20</v>
      </c>
      <c r="BJ99" s="16" t="s">
        <v>20</v>
      </c>
      <c r="BK99" s="16" t="s">
        <v>20</v>
      </c>
      <c r="BL99" s="16" t="s">
        <v>20</v>
      </c>
      <c r="BM99" s="17"/>
      <c r="BQ99" s="17">
        <v>93</v>
      </c>
      <c r="BR99" s="61">
        <v>27330</v>
      </c>
      <c r="BS99" s="16">
        <v>2.9999999999999947</v>
      </c>
      <c r="BT99" s="16">
        <v>17.000000002328306</v>
      </c>
      <c r="BU99" s="16" t="s">
        <v>20</v>
      </c>
      <c r="BV99" s="16">
        <v>4.5</v>
      </c>
      <c r="BW99" s="16">
        <v>2.5</v>
      </c>
      <c r="BX99" s="17"/>
      <c r="CB99" s="17"/>
      <c r="CC99" s="61"/>
      <c r="CD99" s="16"/>
      <c r="CE99" s="16"/>
      <c r="CF99" s="16"/>
      <c r="CG99" s="16"/>
      <c r="CH99" s="16"/>
      <c r="CI99" s="17"/>
      <c r="CM99" s="17"/>
      <c r="CN99" s="61"/>
      <c r="CO99" s="16"/>
      <c r="CP99" s="16" t="s">
        <v>20</v>
      </c>
      <c r="CQ99" s="16"/>
      <c r="CR99" s="16"/>
      <c r="CS99" s="16"/>
      <c r="CT99" s="17"/>
      <c r="CX99" s="17"/>
      <c r="CY99" s="60"/>
      <c r="CZ99" s="16"/>
      <c r="DA99" s="16" t="s">
        <v>20</v>
      </c>
      <c r="DB99" s="16"/>
      <c r="DC99" s="16"/>
      <c r="DD99" s="16"/>
      <c r="DE99" s="17"/>
      <c r="DI99" s="17">
        <v>93</v>
      </c>
      <c r="DJ99" s="60">
        <v>28185</v>
      </c>
      <c r="DK99" s="16" t="s">
        <v>20</v>
      </c>
      <c r="DL99" s="16" t="s">
        <v>20</v>
      </c>
      <c r="DM99" s="16" t="s">
        <v>20</v>
      </c>
      <c r="DN99" s="16" t="s">
        <v>20</v>
      </c>
      <c r="DO99" s="16" t="s">
        <v>20</v>
      </c>
      <c r="DP99" s="17"/>
      <c r="DT99" s="17"/>
      <c r="DU99" s="60"/>
      <c r="DV99" s="16"/>
      <c r="DW99" s="16" t="s">
        <v>20</v>
      </c>
      <c r="DX99" s="16"/>
      <c r="DY99" s="16"/>
      <c r="DZ99" s="16"/>
      <c r="EA99" s="17"/>
      <c r="EE99" s="17"/>
      <c r="EF99" s="60"/>
      <c r="EG99" s="16"/>
      <c r="EH99" s="16" t="s">
        <v>20</v>
      </c>
      <c r="EI99" s="16"/>
      <c r="EJ99" s="16"/>
      <c r="EK99" s="16"/>
      <c r="EL99" s="17"/>
      <c r="EP99" s="17">
        <v>93</v>
      </c>
      <c r="EQ99" s="60">
        <v>27633</v>
      </c>
      <c r="ER99" s="16" t="s">
        <v>20</v>
      </c>
      <c r="ES99" s="16" t="s">
        <v>20</v>
      </c>
      <c r="ET99" s="16" t="s">
        <v>20</v>
      </c>
      <c r="EU99" s="16" t="s">
        <v>20</v>
      </c>
      <c r="EV99" s="16" t="s">
        <v>20</v>
      </c>
      <c r="EW99" s="17"/>
      <c r="FA99" s="17"/>
      <c r="FB99" s="60"/>
      <c r="FC99" s="16"/>
      <c r="FD99" s="16" t="s">
        <v>20</v>
      </c>
      <c r="FE99" s="16"/>
      <c r="FF99" s="16"/>
      <c r="FG99" s="16"/>
      <c r="FH99" s="17"/>
      <c r="FL99" s="17"/>
      <c r="FM99" s="60"/>
      <c r="FN99" s="16"/>
      <c r="FO99" s="16" t="s">
        <v>20</v>
      </c>
      <c r="FP99" s="16"/>
      <c r="FQ99" s="16"/>
      <c r="FR99" s="16"/>
      <c r="FS99" s="17"/>
      <c r="FW99" s="17"/>
      <c r="FX99" s="60"/>
      <c r="FY99" s="16"/>
      <c r="FZ99" s="16" t="s">
        <v>20</v>
      </c>
      <c r="GA99" s="16"/>
      <c r="GB99" s="16"/>
      <c r="GC99" s="16"/>
      <c r="GD99" s="17"/>
      <c r="GH99" s="17"/>
      <c r="GI99" s="60"/>
      <c r="GJ99" s="16"/>
      <c r="GK99" s="16" t="s">
        <v>20</v>
      </c>
      <c r="GL99" s="16"/>
      <c r="GM99" s="16"/>
      <c r="GN99" s="16"/>
      <c r="GO99" s="17"/>
      <c r="GS99" s="17"/>
      <c r="GT99" s="60"/>
      <c r="GU99" s="16"/>
      <c r="GV99" s="16" t="s">
        <v>20</v>
      </c>
      <c r="GW99" s="16"/>
      <c r="GX99" s="16"/>
      <c r="GY99" s="16"/>
      <c r="GZ99" s="17"/>
      <c r="HD99" s="17"/>
      <c r="HE99" s="60"/>
      <c r="HF99" s="16"/>
      <c r="HG99" s="16" t="s">
        <v>20</v>
      </c>
      <c r="HH99" s="16"/>
      <c r="HI99" s="16"/>
      <c r="HJ99" s="16"/>
      <c r="HK99" s="17"/>
      <c r="HO99" s="17"/>
      <c r="HP99" s="60"/>
      <c r="HQ99" s="16"/>
      <c r="HR99" s="16" t="s">
        <v>20</v>
      </c>
      <c r="HS99" s="16"/>
      <c r="HT99" s="16"/>
      <c r="HU99" s="16"/>
      <c r="HV99" s="17"/>
      <c r="HZ99" s="17"/>
      <c r="IA99" s="60"/>
      <c r="IB99" s="16"/>
      <c r="IC99" s="16" t="s">
        <v>20</v>
      </c>
      <c r="ID99" s="16"/>
      <c r="IE99" s="16"/>
      <c r="IF99" s="16"/>
      <c r="IG99" s="17"/>
      <c r="IK99" s="17"/>
      <c r="IL99" s="60"/>
      <c r="IM99" s="16"/>
      <c r="IN99" s="16" t="s">
        <v>20</v>
      </c>
      <c r="IO99" s="16"/>
      <c r="IP99" s="16"/>
      <c r="IQ99" s="16"/>
      <c r="IR99" s="17"/>
      <c r="IV99" s="17"/>
      <c r="IW99" s="60"/>
      <c r="IX99" s="16"/>
      <c r="IY99" s="16" t="s">
        <v>20</v>
      </c>
      <c r="IZ99" s="16"/>
      <c r="JA99" s="16"/>
      <c r="JB99" s="16"/>
      <c r="JC99" s="17"/>
      <c r="JG99" s="17"/>
      <c r="JH99" s="60"/>
      <c r="JI99" s="16"/>
      <c r="JJ99" s="16" t="s">
        <v>20</v>
      </c>
      <c r="JK99" s="16"/>
      <c r="JL99" s="16"/>
      <c r="JM99" s="16"/>
      <c r="JN99" s="17"/>
      <c r="JR99" s="17"/>
      <c r="JS99" s="60"/>
      <c r="JT99" s="16"/>
      <c r="JU99" s="16" t="s">
        <v>20</v>
      </c>
      <c r="JV99" s="16"/>
      <c r="JW99" s="16"/>
      <c r="JX99" s="16"/>
      <c r="JY99" s="17"/>
      <c r="KC99" s="17"/>
      <c r="KD99" s="60"/>
      <c r="KE99" s="16"/>
      <c r="KF99" s="16" t="s">
        <v>20</v>
      </c>
      <c r="KG99" s="16"/>
      <c r="KH99" s="16"/>
      <c r="KI99" s="16"/>
      <c r="KJ99" s="17"/>
      <c r="KN99" s="17"/>
      <c r="KO99" s="60"/>
      <c r="KP99" s="16"/>
      <c r="KQ99" s="16" t="s">
        <v>20</v>
      </c>
      <c r="KR99" s="16"/>
      <c r="KS99" s="16"/>
      <c r="KT99" s="16"/>
      <c r="KU99" s="17"/>
      <c r="KY99" s="17"/>
      <c r="KZ99" s="60"/>
      <c r="LA99" s="16"/>
      <c r="LB99" s="16" t="s">
        <v>20</v>
      </c>
      <c r="LC99" s="16"/>
      <c r="LD99" s="16"/>
      <c r="LE99" s="16"/>
      <c r="LF99" s="17"/>
      <c r="LJ99" s="17"/>
      <c r="LK99" s="60"/>
      <c r="LL99" s="16"/>
      <c r="LM99" s="16" t="s">
        <v>20</v>
      </c>
      <c r="LN99" s="16"/>
      <c r="LO99" s="16"/>
      <c r="LP99" s="16"/>
      <c r="LQ99" s="17"/>
    </row>
    <row r="100">
      <c r="C100" s="62"/>
      <c r="D100" s="61"/>
      <c r="E100" s="16"/>
      <c r="F100" s="16"/>
      <c r="G100" s="21"/>
      <c r="H100" s="16"/>
      <c r="I100" s="16"/>
      <c r="J100" s="17"/>
      <c r="N100" s="17"/>
      <c r="O100" s="61"/>
      <c r="P100" s="16"/>
      <c r="Q100" s="16" t="s">
        <v>20</v>
      </c>
      <c r="R100" s="16"/>
      <c r="S100" s="16"/>
      <c r="T100" s="16"/>
      <c r="U100" s="17"/>
      <c r="Y100" s="66">
        <v>94</v>
      </c>
      <c r="Z100" s="61">
        <v>27977</v>
      </c>
      <c r="AA100" s="16" t="s">
        <v>20</v>
      </c>
      <c r="AB100" s="16" t="s">
        <v>20</v>
      </c>
      <c r="AC100" s="16" t="s">
        <v>20</v>
      </c>
      <c r="AD100" s="16" t="s">
        <v>20</v>
      </c>
      <c r="AE100" s="16" t="s">
        <v>20</v>
      </c>
      <c r="AF100" s="17"/>
      <c r="AJ100" s="17">
        <v>94</v>
      </c>
      <c r="AK100" s="61">
        <v>27696</v>
      </c>
      <c r="AL100" s="16">
        <v>0</v>
      </c>
      <c r="AM100" s="16">
        <v>15.000000006984919</v>
      </c>
      <c r="AN100" s="16" t="s">
        <v>20</v>
      </c>
      <c r="AO100" s="16">
        <v>4</v>
      </c>
      <c r="AP100" s="16">
        <v>2.7</v>
      </c>
      <c r="AQ100" s="17"/>
      <c r="AU100" s="17">
        <v>94</v>
      </c>
      <c r="AV100" s="61">
        <v>27311</v>
      </c>
      <c r="AW100" s="16" t="s">
        <v>20</v>
      </c>
      <c r="AX100" s="16" t="s">
        <v>20</v>
      </c>
      <c r="AY100" s="16"/>
      <c r="AZ100" s="16" t="s">
        <v>20</v>
      </c>
      <c r="BA100" s="16" t="s">
        <v>20</v>
      </c>
      <c r="BB100" s="17"/>
      <c r="BF100" s="17">
        <v>94</v>
      </c>
      <c r="BG100" s="61">
        <v>27837</v>
      </c>
      <c r="BH100" s="16" t="s">
        <v>20</v>
      </c>
      <c r="BI100" s="16" t="s">
        <v>20</v>
      </c>
      <c r="BJ100" s="16" t="s">
        <v>20</v>
      </c>
      <c r="BK100" s="16" t="s">
        <v>20</v>
      </c>
      <c r="BL100" s="16" t="s">
        <v>20</v>
      </c>
      <c r="BM100" s="17"/>
      <c r="BQ100" s="17">
        <v>94</v>
      </c>
      <c r="BR100" s="61">
        <v>27531</v>
      </c>
      <c r="BS100" s="16">
        <v>0</v>
      </c>
      <c r="BT100" s="16">
        <v>23.000000001629815</v>
      </c>
      <c r="BU100" s="16" t="s">
        <v>20</v>
      </c>
      <c r="BV100" s="16">
        <v>4.5</v>
      </c>
      <c r="BW100" s="16">
        <v>2.5</v>
      </c>
      <c r="BX100" s="17"/>
      <c r="CB100" s="17"/>
      <c r="CC100" s="61"/>
      <c r="CD100" s="16"/>
      <c r="CE100" s="16"/>
      <c r="CF100" s="16"/>
      <c r="CG100" s="16"/>
      <c r="CH100" s="16"/>
      <c r="CI100" s="17"/>
      <c r="CM100" s="17"/>
      <c r="CN100" s="61"/>
      <c r="CO100" s="16"/>
      <c r="CP100" s="16" t="s">
        <v>20</v>
      </c>
      <c r="CQ100" s="16"/>
      <c r="CR100" s="16"/>
      <c r="CS100" s="16"/>
      <c r="CT100" s="17"/>
      <c r="CX100" s="17"/>
      <c r="CY100" s="60"/>
      <c r="CZ100" s="16"/>
      <c r="DA100" s="16" t="s">
        <v>20</v>
      </c>
      <c r="DB100" s="16"/>
      <c r="DC100" s="16"/>
      <c r="DD100" s="16"/>
      <c r="DE100" s="17"/>
      <c r="DI100" s="17">
        <v>94</v>
      </c>
      <c r="DJ100" s="60">
        <v>28387</v>
      </c>
      <c r="DK100" s="16" t="s">
        <v>20</v>
      </c>
      <c r="DL100" s="16" t="s">
        <v>20</v>
      </c>
      <c r="DM100" s="16" t="s">
        <v>20</v>
      </c>
      <c r="DN100" s="16" t="s">
        <v>20</v>
      </c>
      <c r="DO100" s="16" t="s">
        <v>20</v>
      </c>
      <c r="DP100" s="17"/>
      <c r="DT100" s="17"/>
      <c r="DU100" s="60"/>
      <c r="DV100" s="16"/>
      <c r="DW100" s="16" t="s">
        <v>20</v>
      </c>
      <c r="DX100" s="16"/>
      <c r="DY100" s="16"/>
      <c r="DZ100" s="16"/>
      <c r="EA100" s="17"/>
      <c r="EE100" s="17"/>
      <c r="EF100" s="60"/>
      <c r="EG100" s="16"/>
      <c r="EH100" s="16" t="s">
        <v>20</v>
      </c>
      <c r="EI100" s="16"/>
      <c r="EJ100" s="16"/>
      <c r="EK100" s="16"/>
      <c r="EL100" s="17"/>
      <c r="EP100" s="17">
        <v>94</v>
      </c>
      <c r="EQ100" s="60">
        <v>27835</v>
      </c>
      <c r="ER100" s="16" t="s">
        <v>20</v>
      </c>
      <c r="ES100" s="16" t="s">
        <v>20</v>
      </c>
      <c r="ET100" s="16" t="s">
        <v>20</v>
      </c>
      <c r="EU100" s="16" t="s">
        <v>20</v>
      </c>
      <c r="EV100" s="16" t="s">
        <v>20</v>
      </c>
      <c r="EW100" s="17"/>
      <c r="FA100" s="17"/>
      <c r="FB100" s="60"/>
      <c r="FC100" s="16"/>
      <c r="FD100" s="16" t="s">
        <v>20</v>
      </c>
      <c r="FE100" s="16"/>
      <c r="FF100" s="16"/>
      <c r="FG100" s="16"/>
      <c r="FH100" s="17"/>
      <c r="FL100" s="17"/>
      <c r="FM100" s="60"/>
      <c r="FN100" s="16"/>
      <c r="FO100" s="16" t="s">
        <v>20</v>
      </c>
      <c r="FP100" s="16"/>
      <c r="FQ100" s="16"/>
      <c r="FR100" s="16"/>
      <c r="FS100" s="17"/>
      <c r="FW100" s="17"/>
      <c r="FX100" s="60"/>
      <c r="FY100" s="16"/>
      <c r="FZ100" s="16" t="s">
        <v>20</v>
      </c>
      <c r="GA100" s="16"/>
      <c r="GB100" s="16"/>
      <c r="GC100" s="16"/>
      <c r="GD100" s="17"/>
      <c r="GH100" s="17"/>
      <c r="GI100" s="60"/>
      <c r="GJ100" s="16"/>
      <c r="GK100" s="16" t="s">
        <v>20</v>
      </c>
      <c r="GL100" s="16"/>
      <c r="GM100" s="16"/>
      <c r="GN100" s="16"/>
      <c r="GO100" s="17"/>
      <c r="GS100" s="17"/>
      <c r="GT100" s="60"/>
      <c r="GU100" s="16"/>
      <c r="GV100" s="16" t="s">
        <v>20</v>
      </c>
      <c r="GW100" s="16"/>
      <c r="GX100" s="16"/>
      <c r="GY100" s="16"/>
      <c r="GZ100" s="17"/>
      <c r="HD100" s="17"/>
      <c r="HE100" s="60"/>
      <c r="HF100" s="16"/>
      <c r="HG100" s="16" t="s">
        <v>20</v>
      </c>
      <c r="HH100" s="16"/>
      <c r="HI100" s="16"/>
      <c r="HJ100" s="16"/>
      <c r="HK100" s="17"/>
      <c r="HO100" s="17"/>
      <c r="HP100" s="60"/>
      <c r="HQ100" s="16"/>
      <c r="HR100" s="16" t="s">
        <v>20</v>
      </c>
      <c r="HS100" s="16"/>
      <c r="HT100" s="16"/>
      <c r="HU100" s="16"/>
      <c r="HV100" s="17"/>
      <c r="HZ100" s="17"/>
      <c r="IA100" s="60"/>
      <c r="IB100" s="16"/>
      <c r="IC100" s="16" t="s">
        <v>20</v>
      </c>
      <c r="ID100" s="16"/>
      <c r="IE100" s="16"/>
      <c r="IF100" s="16"/>
      <c r="IG100" s="17"/>
      <c r="IK100" s="17"/>
      <c r="IL100" s="60"/>
      <c r="IM100" s="16"/>
      <c r="IN100" s="16" t="s">
        <v>20</v>
      </c>
      <c r="IO100" s="16"/>
      <c r="IP100" s="16"/>
      <c r="IQ100" s="16"/>
      <c r="IR100" s="17"/>
      <c r="IV100" s="17"/>
      <c r="IW100" s="60"/>
      <c r="IX100" s="16"/>
      <c r="IY100" s="16" t="s">
        <v>20</v>
      </c>
      <c r="IZ100" s="16"/>
      <c r="JA100" s="16"/>
      <c r="JB100" s="16"/>
      <c r="JC100" s="17"/>
      <c r="JG100" s="17"/>
      <c r="JH100" s="60"/>
      <c r="JI100" s="16"/>
      <c r="JJ100" s="16" t="s">
        <v>20</v>
      </c>
      <c r="JK100" s="16"/>
      <c r="JL100" s="16"/>
      <c r="JM100" s="16"/>
      <c r="JN100" s="17"/>
      <c r="JR100" s="17"/>
      <c r="JS100" s="60"/>
      <c r="JT100" s="16"/>
      <c r="JU100" s="16" t="s">
        <v>20</v>
      </c>
      <c r="JV100" s="16"/>
      <c r="JW100" s="16"/>
      <c r="JX100" s="16"/>
      <c r="JY100" s="17"/>
      <c r="KC100" s="17"/>
      <c r="KD100" s="60"/>
      <c r="KE100" s="16"/>
      <c r="KF100" s="16" t="s">
        <v>20</v>
      </c>
      <c r="KG100" s="16"/>
      <c r="KH100" s="16"/>
      <c r="KI100" s="16"/>
      <c r="KJ100" s="17"/>
      <c r="KN100" s="17"/>
      <c r="KO100" s="60"/>
      <c r="KP100" s="16"/>
      <c r="KQ100" s="16" t="s">
        <v>20</v>
      </c>
      <c r="KR100" s="16"/>
      <c r="KS100" s="16"/>
      <c r="KT100" s="16"/>
      <c r="KU100" s="17"/>
      <c r="KY100" s="17"/>
      <c r="KZ100" s="60"/>
      <c r="LA100" s="16"/>
      <c r="LB100" s="16" t="s">
        <v>20</v>
      </c>
      <c r="LC100" s="16"/>
      <c r="LD100" s="16"/>
      <c r="LE100" s="16"/>
      <c r="LF100" s="17"/>
      <c r="LJ100" s="17"/>
      <c r="LK100" s="60"/>
      <c r="LL100" s="16"/>
      <c r="LM100" s="16" t="s">
        <v>20</v>
      </c>
      <c r="LN100" s="16"/>
      <c r="LO100" s="16"/>
      <c r="LP100" s="16"/>
      <c r="LQ100" s="17"/>
    </row>
    <row r="101">
      <c r="C101" s="62"/>
      <c r="D101" s="61"/>
      <c r="E101" s="16"/>
      <c r="F101" s="16"/>
      <c r="G101" s="21"/>
      <c r="H101" s="16"/>
      <c r="I101" s="16"/>
      <c r="J101" s="17"/>
      <c r="N101" s="17"/>
      <c r="O101" s="61"/>
      <c r="P101" s="16"/>
      <c r="Q101" s="16" t="s">
        <v>20</v>
      </c>
      <c r="R101" s="16"/>
      <c r="S101" s="16"/>
      <c r="T101" s="16"/>
      <c r="U101" s="17"/>
      <c r="Y101" s="66">
        <v>95</v>
      </c>
      <c r="Z101" s="61">
        <v>28178</v>
      </c>
      <c r="AA101" s="16" t="s">
        <v>20</v>
      </c>
      <c r="AB101" s="16" t="s">
        <v>20</v>
      </c>
      <c r="AC101" s="16" t="s">
        <v>20</v>
      </c>
      <c r="AD101" s="16" t="s">
        <v>20</v>
      </c>
      <c r="AE101" s="16" t="s">
        <v>20</v>
      </c>
      <c r="AF101" s="17"/>
      <c r="AJ101" s="17">
        <v>95</v>
      </c>
      <c r="AK101" s="61">
        <v>27897</v>
      </c>
      <c r="AL101" s="16">
        <v>0</v>
      </c>
      <c r="AM101" s="16">
        <v>13.000000000465661</v>
      </c>
      <c r="AN101" s="16" t="s">
        <v>20</v>
      </c>
      <c r="AO101" s="16">
        <v>4.5</v>
      </c>
      <c r="AP101" s="16">
        <v>3</v>
      </c>
      <c r="AQ101" s="17"/>
      <c r="AU101" s="17">
        <v>95</v>
      </c>
      <c r="AV101" s="61">
        <v>27512</v>
      </c>
      <c r="AW101" s="16" t="s">
        <v>20</v>
      </c>
      <c r="AX101" s="16" t="s">
        <v>20</v>
      </c>
      <c r="AY101" s="16"/>
      <c r="AZ101" s="16" t="s">
        <v>20</v>
      </c>
      <c r="BA101" s="16" t="s">
        <v>20</v>
      </c>
      <c r="BB101" s="17"/>
      <c r="BF101" s="17">
        <v>95</v>
      </c>
      <c r="BG101" s="61">
        <v>28039</v>
      </c>
      <c r="BH101" s="16" t="s">
        <v>20</v>
      </c>
      <c r="BI101" s="16" t="s">
        <v>20</v>
      </c>
      <c r="BJ101" s="16" t="s">
        <v>20</v>
      </c>
      <c r="BK101" s="16" t="s">
        <v>20</v>
      </c>
      <c r="BL101" s="16" t="s">
        <v>20</v>
      </c>
      <c r="BM101" s="17"/>
      <c r="BQ101" s="17">
        <v>95</v>
      </c>
      <c r="BR101" s="61">
        <v>27731</v>
      </c>
      <c r="BS101" s="16">
        <v>0</v>
      </c>
      <c r="BT101" s="16">
        <v>18.999999999068677</v>
      </c>
      <c r="BU101" s="16" t="s">
        <v>20</v>
      </c>
      <c r="BV101" s="16">
        <v>4.5</v>
      </c>
      <c r="BW101" s="16">
        <v>2.5</v>
      </c>
      <c r="BX101" s="17"/>
      <c r="CB101" s="17"/>
      <c r="CC101" s="61"/>
      <c r="CD101" s="16"/>
      <c r="CE101" s="16"/>
      <c r="CF101" s="16"/>
      <c r="CG101" s="16"/>
      <c r="CH101" s="16"/>
      <c r="CI101" s="17"/>
      <c r="CM101" s="17"/>
      <c r="CN101" s="61"/>
      <c r="CO101" s="16"/>
      <c r="CP101" s="16" t="s">
        <v>20</v>
      </c>
      <c r="CQ101" s="16"/>
      <c r="CR101" s="16"/>
      <c r="CS101" s="16"/>
      <c r="CT101" s="17"/>
      <c r="CX101" s="17"/>
      <c r="CY101" s="60"/>
      <c r="CZ101" s="16"/>
      <c r="DA101" s="16" t="s">
        <v>20</v>
      </c>
      <c r="DB101" s="16"/>
      <c r="DC101" s="16"/>
      <c r="DD101" s="16"/>
      <c r="DE101" s="17"/>
      <c r="DI101" s="17">
        <v>95</v>
      </c>
      <c r="DJ101" s="60">
        <v>28588</v>
      </c>
      <c r="DK101" s="16" t="s">
        <v>20</v>
      </c>
      <c r="DL101" s="16" t="s">
        <v>20</v>
      </c>
      <c r="DM101" s="16" t="s">
        <v>20</v>
      </c>
      <c r="DN101" s="16" t="s">
        <v>20</v>
      </c>
      <c r="DO101" s="16" t="s">
        <v>20</v>
      </c>
      <c r="DP101" s="17"/>
      <c r="DT101" s="17"/>
      <c r="DU101" s="60"/>
      <c r="DV101" s="16"/>
      <c r="DW101" s="16" t="s">
        <v>20</v>
      </c>
      <c r="DX101" s="16"/>
      <c r="DY101" s="16"/>
      <c r="DZ101" s="16"/>
      <c r="EA101" s="17"/>
      <c r="EE101" s="17"/>
      <c r="EF101" s="60"/>
      <c r="EG101" s="16"/>
      <c r="EH101" s="16" t="s">
        <v>20</v>
      </c>
      <c r="EI101" s="16"/>
      <c r="EJ101" s="16"/>
      <c r="EK101" s="16"/>
      <c r="EL101" s="17"/>
      <c r="EP101" s="17">
        <v>95</v>
      </c>
      <c r="EQ101" s="60">
        <v>28037</v>
      </c>
      <c r="ER101" s="16" t="s">
        <v>20</v>
      </c>
      <c r="ES101" s="16" t="s">
        <v>20</v>
      </c>
      <c r="ET101" s="16" t="s">
        <v>20</v>
      </c>
      <c r="EU101" s="16" t="s">
        <v>20</v>
      </c>
      <c r="EV101" s="16" t="s">
        <v>20</v>
      </c>
      <c r="EW101" s="17"/>
      <c r="FA101" s="17"/>
      <c r="FB101" s="60"/>
      <c r="FC101" s="16"/>
      <c r="FD101" s="16" t="s">
        <v>20</v>
      </c>
      <c r="FE101" s="16"/>
      <c r="FF101" s="16"/>
      <c r="FG101" s="16"/>
      <c r="FH101" s="17"/>
      <c r="FL101" s="17"/>
      <c r="FM101" s="60"/>
      <c r="FN101" s="16"/>
      <c r="FO101" s="16" t="s">
        <v>20</v>
      </c>
      <c r="FP101" s="16"/>
      <c r="FQ101" s="16"/>
      <c r="FR101" s="16"/>
      <c r="FS101" s="17"/>
      <c r="FW101" s="17"/>
      <c r="FX101" s="60"/>
      <c r="FY101" s="16"/>
      <c r="FZ101" s="16" t="s">
        <v>20</v>
      </c>
      <c r="GA101" s="16"/>
      <c r="GB101" s="16"/>
      <c r="GC101" s="16"/>
      <c r="GD101" s="17"/>
      <c r="GH101" s="17"/>
      <c r="GI101" s="60"/>
      <c r="GJ101" s="16"/>
      <c r="GK101" s="16" t="s">
        <v>20</v>
      </c>
      <c r="GL101" s="16"/>
      <c r="GM101" s="16"/>
      <c r="GN101" s="16"/>
      <c r="GO101" s="17"/>
      <c r="GS101" s="17"/>
      <c r="GT101" s="60"/>
      <c r="GU101" s="16"/>
      <c r="GV101" s="16" t="s">
        <v>20</v>
      </c>
      <c r="GW101" s="16"/>
      <c r="GX101" s="16"/>
      <c r="GY101" s="16"/>
      <c r="GZ101" s="17"/>
      <c r="HD101" s="17"/>
      <c r="HE101" s="60"/>
      <c r="HF101" s="16"/>
      <c r="HG101" s="16" t="s">
        <v>20</v>
      </c>
      <c r="HH101" s="16"/>
      <c r="HI101" s="16"/>
      <c r="HJ101" s="16"/>
      <c r="HK101" s="17"/>
      <c r="HO101" s="17"/>
      <c r="HP101" s="60"/>
      <c r="HQ101" s="16"/>
      <c r="HR101" s="16" t="s">
        <v>20</v>
      </c>
      <c r="HS101" s="16"/>
      <c r="HT101" s="16"/>
      <c r="HU101" s="16"/>
      <c r="HV101" s="17"/>
      <c r="HZ101" s="17"/>
      <c r="IA101" s="60"/>
      <c r="IB101" s="16"/>
      <c r="IC101" s="16" t="s">
        <v>20</v>
      </c>
      <c r="ID101" s="16"/>
      <c r="IE101" s="16"/>
      <c r="IF101" s="16"/>
      <c r="IG101" s="17"/>
      <c r="IK101" s="17"/>
      <c r="IL101" s="60"/>
      <c r="IM101" s="16"/>
      <c r="IN101" s="16" t="s">
        <v>20</v>
      </c>
      <c r="IO101" s="16"/>
      <c r="IP101" s="16"/>
      <c r="IQ101" s="16"/>
      <c r="IR101" s="17"/>
      <c r="IV101" s="17"/>
      <c r="IW101" s="60"/>
      <c r="IX101" s="16"/>
      <c r="IY101" s="16" t="s">
        <v>20</v>
      </c>
      <c r="IZ101" s="16"/>
      <c r="JA101" s="16"/>
      <c r="JB101" s="16"/>
      <c r="JC101" s="17"/>
      <c r="JG101" s="17"/>
      <c r="JH101" s="60"/>
      <c r="JI101" s="16"/>
      <c r="JJ101" s="16" t="s">
        <v>20</v>
      </c>
      <c r="JK101" s="16"/>
      <c r="JL101" s="16"/>
      <c r="JM101" s="16"/>
      <c r="JN101" s="17"/>
      <c r="JR101" s="17"/>
      <c r="JS101" s="60"/>
      <c r="JT101" s="16"/>
      <c r="JU101" s="16" t="s">
        <v>20</v>
      </c>
      <c r="JV101" s="16"/>
      <c r="JW101" s="16"/>
      <c r="JX101" s="16"/>
      <c r="JY101" s="17"/>
      <c r="KC101" s="17"/>
      <c r="KD101" s="60"/>
      <c r="KE101" s="16"/>
      <c r="KF101" s="16" t="s">
        <v>20</v>
      </c>
      <c r="KG101" s="16"/>
      <c r="KH101" s="16"/>
      <c r="KI101" s="16"/>
      <c r="KJ101" s="17"/>
      <c r="KN101" s="17"/>
      <c r="KO101" s="60"/>
      <c r="KP101" s="16"/>
      <c r="KQ101" s="16" t="s">
        <v>20</v>
      </c>
      <c r="KR101" s="16"/>
      <c r="KS101" s="16"/>
      <c r="KT101" s="16"/>
      <c r="KU101" s="17"/>
      <c r="KY101" s="17"/>
      <c r="KZ101" s="60"/>
      <c r="LA101" s="16"/>
      <c r="LB101" s="16" t="s">
        <v>20</v>
      </c>
      <c r="LC101" s="16"/>
      <c r="LD101" s="16"/>
      <c r="LE101" s="16"/>
      <c r="LF101" s="17"/>
      <c r="LJ101" s="17"/>
      <c r="LK101" s="60"/>
      <c r="LL101" s="16"/>
      <c r="LM101" s="16" t="s">
        <v>20</v>
      </c>
      <c r="LN101" s="16"/>
      <c r="LO101" s="16"/>
      <c r="LP101" s="16"/>
      <c r="LQ101" s="17"/>
    </row>
    <row r="102">
      <c r="C102" s="62"/>
      <c r="D102" s="61"/>
      <c r="E102" s="16"/>
      <c r="F102" s="16"/>
      <c r="G102" s="21"/>
      <c r="H102" s="16"/>
      <c r="I102" s="16"/>
      <c r="J102" s="17"/>
      <c r="N102" s="17"/>
      <c r="O102" s="61"/>
      <c r="P102" s="16"/>
      <c r="Q102" s="16" t="s">
        <v>20</v>
      </c>
      <c r="R102" s="16"/>
      <c r="S102" s="16"/>
      <c r="T102" s="16"/>
      <c r="U102" s="17"/>
      <c r="Y102" s="66">
        <v>96</v>
      </c>
      <c r="Z102" s="61">
        <v>28378</v>
      </c>
      <c r="AA102" s="16" t="s">
        <v>20</v>
      </c>
      <c r="AB102" s="16" t="s">
        <v>20</v>
      </c>
      <c r="AC102" s="16" t="s">
        <v>20</v>
      </c>
      <c r="AD102" s="16" t="s">
        <v>20</v>
      </c>
      <c r="AE102" s="16" t="s">
        <v>20</v>
      </c>
      <c r="AF102" s="17"/>
      <c r="AJ102" s="17">
        <v>96</v>
      </c>
      <c r="AK102" s="61">
        <v>28099</v>
      </c>
      <c r="AL102" s="16">
        <v>0</v>
      </c>
      <c r="AM102" s="16">
        <v>18.999999999068677</v>
      </c>
      <c r="AN102" s="16" t="s">
        <v>20</v>
      </c>
      <c r="AO102" s="16">
        <v>4.5</v>
      </c>
      <c r="AP102" s="16">
        <v>3</v>
      </c>
      <c r="AQ102" s="17"/>
      <c r="AU102" s="17">
        <v>96</v>
      </c>
      <c r="AV102" s="61">
        <v>27713</v>
      </c>
      <c r="AW102" s="16" t="s">
        <v>20</v>
      </c>
      <c r="AX102" s="16" t="s">
        <v>20</v>
      </c>
      <c r="AY102" s="16"/>
      <c r="AZ102" s="16" t="s">
        <v>20</v>
      </c>
      <c r="BA102" s="16" t="s">
        <v>20</v>
      </c>
      <c r="BB102" s="17"/>
      <c r="BF102" s="17">
        <v>96</v>
      </c>
      <c r="BG102" s="61">
        <v>28240</v>
      </c>
      <c r="BH102" s="16" t="s">
        <v>20</v>
      </c>
      <c r="BI102" s="16" t="s">
        <v>20</v>
      </c>
      <c r="BJ102" s="16" t="s">
        <v>20</v>
      </c>
      <c r="BK102" s="16" t="s">
        <v>20</v>
      </c>
      <c r="BL102" s="16" t="s">
        <v>20</v>
      </c>
      <c r="BM102" s="17"/>
      <c r="BQ102" s="17">
        <v>96</v>
      </c>
      <c r="BR102" s="61">
        <v>27931</v>
      </c>
      <c r="BS102" s="16">
        <v>0</v>
      </c>
      <c r="BT102" s="16">
        <v>20.000000002328306</v>
      </c>
      <c r="BU102" s="16" t="s">
        <v>20</v>
      </c>
      <c r="BV102" s="16">
        <v>4.5</v>
      </c>
      <c r="BW102" s="16">
        <v>2.5</v>
      </c>
      <c r="BX102" s="17"/>
      <c r="CB102" s="17"/>
      <c r="CC102" s="61"/>
      <c r="CD102" s="16"/>
      <c r="CE102" s="16" t="s">
        <v>20</v>
      </c>
      <c r="CF102" s="16"/>
      <c r="CG102" s="16"/>
      <c r="CH102" s="16"/>
      <c r="CI102" s="17"/>
      <c r="CM102" s="17"/>
      <c r="CN102" s="61"/>
      <c r="CO102" s="16"/>
      <c r="CP102" s="16" t="s">
        <v>20</v>
      </c>
      <c r="CQ102" s="16"/>
      <c r="CR102" s="16"/>
      <c r="CS102" s="16"/>
      <c r="CT102" s="17"/>
      <c r="CX102" s="17"/>
      <c r="CY102" s="60"/>
      <c r="CZ102" s="16"/>
      <c r="DA102" s="16" t="s">
        <v>20</v>
      </c>
      <c r="DB102" s="16"/>
      <c r="DC102" s="16"/>
      <c r="DD102" s="16"/>
      <c r="DE102" s="17"/>
      <c r="DI102" s="17">
        <v>96</v>
      </c>
      <c r="DJ102" s="60">
        <v>28789</v>
      </c>
      <c r="DK102" s="16" t="s">
        <v>20</v>
      </c>
      <c r="DL102" s="16" t="s">
        <v>20</v>
      </c>
      <c r="DM102" s="16" t="s">
        <v>20</v>
      </c>
      <c r="DN102" s="16" t="s">
        <v>20</v>
      </c>
      <c r="DO102" s="16" t="s">
        <v>20</v>
      </c>
      <c r="DP102" s="17"/>
      <c r="DT102" s="17"/>
      <c r="DU102" s="60"/>
      <c r="DV102" s="16"/>
      <c r="DW102" s="16" t="s">
        <v>20</v>
      </c>
      <c r="DX102" s="16"/>
      <c r="DY102" s="16"/>
      <c r="DZ102" s="16"/>
      <c r="EA102" s="17"/>
      <c r="EE102" s="17"/>
      <c r="EF102" s="60"/>
      <c r="EG102" s="16"/>
      <c r="EH102" s="16" t="s">
        <v>20</v>
      </c>
      <c r="EI102" s="16"/>
      <c r="EJ102" s="16"/>
      <c r="EK102" s="16"/>
      <c r="EL102" s="17"/>
      <c r="EP102" s="17">
        <v>96</v>
      </c>
      <c r="EQ102" s="60">
        <v>28239</v>
      </c>
      <c r="ER102" s="16" t="s">
        <v>20</v>
      </c>
      <c r="ES102" s="16" t="s">
        <v>20</v>
      </c>
      <c r="ET102" s="16" t="s">
        <v>20</v>
      </c>
      <c r="EU102" s="16" t="s">
        <v>20</v>
      </c>
      <c r="EV102" s="16" t="s">
        <v>20</v>
      </c>
      <c r="EW102" s="17"/>
      <c r="FA102" s="17"/>
      <c r="FB102" s="60"/>
      <c r="FC102" s="16"/>
      <c r="FD102" s="16" t="s">
        <v>20</v>
      </c>
      <c r="FE102" s="16"/>
      <c r="FF102" s="16"/>
      <c r="FG102" s="16"/>
      <c r="FH102" s="17"/>
      <c r="FL102" s="17"/>
      <c r="FM102" s="60"/>
      <c r="FN102" s="16"/>
      <c r="FO102" s="16" t="s">
        <v>20</v>
      </c>
      <c r="FP102" s="16"/>
      <c r="FQ102" s="16"/>
      <c r="FR102" s="16"/>
      <c r="FS102" s="17"/>
      <c r="FW102" s="17"/>
      <c r="FX102" s="60"/>
      <c r="FY102" s="16"/>
      <c r="FZ102" s="16" t="s">
        <v>20</v>
      </c>
      <c r="GA102" s="16"/>
      <c r="GB102" s="16"/>
      <c r="GC102" s="16"/>
      <c r="GD102" s="17"/>
      <c r="GH102" s="17"/>
      <c r="GI102" s="60"/>
      <c r="GJ102" s="16"/>
      <c r="GK102" s="16" t="s">
        <v>20</v>
      </c>
      <c r="GL102" s="16"/>
      <c r="GM102" s="16"/>
      <c r="GN102" s="16"/>
      <c r="GO102" s="17"/>
      <c r="GS102" s="17"/>
      <c r="GT102" s="60"/>
      <c r="GU102" s="16"/>
      <c r="GV102" s="16" t="s">
        <v>20</v>
      </c>
      <c r="GW102" s="16"/>
      <c r="GX102" s="16"/>
      <c r="GY102" s="16"/>
      <c r="GZ102" s="17"/>
      <c r="HD102" s="17"/>
      <c r="HE102" s="60"/>
      <c r="HF102" s="16"/>
      <c r="HG102" s="16" t="s">
        <v>20</v>
      </c>
      <c r="HH102" s="16"/>
      <c r="HI102" s="16"/>
      <c r="HJ102" s="16"/>
      <c r="HK102" s="17"/>
      <c r="HO102" s="17"/>
      <c r="HP102" s="60"/>
      <c r="HQ102" s="16"/>
      <c r="HR102" s="16" t="s">
        <v>20</v>
      </c>
      <c r="HS102" s="16"/>
      <c r="HT102" s="16"/>
      <c r="HU102" s="16"/>
      <c r="HV102" s="17"/>
      <c r="HZ102" s="17"/>
      <c r="IA102" s="60"/>
      <c r="IB102" s="16"/>
      <c r="IC102" s="16" t="s">
        <v>20</v>
      </c>
      <c r="ID102" s="16"/>
      <c r="IE102" s="16"/>
      <c r="IF102" s="16"/>
      <c r="IG102" s="17"/>
      <c r="IK102" s="17"/>
      <c r="IL102" s="60"/>
      <c r="IM102" s="16"/>
      <c r="IN102" s="16" t="s">
        <v>20</v>
      </c>
      <c r="IO102" s="16"/>
      <c r="IP102" s="16"/>
      <c r="IQ102" s="16"/>
      <c r="IR102" s="17"/>
      <c r="IV102" s="17"/>
      <c r="IW102" s="60"/>
      <c r="IX102" s="16"/>
      <c r="IY102" s="16" t="s">
        <v>20</v>
      </c>
      <c r="IZ102" s="16"/>
      <c r="JA102" s="16"/>
      <c r="JB102" s="16"/>
      <c r="JC102" s="17"/>
      <c r="JG102" s="17"/>
      <c r="JH102" s="60"/>
      <c r="JI102" s="16"/>
      <c r="JJ102" s="16" t="s">
        <v>20</v>
      </c>
      <c r="JK102" s="16"/>
      <c r="JL102" s="16"/>
      <c r="JM102" s="16"/>
      <c r="JN102" s="17"/>
      <c r="JR102" s="17"/>
      <c r="JS102" s="60"/>
      <c r="JT102" s="16"/>
      <c r="JU102" s="16" t="s">
        <v>20</v>
      </c>
      <c r="JV102" s="16"/>
      <c r="JW102" s="16"/>
      <c r="JX102" s="16"/>
      <c r="JY102" s="17"/>
      <c r="KC102" s="17"/>
      <c r="KD102" s="60"/>
      <c r="KE102" s="16"/>
      <c r="KF102" s="16" t="s">
        <v>20</v>
      </c>
      <c r="KG102" s="16"/>
      <c r="KH102" s="16"/>
      <c r="KI102" s="16"/>
      <c r="KJ102" s="17"/>
      <c r="KN102" s="17"/>
      <c r="KO102" s="60"/>
      <c r="KP102" s="16"/>
      <c r="KQ102" s="16" t="s">
        <v>20</v>
      </c>
      <c r="KR102" s="16"/>
      <c r="KS102" s="16"/>
      <c r="KT102" s="16"/>
      <c r="KU102" s="17"/>
      <c r="KY102" s="17"/>
      <c r="KZ102" s="60"/>
      <c r="LA102" s="16"/>
      <c r="LB102" s="16" t="s">
        <v>20</v>
      </c>
      <c r="LC102" s="16"/>
      <c r="LD102" s="16"/>
      <c r="LE102" s="16"/>
      <c r="LF102" s="17"/>
      <c r="LJ102" s="17"/>
      <c r="LK102" s="60"/>
      <c r="LL102" s="16"/>
      <c r="LM102" s="16" t="s">
        <v>20</v>
      </c>
      <c r="LN102" s="16"/>
      <c r="LO102" s="16"/>
      <c r="LP102" s="16"/>
      <c r="LQ102" s="17"/>
    </row>
    <row r="103">
      <c r="C103" s="31"/>
      <c r="D103" s="61"/>
      <c r="E103" s="16"/>
      <c r="F103" s="16" t="s">
        <v>20</v>
      </c>
      <c r="G103" s="21"/>
      <c r="H103" s="16"/>
      <c r="I103" s="16"/>
      <c r="J103" s="17"/>
      <c r="N103" s="17"/>
      <c r="O103" s="61"/>
      <c r="P103" s="16"/>
      <c r="Q103" s="16" t="s">
        <v>20</v>
      </c>
      <c r="R103" s="16"/>
      <c r="S103" s="16"/>
      <c r="T103" s="16"/>
      <c r="U103" s="17"/>
      <c r="Y103" s="66">
        <v>97</v>
      </c>
      <c r="Z103" s="61">
        <v>28579</v>
      </c>
      <c r="AA103" s="16" t="s">
        <v>20</v>
      </c>
      <c r="AB103" s="16" t="s">
        <v>20</v>
      </c>
      <c r="AC103" s="16" t="s">
        <v>20</v>
      </c>
      <c r="AD103" s="16" t="s">
        <v>20</v>
      </c>
      <c r="AE103" s="16" t="s">
        <v>20</v>
      </c>
      <c r="AF103" s="17"/>
      <c r="AJ103" s="17">
        <v>97</v>
      </c>
      <c r="AK103" s="61">
        <v>28301</v>
      </c>
      <c r="AL103" s="16">
        <v>0</v>
      </c>
      <c r="AM103" s="16">
        <v>26.000000000931323</v>
      </c>
      <c r="AN103" s="16" t="s">
        <v>20</v>
      </c>
      <c r="AO103" s="16">
        <v>4.5</v>
      </c>
      <c r="AP103" s="16">
        <v>2.4</v>
      </c>
      <c r="AQ103" s="17"/>
      <c r="AU103" s="17">
        <v>97</v>
      </c>
      <c r="AV103" s="61">
        <v>27915</v>
      </c>
      <c r="AW103" s="16" t="s">
        <v>20</v>
      </c>
      <c r="AX103" s="16" t="s">
        <v>20</v>
      </c>
      <c r="AY103" s="16"/>
      <c r="AZ103" s="16" t="s">
        <v>20</v>
      </c>
      <c r="BA103" s="16" t="s">
        <v>20</v>
      </c>
      <c r="BB103" s="17"/>
      <c r="BF103" s="17">
        <v>97</v>
      </c>
      <c r="BG103" s="61">
        <v>28442</v>
      </c>
      <c r="BH103" s="16" t="s">
        <v>20</v>
      </c>
      <c r="BI103" s="16" t="s">
        <v>20</v>
      </c>
      <c r="BJ103" s="16" t="s">
        <v>20</v>
      </c>
      <c r="BK103" s="16" t="s">
        <v>20</v>
      </c>
      <c r="BL103" s="16" t="s">
        <v>20</v>
      </c>
      <c r="BM103" s="17"/>
      <c r="BQ103" s="17">
        <v>97</v>
      </c>
      <c r="BR103" s="61">
        <v>28132</v>
      </c>
      <c r="BS103" s="16">
        <v>0</v>
      </c>
      <c r="BT103" s="16">
        <v>21.999999998370185</v>
      </c>
      <c r="BU103" s="16" t="s">
        <v>20</v>
      </c>
      <c r="BV103" s="16">
        <v>4.5</v>
      </c>
      <c r="BW103" s="16">
        <v>2.5</v>
      </c>
      <c r="BX103" s="17"/>
      <c r="CB103" s="17"/>
      <c r="CC103" s="61"/>
      <c r="CD103" s="16"/>
      <c r="CE103" s="16" t="s">
        <v>20</v>
      </c>
      <c r="CF103" s="16"/>
      <c r="CG103" s="16"/>
      <c r="CH103" s="16"/>
      <c r="CI103" s="17"/>
      <c r="CM103" s="17"/>
      <c r="CN103" s="61"/>
      <c r="CO103" s="16"/>
      <c r="CP103" s="16" t="s">
        <v>20</v>
      </c>
      <c r="CQ103" s="16"/>
      <c r="CR103" s="16"/>
      <c r="CS103" s="16"/>
      <c r="CT103" s="17"/>
      <c r="CX103" s="17"/>
      <c r="CY103" s="60"/>
      <c r="CZ103" s="16"/>
      <c r="DA103" s="16" t="s">
        <v>20</v>
      </c>
      <c r="DB103" s="16"/>
      <c r="DC103" s="16"/>
      <c r="DD103" s="16"/>
      <c r="DE103" s="17"/>
      <c r="DI103" s="17">
        <v>97</v>
      </c>
      <c r="DJ103" s="60">
        <v>28991</v>
      </c>
      <c r="DK103" s="16" t="s">
        <v>20</v>
      </c>
      <c r="DL103" s="16" t="s">
        <v>20</v>
      </c>
      <c r="DM103" s="16" t="s">
        <v>20</v>
      </c>
      <c r="DN103" s="16" t="s">
        <v>20</v>
      </c>
      <c r="DO103" s="16" t="s">
        <v>20</v>
      </c>
      <c r="DP103" s="17"/>
      <c r="DT103" s="17"/>
      <c r="DU103" s="60"/>
      <c r="DV103" s="16"/>
      <c r="DW103" s="16" t="s">
        <v>20</v>
      </c>
      <c r="DX103" s="16"/>
      <c r="DY103" s="16"/>
      <c r="DZ103" s="16"/>
      <c r="EA103" s="17"/>
      <c r="EE103" s="17"/>
      <c r="EF103" s="60"/>
      <c r="EG103" s="16"/>
      <c r="EH103" s="16" t="s">
        <v>20</v>
      </c>
      <c r="EI103" s="16"/>
      <c r="EJ103" s="16"/>
      <c r="EK103" s="16"/>
      <c r="EL103" s="17"/>
      <c r="EP103" s="17">
        <v>97</v>
      </c>
      <c r="EQ103" s="60">
        <v>28441</v>
      </c>
      <c r="ER103" s="16" t="s">
        <v>20</v>
      </c>
      <c r="ES103" s="16" t="s">
        <v>20</v>
      </c>
      <c r="ET103" s="16" t="s">
        <v>20</v>
      </c>
      <c r="EU103" s="16" t="s">
        <v>20</v>
      </c>
      <c r="EV103" s="16" t="s">
        <v>20</v>
      </c>
      <c r="EW103" s="17"/>
      <c r="FA103" s="17"/>
      <c r="FB103" s="60"/>
      <c r="FC103" s="16"/>
      <c r="FD103" s="16" t="s">
        <v>20</v>
      </c>
      <c r="FE103" s="16"/>
      <c r="FF103" s="16"/>
      <c r="FG103" s="16"/>
      <c r="FH103" s="17"/>
      <c r="FL103" s="17"/>
      <c r="FM103" s="60"/>
      <c r="FN103" s="16"/>
      <c r="FO103" s="16" t="s">
        <v>20</v>
      </c>
      <c r="FP103" s="16"/>
      <c r="FQ103" s="16"/>
      <c r="FR103" s="16"/>
      <c r="FS103" s="17"/>
      <c r="FW103" s="17"/>
      <c r="FX103" s="60"/>
      <c r="FY103" s="16"/>
      <c r="FZ103" s="16" t="s">
        <v>20</v>
      </c>
      <c r="GA103" s="16"/>
      <c r="GB103" s="16"/>
      <c r="GC103" s="16"/>
      <c r="GD103" s="17"/>
      <c r="GH103" s="17"/>
      <c r="GI103" s="60"/>
      <c r="GJ103" s="16"/>
      <c r="GK103" s="16" t="s">
        <v>20</v>
      </c>
      <c r="GL103" s="16"/>
      <c r="GM103" s="16"/>
      <c r="GN103" s="16"/>
      <c r="GO103" s="17"/>
      <c r="GS103" s="17"/>
      <c r="GT103" s="60"/>
      <c r="GU103" s="16"/>
      <c r="GV103" s="16" t="s">
        <v>20</v>
      </c>
      <c r="GW103" s="16"/>
      <c r="GX103" s="16"/>
      <c r="GY103" s="16"/>
      <c r="GZ103" s="17"/>
      <c r="HD103" s="17"/>
      <c r="HE103" s="60"/>
      <c r="HF103" s="16"/>
      <c r="HG103" s="16" t="s">
        <v>20</v>
      </c>
      <c r="HH103" s="16"/>
      <c r="HI103" s="16"/>
      <c r="HJ103" s="16"/>
      <c r="HK103" s="17"/>
      <c r="HO103" s="17"/>
      <c r="HP103" s="60"/>
      <c r="HQ103" s="16"/>
      <c r="HR103" s="16" t="s">
        <v>20</v>
      </c>
      <c r="HS103" s="16"/>
      <c r="HT103" s="16"/>
      <c r="HU103" s="16"/>
      <c r="HV103" s="17"/>
      <c r="HZ103" s="17"/>
      <c r="IA103" s="60"/>
      <c r="IB103" s="16"/>
      <c r="IC103" s="16" t="s">
        <v>20</v>
      </c>
      <c r="ID103" s="16"/>
      <c r="IE103" s="16"/>
      <c r="IF103" s="16"/>
      <c r="IG103" s="17"/>
      <c r="IK103" s="17"/>
      <c r="IL103" s="60"/>
      <c r="IM103" s="16"/>
      <c r="IN103" s="16" t="s">
        <v>20</v>
      </c>
      <c r="IO103" s="16"/>
      <c r="IP103" s="16"/>
      <c r="IQ103" s="16"/>
      <c r="IR103" s="17"/>
      <c r="IV103" s="17"/>
      <c r="IW103" s="60"/>
      <c r="IX103" s="16"/>
      <c r="IY103" s="16" t="s">
        <v>20</v>
      </c>
      <c r="IZ103" s="16"/>
      <c r="JA103" s="16"/>
      <c r="JB103" s="16"/>
      <c r="JC103" s="17"/>
      <c r="JG103" s="17"/>
      <c r="JH103" s="60"/>
      <c r="JI103" s="16"/>
      <c r="JJ103" s="16" t="s">
        <v>20</v>
      </c>
      <c r="JK103" s="16"/>
      <c r="JL103" s="16"/>
      <c r="JM103" s="16"/>
      <c r="JN103" s="17"/>
      <c r="JR103" s="17"/>
      <c r="JS103" s="60"/>
      <c r="JT103" s="16"/>
      <c r="JU103" s="16" t="s">
        <v>20</v>
      </c>
      <c r="JV103" s="16"/>
      <c r="JW103" s="16"/>
      <c r="JX103" s="16"/>
      <c r="JY103" s="17"/>
      <c r="KC103" s="17"/>
      <c r="KD103" s="60"/>
      <c r="KE103" s="16"/>
      <c r="KF103" s="16" t="s">
        <v>20</v>
      </c>
      <c r="KG103" s="16"/>
      <c r="KH103" s="16"/>
      <c r="KI103" s="16"/>
      <c r="KJ103" s="17"/>
      <c r="KN103" s="17"/>
      <c r="KO103" s="60"/>
      <c r="KP103" s="16"/>
      <c r="KQ103" s="16" t="s">
        <v>20</v>
      </c>
      <c r="KR103" s="16"/>
      <c r="KS103" s="16"/>
      <c r="KT103" s="16"/>
      <c r="KU103" s="17"/>
      <c r="KY103" s="17"/>
      <c r="KZ103" s="60"/>
      <c r="LA103" s="16"/>
      <c r="LB103" s="16" t="s">
        <v>20</v>
      </c>
      <c r="LC103" s="16"/>
      <c r="LD103" s="16"/>
      <c r="LE103" s="16"/>
      <c r="LF103" s="17"/>
      <c r="LJ103" s="17"/>
      <c r="LK103" s="60"/>
      <c r="LL103" s="16"/>
      <c r="LM103" s="16" t="s">
        <v>20</v>
      </c>
      <c r="LN103" s="16"/>
      <c r="LO103" s="16"/>
      <c r="LP103" s="16"/>
      <c r="LQ103" s="17"/>
    </row>
    <row r="104">
      <c r="C104" s="31"/>
      <c r="D104" s="61"/>
      <c r="E104" s="16"/>
      <c r="F104" s="16" t="s">
        <v>20</v>
      </c>
      <c r="G104" s="21"/>
      <c r="H104" s="16"/>
      <c r="I104" s="16"/>
      <c r="J104" s="17"/>
      <c r="N104" s="17"/>
      <c r="O104" s="61"/>
      <c r="P104" s="16"/>
      <c r="Q104" s="16" t="s">
        <v>20</v>
      </c>
      <c r="R104" s="16"/>
      <c r="S104" s="16"/>
      <c r="T104" s="16"/>
      <c r="U104" s="17"/>
      <c r="Y104" s="66">
        <v>98</v>
      </c>
      <c r="Z104" s="61">
        <v>28780</v>
      </c>
      <c r="AA104" s="16" t="s">
        <v>20</v>
      </c>
      <c r="AB104" s="16" t="s">
        <v>20</v>
      </c>
      <c r="AC104" s="16" t="s">
        <v>20</v>
      </c>
      <c r="AD104" s="16" t="s">
        <v>20</v>
      </c>
      <c r="AE104" s="16" t="s">
        <v>20</v>
      </c>
      <c r="AF104" s="17"/>
      <c r="AJ104" s="17">
        <v>98</v>
      </c>
      <c r="AK104" s="61">
        <v>28503</v>
      </c>
      <c r="AL104" s="16">
        <v>0</v>
      </c>
      <c r="AM104" s="16">
        <v>17.999999995809048</v>
      </c>
      <c r="AN104" s="16" t="s">
        <v>20</v>
      </c>
      <c r="AO104" s="16">
        <v>4.5</v>
      </c>
      <c r="AP104" s="16">
        <v>3.1</v>
      </c>
      <c r="AQ104" s="17"/>
      <c r="AU104" s="17">
        <v>98</v>
      </c>
      <c r="AV104" s="61">
        <v>28116</v>
      </c>
      <c r="AW104" s="16" t="s">
        <v>20</v>
      </c>
      <c r="AX104" s="16" t="s">
        <v>20</v>
      </c>
      <c r="AY104" s="16"/>
      <c r="AZ104" s="16" t="s">
        <v>20</v>
      </c>
      <c r="BA104" s="16" t="s">
        <v>20</v>
      </c>
      <c r="BB104" s="17"/>
      <c r="BF104" s="17">
        <v>98</v>
      </c>
      <c r="BG104" s="61">
        <v>28643</v>
      </c>
      <c r="BH104" s="16" t="s">
        <v>20</v>
      </c>
      <c r="BI104" s="16" t="s">
        <v>20</v>
      </c>
      <c r="BJ104" s="16" t="s">
        <v>20</v>
      </c>
      <c r="BK104" s="16" t="s">
        <v>20</v>
      </c>
      <c r="BL104" s="16" t="s">
        <v>20</v>
      </c>
      <c r="BM104" s="17"/>
      <c r="BQ104" s="17">
        <v>98</v>
      </c>
      <c r="BR104" s="61">
        <v>28332</v>
      </c>
      <c r="BS104" s="16">
        <v>0</v>
      </c>
      <c r="BT104" s="16">
        <v>222.00000000069849</v>
      </c>
      <c r="BU104" s="16" t="s">
        <v>20</v>
      </c>
      <c r="BV104" s="16">
        <v>4.5</v>
      </c>
      <c r="BW104" s="16">
        <v>2.3</v>
      </c>
      <c r="BX104" s="17"/>
      <c r="CB104" s="17"/>
      <c r="CC104" s="61"/>
      <c r="CD104" s="16"/>
      <c r="CE104" s="16" t="s">
        <v>20</v>
      </c>
      <c r="CF104" s="16"/>
      <c r="CG104" s="16"/>
      <c r="CH104" s="16"/>
      <c r="CI104" s="17"/>
      <c r="CM104" s="17"/>
      <c r="CN104" s="61"/>
      <c r="CO104" s="16"/>
      <c r="CP104" s="16" t="s">
        <v>20</v>
      </c>
      <c r="CQ104" s="16"/>
      <c r="CR104" s="16"/>
      <c r="CS104" s="16"/>
      <c r="CT104" s="17"/>
      <c r="CX104" s="17"/>
      <c r="CY104" s="60"/>
      <c r="CZ104" s="16"/>
      <c r="DA104" s="16" t="s">
        <v>20</v>
      </c>
      <c r="DB104" s="16"/>
      <c r="DC104" s="16"/>
      <c r="DD104" s="16"/>
      <c r="DE104" s="17"/>
      <c r="DI104" s="17">
        <v>98</v>
      </c>
      <c r="DJ104" s="60">
        <v>29192</v>
      </c>
      <c r="DK104" s="16" t="s">
        <v>20</v>
      </c>
      <c r="DL104" s="16" t="s">
        <v>20</v>
      </c>
      <c r="DM104" s="16" t="s">
        <v>20</v>
      </c>
      <c r="DN104" s="16" t="s">
        <v>20</v>
      </c>
      <c r="DO104" s="16" t="s">
        <v>20</v>
      </c>
      <c r="DP104" s="17"/>
      <c r="DT104" s="17"/>
      <c r="DU104" s="60"/>
      <c r="DV104" s="16"/>
      <c r="DW104" s="16" t="s">
        <v>20</v>
      </c>
      <c r="DX104" s="16"/>
      <c r="DY104" s="16"/>
      <c r="DZ104" s="16"/>
      <c r="EA104" s="17"/>
      <c r="EE104" s="17"/>
      <c r="EF104" s="60"/>
      <c r="EG104" s="16"/>
      <c r="EH104" s="16" t="s">
        <v>20</v>
      </c>
      <c r="EI104" s="16"/>
      <c r="EJ104" s="16"/>
      <c r="EK104" s="16"/>
      <c r="EL104" s="17"/>
      <c r="EP104" s="17">
        <v>98</v>
      </c>
      <c r="EQ104" s="60">
        <v>28642</v>
      </c>
      <c r="ER104" s="16" t="s">
        <v>20</v>
      </c>
      <c r="ES104" s="16" t="s">
        <v>20</v>
      </c>
      <c r="ET104" s="16" t="s">
        <v>20</v>
      </c>
      <c r="EU104" s="16" t="s">
        <v>20</v>
      </c>
      <c r="EV104" s="16" t="s">
        <v>20</v>
      </c>
      <c r="EW104" s="17"/>
      <c r="FA104" s="17"/>
      <c r="FB104" s="60"/>
      <c r="FC104" s="16"/>
      <c r="FD104" s="16" t="s">
        <v>20</v>
      </c>
      <c r="FE104" s="16"/>
      <c r="FF104" s="16"/>
      <c r="FG104" s="16"/>
      <c r="FH104" s="17"/>
      <c r="FL104" s="17"/>
      <c r="FM104" s="60"/>
      <c r="FN104" s="16"/>
      <c r="FO104" s="16" t="s">
        <v>20</v>
      </c>
      <c r="FP104" s="16"/>
      <c r="FQ104" s="16"/>
      <c r="FR104" s="16"/>
      <c r="FS104" s="17"/>
      <c r="FW104" s="17"/>
      <c r="FX104" s="60"/>
      <c r="FY104" s="16"/>
      <c r="FZ104" s="16" t="s">
        <v>20</v>
      </c>
      <c r="GA104" s="16"/>
      <c r="GB104" s="16"/>
      <c r="GC104" s="16"/>
      <c r="GD104" s="17"/>
      <c r="GH104" s="17"/>
      <c r="GI104" s="60"/>
      <c r="GJ104" s="16"/>
      <c r="GK104" s="16" t="s">
        <v>20</v>
      </c>
      <c r="GL104" s="16"/>
      <c r="GM104" s="16"/>
      <c r="GN104" s="16"/>
      <c r="GO104" s="17"/>
      <c r="GS104" s="17"/>
      <c r="GT104" s="60"/>
      <c r="GU104" s="16"/>
      <c r="GV104" s="16" t="s">
        <v>20</v>
      </c>
      <c r="GW104" s="16"/>
      <c r="GX104" s="16"/>
      <c r="GY104" s="16"/>
      <c r="GZ104" s="17"/>
      <c r="HD104" s="17"/>
      <c r="HE104" s="60"/>
      <c r="HF104" s="16"/>
      <c r="HG104" s="16" t="s">
        <v>20</v>
      </c>
      <c r="HH104" s="16"/>
      <c r="HI104" s="16"/>
      <c r="HJ104" s="16"/>
      <c r="HK104" s="17"/>
      <c r="HO104" s="17"/>
      <c r="HP104" s="60"/>
      <c r="HQ104" s="16"/>
      <c r="HR104" s="16" t="s">
        <v>20</v>
      </c>
      <c r="HS104" s="16"/>
      <c r="HT104" s="16"/>
      <c r="HU104" s="16"/>
      <c r="HV104" s="17"/>
      <c r="HZ104" s="17"/>
      <c r="IA104" s="60"/>
      <c r="IB104" s="16"/>
      <c r="IC104" s="16" t="s">
        <v>20</v>
      </c>
      <c r="ID104" s="16"/>
      <c r="IE104" s="16"/>
      <c r="IF104" s="16"/>
      <c r="IG104" s="17"/>
      <c r="IK104" s="17"/>
      <c r="IL104" s="60"/>
      <c r="IM104" s="16"/>
      <c r="IN104" s="16" t="s">
        <v>20</v>
      </c>
      <c r="IO104" s="16"/>
      <c r="IP104" s="16"/>
      <c r="IQ104" s="16"/>
      <c r="IR104" s="17"/>
      <c r="IV104" s="17"/>
      <c r="IW104" s="60"/>
      <c r="IX104" s="16"/>
      <c r="IY104" s="16" t="s">
        <v>20</v>
      </c>
      <c r="IZ104" s="16"/>
      <c r="JA104" s="16"/>
      <c r="JB104" s="16"/>
      <c r="JC104" s="17"/>
      <c r="JG104" s="17"/>
      <c r="JH104" s="60"/>
      <c r="JI104" s="16"/>
      <c r="JJ104" s="16" t="s">
        <v>20</v>
      </c>
      <c r="JK104" s="16"/>
      <c r="JL104" s="16"/>
      <c r="JM104" s="16"/>
      <c r="JN104" s="17"/>
      <c r="JR104" s="17"/>
      <c r="JS104" s="60"/>
      <c r="JT104" s="16"/>
      <c r="JU104" s="16" t="s">
        <v>20</v>
      </c>
      <c r="JV104" s="16"/>
      <c r="JW104" s="16"/>
      <c r="JX104" s="16"/>
      <c r="JY104" s="17"/>
      <c r="KC104" s="17"/>
      <c r="KD104" s="60"/>
      <c r="KE104" s="16"/>
      <c r="KF104" s="16" t="s">
        <v>20</v>
      </c>
      <c r="KG104" s="16"/>
      <c r="KH104" s="16"/>
      <c r="KI104" s="16"/>
      <c r="KJ104" s="17"/>
      <c r="KN104" s="17"/>
      <c r="KO104" s="60"/>
      <c r="KP104" s="16"/>
      <c r="KQ104" s="16" t="s">
        <v>20</v>
      </c>
      <c r="KR104" s="16"/>
      <c r="KS104" s="16"/>
      <c r="KT104" s="16"/>
      <c r="KU104" s="17"/>
      <c r="KY104" s="17"/>
      <c r="KZ104" s="60"/>
      <c r="LA104" s="16"/>
      <c r="LB104" s="16" t="s">
        <v>20</v>
      </c>
      <c r="LC104" s="16"/>
      <c r="LD104" s="16"/>
      <c r="LE104" s="16"/>
      <c r="LF104" s="17"/>
      <c r="LJ104" s="17"/>
      <c r="LK104" s="60"/>
      <c r="LL104" s="16"/>
      <c r="LM104" s="16" t="s">
        <v>20</v>
      </c>
      <c r="LN104" s="16"/>
      <c r="LO104" s="16"/>
      <c r="LP104" s="16"/>
      <c r="LQ104" s="17"/>
    </row>
    <row r="105">
      <c r="C105" s="31"/>
      <c r="D105" s="61"/>
      <c r="E105" s="16"/>
      <c r="F105" s="16" t="s">
        <v>20</v>
      </c>
      <c r="G105" s="21"/>
      <c r="H105" s="16"/>
      <c r="I105" s="16"/>
      <c r="J105" s="17"/>
      <c r="N105" s="17"/>
      <c r="O105" s="61"/>
      <c r="P105" s="16"/>
      <c r="Q105" s="16" t="s">
        <v>20</v>
      </c>
      <c r="R105" s="16"/>
      <c r="S105" s="16"/>
      <c r="T105" s="16"/>
      <c r="U105" s="17"/>
      <c r="Y105" s="66">
        <v>99</v>
      </c>
      <c r="Z105" s="61">
        <v>28980</v>
      </c>
      <c r="AA105" s="16" t="s">
        <v>20</v>
      </c>
      <c r="AB105" s="16" t="s">
        <v>20</v>
      </c>
      <c r="AC105" s="16" t="s">
        <v>20</v>
      </c>
      <c r="AD105" s="16" t="s">
        <v>20</v>
      </c>
      <c r="AE105" s="16" t="s">
        <v>20</v>
      </c>
      <c r="AF105" s="17"/>
      <c r="AJ105" s="17">
        <v>99</v>
      </c>
      <c r="AK105" s="61">
        <v>28704</v>
      </c>
      <c r="AL105" s="16">
        <v>0</v>
      </c>
      <c r="AM105" s="16">
        <v>18.999999999068677</v>
      </c>
      <c r="AN105" s="16" t="s">
        <v>20</v>
      </c>
      <c r="AO105" s="16">
        <v>4.5</v>
      </c>
      <c r="AP105" s="16">
        <v>2.7</v>
      </c>
      <c r="AQ105" s="17"/>
      <c r="AU105" s="17">
        <v>99</v>
      </c>
      <c r="AV105" s="61">
        <v>28317</v>
      </c>
      <c r="AW105" s="16" t="s">
        <v>20</v>
      </c>
      <c r="AX105" s="16" t="s">
        <v>20</v>
      </c>
      <c r="AY105" s="16"/>
      <c r="AZ105" s="16" t="s">
        <v>20</v>
      </c>
      <c r="BA105" s="16" t="s">
        <v>20</v>
      </c>
      <c r="BB105" s="17"/>
      <c r="BF105" s="17">
        <v>99</v>
      </c>
      <c r="BG105" s="61">
        <v>28845</v>
      </c>
      <c r="BH105" s="16" t="s">
        <v>20</v>
      </c>
      <c r="BI105" s="16" t="s">
        <v>20</v>
      </c>
      <c r="BJ105" s="16" t="s">
        <v>20</v>
      </c>
      <c r="BK105" s="16" t="s">
        <v>20</v>
      </c>
      <c r="BL105" s="16" t="s">
        <v>20</v>
      </c>
      <c r="BM105" s="17"/>
      <c r="BQ105" s="17">
        <v>99</v>
      </c>
      <c r="BR105" s="61">
        <v>28533</v>
      </c>
      <c r="BS105" s="16">
        <v>0</v>
      </c>
      <c r="BT105" s="16">
        <v>20.999999995110556</v>
      </c>
      <c r="BU105" s="16" t="s">
        <v>20</v>
      </c>
      <c r="BV105" s="16">
        <v>4.5</v>
      </c>
      <c r="BW105" s="16">
        <v>2.4</v>
      </c>
      <c r="BX105" s="17"/>
      <c r="CB105" s="17"/>
      <c r="CC105" s="61"/>
      <c r="CD105" s="16"/>
      <c r="CE105" s="16" t="s">
        <v>20</v>
      </c>
      <c r="CF105" s="16"/>
      <c r="CG105" s="16"/>
      <c r="CH105" s="16"/>
      <c r="CI105" s="17"/>
      <c r="CM105" s="17"/>
      <c r="CN105" s="61"/>
      <c r="CO105" s="16"/>
      <c r="CP105" s="16" t="s">
        <v>20</v>
      </c>
      <c r="CQ105" s="16"/>
      <c r="CR105" s="16"/>
      <c r="CS105" s="16"/>
      <c r="CT105" s="17"/>
      <c r="CX105" s="17"/>
      <c r="CY105" s="60"/>
      <c r="CZ105" s="16"/>
      <c r="DA105" s="16" t="s">
        <v>20</v>
      </c>
      <c r="DB105" s="16"/>
      <c r="DC105" s="16"/>
      <c r="DD105" s="16"/>
      <c r="DE105" s="17"/>
      <c r="DI105" s="17">
        <v>99</v>
      </c>
      <c r="DJ105" s="60">
        <v>29393</v>
      </c>
      <c r="DK105" s="16" t="s">
        <v>20</v>
      </c>
      <c r="DL105" s="16" t="s">
        <v>20</v>
      </c>
      <c r="DM105" s="16" t="s">
        <v>20</v>
      </c>
      <c r="DN105" s="16" t="s">
        <v>20</v>
      </c>
      <c r="DO105" s="16" t="s">
        <v>20</v>
      </c>
      <c r="DP105" s="17"/>
      <c r="DT105" s="17"/>
      <c r="DU105" s="60"/>
      <c r="DV105" s="16"/>
      <c r="DW105" s="16" t="s">
        <v>20</v>
      </c>
      <c r="DX105" s="16"/>
      <c r="DY105" s="16"/>
      <c r="DZ105" s="16"/>
      <c r="EA105" s="17"/>
      <c r="EE105" s="17"/>
      <c r="EF105" s="60"/>
      <c r="EG105" s="16"/>
      <c r="EH105" s="16" t="s">
        <v>20</v>
      </c>
      <c r="EI105" s="16"/>
      <c r="EJ105" s="16"/>
      <c r="EK105" s="16"/>
      <c r="EL105" s="17"/>
      <c r="EP105" s="17">
        <v>99</v>
      </c>
      <c r="EQ105" s="60">
        <v>28844</v>
      </c>
      <c r="ER105" s="16" t="s">
        <v>20</v>
      </c>
      <c r="ES105" s="16" t="s">
        <v>20</v>
      </c>
      <c r="ET105" s="16" t="s">
        <v>20</v>
      </c>
      <c r="EU105" s="16" t="s">
        <v>20</v>
      </c>
      <c r="EV105" s="16" t="s">
        <v>20</v>
      </c>
      <c r="EW105" s="17"/>
      <c r="FA105" s="17"/>
      <c r="FB105" s="60"/>
      <c r="FC105" s="16"/>
      <c r="FD105" s="16" t="s">
        <v>20</v>
      </c>
      <c r="FE105" s="16"/>
      <c r="FF105" s="16"/>
      <c r="FG105" s="16"/>
      <c r="FH105" s="17"/>
      <c r="FL105" s="17"/>
      <c r="FM105" s="60"/>
      <c r="FN105" s="16"/>
      <c r="FO105" s="16" t="s">
        <v>20</v>
      </c>
      <c r="FP105" s="16"/>
      <c r="FQ105" s="16"/>
      <c r="FR105" s="16"/>
      <c r="FS105" s="17"/>
      <c r="FW105" s="17"/>
      <c r="FX105" s="60"/>
      <c r="FY105" s="16"/>
      <c r="FZ105" s="16" t="s">
        <v>20</v>
      </c>
      <c r="GA105" s="16"/>
      <c r="GB105" s="16"/>
      <c r="GC105" s="16"/>
      <c r="GD105" s="17"/>
      <c r="GH105" s="17"/>
      <c r="GI105" s="60"/>
      <c r="GJ105" s="16"/>
      <c r="GK105" s="16" t="s">
        <v>20</v>
      </c>
      <c r="GL105" s="16"/>
      <c r="GM105" s="16"/>
      <c r="GN105" s="16"/>
      <c r="GO105" s="17"/>
      <c r="GS105" s="17"/>
      <c r="GT105" s="60"/>
      <c r="GU105" s="16"/>
      <c r="GV105" s="16" t="s">
        <v>20</v>
      </c>
      <c r="GW105" s="16"/>
      <c r="GX105" s="16"/>
      <c r="GY105" s="16"/>
      <c r="GZ105" s="17"/>
      <c r="HD105" s="17"/>
      <c r="HE105" s="60"/>
      <c r="HF105" s="16"/>
      <c r="HG105" s="16" t="s">
        <v>20</v>
      </c>
      <c r="HH105" s="16"/>
      <c r="HI105" s="16"/>
      <c r="HJ105" s="16"/>
      <c r="HK105" s="17"/>
      <c r="HO105" s="17"/>
      <c r="HP105" s="60"/>
      <c r="HQ105" s="16"/>
      <c r="HR105" s="16" t="s">
        <v>20</v>
      </c>
      <c r="HS105" s="16"/>
      <c r="HT105" s="16"/>
      <c r="HU105" s="16"/>
      <c r="HV105" s="17"/>
      <c r="HZ105" s="17"/>
      <c r="IA105" s="60"/>
      <c r="IB105" s="16"/>
      <c r="IC105" s="16" t="s">
        <v>20</v>
      </c>
      <c r="ID105" s="16"/>
      <c r="IE105" s="16"/>
      <c r="IF105" s="16"/>
      <c r="IG105" s="17"/>
      <c r="IK105" s="17"/>
      <c r="IL105" s="60"/>
      <c r="IM105" s="16"/>
      <c r="IN105" s="16" t="s">
        <v>20</v>
      </c>
      <c r="IO105" s="16"/>
      <c r="IP105" s="16"/>
      <c r="IQ105" s="16"/>
      <c r="IR105" s="17"/>
      <c r="IV105" s="17"/>
      <c r="IW105" s="60"/>
      <c r="IX105" s="16"/>
      <c r="IY105" s="16" t="s">
        <v>20</v>
      </c>
      <c r="IZ105" s="16"/>
      <c r="JA105" s="16"/>
      <c r="JB105" s="16"/>
      <c r="JC105" s="17"/>
      <c r="JG105" s="17"/>
      <c r="JH105" s="60"/>
      <c r="JI105" s="16"/>
      <c r="JJ105" s="16" t="s">
        <v>20</v>
      </c>
      <c r="JK105" s="16"/>
      <c r="JL105" s="16"/>
      <c r="JM105" s="16"/>
      <c r="JN105" s="17"/>
      <c r="JR105" s="17"/>
      <c r="JS105" s="60"/>
      <c r="JT105" s="16"/>
      <c r="JU105" s="16" t="s">
        <v>20</v>
      </c>
      <c r="JV105" s="16"/>
      <c r="JW105" s="16"/>
      <c r="JX105" s="16"/>
      <c r="JY105" s="17"/>
      <c r="KC105" s="17"/>
      <c r="KD105" s="60"/>
      <c r="KE105" s="16"/>
      <c r="KF105" s="16" t="s">
        <v>20</v>
      </c>
      <c r="KG105" s="16"/>
      <c r="KH105" s="16"/>
      <c r="KI105" s="16"/>
      <c r="KJ105" s="17"/>
      <c r="KN105" s="17"/>
      <c r="KO105" s="60"/>
      <c r="KP105" s="16"/>
      <c r="KQ105" s="16" t="s">
        <v>20</v>
      </c>
      <c r="KR105" s="16"/>
      <c r="KS105" s="16"/>
      <c r="KT105" s="16"/>
      <c r="KU105" s="17"/>
      <c r="KY105" s="17"/>
      <c r="KZ105" s="60"/>
      <c r="LA105" s="16"/>
      <c r="LB105" s="16" t="s">
        <v>20</v>
      </c>
      <c r="LC105" s="16"/>
      <c r="LD105" s="16"/>
      <c r="LE105" s="16"/>
      <c r="LF105" s="17"/>
      <c r="LJ105" s="17"/>
      <c r="LK105" s="60"/>
      <c r="LL105" s="16"/>
      <c r="LM105" s="16" t="s">
        <v>20</v>
      </c>
      <c r="LN105" s="16"/>
      <c r="LO105" s="16"/>
      <c r="LP105" s="16"/>
      <c r="LQ105" s="17"/>
    </row>
    <row r="106">
      <c r="C106" s="31"/>
      <c r="D106" s="61"/>
      <c r="E106" s="16"/>
      <c r="F106" s="16" t="s">
        <v>20</v>
      </c>
      <c r="G106" s="21"/>
      <c r="H106" s="16"/>
      <c r="I106" s="16"/>
      <c r="J106" s="17"/>
      <c r="N106" s="17"/>
      <c r="O106" s="61"/>
      <c r="P106" s="16"/>
      <c r="Q106" s="16" t="s">
        <v>20</v>
      </c>
      <c r="R106" s="16"/>
      <c r="S106" s="16"/>
      <c r="T106" s="16"/>
      <c r="U106" s="17"/>
      <c r="Y106" s="66">
        <v>100</v>
      </c>
      <c r="Z106" s="61">
        <v>29181</v>
      </c>
      <c r="AA106" s="16" t="s">
        <v>20</v>
      </c>
      <c r="AB106" s="16" t="s">
        <v>20</v>
      </c>
      <c r="AC106" s="16" t="s">
        <v>20</v>
      </c>
      <c r="AD106" s="16" t="s">
        <v>20</v>
      </c>
      <c r="AE106" s="16" t="s">
        <v>20</v>
      </c>
      <c r="AF106" s="17"/>
      <c r="AJ106" s="17">
        <v>100</v>
      </c>
      <c r="AK106" s="61">
        <v>28906</v>
      </c>
      <c r="AL106" s="16">
        <v>0</v>
      </c>
      <c r="AM106" s="16">
        <v>18.999999999068677</v>
      </c>
      <c r="AN106" s="16" t="s">
        <v>20</v>
      </c>
      <c r="AO106" s="16">
        <v>4.5</v>
      </c>
      <c r="AP106" s="16">
        <v>2.8</v>
      </c>
      <c r="AQ106" s="17"/>
      <c r="AU106" s="17">
        <v>100</v>
      </c>
      <c r="AV106" s="61">
        <v>28518</v>
      </c>
      <c r="AW106" s="16" t="s">
        <v>20</v>
      </c>
      <c r="AX106" s="16" t="s">
        <v>20</v>
      </c>
      <c r="AY106" s="16"/>
      <c r="AZ106" s="16" t="s">
        <v>20</v>
      </c>
      <c r="BA106" s="16" t="s">
        <v>20</v>
      </c>
      <c r="BB106" s="17"/>
      <c r="BF106" s="17">
        <v>100</v>
      </c>
      <c r="BG106" s="61">
        <v>29046</v>
      </c>
      <c r="BH106" s="16" t="s">
        <v>20</v>
      </c>
      <c r="BI106" s="16" t="s">
        <v>20</v>
      </c>
      <c r="BJ106" s="16" t="s">
        <v>20</v>
      </c>
      <c r="BK106" s="16" t="s">
        <v>20</v>
      </c>
      <c r="BL106" s="16" t="s">
        <v>20</v>
      </c>
      <c r="BM106" s="17"/>
      <c r="BQ106" s="17">
        <v>100</v>
      </c>
      <c r="BR106" s="61">
        <v>28733</v>
      </c>
      <c r="BS106" s="16">
        <v>0</v>
      </c>
      <c r="BT106" s="16">
        <v>22.000000008847564</v>
      </c>
      <c r="BU106" s="16" t="s">
        <v>20</v>
      </c>
      <c r="BV106" s="16">
        <v>4.5</v>
      </c>
      <c r="BW106" s="16">
        <v>2.4</v>
      </c>
      <c r="BX106" s="17"/>
      <c r="CB106" s="17"/>
      <c r="CC106" s="61"/>
      <c r="CD106" s="16"/>
      <c r="CE106" s="16" t="s">
        <v>20</v>
      </c>
      <c r="CF106" s="16"/>
      <c r="CG106" s="16"/>
      <c r="CH106" s="16"/>
      <c r="CI106" s="17"/>
      <c r="CM106" s="17"/>
      <c r="CN106" s="61"/>
      <c r="CO106" s="16"/>
      <c r="CP106" s="16" t="s">
        <v>20</v>
      </c>
      <c r="CQ106" s="16"/>
      <c r="CR106" s="16"/>
      <c r="CS106" s="16"/>
      <c r="CT106" s="17"/>
      <c r="CX106" s="17"/>
      <c r="CY106" s="60"/>
      <c r="CZ106" s="16"/>
      <c r="DA106" s="16" t="s">
        <v>20</v>
      </c>
      <c r="DB106" s="16"/>
      <c r="DC106" s="16"/>
      <c r="DD106" s="16"/>
      <c r="DE106" s="17"/>
      <c r="DI106" s="17">
        <v>100</v>
      </c>
      <c r="DJ106" s="60">
        <v>29594</v>
      </c>
      <c r="DK106" s="16" t="s">
        <v>20</v>
      </c>
      <c r="DL106" s="16" t="s">
        <v>20</v>
      </c>
      <c r="DM106" s="16" t="s">
        <v>20</v>
      </c>
      <c r="DN106" s="16" t="s">
        <v>20</v>
      </c>
      <c r="DO106" s="16" t="s">
        <v>20</v>
      </c>
      <c r="DP106" s="17"/>
      <c r="DT106" s="17"/>
      <c r="DU106" s="60"/>
      <c r="DV106" s="16"/>
      <c r="DW106" s="16" t="s">
        <v>20</v>
      </c>
      <c r="DX106" s="16"/>
      <c r="DY106" s="16"/>
      <c r="DZ106" s="16"/>
      <c r="EA106" s="17"/>
      <c r="EE106" s="17"/>
      <c r="EF106" s="60"/>
      <c r="EG106" s="16"/>
      <c r="EH106" s="16" t="s">
        <v>20</v>
      </c>
      <c r="EI106" s="16"/>
      <c r="EJ106" s="16"/>
      <c r="EK106" s="16"/>
      <c r="EL106" s="17"/>
      <c r="EP106" s="17">
        <v>100</v>
      </c>
      <c r="EQ106" s="60">
        <v>29046</v>
      </c>
      <c r="ER106" s="16" t="s">
        <v>20</v>
      </c>
      <c r="ES106" s="16" t="s">
        <v>20</v>
      </c>
      <c r="ET106" s="16" t="s">
        <v>20</v>
      </c>
      <c r="EU106" s="16" t="s">
        <v>20</v>
      </c>
      <c r="EV106" s="16" t="s">
        <v>20</v>
      </c>
      <c r="EW106" s="17"/>
      <c r="FA106" s="17"/>
      <c r="FB106" s="60"/>
      <c r="FC106" s="16"/>
      <c r="FD106" s="16" t="s">
        <v>20</v>
      </c>
      <c r="FE106" s="16"/>
      <c r="FF106" s="16"/>
      <c r="FG106" s="16"/>
      <c r="FH106" s="17"/>
      <c r="FL106" s="17"/>
      <c r="FM106" s="60"/>
      <c r="FN106" s="16"/>
      <c r="FO106" s="16" t="s">
        <v>20</v>
      </c>
      <c r="FP106" s="16"/>
      <c r="FQ106" s="16"/>
      <c r="FR106" s="16"/>
      <c r="FS106" s="17"/>
      <c r="FW106" s="17"/>
      <c r="FX106" s="60"/>
      <c r="FY106" s="16"/>
      <c r="FZ106" s="16" t="s">
        <v>20</v>
      </c>
      <c r="GA106" s="16"/>
      <c r="GB106" s="16"/>
      <c r="GC106" s="16"/>
      <c r="GD106" s="17"/>
      <c r="GH106" s="17"/>
      <c r="GI106" s="60"/>
      <c r="GJ106" s="16"/>
      <c r="GK106" s="16" t="s">
        <v>20</v>
      </c>
      <c r="GL106" s="16"/>
      <c r="GM106" s="16"/>
      <c r="GN106" s="16"/>
      <c r="GO106" s="17"/>
      <c r="GS106" s="17"/>
      <c r="GT106" s="60"/>
      <c r="GU106" s="16"/>
      <c r="GV106" s="16" t="s">
        <v>20</v>
      </c>
      <c r="GW106" s="16"/>
      <c r="GX106" s="16"/>
      <c r="GY106" s="16"/>
      <c r="GZ106" s="17"/>
      <c r="HD106" s="17"/>
      <c r="HE106" s="60"/>
      <c r="HF106" s="16"/>
      <c r="HG106" s="16" t="s">
        <v>20</v>
      </c>
      <c r="HH106" s="16"/>
      <c r="HI106" s="16"/>
      <c r="HJ106" s="16"/>
      <c r="HK106" s="17"/>
      <c r="HO106" s="17"/>
      <c r="HP106" s="60"/>
      <c r="HQ106" s="16"/>
      <c r="HR106" s="16" t="s">
        <v>20</v>
      </c>
      <c r="HS106" s="16"/>
      <c r="HT106" s="16"/>
      <c r="HU106" s="16"/>
      <c r="HV106" s="17"/>
      <c r="HZ106" s="17"/>
      <c r="IA106" s="60"/>
      <c r="IB106" s="16"/>
      <c r="IC106" s="16" t="s">
        <v>20</v>
      </c>
      <c r="ID106" s="16"/>
      <c r="IE106" s="16"/>
      <c r="IF106" s="16"/>
      <c r="IG106" s="17"/>
      <c r="IK106" s="17"/>
      <c r="IL106" s="60"/>
      <c r="IM106" s="16"/>
      <c r="IN106" s="16" t="s">
        <v>20</v>
      </c>
      <c r="IO106" s="16"/>
      <c r="IP106" s="16"/>
      <c r="IQ106" s="16"/>
      <c r="IR106" s="17"/>
      <c r="IV106" s="17"/>
      <c r="IW106" s="60"/>
      <c r="IX106" s="16"/>
      <c r="IY106" s="16" t="s">
        <v>20</v>
      </c>
      <c r="IZ106" s="16"/>
      <c r="JA106" s="16"/>
      <c r="JB106" s="16"/>
      <c r="JC106" s="17"/>
      <c r="JG106" s="17"/>
      <c r="JH106" s="60"/>
      <c r="JI106" s="16"/>
      <c r="JJ106" s="16" t="s">
        <v>20</v>
      </c>
      <c r="JK106" s="16"/>
      <c r="JL106" s="16"/>
      <c r="JM106" s="16"/>
      <c r="JN106" s="17"/>
      <c r="JR106" s="17"/>
      <c r="JS106" s="60"/>
      <c r="JT106" s="16"/>
      <c r="JU106" s="16" t="s">
        <v>20</v>
      </c>
      <c r="JV106" s="16"/>
      <c r="JW106" s="16"/>
      <c r="JX106" s="16"/>
      <c r="JY106" s="17"/>
      <c r="KC106" s="17"/>
      <c r="KD106" s="60"/>
      <c r="KE106" s="16"/>
      <c r="KF106" s="16" t="s">
        <v>20</v>
      </c>
      <c r="KG106" s="16"/>
      <c r="KH106" s="16"/>
      <c r="KI106" s="16"/>
      <c r="KJ106" s="17"/>
      <c r="KN106" s="17"/>
      <c r="KO106" s="60"/>
      <c r="KP106" s="16"/>
      <c r="KQ106" s="16" t="s">
        <v>20</v>
      </c>
      <c r="KR106" s="16"/>
      <c r="KS106" s="16"/>
      <c r="KT106" s="16"/>
      <c r="KU106" s="17"/>
      <c r="KY106" s="17"/>
      <c r="KZ106" s="60"/>
      <c r="LA106" s="16"/>
      <c r="LB106" s="16" t="s">
        <v>20</v>
      </c>
      <c r="LC106" s="16"/>
      <c r="LD106" s="16"/>
      <c r="LE106" s="16"/>
      <c r="LF106" s="17"/>
      <c r="LJ106" s="17"/>
      <c r="LK106" s="60"/>
      <c r="LL106" s="16"/>
      <c r="LM106" s="16" t="s">
        <v>20</v>
      </c>
      <c r="LN106" s="16"/>
      <c r="LO106" s="16"/>
      <c r="LP106" s="16"/>
      <c r="LQ106" s="17"/>
    </row>
    <row r="107">
      <c r="C107" s="31"/>
      <c r="D107" s="61"/>
      <c r="E107" s="16"/>
      <c r="F107" s="16" t="s">
        <v>20</v>
      </c>
      <c r="G107" s="21"/>
      <c r="H107" s="16"/>
      <c r="I107" s="16"/>
      <c r="J107" s="17"/>
      <c r="N107" s="17"/>
      <c r="O107" s="61"/>
      <c r="P107" s="16"/>
      <c r="Q107" s="16" t="s">
        <v>20</v>
      </c>
      <c r="R107" s="16"/>
      <c r="S107" s="16"/>
      <c r="T107" s="16"/>
      <c r="U107" s="17"/>
      <c r="Y107" s="66">
        <v>101</v>
      </c>
      <c r="Z107" s="61">
        <v>29381</v>
      </c>
      <c r="AA107" s="16" t="s">
        <v>20</v>
      </c>
      <c r="AB107" s="16" t="s">
        <v>20</v>
      </c>
      <c r="AC107" s="16" t="s">
        <v>20</v>
      </c>
      <c r="AD107" s="16" t="s">
        <v>20</v>
      </c>
      <c r="AE107" s="16" t="s">
        <v>20</v>
      </c>
      <c r="AF107" s="17"/>
      <c r="AJ107" s="17">
        <v>101</v>
      </c>
      <c r="AK107" s="61">
        <v>29108</v>
      </c>
      <c r="AL107" s="16">
        <v>0</v>
      </c>
      <c r="AM107" s="16">
        <v>15.999999999767169</v>
      </c>
      <c r="AN107" s="16" t="s">
        <v>20</v>
      </c>
      <c r="AO107" s="16">
        <v>4.5</v>
      </c>
      <c r="AP107" s="16">
        <v>3</v>
      </c>
      <c r="AQ107" s="17"/>
      <c r="AU107" s="17">
        <v>101</v>
      </c>
      <c r="AV107" s="61">
        <v>28719</v>
      </c>
      <c r="AW107" s="16" t="s">
        <v>20</v>
      </c>
      <c r="AX107" s="16" t="s">
        <v>20</v>
      </c>
      <c r="AY107" s="16"/>
      <c r="AZ107" s="16" t="s">
        <v>20</v>
      </c>
      <c r="BA107" s="16" t="s">
        <v>20</v>
      </c>
      <c r="BB107" s="17"/>
      <c r="BF107" s="17">
        <v>101</v>
      </c>
      <c r="BG107" s="61">
        <v>29248</v>
      </c>
      <c r="BH107" s="16" t="s">
        <v>20</v>
      </c>
      <c r="BI107" s="16" t="s">
        <v>20</v>
      </c>
      <c r="BJ107" s="16" t="s">
        <v>20</v>
      </c>
      <c r="BK107" s="16" t="s">
        <v>20</v>
      </c>
      <c r="BL107" s="16" t="s">
        <v>20</v>
      </c>
      <c r="BM107" s="17"/>
      <c r="BQ107" s="17">
        <v>101</v>
      </c>
      <c r="BR107" s="61">
        <v>28933</v>
      </c>
      <c r="BS107" s="16">
        <v>0</v>
      </c>
      <c r="BT107" s="16">
        <v>24.999999997671694</v>
      </c>
      <c r="BU107" s="16" t="s">
        <v>20</v>
      </c>
      <c r="BV107" s="16">
        <v>4.5</v>
      </c>
      <c r="BW107" s="16">
        <v>3</v>
      </c>
      <c r="BX107" s="17"/>
      <c r="CB107" s="17"/>
      <c r="CC107" s="61"/>
      <c r="CD107" s="16"/>
      <c r="CE107" s="16" t="s">
        <v>20</v>
      </c>
      <c r="CF107" s="16"/>
      <c r="CG107" s="16"/>
      <c r="CH107" s="16"/>
      <c r="CI107" s="17"/>
      <c r="CM107" s="17"/>
      <c r="CN107" s="61"/>
      <c r="CO107" s="16"/>
      <c r="CP107" s="16" t="s">
        <v>20</v>
      </c>
      <c r="CQ107" s="16"/>
      <c r="CR107" s="16"/>
      <c r="CS107" s="16"/>
      <c r="CT107" s="17"/>
      <c r="CX107" s="17"/>
      <c r="CY107" s="60"/>
      <c r="CZ107" s="16"/>
      <c r="DA107" s="16" t="s">
        <v>20</v>
      </c>
      <c r="DB107" s="16"/>
      <c r="DC107" s="16"/>
      <c r="DD107" s="16"/>
      <c r="DE107" s="17"/>
      <c r="DI107" s="17">
        <v>101</v>
      </c>
      <c r="DJ107" s="60">
        <v>29796</v>
      </c>
      <c r="DK107" s="16" t="s">
        <v>20</v>
      </c>
      <c r="DL107" s="16" t="s">
        <v>20</v>
      </c>
      <c r="DM107" s="16" t="s">
        <v>20</v>
      </c>
      <c r="DN107" s="16" t="s">
        <v>20</v>
      </c>
      <c r="DO107" s="16" t="s">
        <v>20</v>
      </c>
      <c r="DP107" s="17"/>
      <c r="DT107" s="17"/>
      <c r="DU107" s="60"/>
      <c r="DV107" s="16"/>
      <c r="DW107" s="16" t="s">
        <v>20</v>
      </c>
      <c r="DX107" s="16"/>
      <c r="DY107" s="16"/>
      <c r="DZ107" s="16"/>
      <c r="EA107" s="17"/>
      <c r="EE107" s="17"/>
      <c r="EF107" s="60"/>
      <c r="EG107" s="16"/>
      <c r="EH107" s="16" t="s">
        <v>20</v>
      </c>
      <c r="EI107" s="16"/>
      <c r="EJ107" s="16"/>
      <c r="EK107" s="16"/>
      <c r="EL107" s="17"/>
      <c r="EP107" s="17">
        <v>101</v>
      </c>
      <c r="EQ107" s="60">
        <v>29248</v>
      </c>
      <c r="ER107" s="16" t="s">
        <v>20</v>
      </c>
      <c r="ES107" s="16" t="s">
        <v>20</v>
      </c>
      <c r="ET107" s="16" t="s">
        <v>20</v>
      </c>
      <c r="EU107" s="16" t="s">
        <v>20</v>
      </c>
      <c r="EV107" s="16" t="s">
        <v>20</v>
      </c>
      <c r="EW107" s="17"/>
      <c r="FA107" s="17"/>
      <c r="FB107" s="60"/>
      <c r="FC107" s="16"/>
      <c r="FD107" s="16" t="s">
        <v>20</v>
      </c>
      <c r="FE107" s="16"/>
      <c r="FF107" s="16"/>
      <c r="FG107" s="16"/>
      <c r="FH107" s="17"/>
      <c r="FL107" s="17"/>
      <c r="FM107" s="60"/>
      <c r="FN107" s="16"/>
      <c r="FO107" s="16" t="s">
        <v>20</v>
      </c>
      <c r="FP107" s="16"/>
      <c r="FQ107" s="16"/>
      <c r="FR107" s="16"/>
      <c r="FS107" s="17"/>
      <c r="FW107" s="17"/>
      <c r="FX107" s="60"/>
      <c r="FY107" s="16"/>
      <c r="FZ107" s="16" t="s">
        <v>20</v>
      </c>
      <c r="GA107" s="16"/>
      <c r="GB107" s="16"/>
      <c r="GC107" s="16"/>
      <c r="GD107" s="17"/>
      <c r="GH107" s="17"/>
      <c r="GI107" s="60"/>
      <c r="GJ107" s="16"/>
      <c r="GK107" s="16" t="s">
        <v>20</v>
      </c>
      <c r="GL107" s="16"/>
      <c r="GM107" s="16"/>
      <c r="GN107" s="16"/>
      <c r="GO107" s="17"/>
      <c r="GS107" s="17"/>
      <c r="GT107" s="60"/>
      <c r="GU107" s="16"/>
      <c r="GV107" s="16" t="s">
        <v>20</v>
      </c>
      <c r="GW107" s="16"/>
      <c r="GX107" s="16"/>
      <c r="GY107" s="16"/>
      <c r="GZ107" s="17"/>
      <c r="HD107" s="17"/>
      <c r="HE107" s="60"/>
      <c r="HF107" s="16"/>
      <c r="HG107" s="16" t="s">
        <v>20</v>
      </c>
      <c r="HH107" s="16"/>
      <c r="HI107" s="16"/>
      <c r="HJ107" s="16"/>
      <c r="HK107" s="17"/>
      <c r="HO107" s="17"/>
      <c r="HP107" s="60"/>
      <c r="HQ107" s="16"/>
      <c r="HR107" s="16" t="s">
        <v>20</v>
      </c>
      <c r="HS107" s="16"/>
      <c r="HT107" s="16"/>
      <c r="HU107" s="16"/>
      <c r="HV107" s="17"/>
      <c r="HZ107" s="17"/>
      <c r="IA107" s="60"/>
      <c r="IB107" s="16"/>
      <c r="IC107" s="16" t="s">
        <v>20</v>
      </c>
      <c r="ID107" s="16"/>
      <c r="IE107" s="16"/>
      <c r="IF107" s="16"/>
      <c r="IG107" s="17"/>
      <c r="IK107" s="17"/>
      <c r="IL107" s="60"/>
      <c r="IM107" s="16"/>
      <c r="IN107" s="16" t="s">
        <v>20</v>
      </c>
      <c r="IO107" s="16"/>
      <c r="IP107" s="16"/>
      <c r="IQ107" s="16"/>
      <c r="IR107" s="17"/>
      <c r="IV107" s="17"/>
      <c r="IW107" s="60"/>
      <c r="IX107" s="16"/>
      <c r="IY107" s="16" t="s">
        <v>20</v>
      </c>
      <c r="IZ107" s="16"/>
      <c r="JA107" s="16"/>
      <c r="JB107" s="16"/>
      <c r="JC107" s="17"/>
      <c r="JG107" s="17"/>
      <c r="JH107" s="60"/>
      <c r="JI107" s="16"/>
      <c r="JJ107" s="16" t="s">
        <v>20</v>
      </c>
      <c r="JK107" s="16"/>
      <c r="JL107" s="16"/>
      <c r="JM107" s="16"/>
      <c r="JN107" s="17"/>
      <c r="JR107" s="17"/>
      <c r="JS107" s="60"/>
      <c r="JT107" s="16"/>
      <c r="JU107" s="16" t="s">
        <v>20</v>
      </c>
      <c r="JV107" s="16"/>
      <c r="JW107" s="16"/>
      <c r="JX107" s="16"/>
      <c r="JY107" s="17"/>
      <c r="KC107" s="17"/>
      <c r="KD107" s="60"/>
      <c r="KE107" s="16"/>
      <c r="KF107" s="16" t="s">
        <v>20</v>
      </c>
      <c r="KG107" s="16"/>
      <c r="KH107" s="16"/>
      <c r="KI107" s="16"/>
      <c r="KJ107" s="17"/>
      <c r="KN107" s="17"/>
      <c r="KO107" s="60"/>
      <c r="KP107" s="16"/>
      <c r="KQ107" s="16" t="s">
        <v>20</v>
      </c>
      <c r="KR107" s="16"/>
      <c r="KS107" s="16"/>
      <c r="KT107" s="16"/>
      <c r="KU107" s="17"/>
      <c r="KY107" s="17"/>
      <c r="KZ107" s="60"/>
      <c r="LA107" s="16"/>
      <c r="LB107" s="16" t="s">
        <v>20</v>
      </c>
      <c r="LC107" s="16"/>
      <c r="LD107" s="16"/>
      <c r="LE107" s="16"/>
      <c r="LF107" s="17"/>
      <c r="LJ107" s="17"/>
      <c r="LK107" s="60"/>
      <c r="LL107" s="16"/>
      <c r="LM107" s="16" t="s">
        <v>20</v>
      </c>
      <c r="LN107" s="16"/>
      <c r="LO107" s="16"/>
      <c r="LP107" s="16"/>
      <c r="LQ107" s="17"/>
    </row>
    <row r="108">
      <c r="C108" s="31"/>
      <c r="D108" s="61"/>
      <c r="E108" s="16"/>
      <c r="F108" s="16" t="s">
        <v>20</v>
      </c>
      <c r="G108" s="21"/>
      <c r="H108" s="16"/>
      <c r="I108" s="16"/>
      <c r="J108" s="17"/>
      <c r="N108" s="17"/>
      <c r="O108" s="61"/>
      <c r="P108" s="16"/>
      <c r="Q108" s="16" t="s">
        <v>20</v>
      </c>
      <c r="R108" s="16"/>
      <c r="S108" s="16"/>
      <c r="T108" s="16"/>
      <c r="U108" s="17"/>
      <c r="Y108" s="66">
        <v>102</v>
      </c>
      <c r="Z108" s="61">
        <v>29582</v>
      </c>
      <c r="AA108" s="16" t="s">
        <v>20</v>
      </c>
      <c r="AB108" s="16" t="s">
        <v>20</v>
      </c>
      <c r="AC108" s="16" t="s">
        <v>20</v>
      </c>
      <c r="AD108" s="16" t="s">
        <v>20</v>
      </c>
      <c r="AE108" s="16" t="s">
        <v>20</v>
      </c>
      <c r="AF108" s="17"/>
      <c r="AJ108" s="17">
        <v>102</v>
      </c>
      <c r="AK108" s="61">
        <v>29309</v>
      </c>
      <c r="AL108" s="16">
        <v>0</v>
      </c>
      <c r="AM108" s="16">
        <v>30.00000000349246</v>
      </c>
      <c r="AN108" s="16" t="s">
        <v>20</v>
      </c>
      <c r="AO108" s="16">
        <v>4.5</v>
      </c>
      <c r="AP108" s="16">
        <v>3.3</v>
      </c>
      <c r="AQ108" s="17"/>
      <c r="AU108" s="17">
        <v>102</v>
      </c>
      <c r="AV108" s="61">
        <v>28920</v>
      </c>
      <c r="AW108" s="16" t="s">
        <v>20</v>
      </c>
      <c r="AX108" s="16" t="s">
        <v>20</v>
      </c>
      <c r="AY108" s="16"/>
      <c r="AZ108" s="16" t="s">
        <v>20</v>
      </c>
      <c r="BA108" s="16" t="s">
        <v>20</v>
      </c>
      <c r="BB108" s="17"/>
      <c r="BF108" s="17">
        <v>102</v>
      </c>
      <c r="BG108" s="61">
        <v>29449</v>
      </c>
      <c r="BH108" s="16" t="s">
        <v>20</v>
      </c>
      <c r="BI108" s="16" t="s">
        <v>20</v>
      </c>
      <c r="BJ108" s="16" t="s">
        <v>20</v>
      </c>
      <c r="BK108" s="16" t="s">
        <v>20</v>
      </c>
      <c r="BL108" s="16" t="s">
        <v>20</v>
      </c>
      <c r="BM108" s="17"/>
      <c r="BQ108" s="17">
        <v>102</v>
      </c>
      <c r="BR108" s="61">
        <v>29134</v>
      </c>
      <c r="BS108" s="16">
        <v>0</v>
      </c>
      <c r="BT108" s="16">
        <v>21.999999998370185</v>
      </c>
      <c r="BU108" s="16" t="s">
        <v>20</v>
      </c>
      <c r="BV108" s="16">
        <v>4.5</v>
      </c>
      <c r="BW108" s="16">
        <v>3</v>
      </c>
      <c r="BX108" s="17"/>
      <c r="CB108" s="17"/>
      <c r="CC108" s="61"/>
      <c r="CD108" s="16"/>
      <c r="CE108" s="16" t="s">
        <v>20</v>
      </c>
      <c r="CF108" s="16"/>
      <c r="CG108" s="16"/>
      <c r="CH108" s="16"/>
      <c r="CI108" s="17"/>
      <c r="CM108" s="17"/>
      <c r="CN108" s="61"/>
      <c r="CO108" s="16"/>
      <c r="CP108" s="16" t="s">
        <v>20</v>
      </c>
      <c r="CQ108" s="16"/>
      <c r="CR108" s="16"/>
      <c r="CS108" s="16"/>
      <c r="CT108" s="17"/>
      <c r="CX108" s="17"/>
      <c r="CY108" s="60"/>
      <c r="CZ108" s="16"/>
      <c r="DA108" s="16" t="s">
        <v>20</v>
      </c>
      <c r="DB108" s="16"/>
      <c r="DC108" s="16"/>
      <c r="DD108" s="16"/>
      <c r="DE108" s="17"/>
      <c r="DI108" s="17">
        <v>102</v>
      </c>
      <c r="DJ108" s="60">
        <v>29997</v>
      </c>
      <c r="DK108" s="16" t="s">
        <v>20</v>
      </c>
      <c r="DL108" s="16" t="s">
        <v>20</v>
      </c>
      <c r="DM108" s="16" t="s">
        <v>20</v>
      </c>
      <c r="DN108" s="16" t="s">
        <v>20</v>
      </c>
      <c r="DO108" s="16" t="s">
        <v>20</v>
      </c>
      <c r="DP108" s="17"/>
      <c r="DT108" s="17"/>
      <c r="DU108" s="60"/>
      <c r="DV108" s="16"/>
      <c r="DW108" s="16" t="s">
        <v>20</v>
      </c>
      <c r="DX108" s="16"/>
      <c r="DY108" s="16"/>
      <c r="DZ108" s="16"/>
      <c r="EA108" s="17"/>
      <c r="EE108" s="17"/>
      <c r="EF108" s="60"/>
      <c r="EG108" s="16"/>
      <c r="EH108" s="16" t="s">
        <v>20</v>
      </c>
      <c r="EI108" s="16"/>
      <c r="EJ108" s="16"/>
      <c r="EK108" s="16"/>
      <c r="EL108" s="17"/>
      <c r="EP108" s="17">
        <v>102</v>
      </c>
      <c r="EQ108" s="60">
        <v>29450</v>
      </c>
      <c r="ER108" s="16" t="s">
        <v>20</v>
      </c>
      <c r="ES108" s="16" t="s">
        <v>20</v>
      </c>
      <c r="ET108" s="16" t="s">
        <v>20</v>
      </c>
      <c r="EU108" s="16" t="s">
        <v>20</v>
      </c>
      <c r="EV108" s="16" t="s">
        <v>20</v>
      </c>
      <c r="EW108" s="17"/>
      <c r="FA108" s="17"/>
      <c r="FB108" s="60"/>
      <c r="FC108" s="16"/>
      <c r="FD108" s="16" t="s">
        <v>20</v>
      </c>
      <c r="FE108" s="16"/>
      <c r="FF108" s="16"/>
      <c r="FG108" s="16"/>
      <c r="FH108" s="17"/>
      <c r="FL108" s="17"/>
      <c r="FM108" s="60"/>
      <c r="FN108" s="16"/>
      <c r="FO108" s="16" t="s">
        <v>20</v>
      </c>
      <c r="FP108" s="16"/>
      <c r="FQ108" s="16"/>
      <c r="FR108" s="16"/>
      <c r="FS108" s="17"/>
      <c r="FW108" s="17"/>
      <c r="FX108" s="60"/>
      <c r="FY108" s="16"/>
      <c r="FZ108" s="16" t="s">
        <v>20</v>
      </c>
      <c r="GA108" s="16"/>
      <c r="GB108" s="16"/>
      <c r="GC108" s="16"/>
      <c r="GD108" s="17"/>
      <c r="GH108" s="17"/>
      <c r="GI108" s="60"/>
      <c r="GJ108" s="16"/>
      <c r="GK108" s="16" t="s">
        <v>20</v>
      </c>
      <c r="GL108" s="16"/>
      <c r="GM108" s="16"/>
      <c r="GN108" s="16"/>
      <c r="GO108" s="17"/>
      <c r="GS108" s="17"/>
      <c r="GT108" s="60"/>
      <c r="GU108" s="16"/>
      <c r="GV108" s="16" t="s">
        <v>20</v>
      </c>
      <c r="GW108" s="16"/>
      <c r="GX108" s="16"/>
      <c r="GY108" s="16"/>
      <c r="GZ108" s="17"/>
      <c r="HD108" s="17"/>
      <c r="HE108" s="60"/>
      <c r="HF108" s="16"/>
      <c r="HG108" s="16" t="s">
        <v>20</v>
      </c>
      <c r="HH108" s="16"/>
      <c r="HI108" s="16"/>
      <c r="HJ108" s="16"/>
      <c r="HK108" s="17"/>
      <c r="HO108" s="17"/>
      <c r="HP108" s="60"/>
      <c r="HQ108" s="16"/>
      <c r="HR108" s="16" t="s">
        <v>20</v>
      </c>
      <c r="HS108" s="16"/>
      <c r="HT108" s="16"/>
      <c r="HU108" s="16"/>
      <c r="HV108" s="17"/>
      <c r="HZ108" s="17"/>
      <c r="IA108" s="60"/>
      <c r="IB108" s="16"/>
      <c r="IC108" s="16" t="s">
        <v>20</v>
      </c>
      <c r="ID108" s="16"/>
      <c r="IE108" s="16"/>
      <c r="IF108" s="16"/>
      <c r="IG108" s="17"/>
      <c r="IK108" s="17"/>
      <c r="IL108" s="60"/>
      <c r="IM108" s="16"/>
      <c r="IN108" s="16" t="s">
        <v>20</v>
      </c>
      <c r="IO108" s="16"/>
      <c r="IP108" s="16"/>
      <c r="IQ108" s="16"/>
      <c r="IR108" s="17"/>
      <c r="IV108" s="17"/>
      <c r="IW108" s="60"/>
      <c r="IX108" s="16"/>
      <c r="IY108" s="16" t="s">
        <v>20</v>
      </c>
      <c r="IZ108" s="16"/>
      <c r="JA108" s="16"/>
      <c r="JB108" s="16"/>
      <c r="JC108" s="17"/>
      <c r="JG108" s="17"/>
      <c r="JH108" s="60"/>
      <c r="JI108" s="16"/>
      <c r="JJ108" s="16" t="s">
        <v>20</v>
      </c>
      <c r="JK108" s="16"/>
      <c r="JL108" s="16"/>
      <c r="JM108" s="16"/>
      <c r="JN108" s="17"/>
      <c r="JR108" s="17"/>
      <c r="JS108" s="60"/>
      <c r="JT108" s="16"/>
      <c r="JU108" s="16" t="s">
        <v>20</v>
      </c>
      <c r="JV108" s="16"/>
      <c r="JW108" s="16"/>
      <c r="JX108" s="16"/>
      <c r="JY108" s="17"/>
      <c r="KC108" s="17"/>
      <c r="KD108" s="60"/>
      <c r="KE108" s="16"/>
      <c r="KF108" s="16" t="s">
        <v>20</v>
      </c>
      <c r="KG108" s="16"/>
      <c r="KH108" s="16"/>
      <c r="KI108" s="16"/>
      <c r="KJ108" s="17"/>
      <c r="KN108" s="17"/>
      <c r="KO108" s="60"/>
      <c r="KP108" s="16"/>
      <c r="KQ108" s="16" t="s">
        <v>20</v>
      </c>
      <c r="KR108" s="16"/>
      <c r="KS108" s="16"/>
      <c r="KT108" s="16"/>
      <c r="KU108" s="17"/>
      <c r="KY108" s="17"/>
      <c r="KZ108" s="60"/>
      <c r="LA108" s="16"/>
      <c r="LB108" s="16" t="s">
        <v>20</v>
      </c>
      <c r="LC108" s="16"/>
      <c r="LD108" s="16"/>
      <c r="LE108" s="16"/>
      <c r="LF108" s="17"/>
      <c r="LJ108" s="17"/>
      <c r="LK108" s="60"/>
      <c r="LL108" s="16"/>
      <c r="LM108" s="16" t="s">
        <v>20</v>
      </c>
      <c r="LN108" s="16"/>
      <c r="LO108" s="16"/>
      <c r="LP108" s="16"/>
      <c r="LQ108" s="17"/>
    </row>
    <row r="109">
      <c r="C109" s="31"/>
      <c r="D109" s="61"/>
      <c r="E109" s="16"/>
      <c r="F109" s="16" t="s">
        <v>20</v>
      </c>
      <c r="G109" s="21"/>
      <c r="H109" s="16"/>
      <c r="I109" s="16"/>
      <c r="J109" s="17"/>
      <c r="N109" s="17"/>
      <c r="O109" s="61"/>
      <c r="P109" s="16"/>
      <c r="Q109" s="16" t="s">
        <v>20</v>
      </c>
      <c r="R109" s="16"/>
      <c r="S109" s="16"/>
      <c r="T109" s="16"/>
      <c r="U109" s="17"/>
      <c r="Y109" s="66">
        <v>103</v>
      </c>
      <c r="Z109" s="61">
        <v>29783</v>
      </c>
      <c r="AA109" s="16" t="s">
        <v>20</v>
      </c>
      <c r="AB109" s="16" t="s">
        <v>20</v>
      </c>
      <c r="AC109" s="16" t="s">
        <v>20</v>
      </c>
      <c r="AD109" s="16" t="s">
        <v>20</v>
      </c>
      <c r="AE109" s="16" t="s">
        <v>20</v>
      </c>
      <c r="AF109" s="17"/>
      <c r="AJ109" s="17">
        <v>103</v>
      </c>
      <c r="AK109" s="61">
        <v>29511</v>
      </c>
      <c r="AL109" s="16">
        <v>0</v>
      </c>
      <c r="AM109" s="16">
        <v>24.000000004889444</v>
      </c>
      <c r="AN109" s="16" t="s">
        <v>20</v>
      </c>
      <c r="AO109" s="16">
        <v>4.5</v>
      </c>
      <c r="AP109" s="16">
        <v>3.8</v>
      </c>
      <c r="AQ109" s="17"/>
      <c r="AU109" s="17">
        <v>103</v>
      </c>
      <c r="AV109" s="61">
        <v>29121</v>
      </c>
      <c r="AW109" s="16" t="s">
        <v>20</v>
      </c>
      <c r="AX109" s="16" t="s">
        <v>20</v>
      </c>
      <c r="AY109" s="16"/>
      <c r="AZ109" s="16" t="s">
        <v>20</v>
      </c>
      <c r="BA109" s="16" t="s">
        <v>20</v>
      </c>
      <c r="BB109" s="17"/>
      <c r="BF109" s="17">
        <v>103</v>
      </c>
      <c r="BG109" s="61">
        <v>29651</v>
      </c>
      <c r="BH109" s="16" t="s">
        <v>20</v>
      </c>
      <c r="BI109" s="16" t="s">
        <v>20</v>
      </c>
      <c r="BJ109" s="16" t="s">
        <v>20</v>
      </c>
      <c r="BK109" s="16" t="s">
        <v>20</v>
      </c>
      <c r="BL109" s="16" t="s">
        <v>20</v>
      </c>
      <c r="BM109" s="17"/>
      <c r="BQ109" s="17">
        <v>103</v>
      </c>
      <c r="BR109" s="61">
        <v>29535</v>
      </c>
      <c r="BS109" s="16">
        <v>0</v>
      </c>
      <c r="BT109" s="16">
        <v>24.999999997671694</v>
      </c>
      <c r="BU109" s="16" t="s">
        <v>20</v>
      </c>
      <c r="BV109" s="16">
        <v>4.5</v>
      </c>
      <c r="BW109" s="16">
        <v>3</v>
      </c>
      <c r="BX109" s="17"/>
      <c r="CB109" s="17"/>
      <c r="CC109" s="61"/>
      <c r="CD109" s="16"/>
      <c r="CE109" s="16" t="s">
        <v>20</v>
      </c>
      <c r="CF109" s="16"/>
      <c r="CG109" s="16"/>
      <c r="CH109" s="16"/>
      <c r="CI109" s="17"/>
      <c r="CM109" s="17"/>
      <c r="CN109" s="61"/>
      <c r="CO109" s="16"/>
      <c r="CP109" s="16" t="s">
        <v>20</v>
      </c>
      <c r="CQ109" s="16"/>
      <c r="CR109" s="16"/>
      <c r="CS109" s="16"/>
      <c r="CT109" s="17"/>
      <c r="CX109" s="17"/>
      <c r="CY109" s="60"/>
      <c r="CZ109" s="16"/>
      <c r="DA109" s="16" t="s">
        <v>20</v>
      </c>
      <c r="DB109" s="16"/>
      <c r="DC109" s="16"/>
      <c r="DD109" s="16"/>
      <c r="DE109" s="17"/>
      <c r="DI109" s="17"/>
      <c r="DJ109" s="60"/>
      <c r="DK109" s="16"/>
      <c r="DL109" s="16" t="s">
        <v>20</v>
      </c>
      <c r="DM109" s="16"/>
      <c r="DN109" s="16"/>
      <c r="DO109" s="16"/>
      <c r="DP109" s="17"/>
      <c r="DT109" s="17"/>
      <c r="DU109" s="60"/>
      <c r="DV109" s="16"/>
      <c r="DW109" s="16" t="s">
        <v>20</v>
      </c>
      <c r="DX109" s="16"/>
      <c r="DY109" s="16"/>
      <c r="DZ109" s="16"/>
      <c r="EA109" s="17"/>
      <c r="EE109" s="17"/>
      <c r="EF109" s="60"/>
      <c r="EG109" s="16"/>
      <c r="EH109" s="16" t="s">
        <v>20</v>
      </c>
      <c r="EI109" s="16"/>
      <c r="EJ109" s="16"/>
      <c r="EK109" s="16"/>
      <c r="EL109" s="17"/>
      <c r="EP109" s="17">
        <v>103</v>
      </c>
      <c r="EQ109" s="60">
        <v>29651</v>
      </c>
      <c r="ER109" s="16" t="s">
        <v>20</v>
      </c>
      <c r="ES109" s="16" t="s">
        <v>20</v>
      </c>
      <c r="ET109" s="16" t="s">
        <v>20</v>
      </c>
      <c r="EU109" s="16" t="s">
        <v>20</v>
      </c>
      <c r="EV109" s="16" t="s">
        <v>20</v>
      </c>
      <c r="EW109" s="17"/>
      <c r="FA109" s="17"/>
      <c r="FB109" s="60"/>
      <c r="FC109" s="16"/>
      <c r="FD109" s="16" t="s">
        <v>20</v>
      </c>
      <c r="FE109" s="16"/>
      <c r="FF109" s="16"/>
      <c r="FG109" s="16"/>
      <c r="FH109" s="17"/>
      <c r="FL109" s="17"/>
      <c r="FM109" s="60"/>
      <c r="FN109" s="16"/>
      <c r="FO109" s="16" t="s">
        <v>20</v>
      </c>
      <c r="FP109" s="16"/>
      <c r="FQ109" s="16"/>
      <c r="FR109" s="16"/>
      <c r="FS109" s="17"/>
      <c r="FW109" s="17"/>
      <c r="FX109" s="60"/>
      <c r="FY109" s="16"/>
      <c r="FZ109" s="16" t="s">
        <v>20</v>
      </c>
      <c r="GA109" s="16"/>
      <c r="GB109" s="16"/>
      <c r="GC109" s="16"/>
      <c r="GD109" s="17"/>
      <c r="GH109" s="17"/>
      <c r="GI109" s="60"/>
      <c r="GJ109" s="16"/>
      <c r="GK109" s="16" t="s">
        <v>20</v>
      </c>
      <c r="GL109" s="16"/>
      <c r="GM109" s="16"/>
      <c r="GN109" s="16"/>
      <c r="GO109" s="17"/>
      <c r="GS109" s="17"/>
      <c r="GT109" s="60"/>
      <c r="GU109" s="16"/>
      <c r="GV109" s="16" t="s">
        <v>20</v>
      </c>
      <c r="GW109" s="16"/>
      <c r="GX109" s="16"/>
      <c r="GY109" s="16"/>
      <c r="GZ109" s="17"/>
      <c r="HD109" s="17"/>
      <c r="HE109" s="60"/>
      <c r="HF109" s="16"/>
      <c r="HG109" s="16" t="s">
        <v>20</v>
      </c>
      <c r="HH109" s="16"/>
      <c r="HI109" s="16"/>
      <c r="HJ109" s="16"/>
      <c r="HK109" s="17"/>
      <c r="HO109" s="17"/>
      <c r="HP109" s="60"/>
      <c r="HQ109" s="16"/>
      <c r="HR109" s="16" t="s">
        <v>20</v>
      </c>
      <c r="HS109" s="16"/>
      <c r="HT109" s="16"/>
      <c r="HU109" s="16"/>
      <c r="HV109" s="17"/>
      <c r="HZ109" s="17"/>
      <c r="IA109" s="60"/>
      <c r="IB109" s="16"/>
      <c r="IC109" s="16" t="s">
        <v>20</v>
      </c>
      <c r="ID109" s="16"/>
      <c r="IE109" s="16"/>
      <c r="IF109" s="16"/>
      <c r="IG109" s="17"/>
      <c r="IK109" s="17"/>
      <c r="IL109" s="60"/>
      <c r="IM109" s="16"/>
      <c r="IN109" s="16" t="s">
        <v>20</v>
      </c>
      <c r="IO109" s="16"/>
      <c r="IP109" s="16"/>
      <c r="IQ109" s="16"/>
      <c r="IR109" s="17"/>
      <c r="IV109" s="17"/>
      <c r="IW109" s="60"/>
      <c r="IX109" s="16"/>
      <c r="IY109" s="16" t="s">
        <v>20</v>
      </c>
      <c r="IZ109" s="16"/>
      <c r="JA109" s="16"/>
      <c r="JB109" s="16"/>
      <c r="JC109" s="17"/>
      <c r="JG109" s="17"/>
      <c r="JH109" s="60"/>
      <c r="JI109" s="16"/>
      <c r="JJ109" s="16" t="s">
        <v>20</v>
      </c>
      <c r="JK109" s="16"/>
      <c r="JL109" s="16"/>
      <c r="JM109" s="16"/>
      <c r="JN109" s="17"/>
      <c r="JR109" s="17"/>
      <c r="JS109" s="60"/>
      <c r="JT109" s="16"/>
      <c r="JU109" s="16" t="s">
        <v>20</v>
      </c>
      <c r="JV109" s="16"/>
      <c r="JW109" s="16"/>
      <c r="JX109" s="16"/>
      <c r="JY109" s="17"/>
      <c r="KC109" s="17"/>
      <c r="KD109" s="60"/>
      <c r="KE109" s="16"/>
      <c r="KF109" s="16" t="s">
        <v>20</v>
      </c>
      <c r="KG109" s="16"/>
      <c r="KH109" s="16"/>
      <c r="KI109" s="16"/>
      <c r="KJ109" s="17"/>
      <c r="KN109" s="17"/>
      <c r="KO109" s="60"/>
      <c r="KP109" s="16"/>
      <c r="KQ109" s="16" t="s">
        <v>20</v>
      </c>
      <c r="KR109" s="16"/>
      <c r="KS109" s="16"/>
      <c r="KT109" s="16"/>
      <c r="KU109" s="17"/>
      <c r="KY109" s="17"/>
      <c r="KZ109" s="60"/>
      <c r="LA109" s="16"/>
      <c r="LB109" s="16" t="s">
        <v>20</v>
      </c>
      <c r="LC109" s="16"/>
      <c r="LD109" s="16"/>
      <c r="LE109" s="16"/>
      <c r="LF109" s="17"/>
      <c r="LJ109" s="17"/>
      <c r="LK109" s="60"/>
      <c r="LL109" s="16"/>
      <c r="LM109" s="16" t="s">
        <v>20</v>
      </c>
      <c r="LN109" s="16"/>
      <c r="LO109" s="16"/>
      <c r="LP109" s="16"/>
      <c r="LQ109" s="17"/>
    </row>
    <row r="110">
      <c r="C110" s="31"/>
      <c r="D110" s="61"/>
      <c r="E110" s="16"/>
      <c r="F110" s="16" t="s">
        <v>20</v>
      </c>
      <c r="G110" s="21"/>
      <c r="H110" s="16"/>
      <c r="I110" s="16"/>
      <c r="J110" s="17"/>
      <c r="N110" s="17"/>
      <c r="O110" s="61"/>
      <c r="P110" s="16"/>
      <c r="Q110" s="16" t="s">
        <v>20</v>
      </c>
      <c r="R110" s="16"/>
      <c r="S110" s="16"/>
      <c r="T110" s="16"/>
      <c r="U110" s="17"/>
      <c r="Y110" s="66">
        <v>104</v>
      </c>
      <c r="Z110" s="61">
        <v>29983</v>
      </c>
      <c r="AA110" s="16" t="s">
        <v>20</v>
      </c>
      <c r="AB110" s="16" t="s">
        <v>20</v>
      </c>
      <c r="AC110" s="16" t="s">
        <v>20</v>
      </c>
      <c r="AD110" s="16" t="s">
        <v>20</v>
      </c>
      <c r="AE110" s="16" t="s">
        <v>20</v>
      </c>
      <c r="AF110" s="17"/>
      <c r="AJ110" s="17">
        <v>104</v>
      </c>
      <c r="AK110" s="61">
        <v>29713</v>
      </c>
      <c r="AL110" s="16">
        <v>0</v>
      </c>
      <c r="AM110" s="16">
        <v>25.999999990453944</v>
      </c>
      <c r="AN110" s="16" t="s">
        <v>20</v>
      </c>
      <c r="AO110" s="16">
        <v>4.5</v>
      </c>
      <c r="AP110" s="16">
        <v>3.6</v>
      </c>
      <c r="AQ110" s="17"/>
      <c r="AU110" s="17">
        <v>104</v>
      </c>
      <c r="AV110" s="61">
        <v>29322</v>
      </c>
      <c r="AW110" s="16" t="s">
        <v>20</v>
      </c>
      <c r="AX110" s="16" t="s">
        <v>20</v>
      </c>
      <c r="AY110" s="16"/>
      <c r="AZ110" s="16" t="s">
        <v>20</v>
      </c>
      <c r="BA110" s="16" t="s">
        <v>20</v>
      </c>
      <c r="BB110" s="17"/>
      <c r="BF110" s="17">
        <v>104</v>
      </c>
      <c r="BG110" s="61">
        <v>29852</v>
      </c>
      <c r="BH110" s="16" t="s">
        <v>20</v>
      </c>
      <c r="BI110" s="16" t="s">
        <v>20</v>
      </c>
      <c r="BJ110" s="16" t="s">
        <v>20</v>
      </c>
      <c r="BK110" s="16" t="s">
        <v>20</v>
      </c>
      <c r="BL110" s="16" t="s">
        <v>20</v>
      </c>
      <c r="BM110" s="17"/>
      <c r="BQ110" s="17">
        <v>104</v>
      </c>
      <c r="BR110" s="61">
        <v>29735</v>
      </c>
      <c r="BS110" s="16">
        <v>2.9999999999999947</v>
      </c>
      <c r="BT110" s="16">
        <v>42</v>
      </c>
      <c r="BU110" s="16" t="s">
        <v>20</v>
      </c>
      <c r="BV110" s="16">
        <v>4.5</v>
      </c>
      <c r="BW110" s="16">
        <v>3</v>
      </c>
      <c r="BX110" s="17"/>
      <c r="CB110" s="17"/>
      <c r="CC110" s="61"/>
      <c r="CD110" s="16"/>
      <c r="CE110" s="16" t="s">
        <v>20</v>
      </c>
      <c r="CF110" s="16"/>
      <c r="CG110" s="16"/>
      <c r="CH110" s="16"/>
      <c r="CI110" s="17"/>
      <c r="CM110" s="17"/>
      <c r="CN110" s="61"/>
      <c r="CO110" s="16"/>
      <c r="CP110" s="16" t="s">
        <v>20</v>
      </c>
      <c r="CQ110" s="16"/>
      <c r="CR110" s="16"/>
      <c r="CS110" s="16"/>
      <c r="CT110" s="17"/>
      <c r="CX110" s="17"/>
      <c r="CY110" s="60"/>
      <c r="CZ110" s="16"/>
      <c r="DA110" s="16" t="s">
        <v>20</v>
      </c>
      <c r="DB110" s="16"/>
      <c r="DC110" s="16"/>
      <c r="DD110" s="16"/>
      <c r="DE110" s="17"/>
      <c r="DI110" s="17"/>
      <c r="DJ110" s="60"/>
      <c r="DK110" s="16"/>
      <c r="DL110" s="16" t="s">
        <v>20</v>
      </c>
      <c r="DM110" s="16"/>
      <c r="DN110" s="16"/>
      <c r="DO110" s="16"/>
      <c r="DP110" s="17"/>
      <c r="DT110" s="17"/>
      <c r="DU110" s="60"/>
      <c r="DV110" s="16"/>
      <c r="DW110" s="16" t="s">
        <v>20</v>
      </c>
      <c r="DX110" s="16"/>
      <c r="DY110" s="16"/>
      <c r="DZ110" s="16"/>
      <c r="EA110" s="17"/>
      <c r="EE110" s="17"/>
      <c r="EF110" s="60"/>
      <c r="EG110" s="16"/>
      <c r="EH110" s="16" t="s">
        <v>20</v>
      </c>
      <c r="EI110" s="16"/>
      <c r="EJ110" s="16"/>
      <c r="EK110" s="16"/>
      <c r="EL110" s="17"/>
      <c r="EP110" s="17">
        <v>104</v>
      </c>
      <c r="EQ110" s="60">
        <v>29853</v>
      </c>
      <c r="ER110" s="16" t="s">
        <v>20</v>
      </c>
      <c r="ES110" s="16" t="s">
        <v>20</v>
      </c>
      <c r="ET110" s="16" t="s">
        <v>20</v>
      </c>
      <c r="EU110" s="16" t="s">
        <v>20</v>
      </c>
      <c r="EV110" s="16" t="s">
        <v>20</v>
      </c>
      <c r="EW110" s="17"/>
      <c r="FA110" s="17"/>
      <c r="FB110" s="60"/>
      <c r="FC110" s="16"/>
      <c r="FD110" s="16" t="s">
        <v>20</v>
      </c>
      <c r="FE110" s="16"/>
      <c r="FF110" s="16"/>
      <c r="FG110" s="16"/>
      <c r="FH110" s="17"/>
      <c r="FL110" s="17"/>
      <c r="FM110" s="60"/>
      <c r="FN110" s="16"/>
      <c r="FO110" s="16" t="s">
        <v>20</v>
      </c>
      <c r="FP110" s="16"/>
      <c r="FQ110" s="16"/>
      <c r="FR110" s="16"/>
      <c r="FS110" s="17"/>
      <c r="FW110" s="17"/>
      <c r="FX110" s="60"/>
      <c r="FY110" s="16"/>
      <c r="FZ110" s="16" t="s">
        <v>20</v>
      </c>
      <c r="GA110" s="16"/>
      <c r="GB110" s="16"/>
      <c r="GC110" s="16"/>
      <c r="GD110" s="17"/>
      <c r="GH110" s="17"/>
      <c r="GI110" s="60"/>
      <c r="GJ110" s="16"/>
      <c r="GK110" s="16" t="s">
        <v>20</v>
      </c>
      <c r="GL110" s="16"/>
      <c r="GM110" s="16"/>
      <c r="GN110" s="16"/>
      <c r="GO110" s="17"/>
      <c r="GS110" s="17"/>
      <c r="GT110" s="60"/>
      <c r="GU110" s="16"/>
      <c r="GV110" s="16" t="s">
        <v>20</v>
      </c>
      <c r="GW110" s="16"/>
      <c r="GX110" s="16"/>
      <c r="GY110" s="16"/>
      <c r="GZ110" s="17"/>
      <c r="HD110" s="17"/>
      <c r="HE110" s="60"/>
      <c r="HF110" s="16"/>
      <c r="HG110" s="16" t="s">
        <v>20</v>
      </c>
      <c r="HH110" s="16"/>
      <c r="HI110" s="16"/>
      <c r="HJ110" s="16"/>
      <c r="HK110" s="17"/>
      <c r="HO110" s="17"/>
      <c r="HP110" s="60"/>
      <c r="HQ110" s="16"/>
      <c r="HR110" s="16" t="s">
        <v>20</v>
      </c>
      <c r="HS110" s="16"/>
      <c r="HT110" s="16"/>
      <c r="HU110" s="16"/>
      <c r="HV110" s="17"/>
      <c r="HZ110" s="17"/>
      <c r="IA110" s="60"/>
      <c r="IB110" s="16"/>
      <c r="IC110" s="16" t="s">
        <v>20</v>
      </c>
      <c r="ID110" s="16"/>
      <c r="IE110" s="16"/>
      <c r="IF110" s="16"/>
      <c r="IG110" s="17"/>
      <c r="IK110" s="17"/>
      <c r="IL110" s="60"/>
      <c r="IM110" s="16"/>
      <c r="IN110" s="16" t="s">
        <v>20</v>
      </c>
      <c r="IO110" s="16"/>
      <c r="IP110" s="16"/>
      <c r="IQ110" s="16"/>
      <c r="IR110" s="17"/>
      <c r="IV110" s="17"/>
      <c r="IW110" s="60"/>
      <c r="IX110" s="16"/>
      <c r="IY110" s="16" t="s">
        <v>20</v>
      </c>
      <c r="IZ110" s="16"/>
      <c r="JA110" s="16"/>
      <c r="JB110" s="16"/>
      <c r="JC110" s="17"/>
      <c r="JG110" s="17"/>
      <c r="JH110" s="60"/>
      <c r="JI110" s="16"/>
      <c r="JJ110" s="16" t="s">
        <v>20</v>
      </c>
      <c r="JK110" s="16"/>
      <c r="JL110" s="16"/>
      <c r="JM110" s="16"/>
      <c r="JN110" s="17"/>
      <c r="JR110" s="17"/>
      <c r="JS110" s="60"/>
      <c r="JT110" s="16"/>
      <c r="JU110" s="16" t="s">
        <v>20</v>
      </c>
      <c r="JV110" s="16"/>
      <c r="JW110" s="16"/>
      <c r="JX110" s="16"/>
      <c r="JY110" s="17"/>
      <c r="KC110" s="17"/>
      <c r="KD110" s="60"/>
      <c r="KE110" s="16"/>
      <c r="KF110" s="16" t="s">
        <v>20</v>
      </c>
      <c r="KG110" s="16"/>
      <c r="KH110" s="16"/>
      <c r="KI110" s="16"/>
      <c r="KJ110" s="17"/>
      <c r="KN110" s="17"/>
      <c r="KO110" s="60"/>
      <c r="KP110" s="16"/>
      <c r="KQ110" s="16" t="s">
        <v>20</v>
      </c>
      <c r="KR110" s="16"/>
      <c r="KS110" s="16"/>
      <c r="KT110" s="16"/>
      <c r="KU110" s="17"/>
      <c r="KY110" s="17"/>
      <c r="KZ110" s="60"/>
      <c r="LA110" s="16"/>
      <c r="LB110" s="16" t="s">
        <v>20</v>
      </c>
      <c r="LC110" s="16"/>
      <c r="LD110" s="16"/>
      <c r="LE110" s="16"/>
      <c r="LF110" s="17"/>
      <c r="LJ110" s="17"/>
      <c r="LK110" s="60"/>
      <c r="LL110" s="16"/>
      <c r="LM110" s="16" t="s">
        <v>20</v>
      </c>
      <c r="LN110" s="16"/>
      <c r="LO110" s="16"/>
      <c r="LP110" s="16"/>
      <c r="LQ110" s="17"/>
    </row>
    <row r="111">
      <c r="C111" s="31"/>
      <c r="D111" s="61"/>
      <c r="E111" s="16"/>
      <c r="F111" s="16" t="s">
        <v>20</v>
      </c>
      <c r="G111" s="21"/>
      <c r="H111" s="16"/>
      <c r="I111" s="16"/>
      <c r="J111" s="17"/>
      <c r="N111" s="17"/>
      <c r="O111" s="61"/>
      <c r="P111" s="16"/>
      <c r="Q111" s="16" t="s">
        <v>20</v>
      </c>
      <c r="R111" s="16"/>
      <c r="S111" s="16"/>
      <c r="T111" s="16"/>
      <c r="U111" s="17"/>
      <c r="Y111" s="66"/>
      <c r="Z111" s="61"/>
      <c r="AA111" s="16"/>
      <c r="AB111" s="16"/>
      <c r="AC111" s="16"/>
      <c r="AD111" s="16"/>
      <c r="AE111" s="16"/>
      <c r="AF111" s="17"/>
      <c r="AJ111" s="17">
        <v>105</v>
      </c>
      <c r="AK111" s="61">
        <v>29914</v>
      </c>
      <c r="AL111" s="16">
        <v>0</v>
      </c>
      <c r="AM111" s="16" t="s">
        <v>20</v>
      </c>
      <c r="AN111" s="16" t="s">
        <v>20</v>
      </c>
      <c r="AO111" s="16" t="s">
        <v>20</v>
      </c>
      <c r="AP111" s="16" t="s">
        <v>20</v>
      </c>
      <c r="AQ111" s="17"/>
      <c r="AU111" s="17">
        <v>105</v>
      </c>
      <c r="AV111" s="61">
        <v>29523</v>
      </c>
      <c r="AW111" s="16" t="s">
        <v>20</v>
      </c>
      <c r="AX111" s="16" t="s">
        <v>20</v>
      </c>
      <c r="AY111" s="16"/>
      <c r="AZ111" s="16" t="s">
        <v>20</v>
      </c>
      <c r="BA111" s="16" t="s">
        <v>20</v>
      </c>
      <c r="BB111" s="17"/>
      <c r="BF111" s="17">
        <v>105</v>
      </c>
      <c r="BG111" s="61">
        <v>30054</v>
      </c>
      <c r="BH111" s="16" t="s">
        <v>20</v>
      </c>
      <c r="BI111" s="16" t="s">
        <v>20</v>
      </c>
      <c r="BJ111" s="16" t="s">
        <v>20</v>
      </c>
      <c r="BK111" s="16" t="s">
        <v>20</v>
      </c>
      <c r="BL111" s="16" t="s">
        <v>20</v>
      </c>
      <c r="BM111" s="17"/>
      <c r="BQ111" s="17">
        <v>105</v>
      </c>
      <c r="BR111" s="61">
        <v>29334</v>
      </c>
      <c r="BS111" s="16">
        <v>0</v>
      </c>
      <c r="BT111" s="16">
        <v>20.000000002328306</v>
      </c>
      <c r="BU111" s="16" t="s">
        <v>20</v>
      </c>
      <c r="BV111" s="16">
        <v>4.5</v>
      </c>
      <c r="BW111" s="16">
        <v>3</v>
      </c>
      <c r="BX111" s="17"/>
      <c r="CB111" s="17"/>
      <c r="CC111" s="61"/>
      <c r="CD111" s="16"/>
      <c r="CE111" s="16" t="s">
        <v>20</v>
      </c>
      <c r="CF111" s="16"/>
      <c r="CG111" s="16"/>
      <c r="CH111" s="16"/>
      <c r="CI111" s="17"/>
      <c r="CM111" s="17"/>
      <c r="CN111" s="61"/>
      <c r="CO111" s="16"/>
      <c r="CP111" s="16" t="s">
        <v>20</v>
      </c>
      <c r="CQ111" s="16"/>
      <c r="CR111" s="16"/>
      <c r="CS111" s="16"/>
      <c r="CT111" s="17"/>
      <c r="CX111" s="17"/>
      <c r="CY111" s="60"/>
      <c r="CZ111" s="16"/>
      <c r="DA111" s="16" t="s">
        <v>20</v>
      </c>
      <c r="DB111" s="16"/>
      <c r="DC111" s="16"/>
      <c r="DD111" s="16"/>
      <c r="DE111" s="17"/>
      <c r="DI111" s="17"/>
      <c r="DJ111" s="60"/>
      <c r="DK111" s="16"/>
      <c r="DL111" s="16" t="s">
        <v>20</v>
      </c>
      <c r="DM111" s="16"/>
      <c r="DN111" s="16"/>
      <c r="DO111" s="16"/>
      <c r="DP111" s="17"/>
      <c r="DT111" s="17"/>
      <c r="DU111" s="60"/>
      <c r="DV111" s="16"/>
      <c r="DW111" s="16" t="s">
        <v>20</v>
      </c>
      <c r="DX111" s="16"/>
      <c r="DY111" s="16"/>
      <c r="DZ111" s="16"/>
      <c r="EA111" s="17"/>
      <c r="EE111" s="17"/>
      <c r="EF111" s="60"/>
      <c r="EG111" s="16"/>
      <c r="EH111" s="16" t="s">
        <v>20</v>
      </c>
      <c r="EI111" s="16"/>
      <c r="EJ111" s="16"/>
      <c r="EK111" s="16"/>
      <c r="EL111" s="17"/>
      <c r="EP111" s="17">
        <v>105</v>
      </c>
      <c r="EQ111" s="60">
        <v>30055</v>
      </c>
      <c r="ER111" s="16" t="s">
        <v>20</v>
      </c>
      <c r="ES111" s="16" t="s">
        <v>20</v>
      </c>
      <c r="ET111" s="16" t="s">
        <v>20</v>
      </c>
      <c r="EU111" s="16" t="s">
        <v>20</v>
      </c>
      <c r="EV111" s="16" t="s">
        <v>20</v>
      </c>
      <c r="EW111" s="17"/>
      <c r="FA111" s="17"/>
      <c r="FB111" s="60"/>
      <c r="FC111" s="16"/>
      <c r="FD111" s="16" t="s">
        <v>20</v>
      </c>
      <c r="FE111" s="16"/>
      <c r="FF111" s="16"/>
      <c r="FG111" s="16"/>
      <c r="FH111" s="17"/>
      <c r="FL111" s="17"/>
      <c r="FM111" s="60"/>
      <c r="FN111" s="16"/>
      <c r="FO111" s="16" t="s">
        <v>20</v>
      </c>
      <c r="FP111" s="16"/>
      <c r="FQ111" s="16"/>
      <c r="FR111" s="16"/>
      <c r="FS111" s="17"/>
      <c r="FW111" s="17"/>
      <c r="FX111" s="60"/>
      <c r="FY111" s="16"/>
      <c r="FZ111" s="16" t="s">
        <v>20</v>
      </c>
      <c r="GA111" s="16"/>
      <c r="GB111" s="16"/>
      <c r="GC111" s="16"/>
      <c r="GD111" s="17"/>
      <c r="GH111" s="17"/>
      <c r="GI111" s="60"/>
      <c r="GJ111" s="16"/>
      <c r="GK111" s="16" t="s">
        <v>20</v>
      </c>
      <c r="GL111" s="16"/>
      <c r="GM111" s="16"/>
      <c r="GN111" s="16"/>
      <c r="GO111" s="17"/>
      <c r="GS111" s="17"/>
      <c r="GT111" s="60"/>
      <c r="GU111" s="16"/>
      <c r="GV111" s="16" t="s">
        <v>20</v>
      </c>
      <c r="GW111" s="16"/>
      <c r="GX111" s="16"/>
      <c r="GY111" s="16"/>
      <c r="GZ111" s="17"/>
      <c r="HD111" s="17"/>
      <c r="HE111" s="60"/>
      <c r="HF111" s="16"/>
      <c r="HG111" s="16" t="s">
        <v>20</v>
      </c>
      <c r="HH111" s="16"/>
      <c r="HI111" s="16"/>
      <c r="HJ111" s="16"/>
      <c r="HK111" s="17"/>
      <c r="HO111" s="17"/>
      <c r="HP111" s="60"/>
      <c r="HQ111" s="16"/>
      <c r="HR111" s="16" t="s">
        <v>20</v>
      </c>
      <c r="HS111" s="16"/>
      <c r="HT111" s="16"/>
      <c r="HU111" s="16"/>
      <c r="HV111" s="17"/>
      <c r="HZ111" s="17"/>
      <c r="IA111" s="60"/>
      <c r="IB111" s="16"/>
      <c r="IC111" s="16" t="s">
        <v>20</v>
      </c>
      <c r="ID111" s="16"/>
      <c r="IE111" s="16"/>
      <c r="IF111" s="16"/>
      <c r="IG111" s="17"/>
      <c r="IK111" s="17"/>
      <c r="IL111" s="60"/>
      <c r="IM111" s="16"/>
      <c r="IN111" s="16" t="s">
        <v>20</v>
      </c>
      <c r="IO111" s="16"/>
      <c r="IP111" s="16"/>
      <c r="IQ111" s="16"/>
      <c r="IR111" s="17"/>
      <c r="IV111" s="17"/>
      <c r="IW111" s="60"/>
      <c r="IX111" s="16"/>
      <c r="IY111" s="16" t="s">
        <v>20</v>
      </c>
      <c r="IZ111" s="16"/>
      <c r="JA111" s="16"/>
      <c r="JB111" s="16"/>
      <c r="JC111" s="17"/>
      <c r="JG111" s="17"/>
      <c r="JH111" s="60"/>
      <c r="JI111" s="16"/>
      <c r="JJ111" s="16" t="s">
        <v>20</v>
      </c>
      <c r="JK111" s="16"/>
      <c r="JL111" s="16"/>
      <c r="JM111" s="16"/>
      <c r="JN111" s="17"/>
      <c r="JR111" s="17"/>
      <c r="JS111" s="60"/>
      <c r="JT111" s="16"/>
      <c r="JU111" s="16" t="s">
        <v>20</v>
      </c>
      <c r="JV111" s="16"/>
      <c r="JW111" s="16"/>
      <c r="JX111" s="16"/>
      <c r="JY111" s="17"/>
      <c r="KC111" s="17"/>
      <c r="KD111" s="60"/>
      <c r="KE111" s="16"/>
      <c r="KF111" s="16" t="s">
        <v>20</v>
      </c>
      <c r="KG111" s="16"/>
      <c r="KH111" s="16"/>
      <c r="KI111" s="16"/>
      <c r="KJ111" s="17"/>
      <c r="KN111" s="17"/>
      <c r="KO111" s="60"/>
      <c r="KP111" s="16"/>
      <c r="KQ111" s="16" t="s">
        <v>20</v>
      </c>
      <c r="KR111" s="16"/>
      <c r="KS111" s="16"/>
      <c r="KT111" s="16"/>
      <c r="KU111" s="17"/>
      <c r="KY111" s="17"/>
      <c r="KZ111" s="60"/>
      <c r="LA111" s="16"/>
      <c r="LB111" s="16" t="s">
        <v>20</v>
      </c>
      <c r="LC111" s="16"/>
      <c r="LD111" s="16"/>
      <c r="LE111" s="16"/>
      <c r="LF111" s="17"/>
      <c r="LJ111" s="17"/>
      <c r="LK111" s="60"/>
      <c r="LL111" s="16"/>
      <c r="LM111" s="16" t="s">
        <v>20</v>
      </c>
      <c r="LN111" s="16"/>
      <c r="LO111" s="16"/>
      <c r="LP111" s="16"/>
      <c r="LQ111" s="17"/>
    </row>
    <row r="112">
      <c r="C112" s="31"/>
      <c r="D112" s="61"/>
      <c r="E112" s="16"/>
      <c r="F112" s="16" t="s">
        <v>20</v>
      </c>
      <c r="G112" s="21"/>
      <c r="H112" s="16"/>
      <c r="I112" s="16"/>
      <c r="J112" s="17"/>
      <c r="N112" s="17"/>
      <c r="O112" s="61"/>
      <c r="P112" s="16"/>
      <c r="Q112" s="16" t="s">
        <v>20</v>
      </c>
      <c r="R112" s="16"/>
      <c r="S112" s="16"/>
      <c r="T112" s="16"/>
      <c r="U112" s="17"/>
      <c r="Y112" s="66"/>
      <c r="Z112" s="61"/>
      <c r="AA112" s="16"/>
      <c r="AB112" s="16"/>
      <c r="AC112" s="16"/>
      <c r="AD112" s="16"/>
      <c r="AE112" s="16"/>
      <c r="AF112" s="17"/>
      <c r="AJ112" s="17"/>
      <c r="AK112" s="61"/>
      <c r="AL112" s="16"/>
      <c r="AM112" s="16"/>
      <c r="AN112" s="16"/>
      <c r="AO112" s="16"/>
      <c r="AP112" s="16"/>
      <c r="AQ112" s="17"/>
      <c r="AU112" s="17">
        <v>106</v>
      </c>
      <c r="AV112" s="61">
        <v>29726</v>
      </c>
      <c r="AW112" s="16" t="s">
        <v>20</v>
      </c>
      <c r="AX112" s="16" t="s">
        <v>20</v>
      </c>
      <c r="AY112" s="16"/>
      <c r="AZ112" s="16" t="s">
        <v>20</v>
      </c>
      <c r="BA112" s="16" t="s">
        <v>20</v>
      </c>
      <c r="BB112" s="17"/>
      <c r="BF112" s="17"/>
      <c r="BG112" s="61"/>
      <c r="BH112" s="16"/>
      <c r="BI112" s="16"/>
      <c r="BJ112" s="16"/>
      <c r="BK112" s="16"/>
      <c r="BL112" s="16"/>
      <c r="BM112" s="17"/>
      <c r="BQ112" s="17">
        <v>106</v>
      </c>
      <c r="BR112" s="61">
        <v>29935</v>
      </c>
      <c r="BS112" s="16">
        <v>0</v>
      </c>
      <c r="BT112" s="16">
        <v>45</v>
      </c>
      <c r="BU112" s="16" t="s">
        <v>20</v>
      </c>
      <c r="BV112" s="16">
        <v>4.5</v>
      </c>
      <c r="BW112" s="16">
        <v>3</v>
      </c>
      <c r="BX112" s="17"/>
      <c r="CB112" s="17"/>
      <c r="CC112" s="61"/>
      <c r="CD112" s="16"/>
      <c r="CE112" s="16" t="s">
        <v>20</v>
      </c>
      <c r="CF112" s="16"/>
      <c r="CG112" s="16"/>
      <c r="CH112" s="16"/>
      <c r="CI112" s="17"/>
      <c r="CM112" s="17"/>
      <c r="CN112" s="61"/>
      <c r="CO112" s="16"/>
      <c r="CP112" s="16" t="s">
        <v>20</v>
      </c>
      <c r="CQ112" s="16"/>
      <c r="CR112" s="16"/>
      <c r="CS112" s="16"/>
      <c r="CT112" s="17"/>
      <c r="CX112" s="17"/>
      <c r="CY112" s="60"/>
      <c r="CZ112" s="16"/>
      <c r="DA112" s="16" t="s">
        <v>20</v>
      </c>
      <c r="DB112" s="16"/>
      <c r="DC112" s="16"/>
      <c r="DD112" s="16"/>
      <c r="DE112" s="17"/>
      <c r="DI112" s="17"/>
      <c r="DJ112" s="60"/>
      <c r="DK112" s="16"/>
      <c r="DL112" s="16" t="s">
        <v>20</v>
      </c>
      <c r="DM112" s="16"/>
      <c r="DN112" s="16"/>
      <c r="DO112" s="16"/>
      <c r="DP112" s="17"/>
      <c r="DT112" s="17"/>
      <c r="DU112" s="60"/>
      <c r="DV112" s="16"/>
      <c r="DW112" s="16" t="s">
        <v>20</v>
      </c>
      <c r="DX112" s="16"/>
      <c r="DY112" s="16"/>
      <c r="DZ112" s="16"/>
      <c r="EA112" s="17"/>
      <c r="EE112" s="17"/>
      <c r="EF112" s="60"/>
      <c r="EG112" s="16"/>
      <c r="EH112" s="16" t="s">
        <v>20</v>
      </c>
      <c r="EI112" s="16"/>
      <c r="EJ112" s="16"/>
      <c r="EK112" s="16"/>
      <c r="EL112" s="17"/>
      <c r="EP112" s="17"/>
      <c r="EQ112" s="60"/>
      <c r="ER112" s="16"/>
      <c r="ES112" s="16" t="s">
        <v>20</v>
      </c>
      <c r="ET112" s="16"/>
      <c r="EU112" s="16"/>
      <c r="EV112" s="16"/>
      <c r="EW112" s="17"/>
      <c r="FA112" s="17"/>
      <c r="FB112" s="60"/>
      <c r="FC112" s="16"/>
      <c r="FD112" s="16" t="s">
        <v>20</v>
      </c>
      <c r="FE112" s="16"/>
      <c r="FF112" s="16"/>
      <c r="FG112" s="16"/>
      <c r="FH112" s="17"/>
      <c r="FL112" s="17"/>
      <c r="FM112" s="60"/>
      <c r="FN112" s="16"/>
      <c r="FO112" s="16" t="s">
        <v>20</v>
      </c>
      <c r="FP112" s="16"/>
      <c r="FQ112" s="16"/>
      <c r="FR112" s="16"/>
      <c r="FS112" s="17"/>
      <c r="FW112" s="17"/>
      <c r="FX112" s="60"/>
      <c r="FY112" s="16"/>
      <c r="FZ112" s="16" t="s">
        <v>20</v>
      </c>
      <c r="GA112" s="16"/>
      <c r="GB112" s="16"/>
      <c r="GC112" s="16"/>
      <c r="GD112" s="17"/>
      <c r="GH112" s="17"/>
      <c r="GI112" s="60"/>
      <c r="GJ112" s="16"/>
      <c r="GK112" s="16" t="s">
        <v>20</v>
      </c>
      <c r="GL112" s="16"/>
      <c r="GM112" s="16"/>
      <c r="GN112" s="16"/>
      <c r="GO112" s="17"/>
      <c r="GS112" s="17"/>
      <c r="GT112" s="60"/>
      <c r="GU112" s="16"/>
      <c r="GV112" s="16" t="s">
        <v>20</v>
      </c>
      <c r="GW112" s="16"/>
      <c r="GX112" s="16"/>
      <c r="GY112" s="16"/>
      <c r="GZ112" s="17"/>
      <c r="HD112" s="17"/>
      <c r="HE112" s="60"/>
      <c r="HF112" s="16"/>
      <c r="HG112" s="16" t="s">
        <v>20</v>
      </c>
      <c r="HH112" s="16"/>
      <c r="HI112" s="16"/>
      <c r="HJ112" s="16"/>
      <c r="HK112" s="17"/>
      <c r="HO112" s="17"/>
      <c r="HP112" s="60"/>
      <c r="HQ112" s="16"/>
      <c r="HR112" s="16" t="s">
        <v>20</v>
      </c>
      <c r="HS112" s="16"/>
      <c r="HT112" s="16"/>
      <c r="HU112" s="16"/>
      <c r="HV112" s="17"/>
      <c r="HZ112" s="17"/>
      <c r="IA112" s="60"/>
      <c r="IB112" s="16"/>
      <c r="IC112" s="16" t="s">
        <v>20</v>
      </c>
      <c r="ID112" s="16"/>
      <c r="IE112" s="16"/>
      <c r="IF112" s="16"/>
      <c r="IG112" s="17"/>
      <c r="IK112" s="17"/>
      <c r="IL112" s="60"/>
      <c r="IM112" s="16"/>
      <c r="IN112" s="16" t="s">
        <v>20</v>
      </c>
      <c r="IO112" s="16"/>
      <c r="IP112" s="16"/>
      <c r="IQ112" s="16"/>
      <c r="IR112" s="17"/>
      <c r="IV112" s="17"/>
      <c r="IW112" s="60"/>
      <c r="IX112" s="16"/>
      <c r="IY112" s="16" t="s">
        <v>20</v>
      </c>
      <c r="IZ112" s="16"/>
      <c r="JA112" s="16"/>
      <c r="JB112" s="16"/>
      <c r="JC112" s="17"/>
      <c r="JG112" s="17"/>
      <c r="JH112" s="60"/>
      <c r="JI112" s="16"/>
      <c r="JJ112" s="16" t="s">
        <v>20</v>
      </c>
      <c r="JK112" s="16"/>
      <c r="JL112" s="16"/>
      <c r="JM112" s="16"/>
      <c r="JN112" s="17"/>
      <c r="JR112" s="17"/>
      <c r="JS112" s="60"/>
      <c r="JT112" s="16"/>
      <c r="JU112" s="16" t="s">
        <v>20</v>
      </c>
      <c r="JV112" s="16"/>
      <c r="JW112" s="16"/>
      <c r="JX112" s="16"/>
      <c r="JY112" s="17"/>
      <c r="KC112" s="17"/>
      <c r="KD112" s="60"/>
      <c r="KE112" s="16"/>
      <c r="KF112" s="16" t="s">
        <v>20</v>
      </c>
      <c r="KG112" s="16"/>
      <c r="KH112" s="16"/>
      <c r="KI112" s="16"/>
      <c r="KJ112" s="17"/>
      <c r="KN112" s="17"/>
      <c r="KO112" s="60"/>
      <c r="KP112" s="16"/>
      <c r="KQ112" s="16" t="s">
        <v>20</v>
      </c>
      <c r="KR112" s="16"/>
      <c r="KS112" s="16"/>
      <c r="KT112" s="16"/>
      <c r="KU112" s="17"/>
      <c r="KY112" s="17"/>
      <c r="KZ112" s="60"/>
      <c r="LA112" s="16"/>
      <c r="LB112" s="16" t="s">
        <v>20</v>
      </c>
      <c r="LC112" s="16"/>
      <c r="LD112" s="16"/>
      <c r="LE112" s="16"/>
      <c r="LF112" s="17"/>
      <c r="LJ112" s="17"/>
      <c r="LK112" s="60"/>
      <c r="LL112" s="16"/>
      <c r="LM112" s="16" t="s">
        <v>20</v>
      </c>
      <c r="LN112" s="16"/>
      <c r="LO112" s="16"/>
      <c r="LP112" s="16"/>
      <c r="LQ112" s="17"/>
    </row>
    <row r="113">
      <c r="C113" s="31"/>
      <c r="D113" s="61"/>
      <c r="E113" s="16"/>
      <c r="F113" s="16" t="s">
        <v>20</v>
      </c>
      <c r="G113" s="21"/>
      <c r="H113" s="16"/>
      <c r="I113" s="16"/>
      <c r="J113" s="17"/>
      <c r="N113" s="17"/>
      <c r="O113" s="61"/>
      <c r="P113" s="16"/>
      <c r="Q113" s="16" t="s">
        <v>20</v>
      </c>
      <c r="R113" s="16"/>
      <c r="S113" s="16"/>
      <c r="T113" s="16"/>
      <c r="U113" s="17"/>
      <c r="Y113" s="66"/>
      <c r="Z113" s="61"/>
      <c r="AA113" s="16"/>
      <c r="AB113" s="16"/>
      <c r="AC113" s="16"/>
      <c r="AD113" s="16"/>
      <c r="AE113" s="16"/>
      <c r="AF113" s="17"/>
      <c r="AJ113" s="17"/>
      <c r="AK113" s="61"/>
      <c r="AL113" s="16"/>
      <c r="AM113" s="16"/>
      <c r="AN113" s="16"/>
      <c r="AO113" s="16"/>
      <c r="AP113" s="16"/>
      <c r="AQ113" s="17"/>
      <c r="AU113" s="17"/>
      <c r="AV113" s="61"/>
      <c r="AW113" s="16"/>
      <c r="AX113" s="16"/>
      <c r="AY113" s="16"/>
      <c r="AZ113" s="16"/>
      <c r="BA113" s="16"/>
      <c r="BB113" s="17"/>
      <c r="BF113" s="17"/>
      <c r="BG113" s="61"/>
      <c r="BH113" s="16"/>
      <c r="BI113" s="16" t="s">
        <v>20</v>
      </c>
      <c r="BJ113" s="16"/>
      <c r="BK113" s="16"/>
      <c r="BL113" s="16"/>
      <c r="BM113" s="17"/>
      <c r="BQ113" s="17">
        <v>107</v>
      </c>
      <c r="BR113" s="61">
        <v>30136</v>
      </c>
      <c r="BS113" s="16" t="s">
        <v>20</v>
      </c>
      <c r="BT113" s="16" t="s">
        <v>20</v>
      </c>
      <c r="BU113" s="16" t="s">
        <v>20</v>
      </c>
      <c r="BV113" s="16" t="s">
        <v>20</v>
      </c>
      <c r="BW113" s="16" t="s">
        <v>20</v>
      </c>
      <c r="BX113" s="17"/>
      <c r="CB113" s="17"/>
      <c r="CC113" s="61"/>
      <c r="CD113" s="16"/>
      <c r="CE113" s="16" t="s">
        <v>20</v>
      </c>
      <c r="CF113" s="16"/>
      <c r="CG113" s="16"/>
      <c r="CH113" s="16"/>
      <c r="CI113" s="17"/>
      <c r="CM113" s="17"/>
      <c r="CN113" s="61"/>
      <c r="CO113" s="16"/>
      <c r="CP113" s="16" t="s">
        <v>20</v>
      </c>
      <c r="CQ113" s="16"/>
      <c r="CR113" s="16"/>
      <c r="CS113" s="16"/>
      <c r="CT113" s="17"/>
      <c r="CX113" s="17"/>
      <c r="CY113" s="60"/>
      <c r="CZ113" s="16"/>
      <c r="DA113" s="16" t="s">
        <v>20</v>
      </c>
      <c r="DB113" s="16"/>
      <c r="DC113" s="16"/>
      <c r="DD113" s="16"/>
      <c r="DE113" s="17"/>
      <c r="DI113" s="17"/>
      <c r="DJ113" s="60"/>
      <c r="DK113" s="16"/>
      <c r="DL113" s="16" t="s">
        <v>20</v>
      </c>
      <c r="DM113" s="16"/>
      <c r="DN113" s="16"/>
      <c r="DO113" s="16"/>
      <c r="DP113" s="17"/>
      <c r="DT113" s="17"/>
      <c r="DU113" s="60"/>
      <c r="DV113" s="16"/>
      <c r="DW113" s="16" t="s">
        <v>20</v>
      </c>
      <c r="DX113" s="16"/>
      <c r="DY113" s="16"/>
      <c r="DZ113" s="16"/>
      <c r="EA113" s="17"/>
      <c r="EE113" s="17"/>
      <c r="EF113" s="60"/>
      <c r="EG113" s="16"/>
      <c r="EH113" s="16" t="s">
        <v>20</v>
      </c>
      <c r="EI113" s="16"/>
      <c r="EJ113" s="16"/>
      <c r="EK113" s="16"/>
      <c r="EL113" s="17"/>
      <c r="EP113" s="17"/>
      <c r="EQ113" s="60"/>
      <c r="ER113" s="16"/>
      <c r="ES113" s="16" t="s">
        <v>20</v>
      </c>
      <c r="ET113" s="16"/>
      <c r="EU113" s="16"/>
      <c r="EV113" s="16"/>
      <c r="EW113" s="17"/>
      <c r="FA113" s="17"/>
      <c r="FB113" s="60"/>
      <c r="FC113" s="16"/>
      <c r="FD113" s="16" t="s">
        <v>20</v>
      </c>
      <c r="FE113" s="16"/>
      <c r="FF113" s="16"/>
      <c r="FG113" s="16"/>
      <c r="FH113" s="17"/>
      <c r="FL113" s="17"/>
      <c r="FM113" s="60"/>
      <c r="FN113" s="16"/>
      <c r="FO113" s="16" t="s">
        <v>20</v>
      </c>
      <c r="FP113" s="16"/>
      <c r="FQ113" s="16"/>
      <c r="FR113" s="16"/>
      <c r="FS113" s="17"/>
      <c r="FW113" s="17"/>
      <c r="FX113" s="60"/>
      <c r="FY113" s="16"/>
      <c r="FZ113" s="16" t="s">
        <v>20</v>
      </c>
      <c r="GA113" s="16"/>
      <c r="GB113" s="16"/>
      <c r="GC113" s="16"/>
      <c r="GD113" s="17"/>
      <c r="GH113" s="17"/>
      <c r="GI113" s="60"/>
      <c r="GJ113" s="16"/>
      <c r="GK113" s="16" t="s">
        <v>20</v>
      </c>
      <c r="GL113" s="16"/>
      <c r="GM113" s="16"/>
      <c r="GN113" s="16"/>
      <c r="GO113" s="17"/>
      <c r="GS113" s="17"/>
      <c r="GT113" s="60"/>
      <c r="GU113" s="16"/>
      <c r="GV113" s="16" t="s">
        <v>20</v>
      </c>
      <c r="GW113" s="16"/>
      <c r="GX113" s="16"/>
      <c r="GY113" s="16"/>
      <c r="GZ113" s="17"/>
      <c r="HD113" s="17"/>
      <c r="HE113" s="60"/>
      <c r="HF113" s="16"/>
      <c r="HG113" s="16" t="s">
        <v>20</v>
      </c>
      <c r="HH113" s="16"/>
      <c r="HI113" s="16"/>
      <c r="HJ113" s="16"/>
      <c r="HK113" s="17"/>
      <c r="HO113" s="17"/>
      <c r="HP113" s="60"/>
      <c r="HQ113" s="16"/>
      <c r="HR113" s="16" t="s">
        <v>20</v>
      </c>
      <c r="HS113" s="16"/>
      <c r="HT113" s="16"/>
      <c r="HU113" s="16"/>
      <c r="HV113" s="17"/>
      <c r="HZ113" s="17"/>
      <c r="IA113" s="60"/>
      <c r="IB113" s="16"/>
      <c r="IC113" s="16" t="s">
        <v>20</v>
      </c>
      <c r="ID113" s="16"/>
      <c r="IE113" s="16"/>
      <c r="IF113" s="16"/>
      <c r="IG113" s="17"/>
      <c r="IK113" s="17"/>
      <c r="IL113" s="60"/>
      <c r="IM113" s="16"/>
      <c r="IN113" s="16" t="s">
        <v>20</v>
      </c>
      <c r="IO113" s="16"/>
      <c r="IP113" s="16"/>
      <c r="IQ113" s="16"/>
      <c r="IR113" s="17"/>
      <c r="IV113" s="17"/>
      <c r="IW113" s="60"/>
      <c r="IX113" s="16"/>
      <c r="IY113" s="16" t="s">
        <v>20</v>
      </c>
      <c r="IZ113" s="16"/>
      <c r="JA113" s="16"/>
      <c r="JB113" s="16"/>
      <c r="JC113" s="17"/>
      <c r="JG113" s="17"/>
      <c r="JH113" s="60"/>
      <c r="JI113" s="16"/>
      <c r="JJ113" s="16" t="s">
        <v>20</v>
      </c>
      <c r="JK113" s="16"/>
      <c r="JL113" s="16"/>
      <c r="JM113" s="16"/>
      <c r="JN113" s="17"/>
      <c r="JR113" s="17"/>
      <c r="JS113" s="60"/>
      <c r="JT113" s="16"/>
      <c r="JU113" s="16" t="s">
        <v>20</v>
      </c>
      <c r="JV113" s="16"/>
      <c r="JW113" s="16"/>
      <c r="JX113" s="16"/>
      <c r="JY113" s="17"/>
      <c r="KC113" s="17"/>
      <c r="KD113" s="60"/>
      <c r="KE113" s="16"/>
      <c r="KF113" s="16" t="s">
        <v>20</v>
      </c>
      <c r="KG113" s="16"/>
      <c r="KH113" s="16"/>
      <c r="KI113" s="16"/>
      <c r="KJ113" s="17"/>
      <c r="KN113" s="17"/>
      <c r="KO113" s="60"/>
      <c r="KP113" s="16"/>
      <c r="KQ113" s="16" t="s">
        <v>20</v>
      </c>
      <c r="KR113" s="16"/>
      <c r="KS113" s="16"/>
      <c r="KT113" s="16"/>
      <c r="KU113" s="17"/>
      <c r="KY113" s="17"/>
      <c r="KZ113" s="60"/>
      <c r="LA113" s="16"/>
      <c r="LB113" s="16" t="s">
        <v>20</v>
      </c>
      <c r="LC113" s="16"/>
      <c r="LD113" s="16"/>
      <c r="LE113" s="16"/>
      <c r="LF113" s="17"/>
      <c r="LJ113" s="17"/>
      <c r="LK113" s="60"/>
      <c r="LL113" s="16"/>
      <c r="LM113" s="16" t="s">
        <v>20</v>
      </c>
      <c r="LN113" s="16"/>
      <c r="LO113" s="16"/>
      <c r="LP113" s="16"/>
      <c r="LQ113" s="17"/>
    </row>
    <row r="114">
      <c r="C114" s="31"/>
      <c r="D114" s="61"/>
      <c r="E114" s="16"/>
      <c r="F114" s="16" t="s">
        <v>20</v>
      </c>
      <c r="G114" s="21"/>
      <c r="H114" s="16"/>
      <c r="I114" s="16"/>
      <c r="J114" s="17"/>
      <c r="N114" s="17"/>
      <c r="O114" s="61"/>
      <c r="P114" s="16"/>
      <c r="Q114" s="16" t="s">
        <v>20</v>
      </c>
      <c r="R114" s="16"/>
      <c r="S114" s="16"/>
      <c r="T114" s="16"/>
      <c r="U114" s="17"/>
      <c r="Y114" s="66"/>
      <c r="Z114" s="61"/>
      <c r="AA114" s="16"/>
      <c r="AB114" s="16"/>
      <c r="AC114" s="16"/>
      <c r="AD114" s="16"/>
      <c r="AE114" s="16"/>
      <c r="AF114" s="17"/>
      <c r="AJ114" s="17"/>
      <c r="AK114" s="61"/>
      <c r="AL114" s="16"/>
      <c r="AM114" s="16"/>
      <c r="AN114" s="16"/>
      <c r="AO114" s="16"/>
      <c r="AP114" s="16"/>
      <c r="AQ114" s="17"/>
      <c r="AU114" s="17"/>
      <c r="AV114" s="61"/>
      <c r="AW114" s="16"/>
      <c r="AX114" s="16"/>
      <c r="AY114" s="16"/>
      <c r="AZ114" s="16"/>
      <c r="BA114" s="16"/>
      <c r="BB114" s="17"/>
      <c r="BF114" s="17"/>
      <c r="BG114" s="61"/>
      <c r="BH114" s="16"/>
      <c r="BI114" s="16" t="s">
        <v>20</v>
      </c>
      <c r="BJ114" s="16"/>
      <c r="BK114" s="16"/>
      <c r="BL114" s="16"/>
      <c r="BM114" s="17"/>
      <c r="BQ114" s="17"/>
      <c r="BR114" s="61"/>
      <c r="BS114" s="16"/>
      <c r="BT114" s="16" t="s">
        <v>20</v>
      </c>
      <c r="BU114" s="16"/>
      <c r="BV114" s="16"/>
      <c r="BW114" s="16"/>
      <c r="BX114" s="17"/>
      <c r="CB114" s="17"/>
      <c r="CC114" s="61"/>
      <c r="CD114" s="16"/>
      <c r="CE114" s="16" t="s">
        <v>20</v>
      </c>
      <c r="CF114" s="16"/>
      <c r="CG114" s="16"/>
      <c r="CH114" s="16"/>
      <c r="CI114" s="17"/>
      <c r="CM114" s="17"/>
      <c r="CN114" s="61"/>
      <c r="CO114" s="16"/>
      <c r="CP114" s="16" t="s">
        <v>20</v>
      </c>
      <c r="CQ114" s="16"/>
      <c r="CR114" s="16"/>
      <c r="CS114" s="16"/>
      <c r="CT114" s="17"/>
      <c r="CX114" s="17"/>
      <c r="CY114" s="60"/>
      <c r="CZ114" s="16"/>
      <c r="DA114" s="16" t="s">
        <v>20</v>
      </c>
      <c r="DB114" s="16"/>
      <c r="DC114" s="16"/>
      <c r="DD114" s="16"/>
      <c r="DE114" s="17"/>
      <c r="DI114" s="17"/>
      <c r="DJ114" s="60"/>
      <c r="DK114" s="16"/>
      <c r="DL114" s="16" t="s">
        <v>20</v>
      </c>
      <c r="DM114" s="16"/>
      <c r="DN114" s="16"/>
      <c r="DO114" s="16"/>
      <c r="DP114" s="17"/>
      <c r="DT114" s="17"/>
      <c r="DU114" s="60"/>
      <c r="DV114" s="16"/>
      <c r="DW114" s="16" t="s">
        <v>20</v>
      </c>
      <c r="DX114" s="16"/>
      <c r="DY114" s="16"/>
      <c r="DZ114" s="16"/>
      <c r="EA114" s="17"/>
      <c r="EE114" s="17"/>
      <c r="EF114" s="60"/>
      <c r="EG114" s="16"/>
      <c r="EH114" s="16" t="s">
        <v>20</v>
      </c>
      <c r="EI114" s="16"/>
      <c r="EJ114" s="16"/>
      <c r="EK114" s="16"/>
      <c r="EL114" s="17"/>
      <c r="EP114" s="17"/>
      <c r="EQ114" s="60"/>
      <c r="ER114" s="16"/>
      <c r="ES114" s="16" t="s">
        <v>20</v>
      </c>
      <c r="ET114" s="16"/>
      <c r="EU114" s="16"/>
      <c r="EV114" s="16"/>
      <c r="EW114" s="17"/>
      <c r="FA114" s="17"/>
      <c r="FB114" s="60"/>
      <c r="FC114" s="16"/>
      <c r="FD114" s="16" t="s">
        <v>20</v>
      </c>
      <c r="FE114" s="16"/>
      <c r="FF114" s="16"/>
      <c r="FG114" s="16"/>
      <c r="FH114" s="17"/>
      <c r="FL114" s="17"/>
      <c r="FM114" s="60"/>
      <c r="FN114" s="16"/>
      <c r="FO114" s="16" t="s">
        <v>20</v>
      </c>
      <c r="FP114" s="16"/>
      <c r="FQ114" s="16"/>
      <c r="FR114" s="16"/>
      <c r="FS114" s="17"/>
      <c r="FW114" s="17"/>
      <c r="FX114" s="60"/>
      <c r="FY114" s="16"/>
      <c r="FZ114" s="16" t="s">
        <v>20</v>
      </c>
      <c r="GA114" s="16"/>
      <c r="GB114" s="16"/>
      <c r="GC114" s="16"/>
      <c r="GD114" s="17"/>
      <c r="GH114" s="17"/>
      <c r="GI114" s="60"/>
      <c r="GJ114" s="16"/>
      <c r="GK114" s="16" t="s">
        <v>20</v>
      </c>
      <c r="GL114" s="16"/>
      <c r="GM114" s="16"/>
      <c r="GN114" s="16"/>
      <c r="GO114" s="17"/>
      <c r="GS114" s="17"/>
      <c r="GT114" s="60"/>
      <c r="GU114" s="16"/>
      <c r="GV114" s="16" t="s">
        <v>20</v>
      </c>
      <c r="GW114" s="16"/>
      <c r="GX114" s="16"/>
      <c r="GY114" s="16"/>
      <c r="GZ114" s="17"/>
      <c r="HD114" s="17"/>
      <c r="HE114" s="60"/>
      <c r="HF114" s="16"/>
      <c r="HG114" s="16" t="s">
        <v>20</v>
      </c>
      <c r="HH114" s="16"/>
      <c r="HI114" s="16"/>
      <c r="HJ114" s="16"/>
      <c r="HK114" s="17"/>
      <c r="HO114" s="17"/>
      <c r="HP114" s="60"/>
      <c r="HQ114" s="16"/>
      <c r="HR114" s="16" t="s">
        <v>20</v>
      </c>
      <c r="HS114" s="16"/>
      <c r="HT114" s="16"/>
      <c r="HU114" s="16"/>
      <c r="HV114" s="17"/>
      <c r="HZ114" s="17"/>
      <c r="IA114" s="60"/>
      <c r="IB114" s="16"/>
      <c r="IC114" s="16" t="s">
        <v>20</v>
      </c>
      <c r="ID114" s="16"/>
      <c r="IE114" s="16"/>
      <c r="IF114" s="16"/>
      <c r="IG114" s="17"/>
      <c r="IK114" s="17"/>
      <c r="IL114" s="60"/>
      <c r="IM114" s="16"/>
      <c r="IN114" s="16" t="s">
        <v>20</v>
      </c>
      <c r="IO114" s="16"/>
      <c r="IP114" s="16"/>
      <c r="IQ114" s="16"/>
      <c r="IR114" s="17"/>
      <c r="IV114" s="17"/>
      <c r="IW114" s="60"/>
      <c r="IX114" s="16"/>
      <c r="IY114" s="16" t="s">
        <v>20</v>
      </c>
      <c r="IZ114" s="16"/>
      <c r="JA114" s="16"/>
      <c r="JB114" s="16"/>
      <c r="JC114" s="17"/>
      <c r="JG114" s="17"/>
      <c r="JH114" s="60"/>
      <c r="JI114" s="16"/>
      <c r="JJ114" s="16" t="s">
        <v>20</v>
      </c>
      <c r="JK114" s="16"/>
      <c r="JL114" s="16"/>
      <c r="JM114" s="16"/>
      <c r="JN114" s="17"/>
      <c r="JR114" s="17"/>
      <c r="JS114" s="60"/>
      <c r="JT114" s="16"/>
      <c r="JU114" s="16" t="s">
        <v>20</v>
      </c>
      <c r="JV114" s="16"/>
      <c r="JW114" s="16"/>
      <c r="JX114" s="16"/>
      <c r="JY114" s="17"/>
      <c r="KC114" s="17"/>
      <c r="KD114" s="60"/>
      <c r="KE114" s="16"/>
      <c r="KF114" s="16" t="s">
        <v>20</v>
      </c>
      <c r="KG114" s="16"/>
      <c r="KH114" s="16"/>
      <c r="KI114" s="16"/>
      <c r="KJ114" s="17"/>
      <c r="KN114" s="17"/>
      <c r="KO114" s="60"/>
      <c r="KP114" s="16"/>
      <c r="KQ114" s="16" t="s">
        <v>20</v>
      </c>
      <c r="KR114" s="16"/>
      <c r="KS114" s="16"/>
      <c r="KT114" s="16"/>
      <c r="KU114" s="17"/>
      <c r="KY114" s="17"/>
      <c r="KZ114" s="60"/>
      <c r="LA114" s="16"/>
      <c r="LB114" s="16" t="s">
        <v>20</v>
      </c>
      <c r="LC114" s="16"/>
      <c r="LD114" s="16"/>
      <c r="LE114" s="16"/>
      <c r="LF114" s="17"/>
      <c r="LJ114" s="17"/>
      <c r="LK114" s="60"/>
      <c r="LL114" s="16"/>
      <c r="LM114" s="16" t="s">
        <v>20</v>
      </c>
      <c r="LN114" s="16"/>
      <c r="LO114" s="16"/>
      <c r="LP114" s="16"/>
      <c r="LQ114" s="17"/>
    </row>
    <row r="115">
      <c r="C115" s="31"/>
      <c r="D115" s="61"/>
      <c r="E115" s="16"/>
      <c r="F115" s="16" t="s">
        <v>20</v>
      </c>
      <c r="G115" s="21"/>
      <c r="H115" s="16"/>
      <c r="I115" s="16"/>
      <c r="J115" s="17"/>
      <c r="N115" s="17"/>
      <c r="O115" s="61"/>
      <c r="P115" s="16"/>
      <c r="Q115" s="16" t="s">
        <v>20</v>
      </c>
      <c r="R115" s="16"/>
      <c r="S115" s="16"/>
      <c r="T115" s="16"/>
      <c r="U115" s="17"/>
      <c r="Y115" s="66"/>
      <c r="Z115" s="61"/>
      <c r="AA115" s="16"/>
      <c r="AB115" s="16"/>
      <c r="AC115" s="16"/>
      <c r="AD115" s="16"/>
      <c r="AE115" s="16"/>
      <c r="AF115" s="17"/>
      <c r="AJ115" s="17"/>
      <c r="AK115" s="61"/>
      <c r="AL115" s="16"/>
      <c r="AM115" s="16"/>
      <c r="AN115" s="16"/>
      <c r="AO115" s="16"/>
      <c r="AP115" s="16"/>
      <c r="AQ115" s="17"/>
      <c r="AU115" s="17"/>
      <c r="AV115" s="61"/>
      <c r="AW115" s="16"/>
      <c r="AX115" s="16"/>
      <c r="AY115" s="16"/>
      <c r="AZ115" s="16"/>
      <c r="BA115" s="16"/>
      <c r="BB115" s="17"/>
      <c r="BF115" s="17"/>
      <c r="BG115" s="61"/>
      <c r="BH115" s="16"/>
      <c r="BI115" s="16" t="s">
        <v>20</v>
      </c>
      <c r="BJ115" s="16"/>
      <c r="BK115" s="16"/>
      <c r="BL115" s="16"/>
      <c r="BM115" s="17"/>
      <c r="BQ115" s="17"/>
      <c r="BR115" s="61"/>
      <c r="BS115" s="16"/>
      <c r="BT115" s="16" t="s">
        <v>20</v>
      </c>
      <c r="BU115" s="16"/>
      <c r="BV115" s="16"/>
      <c r="BW115" s="16"/>
      <c r="BX115" s="17"/>
      <c r="CB115" s="17"/>
      <c r="CC115" s="61"/>
      <c r="CD115" s="16"/>
      <c r="CE115" s="16" t="s">
        <v>20</v>
      </c>
      <c r="CF115" s="16"/>
      <c r="CG115" s="16"/>
      <c r="CH115" s="16"/>
      <c r="CI115" s="17"/>
      <c r="CM115" s="17"/>
      <c r="CN115" s="61"/>
      <c r="CO115" s="16"/>
      <c r="CP115" s="16" t="s">
        <v>20</v>
      </c>
      <c r="CQ115" s="16"/>
      <c r="CR115" s="16"/>
      <c r="CS115" s="16"/>
      <c r="CT115" s="17"/>
      <c r="CX115" s="17"/>
      <c r="CY115" s="60"/>
      <c r="CZ115" s="16"/>
      <c r="DA115" s="16" t="s">
        <v>20</v>
      </c>
      <c r="DB115" s="16"/>
      <c r="DC115" s="16"/>
      <c r="DD115" s="16"/>
      <c r="DE115" s="17"/>
      <c r="DI115" s="17"/>
      <c r="DJ115" s="60"/>
      <c r="DK115" s="16"/>
      <c r="DL115" s="16" t="s">
        <v>20</v>
      </c>
      <c r="DM115" s="16"/>
      <c r="DN115" s="16"/>
      <c r="DO115" s="16"/>
      <c r="DP115" s="17"/>
      <c r="DT115" s="17"/>
      <c r="DU115" s="60"/>
      <c r="DV115" s="16"/>
      <c r="DW115" s="16" t="s">
        <v>20</v>
      </c>
      <c r="DX115" s="16"/>
      <c r="DY115" s="16"/>
      <c r="DZ115" s="16"/>
      <c r="EA115" s="17"/>
      <c r="EE115" s="17"/>
      <c r="EF115" s="60"/>
      <c r="EG115" s="16"/>
      <c r="EH115" s="16" t="s">
        <v>20</v>
      </c>
      <c r="EI115" s="16"/>
      <c r="EJ115" s="16"/>
      <c r="EK115" s="16"/>
      <c r="EL115" s="17"/>
      <c r="EP115" s="17"/>
      <c r="EQ115" s="60"/>
      <c r="ER115" s="16"/>
      <c r="ES115" s="16" t="s">
        <v>20</v>
      </c>
      <c r="ET115" s="16"/>
      <c r="EU115" s="16"/>
      <c r="EV115" s="16"/>
      <c r="EW115" s="17"/>
      <c r="FA115" s="17"/>
      <c r="FB115" s="60"/>
      <c r="FC115" s="16"/>
      <c r="FD115" s="16" t="s">
        <v>20</v>
      </c>
      <c r="FE115" s="16"/>
      <c r="FF115" s="16"/>
      <c r="FG115" s="16"/>
      <c r="FH115" s="17"/>
      <c r="FL115" s="17"/>
      <c r="FM115" s="60"/>
      <c r="FN115" s="16"/>
      <c r="FO115" s="16" t="s">
        <v>20</v>
      </c>
      <c r="FP115" s="16"/>
      <c r="FQ115" s="16"/>
      <c r="FR115" s="16"/>
      <c r="FS115" s="17"/>
      <c r="FW115" s="17"/>
      <c r="FX115" s="60"/>
      <c r="FY115" s="16"/>
      <c r="FZ115" s="16" t="s">
        <v>20</v>
      </c>
      <c r="GA115" s="16"/>
      <c r="GB115" s="16"/>
      <c r="GC115" s="16"/>
      <c r="GD115" s="17"/>
      <c r="GH115" s="17"/>
      <c r="GI115" s="60"/>
      <c r="GJ115" s="16"/>
      <c r="GK115" s="16" t="s">
        <v>20</v>
      </c>
      <c r="GL115" s="16"/>
      <c r="GM115" s="16"/>
      <c r="GN115" s="16"/>
      <c r="GO115" s="17"/>
      <c r="GS115" s="17"/>
      <c r="GT115" s="60"/>
      <c r="GU115" s="16"/>
      <c r="GV115" s="16" t="s">
        <v>20</v>
      </c>
      <c r="GW115" s="16"/>
      <c r="GX115" s="16"/>
      <c r="GY115" s="16"/>
      <c r="GZ115" s="17"/>
      <c r="HD115" s="17"/>
      <c r="HE115" s="60"/>
      <c r="HF115" s="16"/>
      <c r="HG115" s="16" t="s">
        <v>20</v>
      </c>
      <c r="HH115" s="16"/>
      <c r="HI115" s="16"/>
      <c r="HJ115" s="16"/>
      <c r="HK115" s="17"/>
      <c r="HO115" s="17"/>
      <c r="HP115" s="60"/>
      <c r="HQ115" s="16"/>
      <c r="HR115" s="16" t="s">
        <v>20</v>
      </c>
      <c r="HS115" s="16"/>
      <c r="HT115" s="16"/>
      <c r="HU115" s="16"/>
      <c r="HV115" s="17"/>
      <c r="HZ115" s="17"/>
      <c r="IA115" s="60"/>
      <c r="IB115" s="16"/>
      <c r="IC115" s="16" t="s">
        <v>20</v>
      </c>
      <c r="ID115" s="16"/>
      <c r="IE115" s="16"/>
      <c r="IF115" s="16"/>
      <c r="IG115" s="17"/>
      <c r="IK115" s="17"/>
      <c r="IL115" s="60"/>
      <c r="IM115" s="16"/>
      <c r="IN115" s="16" t="s">
        <v>20</v>
      </c>
      <c r="IO115" s="16"/>
      <c r="IP115" s="16"/>
      <c r="IQ115" s="16"/>
      <c r="IR115" s="17"/>
      <c r="IV115" s="17"/>
      <c r="IW115" s="60"/>
      <c r="IX115" s="16"/>
      <c r="IY115" s="16" t="s">
        <v>20</v>
      </c>
      <c r="IZ115" s="16"/>
      <c r="JA115" s="16"/>
      <c r="JB115" s="16"/>
      <c r="JC115" s="17"/>
      <c r="JG115" s="17"/>
      <c r="JH115" s="60"/>
      <c r="JI115" s="16"/>
      <c r="JJ115" s="16" t="s">
        <v>20</v>
      </c>
      <c r="JK115" s="16"/>
      <c r="JL115" s="16"/>
      <c r="JM115" s="16"/>
      <c r="JN115" s="17"/>
      <c r="JR115" s="17"/>
      <c r="JS115" s="60"/>
      <c r="JT115" s="16"/>
      <c r="JU115" s="16" t="s">
        <v>20</v>
      </c>
      <c r="JV115" s="16"/>
      <c r="JW115" s="16"/>
      <c r="JX115" s="16"/>
      <c r="JY115" s="17"/>
      <c r="KC115" s="17"/>
      <c r="KD115" s="60"/>
      <c r="KE115" s="16"/>
      <c r="KF115" s="16" t="s">
        <v>20</v>
      </c>
      <c r="KG115" s="16"/>
      <c r="KH115" s="16"/>
      <c r="KI115" s="16"/>
      <c r="KJ115" s="17"/>
      <c r="KN115" s="17"/>
      <c r="KO115" s="60"/>
      <c r="KP115" s="16"/>
      <c r="KQ115" s="16" t="s">
        <v>20</v>
      </c>
      <c r="KR115" s="16"/>
      <c r="KS115" s="16"/>
      <c r="KT115" s="16"/>
      <c r="KU115" s="17"/>
      <c r="KY115" s="17"/>
      <c r="KZ115" s="60"/>
      <c r="LA115" s="16"/>
      <c r="LB115" s="16" t="s">
        <v>20</v>
      </c>
      <c r="LC115" s="16"/>
      <c r="LD115" s="16"/>
      <c r="LE115" s="16"/>
      <c r="LF115" s="17"/>
      <c r="LJ115" s="17"/>
      <c r="LK115" s="60"/>
      <c r="LL115" s="16"/>
      <c r="LM115" s="16" t="s">
        <v>20</v>
      </c>
      <c r="LN115" s="16"/>
      <c r="LO115" s="16"/>
      <c r="LP115" s="16"/>
      <c r="LQ115" s="17"/>
    </row>
    <row r="116">
      <c r="C116" s="31"/>
      <c r="D116" s="61"/>
      <c r="E116" s="16"/>
      <c r="F116" s="16" t="s">
        <v>20</v>
      </c>
      <c r="G116" s="21"/>
      <c r="H116" s="16"/>
      <c r="I116" s="16"/>
      <c r="J116" s="17"/>
      <c r="N116" s="17"/>
      <c r="O116" s="61"/>
      <c r="P116" s="16"/>
      <c r="Q116" s="16" t="s">
        <v>20</v>
      </c>
      <c r="R116" s="16"/>
      <c r="S116" s="16"/>
      <c r="T116" s="16"/>
      <c r="U116" s="17"/>
      <c r="Y116" s="66"/>
      <c r="Z116" s="61"/>
      <c r="AA116" s="16"/>
      <c r="AB116" s="16"/>
      <c r="AC116" s="16"/>
      <c r="AD116" s="16"/>
      <c r="AE116" s="16"/>
      <c r="AF116" s="17"/>
      <c r="AJ116" s="17"/>
      <c r="AK116" s="61"/>
      <c r="AL116" s="16"/>
      <c r="AM116" s="16"/>
      <c r="AN116" s="16"/>
      <c r="AO116" s="16"/>
      <c r="AP116" s="16"/>
      <c r="AQ116" s="17"/>
      <c r="AU116" s="17"/>
      <c r="AV116" s="61"/>
      <c r="AW116" s="16"/>
      <c r="AX116" s="16"/>
      <c r="AY116" s="16"/>
      <c r="AZ116" s="16"/>
      <c r="BA116" s="16"/>
      <c r="BB116" s="17"/>
      <c r="BF116" s="17"/>
      <c r="BG116" s="61"/>
      <c r="BH116" s="16"/>
      <c r="BI116" s="16" t="s">
        <v>20</v>
      </c>
      <c r="BJ116" s="16"/>
      <c r="BK116" s="16"/>
      <c r="BL116" s="16"/>
      <c r="BM116" s="17"/>
      <c r="BQ116" s="17"/>
      <c r="BR116" s="61"/>
      <c r="BS116" s="16"/>
      <c r="BT116" s="16" t="s">
        <v>20</v>
      </c>
      <c r="BU116" s="16"/>
      <c r="BV116" s="16"/>
      <c r="BW116" s="16"/>
      <c r="BX116" s="17"/>
      <c r="CB116" s="17"/>
      <c r="CC116" s="61"/>
      <c r="CD116" s="16"/>
      <c r="CE116" s="16" t="s">
        <v>20</v>
      </c>
      <c r="CF116" s="16"/>
      <c r="CG116" s="16"/>
      <c r="CH116" s="16"/>
      <c r="CI116" s="17"/>
      <c r="CM116" s="17"/>
      <c r="CN116" s="61"/>
      <c r="CO116" s="16"/>
      <c r="CP116" s="16" t="s">
        <v>20</v>
      </c>
      <c r="CQ116" s="16"/>
      <c r="CR116" s="16"/>
      <c r="CS116" s="16"/>
      <c r="CT116" s="17"/>
      <c r="CX116" s="17"/>
      <c r="CY116" s="60"/>
      <c r="CZ116" s="16"/>
      <c r="DA116" s="16" t="s">
        <v>20</v>
      </c>
      <c r="DB116" s="16"/>
      <c r="DC116" s="16"/>
      <c r="DD116" s="16"/>
      <c r="DE116" s="17"/>
      <c r="DI116" s="17"/>
      <c r="DJ116" s="60"/>
      <c r="DK116" s="16"/>
      <c r="DL116" s="16" t="s">
        <v>20</v>
      </c>
      <c r="DM116" s="16"/>
      <c r="DN116" s="16"/>
      <c r="DO116" s="16"/>
      <c r="DP116" s="17"/>
      <c r="DT116" s="17"/>
      <c r="DU116" s="60"/>
      <c r="DV116" s="16"/>
      <c r="DW116" s="16" t="s">
        <v>20</v>
      </c>
      <c r="DX116" s="16"/>
      <c r="DY116" s="16"/>
      <c r="DZ116" s="16"/>
      <c r="EA116" s="17"/>
      <c r="EE116" s="17"/>
      <c r="EF116" s="60"/>
      <c r="EG116" s="16"/>
      <c r="EH116" s="16" t="s">
        <v>20</v>
      </c>
      <c r="EI116" s="16"/>
      <c r="EJ116" s="16"/>
      <c r="EK116" s="16"/>
      <c r="EL116" s="17"/>
      <c r="EP116" s="17"/>
      <c r="EQ116" s="60"/>
      <c r="ER116" s="16"/>
      <c r="ES116" s="16" t="s">
        <v>20</v>
      </c>
      <c r="ET116" s="16"/>
      <c r="EU116" s="16"/>
      <c r="EV116" s="16"/>
      <c r="EW116" s="17"/>
      <c r="FA116" s="17"/>
      <c r="FB116" s="60"/>
      <c r="FC116" s="16"/>
      <c r="FD116" s="16" t="s">
        <v>20</v>
      </c>
      <c r="FE116" s="16"/>
      <c r="FF116" s="16"/>
      <c r="FG116" s="16"/>
      <c r="FH116" s="17"/>
      <c r="FL116" s="17"/>
      <c r="FM116" s="60"/>
      <c r="FN116" s="16"/>
      <c r="FO116" s="16" t="s">
        <v>20</v>
      </c>
      <c r="FP116" s="16"/>
      <c r="FQ116" s="16"/>
      <c r="FR116" s="16"/>
      <c r="FS116" s="17"/>
      <c r="FW116" s="17"/>
      <c r="FX116" s="60"/>
      <c r="FY116" s="16"/>
      <c r="FZ116" s="16" t="s">
        <v>20</v>
      </c>
      <c r="GA116" s="16"/>
      <c r="GB116" s="16"/>
      <c r="GC116" s="16"/>
      <c r="GD116" s="17"/>
      <c r="GH116" s="17"/>
      <c r="GI116" s="60"/>
      <c r="GJ116" s="16"/>
      <c r="GK116" s="16" t="s">
        <v>20</v>
      </c>
      <c r="GL116" s="16"/>
      <c r="GM116" s="16"/>
      <c r="GN116" s="16"/>
      <c r="GO116" s="17"/>
      <c r="GS116" s="17"/>
      <c r="GT116" s="60"/>
      <c r="GU116" s="16"/>
      <c r="GV116" s="16" t="s">
        <v>20</v>
      </c>
      <c r="GW116" s="16"/>
      <c r="GX116" s="16"/>
      <c r="GY116" s="16"/>
      <c r="GZ116" s="17"/>
      <c r="HD116" s="17"/>
      <c r="HE116" s="60"/>
      <c r="HF116" s="16"/>
      <c r="HG116" s="16" t="s">
        <v>20</v>
      </c>
      <c r="HH116" s="16"/>
      <c r="HI116" s="16"/>
      <c r="HJ116" s="16"/>
      <c r="HK116" s="17"/>
      <c r="HO116" s="17"/>
      <c r="HP116" s="60"/>
      <c r="HQ116" s="16"/>
      <c r="HR116" s="16" t="s">
        <v>20</v>
      </c>
      <c r="HS116" s="16"/>
      <c r="HT116" s="16"/>
      <c r="HU116" s="16"/>
      <c r="HV116" s="17"/>
      <c r="HZ116" s="17"/>
      <c r="IA116" s="60"/>
      <c r="IB116" s="16"/>
      <c r="IC116" s="16" t="s">
        <v>20</v>
      </c>
      <c r="ID116" s="16"/>
      <c r="IE116" s="16"/>
      <c r="IF116" s="16"/>
      <c r="IG116" s="17"/>
      <c r="IK116" s="17"/>
      <c r="IL116" s="60"/>
      <c r="IM116" s="16"/>
      <c r="IN116" s="16" t="s">
        <v>20</v>
      </c>
      <c r="IO116" s="16"/>
      <c r="IP116" s="16"/>
      <c r="IQ116" s="16"/>
      <c r="IR116" s="17"/>
      <c r="IV116" s="17"/>
      <c r="IW116" s="60"/>
      <c r="IX116" s="16"/>
      <c r="IY116" s="16" t="s">
        <v>20</v>
      </c>
      <c r="IZ116" s="16"/>
      <c r="JA116" s="16"/>
      <c r="JB116" s="16"/>
      <c r="JC116" s="17"/>
      <c r="JG116" s="17"/>
      <c r="JH116" s="60"/>
      <c r="JI116" s="16"/>
      <c r="JJ116" s="16" t="s">
        <v>20</v>
      </c>
      <c r="JK116" s="16"/>
      <c r="JL116" s="16"/>
      <c r="JM116" s="16"/>
      <c r="JN116" s="17"/>
      <c r="JR116" s="17"/>
      <c r="JS116" s="60"/>
      <c r="JT116" s="16"/>
      <c r="JU116" s="16" t="s">
        <v>20</v>
      </c>
      <c r="JV116" s="16"/>
      <c r="JW116" s="16"/>
      <c r="JX116" s="16"/>
      <c r="JY116" s="17"/>
      <c r="KC116" s="17"/>
      <c r="KD116" s="60"/>
      <c r="KE116" s="16"/>
      <c r="KF116" s="16" t="s">
        <v>20</v>
      </c>
      <c r="KG116" s="16"/>
      <c r="KH116" s="16"/>
      <c r="KI116" s="16"/>
      <c r="KJ116" s="17"/>
      <c r="KN116" s="17"/>
      <c r="KO116" s="60"/>
      <c r="KP116" s="16"/>
      <c r="KQ116" s="16" t="s">
        <v>20</v>
      </c>
      <c r="KR116" s="16"/>
      <c r="KS116" s="16"/>
      <c r="KT116" s="16"/>
      <c r="KU116" s="17"/>
      <c r="KY116" s="17"/>
      <c r="KZ116" s="60"/>
      <c r="LA116" s="16"/>
      <c r="LB116" s="16" t="s">
        <v>20</v>
      </c>
      <c r="LC116" s="16"/>
      <c r="LD116" s="16"/>
      <c r="LE116" s="16"/>
      <c r="LF116" s="17"/>
      <c r="LJ116" s="17"/>
      <c r="LK116" s="60"/>
      <c r="LL116" s="16"/>
      <c r="LM116" s="16" t="s">
        <v>20</v>
      </c>
      <c r="LN116" s="16"/>
      <c r="LO116" s="16"/>
      <c r="LP116" s="16"/>
      <c r="LQ116" s="17"/>
    </row>
    <row r="117">
      <c r="C117" s="31"/>
      <c r="D117" s="61"/>
      <c r="E117" s="16"/>
      <c r="F117" s="16" t="s">
        <v>20</v>
      </c>
      <c r="G117" s="21"/>
      <c r="H117" s="16"/>
      <c r="I117" s="16"/>
      <c r="J117" s="17"/>
      <c r="N117" s="17"/>
      <c r="O117" s="61"/>
      <c r="P117" s="16"/>
      <c r="Q117" s="16" t="s">
        <v>20</v>
      </c>
      <c r="R117" s="16"/>
      <c r="S117" s="16"/>
      <c r="T117" s="16"/>
      <c r="U117" s="17"/>
      <c r="Y117" s="66"/>
      <c r="Z117" s="61"/>
      <c r="AA117" s="16"/>
      <c r="AB117" s="16"/>
      <c r="AC117" s="16"/>
      <c r="AD117" s="16"/>
      <c r="AE117" s="16"/>
      <c r="AF117" s="17"/>
      <c r="AJ117" s="17"/>
      <c r="AK117" s="61"/>
      <c r="AL117" s="16"/>
      <c r="AM117" s="16"/>
      <c r="AN117" s="16"/>
      <c r="AO117" s="16"/>
      <c r="AP117" s="16"/>
      <c r="AQ117" s="17"/>
      <c r="AU117" s="17"/>
      <c r="AV117" s="61"/>
      <c r="AW117" s="16"/>
      <c r="AX117" s="16"/>
      <c r="AY117" s="16"/>
      <c r="AZ117" s="16"/>
      <c r="BA117" s="16"/>
      <c r="BB117" s="17"/>
      <c r="BF117" s="17"/>
      <c r="BG117" s="61"/>
      <c r="BH117" s="16"/>
      <c r="BI117" s="16" t="s">
        <v>20</v>
      </c>
      <c r="BJ117" s="16"/>
      <c r="BK117" s="16"/>
      <c r="BL117" s="16"/>
      <c r="BM117" s="17"/>
      <c r="BQ117" s="17"/>
      <c r="BR117" s="61"/>
      <c r="BS117" s="16"/>
      <c r="BT117" s="16" t="s">
        <v>20</v>
      </c>
      <c r="BU117" s="16"/>
      <c r="BV117" s="16"/>
      <c r="BW117" s="16"/>
      <c r="BX117" s="17"/>
      <c r="CB117" s="17"/>
      <c r="CC117" s="61"/>
      <c r="CD117" s="16"/>
      <c r="CE117" s="16" t="s">
        <v>20</v>
      </c>
      <c r="CF117" s="16"/>
      <c r="CG117" s="16"/>
      <c r="CH117" s="16"/>
      <c r="CI117" s="17"/>
      <c r="CM117" s="17"/>
      <c r="CN117" s="61"/>
      <c r="CO117" s="16"/>
      <c r="CP117" s="16" t="s">
        <v>20</v>
      </c>
      <c r="CQ117" s="16"/>
      <c r="CR117" s="16"/>
      <c r="CS117" s="16"/>
      <c r="CT117" s="17"/>
      <c r="CX117" s="17"/>
      <c r="CY117" s="60"/>
      <c r="CZ117" s="16"/>
      <c r="DA117" s="16" t="s">
        <v>20</v>
      </c>
      <c r="DB117" s="16"/>
      <c r="DC117" s="16"/>
      <c r="DD117" s="16"/>
      <c r="DE117" s="17"/>
      <c r="DI117" s="17"/>
      <c r="DJ117" s="60"/>
      <c r="DK117" s="16"/>
      <c r="DL117" s="16" t="s">
        <v>20</v>
      </c>
      <c r="DM117" s="16"/>
      <c r="DN117" s="16"/>
      <c r="DO117" s="16"/>
      <c r="DP117" s="17"/>
      <c r="DT117" s="17"/>
      <c r="DU117" s="60"/>
      <c r="DV117" s="16"/>
      <c r="DW117" s="16" t="s">
        <v>20</v>
      </c>
      <c r="DX117" s="16"/>
      <c r="DY117" s="16"/>
      <c r="DZ117" s="16"/>
      <c r="EA117" s="17"/>
      <c r="EE117" s="17"/>
      <c r="EF117" s="60"/>
      <c r="EG117" s="16"/>
      <c r="EH117" s="16" t="s">
        <v>20</v>
      </c>
      <c r="EI117" s="16"/>
      <c r="EJ117" s="16"/>
      <c r="EK117" s="16"/>
      <c r="EL117" s="17"/>
      <c r="EP117" s="17"/>
      <c r="EQ117" s="60"/>
      <c r="ER117" s="16"/>
      <c r="ES117" s="16" t="s">
        <v>20</v>
      </c>
      <c r="ET117" s="16"/>
      <c r="EU117" s="16"/>
      <c r="EV117" s="16"/>
      <c r="EW117" s="17"/>
      <c r="FA117" s="17"/>
      <c r="FB117" s="60"/>
      <c r="FC117" s="16"/>
      <c r="FD117" s="16" t="s">
        <v>20</v>
      </c>
      <c r="FE117" s="16"/>
      <c r="FF117" s="16"/>
      <c r="FG117" s="16"/>
      <c r="FH117" s="17"/>
      <c r="FL117" s="17"/>
      <c r="FM117" s="60"/>
      <c r="FN117" s="16"/>
      <c r="FO117" s="16" t="s">
        <v>20</v>
      </c>
      <c r="FP117" s="16"/>
      <c r="FQ117" s="16"/>
      <c r="FR117" s="16"/>
      <c r="FS117" s="17"/>
      <c r="FW117" s="17"/>
      <c r="FX117" s="60"/>
      <c r="FY117" s="16"/>
      <c r="FZ117" s="16" t="s">
        <v>20</v>
      </c>
      <c r="GA117" s="16"/>
      <c r="GB117" s="16"/>
      <c r="GC117" s="16"/>
      <c r="GD117" s="17"/>
      <c r="GH117" s="17"/>
      <c r="GI117" s="60"/>
      <c r="GJ117" s="16"/>
      <c r="GK117" s="16" t="s">
        <v>20</v>
      </c>
      <c r="GL117" s="16"/>
      <c r="GM117" s="16"/>
      <c r="GN117" s="16"/>
      <c r="GO117" s="17"/>
      <c r="GS117" s="17"/>
      <c r="GT117" s="60"/>
      <c r="GU117" s="16"/>
      <c r="GV117" s="16" t="s">
        <v>20</v>
      </c>
      <c r="GW117" s="16"/>
      <c r="GX117" s="16"/>
      <c r="GY117" s="16"/>
      <c r="GZ117" s="17"/>
      <c r="HD117" s="17"/>
      <c r="HE117" s="60"/>
      <c r="HF117" s="16"/>
      <c r="HG117" s="16" t="s">
        <v>20</v>
      </c>
      <c r="HH117" s="16"/>
      <c r="HI117" s="16"/>
      <c r="HJ117" s="16"/>
      <c r="HK117" s="17"/>
      <c r="HO117" s="17"/>
      <c r="HP117" s="60"/>
      <c r="HQ117" s="16"/>
      <c r="HR117" s="16" t="s">
        <v>20</v>
      </c>
      <c r="HS117" s="16"/>
      <c r="HT117" s="16"/>
      <c r="HU117" s="16"/>
      <c r="HV117" s="17"/>
      <c r="HZ117" s="17"/>
      <c r="IA117" s="60"/>
      <c r="IB117" s="16"/>
      <c r="IC117" s="16" t="s">
        <v>20</v>
      </c>
      <c r="ID117" s="16"/>
      <c r="IE117" s="16"/>
      <c r="IF117" s="16"/>
      <c r="IG117" s="17"/>
      <c r="IK117" s="17"/>
      <c r="IL117" s="60"/>
      <c r="IM117" s="16"/>
      <c r="IN117" s="16" t="s">
        <v>20</v>
      </c>
      <c r="IO117" s="16"/>
      <c r="IP117" s="16"/>
      <c r="IQ117" s="16"/>
      <c r="IR117" s="17"/>
      <c r="IV117" s="17"/>
      <c r="IW117" s="60"/>
      <c r="IX117" s="16"/>
      <c r="IY117" s="16" t="s">
        <v>20</v>
      </c>
      <c r="IZ117" s="16"/>
      <c r="JA117" s="16"/>
      <c r="JB117" s="16"/>
      <c r="JC117" s="17"/>
      <c r="JG117" s="17"/>
      <c r="JH117" s="60"/>
      <c r="JI117" s="16"/>
      <c r="JJ117" s="16" t="s">
        <v>20</v>
      </c>
      <c r="JK117" s="16"/>
      <c r="JL117" s="16"/>
      <c r="JM117" s="16"/>
      <c r="JN117" s="17"/>
      <c r="JR117" s="17"/>
      <c r="JS117" s="60"/>
      <c r="JT117" s="16"/>
      <c r="JU117" s="16" t="s">
        <v>20</v>
      </c>
      <c r="JV117" s="16"/>
      <c r="JW117" s="16"/>
      <c r="JX117" s="16"/>
      <c r="JY117" s="17"/>
      <c r="KC117" s="17"/>
      <c r="KD117" s="60"/>
      <c r="KE117" s="16"/>
      <c r="KF117" s="16" t="s">
        <v>20</v>
      </c>
      <c r="KG117" s="16"/>
      <c r="KH117" s="16"/>
      <c r="KI117" s="16"/>
      <c r="KJ117" s="17"/>
      <c r="KN117" s="17"/>
      <c r="KO117" s="60"/>
      <c r="KP117" s="16"/>
      <c r="KQ117" s="16" t="s">
        <v>20</v>
      </c>
      <c r="KR117" s="16"/>
      <c r="KS117" s="16"/>
      <c r="KT117" s="16"/>
      <c r="KU117" s="17"/>
      <c r="KY117" s="17"/>
      <c r="KZ117" s="60"/>
      <c r="LA117" s="16"/>
      <c r="LB117" s="16" t="s">
        <v>20</v>
      </c>
      <c r="LC117" s="16"/>
      <c r="LD117" s="16"/>
      <c r="LE117" s="16"/>
      <c r="LF117" s="17"/>
      <c r="LJ117" s="17"/>
      <c r="LK117" s="60"/>
      <c r="LL117" s="16"/>
      <c r="LM117" s="16" t="s">
        <v>20</v>
      </c>
      <c r="LN117" s="16"/>
      <c r="LO117" s="16"/>
      <c r="LP117" s="16"/>
      <c r="LQ117" s="17"/>
    </row>
    <row r="118">
      <c r="C118" s="31"/>
      <c r="D118" s="61"/>
      <c r="E118" s="16"/>
      <c r="F118" s="16" t="s">
        <v>20</v>
      </c>
      <c r="G118" s="21"/>
      <c r="H118" s="16"/>
      <c r="I118" s="16"/>
      <c r="J118" s="17"/>
      <c r="N118" s="17"/>
      <c r="O118" s="61"/>
      <c r="P118" s="16"/>
      <c r="Q118" s="16" t="s">
        <v>20</v>
      </c>
      <c r="R118" s="16"/>
      <c r="S118" s="16"/>
      <c r="T118" s="16"/>
      <c r="U118" s="17"/>
      <c r="Y118" s="66"/>
      <c r="Z118" s="61"/>
      <c r="AA118" s="16"/>
      <c r="AB118" s="16"/>
      <c r="AC118" s="16"/>
      <c r="AD118" s="16"/>
      <c r="AE118" s="16"/>
      <c r="AF118" s="17"/>
      <c r="AJ118" s="17"/>
      <c r="AK118" s="61"/>
      <c r="AL118" s="16"/>
      <c r="AM118" s="16"/>
      <c r="AN118" s="16"/>
      <c r="AO118" s="16"/>
      <c r="AP118" s="16"/>
      <c r="AQ118" s="17"/>
      <c r="AU118" s="17"/>
      <c r="AV118" s="61"/>
      <c r="AW118" s="16"/>
      <c r="AX118" s="16"/>
      <c r="AY118" s="16"/>
      <c r="AZ118" s="16"/>
      <c r="BA118" s="16"/>
      <c r="BB118" s="17"/>
      <c r="BF118" s="17"/>
      <c r="BG118" s="61"/>
      <c r="BH118" s="16"/>
      <c r="BI118" s="16" t="s">
        <v>20</v>
      </c>
      <c r="BJ118" s="16"/>
      <c r="BK118" s="16"/>
      <c r="BL118" s="16"/>
      <c r="BM118" s="17"/>
      <c r="BQ118" s="17"/>
      <c r="BR118" s="61"/>
      <c r="BS118" s="16"/>
      <c r="BT118" s="16" t="s">
        <v>20</v>
      </c>
      <c r="BU118" s="16"/>
      <c r="BV118" s="16"/>
      <c r="BW118" s="16"/>
      <c r="BX118" s="17"/>
      <c r="CB118" s="17"/>
      <c r="CC118" s="61"/>
      <c r="CD118" s="16"/>
      <c r="CE118" s="16" t="s">
        <v>20</v>
      </c>
      <c r="CF118" s="16"/>
      <c r="CG118" s="16"/>
      <c r="CH118" s="16"/>
      <c r="CI118" s="17"/>
      <c r="CM118" s="17"/>
      <c r="CN118" s="61"/>
      <c r="CO118" s="16"/>
      <c r="CP118" s="16" t="s">
        <v>20</v>
      </c>
      <c r="CQ118" s="16"/>
      <c r="CR118" s="16"/>
      <c r="CS118" s="16"/>
      <c r="CT118" s="17"/>
      <c r="CX118" s="17"/>
      <c r="CY118" s="60"/>
      <c r="CZ118" s="16"/>
      <c r="DA118" s="16" t="s">
        <v>20</v>
      </c>
      <c r="DB118" s="16"/>
      <c r="DC118" s="16"/>
      <c r="DD118" s="16"/>
      <c r="DE118" s="17"/>
      <c r="DI118" s="17"/>
      <c r="DJ118" s="60"/>
      <c r="DK118" s="16"/>
      <c r="DL118" s="16" t="s">
        <v>20</v>
      </c>
      <c r="DM118" s="16"/>
      <c r="DN118" s="16"/>
      <c r="DO118" s="16"/>
      <c r="DP118" s="17"/>
      <c r="DT118" s="17"/>
      <c r="DU118" s="60"/>
      <c r="DV118" s="16"/>
      <c r="DW118" s="16" t="s">
        <v>20</v>
      </c>
      <c r="DX118" s="16"/>
      <c r="DY118" s="16"/>
      <c r="DZ118" s="16"/>
      <c r="EA118" s="17"/>
      <c r="EE118" s="17"/>
      <c r="EF118" s="60"/>
      <c r="EG118" s="16"/>
      <c r="EH118" s="16" t="s">
        <v>20</v>
      </c>
      <c r="EI118" s="16"/>
      <c r="EJ118" s="16"/>
      <c r="EK118" s="16"/>
      <c r="EL118" s="17"/>
      <c r="EP118" s="17"/>
      <c r="EQ118" s="60"/>
      <c r="ER118" s="16"/>
      <c r="ES118" s="16" t="s">
        <v>20</v>
      </c>
      <c r="ET118" s="16"/>
      <c r="EU118" s="16"/>
      <c r="EV118" s="16"/>
      <c r="EW118" s="17"/>
      <c r="FA118" s="17"/>
      <c r="FB118" s="60"/>
      <c r="FC118" s="16"/>
      <c r="FD118" s="16" t="s">
        <v>20</v>
      </c>
      <c r="FE118" s="16"/>
      <c r="FF118" s="16"/>
      <c r="FG118" s="16"/>
      <c r="FH118" s="17"/>
      <c r="FL118" s="17"/>
      <c r="FM118" s="60"/>
      <c r="FN118" s="16"/>
      <c r="FO118" s="16" t="s">
        <v>20</v>
      </c>
      <c r="FP118" s="16"/>
      <c r="FQ118" s="16"/>
      <c r="FR118" s="16"/>
      <c r="FS118" s="17"/>
      <c r="FW118" s="17"/>
      <c r="FX118" s="60"/>
      <c r="FY118" s="16"/>
      <c r="FZ118" s="16" t="s">
        <v>20</v>
      </c>
      <c r="GA118" s="16"/>
      <c r="GB118" s="16"/>
      <c r="GC118" s="16"/>
      <c r="GD118" s="17"/>
      <c r="GH118" s="17"/>
      <c r="GI118" s="60"/>
      <c r="GJ118" s="16"/>
      <c r="GK118" s="16" t="s">
        <v>20</v>
      </c>
      <c r="GL118" s="16"/>
      <c r="GM118" s="16"/>
      <c r="GN118" s="16"/>
      <c r="GO118" s="17"/>
      <c r="GS118" s="17"/>
      <c r="GT118" s="60"/>
      <c r="GU118" s="16"/>
      <c r="GV118" s="16" t="s">
        <v>20</v>
      </c>
      <c r="GW118" s="16"/>
      <c r="GX118" s="16"/>
      <c r="GY118" s="16"/>
      <c r="GZ118" s="17"/>
      <c r="HD118" s="17"/>
      <c r="HE118" s="60"/>
      <c r="HF118" s="16"/>
      <c r="HG118" s="16" t="s">
        <v>20</v>
      </c>
      <c r="HH118" s="16"/>
      <c r="HI118" s="16"/>
      <c r="HJ118" s="16"/>
      <c r="HK118" s="17"/>
      <c r="HO118" s="17"/>
      <c r="HP118" s="60"/>
      <c r="HQ118" s="16"/>
      <c r="HR118" s="16" t="s">
        <v>20</v>
      </c>
      <c r="HS118" s="16"/>
      <c r="HT118" s="16"/>
      <c r="HU118" s="16"/>
      <c r="HV118" s="17"/>
      <c r="HZ118" s="17"/>
      <c r="IA118" s="60"/>
      <c r="IB118" s="16"/>
      <c r="IC118" s="16" t="s">
        <v>20</v>
      </c>
      <c r="ID118" s="16"/>
      <c r="IE118" s="16"/>
      <c r="IF118" s="16"/>
      <c r="IG118" s="17"/>
      <c r="IK118" s="17"/>
      <c r="IL118" s="60"/>
      <c r="IM118" s="16"/>
      <c r="IN118" s="16" t="s">
        <v>20</v>
      </c>
      <c r="IO118" s="16"/>
      <c r="IP118" s="16"/>
      <c r="IQ118" s="16"/>
      <c r="IR118" s="17"/>
      <c r="IV118" s="17"/>
      <c r="IW118" s="60"/>
      <c r="IX118" s="16"/>
      <c r="IY118" s="16" t="s">
        <v>20</v>
      </c>
      <c r="IZ118" s="16"/>
      <c r="JA118" s="16"/>
      <c r="JB118" s="16"/>
      <c r="JC118" s="17"/>
      <c r="JG118" s="17"/>
      <c r="JH118" s="60"/>
      <c r="JI118" s="16"/>
      <c r="JJ118" s="16" t="s">
        <v>20</v>
      </c>
      <c r="JK118" s="16"/>
      <c r="JL118" s="16"/>
      <c r="JM118" s="16"/>
      <c r="JN118" s="17"/>
      <c r="JR118" s="17"/>
      <c r="JS118" s="60"/>
      <c r="JT118" s="16"/>
      <c r="JU118" s="16" t="s">
        <v>20</v>
      </c>
      <c r="JV118" s="16"/>
      <c r="JW118" s="16"/>
      <c r="JX118" s="16"/>
      <c r="JY118" s="17"/>
      <c r="KC118" s="17"/>
      <c r="KD118" s="60"/>
      <c r="KE118" s="16"/>
      <c r="KF118" s="16" t="s">
        <v>20</v>
      </c>
      <c r="KG118" s="16"/>
      <c r="KH118" s="16"/>
      <c r="KI118" s="16"/>
      <c r="KJ118" s="17"/>
      <c r="KN118" s="17"/>
      <c r="KO118" s="60"/>
      <c r="KP118" s="16"/>
      <c r="KQ118" s="16" t="s">
        <v>20</v>
      </c>
      <c r="KR118" s="16"/>
      <c r="KS118" s="16"/>
      <c r="KT118" s="16"/>
      <c r="KU118" s="17"/>
      <c r="KY118" s="17"/>
      <c r="KZ118" s="60"/>
      <c r="LA118" s="16"/>
      <c r="LB118" s="16" t="s">
        <v>20</v>
      </c>
      <c r="LC118" s="16"/>
      <c r="LD118" s="16"/>
      <c r="LE118" s="16"/>
      <c r="LF118" s="17"/>
      <c r="LJ118" s="17"/>
      <c r="LK118" s="60"/>
      <c r="LL118" s="16"/>
      <c r="LM118" s="16" t="s">
        <v>20</v>
      </c>
      <c r="LN118" s="16"/>
      <c r="LO118" s="16"/>
      <c r="LP118" s="16"/>
      <c r="LQ118" s="17"/>
    </row>
    <row r="119">
      <c r="C119" s="31"/>
      <c r="D119" s="61"/>
      <c r="E119" s="16"/>
      <c r="F119" s="16" t="s">
        <v>20</v>
      </c>
      <c r="G119" s="21"/>
      <c r="H119" s="16"/>
      <c r="I119" s="16"/>
      <c r="J119" s="17"/>
      <c r="N119" s="17"/>
      <c r="O119" s="61"/>
      <c r="P119" s="16"/>
      <c r="Q119" s="16" t="s">
        <v>20</v>
      </c>
      <c r="R119" s="16"/>
      <c r="S119" s="16"/>
      <c r="T119" s="16"/>
      <c r="U119" s="17"/>
      <c r="Y119" s="66"/>
      <c r="Z119" s="61"/>
      <c r="AA119" s="16"/>
      <c r="AB119" s="16"/>
      <c r="AC119" s="16"/>
      <c r="AD119" s="16"/>
      <c r="AE119" s="16"/>
      <c r="AF119" s="17"/>
      <c r="AJ119" s="17"/>
      <c r="AK119" s="61"/>
      <c r="AL119" s="16"/>
      <c r="AM119" s="16"/>
      <c r="AN119" s="16"/>
      <c r="AO119" s="16"/>
      <c r="AP119" s="16"/>
      <c r="AQ119" s="17"/>
      <c r="AU119" s="17"/>
      <c r="AV119" s="61"/>
      <c r="AW119" s="16"/>
      <c r="AX119" s="16"/>
      <c r="AY119" s="16"/>
      <c r="AZ119" s="16"/>
      <c r="BA119" s="16"/>
      <c r="BB119" s="17"/>
      <c r="BF119" s="17"/>
      <c r="BG119" s="61"/>
      <c r="BH119" s="16"/>
      <c r="BI119" s="16" t="s">
        <v>20</v>
      </c>
      <c r="BJ119" s="16"/>
      <c r="BK119" s="16"/>
      <c r="BL119" s="16"/>
      <c r="BM119" s="17"/>
      <c r="BQ119" s="17"/>
      <c r="BR119" s="61"/>
      <c r="BS119" s="16"/>
      <c r="BT119" s="16" t="s">
        <v>20</v>
      </c>
      <c r="BU119" s="16"/>
      <c r="BV119" s="16"/>
      <c r="BW119" s="16"/>
      <c r="BX119" s="17"/>
      <c r="CB119" s="17"/>
      <c r="CC119" s="61"/>
      <c r="CD119" s="16"/>
      <c r="CE119" s="16" t="s">
        <v>20</v>
      </c>
      <c r="CF119" s="16"/>
      <c r="CG119" s="16"/>
      <c r="CH119" s="16"/>
      <c r="CI119" s="17"/>
      <c r="CM119" s="17"/>
      <c r="CN119" s="61"/>
      <c r="CO119" s="16"/>
      <c r="CP119" s="16" t="s">
        <v>20</v>
      </c>
      <c r="CQ119" s="16"/>
      <c r="CR119" s="16"/>
      <c r="CS119" s="16"/>
      <c r="CT119" s="17"/>
      <c r="CX119" s="17"/>
      <c r="CY119" s="60"/>
      <c r="CZ119" s="16"/>
      <c r="DA119" s="16" t="s">
        <v>20</v>
      </c>
      <c r="DB119" s="16"/>
      <c r="DC119" s="16"/>
      <c r="DD119" s="16"/>
      <c r="DE119" s="17"/>
      <c r="DI119" s="17"/>
      <c r="DJ119" s="60"/>
      <c r="DK119" s="16"/>
      <c r="DL119" s="16" t="s">
        <v>20</v>
      </c>
      <c r="DM119" s="16"/>
      <c r="DN119" s="16"/>
      <c r="DO119" s="16"/>
      <c r="DP119" s="17"/>
      <c r="DT119" s="17"/>
      <c r="DU119" s="60"/>
      <c r="DV119" s="16"/>
      <c r="DW119" s="16" t="s">
        <v>20</v>
      </c>
      <c r="DX119" s="16"/>
      <c r="DY119" s="16"/>
      <c r="DZ119" s="16"/>
      <c r="EA119" s="17"/>
      <c r="EE119" s="17"/>
      <c r="EF119" s="60"/>
      <c r="EG119" s="16"/>
      <c r="EH119" s="16" t="s">
        <v>20</v>
      </c>
      <c r="EI119" s="16"/>
      <c r="EJ119" s="16"/>
      <c r="EK119" s="16"/>
      <c r="EL119" s="17"/>
      <c r="EP119" s="17"/>
      <c r="EQ119" s="60"/>
      <c r="ER119" s="16"/>
      <c r="ES119" s="16" t="s">
        <v>20</v>
      </c>
      <c r="ET119" s="16"/>
      <c r="EU119" s="16"/>
      <c r="EV119" s="16"/>
      <c r="EW119" s="17"/>
      <c r="FA119" s="17"/>
      <c r="FB119" s="60"/>
      <c r="FC119" s="16"/>
      <c r="FD119" s="16" t="s">
        <v>20</v>
      </c>
      <c r="FE119" s="16"/>
      <c r="FF119" s="16"/>
      <c r="FG119" s="16"/>
      <c r="FH119" s="17"/>
      <c r="FL119" s="17"/>
      <c r="FM119" s="60"/>
      <c r="FN119" s="16"/>
      <c r="FO119" s="16" t="s">
        <v>20</v>
      </c>
      <c r="FP119" s="16"/>
      <c r="FQ119" s="16"/>
      <c r="FR119" s="16"/>
      <c r="FS119" s="17"/>
      <c r="FW119" s="17"/>
      <c r="FX119" s="60"/>
      <c r="FY119" s="16"/>
      <c r="FZ119" s="16" t="s">
        <v>20</v>
      </c>
      <c r="GA119" s="16"/>
      <c r="GB119" s="16"/>
      <c r="GC119" s="16"/>
      <c r="GD119" s="17"/>
      <c r="GH119" s="17"/>
      <c r="GI119" s="60"/>
      <c r="GJ119" s="16"/>
      <c r="GK119" s="16" t="s">
        <v>20</v>
      </c>
      <c r="GL119" s="16"/>
      <c r="GM119" s="16"/>
      <c r="GN119" s="16"/>
      <c r="GO119" s="17"/>
      <c r="GS119" s="17"/>
      <c r="GT119" s="60"/>
      <c r="GU119" s="16"/>
      <c r="GV119" s="16" t="s">
        <v>20</v>
      </c>
      <c r="GW119" s="16"/>
      <c r="GX119" s="16"/>
      <c r="GY119" s="16"/>
      <c r="GZ119" s="17"/>
      <c r="HD119" s="17"/>
      <c r="HE119" s="60"/>
      <c r="HF119" s="16"/>
      <c r="HG119" s="16" t="s">
        <v>20</v>
      </c>
      <c r="HH119" s="16"/>
      <c r="HI119" s="16"/>
      <c r="HJ119" s="16"/>
      <c r="HK119" s="17"/>
      <c r="HO119" s="17"/>
      <c r="HP119" s="60"/>
      <c r="HQ119" s="16"/>
      <c r="HR119" s="16" t="s">
        <v>20</v>
      </c>
      <c r="HS119" s="16"/>
      <c r="HT119" s="16"/>
      <c r="HU119" s="16"/>
      <c r="HV119" s="17"/>
      <c r="HZ119" s="17"/>
      <c r="IA119" s="60"/>
      <c r="IB119" s="16"/>
      <c r="IC119" s="16" t="s">
        <v>20</v>
      </c>
      <c r="ID119" s="16"/>
      <c r="IE119" s="16"/>
      <c r="IF119" s="16"/>
      <c r="IG119" s="17"/>
      <c r="IK119" s="17"/>
      <c r="IL119" s="60"/>
      <c r="IM119" s="16"/>
      <c r="IN119" s="16" t="s">
        <v>20</v>
      </c>
      <c r="IO119" s="16"/>
      <c r="IP119" s="16"/>
      <c r="IQ119" s="16"/>
      <c r="IR119" s="17"/>
      <c r="IV119" s="17"/>
      <c r="IW119" s="60"/>
      <c r="IX119" s="16"/>
      <c r="IY119" s="16" t="s">
        <v>20</v>
      </c>
      <c r="IZ119" s="16"/>
      <c r="JA119" s="16"/>
      <c r="JB119" s="16"/>
      <c r="JC119" s="17"/>
      <c r="JG119" s="17"/>
      <c r="JH119" s="60"/>
      <c r="JI119" s="16"/>
      <c r="JJ119" s="16" t="s">
        <v>20</v>
      </c>
      <c r="JK119" s="16"/>
      <c r="JL119" s="16"/>
      <c r="JM119" s="16"/>
      <c r="JN119" s="17"/>
      <c r="JR119" s="17"/>
      <c r="JS119" s="60"/>
      <c r="JT119" s="16"/>
      <c r="JU119" s="16" t="s">
        <v>20</v>
      </c>
      <c r="JV119" s="16"/>
      <c r="JW119" s="16"/>
      <c r="JX119" s="16"/>
      <c r="JY119" s="17"/>
      <c r="KC119" s="17"/>
      <c r="KD119" s="60"/>
      <c r="KE119" s="16"/>
      <c r="KF119" s="16" t="s">
        <v>20</v>
      </c>
      <c r="KG119" s="16"/>
      <c r="KH119" s="16"/>
      <c r="KI119" s="16"/>
      <c r="KJ119" s="17"/>
      <c r="KN119" s="17"/>
      <c r="KO119" s="60"/>
      <c r="KP119" s="16"/>
      <c r="KQ119" s="16" t="s">
        <v>20</v>
      </c>
      <c r="KR119" s="16"/>
      <c r="KS119" s="16"/>
      <c r="KT119" s="16"/>
      <c r="KU119" s="17"/>
      <c r="KY119" s="17"/>
      <c r="KZ119" s="60"/>
      <c r="LA119" s="16"/>
      <c r="LB119" s="16" t="s">
        <v>20</v>
      </c>
      <c r="LC119" s="16"/>
      <c r="LD119" s="16"/>
      <c r="LE119" s="16"/>
      <c r="LF119" s="17"/>
      <c r="LJ119" s="17"/>
      <c r="LK119" s="60"/>
      <c r="LL119" s="16"/>
      <c r="LM119" s="16" t="s">
        <v>20</v>
      </c>
      <c r="LN119" s="16"/>
      <c r="LO119" s="16"/>
      <c r="LP119" s="16"/>
      <c r="LQ119" s="17"/>
    </row>
    <row r="120">
      <c r="C120" s="31"/>
      <c r="D120" s="61"/>
      <c r="E120" s="16"/>
      <c r="F120" s="16" t="s">
        <v>20</v>
      </c>
      <c r="G120" s="21"/>
      <c r="H120" s="16"/>
      <c r="I120" s="16"/>
      <c r="J120" s="17"/>
      <c r="N120" s="17"/>
      <c r="O120" s="61"/>
      <c r="P120" s="16"/>
      <c r="Q120" s="16" t="s">
        <v>20</v>
      </c>
      <c r="R120" s="16"/>
      <c r="S120" s="16"/>
      <c r="T120" s="16"/>
      <c r="U120" s="17"/>
      <c r="Y120" s="66"/>
      <c r="Z120" s="61"/>
      <c r="AA120" s="16"/>
      <c r="AB120" s="16"/>
      <c r="AC120" s="16"/>
      <c r="AD120" s="16"/>
      <c r="AE120" s="16"/>
      <c r="AF120" s="17"/>
      <c r="AJ120" s="17"/>
      <c r="AK120" s="61"/>
      <c r="AL120" s="16"/>
      <c r="AM120" s="16"/>
      <c r="AN120" s="16"/>
      <c r="AO120" s="16"/>
      <c r="AP120" s="16"/>
      <c r="AQ120" s="17"/>
      <c r="AU120" s="17"/>
      <c r="AV120" s="61"/>
      <c r="AW120" s="16"/>
      <c r="AX120" s="16"/>
      <c r="AY120" s="16"/>
      <c r="AZ120" s="16"/>
      <c r="BA120" s="16"/>
      <c r="BB120" s="17"/>
      <c r="BF120" s="17"/>
      <c r="BG120" s="61"/>
      <c r="BH120" s="16"/>
      <c r="BI120" s="16" t="s">
        <v>20</v>
      </c>
      <c r="BJ120" s="16"/>
      <c r="BK120" s="16"/>
      <c r="BL120" s="16"/>
      <c r="BM120" s="17"/>
      <c r="BQ120" s="17"/>
      <c r="BR120" s="61"/>
      <c r="BS120" s="16"/>
      <c r="BT120" s="16" t="s">
        <v>20</v>
      </c>
      <c r="BU120" s="16"/>
      <c r="BV120" s="16"/>
      <c r="BW120" s="16"/>
      <c r="BX120" s="17"/>
      <c r="CB120" s="17"/>
      <c r="CC120" s="61"/>
      <c r="CD120" s="16"/>
      <c r="CE120" s="16" t="s">
        <v>20</v>
      </c>
      <c r="CF120" s="16"/>
      <c r="CG120" s="16"/>
      <c r="CH120" s="16"/>
      <c r="CI120" s="17"/>
      <c r="CM120" s="17"/>
      <c r="CN120" s="61"/>
      <c r="CO120" s="16"/>
      <c r="CP120" s="16" t="s">
        <v>20</v>
      </c>
      <c r="CQ120" s="16"/>
      <c r="CR120" s="16"/>
      <c r="CS120" s="16"/>
      <c r="CT120" s="17"/>
      <c r="CX120" s="17"/>
      <c r="CY120" s="60"/>
      <c r="CZ120" s="16"/>
      <c r="DA120" s="16" t="s">
        <v>20</v>
      </c>
      <c r="DB120" s="16"/>
      <c r="DC120" s="16"/>
      <c r="DD120" s="16"/>
      <c r="DE120" s="17"/>
      <c r="DI120" s="17"/>
      <c r="DJ120" s="60"/>
      <c r="DK120" s="16"/>
      <c r="DL120" s="16" t="s">
        <v>20</v>
      </c>
      <c r="DM120" s="16"/>
      <c r="DN120" s="16"/>
      <c r="DO120" s="16"/>
      <c r="DP120" s="17"/>
      <c r="DT120" s="17"/>
      <c r="DU120" s="60"/>
      <c r="DV120" s="16"/>
      <c r="DW120" s="16" t="s">
        <v>20</v>
      </c>
      <c r="DX120" s="16"/>
      <c r="DY120" s="16"/>
      <c r="DZ120" s="16"/>
      <c r="EA120" s="17"/>
      <c r="EE120" s="17"/>
      <c r="EF120" s="60"/>
      <c r="EG120" s="16"/>
      <c r="EH120" s="16" t="s">
        <v>20</v>
      </c>
      <c r="EI120" s="16"/>
      <c r="EJ120" s="16"/>
      <c r="EK120" s="16"/>
      <c r="EL120" s="17"/>
      <c r="EP120" s="17"/>
      <c r="EQ120" s="60"/>
      <c r="ER120" s="16"/>
      <c r="ES120" s="16" t="s">
        <v>20</v>
      </c>
      <c r="ET120" s="16"/>
      <c r="EU120" s="16"/>
      <c r="EV120" s="16"/>
      <c r="EW120" s="17"/>
      <c r="FA120" s="17"/>
      <c r="FB120" s="60"/>
      <c r="FC120" s="16"/>
      <c r="FD120" s="16" t="s">
        <v>20</v>
      </c>
      <c r="FE120" s="16"/>
      <c r="FF120" s="16"/>
      <c r="FG120" s="16"/>
      <c r="FH120" s="17"/>
      <c r="FL120" s="17"/>
      <c r="FM120" s="60"/>
      <c r="FN120" s="16"/>
      <c r="FO120" s="16" t="s">
        <v>20</v>
      </c>
      <c r="FP120" s="16"/>
      <c r="FQ120" s="16"/>
      <c r="FR120" s="16"/>
      <c r="FS120" s="17"/>
      <c r="FW120" s="17"/>
      <c r="FX120" s="60"/>
      <c r="FY120" s="16"/>
      <c r="FZ120" s="16" t="s">
        <v>20</v>
      </c>
      <c r="GA120" s="16"/>
      <c r="GB120" s="16"/>
      <c r="GC120" s="16"/>
      <c r="GD120" s="17"/>
      <c r="GH120" s="17"/>
      <c r="GI120" s="60"/>
      <c r="GJ120" s="16"/>
      <c r="GK120" s="16" t="s">
        <v>20</v>
      </c>
      <c r="GL120" s="16"/>
      <c r="GM120" s="16"/>
      <c r="GN120" s="16"/>
      <c r="GO120" s="17"/>
      <c r="GS120" s="17"/>
      <c r="GT120" s="60"/>
      <c r="GU120" s="16"/>
      <c r="GV120" s="16" t="s">
        <v>20</v>
      </c>
      <c r="GW120" s="16"/>
      <c r="GX120" s="16"/>
      <c r="GY120" s="16"/>
      <c r="GZ120" s="17"/>
      <c r="HD120" s="17"/>
      <c r="HE120" s="60"/>
      <c r="HF120" s="16"/>
      <c r="HG120" s="16" t="s">
        <v>20</v>
      </c>
      <c r="HH120" s="16"/>
      <c r="HI120" s="16"/>
      <c r="HJ120" s="16"/>
      <c r="HK120" s="17"/>
      <c r="HO120" s="17"/>
      <c r="HP120" s="60"/>
      <c r="HQ120" s="16"/>
      <c r="HR120" s="16" t="s">
        <v>20</v>
      </c>
      <c r="HS120" s="16"/>
      <c r="HT120" s="16"/>
      <c r="HU120" s="16"/>
      <c r="HV120" s="17"/>
      <c r="HZ120" s="17"/>
      <c r="IA120" s="60"/>
      <c r="IB120" s="16"/>
      <c r="IC120" s="16" t="s">
        <v>20</v>
      </c>
      <c r="ID120" s="16"/>
      <c r="IE120" s="16"/>
      <c r="IF120" s="16"/>
      <c r="IG120" s="17"/>
      <c r="IK120" s="17"/>
      <c r="IL120" s="60"/>
      <c r="IM120" s="16"/>
      <c r="IN120" s="16" t="s">
        <v>20</v>
      </c>
      <c r="IO120" s="16"/>
      <c r="IP120" s="16"/>
      <c r="IQ120" s="16"/>
      <c r="IR120" s="17"/>
      <c r="IV120" s="17"/>
      <c r="IW120" s="60"/>
      <c r="IX120" s="16"/>
      <c r="IY120" s="16" t="s">
        <v>20</v>
      </c>
      <c r="IZ120" s="16"/>
      <c r="JA120" s="16"/>
      <c r="JB120" s="16"/>
      <c r="JC120" s="17"/>
      <c r="JG120" s="17"/>
      <c r="JH120" s="60"/>
      <c r="JI120" s="16"/>
      <c r="JJ120" s="16" t="s">
        <v>20</v>
      </c>
      <c r="JK120" s="16"/>
      <c r="JL120" s="16"/>
      <c r="JM120" s="16"/>
      <c r="JN120" s="17"/>
      <c r="JR120" s="17"/>
      <c r="JS120" s="60"/>
      <c r="JT120" s="16"/>
      <c r="JU120" s="16" t="s">
        <v>20</v>
      </c>
      <c r="JV120" s="16"/>
      <c r="JW120" s="16"/>
      <c r="JX120" s="16"/>
      <c r="JY120" s="17"/>
      <c r="KC120" s="17"/>
      <c r="KD120" s="60"/>
      <c r="KE120" s="16"/>
      <c r="KF120" s="16" t="s">
        <v>20</v>
      </c>
      <c r="KG120" s="16"/>
      <c r="KH120" s="16"/>
      <c r="KI120" s="16"/>
      <c r="KJ120" s="17"/>
      <c r="KN120" s="17"/>
      <c r="KO120" s="60"/>
      <c r="KP120" s="16"/>
      <c r="KQ120" s="16" t="s">
        <v>20</v>
      </c>
      <c r="KR120" s="16"/>
      <c r="KS120" s="16"/>
      <c r="KT120" s="16"/>
      <c r="KU120" s="17"/>
      <c r="KY120" s="17"/>
      <c r="KZ120" s="60"/>
      <c r="LA120" s="16"/>
      <c r="LB120" s="16" t="s">
        <v>20</v>
      </c>
      <c r="LC120" s="16"/>
      <c r="LD120" s="16"/>
      <c r="LE120" s="16"/>
      <c r="LF120" s="17"/>
      <c r="LJ120" s="17"/>
      <c r="LK120" s="60"/>
      <c r="LL120" s="16"/>
      <c r="LM120" s="16" t="s">
        <v>20</v>
      </c>
      <c r="LN120" s="16"/>
      <c r="LO120" s="16"/>
      <c r="LP120" s="16"/>
      <c r="LQ120" s="17"/>
    </row>
    <row r="121">
      <c r="C121" s="31"/>
      <c r="D121" s="61"/>
      <c r="E121" s="16"/>
      <c r="F121" s="16" t="s">
        <v>20</v>
      </c>
      <c r="G121" s="21"/>
      <c r="H121" s="16"/>
      <c r="I121" s="16"/>
      <c r="J121" s="17"/>
      <c r="N121" s="17"/>
      <c r="O121" s="61"/>
      <c r="P121" s="16"/>
      <c r="Q121" s="16" t="s">
        <v>20</v>
      </c>
      <c r="R121" s="16"/>
      <c r="S121" s="16"/>
      <c r="T121" s="16"/>
      <c r="U121" s="17"/>
      <c r="Y121" s="66"/>
      <c r="Z121" s="61"/>
      <c r="AA121" s="16"/>
      <c r="AB121" s="16"/>
      <c r="AC121" s="16"/>
      <c r="AD121" s="16"/>
      <c r="AE121" s="16"/>
      <c r="AF121" s="17"/>
      <c r="AJ121" s="17"/>
      <c r="AK121" s="61"/>
      <c r="AL121" s="16"/>
      <c r="AM121" s="16"/>
      <c r="AN121" s="16"/>
      <c r="AO121" s="16"/>
      <c r="AP121" s="16"/>
      <c r="AQ121" s="17"/>
      <c r="AU121" s="17"/>
      <c r="AV121" s="61"/>
      <c r="AW121" s="16"/>
      <c r="AX121" s="16"/>
      <c r="AY121" s="16"/>
      <c r="AZ121" s="16"/>
      <c r="BA121" s="16"/>
      <c r="BB121" s="17"/>
      <c r="BF121" s="17"/>
      <c r="BG121" s="61"/>
      <c r="BH121" s="16"/>
      <c r="BI121" s="16" t="s">
        <v>20</v>
      </c>
      <c r="BJ121" s="16"/>
      <c r="BK121" s="16"/>
      <c r="BL121" s="16"/>
      <c r="BM121" s="17"/>
      <c r="BQ121" s="17"/>
      <c r="BR121" s="61"/>
      <c r="BS121" s="16"/>
      <c r="BT121" s="16" t="s">
        <v>20</v>
      </c>
      <c r="BU121" s="16"/>
      <c r="BV121" s="16"/>
      <c r="BW121" s="16"/>
      <c r="BX121" s="17"/>
      <c r="CB121" s="17"/>
      <c r="CC121" s="61"/>
      <c r="CD121" s="16"/>
      <c r="CE121" s="16" t="s">
        <v>20</v>
      </c>
      <c r="CF121" s="16"/>
      <c r="CG121" s="16"/>
      <c r="CH121" s="16"/>
      <c r="CI121" s="17"/>
      <c r="CM121" s="17"/>
      <c r="CN121" s="61"/>
      <c r="CO121" s="16"/>
      <c r="CP121" s="16" t="s">
        <v>20</v>
      </c>
      <c r="CQ121" s="16"/>
      <c r="CR121" s="16"/>
      <c r="CS121" s="16"/>
      <c r="CT121" s="17"/>
      <c r="CX121" s="17"/>
      <c r="CY121" s="60"/>
      <c r="CZ121" s="16"/>
      <c r="DA121" s="16" t="s">
        <v>20</v>
      </c>
      <c r="DB121" s="16"/>
      <c r="DC121" s="16"/>
      <c r="DD121" s="16"/>
      <c r="DE121" s="17"/>
      <c r="DI121" s="17"/>
      <c r="DJ121" s="60"/>
      <c r="DK121" s="16"/>
      <c r="DL121" s="16" t="s">
        <v>20</v>
      </c>
      <c r="DM121" s="16"/>
      <c r="DN121" s="16"/>
      <c r="DO121" s="16"/>
      <c r="DP121" s="17"/>
      <c r="DT121" s="17"/>
      <c r="DU121" s="60"/>
      <c r="DV121" s="16"/>
      <c r="DW121" s="16" t="s">
        <v>20</v>
      </c>
      <c r="DX121" s="16"/>
      <c r="DY121" s="16"/>
      <c r="DZ121" s="16"/>
      <c r="EA121" s="17"/>
      <c r="EE121" s="17"/>
      <c r="EF121" s="60"/>
      <c r="EG121" s="16"/>
      <c r="EH121" s="16" t="s">
        <v>20</v>
      </c>
      <c r="EI121" s="16"/>
      <c r="EJ121" s="16"/>
      <c r="EK121" s="16"/>
      <c r="EL121" s="17"/>
      <c r="EP121" s="17"/>
      <c r="EQ121" s="60"/>
      <c r="ER121" s="16"/>
      <c r="ES121" s="16" t="s">
        <v>20</v>
      </c>
      <c r="ET121" s="16"/>
      <c r="EU121" s="16"/>
      <c r="EV121" s="16"/>
      <c r="EW121" s="17"/>
      <c r="FA121" s="17"/>
      <c r="FB121" s="60"/>
      <c r="FC121" s="16"/>
      <c r="FD121" s="16" t="s">
        <v>20</v>
      </c>
      <c r="FE121" s="16"/>
      <c r="FF121" s="16"/>
      <c r="FG121" s="16"/>
      <c r="FH121" s="17"/>
      <c r="FL121" s="17"/>
      <c r="FM121" s="60"/>
      <c r="FN121" s="16"/>
      <c r="FO121" s="16" t="s">
        <v>20</v>
      </c>
      <c r="FP121" s="16"/>
      <c r="FQ121" s="16"/>
      <c r="FR121" s="16"/>
      <c r="FS121" s="17"/>
      <c r="FW121" s="17"/>
      <c r="FX121" s="60"/>
      <c r="FY121" s="16"/>
      <c r="FZ121" s="16" t="s">
        <v>20</v>
      </c>
      <c r="GA121" s="16"/>
      <c r="GB121" s="16"/>
      <c r="GC121" s="16"/>
      <c r="GD121" s="17"/>
      <c r="GH121" s="17"/>
      <c r="GI121" s="60"/>
      <c r="GJ121" s="16"/>
      <c r="GK121" s="16" t="s">
        <v>20</v>
      </c>
      <c r="GL121" s="16"/>
      <c r="GM121" s="16"/>
      <c r="GN121" s="16"/>
      <c r="GO121" s="17"/>
      <c r="GS121" s="17"/>
      <c r="GT121" s="60"/>
      <c r="GU121" s="16"/>
      <c r="GV121" s="16" t="s">
        <v>20</v>
      </c>
      <c r="GW121" s="16"/>
      <c r="GX121" s="16"/>
      <c r="GY121" s="16"/>
      <c r="GZ121" s="17"/>
      <c r="HD121" s="17"/>
      <c r="HE121" s="60"/>
      <c r="HF121" s="16"/>
      <c r="HG121" s="16" t="s">
        <v>20</v>
      </c>
      <c r="HH121" s="16"/>
      <c r="HI121" s="16"/>
      <c r="HJ121" s="16"/>
      <c r="HK121" s="17"/>
      <c r="HO121" s="17"/>
      <c r="HP121" s="60"/>
      <c r="HQ121" s="16"/>
      <c r="HR121" s="16" t="s">
        <v>20</v>
      </c>
      <c r="HS121" s="16"/>
      <c r="HT121" s="16"/>
      <c r="HU121" s="16"/>
      <c r="HV121" s="17"/>
      <c r="HZ121" s="17"/>
      <c r="IA121" s="60"/>
      <c r="IB121" s="16"/>
      <c r="IC121" s="16" t="s">
        <v>20</v>
      </c>
      <c r="ID121" s="16"/>
      <c r="IE121" s="16"/>
      <c r="IF121" s="16"/>
      <c r="IG121" s="17"/>
      <c r="IK121" s="17"/>
      <c r="IL121" s="60"/>
      <c r="IM121" s="16"/>
      <c r="IN121" s="16" t="s">
        <v>20</v>
      </c>
      <c r="IO121" s="16"/>
      <c r="IP121" s="16"/>
      <c r="IQ121" s="16"/>
      <c r="IR121" s="17"/>
      <c r="IV121" s="17"/>
      <c r="IW121" s="60"/>
      <c r="IX121" s="16"/>
      <c r="IY121" s="16" t="s">
        <v>20</v>
      </c>
      <c r="IZ121" s="16"/>
      <c r="JA121" s="16"/>
      <c r="JB121" s="16"/>
      <c r="JC121" s="17"/>
      <c r="JG121" s="17"/>
      <c r="JH121" s="60"/>
      <c r="JI121" s="16"/>
      <c r="JJ121" s="16" t="s">
        <v>20</v>
      </c>
      <c r="JK121" s="16"/>
      <c r="JL121" s="16"/>
      <c r="JM121" s="16"/>
      <c r="JN121" s="17"/>
      <c r="JR121" s="17"/>
      <c r="JS121" s="60"/>
      <c r="JT121" s="16"/>
      <c r="JU121" s="16" t="s">
        <v>20</v>
      </c>
      <c r="JV121" s="16"/>
      <c r="JW121" s="16"/>
      <c r="JX121" s="16"/>
      <c r="JY121" s="17"/>
      <c r="KC121" s="17"/>
      <c r="KD121" s="60"/>
      <c r="KE121" s="16"/>
      <c r="KF121" s="16" t="s">
        <v>20</v>
      </c>
      <c r="KG121" s="16"/>
      <c r="KH121" s="16"/>
      <c r="KI121" s="16"/>
      <c r="KJ121" s="17"/>
      <c r="KN121" s="17"/>
      <c r="KO121" s="60"/>
      <c r="KP121" s="16"/>
      <c r="KQ121" s="16" t="s">
        <v>20</v>
      </c>
      <c r="KR121" s="16"/>
      <c r="KS121" s="16"/>
      <c r="KT121" s="16"/>
      <c r="KU121" s="17"/>
      <c r="KY121" s="17"/>
      <c r="KZ121" s="60"/>
      <c r="LA121" s="16"/>
      <c r="LB121" s="16" t="s">
        <v>20</v>
      </c>
      <c r="LC121" s="16"/>
      <c r="LD121" s="16"/>
      <c r="LE121" s="16"/>
      <c r="LF121" s="17"/>
      <c r="LJ121" s="17"/>
      <c r="LK121" s="60"/>
      <c r="LL121" s="16"/>
      <c r="LM121" s="16" t="s">
        <v>20</v>
      </c>
      <c r="LN121" s="16"/>
      <c r="LO121" s="16"/>
      <c r="LP121" s="16"/>
      <c r="LQ121" s="17"/>
    </row>
    <row r="122">
      <c r="C122" s="31"/>
      <c r="D122" s="61"/>
      <c r="E122" s="16"/>
      <c r="F122" s="16" t="s">
        <v>20</v>
      </c>
      <c r="G122" s="21"/>
      <c r="H122" s="16"/>
      <c r="I122" s="16"/>
      <c r="J122" s="17"/>
      <c r="N122" s="17"/>
      <c r="O122" s="61"/>
      <c r="P122" s="16"/>
      <c r="Q122" s="16" t="s">
        <v>20</v>
      </c>
      <c r="R122" s="16"/>
      <c r="S122" s="16"/>
      <c r="T122" s="16"/>
      <c r="U122" s="17"/>
      <c r="Y122" s="66"/>
      <c r="Z122" s="61"/>
      <c r="AA122" s="16"/>
      <c r="AB122" s="16"/>
      <c r="AC122" s="16"/>
      <c r="AD122" s="16"/>
      <c r="AE122" s="16"/>
      <c r="AF122" s="17"/>
      <c r="AJ122" s="17"/>
      <c r="AK122" s="61"/>
      <c r="AL122" s="16"/>
      <c r="AM122" s="16"/>
      <c r="AN122" s="16"/>
      <c r="AO122" s="16"/>
      <c r="AP122" s="16"/>
      <c r="AQ122" s="17"/>
      <c r="AU122" s="17"/>
      <c r="AV122" s="61"/>
      <c r="AW122" s="16"/>
      <c r="AX122" s="16"/>
      <c r="AY122" s="16"/>
      <c r="AZ122" s="16"/>
      <c r="BA122" s="16"/>
      <c r="BB122" s="17"/>
      <c r="BF122" s="17"/>
      <c r="BG122" s="61"/>
      <c r="BH122" s="16"/>
      <c r="BI122" s="16" t="s">
        <v>20</v>
      </c>
      <c r="BJ122" s="16"/>
      <c r="BK122" s="16"/>
      <c r="BL122" s="16"/>
      <c r="BM122" s="17"/>
      <c r="BQ122" s="17"/>
      <c r="BR122" s="61"/>
      <c r="BS122" s="16"/>
      <c r="BT122" s="16" t="s">
        <v>20</v>
      </c>
      <c r="BU122" s="16"/>
      <c r="BV122" s="16"/>
      <c r="BW122" s="16"/>
      <c r="BX122" s="17"/>
      <c r="CB122" s="17"/>
      <c r="CC122" s="61"/>
      <c r="CD122" s="16"/>
      <c r="CE122" s="16" t="s">
        <v>20</v>
      </c>
      <c r="CF122" s="16"/>
      <c r="CG122" s="16"/>
      <c r="CH122" s="16"/>
      <c r="CI122" s="17"/>
      <c r="CM122" s="17"/>
      <c r="CN122" s="61"/>
      <c r="CO122" s="16"/>
      <c r="CP122" s="16" t="s">
        <v>20</v>
      </c>
      <c r="CQ122" s="16"/>
      <c r="CR122" s="16"/>
      <c r="CS122" s="16"/>
      <c r="CT122" s="17"/>
      <c r="CX122" s="17"/>
      <c r="CY122" s="60"/>
      <c r="CZ122" s="16"/>
      <c r="DA122" s="16" t="s">
        <v>20</v>
      </c>
      <c r="DB122" s="16"/>
      <c r="DC122" s="16"/>
      <c r="DD122" s="16"/>
      <c r="DE122" s="17"/>
      <c r="DI122" s="17"/>
      <c r="DJ122" s="60"/>
      <c r="DK122" s="16"/>
      <c r="DL122" s="16" t="s">
        <v>20</v>
      </c>
      <c r="DM122" s="16"/>
      <c r="DN122" s="16"/>
      <c r="DO122" s="16"/>
      <c r="DP122" s="17"/>
      <c r="DT122" s="17"/>
      <c r="DU122" s="60"/>
      <c r="DV122" s="16"/>
      <c r="DW122" s="16" t="s">
        <v>20</v>
      </c>
      <c r="DX122" s="16"/>
      <c r="DY122" s="16"/>
      <c r="DZ122" s="16"/>
      <c r="EA122" s="17"/>
      <c r="EE122" s="17"/>
      <c r="EF122" s="60"/>
      <c r="EG122" s="16"/>
      <c r="EH122" s="16" t="s">
        <v>20</v>
      </c>
      <c r="EI122" s="16"/>
      <c r="EJ122" s="16"/>
      <c r="EK122" s="16"/>
      <c r="EL122" s="17"/>
      <c r="EP122" s="17"/>
      <c r="EQ122" s="60"/>
      <c r="ER122" s="16"/>
      <c r="ES122" s="16" t="s">
        <v>20</v>
      </c>
      <c r="ET122" s="16"/>
      <c r="EU122" s="16"/>
      <c r="EV122" s="16"/>
      <c r="EW122" s="17"/>
      <c r="FA122" s="17"/>
      <c r="FB122" s="60"/>
      <c r="FC122" s="16"/>
      <c r="FD122" s="16" t="s">
        <v>20</v>
      </c>
      <c r="FE122" s="16"/>
      <c r="FF122" s="16"/>
      <c r="FG122" s="16"/>
      <c r="FH122" s="17"/>
      <c r="FL122" s="17"/>
      <c r="FM122" s="60"/>
      <c r="FN122" s="16"/>
      <c r="FO122" s="16" t="s">
        <v>20</v>
      </c>
      <c r="FP122" s="16"/>
      <c r="FQ122" s="16"/>
      <c r="FR122" s="16"/>
      <c r="FS122" s="17"/>
      <c r="FW122" s="17"/>
      <c r="FX122" s="60"/>
      <c r="FY122" s="16"/>
      <c r="FZ122" s="16" t="s">
        <v>20</v>
      </c>
      <c r="GA122" s="16"/>
      <c r="GB122" s="16"/>
      <c r="GC122" s="16"/>
      <c r="GD122" s="17"/>
      <c r="GH122" s="17"/>
      <c r="GI122" s="60"/>
      <c r="GJ122" s="16"/>
      <c r="GK122" s="16" t="s">
        <v>20</v>
      </c>
      <c r="GL122" s="16"/>
      <c r="GM122" s="16"/>
      <c r="GN122" s="16"/>
      <c r="GO122" s="17"/>
      <c r="GS122" s="17"/>
      <c r="GT122" s="60"/>
      <c r="GU122" s="16"/>
      <c r="GV122" s="16" t="s">
        <v>20</v>
      </c>
      <c r="GW122" s="16"/>
      <c r="GX122" s="16"/>
      <c r="GY122" s="16"/>
      <c r="GZ122" s="17"/>
      <c r="HD122" s="17"/>
      <c r="HE122" s="60"/>
      <c r="HF122" s="16"/>
      <c r="HG122" s="16" t="s">
        <v>20</v>
      </c>
      <c r="HH122" s="16"/>
      <c r="HI122" s="16"/>
      <c r="HJ122" s="16"/>
      <c r="HK122" s="17"/>
      <c r="HO122" s="17"/>
      <c r="HP122" s="60"/>
      <c r="HQ122" s="16"/>
      <c r="HR122" s="16" t="s">
        <v>20</v>
      </c>
      <c r="HS122" s="16"/>
      <c r="HT122" s="16"/>
      <c r="HU122" s="16"/>
      <c r="HV122" s="17"/>
      <c r="HZ122" s="17"/>
      <c r="IA122" s="60"/>
      <c r="IB122" s="16"/>
      <c r="IC122" s="16" t="s">
        <v>20</v>
      </c>
      <c r="ID122" s="16"/>
      <c r="IE122" s="16"/>
      <c r="IF122" s="16"/>
      <c r="IG122" s="17"/>
      <c r="IK122" s="17"/>
      <c r="IL122" s="60"/>
      <c r="IM122" s="16"/>
      <c r="IN122" s="16" t="s">
        <v>20</v>
      </c>
      <c r="IO122" s="16"/>
      <c r="IP122" s="16"/>
      <c r="IQ122" s="16"/>
      <c r="IR122" s="17"/>
      <c r="IV122" s="17"/>
      <c r="IW122" s="60"/>
      <c r="IX122" s="16"/>
      <c r="IY122" s="16" t="s">
        <v>20</v>
      </c>
      <c r="IZ122" s="16"/>
      <c r="JA122" s="16"/>
      <c r="JB122" s="16"/>
      <c r="JC122" s="17"/>
      <c r="JG122" s="17"/>
      <c r="JH122" s="60"/>
      <c r="JI122" s="16"/>
      <c r="JJ122" s="16" t="s">
        <v>20</v>
      </c>
      <c r="JK122" s="16"/>
      <c r="JL122" s="16"/>
      <c r="JM122" s="16"/>
      <c r="JN122" s="17"/>
      <c r="JR122" s="17"/>
      <c r="JS122" s="60"/>
      <c r="JT122" s="16"/>
      <c r="JU122" s="16" t="s">
        <v>20</v>
      </c>
      <c r="JV122" s="16"/>
      <c r="JW122" s="16"/>
      <c r="JX122" s="16"/>
      <c r="JY122" s="17"/>
      <c r="KC122" s="17"/>
      <c r="KD122" s="60"/>
      <c r="KE122" s="16"/>
      <c r="KF122" s="16" t="s">
        <v>20</v>
      </c>
      <c r="KG122" s="16"/>
      <c r="KH122" s="16"/>
      <c r="KI122" s="16"/>
      <c r="KJ122" s="17"/>
      <c r="KN122" s="17"/>
      <c r="KO122" s="60"/>
      <c r="KP122" s="16"/>
      <c r="KQ122" s="16" t="s">
        <v>20</v>
      </c>
      <c r="KR122" s="16"/>
      <c r="KS122" s="16"/>
      <c r="KT122" s="16"/>
      <c r="KU122" s="17"/>
      <c r="KY122" s="17"/>
      <c r="KZ122" s="60"/>
      <c r="LA122" s="16"/>
      <c r="LB122" s="16" t="s">
        <v>20</v>
      </c>
      <c r="LC122" s="16"/>
      <c r="LD122" s="16"/>
      <c r="LE122" s="16"/>
      <c r="LF122" s="17"/>
      <c r="LJ122" s="17"/>
      <c r="LK122" s="60"/>
      <c r="LL122" s="16"/>
      <c r="LM122" s="16" t="s">
        <v>20</v>
      </c>
      <c r="LN122" s="16"/>
      <c r="LO122" s="16"/>
      <c r="LP122" s="16"/>
      <c r="LQ122" s="17"/>
    </row>
    <row r="123">
      <c r="C123" s="31"/>
      <c r="D123" s="61"/>
      <c r="E123" s="16"/>
      <c r="F123" s="16" t="s">
        <v>20</v>
      </c>
      <c r="G123" s="21"/>
      <c r="H123" s="16"/>
      <c r="I123" s="16"/>
      <c r="J123" s="17"/>
      <c r="N123" s="17"/>
      <c r="O123" s="61"/>
      <c r="P123" s="16"/>
      <c r="Q123" s="16" t="s">
        <v>20</v>
      </c>
      <c r="R123" s="16"/>
      <c r="S123" s="16"/>
      <c r="T123" s="16"/>
      <c r="U123" s="17"/>
      <c r="Y123" s="66"/>
      <c r="Z123" s="61"/>
      <c r="AA123" s="16"/>
      <c r="AB123" s="16"/>
      <c r="AC123" s="16"/>
      <c r="AD123" s="16"/>
      <c r="AE123" s="16"/>
      <c r="AF123" s="17"/>
      <c r="AJ123" s="17"/>
      <c r="AK123" s="61"/>
      <c r="AL123" s="16"/>
      <c r="AM123" s="16"/>
      <c r="AN123" s="16"/>
      <c r="AO123" s="16"/>
      <c r="AP123" s="16"/>
      <c r="AQ123" s="17"/>
      <c r="AU123" s="17"/>
      <c r="AV123" s="61"/>
      <c r="AW123" s="16"/>
      <c r="AX123" s="16"/>
      <c r="AY123" s="16"/>
      <c r="AZ123" s="16"/>
      <c r="BA123" s="16"/>
      <c r="BB123" s="17"/>
      <c r="BF123" s="17"/>
      <c r="BG123" s="61"/>
      <c r="BH123" s="16"/>
      <c r="BI123" s="16" t="s">
        <v>20</v>
      </c>
      <c r="BJ123" s="16"/>
      <c r="BK123" s="16"/>
      <c r="BL123" s="16"/>
      <c r="BM123" s="17"/>
      <c r="BQ123" s="17"/>
      <c r="BR123" s="61"/>
      <c r="BS123" s="16"/>
      <c r="BT123" s="16" t="s">
        <v>20</v>
      </c>
      <c r="BU123" s="16"/>
      <c r="BV123" s="16"/>
      <c r="BW123" s="16"/>
      <c r="BX123" s="17"/>
      <c r="CB123" s="17"/>
      <c r="CC123" s="61"/>
      <c r="CD123" s="16"/>
      <c r="CE123" s="16" t="s">
        <v>20</v>
      </c>
      <c r="CF123" s="16"/>
      <c r="CG123" s="16"/>
      <c r="CH123" s="16"/>
      <c r="CI123" s="17"/>
      <c r="CM123" s="17"/>
      <c r="CN123" s="61"/>
      <c r="CO123" s="16"/>
      <c r="CP123" s="16" t="s">
        <v>20</v>
      </c>
      <c r="CQ123" s="16"/>
      <c r="CR123" s="16"/>
      <c r="CS123" s="16"/>
      <c r="CT123" s="17"/>
      <c r="CX123" s="17"/>
      <c r="CY123" s="60"/>
      <c r="CZ123" s="16"/>
      <c r="DA123" s="16" t="s">
        <v>20</v>
      </c>
      <c r="DB123" s="16"/>
      <c r="DC123" s="16"/>
      <c r="DD123" s="16"/>
      <c r="DE123" s="17"/>
      <c r="DI123" s="17"/>
      <c r="DJ123" s="60"/>
      <c r="DK123" s="16"/>
      <c r="DL123" s="16" t="s">
        <v>20</v>
      </c>
      <c r="DM123" s="16"/>
      <c r="DN123" s="16"/>
      <c r="DO123" s="16"/>
      <c r="DP123" s="17"/>
      <c r="DT123" s="17"/>
      <c r="DU123" s="60"/>
      <c r="DV123" s="16"/>
      <c r="DW123" s="16" t="s">
        <v>20</v>
      </c>
      <c r="DX123" s="16"/>
      <c r="DY123" s="16"/>
      <c r="DZ123" s="16"/>
      <c r="EA123" s="17"/>
      <c r="EE123" s="17"/>
      <c r="EF123" s="60"/>
      <c r="EG123" s="16"/>
      <c r="EH123" s="16" t="s">
        <v>20</v>
      </c>
      <c r="EI123" s="16"/>
      <c r="EJ123" s="16"/>
      <c r="EK123" s="16"/>
      <c r="EL123" s="17"/>
      <c r="EP123" s="17"/>
      <c r="EQ123" s="60"/>
      <c r="ER123" s="16"/>
      <c r="ES123" s="16" t="s">
        <v>20</v>
      </c>
      <c r="ET123" s="16"/>
      <c r="EU123" s="16"/>
      <c r="EV123" s="16"/>
      <c r="EW123" s="17"/>
      <c r="FA123" s="17"/>
      <c r="FB123" s="60"/>
      <c r="FC123" s="16"/>
      <c r="FD123" s="16" t="s">
        <v>20</v>
      </c>
      <c r="FE123" s="16"/>
      <c r="FF123" s="16"/>
      <c r="FG123" s="16"/>
      <c r="FH123" s="17"/>
      <c r="FL123" s="17"/>
      <c r="FM123" s="60"/>
      <c r="FN123" s="16"/>
      <c r="FO123" s="16" t="s">
        <v>20</v>
      </c>
      <c r="FP123" s="16"/>
      <c r="FQ123" s="16"/>
      <c r="FR123" s="16"/>
      <c r="FS123" s="17"/>
      <c r="FW123" s="17"/>
      <c r="FX123" s="60"/>
      <c r="FY123" s="16"/>
      <c r="FZ123" s="16" t="s">
        <v>20</v>
      </c>
      <c r="GA123" s="16"/>
      <c r="GB123" s="16"/>
      <c r="GC123" s="16"/>
      <c r="GD123" s="17"/>
      <c r="GH123" s="17"/>
      <c r="GI123" s="60"/>
      <c r="GJ123" s="16"/>
      <c r="GK123" s="16" t="s">
        <v>20</v>
      </c>
      <c r="GL123" s="16"/>
      <c r="GM123" s="16"/>
      <c r="GN123" s="16"/>
      <c r="GO123" s="17"/>
      <c r="GS123" s="17"/>
      <c r="GT123" s="60"/>
      <c r="GU123" s="16"/>
      <c r="GV123" s="16" t="s">
        <v>20</v>
      </c>
      <c r="GW123" s="16"/>
      <c r="GX123" s="16"/>
      <c r="GY123" s="16"/>
      <c r="GZ123" s="17"/>
      <c r="HD123" s="17"/>
      <c r="HE123" s="60"/>
      <c r="HF123" s="16"/>
      <c r="HG123" s="16" t="s">
        <v>20</v>
      </c>
      <c r="HH123" s="16"/>
      <c r="HI123" s="16"/>
      <c r="HJ123" s="16"/>
      <c r="HK123" s="17"/>
      <c r="HO123" s="17"/>
      <c r="HP123" s="60"/>
      <c r="HQ123" s="16"/>
      <c r="HR123" s="16" t="s">
        <v>20</v>
      </c>
      <c r="HS123" s="16"/>
      <c r="HT123" s="16"/>
      <c r="HU123" s="16"/>
      <c r="HV123" s="17"/>
      <c r="HZ123" s="17"/>
      <c r="IA123" s="60"/>
      <c r="IB123" s="16"/>
      <c r="IC123" s="16" t="s">
        <v>20</v>
      </c>
      <c r="ID123" s="16"/>
      <c r="IE123" s="16"/>
      <c r="IF123" s="16"/>
      <c r="IG123" s="17"/>
      <c r="IK123" s="17"/>
      <c r="IL123" s="60"/>
      <c r="IM123" s="16"/>
      <c r="IN123" s="16" t="s">
        <v>20</v>
      </c>
      <c r="IO123" s="16"/>
      <c r="IP123" s="16"/>
      <c r="IQ123" s="16"/>
      <c r="IR123" s="17"/>
      <c r="IV123" s="17"/>
      <c r="IW123" s="60"/>
      <c r="IX123" s="16"/>
      <c r="IY123" s="16" t="s">
        <v>20</v>
      </c>
      <c r="IZ123" s="16"/>
      <c r="JA123" s="16"/>
      <c r="JB123" s="16"/>
      <c r="JC123" s="17"/>
      <c r="JG123" s="17"/>
      <c r="JH123" s="60"/>
      <c r="JI123" s="16"/>
      <c r="JJ123" s="16" t="s">
        <v>20</v>
      </c>
      <c r="JK123" s="16"/>
      <c r="JL123" s="16"/>
      <c r="JM123" s="16"/>
      <c r="JN123" s="17"/>
      <c r="JR123" s="17"/>
      <c r="JS123" s="60"/>
      <c r="JT123" s="16"/>
      <c r="JU123" s="16" t="s">
        <v>20</v>
      </c>
      <c r="JV123" s="16"/>
      <c r="JW123" s="16"/>
      <c r="JX123" s="16"/>
      <c r="JY123" s="17"/>
      <c r="KC123" s="17"/>
      <c r="KD123" s="60"/>
      <c r="KE123" s="16"/>
      <c r="KF123" s="16" t="s">
        <v>20</v>
      </c>
      <c r="KG123" s="16"/>
      <c r="KH123" s="16"/>
      <c r="KI123" s="16"/>
      <c r="KJ123" s="17"/>
      <c r="KN123" s="17"/>
      <c r="KO123" s="60"/>
      <c r="KP123" s="16"/>
      <c r="KQ123" s="16" t="s">
        <v>20</v>
      </c>
      <c r="KR123" s="16"/>
      <c r="KS123" s="16"/>
      <c r="KT123" s="16"/>
      <c r="KU123" s="17"/>
      <c r="KY123" s="17"/>
      <c r="KZ123" s="60"/>
      <c r="LA123" s="16"/>
      <c r="LB123" s="16" t="s">
        <v>20</v>
      </c>
      <c r="LC123" s="16"/>
      <c r="LD123" s="16"/>
      <c r="LE123" s="16"/>
      <c r="LF123" s="17"/>
      <c r="LJ123" s="17"/>
      <c r="LK123" s="60"/>
      <c r="LL123" s="16"/>
      <c r="LM123" s="16" t="s">
        <v>20</v>
      </c>
      <c r="LN123" s="16"/>
      <c r="LO123" s="16"/>
      <c r="LP123" s="16"/>
      <c r="LQ123" s="17"/>
    </row>
    <row r="124">
      <c r="C124" s="31"/>
      <c r="D124" s="61"/>
      <c r="E124" s="16"/>
      <c r="F124" s="16" t="s">
        <v>20</v>
      </c>
      <c r="G124" s="21"/>
      <c r="H124" s="16"/>
      <c r="I124" s="16"/>
      <c r="J124" s="17"/>
      <c r="N124" s="17"/>
      <c r="O124" s="61"/>
      <c r="P124" s="16"/>
      <c r="Q124" s="16" t="s">
        <v>20</v>
      </c>
      <c r="R124" s="16"/>
      <c r="S124" s="16"/>
      <c r="T124" s="16"/>
      <c r="U124" s="17"/>
      <c r="Y124" s="66"/>
      <c r="Z124" s="61"/>
      <c r="AA124" s="16"/>
      <c r="AB124" s="16"/>
      <c r="AC124" s="16"/>
      <c r="AD124" s="16"/>
      <c r="AE124" s="16"/>
      <c r="AF124" s="17"/>
      <c r="AJ124" s="17"/>
      <c r="AK124" s="61"/>
      <c r="AL124" s="16"/>
      <c r="AM124" s="16"/>
      <c r="AN124" s="16"/>
      <c r="AO124" s="16"/>
      <c r="AP124" s="16"/>
      <c r="AQ124" s="17"/>
      <c r="AU124" s="17"/>
      <c r="AV124" s="61"/>
      <c r="AW124" s="16"/>
      <c r="AX124" s="16"/>
      <c r="AY124" s="16"/>
      <c r="AZ124" s="16"/>
      <c r="BA124" s="16"/>
      <c r="BB124" s="17"/>
      <c r="BF124" s="17"/>
      <c r="BG124" s="61"/>
      <c r="BH124" s="16"/>
      <c r="BI124" s="16" t="s">
        <v>20</v>
      </c>
      <c r="BJ124" s="16"/>
      <c r="BK124" s="16"/>
      <c r="BL124" s="16"/>
      <c r="BM124" s="17"/>
      <c r="BQ124" s="17"/>
      <c r="BR124" s="61"/>
      <c r="BS124" s="16"/>
      <c r="BT124" s="16" t="s">
        <v>20</v>
      </c>
      <c r="BU124" s="16"/>
      <c r="BV124" s="16"/>
      <c r="BW124" s="16"/>
      <c r="BX124" s="17"/>
      <c r="CB124" s="17"/>
      <c r="CC124" s="61"/>
      <c r="CD124" s="16"/>
      <c r="CE124" s="16" t="s">
        <v>20</v>
      </c>
      <c r="CF124" s="16"/>
      <c r="CG124" s="16"/>
      <c r="CH124" s="16"/>
      <c r="CI124" s="17"/>
      <c r="CM124" s="17"/>
      <c r="CN124" s="61"/>
      <c r="CO124" s="16"/>
      <c r="CP124" s="16" t="s">
        <v>20</v>
      </c>
      <c r="CQ124" s="16"/>
      <c r="CR124" s="16"/>
      <c r="CS124" s="16"/>
      <c r="CT124" s="17"/>
      <c r="CX124" s="17"/>
      <c r="CY124" s="60"/>
      <c r="CZ124" s="16"/>
      <c r="DA124" s="16" t="s">
        <v>20</v>
      </c>
      <c r="DB124" s="16"/>
      <c r="DC124" s="16"/>
      <c r="DD124" s="16"/>
      <c r="DE124" s="17"/>
      <c r="DI124" s="17"/>
      <c r="DJ124" s="60"/>
      <c r="DK124" s="16"/>
      <c r="DL124" s="16" t="s">
        <v>20</v>
      </c>
      <c r="DM124" s="16"/>
      <c r="DN124" s="16"/>
      <c r="DO124" s="16"/>
      <c r="DP124" s="17"/>
      <c r="DT124" s="17"/>
      <c r="DU124" s="60"/>
      <c r="DV124" s="16"/>
      <c r="DW124" s="16" t="s">
        <v>20</v>
      </c>
      <c r="DX124" s="16"/>
      <c r="DY124" s="16"/>
      <c r="DZ124" s="16"/>
      <c r="EA124" s="17"/>
      <c r="EE124" s="17"/>
      <c r="EF124" s="60"/>
      <c r="EG124" s="16"/>
      <c r="EH124" s="16" t="s">
        <v>20</v>
      </c>
      <c r="EI124" s="16"/>
      <c r="EJ124" s="16"/>
      <c r="EK124" s="16"/>
      <c r="EL124" s="17"/>
      <c r="EP124" s="17"/>
      <c r="EQ124" s="60"/>
      <c r="ER124" s="16"/>
      <c r="ES124" s="16" t="s">
        <v>20</v>
      </c>
      <c r="ET124" s="16"/>
      <c r="EU124" s="16"/>
      <c r="EV124" s="16"/>
      <c r="EW124" s="17"/>
      <c r="FA124" s="17"/>
      <c r="FB124" s="60"/>
      <c r="FC124" s="16"/>
      <c r="FD124" s="16" t="s">
        <v>20</v>
      </c>
      <c r="FE124" s="16"/>
      <c r="FF124" s="16"/>
      <c r="FG124" s="16"/>
      <c r="FH124" s="17"/>
      <c r="FL124" s="17"/>
      <c r="FM124" s="60"/>
      <c r="FN124" s="16"/>
      <c r="FO124" s="16" t="s">
        <v>20</v>
      </c>
      <c r="FP124" s="16"/>
      <c r="FQ124" s="16"/>
      <c r="FR124" s="16"/>
      <c r="FS124" s="17"/>
      <c r="FW124" s="17"/>
      <c r="FX124" s="60"/>
      <c r="FY124" s="16"/>
      <c r="FZ124" s="16" t="s">
        <v>20</v>
      </c>
      <c r="GA124" s="16"/>
      <c r="GB124" s="16"/>
      <c r="GC124" s="16"/>
      <c r="GD124" s="17"/>
      <c r="GH124" s="17"/>
      <c r="GI124" s="60"/>
      <c r="GJ124" s="16"/>
      <c r="GK124" s="16" t="s">
        <v>20</v>
      </c>
      <c r="GL124" s="16"/>
      <c r="GM124" s="16"/>
      <c r="GN124" s="16"/>
      <c r="GO124" s="17"/>
      <c r="GS124" s="17"/>
      <c r="GT124" s="60"/>
      <c r="GU124" s="16"/>
      <c r="GV124" s="16" t="s">
        <v>20</v>
      </c>
      <c r="GW124" s="16"/>
      <c r="GX124" s="16"/>
      <c r="GY124" s="16"/>
      <c r="GZ124" s="17"/>
      <c r="HD124" s="17"/>
      <c r="HE124" s="60"/>
      <c r="HF124" s="16"/>
      <c r="HG124" s="16" t="s">
        <v>20</v>
      </c>
      <c r="HH124" s="16"/>
      <c r="HI124" s="16"/>
      <c r="HJ124" s="16"/>
      <c r="HK124" s="17"/>
      <c r="HO124" s="17"/>
      <c r="HP124" s="60"/>
      <c r="HQ124" s="16"/>
      <c r="HR124" s="16" t="s">
        <v>20</v>
      </c>
      <c r="HS124" s="16"/>
      <c r="HT124" s="16"/>
      <c r="HU124" s="16"/>
      <c r="HV124" s="17"/>
      <c r="HZ124" s="17"/>
      <c r="IA124" s="60"/>
      <c r="IB124" s="16"/>
      <c r="IC124" s="16" t="s">
        <v>20</v>
      </c>
      <c r="ID124" s="16"/>
      <c r="IE124" s="16"/>
      <c r="IF124" s="16"/>
      <c r="IG124" s="17"/>
      <c r="IK124" s="17"/>
      <c r="IL124" s="60"/>
      <c r="IM124" s="16"/>
      <c r="IN124" s="16" t="s">
        <v>20</v>
      </c>
      <c r="IO124" s="16"/>
      <c r="IP124" s="16"/>
      <c r="IQ124" s="16"/>
      <c r="IR124" s="17"/>
      <c r="IV124" s="17"/>
      <c r="IW124" s="60"/>
      <c r="IX124" s="16"/>
      <c r="IY124" s="16" t="s">
        <v>20</v>
      </c>
      <c r="IZ124" s="16"/>
      <c r="JA124" s="16"/>
      <c r="JB124" s="16"/>
      <c r="JC124" s="17"/>
      <c r="JG124" s="17"/>
      <c r="JH124" s="60"/>
      <c r="JI124" s="16"/>
      <c r="JJ124" s="16" t="s">
        <v>20</v>
      </c>
      <c r="JK124" s="16"/>
      <c r="JL124" s="16"/>
      <c r="JM124" s="16"/>
      <c r="JN124" s="17"/>
      <c r="JR124" s="17"/>
      <c r="JS124" s="60"/>
      <c r="JT124" s="16"/>
      <c r="JU124" s="16" t="s">
        <v>20</v>
      </c>
      <c r="JV124" s="16"/>
      <c r="JW124" s="16"/>
      <c r="JX124" s="16"/>
      <c r="JY124" s="17"/>
      <c r="KC124" s="17"/>
      <c r="KD124" s="60"/>
      <c r="KE124" s="16"/>
      <c r="KF124" s="16" t="s">
        <v>20</v>
      </c>
      <c r="KG124" s="16"/>
      <c r="KH124" s="16"/>
      <c r="KI124" s="16"/>
      <c r="KJ124" s="17"/>
      <c r="KN124" s="17"/>
      <c r="KO124" s="60"/>
      <c r="KP124" s="16"/>
      <c r="KQ124" s="16" t="s">
        <v>20</v>
      </c>
      <c r="KR124" s="16"/>
      <c r="KS124" s="16"/>
      <c r="KT124" s="16"/>
      <c r="KU124" s="17"/>
      <c r="KY124" s="17"/>
      <c r="KZ124" s="60"/>
      <c r="LA124" s="16"/>
      <c r="LB124" s="16" t="s">
        <v>20</v>
      </c>
      <c r="LC124" s="16"/>
      <c r="LD124" s="16"/>
      <c r="LE124" s="16"/>
      <c r="LF124" s="17"/>
      <c r="LJ124" s="17"/>
      <c r="LK124" s="60"/>
      <c r="LL124" s="16"/>
      <c r="LM124" s="16" t="s">
        <v>20</v>
      </c>
      <c r="LN124" s="16"/>
      <c r="LO124" s="16"/>
      <c r="LP124" s="16"/>
      <c r="LQ124" s="17"/>
    </row>
    <row r="125">
      <c r="C125" s="31"/>
      <c r="D125" s="61"/>
      <c r="E125" s="16"/>
      <c r="F125" s="16" t="s">
        <v>20</v>
      </c>
      <c r="G125" s="21"/>
      <c r="H125" s="16"/>
      <c r="I125" s="16"/>
      <c r="J125" s="17"/>
      <c r="N125" s="17"/>
      <c r="O125" s="61"/>
      <c r="P125" s="16"/>
      <c r="Q125" s="16" t="s">
        <v>20</v>
      </c>
      <c r="R125" s="16"/>
      <c r="S125" s="16"/>
      <c r="T125" s="16"/>
      <c r="U125" s="17"/>
      <c r="Y125" s="66"/>
      <c r="Z125" s="61"/>
      <c r="AA125" s="16"/>
      <c r="AB125" s="16"/>
      <c r="AC125" s="16"/>
      <c r="AD125" s="16"/>
      <c r="AE125" s="16"/>
      <c r="AF125" s="17"/>
      <c r="AJ125" s="17"/>
      <c r="AK125" s="61"/>
      <c r="AL125" s="16"/>
      <c r="AM125" s="16"/>
      <c r="AN125" s="16"/>
      <c r="AO125" s="16"/>
      <c r="AP125" s="16"/>
      <c r="AQ125" s="17"/>
      <c r="AU125" s="17"/>
      <c r="AV125" s="61"/>
      <c r="AW125" s="16"/>
      <c r="AX125" s="16"/>
      <c r="AY125" s="16"/>
      <c r="AZ125" s="16"/>
      <c r="BA125" s="16"/>
      <c r="BB125" s="17"/>
      <c r="BF125" s="17"/>
      <c r="BG125" s="61"/>
      <c r="BH125" s="16"/>
      <c r="BI125" s="16" t="s">
        <v>20</v>
      </c>
      <c r="BJ125" s="16"/>
      <c r="BK125" s="16"/>
      <c r="BL125" s="16"/>
      <c r="BM125" s="17"/>
      <c r="BQ125" s="17"/>
      <c r="BR125" s="61"/>
      <c r="BS125" s="16"/>
      <c r="BT125" s="16" t="s">
        <v>20</v>
      </c>
      <c r="BU125" s="16"/>
      <c r="BV125" s="16"/>
      <c r="BW125" s="16"/>
      <c r="BX125" s="17"/>
      <c r="CB125" s="17"/>
      <c r="CC125" s="61"/>
      <c r="CD125" s="16"/>
      <c r="CE125" s="16" t="s">
        <v>20</v>
      </c>
      <c r="CF125" s="16"/>
      <c r="CG125" s="16"/>
      <c r="CH125" s="16"/>
      <c r="CI125" s="17"/>
      <c r="CM125" s="17"/>
      <c r="CN125" s="61"/>
      <c r="CO125" s="16"/>
      <c r="CP125" s="16" t="s">
        <v>20</v>
      </c>
      <c r="CQ125" s="16"/>
      <c r="CR125" s="16"/>
      <c r="CS125" s="16"/>
      <c r="CT125" s="17"/>
      <c r="CX125" s="17"/>
      <c r="CY125" s="60"/>
      <c r="CZ125" s="16"/>
      <c r="DA125" s="16" t="s">
        <v>20</v>
      </c>
      <c r="DB125" s="16"/>
      <c r="DC125" s="16"/>
      <c r="DD125" s="16"/>
      <c r="DE125" s="17"/>
      <c r="DI125" s="17"/>
      <c r="DJ125" s="60"/>
      <c r="DK125" s="16"/>
      <c r="DL125" s="16" t="s">
        <v>20</v>
      </c>
      <c r="DM125" s="16"/>
      <c r="DN125" s="16"/>
      <c r="DO125" s="16"/>
      <c r="DP125" s="17"/>
      <c r="DT125" s="17"/>
      <c r="DU125" s="60"/>
      <c r="DV125" s="16"/>
      <c r="DW125" s="16" t="s">
        <v>20</v>
      </c>
      <c r="DX125" s="16"/>
      <c r="DY125" s="16"/>
      <c r="DZ125" s="16"/>
      <c r="EA125" s="17"/>
      <c r="EE125" s="17"/>
      <c r="EF125" s="60"/>
      <c r="EG125" s="16"/>
      <c r="EH125" s="16" t="s">
        <v>20</v>
      </c>
      <c r="EI125" s="16"/>
      <c r="EJ125" s="16"/>
      <c r="EK125" s="16"/>
      <c r="EL125" s="17"/>
      <c r="EP125" s="17"/>
      <c r="EQ125" s="60"/>
      <c r="ER125" s="16"/>
      <c r="ES125" s="16" t="s">
        <v>20</v>
      </c>
      <c r="ET125" s="16"/>
      <c r="EU125" s="16"/>
      <c r="EV125" s="16"/>
      <c r="EW125" s="17"/>
      <c r="FA125" s="17"/>
      <c r="FB125" s="60"/>
      <c r="FC125" s="16"/>
      <c r="FD125" s="16" t="s">
        <v>20</v>
      </c>
      <c r="FE125" s="16"/>
      <c r="FF125" s="16"/>
      <c r="FG125" s="16"/>
      <c r="FH125" s="17"/>
      <c r="FL125" s="17"/>
      <c r="FM125" s="60"/>
      <c r="FN125" s="16"/>
      <c r="FO125" s="16" t="s">
        <v>20</v>
      </c>
      <c r="FP125" s="16"/>
      <c r="FQ125" s="16"/>
      <c r="FR125" s="16"/>
      <c r="FS125" s="17"/>
      <c r="FW125" s="17"/>
      <c r="FX125" s="60"/>
      <c r="FY125" s="16"/>
      <c r="FZ125" s="16" t="s">
        <v>20</v>
      </c>
      <c r="GA125" s="16"/>
      <c r="GB125" s="16"/>
      <c r="GC125" s="16"/>
      <c r="GD125" s="17"/>
      <c r="GH125" s="17"/>
      <c r="GI125" s="60"/>
      <c r="GJ125" s="16"/>
      <c r="GK125" s="16" t="s">
        <v>20</v>
      </c>
      <c r="GL125" s="16"/>
      <c r="GM125" s="16"/>
      <c r="GN125" s="16"/>
      <c r="GO125" s="17"/>
      <c r="GS125" s="17"/>
      <c r="GT125" s="60"/>
      <c r="GU125" s="16"/>
      <c r="GV125" s="16" t="s">
        <v>20</v>
      </c>
      <c r="GW125" s="16"/>
      <c r="GX125" s="16"/>
      <c r="GY125" s="16"/>
      <c r="GZ125" s="17"/>
      <c r="HD125" s="17"/>
      <c r="HE125" s="60"/>
      <c r="HF125" s="16"/>
      <c r="HG125" s="16" t="s">
        <v>20</v>
      </c>
      <c r="HH125" s="16"/>
      <c r="HI125" s="16"/>
      <c r="HJ125" s="16"/>
      <c r="HK125" s="17"/>
      <c r="HO125" s="17"/>
      <c r="HP125" s="60"/>
      <c r="HQ125" s="16"/>
      <c r="HR125" s="16" t="s">
        <v>20</v>
      </c>
      <c r="HS125" s="16"/>
      <c r="HT125" s="16"/>
      <c r="HU125" s="16"/>
      <c r="HV125" s="17"/>
      <c r="HZ125" s="17"/>
      <c r="IA125" s="60"/>
      <c r="IB125" s="16"/>
      <c r="IC125" s="16" t="s">
        <v>20</v>
      </c>
      <c r="ID125" s="16"/>
      <c r="IE125" s="16"/>
      <c r="IF125" s="16"/>
      <c r="IG125" s="17"/>
      <c r="IK125" s="17"/>
      <c r="IL125" s="60"/>
      <c r="IM125" s="16"/>
      <c r="IN125" s="16" t="s">
        <v>20</v>
      </c>
      <c r="IO125" s="16"/>
      <c r="IP125" s="16"/>
      <c r="IQ125" s="16"/>
      <c r="IR125" s="17"/>
      <c r="IV125" s="17"/>
      <c r="IW125" s="60"/>
      <c r="IX125" s="16"/>
      <c r="IY125" s="16" t="s">
        <v>20</v>
      </c>
      <c r="IZ125" s="16"/>
      <c r="JA125" s="16"/>
      <c r="JB125" s="16"/>
      <c r="JC125" s="17"/>
      <c r="JG125" s="17"/>
      <c r="JH125" s="60"/>
      <c r="JI125" s="16"/>
      <c r="JJ125" s="16" t="s">
        <v>20</v>
      </c>
      <c r="JK125" s="16"/>
      <c r="JL125" s="16"/>
      <c r="JM125" s="16"/>
      <c r="JN125" s="17"/>
      <c r="JR125" s="17"/>
      <c r="JS125" s="60"/>
      <c r="JT125" s="16"/>
      <c r="JU125" s="16" t="s">
        <v>20</v>
      </c>
      <c r="JV125" s="16"/>
      <c r="JW125" s="16"/>
      <c r="JX125" s="16"/>
      <c r="JY125" s="17"/>
      <c r="KC125" s="17"/>
      <c r="KD125" s="60"/>
      <c r="KE125" s="16"/>
      <c r="KF125" s="16" t="s">
        <v>20</v>
      </c>
      <c r="KG125" s="16"/>
      <c r="KH125" s="16"/>
      <c r="KI125" s="16"/>
      <c r="KJ125" s="17"/>
      <c r="KN125" s="17"/>
      <c r="KO125" s="60"/>
      <c r="KP125" s="16"/>
      <c r="KQ125" s="16" t="s">
        <v>20</v>
      </c>
      <c r="KR125" s="16"/>
      <c r="KS125" s="16"/>
      <c r="KT125" s="16"/>
      <c r="KU125" s="17"/>
      <c r="KY125" s="17"/>
      <c r="KZ125" s="60"/>
      <c r="LA125" s="16"/>
      <c r="LB125" s="16" t="s">
        <v>20</v>
      </c>
      <c r="LC125" s="16"/>
      <c r="LD125" s="16"/>
      <c r="LE125" s="16"/>
      <c r="LF125" s="17"/>
      <c r="LJ125" s="17"/>
      <c r="LK125" s="60"/>
      <c r="LL125" s="16"/>
      <c r="LM125" s="16" t="s">
        <v>20</v>
      </c>
      <c r="LN125" s="16"/>
      <c r="LO125" s="16"/>
      <c r="LP125" s="16"/>
      <c r="LQ125" s="17"/>
    </row>
    <row r="126">
      <c r="C126" s="31"/>
      <c r="D126" s="61"/>
      <c r="E126" s="16"/>
      <c r="F126" s="16" t="s">
        <v>20</v>
      </c>
      <c r="G126" s="21"/>
      <c r="H126" s="16"/>
      <c r="I126" s="16"/>
      <c r="J126" s="17"/>
      <c r="N126" s="17"/>
      <c r="O126" s="61"/>
      <c r="P126" s="16"/>
      <c r="Q126" s="16" t="s">
        <v>20</v>
      </c>
      <c r="R126" s="16"/>
      <c r="S126" s="16"/>
      <c r="T126" s="16"/>
      <c r="U126" s="17"/>
      <c r="Y126" s="17"/>
      <c r="Z126" s="61"/>
      <c r="AA126" s="16"/>
      <c r="AB126" s="16"/>
      <c r="AC126" s="16"/>
      <c r="AD126" s="16"/>
      <c r="AE126" s="16"/>
      <c r="AF126" s="17"/>
      <c r="AJ126" s="17"/>
      <c r="AK126" s="61"/>
      <c r="AL126" s="16"/>
      <c r="AM126" s="16"/>
      <c r="AN126" s="16"/>
      <c r="AO126" s="16"/>
      <c r="AP126" s="16"/>
      <c r="AQ126" s="17"/>
      <c r="AU126" s="17"/>
      <c r="AV126" s="61"/>
      <c r="AW126" s="16"/>
      <c r="AX126" s="16"/>
      <c r="AY126" s="16"/>
      <c r="AZ126" s="16"/>
      <c r="BA126" s="16"/>
      <c r="BB126" s="17"/>
      <c r="BF126" s="17"/>
      <c r="BG126" s="61"/>
      <c r="BH126" s="16"/>
      <c r="BI126" s="16" t="s">
        <v>20</v>
      </c>
      <c r="BJ126" s="16"/>
      <c r="BK126" s="16"/>
      <c r="BL126" s="16"/>
      <c r="BM126" s="17"/>
      <c r="BQ126" s="17"/>
      <c r="BR126" s="61"/>
      <c r="BS126" s="16"/>
      <c r="BT126" s="16" t="s">
        <v>20</v>
      </c>
      <c r="BU126" s="16"/>
      <c r="BV126" s="16"/>
      <c r="BW126" s="16"/>
      <c r="BX126" s="17"/>
      <c r="CB126" s="17"/>
      <c r="CC126" s="61"/>
      <c r="CD126" s="16"/>
      <c r="CE126" s="16" t="s">
        <v>20</v>
      </c>
      <c r="CF126" s="16"/>
      <c r="CG126" s="16"/>
      <c r="CH126" s="16"/>
      <c r="CI126" s="17"/>
      <c r="CM126" s="17"/>
      <c r="CN126" s="61"/>
      <c r="CO126" s="16"/>
      <c r="CP126" s="16" t="s">
        <v>20</v>
      </c>
      <c r="CQ126" s="16"/>
      <c r="CR126" s="16"/>
      <c r="CS126" s="16"/>
      <c r="CT126" s="17"/>
      <c r="CX126" s="17"/>
      <c r="CY126" s="60"/>
      <c r="CZ126" s="16"/>
      <c r="DA126" s="16" t="s">
        <v>20</v>
      </c>
      <c r="DB126" s="16"/>
      <c r="DC126" s="16"/>
      <c r="DD126" s="16"/>
      <c r="DE126" s="17"/>
      <c r="DI126" s="17"/>
      <c r="DJ126" s="60"/>
      <c r="DK126" s="16"/>
      <c r="DL126" s="16" t="s">
        <v>20</v>
      </c>
      <c r="DM126" s="16"/>
      <c r="DN126" s="16"/>
      <c r="DO126" s="16"/>
      <c r="DP126" s="17"/>
      <c r="DT126" s="17"/>
      <c r="DU126" s="60"/>
      <c r="DV126" s="16"/>
      <c r="DW126" s="16" t="s">
        <v>20</v>
      </c>
      <c r="DX126" s="16"/>
      <c r="DY126" s="16"/>
      <c r="DZ126" s="16"/>
      <c r="EA126" s="17"/>
      <c r="EE126" s="17"/>
      <c r="EF126" s="60"/>
      <c r="EG126" s="16"/>
      <c r="EH126" s="16" t="s">
        <v>20</v>
      </c>
      <c r="EI126" s="16"/>
      <c r="EJ126" s="16"/>
      <c r="EK126" s="16"/>
      <c r="EL126" s="17"/>
      <c r="EP126" s="17"/>
      <c r="EQ126" s="60"/>
      <c r="ER126" s="16"/>
      <c r="ES126" s="16" t="s">
        <v>20</v>
      </c>
      <c r="ET126" s="16"/>
      <c r="EU126" s="16"/>
      <c r="EV126" s="16"/>
      <c r="EW126" s="17"/>
      <c r="FA126" s="17"/>
      <c r="FB126" s="60"/>
      <c r="FC126" s="16"/>
      <c r="FD126" s="16" t="s">
        <v>20</v>
      </c>
      <c r="FE126" s="16"/>
      <c r="FF126" s="16"/>
      <c r="FG126" s="16"/>
      <c r="FH126" s="17"/>
      <c r="FL126" s="17"/>
      <c r="FM126" s="60"/>
      <c r="FN126" s="16"/>
      <c r="FO126" s="16" t="s">
        <v>20</v>
      </c>
      <c r="FP126" s="16"/>
      <c r="FQ126" s="16"/>
      <c r="FR126" s="16"/>
      <c r="FS126" s="17"/>
      <c r="FW126" s="17"/>
      <c r="FX126" s="60"/>
      <c r="FY126" s="16"/>
      <c r="FZ126" s="16" t="s">
        <v>20</v>
      </c>
      <c r="GA126" s="16"/>
      <c r="GB126" s="16"/>
      <c r="GC126" s="16"/>
      <c r="GD126" s="17"/>
      <c r="GH126" s="17"/>
      <c r="GI126" s="60"/>
      <c r="GJ126" s="16"/>
      <c r="GK126" s="16" t="s">
        <v>20</v>
      </c>
      <c r="GL126" s="16"/>
      <c r="GM126" s="16"/>
      <c r="GN126" s="16"/>
      <c r="GO126" s="17"/>
      <c r="GS126" s="17"/>
      <c r="GT126" s="60"/>
      <c r="GU126" s="16"/>
      <c r="GV126" s="16" t="s">
        <v>20</v>
      </c>
      <c r="GW126" s="16"/>
      <c r="GX126" s="16"/>
      <c r="GY126" s="16"/>
      <c r="GZ126" s="17"/>
      <c r="HD126" s="17"/>
      <c r="HE126" s="60"/>
      <c r="HF126" s="16"/>
      <c r="HG126" s="16" t="s">
        <v>20</v>
      </c>
      <c r="HH126" s="16"/>
      <c r="HI126" s="16"/>
      <c r="HJ126" s="16"/>
      <c r="HK126" s="17"/>
      <c r="HO126" s="17"/>
      <c r="HP126" s="60"/>
      <c r="HQ126" s="16"/>
      <c r="HR126" s="16" t="s">
        <v>20</v>
      </c>
      <c r="HS126" s="16"/>
      <c r="HT126" s="16"/>
      <c r="HU126" s="16"/>
      <c r="HV126" s="17"/>
      <c r="HZ126" s="17"/>
      <c r="IA126" s="60"/>
      <c r="IB126" s="16"/>
      <c r="IC126" s="16" t="s">
        <v>20</v>
      </c>
      <c r="ID126" s="16"/>
      <c r="IE126" s="16"/>
      <c r="IF126" s="16"/>
      <c r="IG126" s="17"/>
      <c r="IK126" s="17"/>
      <c r="IL126" s="60"/>
      <c r="IM126" s="16"/>
      <c r="IN126" s="16" t="s">
        <v>20</v>
      </c>
      <c r="IO126" s="16"/>
      <c r="IP126" s="16"/>
      <c r="IQ126" s="16"/>
      <c r="IR126" s="17"/>
      <c r="IV126" s="17"/>
      <c r="IW126" s="60"/>
      <c r="IX126" s="16"/>
      <c r="IY126" s="16" t="s">
        <v>20</v>
      </c>
      <c r="IZ126" s="16"/>
      <c r="JA126" s="16"/>
      <c r="JB126" s="16"/>
      <c r="JC126" s="17"/>
      <c r="JG126" s="17"/>
      <c r="JH126" s="60"/>
      <c r="JI126" s="16"/>
      <c r="JJ126" s="16" t="s">
        <v>20</v>
      </c>
      <c r="JK126" s="16"/>
      <c r="JL126" s="16"/>
      <c r="JM126" s="16"/>
      <c r="JN126" s="17"/>
      <c r="JR126" s="17"/>
      <c r="JS126" s="60"/>
      <c r="JT126" s="16"/>
      <c r="JU126" s="16" t="s">
        <v>20</v>
      </c>
      <c r="JV126" s="16"/>
      <c r="JW126" s="16"/>
      <c r="JX126" s="16"/>
      <c r="JY126" s="17"/>
      <c r="KC126" s="17"/>
      <c r="KD126" s="60"/>
      <c r="KE126" s="16"/>
      <c r="KF126" s="16" t="s">
        <v>20</v>
      </c>
      <c r="KG126" s="16"/>
      <c r="KH126" s="16"/>
      <c r="KI126" s="16"/>
      <c r="KJ126" s="17"/>
      <c r="KN126" s="17"/>
      <c r="KO126" s="60"/>
      <c r="KP126" s="16"/>
      <c r="KQ126" s="16" t="s">
        <v>20</v>
      </c>
      <c r="KR126" s="16"/>
      <c r="KS126" s="16"/>
      <c r="KT126" s="16"/>
      <c r="KU126" s="17"/>
      <c r="KY126" s="17"/>
      <c r="KZ126" s="60"/>
      <c r="LA126" s="16"/>
      <c r="LB126" s="16" t="s">
        <v>20</v>
      </c>
      <c r="LC126" s="16"/>
      <c r="LD126" s="16"/>
      <c r="LE126" s="16"/>
      <c r="LF126" s="17"/>
      <c r="LJ126" s="17"/>
      <c r="LK126" s="60"/>
      <c r="LL126" s="16"/>
      <c r="LM126" s="16" t="s">
        <v>20</v>
      </c>
      <c r="LN126" s="16"/>
      <c r="LO126" s="16"/>
      <c r="LP126" s="16"/>
      <c r="LQ126" s="17"/>
    </row>
    <row r="127">
      <c r="C127" s="31"/>
      <c r="D127" s="61"/>
      <c r="E127" s="16"/>
      <c r="F127" s="16" t="s">
        <v>20</v>
      </c>
      <c r="G127" s="21"/>
      <c r="H127" s="16"/>
      <c r="I127" s="16"/>
      <c r="J127" s="17"/>
      <c r="N127" s="17"/>
      <c r="O127" s="61"/>
      <c r="P127" s="16"/>
      <c r="Q127" s="16" t="s">
        <v>20</v>
      </c>
      <c r="R127" s="16"/>
      <c r="S127" s="16"/>
      <c r="T127" s="16"/>
      <c r="U127" s="17"/>
      <c r="Y127" s="17"/>
      <c r="Z127" s="61"/>
      <c r="AA127" s="16"/>
      <c r="AB127" s="16"/>
      <c r="AC127" s="16"/>
      <c r="AD127" s="16"/>
      <c r="AE127" s="16"/>
      <c r="AF127" s="17"/>
      <c r="AJ127" s="17"/>
      <c r="AK127" s="61"/>
      <c r="AL127" s="16"/>
      <c r="AM127" s="16"/>
      <c r="AN127" s="16"/>
      <c r="AO127" s="16"/>
      <c r="AP127" s="16"/>
      <c r="AQ127" s="17"/>
      <c r="AU127" s="17"/>
      <c r="AV127" s="61"/>
      <c r="AW127" s="16"/>
      <c r="AX127" s="16"/>
      <c r="AY127" s="16"/>
      <c r="AZ127" s="16"/>
      <c r="BA127" s="16"/>
      <c r="BB127" s="17"/>
      <c r="BF127" s="17"/>
      <c r="BG127" s="61"/>
      <c r="BH127" s="16"/>
      <c r="BI127" s="16" t="s">
        <v>20</v>
      </c>
      <c r="BJ127" s="16"/>
      <c r="BK127" s="16"/>
      <c r="BL127" s="16"/>
      <c r="BM127" s="17"/>
      <c r="BQ127" s="17"/>
      <c r="BR127" s="61"/>
      <c r="BS127" s="16"/>
      <c r="BT127" s="16" t="s">
        <v>20</v>
      </c>
      <c r="BU127" s="16"/>
      <c r="BV127" s="16"/>
      <c r="BW127" s="16"/>
      <c r="BX127" s="17"/>
      <c r="CB127" s="17"/>
      <c r="CC127" s="61"/>
      <c r="CD127" s="16"/>
      <c r="CE127" s="16" t="s">
        <v>20</v>
      </c>
      <c r="CF127" s="16"/>
      <c r="CG127" s="16"/>
      <c r="CH127" s="16"/>
      <c r="CI127" s="17"/>
      <c r="CM127" s="17"/>
      <c r="CN127" s="61"/>
      <c r="CO127" s="16"/>
      <c r="CP127" s="16" t="s">
        <v>20</v>
      </c>
      <c r="CQ127" s="16"/>
      <c r="CR127" s="16"/>
      <c r="CS127" s="16"/>
      <c r="CT127" s="17"/>
      <c r="CX127" s="17"/>
      <c r="CY127" s="60"/>
      <c r="CZ127" s="16"/>
      <c r="DA127" s="16" t="s">
        <v>20</v>
      </c>
      <c r="DB127" s="16"/>
      <c r="DC127" s="16"/>
      <c r="DD127" s="16"/>
      <c r="DE127" s="17"/>
      <c r="DI127" s="17"/>
      <c r="DJ127" s="60"/>
      <c r="DK127" s="16"/>
      <c r="DL127" s="16" t="s">
        <v>20</v>
      </c>
      <c r="DM127" s="16"/>
      <c r="DN127" s="16"/>
      <c r="DO127" s="16"/>
      <c r="DP127" s="17"/>
      <c r="DT127" s="17"/>
      <c r="DU127" s="60"/>
      <c r="DV127" s="16"/>
      <c r="DW127" s="16" t="s">
        <v>20</v>
      </c>
      <c r="DX127" s="16"/>
      <c r="DY127" s="16"/>
      <c r="DZ127" s="16"/>
      <c r="EA127" s="17"/>
      <c r="EE127" s="17"/>
      <c r="EF127" s="60"/>
      <c r="EG127" s="16"/>
      <c r="EH127" s="16" t="s">
        <v>20</v>
      </c>
      <c r="EI127" s="16"/>
      <c r="EJ127" s="16"/>
      <c r="EK127" s="16"/>
      <c r="EL127" s="17"/>
      <c r="EP127" s="17"/>
      <c r="EQ127" s="60"/>
      <c r="ER127" s="16"/>
      <c r="ES127" s="16" t="s">
        <v>20</v>
      </c>
      <c r="ET127" s="16"/>
      <c r="EU127" s="16"/>
      <c r="EV127" s="16"/>
      <c r="EW127" s="17"/>
      <c r="FA127" s="17"/>
      <c r="FB127" s="60"/>
      <c r="FC127" s="16"/>
      <c r="FD127" s="16" t="s">
        <v>20</v>
      </c>
      <c r="FE127" s="16"/>
      <c r="FF127" s="16"/>
      <c r="FG127" s="16"/>
      <c r="FH127" s="17"/>
      <c r="FL127" s="17"/>
      <c r="FM127" s="60"/>
      <c r="FN127" s="16"/>
      <c r="FO127" s="16" t="s">
        <v>20</v>
      </c>
      <c r="FP127" s="16"/>
      <c r="FQ127" s="16"/>
      <c r="FR127" s="16"/>
      <c r="FS127" s="17"/>
      <c r="FW127" s="17"/>
      <c r="FX127" s="60"/>
      <c r="FY127" s="16"/>
      <c r="FZ127" s="16" t="s">
        <v>20</v>
      </c>
      <c r="GA127" s="16"/>
      <c r="GB127" s="16"/>
      <c r="GC127" s="16"/>
      <c r="GD127" s="17"/>
      <c r="GH127" s="17"/>
      <c r="GI127" s="60"/>
      <c r="GJ127" s="16"/>
      <c r="GK127" s="16" t="s">
        <v>20</v>
      </c>
      <c r="GL127" s="16"/>
      <c r="GM127" s="16"/>
      <c r="GN127" s="16"/>
      <c r="GO127" s="17"/>
      <c r="GS127" s="17"/>
      <c r="GT127" s="60"/>
      <c r="GU127" s="16"/>
      <c r="GV127" s="16" t="s">
        <v>20</v>
      </c>
      <c r="GW127" s="16"/>
      <c r="GX127" s="16"/>
      <c r="GY127" s="16"/>
      <c r="GZ127" s="17"/>
      <c r="HD127" s="17"/>
      <c r="HE127" s="60"/>
      <c r="HF127" s="16"/>
      <c r="HG127" s="16" t="s">
        <v>20</v>
      </c>
      <c r="HH127" s="16"/>
      <c r="HI127" s="16"/>
      <c r="HJ127" s="16"/>
      <c r="HK127" s="17"/>
      <c r="HO127" s="17"/>
      <c r="HP127" s="60"/>
      <c r="HQ127" s="16"/>
      <c r="HR127" s="16" t="s">
        <v>20</v>
      </c>
      <c r="HS127" s="16"/>
      <c r="HT127" s="16"/>
      <c r="HU127" s="16"/>
      <c r="HV127" s="17"/>
      <c r="HZ127" s="17"/>
      <c r="IA127" s="60"/>
      <c r="IB127" s="16"/>
      <c r="IC127" s="16" t="s">
        <v>20</v>
      </c>
      <c r="ID127" s="16"/>
      <c r="IE127" s="16"/>
      <c r="IF127" s="16"/>
      <c r="IG127" s="17"/>
      <c r="IK127" s="17"/>
      <c r="IL127" s="60"/>
      <c r="IM127" s="16"/>
      <c r="IN127" s="16" t="s">
        <v>20</v>
      </c>
      <c r="IO127" s="16"/>
      <c r="IP127" s="16"/>
      <c r="IQ127" s="16"/>
      <c r="IR127" s="17"/>
      <c r="IV127" s="17"/>
      <c r="IW127" s="60"/>
      <c r="IX127" s="16"/>
      <c r="IY127" s="16" t="s">
        <v>20</v>
      </c>
      <c r="IZ127" s="16"/>
      <c r="JA127" s="16"/>
      <c r="JB127" s="16"/>
      <c r="JC127" s="17"/>
      <c r="JG127" s="17"/>
      <c r="JH127" s="60"/>
      <c r="JI127" s="16"/>
      <c r="JJ127" s="16" t="s">
        <v>20</v>
      </c>
      <c r="JK127" s="16"/>
      <c r="JL127" s="16"/>
      <c r="JM127" s="16"/>
      <c r="JN127" s="17"/>
      <c r="JR127" s="17"/>
      <c r="JS127" s="60"/>
      <c r="JT127" s="16"/>
      <c r="JU127" s="16" t="s">
        <v>20</v>
      </c>
      <c r="JV127" s="16"/>
      <c r="JW127" s="16"/>
      <c r="JX127" s="16"/>
      <c r="JY127" s="17"/>
      <c r="KC127" s="17"/>
      <c r="KD127" s="60"/>
      <c r="KE127" s="16"/>
      <c r="KF127" s="16" t="s">
        <v>20</v>
      </c>
      <c r="KG127" s="16"/>
      <c r="KH127" s="16"/>
      <c r="KI127" s="16"/>
      <c r="KJ127" s="17"/>
      <c r="KN127" s="17"/>
      <c r="KO127" s="60"/>
      <c r="KP127" s="16"/>
      <c r="KQ127" s="16" t="s">
        <v>20</v>
      </c>
      <c r="KR127" s="16"/>
      <c r="KS127" s="16"/>
      <c r="KT127" s="16"/>
      <c r="KU127" s="17"/>
      <c r="KY127" s="17"/>
      <c r="KZ127" s="60"/>
      <c r="LA127" s="16"/>
      <c r="LB127" s="16" t="s">
        <v>20</v>
      </c>
      <c r="LC127" s="16"/>
      <c r="LD127" s="16"/>
      <c r="LE127" s="16"/>
      <c r="LF127" s="17"/>
      <c r="LJ127" s="17"/>
      <c r="LK127" s="60"/>
      <c r="LL127" s="16"/>
      <c r="LM127" s="16" t="s">
        <v>20</v>
      </c>
      <c r="LN127" s="16"/>
      <c r="LO127" s="16"/>
      <c r="LP127" s="16"/>
      <c r="LQ127" s="17"/>
    </row>
    <row r="128">
      <c r="C128" s="31"/>
      <c r="D128" s="61"/>
      <c r="E128" s="16"/>
      <c r="F128" s="16" t="s">
        <v>20</v>
      </c>
      <c r="G128" s="21"/>
      <c r="H128" s="16"/>
      <c r="I128" s="16"/>
      <c r="J128" s="17"/>
      <c r="N128" s="17"/>
      <c r="O128" s="61"/>
      <c r="P128" s="16"/>
      <c r="Q128" s="16" t="s">
        <v>20</v>
      </c>
      <c r="R128" s="16"/>
      <c r="S128" s="16"/>
      <c r="T128" s="16"/>
      <c r="U128" s="17"/>
      <c r="Y128" s="17"/>
      <c r="Z128" s="61"/>
      <c r="AA128" s="16"/>
      <c r="AB128" s="16"/>
      <c r="AC128" s="16"/>
      <c r="AD128" s="16"/>
      <c r="AE128" s="16"/>
      <c r="AF128" s="17"/>
      <c r="AJ128" s="17"/>
      <c r="AK128" s="61"/>
      <c r="AL128" s="16"/>
      <c r="AM128" s="16"/>
      <c r="AN128" s="16"/>
      <c r="AO128" s="16"/>
      <c r="AP128" s="16"/>
      <c r="AQ128" s="17"/>
      <c r="AU128" s="17"/>
      <c r="AV128" s="61"/>
      <c r="AW128" s="16"/>
      <c r="AX128" s="16"/>
      <c r="AY128" s="16"/>
      <c r="AZ128" s="16"/>
      <c r="BA128" s="16"/>
      <c r="BB128" s="17"/>
      <c r="BF128" s="17"/>
      <c r="BG128" s="61"/>
      <c r="BH128" s="16"/>
      <c r="BI128" s="16" t="s">
        <v>20</v>
      </c>
      <c r="BJ128" s="16"/>
      <c r="BK128" s="16"/>
      <c r="BL128" s="16"/>
      <c r="BM128" s="17"/>
      <c r="BQ128" s="17"/>
      <c r="BR128" s="61"/>
      <c r="BS128" s="16"/>
      <c r="BT128" s="16" t="s">
        <v>20</v>
      </c>
      <c r="BU128" s="16"/>
      <c r="BV128" s="16"/>
      <c r="BW128" s="16"/>
      <c r="BX128" s="17"/>
      <c r="CB128" s="17"/>
      <c r="CC128" s="61"/>
      <c r="CD128" s="16"/>
      <c r="CE128" s="16" t="s">
        <v>20</v>
      </c>
      <c r="CF128" s="16"/>
      <c r="CG128" s="16"/>
      <c r="CH128" s="16"/>
      <c r="CI128" s="17"/>
      <c r="CM128" s="17"/>
      <c r="CN128" s="61"/>
      <c r="CO128" s="16"/>
      <c r="CP128" s="16" t="s">
        <v>20</v>
      </c>
      <c r="CQ128" s="16"/>
      <c r="CR128" s="16"/>
      <c r="CS128" s="16"/>
      <c r="CT128" s="17"/>
      <c r="CX128" s="17"/>
      <c r="CY128" s="60"/>
      <c r="CZ128" s="16"/>
      <c r="DA128" s="16" t="s">
        <v>20</v>
      </c>
      <c r="DB128" s="16"/>
      <c r="DC128" s="16"/>
      <c r="DD128" s="16"/>
      <c r="DE128" s="17"/>
      <c r="DI128" s="17"/>
      <c r="DJ128" s="60"/>
      <c r="DK128" s="16"/>
      <c r="DL128" s="16" t="s">
        <v>20</v>
      </c>
      <c r="DM128" s="16"/>
      <c r="DN128" s="16"/>
      <c r="DO128" s="16"/>
      <c r="DP128" s="17"/>
      <c r="DT128" s="17"/>
      <c r="DU128" s="60"/>
      <c r="DV128" s="16"/>
      <c r="DW128" s="16" t="s">
        <v>20</v>
      </c>
      <c r="DX128" s="16"/>
      <c r="DY128" s="16"/>
      <c r="DZ128" s="16"/>
      <c r="EA128" s="17"/>
      <c r="EE128" s="17"/>
      <c r="EF128" s="60"/>
      <c r="EG128" s="16"/>
      <c r="EH128" s="16" t="s">
        <v>20</v>
      </c>
      <c r="EI128" s="16"/>
      <c r="EJ128" s="16"/>
      <c r="EK128" s="16"/>
      <c r="EL128" s="17"/>
      <c r="EP128" s="17"/>
      <c r="EQ128" s="60"/>
      <c r="ER128" s="16"/>
      <c r="ES128" s="16" t="s">
        <v>20</v>
      </c>
      <c r="ET128" s="16"/>
      <c r="EU128" s="16"/>
      <c r="EV128" s="16"/>
      <c r="EW128" s="17"/>
      <c r="FA128" s="17"/>
      <c r="FB128" s="60"/>
      <c r="FC128" s="16"/>
      <c r="FD128" s="16" t="s">
        <v>20</v>
      </c>
      <c r="FE128" s="16"/>
      <c r="FF128" s="16"/>
      <c r="FG128" s="16"/>
      <c r="FH128" s="17"/>
      <c r="FL128" s="17"/>
      <c r="FM128" s="60"/>
      <c r="FN128" s="16"/>
      <c r="FO128" s="16" t="s">
        <v>20</v>
      </c>
      <c r="FP128" s="16"/>
      <c r="FQ128" s="16"/>
      <c r="FR128" s="16"/>
      <c r="FS128" s="17"/>
      <c r="FW128" s="17"/>
      <c r="FX128" s="60"/>
      <c r="FY128" s="16"/>
      <c r="FZ128" s="16" t="s">
        <v>20</v>
      </c>
      <c r="GA128" s="16"/>
      <c r="GB128" s="16"/>
      <c r="GC128" s="16"/>
      <c r="GD128" s="17"/>
      <c r="GH128" s="17"/>
      <c r="GI128" s="60"/>
      <c r="GJ128" s="16"/>
      <c r="GK128" s="16" t="s">
        <v>20</v>
      </c>
      <c r="GL128" s="16"/>
      <c r="GM128" s="16"/>
      <c r="GN128" s="16"/>
      <c r="GO128" s="17"/>
      <c r="GS128" s="17"/>
      <c r="GT128" s="60"/>
      <c r="GU128" s="16"/>
      <c r="GV128" s="16" t="s">
        <v>20</v>
      </c>
      <c r="GW128" s="16"/>
      <c r="GX128" s="16"/>
      <c r="GY128" s="16"/>
      <c r="GZ128" s="17"/>
      <c r="HD128" s="17"/>
      <c r="HE128" s="60"/>
      <c r="HF128" s="16"/>
      <c r="HG128" s="16" t="s">
        <v>20</v>
      </c>
      <c r="HH128" s="16"/>
      <c r="HI128" s="16"/>
      <c r="HJ128" s="16"/>
      <c r="HK128" s="17"/>
      <c r="HO128" s="17"/>
      <c r="HP128" s="60"/>
      <c r="HQ128" s="16"/>
      <c r="HR128" s="16" t="s">
        <v>20</v>
      </c>
      <c r="HS128" s="16"/>
      <c r="HT128" s="16"/>
      <c r="HU128" s="16"/>
      <c r="HV128" s="17"/>
      <c r="HZ128" s="17"/>
      <c r="IA128" s="60"/>
      <c r="IB128" s="16"/>
      <c r="IC128" s="16" t="s">
        <v>20</v>
      </c>
      <c r="ID128" s="16"/>
      <c r="IE128" s="16"/>
      <c r="IF128" s="16"/>
      <c r="IG128" s="17"/>
      <c r="IK128" s="17"/>
      <c r="IL128" s="60"/>
      <c r="IM128" s="16"/>
      <c r="IN128" s="16" t="s">
        <v>20</v>
      </c>
      <c r="IO128" s="16"/>
      <c r="IP128" s="16"/>
      <c r="IQ128" s="16"/>
      <c r="IR128" s="17"/>
      <c r="IV128" s="17"/>
      <c r="IW128" s="60"/>
      <c r="IX128" s="16"/>
      <c r="IY128" s="16" t="s">
        <v>20</v>
      </c>
      <c r="IZ128" s="16"/>
      <c r="JA128" s="16"/>
      <c r="JB128" s="16"/>
      <c r="JC128" s="17"/>
      <c r="JG128" s="17"/>
      <c r="JH128" s="60"/>
      <c r="JI128" s="16"/>
      <c r="JJ128" s="16" t="s">
        <v>20</v>
      </c>
      <c r="JK128" s="16"/>
      <c r="JL128" s="16"/>
      <c r="JM128" s="16"/>
      <c r="JN128" s="17"/>
      <c r="JR128" s="17"/>
      <c r="JS128" s="60"/>
      <c r="JT128" s="16"/>
      <c r="JU128" s="16" t="s">
        <v>20</v>
      </c>
      <c r="JV128" s="16"/>
      <c r="JW128" s="16"/>
      <c r="JX128" s="16"/>
      <c r="JY128" s="17"/>
      <c r="KC128" s="17"/>
      <c r="KD128" s="60"/>
      <c r="KE128" s="16"/>
      <c r="KF128" s="16" t="s">
        <v>20</v>
      </c>
      <c r="KG128" s="16"/>
      <c r="KH128" s="16"/>
      <c r="KI128" s="16"/>
      <c r="KJ128" s="17"/>
      <c r="KN128" s="17"/>
      <c r="KO128" s="60"/>
      <c r="KP128" s="16"/>
      <c r="KQ128" s="16" t="s">
        <v>20</v>
      </c>
      <c r="KR128" s="16"/>
      <c r="KS128" s="16"/>
      <c r="KT128" s="16"/>
      <c r="KU128" s="17"/>
      <c r="KY128" s="17"/>
      <c r="KZ128" s="60"/>
      <c r="LA128" s="16"/>
      <c r="LB128" s="16" t="s">
        <v>20</v>
      </c>
      <c r="LC128" s="16"/>
      <c r="LD128" s="16"/>
      <c r="LE128" s="16"/>
      <c r="LF128" s="17"/>
      <c r="LJ128" s="17"/>
      <c r="LK128" s="60"/>
      <c r="LL128" s="16"/>
      <c r="LM128" s="16" t="s">
        <v>20</v>
      </c>
      <c r="LN128" s="16"/>
      <c r="LO128" s="16"/>
      <c r="LP128" s="16"/>
      <c r="LQ128" s="17"/>
    </row>
    <row r="129">
      <c r="C129" s="31"/>
      <c r="D129" s="61"/>
      <c r="E129" s="16"/>
      <c r="F129" s="16" t="s">
        <v>20</v>
      </c>
      <c r="G129" s="21" t="s">
        <v>20</v>
      </c>
      <c r="H129" s="16"/>
      <c r="I129" s="16"/>
      <c r="J129" s="17"/>
      <c r="N129" s="17"/>
      <c r="O129" s="61"/>
      <c r="P129" s="16"/>
      <c r="Q129" s="16" t="s">
        <v>20</v>
      </c>
      <c r="R129" s="16"/>
      <c r="S129" s="16"/>
      <c r="T129" s="16"/>
      <c r="U129" s="17"/>
      <c r="Y129" s="17"/>
      <c r="Z129" s="61"/>
      <c r="AA129" s="16"/>
      <c r="AB129" s="16"/>
      <c r="AC129" s="16"/>
      <c r="AD129" s="16"/>
      <c r="AE129" s="16"/>
      <c r="AF129" s="17"/>
      <c r="AJ129" s="17"/>
      <c r="AK129" s="61"/>
      <c r="AL129" s="16"/>
      <c r="AM129" s="16"/>
      <c r="AN129" s="16"/>
      <c r="AO129" s="16"/>
      <c r="AP129" s="16"/>
      <c r="AQ129" s="17"/>
      <c r="AU129" s="17"/>
      <c r="AV129" s="61"/>
      <c r="AW129" s="16"/>
      <c r="AX129" s="16"/>
      <c r="AY129" s="16"/>
      <c r="AZ129" s="16"/>
      <c r="BA129" s="16"/>
      <c r="BB129" s="17"/>
      <c r="BF129" s="17"/>
      <c r="BG129" s="61"/>
      <c r="BH129" s="16"/>
      <c r="BI129" s="16" t="s">
        <v>20</v>
      </c>
      <c r="BJ129" s="16" t="s">
        <v>20</v>
      </c>
      <c r="BK129" s="16"/>
      <c r="BL129" s="16"/>
      <c r="BM129" s="17"/>
      <c r="BQ129" s="17"/>
      <c r="BR129" s="61"/>
      <c r="BS129" s="16"/>
      <c r="BT129" s="16" t="s">
        <v>20</v>
      </c>
      <c r="BU129" s="16" t="s">
        <v>20</v>
      </c>
      <c r="BV129" s="16"/>
      <c r="BW129" s="16"/>
      <c r="BX129" s="17"/>
      <c r="CB129" s="17"/>
      <c r="CC129" s="61"/>
      <c r="CD129" s="16"/>
      <c r="CE129" s="16" t="s">
        <v>20</v>
      </c>
      <c r="CF129" s="16" t="s">
        <v>20</v>
      </c>
      <c r="CG129" s="16"/>
      <c r="CH129" s="16"/>
      <c r="CI129" s="17"/>
      <c r="CM129" s="17"/>
      <c r="CN129" s="61"/>
      <c r="CO129" s="16"/>
      <c r="CP129" s="16" t="s">
        <v>20</v>
      </c>
      <c r="CQ129" s="16" t="s">
        <v>20</v>
      </c>
      <c r="CR129" s="16"/>
      <c r="CS129" s="16"/>
      <c r="CT129" s="17"/>
      <c r="CX129" s="17"/>
      <c r="CY129" s="60"/>
      <c r="CZ129" s="16"/>
      <c r="DA129" s="16" t="s">
        <v>20</v>
      </c>
      <c r="DB129" s="16" t="s">
        <v>20</v>
      </c>
      <c r="DC129" s="16"/>
      <c r="DD129" s="16"/>
      <c r="DE129" s="17"/>
      <c r="DI129" s="17"/>
      <c r="DJ129" s="60"/>
      <c r="DK129" s="16"/>
      <c r="DL129" s="16" t="s">
        <v>20</v>
      </c>
      <c r="DM129" s="16" t="s">
        <v>20</v>
      </c>
      <c r="DN129" s="16"/>
      <c r="DO129" s="16"/>
      <c r="DP129" s="17"/>
      <c r="DT129" s="17"/>
      <c r="DU129" s="60"/>
      <c r="DV129" s="16"/>
      <c r="DW129" s="16" t="s">
        <v>20</v>
      </c>
      <c r="DX129" s="16" t="s">
        <v>20</v>
      </c>
      <c r="DY129" s="16"/>
      <c r="DZ129" s="16"/>
      <c r="EA129" s="17"/>
      <c r="EE129" s="17"/>
      <c r="EF129" s="60"/>
      <c r="EG129" s="16"/>
      <c r="EH129" s="16" t="s">
        <v>20</v>
      </c>
      <c r="EI129" s="16" t="s">
        <v>20</v>
      </c>
      <c r="EJ129" s="16"/>
      <c r="EK129" s="16"/>
      <c r="EL129" s="17"/>
      <c r="EP129" s="17"/>
      <c r="EQ129" s="60"/>
      <c r="ER129" s="16"/>
      <c r="ES129" s="16" t="s">
        <v>20</v>
      </c>
      <c r="ET129" s="16" t="s">
        <v>20</v>
      </c>
      <c r="EU129" s="16"/>
      <c r="EV129" s="16"/>
      <c r="EW129" s="17"/>
      <c r="FA129" s="17"/>
      <c r="FB129" s="60"/>
      <c r="FC129" s="16"/>
      <c r="FD129" s="16" t="s">
        <v>20</v>
      </c>
      <c r="FE129" s="16" t="s">
        <v>20</v>
      </c>
      <c r="FF129" s="16"/>
      <c r="FG129" s="16"/>
      <c r="FH129" s="17"/>
      <c r="FL129" s="17"/>
      <c r="FM129" s="60"/>
      <c r="FN129" s="16"/>
      <c r="FO129" s="16" t="s">
        <v>20</v>
      </c>
      <c r="FP129" s="16" t="s">
        <v>20</v>
      </c>
      <c r="FQ129" s="16"/>
      <c r="FR129" s="16"/>
      <c r="FS129" s="17"/>
      <c r="FW129" s="17"/>
      <c r="FX129" s="60"/>
      <c r="FY129" s="16"/>
      <c r="FZ129" s="16" t="s">
        <v>20</v>
      </c>
      <c r="GA129" s="16" t="s">
        <v>20</v>
      </c>
      <c r="GB129" s="16"/>
      <c r="GC129" s="16"/>
      <c r="GD129" s="17"/>
      <c r="GH129" s="17"/>
      <c r="GI129" s="60"/>
      <c r="GJ129" s="16"/>
      <c r="GK129" s="16" t="s">
        <v>20</v>
      </c>
      <c r="GL129" s="16" t="s">
        <v>20</v>
      </c>
      <c r="GM129" s="16"/>
      <c r="GN129" s="16"/>
      <c r="GO129" s="17"/>
      <c r="GS129" s="17"/>
      <c r="GT129" s="60"/>
      <c r="GU129" s="16"/>
      <c r="GV129" s="16" t="s">
        <v>20</v>
      </c>
      <c r="GW129" s="16" t="s">
        <v>20</v>
      </c>
      <c r="GX129" s="16"/>
      <c r="GY129" s="16"/>
      <c r="GZ129" s="17"/>
      <c r="HD129" s="17"/>
      <c r="HE129" s="60"/>
      <c r="HF129" s="16"/>
      <c r="HG129" s="16" t="s">
        <v>20</v>
      </c>
      <c r="HH129" s="16" t="s">
        <v>20</v>
      </c>
      <c r="HI129" s="16"/>
      <c r="HJ129" s="16"/>
      <c r="HK129" s="17"/>
      <c r="HO129" s="17"/>
      <c r="HP129" s="60"/>
      <c r="HQ129" s="16"/>
      <c r="HR129" s="16" t="s">
        <v>20</v>
      </c>
      <c r="HS129" s="16" t="s">
        <v>20</v>
      </c>
      <c r="HT129" s="16"/>
      <c r="HU129" s="16"/>
      <c r="HV129" s="17"/>
      <c r="HZ129" s="17"/>
      <c r="IA129" s="60"/>
      <c r="IB129" s="16"/>
      <c r="IC129" s="16" t="s">
        <v>20</v>
      </c>
      <c r="ID129" s="16" t="s">
        <v>20</v>
      </c>
      <c r="IE129" s="16"/>
      <c r="IF129" s="16"/>
      <c r="IG129" s="17"/>
      <c r="IK129" s="17"/>
      <c r="IL129" s="60"/>
      <c r="IM129" s="16"/>
      <c r="IN129" s="16" t="s">
        <v>20</v>
      </c>
      <c r="IO129" s="16" t="s">
        <v>20</v>
      </c>
      <c r="IP129" s="16"/>
      <c r="IQ129" s="16"/>
      <c r="IR129" s="17"/>
      <c r="IV129" s="17"/>
      <c r="IW129" s="60"/>
      <c r="IX129" s="16"/>
      <c r="IY129" s="16" t="s">
        <v>20</v>
      </c>
      <c r="IZ129" s="16" t="s">
        <v>20</v>
      </c>
      <c r="JA129" s="16"/>
      <c r="JB129" s="16"/>
      <c r="JC129" s="17"/>
      <c r="JG129" s="17"/>
      <c r="JH129" s="60"/>
      <c r="JI129" s="16"/>
      <c r="JJ129" s="16" t="s">
        <v>20</v>
      </c>
      <c r="JK129" s="16" t="s">
        <v>20</v>
      </c>
      <c r="JL129" s="16"/>
      <c r="JM129" s="16"/>
      <c r="JN129" s="17"/>
      <c r="JR129" s="17"/>
      <c r="JS129" s="60"/>
      <c r="JT129" s="16"/>
      <c r="JU129" s="16" t="s">
        <v>20</v>
      </c>
      <c r="JV129" s="16" t="s">
        <v>20</v>
      </c>
      <c r="JW129" s="16"/>
      <c r="JX129" s="16"/>
      <c r="JY129" s="17"/>
      <c r="KC129" s="17"/>
      <c r="KD129" s="60"/>
      <c r="KE129" s="16"/>
      <c r="KF129" s="16" t="s">
        <v>20</v>
      </c>
      <c r="KG129" s="16" t="s">
        <v>20</v>
      </c>
      <c r="KH129" s="16"/>
      <c r="KI129" s="16"/>
      <c r="KJ129" s="17"/>
      <c r="KN129" s="17"/>
      <c r="KO129" s="60"/>
      <c r="KP129" s="16"/>
      <c r="KQ129" s="16" t="s">
        <v>20</v>
      </c>
      <c r="KR129" s="16" t="s">
        <v>20</v>
      </c>
      <c r="KS129" s="16"/>
      <c r="KT129" s="16"/>
      <c r="KU129" s="17"/>
      <c r="KY129" s="17"/>
      <c r="KZ129" s="60"/>
      <c r="LA129" s="16"/>
      <c r="LB129" s="16" t="s">
        <v>20</v>
      </c>
      <c r="LC129" s="16" t="s">
        <v>20</v>
      </c>
      <c r="LD129" s="16"/>
      <c r="LE129" s="16"/>
      <c r="LF129" s="17"/>
      <c r="LJ129" s="17"/>
      <c r="LK129" s="60"/>
      <c r="LL129" s="16"/>
      <c r="LM129" s="16" t="s">
        <v>20</v>
      </c>
      <c r="LN129" s="16" t="s">
        <v>20</v>
      </c>
      <c r="LO129" s="16"/>
      <c r="LP129" s="16"/>
      <c r="LQ129" s="17"/>
    </row>
    <row r="130">
      <c r="C130" s="31"/>
      <c r="D130" s="61"/>
      <c r="E130" s="16"/>
      <c r="F130" s="16" t="s">
        <v>20</v>
      </c>
      <c r="G130" s="21" t="s">
        <v>20</v>
      </c>
      <c r="H130" s="16"/>
      <c r="I130" s="16"/>
      <c r="J130" s="17"/>
      <c r="N130" s="17"/>
      <c r="O130" s="61"/>
      <c r="P130" s="16"/>
      <c r="Q130" s="16" t="s">
        <v>20</v>
      </c>
      <c r="R130" s="16"/>
      <c r="S130" s="16"/>
      <c r="T130" s="16"/>
      <c r="U130" s="17"/>
      <c r="Y130" s="17"/>
      <c r="Z130" s="61"/>
      <c r="AA130" s="16"/>
      <c r="AB130" s="16"/>
      <c r="AC130" s="16"/>
      <c r="AD130" s="16"/>
      <c r="AE130" s="16"/>
      <c r="AF130" s="17"/>
      <c r="AJ130" s="17"/>
      <c r="AK130" s="61"/>
      <c r="AL130" s="16"/>
      <c r="AM130" s="16"/>
      <c r="AN130" s="16"/>
      <c r="AO130" s="16"/>
      <c r="AP130" s="16"/>
      <c r="AQ130" s="17"/>
      <c r="AU130" s="17"/>
      <c r="AV130" s="61"/>
      <c r="AW130" s="16"/>
      <c r="AX130" s="16"/>
      <c r="AY130" s="16"/>
      <c r="AZ130" s="16"/>
      <c r="BA130" s="16"/>
      <c r="BB130" s="17"/>
      <c r="BF130" s="17"/>
      <c r="BG130" s="61"/>
      <c r="BH130" s="16"/>
      <c r="BI130" s="16" t="s">
        <v>20</v>
      </c>
      <c r="BJ130" s="16" t="s">
        <v>20</v>
      </c>
      <c r="BK130" s="16"/>
      <c r="BL130" s="16"/>
      <c r="BM130" s="17"/>
      <c r="BQ130" s="17"/>
      <c r="BR130" s="61"/>
      <c r="BS130" s="16"/>
      <c r="BT130" s="16" t="s">
        <v>20</v>
      </c>
      <c r="BU130" s="16" t="s">
        <v>20</v>
      </c>
      <c r="BV130" s="16"/>
      <c r="BW130" s="16"/>
      <c r="BX130" s="17"/>
      <c r="CB130" s="17"/>
      <c r="CC130" s="61"/>
      <c r="CD130" s="16"/>
      <c r="CE130" s="16" t="s">
        <v>20</v>
      </c>
      <c r="CF130" s="16" t="s">
        <v>20</v>
      </c>
      <c r="CG130" s="16"/>
      <c r="CH130" s="16"/>
      <c r="CI130" s="17"/>
      <c r="CM130" s="17"/>
      <c r="CN130" s="61"/>
      <c r="CO130" s="16"/>
      <c r="CP130" s="16" t="s">
        <v>20</v>
      </c>
      <c r="CQ130" s="16" t="s">
        <v>20</v>
      </c>
      <c r="CR130" s="16"/>
      <c r="CS130" s="16"/>
      <c r="CT130" s="17"/>
      <c r="CX130" s="17"/>
      <c r="CY130" s="60"/>
      <c r="CZ130" s="16"/>
      <c r="DA130" s="16" t="s">
        <v>20</v>
      </c>
      <c r="DB130" s="16" t="s">
        <v>20</v>
      </c>
      <c r="DC130" s="16"/>
      <c r="DD130" s="16"/>
      <c r="DE130" s="17"/>
      <c r="DI130" s="17"/>
      <c r="DJ130" s="60"/>
      <c r="DK130" s="16"/>
      <c r="DL130" s="16" t="s">
        <v>20</v>
      </c>
      <c r="DM130" s="16" t="s">
        <v>20</v>
      </c>
      <c r="DN130" s="16"/>
      <c r="DO130" s="16"/>
      <c r="DP130" s="17"/>
      <c r="DT130" s="17"/>
      <c r="DU130" s="60"/>
      <c r="DV130" s="16"/>
      <c r="DW130" s="16" t="s">
        <v>20</v>
      </c>
      <c r="DX130" s="16" t="s">
        <v>20</v>
      </c>
      <c r="DY130" s="16"/>
      <c r="DZ130" s="16"/>
      <c r="EA130" s="17"/>
      <c r="EE130" s="17"/>
      <c r="EF130" s="60"/>
      <c r="EG130" s="16"/>
      <c r="EH130" s="16" t="s">
        <v>20</v>
      </c>
      <c r="EI130" s="16" t="s">
        <v>20</v>
      </c>
      <c r="EJ130" s="16"/>
      <c r="EK130" s="16"/>
      <c r="EL130" s="17"/>
      <c r="EP130" s="17"/>
      <c r="EQ130" s="60"/>
      <c r="ER130" s="16"/>
      <c r="ES130" s="16" t="s">
        <v>20</v>
      </c>
      <c r="ET130" s="16" t="s">
        <v>20</v>
      </c>
      <c r="EU130" s="16"/>
      <c r="EV130" s="16"/>
      <c r="EW130" s="17"/>
      <c r="FA130" s="17"/>
      <c r="FB130" s="60"/>
      <c r="FC130" s="16"/>
      <c r="FD130" s="16" t="s">
        <v>20</v>
      </c>
      <c r="FE130" s="16" t="s">
        <v>20</v>
      </c>
      <c r="FF130" s="16"/>
      <c r="FG130" s="16"/>
      <c r="FH130" s="17"/>
      <c r="FL130" s="17"/>
      <c r="FM130" s="60"/>
      <c r="FN130" s="16"/>
      <c r="FO130" s="16" t="s">
        <v>20</v>
      </c>
      <c r="FP130" s="16" t="s">
        <v>20</v>
      </c>
      <c r="FQ130" s="16"/>
      <c r="FR130" s="16"/>
      <c r="FS130" s="17"/>
      <c r="FW130" s="17"/>
      <c r="FX130" s="60"/>
      <c r="FY130" s="16"/>
      <c r="FZ130" s="16" t="s">
        <v>20</v>
      </c>
      <c r="GA130" s="16" t="s">
        <v>20</v>
      </c>
      <c r="GB130" s="16"/>
      <c r="GC130" s="16"/>
      <c r="GD130" s="17"/>
      <c r="GH130" s="17"/>
      <c r="GI130" s="60"/>
      <c r="GJ130" s="16"/>
      <c r="GK130" s="16" t="s">
        <v>20</v>
      </c>
      <c r="GL130" s="16" t="s">
        <v>20</v>
      </c>
      <c r="GM130" s="16"/>
      <c r="GN130" s="16"/>
      <c r="GO130" s="17"/>
      <c r="GS130" s="17"/>
      <c r="GT130" s="60"/>
      <c r="GU130" s="16"/>
      <c r="GV130" s="16" t="s">
        <v>20</v>
      </c>
      <c r="GW130" s="16" t="s">
        <v>20</v>
      </c>
      <c r="GX130" s="16"/>
      <c r="GY130" s="16"/>
      <c r="GZ130" s="17"/>
      <c r="HD130" s="17"/>
      <c r="HE130" s="60"/>
      <c r="HF130" s="16"/>
      <c r="HG130" s="16" t="s">
        <v>20</v>
      </c>
      <c r="HH130" s="16" t="s">
        <v>20</v>
      </c>
      <c r="HI130" s="16"/>
      <c r="HJ130" s="16"/>
      <c r="HK130" s="17"/>
      <c r="HO130" s="17"/>
      <c r="HP130" s="60"/>
      <c r="HQ130" s="16"/>
      <c r="HR130" s="16" t="s">
        <v>20</v>
      </c>
      <c r="HS130" s="16" t="s">
        <v>20</v>
      </c>
      <c r="HT130" s="16"/>
      <c r="HU130" s="16"/>
      <c r="HV130" s="17"/>
      <c r="HZ130" s="17"/>
      <c r="IA130" s="60"/>
      <c r="IB130" s="16"/>
      <c r="IC130" s="16" t="s">
        <v>20</v>
      </c>
      <c r="ID130" s="16" t="s">
        <v>20</v>
      </c>
      <c r="IE130" s="16"/>
      <c r="IF130" s="16"/>
      <c r="IG130" s="17"/>
      <c r="IK130" s="17"/>
      <c r="IL130" s="60"/>
      <c r="IM130" s="16"/>
      <c r="IN130" s="16" t="s">
        <v>20</v>
      </c>
      <c r="IO130" s="16" t="s">
        <v>20</v>
      </c>
      <c r="IP130" s="16"/>
      <c r="IQ130" s="16"/>
      <c r="IR130" s="17"/>
      <c r="IV130" s="17"/>
      <c r="IW130" s="60"/>
      <c r="IX130" s="16"/>
      <c r="IY130" s="16" t="s">
        <v>20</v>
      </c>
      <c r="IZ130" s="16" t="s">
        <v>20</v>
      </c>
      <c r="JA130" s="16"/>
      <c r="JB130" s="16"/>
      <c r="JC130" s="17"/>
      <c r="JG130" s="17"/>
      <c r="JH130" s="60"/>
      <c r="JI130" s="16"/>
      <c r="JJ130" s="16" t="s">
        <v>20</v>
      </c>
      <c r="JK130" s="16" t="s">
        <v>20</v>
      </c>
      <c r="JL130" s="16"/>
      <c r="JM130" s="16"/>
      <c r="JN130" s="17"/>
      <c r="JR130" s="17"/>
      <c r="JS130" s="60"/>
      <c r="JT130" s="16"/>
      <c r="JU130" s="16" t="s">
        <v>20</v>
      </c>
      <c r="JV130" s="16" t="s">
        <v>20</v>
      </c>
      <c r="JW130" s="16"/>
      <c r="JX130" s="16"/>
      <c r="JY130" s="17"/>
      <c r="KC130" s="17"/>
      <c r="KD130" s="60"/>
      <c r="KE130" s="16"/>
      <c r="KF130" s="16" t="s">
        <v>20</v>
      </c>
      <c r="KG130" s="16" t="s">
        <v>20</v>
      </c>
      <c r="KH130" s="16"/>
      <c r="KI130" s="16"/>
      <c r="KJ130" s="17"/>
      <c r="KN130" s="17"/>
      <c r="KO130" s="60"/>
      <c r="KP130" s="16"/>
      <c r="KQ130" s="16" t="s">
        <v>20</v>
      </c>
      <c r="KR130" s="16" t="s">
        <v>20</v>
      </c>
      <c r="KS130" s="16"/>
      <c r="KT130" s="16"/>
      <c r="KU130" s="17"/>
      <c r="KY130" s="17"/>
      <c r="KZ130" s="60"/>
      <c r="LA130" s="16"/>
      <c r="LB130" s="16" t="s">
        <v>20</v>
      </c>
      <c r="LC130" s="16" t="s">
        <v>20</v>
      </c>
      <c r="LD130" s="16"/>
      <c r="LE130" s="16"/>
      <c r="LF130" s="17"/>
      <c r="LJ130" s="17"/>
      <c r="LK130" s="60"/>
      <c r="LL130" s="16"/>
      <c r="LM130" s="16" t="s">
        <v>20</v>
      </c>
      <c r="LN130" s="16" t="s">
        <v>20</v>
      </c>
      <c r="LO130" s="16"/>
      <c r="LP130" s="16"/>
      <c r="LQ130" s="17"/>
    </row>
    <row r="131">
      <c r="C131" s="31"/>
      <c r="D131" s="61"/>
      <c r="E131" s="16"/>
      <c r="F131" s="16" t="s">
        <v>20</v>
      </c>
      <c r="G131" s="21" t="s">
        <v>20</v>
      </c>
      <c r="H131" s="16"/>
      <c r="I131" s="16"/>
      <c r="J131" s="17"/>
      <c r="N131" s="17"/>
      <c r="O131" s="61"/>
      <c r="P131" s="16"/>
      <c r="Q131" s="16" t="s">
        <v>20</v>
      </c>
      <c r="R131" s="16"/>
      <c r="S131" s="16"/>
      <c r="T131" s="16"/>
      <c r="U131" s="17"/>
      <c r="Y131" s="17"/>
      <c r="Z131" s="61"/>
      <c r="AA131" s="16"/>
      <c r="AB131" s="16"/>
      <c r="AC131" s="16"/>
      <c r="AD131" s="16"/>
      <c r="AE131" s="16"/>
      <c r="AF131" s="17"/>
      <c r="AJ131" s="17"/>
      <c r="AK131" s="61"/>
      <c r="AL131" s="16"/>
      <c r="AM131" s="16"/>
      <c r="AN131" s="16"/>
      <c r="AO131" s="16"/>
      <c r="AP131" s="16"/>
      <c r="AQ131" s="17"/>
      <c r="AU131" s="17"/>
      <c r="AV131" s="61"/>
      <c r="AW131" s="16"/>
      <c r="AX131" s="16"/>
      <c r="AY131" s="16"/>
      <c r="AZ131" s="16"/>
      <c r="BA131" s="16"/>
      <c r="BB131" s="17"/>
      <c r="BF131" s="17"/>
      <c r="BG131" s="61"/>
      <c r="BH131" s="16"/>
      <c r="BI131" s="16" t="s">
        <v>20</v>
      </c>
      <c r="BJ131" s="16" t="s">
        <v>20</v>
      </c>
      <c r="BK131" s="16"/>
      <c r="BL131" s="16"/>
      <c r="BM131" s="17"/>
      <c r="BQ131" s="17"/>
      <c r="BR131" s="61"/>
      <c r="BS131" s="16"/>
      <c r="BT131" s="16" t="s">
        <v>20</v>
      </c>
      <c r="BU131" s="16" t="s">
        <v>20</v>
      </c>
      <c r="BV131" s="16"/>
      <c r="BW131" s="16"/>
      <c r="BX131" s="17"/>
      <c r="CB131" s="17"/>
      <c r="CC131" s="61"/>
      <c r="CD131" s="16"/>
      <c r="CE131" s="16" t="s">
        <v>20</v>
      </c>
      <c r="CF131" s="16" t="s">
        <v>20</v>
      </c>
      <c r="CG131" s="16"/>
      <c r="CH131" s="16"/>
      <c r="CI131" s="17"/>
      <c r="CM131" s="17"/>
      <c r="CN131" s="61"/>
      <c r="CO131" s="16"/>
      <c r="CP131" s="16" t="s">
        <v>20</v>
      </c>
      <c r="CQ131" s="16" t="s">
        <v>20</v>
      </c>
      <c r="CR131" s="16"/>
      <c r="CS131" s="16"/>
      <c r="CT131" s="17"/>
      <c r="CX131" s="17"/>
      <c r="CY131" s="60"/>
      <c r="CZ131" s="16"/>
      <c r="DA131" s="16" t="s">
        <v>20</v>
      </c>
      <c r="DB131" s="16" t="s">
        <v>20</v>
      </c>
      <c r="DC131" s="16"/>
      <c r="DD131" s="16"/>
      <c r="DE131" s="17"/>
      <c r="DI131" s="17"/>
      <c r="DJ131" s="60"/>
      <c r="DK131" s="16"/>
      <c r="DL131" s="16" t="s">
        <v>20</v>
      </c>
      <c r="DM131" s="16" t="s">
        <v>20</v>
      </c>
      <c r="DN131" s="16"/>
      <c r="DO131" s="16"/>
      <c r="DP131" s="17"/>
      <c r="DT131" s="17"/>
      <c r="DU131" s="60"/>
      <c r="DV131" s="16"/>
      <c r="DW131" s="16" t="s">
        <v>20</v>
      </c>
      <c r="DX131" s="16" t="s">
        <v>20</v>
      </c>
      <c r="DY131" s="16"/>
      <c r="DZ131" s="16"/>
      <c r="EA131" s="17"/>
      <c r="EE131" s="17"/>
      <c r="EF131" s="60"/>
      <c r="EG131" s="16"/>
      <c r="EH131" s="16" t="s">
        <v>20</v>
      </c>
      <c r="EI131" s="16" t="s">
        <v>20</v>
      </c>
      <c r="EJ131" s="16"/>
      <c r="EK131" s="16"/>
      <c r="EL131" s="17"/>
      <c r="EP131" s="17"/>
      <c r="EQ131" s="60"/>
      <c r="ER131" s="16"/>
      <c r="ES131" s="16" t="s">
        <v>20</v>
      </c>
      <c r="ET131" s="16" t="s">
        <v>20</v>
      </c>
      <c r="EU131" s="16"/>
      <c r="EV131" s="16"/>
      <c r="EW131" s="17"/>
      <c r="FA131" s="17"/>
      <c r="FB131" s="60"/>
      <c r="FC131" s="16"/>
      <c r="FD131" s="16" t="s">
        <v>20</v>
      </c>
      <c r="FE131" s="16" t="s">
        <v>20</v>
      </c>
      <c r="FF131" s="16"/>
      <c r="FG131" s="16"/>
      <c r="FH131" s="17"/>
      <c r="FL131" s="17"/>
      <c r="FM131" s="60"/>
      <c r="FN131" s="16"/>
      <c r="FO131" s="16" t="s">
        <v>20</v>
      </c>
      <c r="FP131" s="16" t="s">
        <v>20</v>
      </c>
      <c r="FQ131" s="16"/>
      <c r="FR131" s="16"/>
      <c r="FS131" s="17"/>
      <c r="FW131" s="17"/>
      <c r="FX131" s="60"/>
      <c r="FY131" s="16"/>
      <c r="FZ131" s="16" t="s">
        <v>20</v>
      </c>
      <c r="GA131" s="16" t="s">
        <v>20</v>
      </c>
      <c r="GB131" s="16"/>
      <c r="GC131" s="16"/>
      <c r="GD131" s="17"/>
      <c r="GH131" s="17"/>
      <c r="GI131" s="60"/>
      <c r="GJ131" s="16"/>
      <c r="GK131" s="16" t="s">
        <v>20</v>
      </c>
      <c r="GL131" s="16" t="s">
        <v>20</v>
      </c>
      <c r="GM131" s="16"/>
      <c r="GN131" s="16"/>
      <c r="GO131" s="17"/>
      <c r="GS131" s="17"/>
      <c r="GT131" s="60"/>
      <c r="GU131" s="16"/>
      <c r="GV131" s="16" t="s">
        <v>20</v>
      </c>
      <c r="GW131" s="16" t="s">
        <v>20</v>
      </c>
      <c r="GX131" s="16"/>
      <c r="GY131" s="16"/>
      <c r="GZ131" s="17"/>
      <c r="HD131" s="17"/>
      <c r="HE131" s="60"/>
      <c r="HF131" s="16"/>
      <c r="HG131" s="16" t="s">
        <v>20</v>
      </c>
      <c r="HH131" s="16" t="s">
        <v>20</v>
      </c>
      <c r="HI131" s="16"/>
      <c r="HJ131" s="16"/>
      <c r="HK131" s="17"/>
      <c r="HO131" s="17"/>
      <c r="HP131" s="60"/>
      <c r="HQ131" s="16"/>
      <c r="HR131" s="16" t="s">
        <v>20</v>
      </c>
      <c r="HS131" s="16" t="s">
        <v>20</v>
      </c>
      <c r="HT131" s="16"/>
      <c r="HU131" s="16"/>
      <c r="HV131" s="17"/>
      <c r="HZ131" s="17"/>
      <c r="IA131" s="60"/>
      <c r="IB131" s="16"/>
      <c r="IC131" s="16" t="s">
        <v>20</v>
      </c>
      <c r="ID131" s="16" t="s">
        <v>20</v>
      </c>
      <c r="IE131" s="16"/>
      <c r="IF131" s="16"/>
      <c r="IG131" s="17"/>
      <c r="IK131" s="17"/>
      <c r="IL131" s="60"/>
      <c r="IM131" s="16"/>
      <c r="IN131" s="16" t="s">
        <v>20</v>
      </c>
      <c r="IO131" s="16" t="s">
        <v>20</v>
      </c>
      <c r="IP131" s="16"/>
      <c r="IQ131" s="16"/>
      <c r="IR131" s="17"/>
      <c r="IV131" s="17"/>
      <c r="IW131" s="60"/>
      <c r="IX131" s="16"/>
      <c r="IY131" s="16" t="s">
        <v>20</v>
      </c>
      <c r="IZ131" s="16" t="s">
        <v>20</v>
      </c>
      <c r="JA131" s="16"/>
      <c r="JB131" s="16"/>
      <c r="JC131" s="17"/>
      <c r="JG131" s="17"/>
      <c r="JH131" s="60"/>
      <c r="JI131" s="16"/>
      <c r="JJ131" s="16" t="s">
        <v>20</v>
      </c>
      <c r="JK131" s="16" t="s">
        <v>20</v>
      </c>
      <c r="JL131" s="16"/>
      <c r="JM131" s="16"/>
      <c r="JN131" s="17"/>
      <c r="JR131" s="17"/>
      <c r="JS131" s="60"/>
      <c r="JT131" s="16"/>
      <c r="JU131" s="16" t="s">
        <v>20</v>
      </c>
      <c r="JV131" s="16" t="s">
        <v>20</v>
      </c>
      <c r="JW131" s="16"/>
      <c r="JX131" s="16"/>
      <c r="JY131" s="17"/>
      <c r="KC131" s="17"/>
      <c r="KD131" s="60"/>
      <c r="KE131" s="16"/>
      <c r="KF131" s="16" t="s">
        <v>20</v>
      </c>
      <c r="KG131" s="16" t="s">
        <v>20</v>
      </c>
      <c r="KH131" s="16"/>
      <c r="KI131" s="16"/>
      <c r="KJ131" s="17"/>
      <c r="KN131" s="17"/>
      <c r="KO131" s="60"/>
      <c r="KP131" s="16"/>
      <c r="KQ131" s="16" t="s">
        <v>20</v>
      </c>
      <c r="KR131" s="16" t="s">
        <v>20</v>
      </c>
      <c r="KS131" s="16"/>
      <c r="KT131" s="16"/>
      <c r="KU131" s="17"/>
      <c r="KY131" s="17"/>
      <c r="KZ131" s="60"/>
      <c r="LA131" s="16"/>
      <c r="LB131" s="16" t="s">
        <v>20</v>
      </c>
      <c r="LC131" s="16" t="s">
        <v>20</v>
      </c>
      <c r="LD131" s="16"/>
      <c r="LE131" s="16"/>
      <c r="LF131" s="17"/>
      <c r="LJ131" s="17"/>
      <c r="LK131" s="60"/>
      <c r="LL131" s="16"/>
      <c r="LM131" s="16" t="s">
        <v>20</v>
      </c>
      <c r="LN131" s="16" t="s">
        <v>20</v>
      </c>
      <c r="LO131" s="16"/>
      <c r="LP131" s="16"/>
      <c r="LQ131" s="17"/>
    </row>
    <row r="132">
      <c r="C132" s="31"/>
      <c r="D132" s="61"/>
      <c r="E132" s="16"/>
      <c r="F132" s="16" t="s">
        <v>20</v>
      </c>
      <c r="G132" s="21" t="s">
        <v>20</v>
      </c>
      <c r="H132" s="16"/>
      <c r="I132" s="16"/>
      <c r="J132" s="17"/>
      <c r="N132" s="17"/>
      <c r="O132" s="61"/>
      <c r="P132" s="16"/>
      <c r="Q132" s="16" t="s">
        <v>20</v>
      </c>
      <c r="R132" s="16"/>
      <c r="S132" s="16"/>
      <c r="T132" s="16"/>
      <c r="U132" s="17"/>
      <c r="Y132" s="17"/>
      <c r="Z132" s="61"/>
      <c r="AA132" s="16"/>
      <c r="AB132" s="16"/>
      <c r="AC132" s="16"/>
      <c r="AD132" s="16"/>
      <c r="AE132" s="16"/>
      <c r="AF132" s="17"/>
      <c r="AJ132" s="17"/>
      <c r="AK132" s="61"/>
      <c r="AL132" s="16"/>
      <c r="AM132" s="16"/>
      <c r="AN132" s="16"/>
      <c r="AO132" s="16"/>
      <c r="AP132" s="16"/>
      <c r="AQ132" s="17"/>
      <c r="AU132" s="17"/>
      <c r="AV132" s="61"/>
      <c r="AW132" s="16"/>
      <c r="AX132" s="16"/>
      <c r="AY132" s="16"/>
      <c r="AZ132" s="16"/>
      <c r="BA132" s="16"/>
      <c r="BB132" s="17"/>
      <c r="BF132" s="17"/>
      <c r="BG132" s="61"/>
      <c r="BH132" s="16"/>
      <c r="BI132" s="16" t="s">
        <v>20</v>
      </c>
      <c r="BJ132" s="16" t="s">
        <v>20</v>
      </c>
      <c r="BK132" s="16"/>
      <c r="BL132" s="16"/>
      <c r="BM132" s="17"/>
      <c r="BQ132" s="17"/>
      <c r="BR132" s="61"/>
      <c r="BS132" s="16"/>
      <c r="BT132" s="16" t="s">
        <v>20</v>
      </c>
      <c r="BU132" s="16" t="s">
        <v>20</v>
      </c>
      <c r="BV132" s="16"/>
      <c r="BW132" s="16"/>
      <c r="BX132" s="17"/>
      <c r="CB132" s="17"/>
      <c r="CC132" s="61"/>
      <c r="CD132" s="16"/>
      <c r="CE132" s="16" t="s">
        <v>20</v>
      </c>
      <c r="CF132" s="16" t="s">
        <v>20</v>
      </c>
      <c r="CG132" s="16"/>
      <c r="CH132" s="16"/>
      <c r="CI132" s="17"/>
      <c r="CM132" s="17"/>
      <c r="CN132" s="61"/>
      <c r="CO132" s="16"/>
      <c r="CP132" s="16" t="s">
        <v>20</v>
      </c>
      <c r="CQ132" s="16" t="s">
        <v>20</v>
      </c>
      <c r="CR132" s="16"/>
      <c r="CS132" s="16"/>
      <c r="CT132" s="17"/>
      <c r="CX132" s="17"/>
      <c r="CY132" s="60"/>
      <c r="CZ132" s="16"/>
      <c r="DA132" s="16" t="s">
        <v>20</v>
      </c>
      <c r="DB132" s="16" t="s">
        <v>20</v>
      </c>
      <c r="DC132" s="16"/>
      <c r="DD132" s="16"/>
      <c r="DE132" s="17"/>
      <c r="DI132" s="17"/>
      <c r="DJ132" s="60"/>
      <c r="DK132" s="16"/>
      <c r="DL132" s="16" t="s">
        <v>20</v>
      </c>
      <c r="DM132" s="16" t="s">
        <v>20</v>
      </c>
      <c r="DN132" s="16"/>
      <c r="DO132" s="16"/>
      <c r="DP132" s="17"/>
      <c r="DT132" s="17"/>
      <c r="DU132" s="60"/>
      <c r="DV132" s="16"/>
      <c r="DW132" s="16" t="s">
        <v>20</v>
      </c>
      <c r="DX132" s="16" t="s">
        <v>20</v>
      </c>
      <c r="DY132" s="16"/>
      <c r="DZ132" s="16"/>
      <c r="EA132" s="17"/>
      <c r="EE132" s="17"/>
      <c r="EF132" s="60"/>
      <c r="EG132" s="16"/>
      <c r="EH132" s="16" t="s">
        <v>20</v>
      </c>
      <c r="EI132" s="16" t="s">
        <v>20</v>
      </c>
      <c r="EJ132" s="16"/>
      <c r="EK132" s="16"/>
      <c r="EL132" s="17"/>
      <c r="EP132" s="17"/>
      <c r="EQ132" s="60"/>
      <c r="ER132" s="16"/>
      <c r="ES132" s="16" t="s">
        <v>20</v>
      </c>
      <c r="ET132" s="16" t="s">
        <v>20</v>
      </c>
      <c r="EU132" s="16"/>
      <c r="EV132" s="16"/>
      <c r="EW132" s="17"/>
      <c r="FA132" s="17"/>
      <c r="FB132" s="60"/>
      <c r="FC132" s="16"/>
      <c r="FD132" s="16" t="s">
        <v>20</v>
      </c>
      <c r="FE132" s="16" t="s">
        <v>20</v>
      </c>
      <c r="FF132" s="16"/>
      <c r="FG132" s="16"/>
      <c r="FH132" s="17"/>
      <c r="FL132" s="17"/>
      <c r="FM132" s="60"/>
      <c r="FN132" s="16"/>
      <c r="FO132" s="16" t="s">
        <v>20</v>
      </c>
      <c r="FP132" s="16" t="s">
        <v>20</v>
      </c>
      <c r="FQ132" s="16"/>
      <c r="FR132" s="16"/>
      <c r="FS132" s="17"/>
      <c r="FW132" s="17"/>
      <c r="FX132" s="60"/>
      <c r="FY132" s="16"/>
      <c r="FZ132" s="16" t="s">
        <v>20</v>
      </c>
      <c r="GA132" s="16" t="s">
        <v>20</v>
      </c>
      <c r="GB132" s="16"/>
      <c r="GC132" s="16"/>
      <c r="GD132" s="17"/>
      <c r="GH132" s="17"/>
      <c r="GI132" s="60"/>
      <c r="GJ132" s="16"/>
      <c r="GK132" s="16" t="s">
        <v>20</v>
      </c>
      <c r="GL132" s="16" t="s">
        <v>20</v>
      </c>
      <c r="GM132" s="16"/>
      <c r="GN132" s="16"/>
      <c r="GO132" s="17"/>
      <c r="GS132" s="17"/>
      <c r="GT132" s="60"/>
      <c r="GU132" s="16"/>
      <c r="GV132" s="16" t="s">
        <v>20</v>
      </c>
      <c r="GW132" s="16" t="s">
        <v>20</v>
      </c>
      <c r="GX132" s="16"/>
      <c r="GY132" s="16"/>
      <c r="GZ132" s="17"/>
      <c r="HD132" s="17"/>
      <c r="HE132" s="60"/>
      <c r="HF132" s="16"/>
      <c r="HG132" s="16" t="s">
        <v>20</v>
      </c>
      <c r="HH132" s="16" t="s">
        <v>20</v>
      </c>
      <c r="HI132" s="16"/>
      <c r="HJ132" s="16"/>
      <c r="HK132" s="17"/>
      <c r="HO132" s="17"/>
      <c r="HP132" s="60"/>
      <c r="HQ132" s="16"/>
      <c r="HR132" s="16" t="s">
        <v>20</v>
      </c>
      <c r="HS132" s="16" t="s">
        <v>20</v>
      </c>
      <c r="HT132" s="16"/>
      <c r="HU132" s="16"/>
      <c r="HV132" s="17"/>
      <c r="HZ132" s="17"/>
      <c r="IA132" s="60"/>
      <c r="IB132" s="16"/>
      <c r="IC132" s="16" t="s">
        <v>20</v>
      </c>
      <c r="ID132" s="16" t="s">
        <v>20</v>
      </c>
      <c r="IE132" s="16"/>
      <c r="IF132" s="16"/>
      <c r="IG132" s="17"/>
      <c r="IK132" s="17"/>
      <c r="IL132" s="60"/>
      <c r="IM132" s="16"/>
      <c r="IN132" s="16" t="s">
        <v>20</v>
      </c>
      <c r="IO132" s="16" t="s">
        <v>20</v>
      </c>
      <c r="IP132" s="16"/>
      <c r="IQ132" s="16"/>
      <c r="IR132" s="17"/>
      <c r="IV132" s="17"/>
      <c r="IW132" s="60"/>
      <c r="IX132" s="16"/>
      <c r="IY132" s="16" t="s">
        <v>20</v>
      </c>
      <c r="IZ132" s="16" t="s">
        <v>20</v>
      </c>
      <c r="JA132" s="16"/>
      <c r="JB132" s="16"/>
      <c r="JC132" s="17"/>
      <c r="JG132" s="17"/>
      <c r="JH132" s="60"/>
      <c r="JI132" s="16"/>
      <c r="JJ132" s="16" t="s">
        <v>20</v>
      </c>
      <c r="JK132" s="16" t="s">
        <v>20</v>
      </c>
      <c r="JL132" s="16"/>
      <c r="JM132" s="16"/>
      <c r="JN132" s="17"/>
      <c r="JR132" s="17"/>
      <c r="JS132" s="60"/>
      <c r="JT132" s="16"/>
      <c r="JU132" s="16" t="s">
        <v>20</v>
      </c>
      <c r="JV132" s="16" t="s">
        <v>20</v>
      </c>
      <c r="JW132" s="16"/>
      <c r="JX132" s="16"/>
      <c r="JY132" s="17"/>
      <c r="KC132" s="17"/>
      <c r="KD132" s="60"/>
      <c r="KE132" s="16"/>
      <c r="KF132" s="16" t="s">
        <v>20</v>
      </c>
      <c r="KG132" s="16" t="s">
        <v>20</v>
      </c>
      <c r="KH132" s="16"/>
      <c r="KI132" s="16"/>
      <c r="KJ132" s="17"/>
      <c r="KN132" s="17"/>
      <c r="KO132" s="60"/>
      <c r="KP132" s="16"/>
      <c r="KQ132" s="16" t="s">
        <v>20</v>
      </c>
      <c r="KR132" s="16" t="s">
        <v>20</v>
      </c>
      <c r="KS132" s="16"/>
      <c r="KT132" s="16"/>
      <c r="KU132" s="17"/>
      <c r="KY132" s="17"/>
      <c r="KZ132" s="60"/>
      <c r="LA132" s="16"/>
      <c r="LB132" s="16" t="s">
        <v>20</v>
      </c>
      <c r="LC132" s="16" t="s">
        <v>20</v>
      </c>
      <c r="LD132" s="16"/>
      <c r="LE132" s="16"/>
      <c r="LF132" s="17"/>
      <c r="LJ132" s="17"/>
      <c r="LK132" s="60"/>
      <c r="LL132" s="16"/>
      <c r="LM132" s="16" t="s">
        <v>20</v>
      </c>
      <c r="LN132" s="16" t="s">
        <v>20</v>
      </c>
      <c r="LO132" s="16"/>
      <c r="LP132" s="16"/>
      <c r="LQ132" s="17"/>
    </row>
    <row r="133">
      <c r="C133" s="31"/>
      <c r="D133" s="61"/>
      <c r="E133" s="16"/>
      <c r="F133" s="16" t="s">
        <v>20</v>
      </c>
      <c r="G133" s="21" t="s">
        <v>20</v>
      </c>
      <c r="H133" s="16"/>
      <c r="I133" s="16"/>
      <c r="J133" s="17"/>
      <c r="N133" s="17"/>
      <c r="O133" s="61"/>
      <c r="P133" s="16"/>
      <c r="Q133" s="16" t="s">
        <v>20</v>
      </c>
      <c r="R133" s="16"/>
      <c r="S133" s="16"/>
      <c r="T133" s="16"/>
      <c r="U133" s="17"/>
      <c r="Y133" s="17"/>
      <c r="Z133" s="61"/>
      <c r="AA133" s="16"/>
      <c r="AB133" s="16"/>
      <c r="AC133" s="16"/>
      <c r="AD133" s="16"/>
      <c r="AE133" s="16"/>
      <c r="AF133" s="17"/>
      <c r="AJ133" s="17"/>
      <c r="AK133" s="61"/>
      <c r="AL133" s="16"/>
      <c r="AM133" s="16"/>
      <c r="AN133" s="16"/>
      <c r="AO133" s="16"/>
      <c r="AP133" s="16"/>
      <c r="AQ133" s="17"/>
      <c r="AU133" s="17"/>
      <c r="AV133" s="61"/>
      <c r="AW133" s="16"/>
      <c r="AX133" s="16"/>
      <c r="AY133" s="16"/>
      <c r="AZ133" s="16"/>
      <c r="BA133" s="16"/>
      <c r="BB133" s="17"/>
      <c r="BF133" s="17"/>
      <c r="BG133" s="61"/>
      <c r="BH133" s="16"/>
      <c r="BI133" s="16" t="s">
        <v>20</v>
      </c>
      <c r="BJ133" s="16" t="s">
        <v>20</v>
      </c>
      <c r="BK133" s="16"/>
      <c r="BL133" s="16"/>
      <c r="BM133" s="17"/>
      <c r="BQ133" s="17"/>
      <c r="BR133" s="61"/>
      <c r="BS133" s="16"/>
      <c r="BT133" s="16" t="s">
        <v>20</v>
      </c>
      <c r="BU133" s="16" t="s">
        <v>20</v>
      </c>
      <c r="BV133" s="16"/>
      <c r="BW133" s="16"/>
      <c r="BX133" s="17"/>
      <c r="CB133" s="17"/>
      <c r="CC133" s="61"/>
      <c r="CD133" s="16"/>
      <c r="CE133" s="16" t="s">
        <v>20</v>
      </c>
      <c r="CF133" s="16" t="s">
        <v>20</v>
      </c>
      <c r="CG133" s="16"/>
      <c r="CH133" s="16"/>
      <c r="CI133" s="17"/>
      <c r="CM133" s="17"/>
      <c r="CN133" s="61"/>
      <c r="CO133" s="16"/>
      <c r="CP133" s="16" t="s">
        <v>20</v>
      </c>
      <c r="CQ133" s="16" t="s">
        <v>20</v>
      </c>
      <c r="CR133" s="16"/>
      <c r="CS133" s="16"/>
      <c r="CT133" s="17"/>
      <c r="CX133" s="17"/>
      <c r="CY133" s="60"/>
      <c r="CZ133" s="16"/>
      <c r="DA133" s="16" t="s">
        <v>20</v>
      </c>
      <c r="DB133" s="16" t="s">
        <v>20</v>
      </c>
      <c r="DC133" s="16"/>
      <c r="DD133" s="16"/>
      <c r="DE133" s="17"/>
      <c r="DI133" s="17"/>
      <c r="DJ133" s="60"/>
      <c r="DK133" s="16"/>
      <c r="DL133" s="16" t="s">
        <v>20</v>
      </c>
      <c r="DM133" s="16" t="s">
        <v>20</v>
      </c>
      <c r="DN133" s="16"/>
      <c r="DO133" s="16"/>
      <c r="DP133" s="17"/>
      <c r="DT133" s="17"/>
      <c r="DU133" s="60"/>
      <c r="DV133" s="16"/>
      <c r="DW133" s="16" t="s">
        <v>20</v>
      </c>
      <c r="DX133" s="16" t="s">
        <v>20</v>
      </c>
      <c r="DY133" s="16"/>
      <c r="DZ133" s="16"/>
      <c r="EA133" s="17"/>
      <c r="EE133" s="17"/>
      <c r="EF133" s="60"/>
      <c r="EG133" s="16"/>
      <c r="EH133" s="16" t="s">
        <v>20</v>
      </c>
      <c r="EI133" s="16" t="s">
        <v>20</v>
      </c>
      <c r="EJ133" s="16"/>
      <c r="EK133" s="16"/>
      <c r="EL133" s="17"/>
      <c r="EP133" s="17"/>
      <c r="EQ133" s="60"/>
      <c r="ER133" s="16"/>
      <c r="ES133" s="16" t="s">
        <v>20</v>
      </c>
      <c r="ET133" s="16" t="s">
        <v>20</v>
      </c>
      <c r="EU133" s="16"/>
      <c r="EV133" s="16"/>
      <c r="EW133" s="17"/>
      <c r="FA133" s="17"/>
      <c r="FB133" s="60"/>
      <c r="FC133" s="16"/>
      <c r="FD133" s="16" t="s">
        <v>20</v>
      </c>
      <c r="FE133" s="16" t="s">
        <v>20</v>
      </c>
      <c r="FF133" s="16"/>
      <c r="FG133" s="16"/>
      <c r="FH133" s="17"/>
      <c r="FL133" s="17"/>
      <c r="FM133" s="60"/>
      <c r="FN133" s="16"/>
      <c r="FO133" s="16" t="s">
        <v>20</v>
      </c>
      <c r="FP133" s="16" t="s">
        <v>20</v>
      </c>
      <c r="FQ133" s="16"/>
      <c r="FR133" s="16"/>
      <c r="FS133" s="17"/>
      <c r="FW133" s="17"/>
      <c r="FX133" s="60"/>
      <c r="FY133" s="16"/>
      <c r="FZ133" s="16" t="s">
        <v>20</v>
      </c>
      <c r="GA133" s="16" t="s">
        <v>20</v>
      </c>
      <c r="GB133" s="16"/>
      <c r="GC133" s="16"/>
      <c r="GD133" s="17"/>
      <c r="GH133" s="17"/>
      <c r="GI133" s="60"/>
      <c r="GJ133" s="16"/>
      <c r="GK133" s="16" t="s">
        <v>20</v>
      </c>
      <c r="GL133" s="16" t="s">
        <v>20</v>
      </c>
      <c r="GM133" s="16"/>
      <c r="GN133" s="16"/>
      <c r="GO133" s="17"/>
      <c r="GS133" s="17"/>
      <c r="GT133" s="60"/>
      <c r="GU133" s="16"/>
      <c r="GV133" s="16" t="s">
        <v>20</v>
      </c>
      <c r="GW133" s="16" t="s">
        <v>20</v>
      </c>
      <c r="GX133" s="16"/>
      <c r="GY133" s="16"/>
      <c r="GZ133" s="17"/>
      <c r="HD133" s="17"/>
      <c r="HE133" s="60"/>
      <c r="HF133" s="16"/>
      <c r="HG133" s="16" t="s">
        <v>20</v>
      </c>
      <c r="HH133" s="16" t="s">
        <v>20</v>
      </c>
      <c r="HI133" s="16"/>
      <c r="HJ133" s="16"/>
      <c r="HK133" s="17"/>
      <c r="HO133" s="17"/>
      <c r="HP133" s="60"/>
      <c r="HQ133" s="16"/>
      <c r="HR133" s="16" t="s">
        <v>20</v>
      </c>
      <c r="HS133" s="16" t="s">
        <v>20</v>
      </c>
      <c r="HT133" s="16"/>
      <c r="HU133" s="16"/>
      <c r="HV133" s="17"/>
      <c r="HZ133" s="17"/>
      <c r="IA133" s="60"/>
      <c r="IB133" s="16"/>
      <c r="IC133" s="16" t="s">
        <v>20</v>
      </c>
      <c r="ID133" s="16" t="s">
        <v>20</v>
      </c>
      <c r="IE133" s="16"/>
      <c r="IF133" s="16"/>
      <c r="IG133" s="17"/>
      <c r="IK133" s="17"/>
      <c r="IL133" s="60"/>
      <c r="IM133" s="16"/>
      <c r="IN133" s="16" t="s">
        <v>20</v>
      </c>
      <c r="IO133" s="16" t="s">
        <v>20</v>
      </c>
      <c r="IP133" s="16"/>
      <c r="IQ133" s="16"/>
      <c r="IR133" s="17"/>
      <c r="IV133" s="17"/>
      <c r="IW133" s="60"/>
      <c r="IX133" s="16"/>
      <c r="IY133" s="16" t="s">
        <v>20</v>
      </c>
      <c r="IZ133" s="16" t="s">
        <v>20</v>
      </c>
      <c r="JA133" s="16"/>
      <c r="JB133" s="16"/>
      <c r="JC133" s="17"/>
      <c r="JG133" s="17"/>
      <c r="JH133" s="60"/>
      <c r="JI133" s="16"/>
      <c r="JJ133" s="16" t="s">
        <v>20</v>
      </c>
      <c r="JK133" s="16" t="s">
        <v>20</v>
      </c>
      <c r="JL133" s="16"/>
      <c r="JM133" s="16"/>
      <c r="JN133" s="17"/>
      <c r="JR133" s="17"/>
      <c r="JS133" s="60"/>
      <c r="JT133" s="16"/>
      <c r="JU133" s="16" t="s">
        <v>20</v>
      </c>
      <c r="JV133" s="16" t="s">
        <v>20</v>
      </c>
      <c r="JW133" s="16"/>
      <c r="JX133" s="16"/>
      <c r="JY133" s="17"/>
      <c r="KC133" s="17"/>
      <c r="KD133" s="60"/>
      <c r="KE133" s="16"/>
      <c r="KF133" s="16" t="s">
        <v>20</v>
      </c>
      <c r="KG133" s="16" t="s">
        <v>20</v>
      </c>
      <c r="KH133" s="16"/>
      <c r="KI133" s="16"/>
      <c r="KJ133" s="17"/>
      <c r="KN133" s="17"/>
      <c r="KO133" s="60"/>
      <c r="KP133" s="16"/>
      <c r="KQ133" s="16" t="s">
        <v>20</v>
      </c>
      <c r="KR133" s="16" t="s">
        <v>20</v>
      </c>
      <c r="KS133" s="16"/>
      <c r="KT133" s="16"/>
      <c r="KU133" s="17"/>
      <c r="KY133" s="17"/>
      <c r="KZ133" s="60"/>
      <c r="LA133" s="16"/>
      <c r="LB133" s="16" t="s">
        <v>20</v>
      </c>
      <c r="LC133" s="16" t="s">
        <v>20</v>
      </c>
      <c r="LD133" s="16"/>
      <c r="LE133" s="16"/>
      <c r="LF133" s="17"/>
      <c r="LJ133" s="17"/>
      <c r="LK133" s="60"/>
      <c r="LL133" s="16"/>
      <c r="LM133" s="16" t="s">
        <v>20</v>
      </c>
      <c r="LN133" s="16" t="s">
        <v>20</v>
      </c>
      <c r="LO133" s="16"/>
      <c r="LP133" s="16"/>
      <c r="LQ133" s="17"/>
    </row>
    <row r="134">
      <c r="C134" s="31"/>
      <c r="D134" s="61"/>
      <c r="E134" s="16"/>
      <c r="F134" s="16" t="s">
        <v>20</v>
      </c>
      <c r="G134" s="21" t="s">
        <v>20</v>
      </c>
      <c r="H134" s="16"/>
      <c r="I134" s="16"/>
      <c r="J134" s="17"/>
      <c r="N134" s="17"/>
      <c r="O134" s="61"/>
      <c r="P134" s="16"/>
      <c r="Q134" s="16" t="s">
        <v>20</v>
      </c>
      <c r="R134" s="16"/>
      <c r="S134" s="16"/>
      <c r="T134" s="16"/>
      <c r="U134" s="17"/>
      <c r="Y134" s="17"/>
      <c r="Z134" s="61"/>
      <c r="AA134" s="16"/>
      <c r="AB134" s="16"/>
      <c r="AC134" s="16"/>
      <c r="AD134" s="16"/>
      <c r="AE134" s="16"/>
      <c r="AF134" s="17"/>
      <c r="AJ134" s="17"/>
      <c r="AK134" s="61"/>
      <c r="AL134" s="16"/>
      <c r="AM134" s="16"/>
      <c r="AN134" s="16"/>
      <c r="AO134" s="16"/>
      <c r="AP134" s="16"/>
      <c r="AQ134" s="17"/>
      <c r="AU134" s="17"/>
      <c r="AV134" s="61"/>
      <c r="AW134" s="16"/>
      <c r="AX134" s="16"/>
      <c r="AY134" s="16"/>
      <c r="AZ134" s="16"/>
      <c r="BA134" s="16"/>
      <c r="BB134" s="17"/>
      <c r="BF134" s="17"/>
      <c r="BG134" s="61"/>
      <c r="BH134" s="16"/>
      <c r="BI134" s="16" t="s">
        <v>20</v>
      </c>
      <c r="BJ134" s="16" t="s">
        <v>20</v>
      </c>
      <c r="BK134" s="16"/>
      <c r="BL134" s="16"/>
      <c r="BM134" s="17"/>
      <c r="BQ134" s="17"/>
      <c r="BR134" s="61"/>
      <c r="BS134" s="16"/>
      <c r="BT134" s="16" t="s">
        <v>20</v>
      </c>
      <c r="BU134" s="16" t="s">
        <v>20</v>
      </c>
      <c r="BV134" s="16"/>
      <c r="BW134" s="16"/>
      <c r="BX134" s="17"/>
      <c r="CB134" s="17"/>
      <c r="CC134" s="61"/>
      <c r="CD134" s="16"/>
      <c r="CE134" s="16" t="s">
        <v>20</v>
      </c>
      <c r="CF134" s="16" t="s">
        <v>20</v>
      </c>
      <c r="CG134" s="16"/>
      <c r="CH134" s="16"/>
      <c r="CI134" s="17"/>
      <c r="CM134" s="17"/>
      <c r="CN134" s="61"/>
      <c r="CO134" s="16"/>
      <c r="CP134" s="16" t="s">
        <v>20</v>
      </c>
      <c r="CQ134" s="16" t="s">
        <v>20</v>
      </c>
      <c r="CR134" s="16"/>
      <c r="CS134" s="16"/>
      <c r="CT134" s="17"/>
      <c r="CX134" s="17"/>
      <c r="CY134" s="60"/>
      <c r="CZ134" s="16"/>
      <c r="DA134" s="16" t="s">
        <v>20</v>
      </c>
      <c r="DB134" s="16" t="s">
        <v>20</v>
      </c>
      <c r="DC134" s="16"/>
      <c r="DD134" s="16"/>
      <c r="DE134" s="17"/>
      <c r="DI134" s="17"/>
      <c r="DJ134" s="60"/>
      <c r="DK134" s="16"/>
      <c r="DL134" s="16" t="s">
        <v>20</v>
      </c>
      <c r="DM134" s="16" t="s">
        <v>20</v>
      </c>
      <c r="DN134" s="16"/>
      <c r="DO134" s="16"/>
      <c r="DP134" s="17"/>
      <c r="DT134" s="17"/>
      <c r="DU134" s="60"/>
      <c r="DV134" s="16"/>
      <c r="DW134" s="16" t="s">
        <v>20</v>
      </c>
      <c r="DX134" s="16" t="s">
        <v>20</v>
      </c>
      <c r="DY134" s="16"/>
      <c r="DZ134" s="16"/>
      <c r="EA134" s="17"/>
      <c r="EE134" s="17"/>
      <c r="EF134" s="60"/>
      <c r="EG134" s="16"/>
      <c r="EH134" s="16" t="s">
        <v>20</v>
      </c>
      <c r="EI134" s="16" t="s">
        <v>20</v>
      </c>
      <c r="EJ134" s="16"/>
      <c r="EK134" s="16"/>
      <c r="EL134" s="17"/>
      <c r="EP134" s="17"/>
      <c r="EQ134" s="60"/>
      <c r="ER134" s="16"/>
      <c r="ES134" s="16" t="s">
        <v>20</v>
      </c>
      <c r="ET134" s="16" t="s">
        <v>20</v>
      </c>
      <c r="EU134" s="16"/>
      <c r="EV134" s="16"/>
      <c r="EW134" s="17"/>
      <c r="FA134" s="17"/>
      <c r="FB134" s="60"/>
      <c r="FC134" s="16"/>
      <c r="FD134" s="16" t="s">
        <v>20</v>
      </c>
      <c r="FE134" s="16" t="s">
        <v>20</v>
      </c>
      <c r="FF134" s="16"/>
      <c r="FG134" s="16"/>
      <c r="FH134" s="17"/>
      <c r="FL134" s="17"/>
      <c r="FM134" s="60"/>
      <c r="FN134" s="16"/>
      <c r="FO134" s="16" t="s">
        <v>20</v>
      </c>
      <c r="FP134" s="16" t="s">
        <v>20</v>
      </c>
      <c r="FQ134" s="16"/>
      <c r="FR134" s="16"/>
      <c r="FS134" s="17"/>
      <c r="FW134" s="17"/>
      <c r="FX134" s="60"/>
      <c r="FY134" s="16"/>
      <c r="FZ134" s="16" t="s">
        <v>20</v>
      </c>
      <c r="GA134" s="16" t="s">
        <v>20</v>
      </c>
      <c r="GB134" s="16"/>
      <c r="GC134" s="16"/>
      <c r="GD134" s="17"/>
      <c r="GH134" s="17"/>
      <c r="GI134" s="60"/>
      <c r="GJ134" s="16"/>
      <c r="GK134" s="16" t="s">
        <v>20</v>
      </c>
      <c r="GL134" s="16" t="s">
        <v>20</v>
      </c>
      <c r="GM134" s="16"/>
      <c r="GN134" s="16"/>
      <c r="GO134" s="17"/>
      <c r="GS134" s="17"/>
      <c r="GT134" s="60"/>
      <c r="GU134" s="16"/>
      <c r="GV134" s="16" t="s">
        <v>20</v>
      </c>
      <c r="GW134" s="16" t="s">
        <v>20</v>
      </c>
      <c r="GX134" s="16"/>
      <c r="GY134" s="16"/>
      <c r="GZ134" s="17"/>
      <c r="HD134" s="17"/>
      <c r="HE134" s="60"/>
      <c r="HF134" s="16"/>
      <c r="HG134" s="16" t="s">
        <v>20</v>
      </c>
      <c r="HH134" s="16" t="s">
        <v>20</v>
      </c>
      <c r="HI134" s="16"/>
      <c r="HJ134" s="16"/>
      <c r="HK134" s="17"/>
      <c r="HO134" s="17"/>
      <c r="HP134" s="60"/>
      <c r="HQ134" s="16"/>
      <c r="HR134" s="16" t="s">
        <v>20</v>
      </c>
      <c r="HS134" s="16" t="s">
        <v>20</v>
      </c>
      <c r="HT134" s="16"/>
      <c r="HU134" s="16"/>
      <c r="HV134" s="17"/>
      <c r="HZ134" s="17"/>
      <c r="IA134" s="60"/>
      <c r="IB134" s="16"/>
      <c r="IC134" s="16" t="s">
        <v>20</v>
      </c>
      <c r="ID134" s="16" t="s">
        <v>20</v>
      </c>
      <c r="IE134" s="16"/>
      <c r="IF134" s="16"/>
      <c r="IG134" s="17"/>
      <c r="IK134" s="17"/>
      <c r="IL134" s="60"/>
      <c r="IM134" s="16"/>
      <c r="IN134" s="16" t="s">
        <v>20</v>
      </c>
      <c r="IO134" s="16" t="s">
        <v>20</v>
      </c>
      <c r="IP134" s="16"/>
      <c r="IQ134" s="16"/>
      <c r="IR134" s="17"/>
      <c r="IV134" s="17"/>
      <c r="IW134" s="60"/>
      <c r="IX134" s="16"/>
      <c r="IY134" s="16" t="s">
        <v>20</v>
      </c>
      <c r="IZ134" s="16" t="s">
        <v>20</v>
      </c>
      <c r="JA134" s="16"/>
      <c r="JB134" s="16"/>
      <c r="JC134" s="17"/>
      <c r="JG134" s="17"/>
      <c r="JH134" s="60"/>
      <c r="JI134" s="16"/>
      <c r="JJ134" s="16" t="s">
        <v>20</v>
      </c>
      <c r="JK134" s="16" t="s">
        <v>20</v>
      </c>
      <c r="JL134" s="16"/>
      <c r="JM134" s="16"/>
      <c r="JN134" s="17"/>
      <c r="JR134" s="17"/>
      <c r="JS134" s="60"/>
      <c r="JT134" s="16"/>
      <c r="JU134" s="16" t="s">
        <v>20</v>
      </c>
      <c r="JV134" s="16" t="s">
        <v>20</v>
      </c>
      <c r="JW134" s="16"/>
      <c r="JX134" s="16"/>
      <c r="JY134" s="17"/>
      <c r="KC134" s="17"/>
      <c r="KD134" s="60"/>
      <c r="KE134" s="16"/>
      <c r="KF134" s="16" t="s">
        <v>20</v>
      </c>
      <c r="KG134" s="16" t="s">
        <v>20</v>
      </c>
      <c r="KH134" s="16"/>
      <c r="KI134" s="16"/>
      <c r="KJ134" s="17"/>
      <c r="KN134" s="17"/>
      <c r="KO134" s="60"/>
      <c r="KP134" s="16"/>
      <c r="KQ134" s="16" t="s">
        <v>20</v>
      </c>
      <c r="KR134" s="16" t="s">
        <v>20</v>
      </c>
      <c r="KS134" s="16"/>
      <c r="KT134" s="16"/>
      <c r="KU134" s="17"/>
      <c r="KY134" s="17"/>
      <c r="KZ134" s="60"/>
      <c r="LA134" s="16"/>
      <c r="LB134" s="16" t="s">
        <v>20</v>
      </c>
      <c r="LC134" s="16" t="s">
        <v>20</v>
      </c>
      <c r="LD134" s="16"/>
      <c r="LE134" s="16"/>
      <c r="LF134" s="17"/>
      <c r="LJ134" s="17"/>
      <c r="LK134" s="60"/>
      <c r="LL134" s="16"/>
      <c r="LM134" s="16" t="s">
        <v>20</v>
      </c>
      <c r="LN134" s="16" t="s">
        <v>20</v>
      </c>
      <c r="LO134" s="16"/>
      <c r="LP134" s="16"/>
      <c r="LQ134" s="17"/>
    </row>
    <row r="135">
      <c r="C135" s="31"/>
      <c r="D135" s="61"/>
      <c r="E135" s="16"/>
      <c r="F135" s="16" t="s">
        <v>20</v>
      </c>
      <c r="G135" s="21" t="s">
        <v>20</v>
      </c>
      <c r="H135" s="16"/>
      <c r="I135" s="16"/>
      <c r="J135" s="17"/>
      <c r="N135" s="17"/>
      <c r="O135" s="61"/>
      <c r="P135" s="16"/>
      <c r="Q135" s="16" t="s">
        <v>20</v>
      </c>
      <c r="R135" s="16"/>
      <c r="S135" s="16"/>
      <c r="T135" s="16"/>
      <c r="U135" s="17"/>
      <c r="Y135" s="17"/>
      <c r="Z135" s="61"/>
      <c r="AA135" s="16"/>
      <c r="AB135" s="16"/>
      <c r="AC135" s="16"/>
      <c r="AD135" s="16"/>
      <c r="AE135" s="16"/>
      <c r="AF135" s="17"/>
      <c r="AJ135" s="17"/>
      <c r="AK135" s="61"/>
      <c r="AL135" s="16"/>
      <c r="AM135" s="16"/>
      <c r="AN135" s="16"/>
      <c r="AO135" s="16"/>
      <c r="AP135" s="16"/>
      <c r="AQ135" s="17"/>
      <c r="AU135" s="17"/>
      <c r="AV135" s="61"/>
      <c r="AW135" s="16"/>
      <c r="AX135" s="16"/>
      <c r="AY135" s="16"/>
      <c r="AZ135" s="16"/>
      <c r="BA135" s="16"/>
      <c r="BB135" s="17"/>
      <c r="BF135" s="17"/>
      <c r="BG135" s="61"/>
      <c r="BH135" s="16"/>
      <c r="BI135" s="16" t="s">
        <v>20</v>
      </c>
      <c r="BJ135" s="16" t="s">
        <v>20</v>
      </c>
      <c r="BK135" s="16"/>
      <c r="BL135" s="16"/>
      <c r="BM135" s="17"/>
      <c r="BQ135" s="17"/>
      <c r="BR135" s="61"/>
      <c r="BS135" s="16"/>
      <c r="BT135" s="16" t="s">
        <v>20</v>
      </c>
      <c r="BU135" s="16" t="s">
        <v>20</v>
      </c>
      <c r="BV135" s="16"/>
      <c r="BW135" s="16"/>
      <c r="BX135" s="17"/>
      <c r="CB135" s="17"/>
      <c r="CC135" s="61"/>
      <c r="CD135" s="16"/>
      <c r="CE135" s="16" t="s">
        <v>20</v>
      </c>
      <c r="CF135" s="16" t="s">
        <v>20</v>
      </c>
      <c r="CG135" s="16"/>
      <c r="CH135" s="16"/>
      <c r="CI135" s="17"/>
      <c r="CM135" s="17"/>
      <c r="CN135" s="61"/>
      <c r="CO135" s="16"/>
      <c r="CP135" s="16" t="s">
        <v>20</v>
      </c>
      <c r="CQ135" s="16" t="s">
        <v>20</v>
      </c>
      <c r="CR135" s="16"/>
      <c r="CS135" s="16"/>
      <c r="CT135" s="17"/>
      <c r="CX135" s="17"/>
      <c r="CY135" s="60"/>
      <c r="CZ135" s="16"/>
      <c r="DA135" s="16" t="s">
        <v>20</v>
      </c>
      <c r="DB135" s="16" t="s">
        <v>20</v>
      </c>
      <c r="DC135" s="16"/>
      <c r="DD135" s="16"/>
      <c r="DE135" s="17"/>
      <c r="DI135" s="17"/>
      <c r="DJ135" s="60"/>
      <c r="DK135" s="16"/>
      <c r="DL135" s="16" t="s">
        <v>20</v>
      </c>
      <c r="DM135" s="16" t="s">
        <v>20</v>
      </c>
      <c r="DN135" s="16"/>
      <c r="DO135" s="16"/>
      <c r="DP135" s="17"/>
      <c r="DT135" s="17"/>
      <c r="DU135" s="60"/>
      <c r="DV135" s="16"/>
      <c r="DW135" s="16" t="s">
        <v>20</v>
      </c>
      <c r="DX135" s="16" t="s">
        <v>20</v>
      </c>
      <c r="DY135" s="16"/>
      <c r="DZ135" s="16"/>
      <c r="EA135" s="17"/>
      <c r="EE135" s="17"/>
      <c r="EF135" s="60"/>
      <c r="EG135" s="16"/>
      <c r="EH135" s="16" t="s">
        <v>20</v>
      </c>
      <c r="EI135" s="16" t="s">
        <v>20</v>
      </c>
      <c r="EJ135" s="16"/>
      <c r="EK135" s="16"/>
      <c r="EL135" s="17"/>
      <c r="EP135" s="17"/>
      <c r="EQ135" s="60"/>
      <c r="ER135" s="16"/>
      <c r="ES135" s="16" t="s">
        <v>20</v>
      </c>
      <c r="ET135" s="16" t="s">
        <v>20</v>
      </c>
      <c r="EU135" s="16"/>
      <c r="EV135" s="16"/>
      <c r="EW135" s="17"/>
      <c r="FA135" s="17"/>
      <c r="FB135" s="60"/>
      <c r="FC135" s="16"/>
      <c r="FD135" s="16" t="s">
        <v>20</v>
      </c>
      <c r="FE135" s="16" t="s">
        <v>20</v>
      </c>
      <c r="FF135" s="16"/>
      <c r="FG135" s="16"/>
      <c r="FH135" s="17"/>
      <c r="FL135" s="17"/>
      <c r="FM135" s="60"/>
      <c r="FN135" s="16"/>
      <c r="FO135" s="16" t="s">
        <v>20</v>
      </c>
      <c r="FP135" s="16" t="s">
        <v>20</v>
      </c>
      <c r="FQ135" s="16"/>
      <c r="FR135" s="16"/>
      <c r="FS135" s="17"/>
      <c r="FW135" s="17"/>
      <c r="FX135" s="60"/>
      <c r="FY135" s="16"/>
      <c r="FZ135" s="16" t="s">
        <v>20</v>
      </c>
      <c r="GA135" s="16" t="s">
        <v>20</v>
      </c>
      <c r="GB135" s="16"/>
      <c r="GC135" s="16"/>
      <c r="GD135" s="17"/>
      <c r="GH135" s="17"/>
      <c r="GI135" s="60"/>
      <c r="GJ135" s="16"/>
      <c r="GK135" s="16" t="s">
        <v>20</v>
      </c>
      <c r="GL135" s="16" t="s">
        <v>20</v>
      </c>
      <c r="GM135" s="16"/>
      <c r="GN135" s="16"/>
      <c r="GO135" s="17"/>
      <c r="GS135" s="17"/>
      <c r="GT135" s="60"/>
      <c r="GU135" s="16"/>
      <c r="GV135" s="16" t="s">
        <v>20</v>
      </c>
      <c r="GW135" s="16" t="s">
        <v>20</v>
      </c>
      <c r="GX135" s="16"/>
      <c r="GY135" s="16"/>
      <c r="GZ135" s="17"/>
      <c r="HD135" s="17"/>
      <c r="HE135" s="60"/>
      <c r="HF135" s="16"/>
      <c r="HG135" s="16" t="s">
        <v>20</v>
      </c>
      <c r="HH135" s="16" t="s">
        <v>20</v>
      </c>
      <c r="HI135" s="16"/>
      <c r="HJ135" s="16"/>
      <c r="HK135" s="17"/>
      <c r="HO135" s="17"/>
      <c r="HP135" s="60"/>
      <c r="HQ135" s="16"/>
      <c r="HR135" s="16" t="s">
        <v>20</v>
      </c>
      <c r="HS135" s="16" t="s">
        <v>20</v>
      </c>
      <c r="HT135" s="16"/>
      <c r="HU135" s="16"/>
      <c r="HV135" s="17"/>
      <c r="HZ135" s="17"/>
      <c r="IA135" s="60"/>
      <c r="IB135" s="16"/>
      <c r="IC135" s="16" t="s">
        <v>20</v>
      </c>
      <c r="ID135" s="16" t="s">
        <v>20</v>
      </c>
      <c r="IE135" s="16"/>
      <c r="IF135" s="16"/>
      <c r="IG135" s="17"/>
      <c r="IK135" s="17"/>
      <c r="IL135" s="60"/>
      <c r="IM135" s="16"/>
      <c r="IN135" s="16" t="s">
        <v>20</v>
      </c>
      <c r="IO135" s="16" t="s">
        <v>20</v>
      </c>
      <c r="IP135" s="16"/>
      <c r="IQ135" s="16"/>
      <c r="IR135" s="17"/>
      <c r="IV135" s="17"/>
      <c r="IW135" s="60"/>
      <c r="IX135" s="16"/>
      <c r="IY135" s="16" t="s">
        <v>20</v>
      </c>
      <c r="IZ135" s="16" t="s">
        <v>20</v>
      </c>
      <c r="JA135" s="16"/>
      <c r="JB135" s="16"/>
      <c r="JC135" s="17"/>
      <c r="JG135" s="17"/>
      <c r="JH135" s="60"/>
      <c r="JI135" s="16"/>
      <c r="JJ135" s="16" t="s">
        <v>20</v>
      </c>
      <c r="JK135" s="16" t="s">
        <v>20</v>
      </c>
      <c r="JL135" s="16"/>
      <c r="JM135" s="16"/>
      <c r="JN135" s="17"/>
      <c r="JR135" s="17"/>
      <c r="JS135" s="60"/>
      <c r="JT135" s="16"/>
      <c r="JU135" s="16" t="s">
        <v>20</v>
      </c>
      <c r="JV135" s="16" t="s">
        <v>20</v>
      </c>
      <c r="JW135" s="16"/>
      <c r="JX135" s="16"/>
      <c r="JY135" s="17"/>
      <c r="KC135" s="17"/>
      <c r="KD135" s="60"/>
      <c r="KE135" s="16"/>
      <c r="KF135" s="16" t="s">
        <v>20</v>
      </c>
      <c r="KG135" s="16" t="s">
        <v>20</v>
      </c>
      <c r="KH135" s="16"/>
      <c r="KI135" s="16"/>
      <c r="KJ135" s="17"/>
      <c r="KN135" s="17"/>
      <c r="KO135" s="60"/>
      <c r="KP135" s="16"/>
      <c r="KQ135" s="16" t="s">
        <v>20</v>
      </c>
      <c r="KR135" s="16" t="s">
        <v>20</v>
      </c>
      <c r="KS135" s="16"/>
      <c r="KT135" s="16"/>
      <c r="KU135" s="17"/>
      <c r="KY135" s="17"/>
      <c r="KZ135" s="60"/>
      <c r="LA135" s="16"/>
      <c r="LB135" s="16" t="s">
        <v>20</v>
      </c>
      <c r="LC135" s="16" t="s">
        <v>20</v>
      </c>
      <c r="LD135" s="16"/>
      <c r="LE135" s="16"/>
      <c r="LF135" s="17"/>
      <c r="LJ135" s="17"/>
      <c r="LK135" s="60"/>
      <c r="LL135" s="16"/>
      <c r="LM135" s="16" t="s">
        <v>20</v>
      </c>
      <c r="LN135" s="16" t="s">
        <v>20</v>
      </c>
      <c r="LO135" s="16"/>
      <c r="LP135" s="16"/>
      <c r="LQ135" s="17"/>
    </row>
    <row r="136">
      <c r="C136" s="31"/>
      <c r="D136" s="61"/>
      <c r="E136" s="16"/>
      <c r="F136" s="16" t="s">
        <v>20</v>
      </c>
      <c r="G136" s="21" t="s">
        <v>20</v>
      </c>
      <c r="H136" s="16"/>
      <c r="I136" s="16"/>
      <c r="J136" s="17"/>
      <c r="N136" s="17"/>
      <c r="O136" s="61"/>
      <c r="P136" s="16"/>
      <c r="Q136" s="16" t="s">
        <v>20</v>
      </c>
      <c r="R136" s="16"/>
      <c r="S136" s="16"/>
      <c r="T136" s="16"/>
      <c r="U136" s="17"/>
      <c r="Y136" s="17"/>
      <c r="Z136" s="61"/>
      <c r="AA136" s="16"/>
      <c r="AB136" s="16"/>
      <c r="AC136" s="16"/>
      <c r="AD136" s="16"/>
      <c r="AE136" s="16"/>
      <c r="AF136" s="17"/>
      <c r="AJ136" s="17"/>
      <c r="AK136" s="61"/>
      <c r="AL136" s="16"/>
      <c r="AM136" s="16"/>
      <c r="AN136" s="16"/>
      <c r="AO136" s="16"/>
      <c r="AP136" s="16"/>
      <c r="AQ136" s="17"/>
      <c r="AU136" s="17"/>
      <c r="AV136" s="61"/>
      <c r="AW136" s="16"/>
      <c r="AX136" s="16"/>
      <c r="AY136" s="16"/>
      <c r="AZ136" s="16"/>
      <c r="BA136" s="16"/>
      <c r="BB136" s="17"/>
      <c r="BF136" s="17"/>
      <c r="BG136" s="61"/>
      <c r="BH136" s="16"/>
      <c r="BI136" s="16" t="s">
        <v>20</v>
      </c>
      <c r="BJ136" s="16" t="s">
        <v>20</v>
      </c>
      <c r="BK136" s="16"/>
      <c r="BL136" s="16"/>
      <c r="BM136" s="17"/>
      <c r="BQ136" s="17"/>
      <c r="BR136" s="61"/>
      <c r="BS136" s="16"/>
      <c r="BT136" s="16" t="s">
        <v>20</v>
      </c>
      <c r="BU136" s="16" t="s">
        <v>20</v>
      </c>
      <c r="BV136" s="16"/>
      <c r="BW136" s="16"/>
      <c r="BX136" s="17"/>
      <c r="CB136" s="17"/>
      <c r="CC136" s="61"/>
      <c r="CD136" s="16"/>
      <c r="CE136" s="16" t="s">
        <v>20</v>
      </c>
      <c r="CF136" s="16" t="s">
        <v>20</v>
      </c>
      <c r="CG136" s="16"/>
      <c r="CH136" s="16"/>
      <c r="CI136" s="17"/>
      <c r="CM136" s="17"/>
      <c r="CN136" s="61"/>
      <c r="CO136" s="16"/>
      <c r="CP136" s="16" t="s">
        <v>20</v>
      </c>
      <c r="CQ136" s="16" t="s">
        <v>20</v>
      </c>
      <c r="CR136" s="16"/>
      <c r="CS136" s="16"/>
      <c r="CT136" s="17"/>
      <c r="CX136" s="17"/>
      <c r="CY136" s="60"/>
      <c r="CZ136" s="16"/>
      <c r="DA136" s="16" t="s">
        <v>20</v>
      </c>
      <c r="DB136" s="16" t="s">
        <v>20</v>
      </c>
      <c r="DC136" s="16"/>
      <c r="DD136" s="16"/>
      <c r="DE136" s="17"/>
      <c r="DI136" s="17"/>
      <c r="DJ136" s="60"/>
      <c r="DK136" s="16"/>
      <c r="DL136" s="16" t="s">
        <v>20</v>
      </c>
      <c r="DM136" s="16" t="s">
        <v>20</v>
      </c>
      <c r="DN136" s="16"/>
      <c r="DO136" s="16"/>
      <c r="DP136" s="17"/>
      <c r="DT136" s="17"/>
      <c r="DU136" s="60"/>
      <c r="DV136" s="16"/>
      <c r="DW136" s="16" t="s">
        <v>20</v>
      </c>
      <c r="DX136" s="16" t="s">
        <v>20</v>
      </c>
      <c r="DY136" s="16"/>
      <c r="DZ136" s="16"/>
      <c r="EA136" s="17"/>
      <c r="EE136" s="17"/>
      <c r="EF136" s="60"/>
      <c r="EG136" s="16"/>
      <c r="EH136" s="16" t="s">
        <v>20</v>
      </c>
      <c r="EI136" s="16" t="s">
        <v>20</v>
      </c>
      <c r="EJ136" s="16"/>
      <c r="EK136" s="16"/>
      <c r="EL136" s="17"/>
      <c r="EP136" s="17"/>
      <c r="EQ136" s="60"/>
      <c r="ER136" s="16"/>
      <c r="ES136" s="16" t="s">
        <v>20</v>
      </c>
      <c r="ET136" s="16" t="s">
        <v>20</v>
      </c>
      <c r="EU136" s="16"/>
      <c r="EV136" s="16"/>
      <c r="EW136" s="17"/>
      <c r="FA136" s="17"/>
      <c r="FB136" s="60"/>
      <c r="FC136" s="16"/>
      <c r="FD136" s="16" t="s">
        <v>20</v>
      </c>
      <c r="FE136" s="16" t="s">
        <v>20</v>
      </c>
      <c r="FF136" s="16"/>
      <c r="FG136" s="16"/>
      <c r="FH136" s="17"/>
      <c r="FL136" s="17"/>
      <c r="FM136" s="60"/>
      <c r="FN136" s="16"/>
      <c r="FO136" s="16" t="s">
        <v>20</v>
      </c>
      <c r="FP136" s="16" t="s">
        <v>20</v>
      </c>
      <c r="FQ136" s="16"/>
      <c r="FR136" s="16"/>
      <c r="FS136" s="17"/>
      <c r="FW136" s="17"/>
      <c r="FX136" s="60"/>
      <c r="FY136" s="16"/>
      <c r="FZ136" s="16" t="s">
        <v>20</v>
      </c>
      <c r="GA136" s="16" t="s">
        <v>20</v>
      </c>
      <c r="GB136" s="16"/>
      <c r="GC136" s="16"/>
      <c r="GD136" s="17"/>
      <c r="GH136" s="17"/>
      <c r="GI136" s="60"/>
      <c r="GJ136" s="16"/>
      <c r="GK136" s="16" t="s">
        <v>20</v>
      </c>
      <c r="GL136" s="16" t="s">
        <v>20</v>
      </c>
      <c r="GM136" s="16"/>
      <c r="GN136" s="16"/>
      <c r="GO136" s="17"/>
      <c r="GS136" s="17"/>
      <c r="GT136" s="60"/>
      <c r="GU136" s="16"/>
      <c r="GV136" s="16" t="s">
        <v>20</v>
      </c>
      <c r="GW136" s="16" t="s">
        <v>20</v>
      </c>
      <c r="GX136" s="16"/>
      <c r="GY136" s="16"/>
      <c r="GZ136" s="17"/>
      <c r="HD136" s="17"/>
      <c r="HE136" s="60"/>
      <c r="HF136" s="16"/>
      <c r="HG136" s="16" t="s">
        <v>20</v>
      </c>
      <c r="HH136" s="16" t="s">
        <v>20</v>
      </c>
      <c r="HI136" s="16"/>
      <c r="HJ136" s="16"/>
      <c r="HK136" s="17"/>
      <c r="HO136" s="17"/>
      <c r="HP136" s="60"/>
      <c r="HQ136" s="16"/>
      <c r="HR136" s="16" t="s">
        <v>20</v>
      </c>
      <c r="HS136" s="16" t="s">
        <v>20</v>
      </c>
      <c r="HT136" s="16"/>
      <c r="HU136" s="16"/>
      <c r="HV136" s="17"/>
      <c r="HZ136" s="17"/>
      <c r="IA136" s="60"/>
      <c r="IB136" s="16"/>
      <c r="IC136" s="16" t="s">
        <v>20</v>
      </c>
      <c r="ID136" s="16" t="s">
        <v>20</v>
      </c>
      <c r="IE136" s="16"/>
      <c r="IF136" s="16"/>
      <c r="IG136" s="17"/>
      <c r="IK136" s="17"/>
      <c r="IL136" s="60"/>
      <c r="IM136" s="16"/>
      <c r="IN136" s="16" t="s">
        <v>20</v>
      </c>
      <c r="IO136" s="16" t="s">
        <v>20</v>
      </c>
      <c r="IP136" s="16"/>
      <c r="IQ136" s="16"/>
      <c r="IR136" s="17"/>
      <c r="IV136" s="17"/>
      <c r="IW136" s="60"/>
      <c r="IX136" s="16"/>
      <c r="IY136" s="16" t="s">
        <v>20</v>
      </c>
      <c r="IZ136" s="16" t="s">
        <v>20</v>
      </c>
      <c r="JA136" s="16"/>
      <c r="JB136" s="16"/>
      <c r="JC136" s="17"/>
      <c r="JG136" s="17"/>
      <c r="JH136" s="60"/>
      <c r="JI136" s="16"/>
      <c r="JJ136" s="16" t="s">
        <v>20</v>
      </c>
      <c r="JK136" s="16" t="s">
        <v>20</v>
      </c>
      <c r="JL136" s="16"/>
      <c r="JM136" s="16"/>
      <c r="JN136" s="17"/>
      <c r="JR136" s="17"/>
      <c r="JS136" s="60"/>
      <c r="JT136" s="16"/>
      <c r="JU136" s="16" t="s">
        <v>20</v>
      </c>
      <c r="JV136" s="16" t="s">
        <v>20</v>
      </c>
      <c r="JW136" s="16"/>
      <c r="JX136" s="16"/>
      <c r="JY136" s="17"/>
      <c r="KC136" s="17"/>
      <c r="KD136" s="60"/>
      <c r="KE136" s="16"/>
      <c r="KF136" s="16" t="s">
        <v>20</v>
      </c>
      <c r="KG136" s="16" t="s">
        <v>20</v>
      </c>
      <c r="KH136" s="16"/>
      <c r="KI136" s="16"/>
      <c r="KJ136" s="17"/>
      <c r="KN136" s="17"/>
      <c r="KO136" s="60"/>
      <c r="KP136" s="16"/>
      <c r="KQ136" s="16" t="s">
        <v>20</v>
      </c>
      <c r="KR136" s="16" t="s">
        <v>20</v>
      </c>
      <c r="KS136" s="16"/>
      <c r="KT136" s="16"/>
      <c r="KU136" s="17"/>
      <c r="KY136" s="17"/>
      <c r="KZ136" s="60"/>
      <c r="LA136" s="16"/>
      <c r="LB136" s="16" t="s">
        <v>20</v>
      </c>
      <c r="LC136" s="16" t="s">
        <v>20</v>
      </c>
      <c r="LD136" s="16"/>
      <c r="LE136" s="16"/>
      <c r="LF136" s="17"/>
      <c r="LJ136" s="17"/>
      <c r="LK136" s="60"/>
      <c r="LL136" s="16"/>
      <c r="LM136" s="16" t="s">
        <v>20</v>
      </c>
      <c r="LN136" s="16" t="s">
        <v>20</v>
      </c>
      <c r="LO136" s="16"/>
      <c r="LP136" s="16"/>
      <c r="LQ136" s="17"/>
    </row>
    <row r="137">
      <c r="C137" s="31"/>
      <c r="D137" s="61"/>
      <c r="E137" s="16"/>
      <c r="F137" s="16" t="s">
        <v>20</v>
      </c>
      <c r="G137" s="21" t="s">
        <v>20</v>
      </c>
      <c r="H137" s="16"/>
      <c r="I137" s="16"/>
      <c r="J137" s="17"/>
      <c r="N137" s="17"/>
      <c r="O137" s="61"/>
      <c r="P137" s="16"/>
      <c r="Q137" s="16" t="s">
        <v>20</v>
      </c>
      <c r="R137" s="16"/>
      <c r="S137" s="16"/>
      <c r="T137" s="16"/>
      <c r="U137" s="17"/>
      <c r="Y137" s="17"/>
      <c r="Z137" s="61"/>
      <c r="AA137" s="16"/>
      <c r="AB137" s="16"/>
      <c r="AC137" s="16"/>
      <c r="AD137" s="16"/>
      <c r="AE137" s="16"/>
      <c r="AF137" s="17"/>
      <c r="AJ137" s="17"/>
      <c r="AK137" s="61"/>
      <c r="AL137" s="16"/>
      <c r="AM137" s="16"/>
      <c r="AN137" s="16"/>
      <c r="AO137" s="16"/>
      <c r="AP137" s="16"/>
      <c r="AQ137" s="17"/>
      <c r="AU137" s="17"/>
      <c r="AV137" s="61"/>
      <c r="AW137" s="16"/>
      <c r="AX137" s="16"/>
      <c r="AY137" s="16"/>
      <c r="AZ137" s="16"/>
      <c r="BA137" s="16"/>
      <c r="BB137" s="17"/>
      <c r="BF137" s="17"/>
      <c r="BG137" s="61"/>
      <c r="BH137" s="16"/>
      <c r="BI137" s="16" t="s">
        <v>20</v>
      </c>
      <c r="BJ137" s="16" t="s">
        <v>20</v>
      </c>
      <c r="BK137" s="16"/>
      <c r="BL137" s="16"/>
      <c r="BM137" s="17"/>
      <c r="BQ137" s="17"/>
      <c r="BR137" s="61"/>
      <c r="BS137" s="16"/>
      <c r="BT137" s="16" t="s">
        <v>20</v>
      </c>
      <c r="BU137" s="16" t="s">
        <v>20</v>
      </c>
      <c r="BV137" s="16"/>
      <c r="BW137" s="16"/>
      <c r="BX137" s="17"/>
      <c r="CB137" s="17"/>
      <c r="CC137" s="61"/>
      <c r="CD137" s="16"/>
      <c r="CE137" s="16" t="s">
        <v>20</v>
      </c>
      <c r="CF137" s="16" t="s">
        <v>20</v>
      </c>
      <c r="CG137" s="16"/>
      <c r="CH137" s="16"/>
      <c r="CI137" s="17"/>
      <c r="CM137" s="17"/>
      <c r="CN137" s="61"/>
      <c r="CO137" s="16"/>
      <c r="CP137" s="16" t="s">
        <v>20</v>
      </c>
      <c r="CQ137" s="16" t="s">
        <v>20</v>
      </c>
      <c r="CR137" s="16"/>
      <c r="CS137" s="16"/>
      <c r="CT137" s="17"/>
      <c r="CX137" s="17"/>
      <c r="CY137" s="60"/>
      <c r="CZ137" s="16"/>
      <c r="DA137" s="16" t="s">
        <v>20</v>
      </c>
      <c r="DB137" s="16" t="s">
        <v>20</v>
      </c>
      <c r="DC137" s="16"/>
      <c r="DD137" s="16"/>
      <c r="DE137" s="17"/>
      <c r="DI137" s="17"/>
      <c r="DJ137" s="60"/>
      <c r="DK137" s="16"/>
      <c r="DL137" s="16" t="s">
        <v>20</v>
      </c>
      <c r="DM137" s="16" t="s">
        <v>20</v>
      </c>
      <c r="DN137" s="16"/>
      <c r="DO137" s="16"/>
      <c r="DP137" s="17"/>
      <c r="DT137" s="17"/>
      <c r="DU137" s="60"/>
      <c r="DV137" s="16"/>
      <c r="DW137" s="16" t="s">
        <v>20</v>
      </c>
      <c r="DX137" s="16" t="s">
        <v>20</v>
      </c>
      <c r="DY137" s="16"/>
      <c r="DZ137" s="16"/>
      <c r="EA137" s="17"/>
      <c r="EE137" s="17"/>
      <c r="EF137" s="60"/>
      <c r="EG137" s="16"/>
      <c r="EH137" s="16" t="s">
        <v>20</v>
      </c>
      <c r="EI137" s="16" t="s">
        <v>20</v>
      </c>
      <c r="EJ137" s="16"/>
      <c r="EK137" s="16"/>
      <c r="EL137" s="17"/>
      <c r="EP137" s="17"/>
      <c r="EQ137" s="60"/>
      <c r="ER137" s="16"/>
      <c r="ES137" s="16" t="s">
        <v>20</v>
      </c>
      <c r="ET137" s="16" t="s">
        <v>20</v>
      </c>
      <c r="EU137" s="16"/>
      <c r="EV137" s="16"/>
      <c r="EW137" s="17"/>
      <c r="FA137" s="17"/>
      <c r="FB137" s="60"/>
      <c r="FC137" s="16"/>
      <c r="FD137" s="16" t="s">
        <v>20</v>
      </c>
      <c r="FE137" s="16" t="s">
        <v>20</v>
      </c>
      <c r="FF137" s="16"/>
      <c r="FG137" s="16"/>
      <c r="FH137" s="17"/>
      <c r="FL137" s="17"/>
      <c r="FM137" s="60"/>
      <c r="FN137" s="16"/>
      <c r="FO137" s="16" t="s">
        <v>20</v>
      </c>
      <c r="FP137" s="16" t="s">
        <v>20</v>
      </c>
      <c r="FQ137" s="16"/>
      <c r="FR137" s="16"/>
      <c r="FS137" s="17"/>
      <c r="FW137" s="17"/>
      <c r="FX137" s="60"/>
      <c r="FY137" s="16"/>
      <c r="FZ137" s="16" t="s">
        <v>20</v>
      </c>
      <c r="GA137" s="16" t="s">
        <v>20</v>
      </c>
      <c r="GB137" s="16"/>
      <c r="GC137" s="16"/>
      <c r="GD137" s="17"/>
      <c r="GH137" s="17"/>
      <c r="GI137" s="60"/>
      <c r="GJ137" s="16"/>
      <c r="GK137" s="16" t="s">
        <v>20</v>
      </c>
      <c r="GL137" s="16" t="s">
        <v>20</v>
      </c>
      <c r="GM137" s="16"/>
      <c r="GN137" s="16"/>
      <c r="GO137" s="17"/>
      <c r="GS137" s="17"/>
      <c r="GT137" s="60"/>
      <c r="GU137" s="16"/>
      <c r="GV137" s="16" t="s">
        <v>20</v>
      </c>
      <c r="GW137" s="16" t="s">
        <v>20</v>
      </c>
      <c r="GX137" s="16"/>
      <c r="GY137" s="16"/>
      <c r="GZ137" s="17"/>
      <c r="HD137" s="17"/>
      <c r="HE137" s="60"/>
      <c r="HF137" s="16"/>
      <c r="HG137" s="16" t="s">
        <v>20</v>
      </c>
      <c r="HH137" s="16" t="s">
        <v>20</v>
      </c>
      <c r="HI137" s="16"/>
      <c r="HJ137" s="16"/>
      <c r="HK137" s="17"/>
      <c r="HO137" s="17"/>
      <c r="HP137" s="60"/>
      <c r="HQ137" s="16"/>
      <c r="HR137" s="16" t="s">
        <v>20</v>
      </c>
      <c r="HS137" s="16" t="s">
        <v>20</v>
      </c>
      <c r="HT137" s="16"/>
      <c r="HU137" s="16"/>
      <c r="HV137" s="17"/>
      <c r="HZ137" s="17"/>
      <c r="IA137" s="60"/>
      <c r="IB137" s="16"/>
      <c r="IC137" s="16" t="s">
        <v>20</v>
      </c>
      <c r="ID137" s="16" t="s">
        <v>20</v>
      </c>
      <c r="IE137" s="16"/>
      <c r="IF137" s="16"/>
      <c r="IG137" s="17"/>
      <c r="IK137" s="17"/>
      <c r="IL137" s="60"/>
      <c r="IM137" s="16"/>
      <c r="IN137" s="16" t="s">
        <v>20</v>
      </c>
      <c r="IO137" s="16" t="s">
        <v>20</v>
      </c>
      <c r="IP137" s="16"/>
      <c r="IQ137" s="16"/>
      <c r="IR137" s="17"/>
      <c r="IV137" s="17"/>
      <c r="IW137" s="60"/>
      <c r="IX137" s="16"/>
      <c r="IY137" s="16" t="s">
        <v>20</v>
      </c>
      <c r="IZ137" s="16" t="s">
        <v>20</v>
      </c>
      <c r="JA137" s="16"/>
      <c r="JB137" s="16"/>
      <c r="JC137" s="17"/>
      <c r="JG137" s="17"/>
      <c r="JH137" s="60"/>
      <c r="JI137" s="16"/>
      <c r="JJ137" s="16" t="s">
        <v>20</v>
      </c>
      <c r="JK137" s="16" t="s">
        <v>20</v>
      </c>
      <c r="JL137" s="16"/>
      <c r="JM137" s="16"/>
      <c r="JN137" s="17"/>
      <c r="JR137" s="17"/>
      <c r="JS137" s="60"/>
      <c r="JT137" s="16"/>
      <c r="JU137" s="16" t="s">
        <v>20</v>
      </c>
      <c r="JV137" s="16" t="s">
        <v>20</v>
      </c>
      <c r="JW137" s="16"/>
      <c r="JX137" s="16"/>
      <c r="JY137" s="17"/>
      <c r="KC137" s="17"/>
      <c r="KD137" s="60"/>
      <c r="KE137" s="16"/>
      <c r="KF137" s="16" t="s">
        <v>20</v>
      </c>
      <c r="KG137" s="16" t="s">
        <v>20</v>
      </c>
      <c r="KH137" s="16"/>
      <c r="KI137" s="16"/>
      <c r="KJ137" s="17"/>
      <c r="KN137" s="17"/>
      <c r="KO137" s="60"/>
      <c r="KP137" s="16"/>
      <c r="KQ137" s="16" t="s">
        <v>20</v>
      </c>
      <c r="KR137" s="16" t="s">
        <v>20</v>
      </c>
      <c r="KS137" s="16"/>
      <c r="KT137" s="16"/>
      <c r="KU137" s="17"/>
      <c r="KY137" s="17"/>
      <c r="KZ137" s="60"/>
      <c r="LA137" s="16"/>
      <c r="LB137" s="16" t="s">
        <v>20</v>
      </c>
      <c r="LC137" s="16" t="s">
        <v>20</v>
      </c>
      <c r="LD137" s="16"/>
      <c r="LE137" s="16"/>
      <c r="LF137" s="17"/>
      <c r="LJ137" s="17"/>
      <c r="LK137" s="60"/>
      <c r="LL137" s="16"/>
      <c r="LM137" s="16" t="s">
        <v>20</v>
      </c>
      <c r="LN137" s="16" t="s">
        <v>20</v>
      </c>
      <c r="LO137" s="16"/>
      <c r="LP137" s="16"/>
      <c r="LQ137" s="17"/>
    </row>
    <row r="138">
      <c r="C138" s="31"/>
      <c r="D138" s="61"/>
      <c r="E138" s="16"/>
      <c r="F138" s="16" t="s">
        <v>20</v>
      </c>
      <c r="G138" s="21" t="s">
        <v>20</v>
      </c>
      <c r="H138" s="16"/>
      <c r="I138" s="16"/>
      <c r="J138" s="17"/>
      <c r="N138" s="17"/>
      <c r="O138" s="61"/>
      <c r="P138" s="16"/>
      <c r="Q138" s="16" t="s">
        <v>20</v>
      </c>
      <c r="R138" s="16"/>
      <c r="S138" s="16"/>
      <c r="T138" s="16"/>
      <c r="U138" s="17"/>
      <c r="Y138" s="17"/>
      <c r="Z138" s="61"/>
      <c r="AA138" s="16"/>
      <c r="AB138" s="16"/>
      <c r="AC138" s="16"/>
      <c r="AD138" s="16"/>
      <c r="AE138" s="16"/>
      <c r="AF138" s="17"/>
      <c r="AJ138" s="17"/>
      <c r="AK138" s="61"/>
      <c r="AL138" s="16"/>
      <c r="AM138" s="16"/>
      <c r="AN138" s="16"/>
      <c r="AO138" s="16"/>
      <c r="AP138" s="16"/>
      <c r="AQ138" s="17"/>
      <c r="AU138" s="17"/>
      <c r="AV138" s="61"/>
      <c r="AW138" s="16"/>
      <c r="AX138" s="16"/>
      <c r="AY138" s="16"/>
      <c r="AZ138" s="16"/>
      <c r="BA138" s="16"/>
      <c r="BB138" s="17"/>
      <c r="BF138" s="17"/>
      <c r="BG138" s="61"/>
      <c r="BH138" s="16"/>
      <c r="BI138" s="16" t="s">
        <v>20</v>
      </c>
      <c r="BJ138" s="16" t="s">
        <v>20</v>
      </c>
      <c r="BK138" s="16"/>
      <c r="BL138" s="16"/>
      <c r="BM138" s="17"/>
      <c r="BQ138" s="17"/>
      <c r="BR138" s="61"/>
      <c r="BS138" s="16"/>
      <c r="BT138" s="16" t="s">
        <v>20</v>
      </c>
      <c r="BU138" s="16" t="s">
        <v>20</v>
      </c>
      <c r="BV138" s="16"/>
      <c r="BW138" s="16"/>
      <c r="BX138" s="17"/>
      <c r="CB138" s="17"/>
      <c r="CC138" s="61"/>
      <c r="CD138" s="16"/>
      <c r="CE138" s="16" t="s">
        <v>20</v>
      </c>
      <c r="CF138" s="16" t="s">
        <v>20</v>
      </c>
      <c r="CG138" s="16"/>
      <c r="CH138" s="16"/>
      <c r="CI138" s="17"/>
      <c r="CM138" s="17"/>
      <c r="CN138" s="61"/>
      <c r="CO138" s="16"/>
      <c r="CP138" s="16" t="s">
        <v>20</v>
      </c>
      <c r="CQ138" s="16" t="s">
        <v>20</v>
      </c>
      <c r="CR138" s="16"/>
      <c r="CS138" s="16"/>
      <c r="CT138" s="17"/>
      <c r="CX138" s="17"/>
      <c r="CY138" s="60"/>
      <c r="CZ138" s="16"/>
      <c r="DA138" s="16" t="s">
        <v>20</v>
      </c>
      <c r="DB138" s="16" t="s">
        <v>20</v>
      </c>
      <c r="DC138" s="16"/>
      <c r="DD138" s="16"/>
      <c r="DE138" s="17"/>
      <c r="DI138" s="17"/>
      <c r="DJ138" s="60"/>
      <c r="DK138" s="16"/>
      <c r="DL138" s="16" t="s">
        <v>20</v>
      </c>
      <c r="DM138" s="16" t="s">
        <v>20</v>
      </c>
      <c r="DN138" s="16"/>
      <c r="DO138" s="16"/>
      <c r="DP138" s="17"/>
      <c r="DT138" s="17"/>
      <c r="DU138" s="60"/>
      <c r="DV138" s="16"/>
      <c r="DW138" s="16" t="s">
        <v>20</v>
      </c>
      <c r="DX138" s="16" t="s">
        <v>20</v>
      </c>
      <c r="DY138" s="16"/>
      <c r="DZ138" s="16"/>
      <c r="EA138" s="17"/>
      <c r="EE138" s="17"/>
      <c r="EF138" s="60"/>
      <c r="EG138" s="16"/>
      <c r="EH138" s="16" t="s">
        <v>20</v>
      </c>
      <c r="EI138" s="16" t="s">
        <v>20</v>
      </c>
      <c r="EJ138" s="16"/>
      <c r="EK138" s="16"/>
      <c r="EL138" s="17"/>
      <c r="EP138" s="17"/>
      <c r="EQ138" s="60"/>
      <c r="ER138" s="16"/>
      <c r="ES138" s="16" t="s">
        <v>20</v>
      </c>
      <c r="ET138" s="16" t="s">
        <v>20</v>
      </c>
      <c r="EU138" s="16"/>
      <c r="EV138" s="16"/>
      <c r="EW138" s="17"/>
      <c r="FA138" s="17"/>
      <c r="FB138" s="60"/>
      <c r="FC138" s="16"/>
      <c r="FD138" s="16" t="s">
        <v>20</v>
      </c>
      <c r="FE138" s="16" t="s">
        <v>20</v>
      </c>
      <c r="FF138" s="16"/>
      <c r="FG138" s="16"/>
      <c r="FH138" s="17"/>
      <c r="FL138" s="17"/>
      <c r="FM138" s="60"/>
      <c r="FN138" s="16"/>
      <c r="FO138" s="16" t="s">
        <v>20</v>
      </c>
      <c r="FP138" s="16" t="s">
        <v>20</v>
      </c>
      <c r="FQ138" s="16"/>
      <c r="FR138" s="16"/>
      <c r="FS138" s="17"/>
      <c r="FW138" s="17"/>
      <c r="FX138" s="60"/>
      <c r="FY138" s="16"/>
      <c r="FZ138" s="16" t="s">
        <v>20</v>
      </c>
      <c r="GA138" s="16" t="s">
        <v>20</v>
      </c>
      <c r="GB138" s="16"/>
      <c r="GC138" s="16"/>
      <c r="GD138" s="17"/>
      <c r="GH138" s="17"/>
      <c r="GI138" s="60"/>
      <c r="GJ138" s="16"/>
      <c r="GK138" s="16" t="s">
        <v>20</v>
      </c>
      <c r="GL138" s="16" t="s">
        <v>20</v>
      </c>
      <c r="GM138" s="16"/>
      <c r="GN138" s="16"/>
      <c r="GO138" s="17"/>
      <c r="GS138" s="17"/>
      <c r="GT138" s="60"/>
      <c r="GU138" s="16"/>
      <c r="GV138" s="16" t="s">
        <v>20</v>
      </c>
      <c r="GW138" s="16" t="s">
        <v>20</v>
      </c>
      <c r="GX138" s="16"/>
      <c r="GY138" s="16"/>
      <c r="GZ138" s="17"/>
      <c r="HD138" s="17"/>
      <c r="HE138" s="60"/>
      <c r="HF138" s="16"/>
      <c r="HG138" s="16" t="s">
        <v>20</v>
      </c>
      <c r="HH138" s="16" t="s">
        <v>20</v>
      </c>
      <c r="HI138" s="16"/>
      <c r="HJ138" s="16"/>
      <c r="HK138" s="17"/>
      <c r="HO138" s="17"/>
      <c r="HP138" s="60"/>
      <c r="HQ138" s="16"/>
      <c r="HR138" s="16" t="s">
        <v>20</v>
      </c>
      <c r="HS138" s="16" t="s">
        <v>20</v>
      </c>
      <c r="HT138" s="16"/>
      <c r="HU138" s="16"/>
      <c r="HV138" s="17"/>
      <c r="HZ138" s="17"/>
      <c r="IA138" s="60"/>
      <c r="IB138" s="16"/>
      <c r="IC138" s="16" t="s">
        <v>20</v>
      </c>
      <c r="ID138" s="16" t="s">
        <v>20</v>
      </c>
      <c r="IE138" s="16"/>
      <c r="IF138" s="16"/>
      <c r="IG138" s="17"/>
      <c r="IK138" s="17"/>
      <c r="IL138" s="60"/>
      <c r="IM138" s="16"/>
      <c r="IN138" s="16" t="s">
        <v>20</v>
      </c>
      <c r="IO138" s="16" t="s">
        <v>20</v>
      </c>
      <c r="IP138" s="16"/>
      <c r="IQ138" s="16"/>
      <c r="IR138" s="17"/>
      <c r="IV138" s="17"/>
      <c r="IW138" s="60"/>
      <c r="IX138" s="16"/>
      <c r="IY138" s="16" t="s">
        <v>20</v>
      </c>
      <c r="IZ138" s="16" t="s">
        <v>20</v>
      </c>
      <c r="JA138" s="16"/>
      <c r="JB138" s="16"/>
      <c r="JC138" s="17"/>
      <c r="JG138" s="17"/>
      <c r="JH138" s="60"/>
      <c r="JI138" s="16"/>
      <c r="JJ138" s="16" t="s">
        <v>20</v>
      </c>
      <c r="JK138" s="16" t="s">
        <v>20</v>
      </c>
      <c r="JL138" s="16"/>
      <c r="JM138" s="16"/>
      <c r="JN138" s="17"/>
      <c r="JR138" s="17"/>
      <c r="JS138" s="60"/>
      <c r="JT138" s="16"/>
      <c r="JU138" s="16" t="s">
        <v>20</v>
      </c>
      <c r="JV138" s="16" t="s">
        <v>20</v>
      </c>
      <c r="JW138" s="16"/>
      <c r="JX138" s="16"/>
      <c r="JY138" s="17"/>
      <c r="KC138" s="17"/>
      <c r="KD138" s="60"/>
      <c r="KE138" s="16"/>
      <c r="KF138" s="16" t="s">
        <v>20</v>
      </c>
      <c r="KG138" s="16" t="s">
        <v>20</v>
      </c>
      <c r="KH138" s="16"/>
      <c r="KI138" s="16"/>
      <c r="KJ138" s="17"/>
      <c r="KN138" s="17"/>
      <c r="KO138" s="60"/>
      <c r="KP138" s="16"/>
      <c r="KQ138" s="16" t="s">
        <v>20</v>
      </c>
      <c r="KR138" s="16" t="s">
        <v>20</v>
      </c>
      <c r="KS138" s="16"/>
      <c r="KT138" s="16"/>
      <c r="KU138" s="17"/>
      <c r="KY138" s="17"/>
      <c r="KZ138" s="60"/>
      <c r="LA138" s="16"/>
      <c r="LB138" s="16" t="s">
        <v>20</v>
      </c>
      <c r="LC138" s="16" t="s">
        <v>20</v>
      </c>
      <c r="LD138" s="16"/>
      <c r="LE138" s="16"/>
      <c r="LF138" s="17"/>
      <c r="LJ138" s="17"/>
      <c r="LK138" s="60"/>
      <c r="LL138" s="16"/>
      <c r="LM138" s="16" t="s">
        <v>20</v>
      </c>
      <c r="LN138" s="16" t="s">
        <v>20</v>
      </c>
      <c r="LO138" s="16"/>
      <c r="LP138" s="16"/>
      <c r="LQ138" s="17"/>
    </row>
    <row r="139">
      <c r="C139" s="31"/>
      <c r="D139" s="61"/>
      <c r="E139" s="16"/>
      <c r="F139" s="16" t="s">
        <v>20</v>
      </c>
      <c r="G139" s="21" t="s">
        <v>20</v>
      </c>
      <c r="H139" s="16"/>
      <c r="I139" s="16"/>
      <c r="J139" s="17"/>
      <c r="N139" s="17"/>
      <c r="O139" s="61"/>
      <c r="P139" s="16"/>
      <c r="Q139" s="16" t="s">
        <v>20</v>
      </c>
      <c r="R139" s="16"/>
      <c r="S139" s="16"/>
      <c r="T139" s="16"/>
      <c r="U139" s="17"/>
      <c r="Y139" s="17"/>
      <c r="Z139" s="61"/>
      <c r="AA139" s="16"/>
      <c r="AB139" s="16"/>
      <c r="AC139" s="16"/>
      <c r="AD139" s="16"/>
      <c r="AE139" s="16"/>
      <c r="AF139" s="17"/>
      <c r="AJ139" s="17"/>
      <c r="AK139" s="61"/>
      <c r="AL139" s="16"/>
      <c r="AM139" s="16"/>
      <c r="AN139" s="16"/>
      <c r="AO139" s="16"/>
      <c r="AP139" s="16"/>
      <c r="AQ139" s="17"/>
      <c r="AU139" s="17"/>
      <c r="AV139" s="61"/>
      <c r="AW139" s="16"/>
      <c r="AX139" s="16"/>
      <c r="AY139" s="16"/>
      <c r="AZ139" s="16"/>
      <c r="BA139" s="16"/>
      <c r="BB139" s="17"/>
      <c r="BF139" s="17"/>
      <c r="BG139" s="61"/>
      <c r="BH139" s="16"/>
      <c r="BI139" s="16" t="s">
        <v>20</v>
      </c>
      <c r="BJ139" s="16" t="s">
        <v>20</v>
      </c>
      <c r="BK139" s="16"/>
      <c r="BL139" s="16"/>
      <c r="BM139" s="17"/>
      <c r="BQ139" s="17"/>
      <c r="BR139" s="61"/>
      <c r="BS139" s="16"/>
      <c r="BT139" s="16" t="s">
        <v>20</v>
      </c>
      <c r="BU139" s="16" t="s">
        <v>20</v>
      </c>
      <c r="BV139" s="16"/>
      <c r="BW139" s="16"/>
      <c r="BX139" s="17"/>
      <c r="CB139" s="17"/>
      <c r="CC139" s="61"/>
      <c r="CD139" s="16"/>
      <c r="CE139" s="16" t="s">
        <v>20</v>
      </c>
      <c r="CF139" s="16" t="s">
        <v>20</v>
      </c>
      <c r="CG139" s="16"/>
      <c r="CH139" s="16"/>
      <c r="CI139" s="17"/>
      <c r="CM139" s="17"/>
      <c r="CN139" s="61"/>
      <c r="CO139" s="16"/>
      <c r="CP139" s="16" t="s">
        <v>20</v>
      </c>
      <c r="CQ139" s="16" t="s">
        <v>20</v>
      </c>
      <c r="CR139" s="16"/>
      <c r="CS139" s="16"/>
      <c r="CT139" s="17"/>
      <c r="CX139" s="17"/>
      <c r="CY139" s="60"/>
      <c r="CZ139" s="16"/>
      <c r="DA139" s="16" t="s">
        <v>20</v>
      </c>
      <c r="DB139" s="16" t="s">
        <v>20</v>
      </c>
      <c r="DC139" s="16"/>
      <c r="DD139" s="16"/>
      <c r="DE139" s="17"/>
      <c r="DI139" s="17"/>
      <c r="DJ139" s="60"/>
      <c r="DK139" s="16"/>
      <c r="DL139" s="16" t="s">
        <v>20</v>
      </c>
      <c r="DM139" s="16" t="s">
        <v>20</v>
      </c>
      <c r="DN139" s="16"/>
      <c r="DO139" s="16"/>
      <c r="DP139" s="17"/>
      <c r="DT139" s="17"/>
      <c r="DU139" s="60"/>
      <c r="DV139" s="16"/>
      <c r="DW139" s="16" t="s">
        <v>20</v>
      </c>
      <c r="DX139" s="16" t="s">
        <v>20</v>
      </c>
      <c r="DY139" s="16"/>
      <c r="DZ139" s="16"/>
      <c r="EA139" s="17"/>
      <c r="EE139" s="17"/>
      <c r="EF139" s="60"/>
      <c r="EG139" s="16"/>
      <c r="EH139" s="16" t="s">
        <v>20</v>
      </c>
      <c r="EI139" s="16" t="s">
        <v>20</v>
      </c>
      <c r="EJ139" s="16"/>
      <c r="EK139" s="16"/>
      <c r="EL139" s="17"/>
      <c r="EP139" s="17"/>
      <c r="EQ139" s="60"/>
      <c r="ER139" s="16"/>
      <c r="ES139" s="16" t="s">
        <v>20</v>
      </c>
      <c r="ET139" s="16" t="s">
        <v>20</v>
      </c>
      <c r="EU139" s="16"/>
      <c r="EV139" s="16"/>
      <c r="EW139" s="17"/>
      <c r="FA139" s="17"/>
      <c r="FB139" s="60"/>
      <c r="FC139" s="16"/>
      <c r="FD139" s="16" t="s">
        <v>20</v>
      </c>
      <c r="FE139" s="16" t="s">
        <v>20</v>
      </c>
      <c r="FF139" s="16"/>
      <c r="FG139" s="16"/>
      <c r="FH139" s="17"/>
      <c r="FL139" s="17"/>
      <c r="FM139" s="60"/>
      <c r="FN139" s="16"/>
      <c r="FO139" s="16" t="s">
        <v>20</v>
      </c>
      <c r="FP139" s="16" t="s">
        <v>20</v>
      </c>
      <c r="FQ139" s="16"/>
      <c r="FR139" s="16"/>
      <c r="FS139" s="17"/>
      <c r="FW139" s="17"/>
      <c r="FX139" s="60"/>
      <c r="FY139" s="16"/>
      <c r="FZ139" s="16" t="s">
        <v>20</v>
      </c>
      <c r="GA139" s="16" t="s">
        <v>20</v>
      </c>
      <c r="GB139" s="16"/>
      <c r="GC139" s="16"/>
      <c r="GD139" s="17"/>
      <c r="GH139" s="17"/>
      <c r="GI139" s="60"/>
      <c r="GJ139" s="16"/>
      <c r="GK139" s="16" t="s">
        <v>20</v>
      </c>
      <c r="GL139" s="16" t="s">
        <v>20</v>
      </c>
      <c r="GM139" s="16"/>
      <c r="GN139" s="16"/>
      <c r="GO139" s="17"/>
      <c r="GS139" s="17"/>
      <c r="GT139" s="60"/>
      <c r="GU139" s="16"/>
      <c r="GV139" s="16" t="s">
        <v>20</v>
      </c>
      <c r="GW139" s="16" t="s">
        <v>20</v>
      </c>
      <c r="GX139" s="16"/>
      <c r="GY139" s="16"/>
      <c r="GZ139" s="17"/>
      <c r="HD139" s="17"/>
      <c r="HE139" s="60"/>
      <c r="HF139" s="16"/>
      <c r="HG139" s="16" t="s">
        <v>20</v>
      </c>
      <c r="HH139" s="16" t="s">
        <v>20</v>
      </c>
      <c r="HI139" s="16"/>
      <c r="HJ139" s="16"/>
      <c r="HK139" s="17"/>
      <c r="HO139" s="17"/>
      <c r="HP139" s="60"/>
      <c r="HQ139" s="16"/>
      <c r="HR139" s="16" t="s">
        <v>20</v>
      </c>
      <c r="HS139" s="16" t="s">
        <v>20</v>
      </c>
      <c r="HT139" s="16"/>
      <c r="HU139" s="16"/>
      <c r="HV139" s="17"/>
      <c r="HZ139" s="17"/>
      <c r="IA139" s="60"/>
      <c r="IB139" s="16"/>
      <c r="IC139" s="16" t="s">
        <v>20</v>
      </c>
      <c r="ID139" s="16" t="s">
        <v>20</v>
      </c>
      <c r="IE139" s="16"/>
      <c r="IF139" s="16"/>
      <c r="IG139" s="17"/>
      <c r="IK139" s="17"/>
      <c r="IL139" s="60"/>
      <c r="IM139" s="16"/>
      <c r="IN139" s="16" t="s">
        <v>20</v>
      </c>
      <c r="IO139" s="16" t="s">
        <v>20</v>
      </c>
      <c r="IP139" s="16"/>
      <c r="IQ139" s="16"/>
      <c r="IR139" s="17"/>
      <c r="IV139" s="17"/>
      <c r="IW139" s="60"/>
      <c r="IX139" s="16"/>
      <c r="IY139" s="16" t="s">
        <v>20</v>
      </c>
      <c r="IZ139" s="16" t="s">
        <v>20</v>
      </c>
      <c r="JA139" s="16"/>
      <c r="JB139" s="16"/>
      <c r="JC139" s="17"/>
      <c r="JG139" s="17"/>
      <c r="JH139" s="60"/>
      <c r="JI139" s="16"/>
      <c r="JJ139" s="16" t="s">
        <v>20</v>
      </c>
      <c r="JK139" s="16" t="s">
        <v>20</v>
      </c>
      <c r="JL139" s="16"/>
      <c r="JM139" s="16"/>
      <c r="JN139" s="17"/>
      <c r="JR139" s="17"/>
      <c r="JS139" s="60"/>
      <c r="JT139" s="16"/>
      <c r="JU139" s="16" t="s">
        <v>20</v>
      </c>
      <c r="JV139" s="16" t="s">
        <v>20</v>
      </c>
      <c r="JW139" s="16"/>
      <c r="JX139" s="16"/>
      <c r="JY139" s="17"/>
      <c r="KC139" s="17"/>
      <c r="KD139" s="60"/>
      <c r="KE139" s="16"/>
      <c r="KF139" s="16" t="s">
        <v>20</v>
      </c>
      <c r="KG139" s="16" t="s">
        <v>20</v>
      </c>
      <c r="KH139" s="16"/>
      <c r="KI139" s="16"/>
      <c r="KJ139" s="17"/>
      <c r="KN139" s="17"/>
      <c r="KO139" s="60"/>
      <c r="KP139" s="16"/>
      <c r="KQ139" s="16" t="s">
        <v>20</v>
      </c>
      <c r="KR139" s="16" t="s">
        <v>20</v>
      </c>
      <c r="KS139" s="16"/>
      <c r="KT139" s="16"/>
      <c r="KU139" s="17"/>
      <c r="KY139" s="17"/>
      <c r="KZ139" s="60"/>
      <c r="LA139" s="16"/>
      <c r="LB139" s="16" t="s">
        <v>20</v>
      </c>
      <c r="LC139" s="16" t="s">
        <v>20</v>
      </c>
      <c r="LD139" s="16"/>
      <c r="LE139" s="16"/>
      <c r="LF139" s="17"/>
      <c r="LJ139" s="17"/>
      <c r="LK139" s="60"/>
      <c r="LL139" s="16"/>
      <c r="LM139" s="16" t="s">
        <v>20</v>
      </c>
      <c r="LN139" s="16" t="s">
        <v>20</v>
      </c>
      <c r="LO139" s="16"/>
      <c r="LP139" s="16"/>
      <c r="LQ139" s="17"/>
    </row>
    <row r="140">
      <c r="C140" s="31"/>
      <c r="D140" s="61"/>
      <c r="E140" s="16"/>
      <c r="F140" s="16" t="s">
        <v>20</v>
      </c>
      <c r="G140" s="21" t="s">
        <v>20</v>
      </c>
      <c r="H140" s="16"/>
      <c r="I140" s="16"/>
      <c r="J140" s="17"/>
      <c r="N140" s="17"/>
      <c r="O140" s="61"/>
      <c r="P140" s="16"/>
      <c r="Q140" s="16" t="s">
        <v>20</v>
      </c>
      <c r="R140" s="16"/>
      <c r="S140" s="16"/>
      <c r="T140" s="16"/>
      <c r="U140" s="17"/>
      <c r="Y140" s="17"/>
      <c r="Z140" s="61"/>
      <c r="AA140" s="16"/>
      <c r="AB140" s="16"/>
      <c r="AC140" s="16"/>
      <c r="AD140" s="16"/>
      <c r="AE140" s="16"/>
      <c r="AF140" s="17"/>
      <c r="AJ140" s="17"/>
      <c r="AK140" s="61"/>
      <c r="AL140" s="16"/>
      <c r="AM140" s="16"/>
      <c r="AN140" s="16"/>
      <c r="AO140" s="16"/>
      <c r="AP140" s="16"/>
      <c r="AQ140" s="17"/>
      <c r="AU140" s="17"/>
      <c r="AV140" s="61"/>
      <c r="AW140" s="16"/>
      <c r="AX140" s="16"/>
      <c r="AY140" s="16"/>
      <c r="AZ140" s="16"/>
      <c r="BA140" s="16"/>
      <c r="BB140" s="17"/>
      <c r="BF140" s="17"/>
      <c r="BG140" s="61"/>
      <c r="BH140" s="16"/>
      <c r="BI140" s="16" t="s">
        <v>20</v>
      </c>
      <c r="BJ140" s="16" t="s">
        <v>20</v>
      </c>
      <c r="BK140" s="16"/>
      <c r="BL140" s="16"/>
      <c r="BM140" s="17"/>
      <c r="BQ140" s="17"/>
      <c r="BR140" s="61"/>
      <c r="BS140" s="16"/>
      <c r="BT140" s="16" t="s">
        <v>20</v>
      </c>
      <c r="BU140" s="16" t="s">
        <v>20</v>
      </c>
      <c r="BV140" s="16"/>
      <c r="BW140" s="16"/>
      <c r="BX140" s="17"/>
      <c r="CB140" s="17"/>
      <c r="CC140" s="61"/>
      <c r="CD140" s="16"/>
      <c r="CE140" s="16" t="s">
        <v>20</v>
      </c>
      <c r="CF140" s="16" t="s">
        <v>20</v>
      </c>
      <c r="CG140" s="16"/>
      <c r="CH140" s="16"/>
      <c r="CI140" s="17"/>
      <c r="CM140" s="17"/>
      <c r="CN140" s="61"/>
      <c r="CO140" s="16"/>
      <c r="CP140" s="16" t="s">
        <v>20</v>
      </c>
      <c r="CQ140" s="16" t="s">
        <v>20</v>
      </c>
      <c r="CR140" s="16"/>
      <c r="CS140" s="16"/>
      <c r="CT140" s="17"/>
      <c r="CX140" s="17"/>
      <c r="CY140" s="60"/>
      <c r="CZ140" s="16"/>
      <c r="DA140" s="16" t="s">
        <v>20</v>
      </c>
      <c r="DB140" s="16" t="s">
        <v>20</v>
      </c>
      <c r="DC140" s="16"/>
      <c r="DD140" s="16"/>
      <c r="DE140" s="17"/>
      <c r="DI140" s="17"/>
      <c r="DJ140" s="60"/>
      <c r="DK140" s="16"/>
      <c r="DL140" s="16" t="s">
        <v>20</v>
      </c>
      <c r="DM140" s="16" t="s">
        <v>20</v>
      </c>
      <c r="DN140" s="16"/>
      <c r="DO140" s="16"/>
      <c r="DP140" s="17"/>
      <c r="DT140" s="17"/>
      <c r="DU140" s="60"/>
      <c r="DV140" s="16"/>
      <c r="DW140" s="16" t="s">
        <v>20</v>
      </c>
      <c r="DX140" s="16" t="s">
        <v>20</v>
      </c>
      <c r="DY140" s="16"/>
      <c r="DZ140" s="16"/>
      <c r="EA140" s="17"/>
      <c r="EE140" s="17"/>
      <c r="EF140" s="60"/>
      <c r="EG140" s="16"/>
      <c r="EH140" s="16" t="s">
        <v>20</v>
      </c>
      <c r="EI140" s="16" t="s">
        <v>20</v>
      </c>
      <c r="EJ140" s="16"/>
      <c r="EK140" s="16"/>
      <c r="EL140" s="17"/>
      <c r="EP140" s="17"/>
      <c r="EQ140" s="60"/>
      <c r="ER140" s="16"/>
      <c r="ES140" s="16" t="s">
        <v>20</v>
      </c>
      <c r="ET140" s="16" t="s">
        <v>20</v>
      </c>
      <c r="EU140" s="16"/>
      <c r="EV140" s="16"/>
      <c r="EW140" s="17"/>
      <c r="FA140" s="17"/>
      <c r="FB140" s="60"/>
      <c r="FC140" s="16"/>
      <c r="FD140" s="16" t="s">
        <v>20</v>
      </c>
      <c r="FE140" s="16" t="s">
        <v>20</v>
      </c>
      <c r="FF140" s="16"/>
      <c r="FG140" s="16"/>
      <c r="FH140" s="17"/>
      <c r="FL140" s="17"/>
      <c r="FM140" s="60"/>
      <c r="FN140" s="16"/>
      <c r="FO140" s="16" t="s">
        <v>20</v>
      </c>
      <c r="FP140" s="16" t="s">
        <v>20</v>
      </c>
      <c r="FQ140" s="16"/>
      <c r="FR140" s="16"/>
      <c r="FS140" s="17"/>
      <c r="FW140" s="17"/>
      <c r="FX140" s="60"/>
      <c r="FY140" s="16"/>
      <c r="FZ140" s="16" t="s">
        <v>20</v>
      </c>
      <c r="GA140" s="16" t="s">
        <v>20</v>
      </c>
      <c r="GB140" s="16"/>
      <c r="GC140" s="16"/>
      <c r="GD140" s="17"/>
      <c r="GH140" s="17"/>
      <c r="GI140" s="60"/>
      <c r="GJ140" s="16"/>
      <c r="GK140" s="16" t="s">
        <v>20</v>
      </c>
      <c r="GL140" s="16" t="s">
        <v>20</v>
      </c>
      <c r="GM140" s="16"/>
      <c r="GN140" s="16"/>
      <c r="GO140" s="17"/>
      <c r="GS140" s="17"/>
      <c r="GT140" s="60"/>
      <c r="GU140" s="16"/>
      <c r="GV140" s="16" t="s">
        <v>20</v>
      </c>
      <c r="GW140" s="16" t="s">
        <v>20</v>
      </c>
      <c r="GX140" s="16"/>
      <c r="GY140" s="16"/>
      <c r="GZ140" s="17"/>
      <c r="HD140" s="17"/>
      <c r="HE140" s="60"/>
      <c r="HF140" s="16"/>
      <c r="HG140" s="16" t="s">
        <v>20</v>
      </c>
      <c r="HH140" s="16" t="s">
        <v>20</v>
      </c>
      <c r="HI140" s="16"/>
      <c r="HJ140" s="16"/>
      <c r="HK140" s="17"/>
      <c r="HO140" s="17"/>
      <c r="HP140" s="60"/>
      <c r="HQ140" s="16"/>
      <c r="HR140" s="16" t="s">
        <v>20</v>
      </c>
      <c r="HS140" s="16" t="s">
        <v>20</v>
      </c>
      <c r="HT140" s="16"/>
      <c r="HU140" s="16"/>
      <c r="HV140" s="17"/>
      <c r="HZ140" s="17"/>
      <c r="IA140" s="60"/>
      <c r="IB140" s="16"/>
      <c r="IC140" s="16" t="s">
        <v>20</v>
      </c>
      <c r="ID140" s="16" t="s">
        <v>20</v>
      </c>
      <c r="IE140" s="16"/>
      <c r="IF140" s="16"/>
      <c r="IG140" s="17"/>
      <c r="IK140" s="17"/>
      <c r="IL140" s="60"/>
      <c r="IM140" s="16"/>
      <c r="IN140" s="16" t="s">
        <v>20</v>
      </c>
      <c r="IO140" s="16" t="s">
        <v>20</v>
      </c>
      <c r="IP140" s="16"/>
      <c r="IQ140" s="16"/>
      <c r="IR140" s="17"/>
      <c r="IV140" s="17"/>
      <c r="IW140" s="60"/>
      <c r="IX140" s="16"/>
      <c r="IY140" s="16" t="s">
        <v>20</v>
      </c>
      <c r="IZ140" s="16" t="s">
        <v>20</v>
      </c>
      <c r="JA140" s="16"/>
      <c r="JB140" s="16"/>
      <c r="JC140" s="17"/>
      <c r="JG140" s="17"/>
      <c r="JH140" s="60"/>
      <c r="JI140" s="16"/>
      <c r="JJ140" s="16" t="s">
        <v>20</v>
      </c>
      <c r="JK140" s="16" t="s">
        <v>20</v>
      </c>
      <c r="JL140" s="16"/>
      <c r="JM140" s="16"/>
      <c r="JN140" s="17"/>
      <c r="JR140" s="17"/>
      <c r="JS140" s="60"/>
      <c r="JT140" s="16"/>
      <c r="JU140" s="16" t="s">
        <v>20</v>
      </c>
      <c r="JV140" s="16" t="s">
        <v>20</v>
      </c>
      <c r="JW140" s="16"/>
      <c r="JX140" s="16"/>
      <c r="JY140" s="17"/>
      <c r="KC140" s="17"/>
      <c r="KD140" s="60"/>
      <c r="KE140" s="16"/>
      <c r="KF140" s="16" t="s">
        <v>20</v>
      </c>
      <c r="KG140" s="16" t="s">
        <v>20</v>
      </c>
      <c r="KH140" s="16"/>
      <c r="KI140" s="16"/>
      <c r="KJ140" s="17"/>
      <c r="KN140" s="17"/>
      <c r="KO140" s="60"/>
      <c r="KP140" s="16"/>
      <c r="KQ140" s="16" t="s">
        <v>20</v>
      </c>
      <c r="KR140" s="16" t="s">
        <v>20</v>
      </c>
      <c r="KS140" s="16"/>
      <c r="KT140" s="16"/>
      <c r="KU140" s="17"/>
      <c r="KY140" s="17"/>
      <c r="KZ140" s="60"/>
      <c r="LA140" s="16"/>
      <c r="LB140" s="16" t="s">
        <v>20</v>
      </c>
      <c r="LC140" s="16" t="s">
        <v>20</v>
      </c>
      <c r="LD140" s="16"/>
      <c r="LE140" s="16"/>
      <c r="LF140" s="17"/>
      <c r="LJ140" s="17"/>
      <c r="LK140" s="60"/>
      <c r="LL140" s="16"/>
      <c r="LM140" s="16" t="s">
        <v>20</v>
      </c>
      <c r="LN140" s="16" t="s">
        <v>20</v>
      </c>
      <c r="LO140" s="16"/>
      <c r="LP140" s="16"/>
      <c r="LQ140" s="17"/>
    </row>
    <row r="141">
      <c r="C141" s="31"/>
      <c r="D141" s="61"/>
      <c r="E141" s="16"/>
      <c r="F141" s="16" t="s">
        <v>20</v>
      </c>
      <c r="G141" s="21" t="s">
        <v>20</v>
      </c>
      <c r="H141" s="16"/>
      <c r="I141" s="16"/>
      <c r="J141" s="17"/>
      <c r="N141" s="17"/>
      <c r="O141" s="61"/>
      <c r="P141" s="16"/>
      <c r="Q141" s="16" t="s">
        <v>20</v>
      </c>
      <c r="R141" s="16"/>
      <c r="S141" s="16"/>
      <c r="T141" s="16"/>
      <c r="U141" s="17"/>
      <c r="Y141" s="17"/>
      <c r="Z141" s="61"/>
      <c r="AA141" s="16"/>
      <c r="AB141" s="16"/>
      <c r="AC141" s="16"/>
      <c r="AD141" s="16"/>
      <c r="AE141" s="16"/>
      <c r="AF141" s="17"/>
      <c r="AJ141" s="17"/>
      <c r="AK141" s="61"/>
      <c r="AL141" s="16"/>
      <c r="AM141" s="16"/>
      <c r="AN141" s="16"/>
      <c r="AO141" s="16"/>
      <c r="AP141" s="16"/>
      <c r="AQ141" s="17"/>
      <c r="AU141" s="17"/>
      <c r="AV141" s="61"/>
      <c r="AW141" s="16"/>
      <c r="AX141" s="16"/>
      <c r="AY141" s="16"/>
      <c r="AZ141" s="16"/>
      <c r="BA141" s="16"/>
      <c r="BB141" s="17"/>
      <c r="BF141" s="17"/>
      <c r="BG141" s="61"/>
      <c r="BH141" s="16"/>
      <c r="BI141" s="16" t="s">
        <v>20</v>
      </c>
      <c r="BJ141" s="16" t="s">
        <v>20</v>
      </c>
      <c r="BK141" s="16"/>
      <c r="BL141" s="16"/>
      <c r="BM141" s="17"/>
      <c r="BQ141" s="17"/>
      <c r="BR141" s="61"/>
      <c r="BS141" s="16"/>
      <c r="BT141" s="16" t="s">
        <v>20</v>
      </c>
      <c r="BU141" s="16" t="s">
        <v>20</v>
      </c>
      <c r="BV141" s="16"/>
      <c r="BW141" s="16"/>
      <c r="BX141" s="17"/>
      <c r="CB141" s="17"/>
      <c r="CC141" s="61"/>
      <c r="CD141" s="16"/>
      <c r="CE141" s="16" t="s">
        <v>20</v>
      </c>
      <c r="CF141" s="16" t="s">
        <v>20</v>
      </c>
      <c r="CG141" s="16"/>
      <c r="CH141" s="16"/>
      <c r="CI141" s="17"/>
      <c r="CM141" s="17"/>
      <c r="CN141" s="61"/>
      <c r="CO141" s="16"/>
      <c r="CP141" s="16" t="s">
        <v>20</v>
      </c>
      <c r="CQ141" s="16" t="s">
        <v>20</v>
      </c>
      <c r="CR141" s="16"/>
      <c r="CS141" s="16"/>
      <c r="CT141" s="17"/>
      <c r="CX141" s="17"/>
      <c r="CY141" s="60"/>
      <c r="CZ141" s="16"/>
      <c r="DA141" s="16" t="s">
        <v>20</v>
      </c>
      <c r="DB141" s="16" t="s">
        <v>20</v>
      </c>
      <c r="DC141" s="16"/>
      <c r="DD141" s="16"/>
      <c r="DE141" s="17"/>
      <c r="DI141" s="17"/>
      <c r="DJ141" s="60"/>
      <c r="DK141" s="16"/>
      <c r="DL141" s="16" t="s">
        <v>20</v>
      </c>
      <c r="DM141" s="16" t="s">
        <v>20</v>
      </c>
      <c r="DN141" s="16"/>
      <c r="DO141" s="16"/>
      <c r="DP141" s="17"/>
      <c r="DT141" s="17"/>
      <c r="DU141" s="60"/>
      <c r="DV141" s="16"/>
      <c r="DW141" s="16" t="s">
        <v>20</v>
      </c>
      <c r="DX141" s="16" t="s">
        <v>20</v>
      </c>
      <c r="DY141" s="16"/>
      <c r="DZ141" s="16"/>
      <c r="EA141" s="17"/>
      <c r="EE141" s="17"/>
      <c r="EF141" s="60"/>
      <c r="EG141" s="16"/>
      <c r="EH141" s="16" t="s">
        <v>20</v>
      </c>
      <c r="EI141" s="16" t="s">
        <v>20</v>
      </c>
      <c r="EJ141" s="16"/>
      <c r="EK141" s="16"/>
      <c r="EL141" s="17"/>
      <c r="EP141" s="17"/>
      <c r="EQ141" s="60"/>
      <c r="ER141" s="16"/>
      <c r="ES141" s="16" t="s">
        <v>20</v>
      </c>
      <c r="ET141" s="16" t="s">
        <v>20</v>
      </c>
      <c r="EU141" s="16"/>
      <c r="EV141" s="16"/>
      <c r="EW141" s="17"/>
      <c r="FA141" s="17"/>
      <c r="FB141" s="60"/>
      <c r="FC141" s="16"/>
      <c r="FD141" s="16" t="s">
        <v>20</v>
      </c>
      <c r="FE141" s="16" t="s">
        <v>20</v>
      </c>
      <c r="FF141" s="16"/>
      <c r="FG141" s="16"/>
      <c r="FH141" s="17"/>
      <c r="FL141" s="17"/>
      <c r="FM141" s="60"/>
      <c r="FN141" s="16"/>
      <c r="FO141" s="16" t="s">
        <v>20</v>
      </c>
      <c r="FP141" s="16" t="s">
        <v>20</v>
      </c>
      <c r="FQ141" s="16"/>
      <c r="FR141" s="16"/>
      <c r="FS141" s="17"/>
      <c r="FW141" s="17"/>
      <c r="FX141" s="60"/>
      <c r="FY141" s="16"/>
      <c r="FZ141" s="16" t="s">
        <v>20</v>
      </c>
      <c r="GA141" s="16" t="s">
        <v>20</v>
      </c>
      <c r="GB141" s="16"/>
      <c r="GC141" s="16"/>
      <c r="GD141" s="17"/>
      <c r="GH141" s="17"/>
      <c r="GI141" s="60"/>
      <c r="GJ141" s="16"/>
      <c r="GK141" s="16" t="s">
        <v>20</v>
      </c>
      <c r="GL141" s="16" t="s">
        <v>20</v>
      </c>
      <c r="GM141" s="16"/>
      <c r="GN141" s="16"/>
      <c r="GO141" s="17"/>
      <c r="GS141" s="17"/>
      <c r="GT141" s="60"/>
      <c r="GU141" s="16"/>
      <c r="GV141" s="16" t="s">
        <v>20</v>
      </c>
      <c r="GW141" s="16" t="s">
        <v>20</v>
      </c>
      <c r="GX141" s="16"/>
      <c r="GY141" s="16"/>
      <c r="GZ141" s="17"/>
      <c r="HD141" s="17"/>
      <c r="HE141" s="60"/>
      <c r="HF141" s="16"/>
      <c r="HG141" s="16" t="s">
        <v>20</v>
      </c>
      <c r="HH141" s="16" t="s">
        <v>20</v>
      </c>
      <c r="HI141" s="16"/>
      <c r="HJ141" s="16"/>
      <c r="HK141" s="17"/>
      <c r="HO141" s="17"/>
      <c r="HP141" s="60"/>
      <c r="HQ141" s="16"/>
      <c r="HR141" s="16" t="s">
        <v>20</v>
      </c>
      <c r="HS141" s="16" t="s">
        <v>20</v>
      </c>
      <c r="HT141" s="16"/>
      <c r="HU141" s="16"/>
      <c r="HV141" s="17"/>
      <c r="HZ141" s="17"/>
      <c r="IA141" s="60"/>
      <c r="IB141" s="16"/>
      <c r="IC141" s="16" t="s">
        <v>20</v>
      </c>
      <c r="ID141" s="16" t="s">
        <v>20</v>
      </c>
      <c r="IE141" s="16"/>
      <c r="IF141" s="16"/>
      <c r="IG141" s="17"/>
      <c r="IK141" s="17"/>
      <c r="IL141" s="60"/>
      <c r="IM141" s="16"/>
      <c r="IN141" s="16" t="s">
        <v>20</v>
      </c>
      <c r="IO141" s="16" t="s">
        <v>20</v>
      </c>
      <c r="IP141" s="16"/>
      <c r="IQ141" s="16"/>
      <c r="IR141" s="17"/>
      <c r="IV141" s="17"/>
      <c r="IW141" s="60"/>
      <c r="IX141" s="16"/>
      <c r="IY141" s="16" t="s">
        <v>20</v>
      </c>
      <c r="IZ141" s="16" t="s">
        <v>20</v>
      </c>
      <c r="JA141" s="16"/>
      <c r="JB141" s="16"/>
      <c r="JC141" s="17"/>
      <c r="JG141" s="17"/>
      <c r="JH141" s="60"/>
      <c r="JI141" s="16"/>
      <c r="JJ141" s="16" t="s">
        <v>20</v>
      </c>
      <c r="JK141" s="16" t="s">
        <v>20</v>
      </c>
      <c r="JL141" s="16"/>
      <c r="JM141" s="16"/>
      <c r="JN141" s="17"/>
      <c r="JR141" s="17"/>
      <c r="JS141" s="60"/>
      <c r="JT141" s="16"/>
      <c r="JU141" s="16" t="s">
        <v>20</v>
      </c>
      <c r="JV141" s="16" t="s">
        <v>20</v>
      </c>
      <c r="JW141" s="16"/>
      <c r="JX141" s="16"/>
      <c r="JY141" s="17"/>
      <c r="KC141" s="17"/>
      <c r="KD141" s="60"/>
      <c r="KE141" s="16"/>
      <c r="KF141" s="16" t="s">
        <v>20</v>
      </c>
      <c r="KG141" s="16" t="s">
        <v>20</v>
      </c>
      <c r="KH141" s="16"/>
      <c r="KI141" s="16"/>
      <c r="KJ141" s="17"/>
      <c r="KN141" s="17"/>
      <c r="KO141" s="60"/>
      <c r="KP141" s="16"/>
      <c r="KQ141" s="16" t="s">
        <v>20</v>
      </c>
      <c r="KR141" s="16" t="s">
        <v>20</v>
      </c>
      <c r="KS141" s="16"/>
      <c r="KT141" s="16"/>
      <c r="KU141" s="17"/>
      <c r="KY141" s="17"/>
      <c r="KZ141" s="60"/>
      <c r="LA141" s="16"/>
      <c r="LB141" s="16" t="s">
        <v>20</v>
      </c>
      <c r="LC141" s="16" t="s">
        <v>20</v>
      </c>
      <c r="LD141" s="16"/>
      <c r="LE141" s="16"/>
      <c r="LF141" s="17"/>
      <c r="LJ141" s="17"/>
      <c r="LK141" s="60"/>
      <c r="LL141" s="16"/>
      <c r="LM141" s="16" t="s">
        <v>20</v>
      </c>
      <c r="LN141" s="16" t="s">
        <v>20</v>
      </c>
      <c r="LO141" s="16"/>
      <c r="LP141" s="16"/>
      <c r="LQ141" s="17"/>
    </row>
    <row r="142">
      <c r="C142" s="31"/>
      <c r="D142" s="61"/>
      <c r="E142" s="16"/>
      <c r="F142" s="16" t="s">
        <v>20</v>
      </c>
      <c r="G142" s="21" t="s">
        <v>20</v>
      </c>
      <c r="H142" s="16"/>
      <c r="I142" s="16"/>
      <c r="J142" s="17"/>
      <c r="N142" s="17"/>
      <c r="O142" s="61"/>
      <c r="P142" s="16"/>
      <c r="Q142" s="16" t="s">
        <v>20</v>
      </c>
      <c r="R142" s="16"/>
      <c r="S142" s="16"/>
      <c r="T142" s="16"/>
      <c r="U142" s="17"/>
      <c r="Y142" s="17"/>
      <c r="Z142" s="61"/>
      <c r="AA142" s="16"/>
      <c r="AB142" s="16"/>
      <c r="AC142" s="16"/>
      <c r="AD142" s="16"/>
      <c r="AE142" s="16"/>
      <c r="AF142" s="17"/>
      <c r="AJ142" s="17"/>
      <c r="AK142" s="61"/>
      <c r="AL142" s="16"/>
      <c r="AM142" s="16"/>
      <c r="AN142" s="16"/>
      <c r="AO142" s="16"/>
      <c r="AP142" s="16"/>
      <c r="AQ142" s="17"/>
      <c r="AU142" s="17"/>
      <c r="AV142" s="61"/>
      <c r="AW142" s="16"/>
      <c r="AX142" s="16"/>
      <c r="AY142" s="16"/>
      <c r="AZ142" s="16"/>
      <c r="BA142" s="16"/>
      <c r="BB142" s="17"/>
      <c r="BF142" s="17"/>
      <c r="BG142" s="61"/>
      <c r="BH142" s="16"/>
      <c r="BI142" s="16" t="s">
        <v>20</v>
      </c>
      <c r="BJ142" s="16" t="s">
        <v>20</v>
      </c>
      <c r="BK142" s="16"/>
      <c r="BL142" s="16"/>
      <c r="BM142" s="17"/>
      <c r="BQ142" s="17"/>
      <c r="BR142" s="61"/>
      <c r="BS142" s="16"/>
      <c r="BT142" s="16" t="s">
        <v>20</v>
      </c>
      <c r="BU142" s="16" t="s">
        <v>20</v>
      </c>
      <c r="BV142" s="16"/>
      <c r="BW142" s="16"/>
      <c r="BX142" s="17"/>
      <c r="CB142" s="17"/>
      <c r="CC142" s="61"/>
      <c r="CD142" s="16"/>
      <c r="CE142" s="16" t="s">
        <v>20</v>
      </c>
      <c r="CF142" s="16" t="s">
        <v>20</v>
      </c>
      <c r="CG142" s="16"/>
      <c r="CH142" s="16"/>
      <c r="CI142" s="17"/>
      <c r="CM142" s="17"/>
      <c r="CN142" s="61"/>
      <c r="CO142" s="16"/>
      <c r="CP142" s="16" t="s">
        <v>20</v>
      </c>
      <c r="CQ142" s="16" t="s">
        <v>20</v>
      </c>
      <c r="CR142" s="16"/>
      <c r="CS142" s="16"/>
      <c r="CT142" s="17"/>
      <c r="CX142" s="17"/>
      <c r="CY142" s="60"/>
      <c r="CZ142" s="16"/>
      <c r="DA142" s="16" t="s">
        <v>20</v>
      </c>
      <c r="DB142" s="16" t="s">
        <v>20</v>
      </c>
      <c r="DC142" s="16"/>
      <c r="DD142" s="16"/>
      <c r="DE142" s="17"/>
      <c r="DI142" s="17"/>
      <c r="DJ142" s="60"/>
      <c r="DK142" s="16"/>
      <c r="DL142" s="16" t="s">
        <v>20</v>
      </c>
      <c r="DM142" s="16" t="s">
        <v>20</v>
      </c>
      <c r="DN142" s="16"/>
      <c r="DO142" s="16"/>
      <c r="DP142" s="17"/>
      <c r="DT142" s="17"/>
      <c r="DU142" s="60"/>
      <c r="DV142" s="16"/>
      <c r="DW142" s="16" t="s">
        <v>20</v>
      </c>
      <c r="DX142" s="16" t="s">
        <v>20</v>
      </c>
      <c r="DY142" s="16"/>
      <c r="DZ142" s="16"/>
      <c r="EA142" s="17"/>
      <c r="EE142" s="17"/>
      <c r="EF142" s="60"/>
      <c r="EG142" s="16"/>
      <c r="EH142" s="16" t="s">
        <v>20</v>
      </c>
      <c r="EI142" s="16" t="s">
        <v>20</v>
      </c>
      <c r="EJ142" s="16"/>
      <c r="EK142" s="16"/>
      <c r="EL142" s="17"/>
      <c r="EP142" s="17"/>
      <c r="EQ142" s="60"/>
      <c r="ER142" s="16"/>
      <c r="ES142" s="16" t="s">
        <v>20</v>
      </c>
      <c r="ET142" s="16" t="s">
        <v>20</v>
      </c>
      <c r="EU142" s="16"/>
      <c r="EV142" s="16"/>
      <c r="EW142" s="17"/>
      <c r="FA142" s="17"/>
      <c r="FB142" s="60"/>
      <c r="FC142" s="16"/>
      <c r="FD142" s="16" t="s">
        <v>20</v>
      </c>
      <c r="FE142" s="16" t="s">
        <v>20</v>
      </c>
      <c r="FF142" s="16"/>
      <c r="FG142" s="16"/>
      <c r="FH142" s="17"/>
      <c r="FL142" s="17"/>
      <c r="FM142" s="60"/>
      <c r="FN142" s="16"/>
      <c r="FO142" s="16" t="s">
        <v>20</v>
      </c>
      <c r="FP142" s="16" t="s">
        <v>20</v>
      </c>
      <c r="FQ142" s="16"/>
      <c r="FR142" s="16"/>
      <c r="FS142" s="17"/>
      <c r="FW142" s="17"/>
      <c r="FX142" s="60"/>
      <c r="FY142" s="16"/>
      <c r="FZ142" s="16" t="s">
        <v>20</v>
      </c>
      <c r="GA142" s="16" t="s">
        <v>20</v>
      </c>
      <c r="GB142" s="16"/>
      <c r="GC142" s="16"/>
      <c r="GD142" s="17"/>
      <c r="GH142" s="17"/>
      <c r="GI142" s="60"/>
      <c r="GJ142" s="16"/>
      <c r="GK142" s="16" t="s">
        <v>20</v>
      </c>
      <c r="GL142" s="16" t="s">
        <v>20</v>
      </c>
      <c r="GM142" s="16"/>
      <c r="GN142" s="16"/>
      <c r="GO142" s="17"/>
      <c r="GS142" s="17"/>
      <c r="GT142" s="60"/>
      <c r="GU142" s="16"/>
      <c r="GV142" s="16" t="s">
        <v>20</v>
      </c>
      <c r="GW142" s="16" t="s">
        <v>20</v>
      </c>
      <c r="GX142" s="16"/>
      <c r="GY142" s="16"/>
      <c r="GZ142" s="17"/>
      <c r="HD142" s="17"/>
      <c r="HE142" s="60"/>
      <c r="HF142" s="16"/>
      <c r="HG142" s="16" t="s">
        <v>20</v>
      </c>
      <c r="HH142" s="16" t="s">
        <v>20</v>
      </c>
      <c r="HI142" s="16"/>
      <c r="HJ142" s="16"/>
      <c r="HK142" s="17"/>
      <c r="HO142" s="17"/>
      <c r="HP142" s="60"/>
      <c r="HQ142" s="16"/>
      <c r="HR142" s="16" t="s">
        <v>20</v>
      </c>
      <c r="HS142" s="16" t="s">
        <v>20</v>
      </c>
      <c r="HT142" s="16"/>
      <c r="HU142" s="16"/>
      <c r="HV142" s="17"/>
      <c r="HZ142" s="17"/>
      <c r="IA142" s="60"/>
      <c r="IB142" s="16"/>
      <c r="IC142" s="16" t="s">
        <v>20</v>
      </c>
      <c r="ID142" s="16" t="s">
        <v>20</v>
      </c>
      <c r="IE142" s="16"/>
      <c r="IF142" s="16"/>
      <c r="IG142" s="17"/>
      <c r="IK142" s="17"/>
      <c r="IL142" s="60"/>
      <c r="IM142" s="16"/>
      <c r="IN142" s="16" t="s">
        <v>20</v>
      </c>
      <c r="IO142" s="16" t="s">
        <v>20</v>
      </c>
      <c r="IP142" s="16"/>
      <c r="IQ142" s="16"/>
      <c r="IR142" s="17"/>
      <c r="IV142" s="17"/>
      <c r="IW142" s="60"/>
      <c r="IX142" s="16"/>
      <c r="IY142" s="16" t="s">
        <v>20</v>
      </c>
      <c r="IZ142" s="16" t="s">
        <v>20</v>
      </c>
      <c r="JA142" s="16"/>
      <c r="JB142" s="16"/>
      <c r="JC142" s="17"/>
      <c r="JG142" s="17"/>
      <c r="JH142" s="60"/>
      <c r="JI142" s="16"/>
      <c r="JJ142" s="16" t="s">
        <v>20</v>
      </c>
      <c r="JK142" s="16" t="s">
        <v>20</v>
      </c>
      <c r="JL142" s="16"/>
      <c r="JM142" s="16"/>
      <c r="JN142" s="17"/>
      <c r="JR142" s="17"/>
      <c r="JS142" s="60"/>
      <c r="JT142" s="16"/>
      <c r="JU142" s="16" t="s">
        <v>20</v>
      </c>
      <c r="JV142" s="16" t="s">
        <v>20</v>
      </c>
      <c r="JW142" s="16"/>
      <c r="JX142" s="16"/>
      <c r="JY142" s="17"/>
      <c r="KC142" s="17"/>
      <c r="KD142" s="60"/>
      <c r="KE142" s="16"/>
      <c r="KF142" s="16" t="s">
        <v>20</v>
      </c>
      <c r="KG142" s="16" t="s">
        <v>20</v>
      </c>
      <c r="KH142" s="16"/>
      <c r="KI142" s="16"/>
      <c r="KJ142" s="17"/>
      <c r="KN142" s="17"/>
      <c r="KO142" s="60"/>
      <c r="KP142" s="16"/>
      <c r="KQ142" s="16" t="s">
        <v>20</v>
      </c>
      <c r="KR142" s="16" t="s">
        <v>20</v>
      </c>
      <c r="KS142" s="16"/>
      <c r="KT142" s="16"/>
      <c r="KU142" s="17"/>
      <c r="KY142" s="17"/>
      <c r="KZ142" s="60"/>
      <c r="LA142" s="16"/>
      <c r="LB142" s="16" t="s">
        <v>20</v>
      </c>
      <c r="LC142" s="16" t="s">
        <v>20</v>
      </c>
      <c r="LD142" s="16"/>
      <c r="LE142" s="16"/>
      <c r="LF142" s="17"/>
      <c r="LJ142" s="17"/>
      <c r="LK142" s="60"/>
      <c r="LL142" s="16"/>
      <c r="LM142" s="16" t="s">
        <v>20</v>
      </c>
      <c r="LN142" s="16" t="s">
        <v>20</v>
      </c>
      <c r="LO142" s="16"/>
      <c r="LP142" s="16"/>
      <c r="LQ142" s="17"/>
    </row>
    <row r="143">
      <c r="C143" s="31"/>
      <c r="D143" s="61"/>
      <c r="E143" s="16"/>
      <c r="F143" s="16" t="s">
        <v>20</v>
      </c>
      <c r="G143" s="21" t="s">
        <v>20</v>
      </c>
      <c r="H143" s="16"/>
      <c r="I143" s="16"/>
      <c r="J143" s="17"/>
      <c r="N143" s="17"/>
      <c r="O143" s="61"/>
      <c r="P143" s="16"/>
      <c r="Q143" s="16" t="s">
        <v>20</v>
      </c>
      <c r="R143" s="16"/>
      <c r="S143" s="16"/>
      <c r="T143" s="16"/>
      <c r="U143" s="17"/>
      <c r="Y143" s="17"/>
      <c r="Z143" s="61"/>
      <c r="AA143" s="16"/>
      <c r="AB143" s="16"/>
      <c r="AC143" s="16"/>
      <c r="AD143" s="16"/>
      <c r="AE143" s="16"/>
      <c r="AF143" s="17"/>
      <c r="AJ143" s="17"/>
      <c r="AK143" s="61"/>
      <c r="AL143" s="16"/>
      <c r="AM143" s="16"/>
      <c r="AN143" s="16"/>
      <c r="AO143" s="16"/>
      <c r="AP143" s="16"/>
      <c r="AQ143" s="17"/>
      <c r="AU143" s="17"/>
      <c r="AV143" s="61"/>
      <c r="AW143" s="16"/>
      <c r="AX143" s="16"/>
      <c r="AY143" s="16"/>
      <c r="AZ143" s="16"/>
      <c r="BA143" s="16"/>
      <c r="BB143" s="17"/>
      <c r="BF143" s="17"/>
      <c r="BG143" s="61"/>
      <c r="BH143" s="16"/>
      <c r="BI143" s="16" t="s">
        <v>20</v>
      </c>
      <c r="BJ143" s="16" t="s">
        <v>20</v>
      </c>
      <c r="BK143" s="16"/>
      <c r="BL143" s="16"/>
      <c r="BM143" s="17"/>
      <c r="BQ143" s="17"/>
      <c r="BR143" s="61"/>
      <c r="BS143" s="16"/>
      <c r="BT143" s="16" t="s">
        <v>20</v>
      </c>
      <c r="BU143" s="16" t="s">
        <v>20</v>
      </c>
      <c r="BV143" s="16"/>
      <c r="BW143" s="16"/>
      <c r="BX143" s="17"/>
      <c r="CB143" s="17"/>
      <c r="CC143" s="61"/>
      <c r="CD143" s="16"/>
      <c r="CE143" s="16" t="s">
        <v>20</v>
      </c>
      <c r="CF143" s="16" t="s">
        <v>20</v>
      </c>
      <c r="CG143" s="16"/>
      <c r="CH143" s="16"/>
      <c r="CI143" s="17"/>
      <c r="CM143" s="17"/>
      <c r="CN143" s="61"/>
      <c r="CO143" s="16"/>
      <c r="CP143" s="16" t="s">
        <v>20</v>
      </c>
      <c r="CQ143" s="16" t="s">
        <v>20</v>
      </c>
      <c r="CR143" s="16"/>
      <c r="CS143" s="16"/>
      <c r="CT143" s="17"/>
      <c r="CX143" s="17"/>
      <c r="CY143" s="60"/>
      <c r="CZ143" s="16"/>
      <c r="DA143" s="16" t="s">
        <v>20</v>
      </c>
      <c r="DB143" s="16" t="s">
        <v>20</v>
      </c>
      <c r="DC143" s="16"/>
      <c r="DD143" s="16"/>
      <c r="DE143" s="17"/>
      <c r="DI143" s="17"/>
      <c r="DJ143" s="60"/>
      <c r="DK143" s="16"/>
      <c r="DL143" s="16" t="s">
        <v>20</v>
      </c>
      <c r="DM143" s="16" t="s">
        <v>20</v>
      </c>
      <c r="DN143" s="16"/>
      <c r="DO143" s="16"/>
      <c r="DP143" s="17"/>
      <c r="DT143" s="17"/>
      <c r="DU143" s="60"/>
      <c r="DV143" s="16"/>
      <c r="DW143" s="16" t="s">
        <v>20</v>
      </c>
      <c r="DX143" s="16" t="s">
        <v>20</v>
      </c>
      <c r="DY143" s="16"/>
      <c r="DZ143" s="16"/>
      <c r="EA143" s="17"/>
      <c r="EE143" s="17"/>
      <c r="EF143" s="60"/>
      <c r="EG143" s="16"/>
      <c r="EH143" s="16" t="s">
        <v>20</v>
      </c>
      <c r="EI143" s="16" t="s">
        <v>20</v>
      </c>
      <c r="EJ143" s="16"/>
      <c r="EK143" s="16"/>
      <c r="EL143" s="17"/>
      <c r="EP143" s="17"/>
      <c r="EQ143" s="60"/>
      <c r="ER143" s="16"/>
      <c r="ES143" s="16" t="s">
        <v>20</v>
      </c>
      <c r="ET143" s="16" t="s">
        <v>20</v>
      </c>
      <c r="EU143" s="16"/>
      <c r="EV143" s="16"/>
      <c r="EW143" s="17"/>
      <c r="FA143" s="17"/>
      <c r="FB143" s="60"/>
      <c r="FC143" s="16"/>
      <c r="FD143" s="16" t="s">
        <v>20</v>
      </c>
      <c r="FE143" s="16" t="s">
        <v>20</v>
      </c>
      <c r="FF143" s="16"/>
      <c r="FG143" s="16"/>
      <c r="FH143" s="17"/>
      <c r="FL143" s="17"/>
      <c r="FM143" s="60"/>
      <c r="FN143" s="16"/>
      <c r="FO143" s="16" t="s">
        <v>20</v>
      </c>
      <c r="FP143" s="16" t="s">
        <v>20</v>
      </c>
      <c r="FQ143" s="16"/>
      <c r="FR143" s="16"/>
      <c r="FS143" s="17"/>
      <c r="FW143" s="17"/>
      <c r="FX143" s="60"/>
      <c r="FY143" s="16"/>
      <c r="FZ143" s="16" t="s">
        <v>20</v>
      </c>
      <c r="GA143" s="16" t="s">
        <v>20</v>
      </c>
      <c r="GB143" s="16"/>
      <c r="GC143" s="16"/>
      <c r="GD143" s="17"/>
      <c r="GH143" s="17"/>
      <c r="GI143" s="60"/>
      <c r="GJ143" s="16"/>
      <c r="GK143" s="16" t="s">
        <v>20</v>
      </c>
      <c r="GL143" s="16" t="s">
        <v>20</v>
      </c>
      <c r="GM143" s="16"/>
      <c r="GN143" s="16"/>
      <c r="GO143" s="17"/>
      <c r="GS143" s="17"/>
      <c r="GT143" s="60"/>
      <c r="GU143" s="16"/>
      <c r="GV143" s="16" t="s">
        <v>20</v>
      </c>
      <c r="GW143" s="16" t="s">
        <v>20</v>
      </c>
      <c r="GX143" s="16"/>
      <c r="GY143" s="16"/>
      <c r="GZ143" s="17"/>
      <c r="HD143" s="17"/>
      <c r="HE143" s="60"/>
      <c r="HF143" s="16"/>
      <c r="HG143" s="16" t="s">
        <v>20</v>
      </c>
      <c r="HH143" s="16" t="s">
        <v>20</v>
      </c>
      <c r="HI143" s="16"/>
      <c r="HJ143" s="16"/>
      <c r="HK143" s="17"/>
      <c r="HO143" s="17"/>
      <c r="HP143" s="60"/>
      <c r="HQ143" s="16"/>
      <c r="HR143" s="16" t="s">
        <v>20</v>
      </c>
      <c r="HS143" s="16" t="s">
        <v>20</v>
      </c>
      <c r="HT143" s="16"/>
      <c r="HU143" s="16"/>
      <c r="HV143" s="17"/>
      <c r="HZ143" s="17"/>
      <c r="IA143" s="60"/>
      <c r="IB143" s="16"/>
      <c r="IC143" s="16" t="s">
        <v>20</v>
      </c>
      <c r="ID143" s="16" t="s">
        <v>20</v>
      </c>
      <c r="IE143" s="16"/>
      <c r="IF143" s="16"/>
      <c r="IG143" s="17"/>
      <c r="IK143" s="17"/>
      <c r="IL143" s="60"/>
      <c r="IM143" s="16"/>
      <c r="IN143" s="16" t="s">
        <v>20</v>
      </c>
      <c r="IO143" s="16" t="s">
        <v>20</v>
      </c>
      <c r="IP143" s="16"/>
      <c r="IQ143" s="16"/>
      <c r="IR143" s="17"/>
      <c r="IV143" s="17"/>
      <c r="IW143" s="60"/>
      <c r="IX143" s="16"/>
      <c r="IY143" s="16" t="s">
        <v>20</v>
      </c>
      <c r="IZ143" s="16" t="s">
        <v>20</v>
      </c>
      <c r="JA143" s="16"/>
      <c r="JB143" s="16"/>
      <c r="JC143" s="17"/>
      <c r="JG143" s="17"/>
      <c r="JH143" s="60"/>
      <c r="JI143" s="16"/>
      <c r="JJ143" s="16" t="s">
        <v>20</v>
      </c>
      <c r="JK143" s="16" t="s">
        <v>20</v>
      </c>
      <c r="JL143" s="16"/>
      <c r="JM143" s="16"/>
      <c r="JN143" s="17"/>
      <c r="JR143" s="17"/>
      <c r="JS143" s="60"/>
      <c r="JT143" s="16"/>
      <c r="JU143" s="16" t="s">
        <v>20</v>
      </c>
      <c r="JV143" s="16" t="s">
        <v>20</v>
      </c>
      <c r="JW143" s="16"/>
      <c r="JX143" s="16"/>
      <c r="JY143" s="17"/>
      <c r="KC143" s="17"/>
      <c r="KD143" s="60"/>
      <c r="KE143" s="16"/>
      <c r="KF143" s="16" t="s">
        <v>20</v>
      </c>
      <c r="KG143" s="16" t="s">
        <v>20</v>
      </c>
      <c r="KH143" s="16"/>
      <c r="KI143" s="16"/>
      <c r="KJ143" s="17"/>
      <c r="KN143" s="17"/>
      <c r="KO143" s="60"/>
      <c r="KP143" s="16"/>
      <c r="KQ143" s="16" t="s">
        <v>20</v>
      </c>
      <c r="KR143" s="16" t="s">
        <v>20</v>
      </c>
      <c r="KS143" s="16"/>
      <c r="KT143" s="16"/>
      <c r="KU143" s="17"/>
      <c r="KY143" s="17"/>
      <c r="KZ143" s="60"/>
      <c r="LA143" s="16"/>
      <c r="LB143" s="16" t="s">
        <v>20</v>
      </c>
      <c r="LC143" s="16" t="s">
        <v>20</v>
      </c>
      <c r="LD143" s="16"/>
      <c r="LE143" s="16"/>
      <c r="LF143" s="17"/>
      <c r="LJ143" s="17"/>
      <c r="LK143" s="60"/>
      <c r="LL143" s="16"/>
      <c r="LM143" s="16" t="s">
        <v>20</v>
      </c>
      <c r="LN143" s="16" t="s">
        <v>20</v>
      </c>
      <c r="LO143" s="16"/>
      <c r="LP143" s="16"/>
      <c r="LQ143" s="17"/>
    </row>
    <row r="144">
      <c r="C144" s="31"/>
      <c r="D144" s="61"/>
      <c r="E144" s="16"/>
      <c r="F144" s="16" t="s">
        <v>20</v>
      </c>
      <c r="G144" s="21" t="s">
        <v>20</v>
      </c>
      <c r="H144" s="16"/>
      <c r="I144" s="16"/>
      <c r="J144" s="17"/>
      <c r="N144" s="17"/>
      <c r="O144" s="61"/>
      <c r="P144" s="16"/>
      <c r="Q144" s="16" t="s">
        <v>20</v>
      </c>
      <c r="R144" s="16"/>
      <c r="S144" s="16"/>
      <c r="T144" s="16"/>
      <c r="U144" s="17"/>
      <c r="Y144" s="17"/>
      <c r="Z144" s="61"/>
      <c r="AA144" s="16"/>
      <c r="AB144" s="16"/>
      <c r="AC144" s="16"/>
      <c r="AD144" s="16"/>
      <c r="AE144" s="16"/>
      <c r="AF144" s="17"/>
      <c r="AJ144" s="17"/>
      <c r="AK144" s="61"/>
      <c r="AL144" s="16"/>
      <c r="AM144" s="16"/>
      <c r="AN144" s="16"/>
      <c r="AO144" s="16"/>
      <c r="AP144" s="16"/>
      <c r="AQ144" s="17"/>
      <c r="AU144" s="17"/>
      <c r="AV144" s="61"/>
      <c r="AW144" s="16"/>
      <c r="AX144" s="16"/>
      <c r="AY144" s="16"/>
      <c r="AZ144" s="16"/>
      <c r="BA144" s="16"/>
      <c r="BB144" s="17"/>
      <c r="BF144" s="17"/>
      <c r="BG144" s="61"/>
      <c r="BH144" s="16"/>
      <c r="BI144" s="16" t="s">
        <v>20</v>
      </c>
      <c r="BJ144" s="16" t="s">
        <v>20</v>
      </c>
      <c r="BK144" s="16"/>
      <c r="BL144" s="16"/>
      <c r="BM144" s="17"/>
      <c r="BQ144" s="17"/>
      <c r="BR144" s="61"/>
      <c r="BS144" s="16"/>
      <c r="BT144" s="16" t="s">
        <v>20</v>
      </c>
      <c r="BU144" s="16" t="s">
        <v>20</v>
      </c>
      <c r="BV144" s="16"/>
      <c r="BW144" s="16"/>
      <c r="BX144" s="17"/>
      <c r="CB144" s="17"/>
      <c r="CC144" s="61"/>
      <c r="CD144" s="16"/>
      <c r="CE144" s="16" t="s">
        <v>20</v>
      </c>
      <c r="CF144" s="16" t="s">
        <v>20</v>
      </c>
      <c r="CG144" s="16"/>
      <c r="CH144" s="16"/>
      <c r="CI144" s="17"/>
      <c r="CM144" s="17"/>
      <c r="CN144" s="61"/>
      <c r="CO144" s="16"/>
      <c r="CP144" s="16" t="s">
        <v>20</v>
      </c>
      <c r="CQ144" s="16" t="s">
        <v>20</v>
      </c>
      <c r="CR144" s="16"/>
      <c r="CS144" s="16"/>
      <c r="CT144" s="17"/>
      <c r="CX144" s="17"/>
      <c r="CY144" s="60"/>
      <c r="CZ144" s="16"/>
      <c r="DA144" s="16" t="s">
        <v>20</v>
      </c>
      <c r="DB144" s="16" t="s">
        <v>20</v>
      </c>
      <c r="DC144" s="16"/>
      <c r="DD144" s="16"/>
      <c r="DE144" s="17"/>
      <c r="DI144" s="17"/>
      <c r="DJ144" s="60"/>
      <c r="DK144" s="16"/>
      <c r="DL144" s="16" t="s">
        <v>20</v>
      </c>
      <c r="DM144" s="16" t="s">
        <v>20</v>
      </c>
      <c r="DN144" s="16"/>
      <c r="DO144" s="16"/>
      <c r="DP144" s="17"/>
      <c r="DT144" s="17"/>
      <c r="DU144" s="60"/>
      <c r="DV144" s="16"/>
      <c r="DW144" s="16" t="s">
        <v>20</v>
      </c>
      <c r="DX144" s="16" t="s">
        <v>20</v>
      </c>
      <c r="DY144" s="16"/>
      <c r="DZ144" s="16"/>
      <c r="EA144" s="17"/>
      <c r="EE144" s="17"/>
      <c r="EF144" s="60"/>
      <c r="EG144" s="16"/>
      <c r="EH144" s="16" t="s">
        <v>20</v>
      </c>
      <c r="EI144" s="16" t="s">
        <v>20</v>
      </c>
      <c r="EJ144" s="16"/>
      <c r="EK144" s="16"/>
      <c r="EL144" s="17"/>
      <c r="EP144" s="17"/>
      <c r="EQ144" s="60"/>
      <c r="ER144" s="16"/>
      <c r="ES144" s="16" t="s">
        <v>20</v>
      </c>
      <c r="ET144" s="16" t="s">
        <v>20</v>
      </c>
      <c r="EU144" s="16"/>
      <c r="EV144" s="16"/>
      <c r="EW144" s="17"/>
      <c r="FA144" s="17"/>
      <c r="FB144" s="60"/>
      <c r="FC144" s="16"/>
      <c r="FD144" s="16" t="s">
        <v>20</v>
      </c>
      <c r="FE144" s="16" t="s">
        <v>20</v>
      </c>
      <c r="FF144" s="16"/>
      <c r="FG144" s="16"/>
      <c r="FH144" s="17"/>
      <c r="FL144" s="17"/>
      <c r="FM144" s="60"/>
      <c r="FN144" s="16"/>
      <c r="FO144" s="16" t="s">
        <v>20</v>
      </c>
      <c r="FP144" s="16" t="s">
        <v>20</v>
      </c>
      <c r="FQ144" s="16"/>
      <c r="FR144" s="16"/>
      <c r="FS144" s="17"/>
      <c r="FW144" s="17"/>
      <c r="FX144" s="60"/>
      <c r="FY144" s="16"/>
      <c r="FZ144" s="16" t="s">
        <v>20</v>
      </c>
      <c r="GA144" s="16" t="s">
        <v>20</v>
      </c>
      <c r="GB144" s="16"/>
      <c r="GC144" s="16"/>
      <c r="GD144" s="17"/>
      <c r="GH144" s="17"/>
      <c r="GI144" s="60"/>
      <c r="GJ144" s="16"/>
      <c r="GK144" s="16" t="s">
        <v>20</v>
      </c>
      <c r="GL144" s="16" t="s">
        <v>20</v>
      </c>
      <c r="GM144" s="16"/>
      <c r="GN144" s="16"/>
      <c r="GO144" s="17"/>
      <c r="GS144" s="17"/>
      <c r="GT144" s="60"/>
      <c r="GU144" s="16"/>
      <c r="GV144" s="16" t="s">
        <v>20</v>
      </c>
      <c r="GW144" s="16" t="s">
        <v>20</v>
      </c>
      <c r="GX144" s="16"/>
      <c r="GY144" s="16"/>
      <c r="GZ144" s="17"/>
      <c r="HD144" s="17"/>
      <c r="HE144" s="60"/>
      <c r="HF144" s="16"/>
      <c r="HG144" s="16" t="s">
        <v>20</v>
      </c>
      <c r="HH144" s="16" t="s">
        <v>20</v>
      </c>
      <c r="HI144" s="16"/>
      <c r="HJ144" s="16"/>
      <c r="HK144" s="17"/>
      <c r="HO144" s="17"/>
      <c r="HP144" s="60"/>
      <c r="HQ144" s="16"/>
      <c r="HR144" s="16" t="s">
        <v>20</v>
      </c>
      <c r="HS144" s="16" t="s">
        <v>20</v>
      </c>
      <c r="HT144" s="16"/>
      <c r="HU144" s="16"/>
      <c r="HV144" s="17"/>
      <c r="HZ144" s="17"/>
      <c r="IA144" s="60"/>
      <c r="IB144" s="16"/>
      <c r="IC144" s="16" t="s">
        <v>20</v>
      </c>
      <c r="ID144" s="16" t="s">
        <v>20</v>
      </c>
      <c r="IE144" s="16"/>
      <c r="IF144" s="16"/>
      <c r="IG144" s="17"/>
      <c r="IK144" s="17"/>
      <c r="IL144" s="60"/>
      <c r="IM144" s="16"/>
      <c r="IN144" s="16" t="s">
        <v>20</v>
      </c>
      <c r="IO144" s="16" t="s">
        <v>20</v>
      </c>
      <c r="IP144" s="16"/>
      <c r="IQ144" s="16"/>
      <c r="IR144" s="17"/>
      <c r="IV144" s="17"/>
      <c r="IW144" s="60"/>
      <c r="IX144" s="16"/>
      <c r="IY144" s="16" t="s">
        <v>20</v>
      </c>
      <c r="IZ144" s="16" t="s">
        <v>20</v>
      </c>
      <c r="JA144" s="16"/>
      <c r="JB144" s="16"/>
      <c r="JC144" s="17"/>
      <c r="JG144" s="17"/>
      <c r="JH144" s="60"/>
      <c r="JI144" s="16"/>
      <c r="JJ144" s="16" t="s">
        <v>20</v>
      </c>
      <c r="JK144" s="16" t="s">
        <v>20</v>
      </c>
      <c r="JL144" s="16"/>
      <c r="JM144" s="16"/>
      <c r="JN144" s="17"/>
      <c r="JR144" s="17"/>
      <c r="JS144" s="60"/>
      <c r="JT144" s="16"/>
      <c r="JU144" s="16" t="s">
        <v>20</v>
      </c>
      <c r="JV144" s="16" t="s">
        <v>20</v>
      </c>
      <c r="JW144" s="16"/>
      <c r="JX144" s="16"/>
      <c r="JY144" s="17"/>
      <c r="KC144" s="17"/>
      <c r="KD144" s="60"/>
      <c r="KE144" s="16"/>
      <c r="KF144" s="16" t="s">
        <v>20</v>
      </c>
      <c r="KG144" s="16" t="s">
        <v>20</v>
      </c>
      <c r="KH144" s="16"/>
      <c r="KI144" s="16"/>
      <c r="KJ144" s="17"/>
      <c r="KN144" s="17"/>
      <c r="KO144" s="60"/>
      <c r="KP144" s="16"/>
      <c r="KQ144" s="16" t="s">
        <v>20</v>
      </c>
      <c r="KR144" s="16" t="s">
        <v>20</v>
      </c>
      <c r="KS144" s="16"/>
      <c r="KT144" s="16"/>
      <c r="KU144" s="17"/>
      <c r="KY144" s="17"/>
      <c r="KZ144" s="60"/>
      <c r="LA144" s="16"/>
      <c r="LB144" s="16" t="s">
        <v>20</v>
      </c>
      <c r="LC144" s="16" t="s">
        <v>20</v>
      </c>
      <c r="LD144" s="16"/>
      <c r="LE144" s="16"/>
      <c r="LF144" s="17"/>
      <c r="LJ144" s="17"/>
      <c r="LK144" s="60"/>
      <c r="LL144" s="16"/>
      <c r="LM144" s="16" t="s">
        <v>20</v>
      </c>
      <c r="LN144" s="16" t="s">
        <v>20</v>
      </c>
      <c r="LO144" s="16"/>
      <c r="LP144" s="16"/>
      <c r="LQ144" s="17"/>
    </row>
    <row r="145">
      <c r="C145" s="31"/>
      <c r="D145" s="61"/>
      <c r="E145" s="16"/>
      <c r="F145" s="16" t="s">
        <v>20</v>
      </c>
      <c r="G145" s="21" t="s">
        <v>20</v>
      </c>
      <c r="H145" s="16"/>
      <c r="I145" s="16"/>
      <c r="J145" s="17"/>
      <c r="N145" s="17"/>
      <c r="O145" s="61"/>
      <c r="P145" s="16"/>
      <c r="Q145" s="16" t="s">
        <v>20</v>
      </c>
      <c r="R145" s="16"/>
      <c r="S145" s="16"/>
      <c r="T145" s="16"/>
      <c r="U145" s="17"/>
      <c r="Y145" s="17"/>
      <c r="Z145" s="61"/>
      <c r="AA145" s="16"/>
      <c r="AB145" s="16"/>
      <c r="AC145" s="16"/>
      <c r="AD145" s="16"/>
      <c r="AE145" s="16"/>
      <c r="AF145" s="17"/>
      <c r="AJ145" s="17"/>
      <c r="AK145" s="61"/>
      <c r="AL145" s="16"/>
      <c r="AM145" s="16"/>
      <c r="AN145" s="16"/>
      <c r="AO145" s="16"/>
      <c r="AP145" s="16"/>
      <c r="AQ145" s="17"/>
      <c r="AU145" s="17"/>
      <c r="AV145" s="61"/>
      <c r="AW145" s="16"/>
      <c r="AX145" s="16"/>
      <c r="AY145" s="16"/>
      <c r="AZ145" s="16"/>
      <c r="BA145" s="16"/>
      <c r="BB145" s="17"/>
      <c r="BF145" s="17"/>
      <c r="BG145" s="61"/>
      <c r="BH145" s="16"/>
      <c r="BI145" s="16" t="s">
        <v>20</v>
      </c>
      <c r="BJ145" s="16" t="s">
        <v>20</v>
      </c>
      <c r="BK145" s="16"/>
      <c r="BL145" s="16"/>
      <c r="BM145" s="17"/>
      <c r="BQ145" s="17"/>
      <c r="BR145" s="61"/>
      <c r="BS145" s="16"/>
      <c r="BT145" s="16" t="s">
        <v>20</v>
      </c>
      <c r="BU145" s="16" t="s">
        <v>20</v>
      </c>
      <c r="BV145" s="16"/>
      <c r="BW145" s="16"/>
      <c r="BX145" s="17"/>
      <c r="CB145" s="17"/>
      <c r="CC145" s="61"/>
      <c r="CD145" s="16"/>
      <c r="CE145" s="16" t="s">
        <v>20</v>
      </c>
      <c r="CF145" s="16" t="s">
        <v>20</v>
      </c>
      <c r="CG145" s="16"/>
      <c r="CH145" s="16"/>
      <c r="CI145" s="17"/>
      <c r="CM145" s="17"/>
      <c r="CN145" s="61"/>
      <c r="CO145" s="16"/>
      <c r="CP145" s="16" t="s">
        <v>20</v>
      </c>
      <c r="CQ145" s="16" t="s">
        <v>20</v>
      </c>
      <c r="CR145" s="16"/>
      <c r="CS145" s="16"/>
      <c r="CT145" s="17"/>
      <c r="CX145" s="17"/>
      <c r="CY145" s="60"/>
      <c r="CZ145" s="16"/>
      <c r="DA145" s="16" t="s">
        <v>20</v>
      </c>
      <c r="DB145" s="16" t="s">
        <v>20</v>
      </c>
      <c r="DC145" s="16"/>
      <c r="DD145" s="16"/>
      <c r="DE145" s="17"/>
      <c r="DI145" s="17"/>
      <c r="DJ145" s="60"/>
      <c r="DK145" s="16"/>
      <c r="DL145" s="16" t="s">
        <v>20</v>
      </c>
      <c r="DM145" s="16" t="s">
        <v>20</v>
      </c>
      <c r="DN145" s="16"/>
      <c r="DO145" s="16"/>
      <c r="DP145" s="17"/>
      <c r="DT145" s="17"/>
      <c r="DU145" s="60"/>
      <c r="DV145" s="16"/>
      <c r="DW145" s="16" t="s">
        <v>20</v>
      </c>
      <c r="DX145" s="16" t="s">
        <v>20</v>
      </c>
      <c r="DY145" s="16"/>
      <c r="DZ145" s="16"/>
      <c r="EA145" s="17"/>
      <c r="EE145" s="17"/>
      <c r="EF145" s="60"/>
      <c r="EG145" s="16"/>
      <c r="EH145" s="16" t="s">
        <v>20</v>
      </c>
      <c r="EI145" s="16" t="s">
        <v>20</v>
      </c>
      <c r="EJ145" s="16"/>
      <c r="EK145" s="16"/>
      <c r="EL145" s="17"/>
      <c r="EP145" s="17"/>
      <c r="EQ145" s="60"/>
      <c r="ER145" s="16"/>
      <c r="ES145" s="16" t="s">
        <v>20</v>
      </c>
      <c r="ET145" s="16" t="s">
        <v>20</v>
      </c>
      <c r="EU145" s="16"/>
      <c r="EV145" s="16"/>
      <c r="EW145" s="17"/>
      <c r="FA145" s="17"/>
      <c r="FB145" s="60"/>
      <c r="FC145" s="16"/>
      <c r="FD145" s="16" t="s">
        <v>20</v>
      </c>
      <c r="FE145" s="16" t="s">
        <v>20</v>
      </c>
      <c r="FF145" s="16"/>
      <c r="FG145" s="16"/>
      <c r="FH145" s="17"/>
      <c r="FL145" s="17"/>
      <c r="FM145" s="60"/>
      <c r="FN145" s="16"/>
      <c r="FO145" s="16" t="s">
        <v>20</v>
      </c>
      <c r="FP145" s="16" t="s">
        <v>20</v>
      </c>
      <c r="FQ145" s="16"/>
      <c r="FR145" s="16"/>
      <c r="FS145" s="17"/>
      <c r="FW145" s="17"/>
      <c r="FX145" s="60"/>
      <c r="FY145" s="16"/>
      <c r="FZ145" s="16" t="s">
        <v>20</v>
      </c>
      <c r="GA145" s="16" t="s">
        <v>20</v>
      </c>
      <c r="GB145" s="16"/>
      <c r="GC145" s="16"/>
      <c r="GD145" s="17"/>
      <c r="GH145" s="17"/>
      <c r="GI145" s="60"/>
      <c r="GJ145" s="16"/>
      <c r="GK145" s="16" t="s">
        <v>20</v>
      </c>
      <c r="GL145" s="16" t="s">
        <v>20</v>
      </c>
      <c r="GM145" s="16"/>
      <c r="GN145" s="16"/>
      <c r="GO145" s="17"/>
      <c r="GS145" s="17"/>
      <c r="GT145" s="60"/>
      <c r="GU145" s="16"/>
      <c r="GV145" s="16" t="s">
        <v>20</v>
      </c>
      <c r="GW145" s="16" t="s">
        <v>20</v>
      </c>
      <c r="GX145" s="16"/>
      <c r="GY145" s="16"/>
      <c r="GZ145" s="17"/>
      <c r="HD145" s="17"/>
      <c r="HE145" s="60"/>
      <c r="HF145" s="16"/>
      <c r="HG145" s="16" t="s">
        <v>20</v>
      </c>
      <c r="HH145" s="16" t="s">
        <v>20</v>
      </c>
      <c r="HI145" s="16"/>
      <c r="HJ145" s="16"/>
      <c r="HK145" s="17"/>
      <c r="HO145" s="17"/>
      <c r="HP145" s="60"/>
      <c r="HQ145" s="16"/>
      <c r="HR145" s="16" t="s">
        <v>20</v>
      </c>
      <c r="HS145" s="16" t="s">
        <v>20</v>
      </c>
      <c r="HT145" s="16"/>
      <c r="HU145" s="16"/>
      <c r="HV145" s="17"/>
      <c r="HZ145" s="17"/>
      <c r="IA145" s="60"/>
      <c r="IB145" s="16"/>
      <c r="IC145" s="16" t="s">
        <v>20</v>
      </c>
      <c r="ID145" s="16" t="s">
        <v>20</v>
      </c>
      <c r="IE145" s="16"/>
      <c r="IF145" s="16"/>
      <c r="IG145" s="17"/>
      <c r="IK145" s="17"/>
      <c r="IL145" s="60"/>
      <c r="IM145" s="16"/>
      <c r="IN145" s="16" t="s">
        <v>20</v>
      </c>
      <c r="IO145" s="16" t="s">
        <v>20</v>
      </c>
      <c r="IP145" s="16"/>
      <c r="IQ145" s="16"/>
      <c r="IR145" s="17"/>
      <c r="IV145" s="17"/>
      <c r="IW145" s="60"/>
      <c r="IX145" s="16"/>
      <c r="IY145" s="16" t="s">
        <v>20</v>
      </c>
      <c r="IZ145" s="16" t="s">
        <v>20</v>
      </c>
      <c r="JA145" s="16"/>
      <c r="JB145" s="16"/>
      <c r="JC145" s="17"/>
      <c r="JG145" s="17"/>
      <c r="JH145" s="60"/>
      <c r="JI145" s="16"/>
      <c r="JJ145" s="16" t="s">
        <v>20</v>
      </c>
      <c r="JK145" s="16" t="s">
        <v>20</v>
      </c>
      <c r="JL145" s="16"/>
      <c r="JM145" s="16"/>
      <c r="JN145" s="17"/>
      <c r="JR145" s="17"/>
      <c r="JS145" s="60"/>
      <c r="JT145" s="16"/>
      <c r="JU145" s="16" t="s">
        <v>20</v>
      </c>
      <c r="JV145" s="16" t="s">
        <v>20</v>
      </c>
      <c r="JW145" s="16"/>
      <c r="JX145" s="16"/>
      <c r="JY145" s="17"/>
      <c r="KC145" s="17"/>
      <c r="KD145" s="60"/>
      <c r="KE145" s="16"/>
      <c r="KF145" s="16" t="s">
        <v>20</v>
      </c>
      <c r="KG145" s="16" t="s">
        <v>20</v>
      </c>
      <c r="KH145" s="16"/>
      <c r="KI145" s="16"/>
      <c r="KJ145" s="17"/>
      <c r="KN145" s="17"/>
      <c r="KO145" s="60"/>
      <c r="KP145" s="16"/>
      <c r="KQ145" s="16" t="s">
        <v>20</v>
      </c>
      <c r="KR145" s="16" t="s">
        <v>20</v>
      </c>
      <c r="KS145" s="16"/>
      <c r="KT145" s="16"/>
      <c r="KU145" s="17"/>
      <c r="KY145" s="17"/>
      <c r="KZ145" s="60"/>
      <c r="LA145" s="16"/>
      <c r="LB145" s="16" t="s">
        <v>20</v>
      </c>
      <c r="LC145" s="16" t="s">
        <v>20</v>
      </c>
      <c r="LD145" s="16"/>
      <c r="LE145" s="16"/>
      <c r="LF145" s="17"/>
      <c r="LJ145" s="17"/>
      <c r="LK145" s="60"/>
      <c r="LL145" s="16"/>
      <c r="LM145" s="16" t="s">
        <v>20</v>
      </c>
      <c r="LN145" s="16" t="s">
        <v>20</v>
      </c>
      <c r="LO145" s="16"/>
      <c r="LP145" s="16"/>
      <c r="LQ145" s="17"/>
    </row>
    <row r="146">
      <c r="C146" s="31"/>
      <c r="D146" s="61"/>
      <c r="E146" s="16"/>
      <c r="F146" s="16" t="s">
        <v>20</v>
      </c>
      <c r="G146" s="21" t="s">
        <v>20</v>
      </c>
      <c r="H146" s="16"/>
      <c r="I146" s="16"/>
      <c r="J146" s="17"/>
      <c r="N146" s="17"/>
      <c r="O146" s="61"/>
      <c r="P146" s="16"/>
      <c r="Q146" s="16" t="s">
        <v>20</v>
      </c>
      <c r="R146" s="16"/>
      <c r="S146" s="16"/>
      <c r="T146" s="16"/>
      <c r="U146" s="17"/>
      <c r="Y146" s="17"/>
      <c r="Z146" s="61"/>
      <c r="AA146" s="16"/>
      <c r="AB146" s="16"/>
      <c r="AC146" s="16"/>
      <c r="AD146" s="16"/>
      <c r="AE146" s="16"/>
      <c r="AF146" s="17"/>
      <c r="AJ146" s="17"/>
      <c r="AK146" s="61"/>
      <c r="AL146" s="16"/>
      <c r="AM146" s="16"/>
      <c r="AN146" s="16"/>
      <c r="AO146" s="16"/>
      <c r="AP146" s="16"/>
      <c r="AQ146" s="17"/>
      <c r="AU146" s="17"/>
      <c r="AV146" s="61"/>
      <c r="AW146" s="16"/>
      <c r="AX146" s="16"/>
      <c r="AY146" s="16"/>
      <c r="AZ146" s="16"/>
      <c r="BA146" s="16"/>
      <c r="BB146" s="17"/>
      <c r="BF146" s="17"/>
      <c r="BG146" s="61"/>
      <c r="BH146" s="16"/>
      <c r="BI146" s="16" t="s">
        <v>20</v>
      </c>
      <c r="BJ146" s="16" t="s">
        <v>20</v>
      </c>
      <c r="BK146" s="16"/>
      <c r="BL146" s="16"/>
      <c r="BM146" s="17"/>
      <c r="BQ146" s="17"/>
      <c r="BR146" s="61"/>
      <c r="BS146" s="16"/>
      <c r="BT146" s="16" t="s">
        <v>20</v>
      </c>
      <c r="BU146" s="16" t="s">
        <v>20</v>
      </c>
      <c r="BV146" s="16"/>
      <c r="BW146" s="16"/>
      <c r="BX146" s="17"/>
      <c r="CB146" s="17"/>
      <c r="CC146" s="61"/>
      <c r="CD146" s="16"/>
      <c r="CE146" s="16" t="s">
        <v>20</v>
      </c>
      <c r="CF146" s="16" t="s">
        <v>20</v>
      </c>
      <c r="CG146" s="16"/>
      <c r="CH146" s="16"/>
      <c r="CI146" s="17"/>
      <c r="CM146" s="17"/>
      <c r="CN146" s="61"/>
      <c r="CO146" s="16"/>
      <c r="CP146" s="16" t="s">
        <v>20</v>
      </c>
      <c r="CQ146" s="16" t="s">
        <v>20</v>
      </c>
      <c r="CR146" s="16"/>
      <c r="CS146" s="16"/>
      <c r="CT146" s="17"/>
      <c r="CX146" s="17"/>
      <c r="CY146" s="60"/>
      <c r="CZ146" s="16"/>
      <c r="DA146" s="16" t="s">
        <v>20</v>
      </c>
      <c r="DB146" s="16" t="s">
        <v>20</v>
      </c>
      <c r="DC146" s="16"/>
      <c r="DD146" s="16"/>
      <c r="DE146" s="17"/>
      <c r="DI146" s="17"/>
      <c r="DJ146" s="60"/>
      <c r="DK146" s="16"/>
      <c r="DL146" s="16" t="s">
        <v>20</v>
      </c>
      <c r="DM146" s="16" t="s">
        <v>20</v>
      </c>
      <c r="DN146" s="16"/>
      <c r="DO146" s="16"/>
      <c r="DP146" s="17"/>
      <c r="DT146" s="17"/>
      <c r="DU146" s="60"/>
      <c r="DV146" s="16"/>
      <c r="DW146" s="16" t="s">
        <v>20</v>
      </c>
      <c r="DX146" s="16" t="s">
        <v>20</v>
      </c>
      <c r="DY146" s="16"/>
      <c r="DZ146" s="16"/>
      <c r="EA146" s="17"/>
      <c r="EE146" s="17"/>
      <c r="EF146" s="60"/>
      <c r="EG146" s="16"/>
      <c r="EH146" s="16" t="s">
        <v>20</v>
      </c>
      <c r="EI146" s="16" t="s">
        <v>20</v>
      </c>
      <c r="EJ146" s="16"/>
      <c r="EK146" s="16"/>
      <c r="EL146" s="17"/>
      <c r="EP146" s="17"/>
      <c r="EQ146" s="60"/>
      <c r="ER146" s="16"/>
      <c r="ES146" s="16" t="s">
        <v>20</v>
      </c>
      <c r="ET146" s="16" t="s">
        <v>20</v>
      </c>
      <c r="EU146" s="16"/>
      <c r="EV146" s="16"/>
      <c r="EW146" s="17"/>
      <c r="FA146" s="17"/>
      <c r="FB146" s="60"/>
      <c r="FC146" s="16"/>
      <c r="FD146" s="16" t="s">
        <v>20</v>
      </c>
      <c r="FE146" s="16" t="s">
        <v>20</v>
      </c>
      <c r="FF146" s="16"/>
      <c r="FG146" s="16"/>
      <c r="FH146" s="17"/>
      <c r="FL146" s="17"/>
      <c r="FM146" s="60"/>
      <c r="FN146" s="16"/>
      <c r="FO146" s="16" t="s">
        <v>20</v>
      </c>
      <c r="FP146" s="16" t="s">
        <v>20</v>
      </c>
      <c r="FQ146" s="16"/>
      <c r="FR146" s="16"/>
      <c r="FS146" s="17"/>
      <c r="FW146" s="17"/>
      <c r="FX146" s="60"/>
      <c r="FY146" s="16"/>
      <c r="FZ146" s="16" t="s">
        <v>20</v>
      </c>
      <c r="GA146" s="16" t="s">
        <v>20</v>
      </c>
      <c r="GB146" s="16"/>
      <c r="GC146" s="16"/>
      <c r="GD146" s="17"/>
      <c r="GH146" s="17"/>
      <c r="GI146" s="60"/>
      <c r="GJ146" s="16"/>
      <c r="GK146" s="16" t="s">
        <v>20</v>
      </c>
      <c r="GL146" s="16" t="s">
        <v>20</v>
      </c>
      <c r="GM146" s="16"/>
      <c r="GN146" s="16"/>
      <c r="GO146" s="17"/>
      <c r="GS146" s="17"/>
      <c r="GT146" s="60"/>
      <c r="GU146" s="16"/>
      <c r="GV146" s="16" t="s">
        <v>20</v>
      </c>
      <c r="GW146" s="16" t="s">
        <v>20</v>
      </c>
      <c r="GX146" s="16"/>
      <c r="GY146" s="16"/>
      <c r="GZ146" s="17"/>
      <c r="HD146" s="17"/>
      <c r="HE146" s="60"/>
      <c r="HF146" s="16"/>
      <c r="HG146" s="16" t="s">
        <v>20</v>
      </c>
      <c r="HH146" s="16" t="s">
        <v>20</v>
      </c>
      <c r="HI146" s="16"/>
      <c r="HJ146" s="16"/>
      <c r="HK146" s="17"/>
      <c r="HO146" s="17"/>
      <c r="HP146" s="60"/>
      <c r="HQ146" s="16"/>
      <c r="HR146" s="16" t="s">
        <v>20</v>
      </c>
      <c r="HS146" s="16" t="s">
        <v>20</v>
      </c>
      <c r="HT146" s="16"/>
      <c r="HU146" s="16"/>
      <c r="HV146" s="17"/>
      <c r="HZ146" s="17"/>
      <c r="IA146" s="60"/>
      <c r="IB146" s="16"/>
      <c r="IC146" s="16" t="s">
        <v>20</v>
      </c>
      <c r="ID146" s="16" t="s">
        <v>20</v>
      </c>
      <c r="IE146" s="16"/>
      <c r="IF146" s="16"/>
      <c r="IG146" s="17"/>
      <c r="IK146" s="17"/>
      <c r="IL146" s="60"/>
      <c r="IM146" s="16"/>
      <c r="IN146" s="16" t="s">
        <v>20</v>
      </c>
      <c r="IO146" s="16" t="s">
        <v>20</v>
      </c>
      <c r="IP146" s="16"/>
      <c r="IQ146" s="16"/>
      <c r="IR146" s="17"/>
      <c r="IV146" s="17"/>
      <c r="IW146" s="60"/>
      <c r="IX146" s="16"/>
      <c r="IY146" s="16" t="s">
        <v>20</v>
      </c>
      <c r="IZ146" s="16" t="s">
        <v>20</v>
      </c>
      <c r="JA146" s="16"/>
      <c r="JB146" s="16"/>
      <c r="JC146" s="17"/>
      <c r="JG146" s="17"/>
      <c r="JH146" s="60"/>
      <c r="JI146" s="16"/>
      <c r="JJ146" s="16" t="s">
        <v>20</v>
      </c>
      <c r="JK146" s="16" t="s">
        <v>20</v>
      </c>
      <c r="JL146" s="16"/>
      <c r="JM146" s="16"/>
      <c r="JN146" s="17"/>
      <c r="JR146" s="17"/>
      <c r="JS146" s="60"/>
      <c r="JT146" s="16"/>
      <c r="JU146" s="16" t="s">
        <v>20</v>
      </c>
      <c r="JV146" s="16" t="s">
        <v>20</v>
      </c>
      <c r="JW146" s="16"/>
      <c r="JX146" s="16"/>
      <c r="JY146" s="17"/>
      <c r="KC146" s="17"/>
      <c r="KD146" s="60"/>
      <c r="KE146" s="16"/>
      <c r="KF146" s="16" t="s">
        <v>20</v>
      </c>
      <c r="KG146" s="16" t="s">
        <v>20</v>
      </c>
      <c r="KH146" s="16"/>
      <c r="KI146" s="16"/>
      <c r="KJ146" s="17"/>
      <c r="KN146" s="17"/>
      <c r="KO146" s="60"/>
      <c r="KP146" s="16"/>
      <c r="KQ146" s="16" t="s">
        <v>20</v>
      </c>
      <c r="KR146" s="16" t="s">
        <v>20</v>
      </c>
      <c r="KS146" s="16"/>
      <c r="KT146" s="16"/>
      <c r="KU146" s="17"/>
      <c r="KY146" s="17"/>
      <c r="KZ146" s="60"/>
      <c r="LA146" s="16"/>
      <c r="LB146" s="16" t="s">
        <v>20</v>
      </c>
      <c r="LC146" s="16" t="s">
        <v>20</v>
      </c>
      <c r="LD146" s="16"/>
      <c r="LE146" s="16"/>
      <c r="LF146" s="17"/>
      <c r="LJ146" s="17"/>
      <c r="LK146" s="60"/>
      <c r="LL146" s="16"/>
      <c r="LM146" s="16" t="s">
        <v>20</v>
      </c>
      <c r="LN146" s="16" t="s">
        <v>20</v>
      </c>
      <c r="LO146" s="16"/>
      <c r="LP146" s="16"/>
      <c r="LQ146" s="17"/>
    </row>
    <row r="147">
      <c r="C147" s="31"/>
      <c r="D147" s="61"/>
      <c r="E147" s="16"/>
      <c r="F147" s="16" t="s">
        <v>20</v>
      </c>
      <c r="G147" s="21" t="s">
        <v>20</v>
      </c>
      <c r="H147" s="16"/>
      <c r="I147" s="16"/>
      <c r="J147" s="17"/>
      <c r="N147" s="17"/>
      <c r="O147" s="61"/>
      <c r="P147" s="16"/>
      <c r="Q147" s="16" t="s">
        <v>20</v>
      </c>
      <c r="R147" s="16"/>
      <c r="S147" s="16"/>
      <c r="T147" s="16"/>
      <c r="U147" s="17"/>
      <c r="Y147" s="17"/>
      <c r="Z147" s="61"/>
      <c r="AA147" s="16"/>
      <c r="AB147" s="16"/>
      <c r="AC147" s="16"/>
      <c r="AD147" s="16"/>
      <c r="AE147" s="16"/>
      <c r="AF147" s="17"/>
      <c r="AJ147" s="17"/>
      <c r="AK147" s="61"/>
      <c r="AL147" s="16"/>
      <c r="AM147" s="16"/>
      <c r="AN147" s="16"/>
      <c r="AO147" s="16"/>
      <c r="AP147" s="16"/>
      <c r="AQ147" s="17"/>
      <c r="AU147" s="17"/>
      <c r="AV147" s="61"/>
      <c r="AW147" s="16"/>
      <c r="AX147" s="16"/>
      <c r="AY147" s="16"/>
      <c r="AZ147" s="16"/>
      <c r="BA147" s="16"/>
      <c r="BB147" s="17"/>
      <c r="BF147" s="17"/>
      <c r="BG147" s="61"/>
      <c r="BH147" s="16"/>
      <c r="BI147" s="16" t="s">
        <v>20</v>
      </c>
      <c r="BJ147" s="16" t="s">
        <v>20</v>
      </c>
      <c r="BK147" s="16"/>
      <c r="BL147" s="16"/>
      <c r="BM147" s="17"/>
      <c r="BQ147" s="17"/>
      <c r="BR147" s="61"/>
      <c r="BS147" s="16"/>
      <c r="BT147" s="16" t="s">
        <v>20</v>
      </c>
      <c r="BU147" s="16" t="s">
        <v>20</v>
      </c>
      <c r="BV147" s="16"/>
      <c r="BW147" s="16"/>
      <c r="BX147" s="17"/>
      <c r="CB147" s="17"/>
      <c r="CC147" s="61"/>
      <c r="CD147" s="16"/>
      <c r="CE147" s="16" t="s">
        <v>20</v>
      </c>
      <c r="CF147" s="16" t="s">
        <v>20</v>
      </c>
      <c r="CG147" s="16"/>
      <c r="CH147" s="16"/>
      <c r="CI147" s="17"/>
      <c r="CM147" s="17"/>
      <c r="CN147" s="61"/>
      <c r="CO147" s="16"/>
      <c r="CP147" s="16" t="s">
        <v>20</v>
      </c>
      <c r="CQ147" s="16" t="s">
        <v>20</v>
      </c>
      <c r="CR147" s="16"/>
      <c r="CS147" s="16"/>
      <c r="CT147" s="17"/>
      <c r="CX147" s="17"/>
      <c r="CY147" s="60"/>
      <c r="CZ147" s="16"/>
      <c r="DA147" s="16" t="s">
        <v>20</v>
      </c>
      <c r="DB147" s="16" t="s">
        <v>20</v>
      </c>
      <c r="DC147" s="16"/>
      <c r="DD147" s="16"/>
      <c r="DE147" s="17"/>
      <c r="DI147" s="17"/>
      <c r="DJ147" s="60"/>
      <c r="DK147" s="16"/>
      <c r="DL147" s="16" t="s">
        <v>20</v>
      </c>
      <c r="DM147" s="16" t="s">
        <v>20</v>
      </c>
      <c r="DN147" s="16"/>
      <c r="DO147" s="16"/>
      <c r="DP147" s="17"/>
      <c r="DT147" s="17"/>
      <c r="DU147" s="60"/>
      <c r="DV147" s="16"/>
      <c r="DW147" s="16" t="s">
        <v>20</v>
      </c>
      <c r="DX147" s="16" t="s">
        <v>20</v>
      </c>
      <c r="DY147" s="16"/>
      <c r="DZ147" s="16"/>
      <c r="EA147" s="17"/>
      <c r="EE147" s="17"/>
      <c r="EF147" s="60"/>
      <c r="EG147" s="16"/>
      <c r="EH147" s="16" t="s">
        <v>20</v>
      </c>
      <c r="EI147" s="16" t="s">
        <v>20</v>
      </c>
      <c r="EJ147" s="16"/>
      <c r="EK147" s="16"/>
      <c r="EL147" s="17"/>
      <c r="EP147" s="17"/>
      <c r="EQ147" s="60"/>
      <c r="ER147" s="16"/>
      <c r="ES147" s="16" t="s">
        <v>20</v>
      </c>
      <c r="ET147" s="16" t="s">
        <v>20</v>
      </c>
      <c r="EU147" s="16"/>
      <c r="EV147" s="16"/>
      <c r="EW147" s="17"/>
      <c r="FA147" s="17"/>
      <c r="FB147" s="60"/>
      <c r="FC147" s="16"/>
      <c r="FD147" s="16" t="s">
        <v>20</v>
      </c>
      <c r="FE147" s="16" t="s">
        <v>20</v>
      </c>
      <c r="FF147" s="16"/>
      <c r="FG147" s="16"/>
      <c r="FH147" s="17"/>
      <c r="FL147" s="17"/>
      <c r="FM147" s="60"/>
      <c r="FN147" s="16"/>
      <c r="FO147" s="16" t="s">
        <v>20</v>
      </c>
      <c r="FP147" s="16" t="s">
        <v>20</v>
      </c>
      <c r="FQ147" s="16"/>
      <c r="FR147" s="16"/>
      <c r="FS147" s="17"/>
      <c r="FW147" s="17"/>
      <c r="FX147" s="60"/>
      <c r="FY147" s="16"/>
      <c r="FZ147" s="16" t="s">
        <v>20</v>
      </c>
      <c r="GA147" s="16" t="s">
        <v>20</v>
      </c>
      <c r="GB147" s="16"/>
      <c r="GC147" s="16"/>
      <c r="GD147" s="17"/>
      <c r="GH147" s="17"/>
      <c r="GI147" s="60"/>
      <c r="GJ147" s="16"/>
      <c r="GK147" s="16" t="s">
        <v>20</v>
      </c>
      <c r="GL147" s="16" t="s">
        <v>20</v>
      </c>
      <c r="GM147" s="16"/>
      <c r="GN147" s="16"/>
      <c r="GO147" s="17"/>
      <c r="GS147" s="17"/>
      <c r="GT147" s="60"/>
      <c r="GU147" s="16"/>
      <c r="GV147" s="16" t="s">
        <v>20</v>
      </c>
      <c r="GW147" s="16" t="s">
        <v>20</v>
      </c>
      <c r="GX147" s="16"/>
      <c r="GY147" s="16"/>
      <c r="GZ147" s="17"/>
      <c r="HD147" s="17"/>
      <c r="HE147" s="60"/>
      <c r="HF147" s="16"/>
      <c r="HG147" s="16" t="s">
        <v>20</v>
      </c>
      <c r="HH147" s="16" t="s">
        <v>20</v>
      </c>
      <c r="HI147" s="16"/>
      <c r="HJ147" s="16"/>
      <c r="HK147" s="17"/>
      <c r="HO147" s="17"/>
      <c r="HP147" s="60"/>
      <c r="HQ147" s="16"/>
      <c r="HR147" s="16" t="s">
        <v>20</v>
      </c>
      <c r="HS147" s="16" t="s">
        <v>20</v>
      </c>
      <c r="HT147" s="16"/>
      <c r="HU147" s="16"/>
      <c r="HV147" s="17"/>
      <c r="HZ147" s="17"/>
      <c r="IA147" s="60"/>
      <c r="IB147" s="16"/>
      <c r="IC147" s="16" t="s">
        <v>20</v>
      </c>
      <c r="ID147" s="16" t="s">
        <v>20</v>
      </c>
      <c r="IE147" s="16"/>
      <c r="IF147" s="16"/>
      <c r="IG147" s="17"/>
      <c r="IK147" s="17"/>
      <c r="IL147" s="60"/>
      <c r="IM147" s="16"/>
      <c r="IN147" s="16" t="s">
        <v>20</v>
      </c>
      <c r="IO147" s="16" t="s">
        <v>20</v>
      </c>
      <c r="IP147" s="16"/>
      <c r="IQ147" s="16"/>
      <c r="IR147" s="17"/>
      <c r="IV147" s="17"/>
      <c r="IW147" s="60"/>
      <c r="IX147" s="16"/>
      <c r="IY147" s="16" t="s">
        <v>20</v>
      </c>
      <c r="IZ147" s="16" t="s">
        <v>20</v>
      </c>
      <c r="JA147" s="16"/>
      <c r="JB147" s="16"/>
      <c r="JC147" s="17"/>
      <c r="JG147" s="17"/>
      <c r="JH147" s="60"/>
      <c r="JI147" s="16"/>
      <c r="JJ147" s="16" t="s">
        <v>20</v>
      </c>
      <c r="JK147" s="16" t="s">
        <v>20</v>
      </c>
      <c r="JL147" s="16"/>
      <c r="JM147" s="16"/>
      <c r="JN147" s="17"/>
      <c r="JR147" s="17"/>
      <c r="JS147" s="60"/>
      <c r="JT147" s="16"/>
      <c r="JU147" s="16" t="s">
        <v>20</v>
      </c>
      <c r="JV147" s="16" t="s">
        <v>20</v>
      </c>
      <c r="JW147" s="16"/>
      <c r="JX147" s="16"/>
      <c r="JY147" s="17"/>
      <c r="KC147" s="17"/>
      <c r="KD147" s="60"/>
      <c r="KE147" s="16"/>
      <c r="KF147" s="16" t="s">
        <v>20</v>
      </c>
      <c r="KG147" s="16" t="s">
        <v>20</v>
      </c>
      <c r="KH147" s="16"/>
      <c r="KI147" s="16"/>
      <c r="KJ147" s="17"/>
      <c r="KN147" s="17"/>
      <c r="KO147" s="60"/>
      <c r="KP147" s="16"/>
      <c r="KQ147" s="16" t="s">
        <v>20</v>
      </c>
      <c r="KR147" s="16" t="s">
        <v>20</v>
      </c>
      <c r="KS147" s="16"/>
      <c r="KT147" s="16"/>
      <c r="KU147" s="17"/>
      <c r="KY147" s="17"/>
      <c r="KZ147" s="60"/>
      <c r="LA147" s="16"/>
      <c r="LB147" s="16" t="s">
        <v>20</v>
      </c>
      <c r="LC147" s="16" t="s">
        <v>20</v>
      </c>
      <c r="LD147" s="16"/>
      <c r="LE147" s="16"/>
      <c r="LF147" s="17"/>
      <c r="LJ147" s="17"/>
      <c r="LK147" s="60"/>
      <c r="LL147" s="16"/>
      <c r="LM147" s="16" t="s">
        <v>20</v>
      </c>
      <c r="LN147" s="16" t="s">
        <v>20</v>
      </c>
      <c r="LO147" s="16"/>
      <c r="LP147" s="16"/>
      <c r="LQ147" s="17"/>
    </row>
    <row r="148">
      <c r="C148" s="31"/>
      <c r="D148" s="61"/>
      <c r="E148" s="16"/>
      <c r="F148" s="16" t="s">
        <v>20</v>
      </c>
      <c r="G148" s="21" t="s">
        <v>20</v>
      </c>
      <c r="H148" s="16"/>
      <c r="I148" s="16"/>
      <c r="J148" s="17"/>
      <c r="N148" s="17"/>
      <c r="O148" s="61"/>
      <c r="P148" s="16"/>
      <c r="Q148" s="16" t="s">
        <v>20</v>
      </c>
      <c r="R148" s="16"/>
      <c r="S148" s="16"/>
      <c r="T148" s="16"/>
      <c r="U148" s="17"/>
      <c r="Y148" s="17"/>
      <c r="Z148" s="61"/>
      <c r="AA148" s="16"/>
      <c r="AB148" s="16"/>
      <c r="AC148" s="16"/>
      <c r="AD148" s="16"/>
      <c r="AE148" s="16"/>
      <c r="AF148" s="17"/>
      <c r="AJ148" s="17"/>
      <c r="AK148" s="61"/>
      <c r="AL148" s="16"/>
      <c r="AM148" s="16"/>
      <c r="AN148" s="16"/>
      <c r="AO148" s="16"/>
      <c r="AP148" s="16"/>
      <c r="AQ148" s="17"/>
      <c r="AU148" s="17"/>
      <c r="AV148" s="61"/>
      <c r="AW148" s="16"/>
      <c r="AX148" s="16"/>
      <c r="AY148" s="16"/>
      <c r="AZ148" s="16"/>
      <c r="BA148" s="16"/>
      <c r="BB148" s="17"/>
      <c r="BF148" s="17"/>
      <c r="BG148" s="61"/>
      <c r="BH148" s="16"/>
      <c r="BI148" s="16" t="s">
        <v>20</v>
      </c>
      <c r="BJ148" s="16" t="s">
        <v>20</v>
      </c>
      <c r="BK148" s="16"/>
      <c r="BL148" s="16"/>
      <c r="BM148" s="17"/>
      <c r="BQ148" s="17"/>
      <c r="BR148" s="61"/>
      <c r="BS148" s="16"/>
      <c r="BT148" s="16" t="s">
        <v>20</v>
      </c>
      <c r="BU148" s="16" t="s">
        <v>20</v>
      </c>
      <c r="BV148" s="16"/>
      <c r="BW148" s="16"/>
      <c r="BX148" s="17"/>
      <c r="CB148" s="17"/>
      <c r="CC148" s="61"/>
      <c r="CD148" s="16"/>
      <c r="CE148" s="16" t="s">
        <v>20</v>
      </c>
      <c r="CF148" s="16" t="s">
        <v>20</v>
      </c>
      <c r="CG148" s="16"/>
      <c r="CH148" s="16"/>
      <c r="CI148" s="17"/>
      <c r="CM148" s="17"/>
      <c r="CN148" s="61"/>
      <c r="CO148" s="16"/>
      <c r="CP148" s="16" t="s">
        <v>20</v>
      </c>
      <c r="CQ148" s="16" t="s">
        <v>20</v>
      </c>
      <c r="CR148" s="16"/>
      <c r="CS148" s="16"/>
      <c r="CT148" s="17"/>
      <c r="CX148" s="17"/>
      <c r="CY148" s="60"/>
      <c r="CZ148" s="16"/>
      <c r="DA148" s="16" t="s">
        <v>20</v>
      </c>
      <c r="DB148" s="16" t="s">
        <v>20</v>
      </c>
      <c r="DC148" s="16"/>
      <c r="DD148" s="16"/>
      <c r="DE148" s="17"/>
      <c r="DI148" s="17"/>
      <c r="DJ148" s="60"/>
      <c r="DK148" s="16"/>
      <c r="DL148" s="16" t="s">
        <v>20</v>
      </c>
      <c r="DM148" s="16" t="s">
        <v>20</v>
      </c>
      <c r="DN148" s="16"/>
      <c r="DO148" s="16"/>
      <c r="DP148" s="17"/>
      <c r="DT148" s="17"/>
      <c r="DU148" s="60"/>
      <c r="DV148" s="16"/>
      <c r="DW148" s="16" t="s">
        <v>20</v>
      </c>
      <c r="DX148" s="16" t="s">
        <v>20</v>
      </c>
      <c r="DY148" s="16"/>
      <c r="DZ148" s="16"/>
      <c r="EA148" s="17"/>
      <c r="EE148" s="17"/>
      <c r="EF148" s="60"/>
      <c r="EG148" s="16"/>
      <c r="EH148" s="16" t="s">
        <v>20</v>
      </c>
      <c r="EI148" s="16" t="s">
        <v>20</v>
      </c>
      <c r="EJ148" s="16"/>
      <c r="EK148" s="16"/>
      <c r="EL148" s="17"/>
      <c r="EP148" s="17"/>
      <c r="EQ148" s="60"/>
      <c r="ER148" s="16"/>
      <c r="ES148" s="16" t="s">
        <v>20</v>
      </c>
      <c r="ET148" s="16" t="s">
        <v>20</v>
      </c>
      <c r="EU148" s="16"/>
      <c r="EV148" s="16"/>
      <c r="EW148" s="17"/>
      <c r="FA148" s="17"/>
      <c r="FB148" s="60"/>
      <c r="FC148" s="16"/>
      <c r="FD148" s="16" t="s">
        <v>20</v>
      </c>
      <c r="FE148" s="16" t="s">
        <v>20</v>
      </c>
      <c r="FF148" s="16"/>
      <c r="FG148" s="16"/>
      <c r="FH148" s="17"/>
      <c r="FL148" s="17"/>
      <c r="FM148" s="60"/>
      <c r="FN148" s="16"/>
      <c r="FO148" s="16" t="s">
        <v>20</v>
      </c>
      <c r="FP148" s="16" t="s">
        <v>20</v>
      </c>
      <c r="FQ148" s="16"/>
      <c r="FR148" s="16"/>
      <c r="FS148" s="17"/>
      <c r="FW148" s="17"/>
      <c r="FX148" s="60"/>
      <c r="FY148" s="16"/>
      <c r="FZ148" s="16" t="s">
        <v>20</v>
      </c>
      <c r="GA148" s="16" t="s">
        <v>20</v>
      </c>
      <c r="GB148" s="16"/>
      <c r="GC148" s="16"/>
      <c r="GD148" s="17"/>
      <c r="GH148" s="17"/>
      <c r="GI148" s="60"/>
      <c r="GJ148" s="16"/>
      <c r="GK148" s="16" t="s">
        <v>20</v>
      </c>
      <c r="GL148" s="16" t="s">
        <v>20</v>
      </c>
      <c r="GM148" s="16"/>
      <c r="GN148" s="16"/>
      <c r="GO148" s="17"/>
      <c r="GS148" s="17"/>
      <c r="GT148" s="60"/>
      <c r="GU148" s="16"/>
      <c r="GV148" s="16" t="s">
        <v>20</v>
      </c>
      <c r="GW148" s="16" t="s">
        <v>20</v>
      </c>
      <c r="GX148" s="16"/>
      <c r="GY148" s="16"/>
      <c r="GZ148" s="17"/>
      <c r="HD148" s="17"/>
      <c r="HE148" s="60"/>
      <c r="HF148" s="16"/>
      <c r="HG148" s="16" t="s">
        <v>20</v>
      </c>
      <c r="HH148" s="16" t="s">
        <v>20</v>
      </c>
      <c r="HI148" s="16"/>
      <c r="HJ148" s="16"/>
      <c r="HK148" s="17"/>
      <c r="HO148" s="17"/>
      <c r="HP148" s="60"/>
      <c r="HQ148" s="16"/>
      <c r="HR148" s="16" t="s">
        <v>20</v>
      </c>
      <c r="HS148" s="16" t="s">
        <v>20</v>
      </c>
      <c r="HT148" s="16"/>
      <c r="HU148" s="16"/>
      <c r="HV148" s="17"/>
      <c r="HZ148" s="17"/>
      <c r="IA148" s="60"/>
      <c r="IB148" s="16"/>
      <c r="IC148" s="16" t="s">
        <v>20</v>
      </c>
      <c r="ID148" s="16" t="s">
        <v>20</v>
      </c>
      <c r="IE148" s="16"/>
      <c r="IF148" s="16"/>
      <c r="IG148" s="17"/>
      <c r="IK148" s="17"/>
      <c r="IL148" s="60"/>
      <c r="IM148" s="16"/>
      <c r="IN148" s="16" t="s">
        <v>20</v>
      </c>
      <c r="IO148" s="16" t="s">
        <v>20</v>
      </c>
      <c r="IP148" s="16"/>
      <c r="IQ148" s="16"/>
      <c r="IR148" s="17"/>
      <c r="IV148" s="17"/>
      <c r="IW148" s="60"/>
      <c r="IX148" s="16"/>
      <c r="IY148" s="16" t="s">
        <v>20</v>
      </c>
      <c r="IZ148" s="16" t="s">
        <v>20</v>
      </c>
      <c r="JA148" s="16"/>
      <c r="JB148" s="16"/>
      <c r="JC148" s="17"/>
      <c r="JG148" s="17"/>
      <c r="JH148" s="60"/>
      <c r="JI148" s="16"/>
      <c r="JJ148" s="16" t="s">
        <v>20</v>
      </c>
      <c r="JK148" s="16" t="s">
        <v>20</v>
      </c>
      <c r="JL148" s="16"/>
      <c r="JM148" s="16"/>
      <c r="JN148" s="17"/>
      <c r="JR148" s="17"/>
      <c r="JS148" s="60"/>
      <c r="JT148" s="16"/>
      <c r="JU148" s="16" t="s">
        <v>20</v>
      </c>
      <c r="JV148" s="16" t="s">
        <v>20</v>
      </c>
      <c r="JW148" s="16"/>
      <c r="JX148" s="16"/>
      <c r="JY148" s="17"/>
      <c r="KC148" s="17"/>
      <c r="KD148" s="60"/>
      <c r="KE148" s="16"/>
      <c r="KF148" s="16" t="s">
        <v>20</v>
      </c>
      <c r="KG148" s="16" t="s">
        <v>20</v>
      </c>
      <c r="KH148" s="16"/>
      <c r="KI148" s="16"/>
      <c r="KJ148" s="17"/>
      <c r="KN148" s="17"/>
      <c r="KO148" s="60"/>
      <c r="KP148" s="16"/>
      <c r="KQ148" s="16" t="s">
        <v>20</v>
      </c>
      <c r="KR148" s="16" t="s">
        <v>20</v>
      </c>
      <c r="KS148" s="16"/>
      <c r="KT148" s="16"/>
      <c r="KU148" s="17"/>
      <c r="KY148" s="17"/>
      <c r="KZ148" s="60"/>
      <c r="LA148" s="16"/>
      <c r="LB148" s="16" t="s">
        <v>20</v>
      </c>
      <c r="LC148" s="16" t="s">
        <v>20</v>
      </c>
      <c r="LD148" s="16"/>
      <c r="LE148" s="16"/>
      <c r="LF148" s="17"/>
      <c r="LJ148" s="17"/>
      <c r="LK148" s="60"/>
      <c r="LL148" s="16"/>
      <c r="LM148" s="16" t="s">
        <v>20</v>
      </c>
      <c r="LN148" s="16" t="s">
        <v>20</v>
      </c>
      <c r="LO148" s="16"/>
      <c r="LP148" s="16"/>
      <c r="LQ148" s="17"/>
    </row>
    <row r="149">
      <c r="C149" s="31"/>
      <c r="D149" s="61"/>
      <c r="E149" s="16"/>
      <c r="F149" s="16" t="s">
        <v>20</v>
      </c>
      <c r="G149" s="21" t="s">
        <v>20</v>
      </c>
      <c r="H149" s="16"/>
      <c r="I149" s="16"/>
      <c r="J149" s="17"/>
      <c r="N149" s="17"/>
      <c r="O149" s="61"/>
      <c r="P149" s="16"/>
      <c r="Q149" s="16" t="s">
        <v>20</v>
      </c>
      <c r="R149" s="16"/>
      <c r="S149" s="16"/>
      <c r="T149" s="16"/>
      <c r="U149" s="17"/>
      <c r="Y149" s="17"/>
      <c r="Z149" s="61"/>
      <c r="AA149" s="16"/>
      <c r="AB149" s="16"/>
      <c r="AC149" s="16"/>
      <c r="AD149" s="16"/>
      <c r="AE149" s="16"/>
      <c r="AF149" s="17"/>
      <c r="AJ149" s="17"/>
      <c r="AK149" s="61"/>
      <c r="AL149" s="16"/>
      <c r="AM149" s="16"/>
      <c r="AN149" s="16"/>
      <c r="AO149" s="16"/>
      <c r="AP149" s="16"/>
      <c r="AQ149" s="17"/>
      <c r="AU149" s="17"/>
      <c r="AV149" s="61"/>
      <c r="AW149" s="16"/>
      <c r="AX149" s="16"/>
      <c r="AY149" s="16"/>
      <c r="AZ149" s="16"/>
      <c r="BA149" s="16"/>
      <c r="BB149" s="17"/>
      <c r="BF149" s="17"/>
      <c r="BG149" s="61"/>
      <c r="BH149" s="16"/>
      <c r="BI149" s="16" t="s">
        <v>20</v>
      </c>
      <c r="BJ149" s="16" t="s">
        <v>20</v>
      </c>
      <c r="BK149" s="16"/>
      <c r="BL149" s="16"/>
      <c r="BM149" s="17"/>
      <c r="BQ149" s="17"/>
      <c r="BR149" s="61"/>
      <c r="BS149" s="16"/>
      <c r="BT149" s="16" t="s">
        <v>20</v>
      </c>
      <c r="BU149" s="16" t="s">
        <v>20</v>
      </c>
      <c r="BV149" s="16"/>
      <c r="BW149" s="16"/>
      <c r="BX149" s="17"/>
      <c r="CB149" s="17"/>
      <c r="CC149" s="61"/>
      <c r="CD149" s="16"/>
      <c r="CE149" s="16" t="s">
        <v>20</v>
      </c>
      <c r="CF149" s="16" t="s">
        <v>20</v>
      </c>
      <c r="CG149" s="16"/>
      <c r="CH149" s="16"/>
      <c r="CI149" s="17"/>
      <c r="CM149" s="17"/>
      <c r="CN149" s="61"/>
      <c r="CO149" s="16"/>
      <c r="CP149" s="16" t="s">
        <v>20</v>
      </c>
      <c r="CQ149" s="16" t="s">
        <v>20</v>
      </c>
      <c r="CR149" s="16"/>
      <c r="CS149" s="16"/>
      <c r="CT149" s="17"/>
      <c r="CX149" s="17"/>
      <c r="CY149" s="60"/>
      <c r="CZ149" s="16"/>
      <c r="DA149" s="16" t="s">
        <v>20</v>
      </c>
      <c r="DB149" s="16" t="s">
        <v>20</v>
      </c>
      <c r="DC149" s="16"/>
      <c r="DD149" s="16"/>
      <c r="DE149" s="17"/>
      <c r="DI149" s="17"/>
      <c r="DJ149" s="60"/>
      <c r="DK149" s="16"/>
      <c r="DL149" s="16" t="s">
        <v>20</v>
      </c>
      <c r="DM149" s="16" t="s">
        <v>20</v>
      </c>
      <c r="DN149" s="16"/>
      <c r="DO149" s="16"/>
      <c r="DP149" s="17"/>
      <c r="DT149" s="17"/>
      <c r="DU149" s="60"/>
      <c r="DV149" s="16"/>
      <c r="DW149" s="16" t="s">
        <v>20</v>
      </c>
      <c r="DX149" s="16" t="s">
        <v>20</v>
      </c>
      <c r="DY149" s="16"/>
      <c r="DZ149" s="16"/>
      <c r="EA149" s="17"/>
      <c r="EE149" s="17"/>
      <c r="EF149" s="60"/>
      <c r="EG149" s="16"/>
      <c r="EH149" s="16" t="s">
        <v>20</v>
      </c>
      <c r="EI149" s="16" t="s">
        <v>20</v>
      </c>
      <c r="EJ149" s="16"/>
      <c r="EK149" s="16"/>
      <c r="EL149" s="17"/>
      <c r="EP149" s="17"/>
      <c r="EQ149" s="60"/>
      <c r="ER149" s="16"/>
      <c r="ES149" s="16" t="s">
        <v>20</v>
      </c>
      <c r="ET149" s="16" t="s">
        <v>20</v>
      </c>
      <c r="EU149" s="16"/>
      <c r="EV149" s="16"/>
      <c r="EW149" s="17"/>
      <c r="FA149" s="17"/>
      <c r="FB149" s="60"/>
      <c r="FC149" s="16"/>
      <c r="FD149" s="16" t="s">
        <v>20</v>
      </c>
      <c r="FE149" s="16" t="s">
        <v>20</v>
      </c>
      <c r="FF149" s="16"/>
      <c r="FG149" s="16"/>
      <c r="FH149" s="17"/>
      <c r="FL149" s="17"/>
      <c r="FM149" s="60"/>
      <c r="FN149" s="16"/>
      <c r="FO149" s="16" t="s">
        <v>20</v>
      </c>
      <c r="FP149" s="16" t="s">
        <v>20</v>
      </c>
      <c r="FQ149" s="16"/>
      <c r="FR149" s="16"/>
      <c r="FS149" s="17"/>
      <c r="FW149" s="17"/>
      <c r="FX149" s="60"/>
      <c r="FY149" s="16"/>
      <c r="FZ149" s="16" t="s">
        <v>20</v>
      </c>
      <c r="GA149" s="16" t="s">
        <v>20</v>
      </c>
      <c r="GB149" s="16"/>
      <c r="GC149" s="16"/>
      <c r="GD149" s="17"/>
      <c r="GH149" s="17"/>
      <c r="GI149" s="60"/>
      <c r="GJ149" s="16"/>
      <c r="GK149" s="16" t="s">
        <v>20</v>
      </c>
      <c r="GL149" s="16" t="s">
        <v>20</v>
      </c>
      <c r="GM149" s="16"/>
      <c r="GN149" s="16"/>
      <c r="GO149" s="17"/>
      <c r="GS149" s="17"/>
      <c r="GT149" s="60"/>
      <c r="GU149" s="16"/>
      <c r="GV149" s="16" t="s">
        <v>20</v>
      </c>
      <c r="GW149" s="16" t="s">
        <v>20</v>
      </c>
      <c r="GX149" s="16"/>
      <c r="GY149" s="16"/>
      <c r="GZ149" s="17"/>
      <c r="HD149" s="17"/>
      <c r="HE149" s="60"/>
      <c r="HF149" s="16"/>
      <c r="HG149" s="16" t="s">
        <v>20</v>
      </c>
      <c r="HH149" s="16" t="s">
        <v>20</v>
      </c>
      <c r="HI149" s="16"/>
      <c r="HJ149" s="16"/>
      <c r="HK149" s="17"/>
      <c r="HO149" s="17"/>
      <c r="HP149" s="60"/>
      <c r="HQ149" s="16"/>
      <c r="HR149" s="16" t="s">
        <v>20</v>
      </c>
      <c r="HS149" s="16" t="s">
        <v>20</v>
      </c>
      <c r="HT149" s="16"/>
      <c r="HU149" s="16"/>
      <c r="HV149" s="17"/>
      <c r="HZ149" s="17"/>
      <c r="IA149" s="60"/>
      <c r="IB149" s="16"/>
      <c r="IC149" s="16" t="s">
        <v>20</v>
      </c>
      <c r="ID149" s="16" t="s">
        <v>20</v>
      </c>
      <c r="IE149" s="16"/>
      <c r="IF149" s="16"/>
      <c r="IG149" s="17"/>
      <c r="IK149" s="17"/>
      <c r="IL149" s="60"/>
      <c r="IM149" s="16"/>
      <c r="IN149" s="16" t="s">
        <v>20</v>
      </c>
      <c r="IO149" s="16" t="s">
        <v>20</v>
      </c>
      <c r="IP149" s="16"/>
      <c r="IQ149" s="16"/>
      <c r="IR149" s="17"/>
      <c r="IV149" s="17"/>
      <c r="IW149" s="60"/>
      <c r="IX149" s="16"/>
      <c r="IY149" s="16" t="s">
        <v>20</v>
      </c>
      <c r="IZ149" s="16" t="s">
        <v>20</v>
      </c>
      <c r="JA149" s="16"/>
      <c r="JB149" s="16"/>
      <c r="JC149" s="17"/>
      <c r="JG149" s="17"/>
      <c r="JH149" s="60"/>
      <c r="JI149" s="16"/>
      <c r="JJ149" s="16" t="s">
        <v>20</v>
      </c>
      <c r="JK149" s="16" t="s">
        <v>20</v>
      </c>
      <c r="JL149" s="16"/>
      <c r="JM149" s="16"/>
      <c r="JN149" s="17"/>
      <c r="JR149" s="17"/>
      <c r="JS149" s="60"/>
      <c r="JT149" s="16"/>
      <c r="JU149" s="16" t="s">
        <v>20</v>
      </c>
      <c r="JV149" s="16" t="s">
        <v>20</v>
      </c>
      <c r="JW149" s="16"/>
      <c r="JX149" s="16"/>
      <c r="JY149" s="17"/>
      <c r="KC149" s="17"/>
      <c r="KD149" s="60"/>
      <c r="KE149" s="16"/>
      <c r="KF149" s="16" t="s">
        <v>20</v>
      </c>
      <c r="KG149" s="16" t="s">
        <v>20</v>
      </c>
      <c r="KH149" s="16"/>
      <c r="KI149" s="16"/>
      <c r="KJ149" s="17"/>
      <c r="KN149" s="17"/>
      <c r="KO149" s="60"/>
      <c r="KP149" s="16"/>
      <c r="KQ149" s="16" t="s">
        <v>20</v>
      </c>
      <c r="KR149" s="16" t="s">
        <v>20</v>
      </c>
      <c r="KS149" s="16"/>
      <c r="KT149" s="16"/>
      <c r="KU149" s="17"/>
      <c r="KY149" s="17"/>
      <c r="KZ149" s="60"/>
      <c r="LA149" s="16"/>
      <c r="LB149" s="16" t="s">
        <v>20</v>
      </c>
      <c r="LC149" s="16" t="s">
        <v>20</v>
      </c>
      <c r="LD149" s="16"/>
      <c r="LE149" s="16"/>
      <c r="LF149" s="17"/>
      <c r="LJ149" s="17"/>
      <c r="LK149" s="60"/>
      <c r="LL149" s="16"/>
      <c r="LM149" s="16" t="s">
        <v>20</v>
      </c>
      <c r="LN149" s="16" t="s">
        <v>20</v>
      </c>
      <c r="LO149" s="16"/>
      <c r="LP149" s="16"/>
      <c r="LQ149" s="17"/>
    </row>
    <row r="150">
      <c r="C150" s="31"/>
      <c r="D150" s="61"/>
      <c r="E150" s="16"/>
      <c r="F150" s="16" t="s">
        <v>20</v>
      </c>
      <c r="G150" s="21" t="s">
        <v>20</v>
      </c>
      <c r="H150" s="16"/>
      <c r="I150" s="16"/>
      <c r="J150" s="17"/>
      <c r="N150" s="17"/>
      <c r="O150" s="61"/>
      <c r="P150" s="16"/>
      <c r="Q150" s="16" t="s">
        <v>20</v>
      </c>
      <c r="R150" s="16"/>
      <c r="S150" s="16"/>
      <c r="T150" s="16"/>
      <c r="U150" s="17"/>
      <c r="Y150" s="17"/>
      <c r="Z150" s="61"/>
      <c r="AA150" s="16"/>
      <c r="AB150" s="16"/>
      <c r="AC150" s="16"/>
      <c r="AD150" s="16"/>
      <c r="AE150" s="16"/>
      <c r="AF150" s="17"/>
      <c r="AJ150" s="17"/>
      <c r="AK150" s="61"/>
      <c r="AL150" s="16"/>
      <c r="AM150" s="16"/>
      <c r="AN150" s="16"/>
      <c r="AO150" s="16"/>
      <c r="AP150" s="16"/>
      <c r="AQ150" s="17"/>
      <c r="AU150" s="17"/>
      <c r="AV150" s="61"/>
      <c r="AW150" s="16"/>
      <c r="AX150" s="16"/>
      <c r="AY150" s="16"/>
      <c r="AZ150" s="16"/>
      <c r="BA150" s="16"/>
      <c r="BB150" s="17"/>
      <c r="BF150" s="17"/>
      <c r="BG150" s="61"/>
      <c r="BH150" s="16"/>
      <c r="BI150" s="16" t="s">
        <v>20</v>
      </c>
      <c r="BJ150" s="16" t="s">
        <v>20</v>
      </c>
      <c r="BK150" s="16"/>
      <c r="BL150" s="16"/>
      <c r="BM150" s="17"/>
      <c r="BQ150" s="17"/>
      <c r="BR150" s="61"/>
      <c r="BS150" s="16"/>
      <c r="BT150" s="16" t="s">
        <v>20</v>
      </c>
      <c r="BU150" s="16" t="s">
        <v>20</v>
      </c>
      <c r="BV150" s="16"/>
      <c r="BW150" s="16"/>
      <c r="BX150" s="17"/>
      <c r="CB150" s="17"/>
      <c r="CC150" s="61"/>
      <c r="CD150" s="16"/>
      <c r="CE150" s="16" t="s">
        <v>20</v>
      </c>
      <c r="CF150" s="16" t="s">
        <v>20</v>
      </c>
      <c r="CG150" s="16"/>
      <c r="CH150" s="16"/>
      <c r="CI150" s="17"/>
      <c r="CM150" s="17"/>
      <c r="CN150" s="61"/>
      <c r="CO150" s="16"/>
      <c r="CP150" s="16" t="s">
        <v>20</v>
      </c>
      <c r="CQ150" s="16" t="s">
        <v>20</v>
      </c>
      <c r="CR150" s="16"/>
      <c r="CS150" s="16"/>
      <c r="CT150" s="17"/>
      <c r="CX150" s="17"/>
      <c r="CY150" s="60"/>
      <c r="CZ150" s="16"/>
      <c r="DA150" s="16" t="s">
        <v>20</v>
      </c>
      <c r="DB150" s="16" t="s">
        <v>20</v>
      </c>
      <c r="DC150" s="16"/>
      <c r="DD150" s="16"/>
      <c r="DE150" s="17"/>
      <c r="DI150" s="17"/>
      <c r="DJ150" s="60"/>
      <c r="DK150" s="16"/>
      <c r="DL150" s="16" t="s">
        <v>20</v>
      </c>
      <c r="DM150" s="16" t="s">
        <v>20</v>
      </c>
      <c r="DN150" s="16"/>
      <c r="DO150" s="16"/>
      <c r="DP150" s="17"/>
      <c r="DT150" s="17"/>
      <c r="DU150" s="60"/>
      <c r="DV150" s="16"/>
      <c r="DW150" s="16" t="s">
        <v>20</v>
      </c>
      <c r="DX150" s="16" t="s">
        <v>20</v>
      </c>
      <c r="DY150" s="16"/>
      <c r="DZ150" s="16"/>
      <c r="EA150" s="17"/>
      <c r="EE150" s="17"/>
      <c r="EF150" s="60"/>
      <c r="EG150" s="16"/>
      <c r="EH150" s="16" t="s">
        <v>20</v>
      </c>
      <c r="EI150" s="16" t="s">
        <v>20</v>
      </c>
      <c r="EJ150" s="16"/>
      <c r="EK150" s="16"/>
      <c r="EL150" s="17"/>
      <c r="EP150" s="17"/>
      <c r="EQ150" s="60"/>
      <c r="ER150" s="16"/>
      <c r="ES150" s="16" t="s">
        <v>20</v>
      </c>
      <c r="ET150" s="16" t="s">
        <v>20</v>
      </c>
      <c r="EU150" s="16"/>
      <c r="EV150" s="16"/>
      <c r="EW150" s="17"/>
      <c r="FA150" s="17"/>
      <c r="FB150" s="60"/>
      <c r="FC150" s="16"/>
      <c r="FD150" s="16" t="s">
        <v>20</v>
      </c>
      <c r="FE150" s="16" t="s">
        <v>20</v>
      </c>
      <c r="FF150" s="16"/>
      <c r="FG150" s="16"/>
      <c r="FH150" s="17"/>
      <c r="FL150" s="17"/>
      <c r="FM150" s="60"/>
      <c r="FN150" s="16"/>
      <c r="FO150" s="16" t="s">
        <v>20</v>
      </c>
      <c r="FP150" s="16" t="s">
        <v>20</v>
      </c>
      <c r="FQ150" s="16"/>
      <c r="FR150" s="16"/>
      <c r="FS150" s="17"/>
      <c r="FW150" s="17"/>
      <c r="FX150" s="60"/>
      <c r="FY150" s="16"/>
      <c r="FZ150" s="16" t="s">
        <v>20</v>
      </c>
      <c r="GA150" s="16" t="s">
        <v>20</v>
      </c>
      <c r="GB150" s="16"/>
      <c r="GC150" s="16"/>
      <c r="GD150" s="17"/>
      <c r="GH150" s="17"/>
      <c r="GI150" s="60"/>
      <c r="GJ150" s="16"/>
      <c r="GK150" s="16" t="s">
        <v>20</v>
      </c>
      <c r="GL150" s="16" t="s">
        <v>20</v>
      </c>
      <c r="GM150" s="16"/>
      <c r="GN150" s="16"/>
      <c r="GO150" s="17"/>
      <c r="GS150" s="17"/>
      <c r="GT150" s="60"/>
      <c r="GU150" s="16"/>
      <c r="GV150" s="16" t="s">
        <v>20</v>
      </c>
      <c r="GW150" s="16" t="s">
        <v>20</v>
      </c>
      <c r="GX150" s="16"/>
      <c r="GY150" s="16"/>
      <c r="GZ150" s="17"/>
      <c r="HD150" s="17"/>
      <c r="HE150" s="60"/>
      <c r="HF150" s="16"/>
      <c r="HG150" s="16" t="s">
        <v>20</v>
      </c>
      <c r="HH150" s="16" t="s">
        <v>20</v>
      </c>
      <c r="HI150" s="16"/>
      <c r="HJ150" s="16"/>
      <c r="HK150" s="17"/>
      <c r="HO150" s="17"/>
      <c r="HP150" s="60"/>
      <c r="HQ150" s="16"/>
      <c r="HR150" s="16" t="s">
        <v>20</v>
      </c>
      <c r="HS150" s="16" t="s">
        <v>20</v>
      </c>
      <c r="HT150" s="16"/>
      <c r="HU150" s="16"/>
      <c r="HV150" s="17"/>
      <c r="HZ150" s="17"/>
      <c r="IA150" s="60"/>
      <c r="IB150" s="16"/>
      <c r="IC150" s="16" t="s">
        <v>20</v>
      </c>
      <c r="ID150" s="16" t="s">
        <v>20</v>
      </c>
      <c r="IE150" s="16"/>
      <c r="IF150" s="16"/>
      <c r="IG150" s="17"/>
      <c r="IK150" s="17"/>
      <c r="IL150" s="60"/>
      <c r="IM150" s="16"/>
      <c r="IN150" s="16" t="s">
        <v>20</v>
      </c>
      <c r="IO150" s="16" t="s">
        <v>20</v>
      </c>
      <c r="IP150" s="16"/>
      <c r="IQ150" s="16"/>
      <c r="IR150" s="17"/>
      <c r="IV150" s="17"/>
      <c r="IW150" s="60"/>
      <c r="IX150" s="16"/>
      <c r="IY150" s="16" t="s">
        <v>20</v>
      </c>
      <c r="IZ150" s="16" t="s">
        <v>20</v>
      </c>
      <c r="JA150" s="16"/>
      <c r="JB150" s="16"/>
      <c r="JC150" s="17"/>
      <c r="JG150" s="17"/>
      <c r="JH150" s="60"/>
      <c r="JI150" s="16"/>
      <c r="JJ150" s="16" t="s">
        <v>20</v>
      </c>
      <c r="JK150" s="16" t="s">
        <v>20</v>
      </c>
      <c r="JL150" s="16"/>
      <c r="JM150" s="16"/>
      <c r="JN150" s="17"/>
      <c r="JR150" s="17"/>
      <c r="JS150" s="60"/>
      <c r="JT150" s="16"/>
      <c r="JU150" s="16" t="s">
        <v>20</v>
      </c>
      <c r="JV150" s="16" t="s">
        <v>20</v>
      </c>
      <c r="JW150" s="16"/>
      <c r="JX150" s="16"/>
      <c r="JY150" s="17"/>
      <c r="KC150" s="17"/>
      <c r="KD150" s="60"/>
      <c r="KE150" s="16"/>
      <c r="KF150" s="16" t="s">
        <v>20</v>
      </c>
      <c r="KG150" s="16" t="s">
        <v>20</v>
      </c>
      <c r="KH150" s="16"/>
      <c r="KI150" s="16"/>
      <c r="KJ150" s="17"/>
      <c r="KN150" s="17"/>
      <c r="KO150" s="60"/>
      <c r="KP150" s="16"/>
      <c r="KQ150" s="16" t="s">
        <v>20</v>
      </c>
      <c r="KR150" s="16" t="s">
        <v>20</v>
      </c>
      <c r="KS150" s="16"/>
      <c r="KT150" s="16"/>
      <c r="KU150" s="17"/>
      <c r="KY150" s="17"/>
      <c r="KZ150" s="60"/>
      <c r="LA150" s="16"/>
      <c r="LB150" s="16" t="s">
        <v>20</v>
      </c>
      <c r="LC150" s="16" t="s">
        <v>20</v>
      </c>
      <c r="LD150" s="16"/>
      <c r="LE150" s="16"/>
      <c r="LF150" s="17"/>
      <c r="LJ150" s="17"/>
      <c r="LK150" s="60"/>
      <c r="LL150" s="16"/>
      <c r="LM150" s="16" t="s">
        <v>20</v>
      </c>
      <c r="LN150" s="16" t="s">
        <v>20</v>
      </c>
      <c r="LO150" s="16"/>
      <c r="LP150" s="16"/>
      <c r="LQ150" s="17"/>
    </row>
    <row r="151">
      <c r="C151" s="31"/>
      <c r="D151" s="61"/>
      <c r="E151" s="16"/>
      <c r="F151" s="16"/>
      <c r="G151" s="21"/>
      <c r="H151" s="16"/>
      <c r="I151" s="16"/>
      <c r="J151" s="17"/>
      <c r="N151" s="17"/>
      <c r="O151" s="61"/>
      <c r="P151" s="16"/>
      <c r="Q151" s="16"/>
      <c r="R151" s="16"/>
      <c r="S151" s="16"/>
      <c r="T151" s="16"/>
      <c r="U151" s="17"/>
      <c r="Y151" s="24"/>
      <c r="Z151" s="61"/>
      <c r="AA151" s="16"/>
      <c r="AB151" s="16"/>
      <c r="AC151" s="16"/>
      <c r="AD151" s="16"/>
      <c r="AE151" s="16"/>
      <c r="AF151" s="17"/>
      <c r="AJ151" s="24"/>
      <c r="AK151" s="61"/>
      <c r="AL151" s="16"/>
      <c r="AM151" s="16"/>
      <c r="AN151" s="16"/>
      <c r="AO151" s="16"/>
      <c r="AP151" s="16"/>
      <c r="AQ151" s="17"/>
      <c r="AU151" s="24"/>
      <c r="AV151" s="61"/>
      <c r="AW151" s="16"/>
      <c r="AX151" s="16"/>
      <c r="AY151" s="16"/>
      <c r="AZ151" s="16"/>
      <c r="BA151" s="16"/>
      <c r="BB151" s="17"/>
      <c r="BF151" s="24"/>
      <c r="BG151" s="61"/>
      <c r="BH151" s="16"/>
      <c r="BI151" s="16"/>
      <c r="BJ151" s="16"/>
      <c r="BK151" s="16"/>
      <c r="BL151" s="16"/>
      <c r="BM151" s="17"/>
      <c r="BQ151" s="24"/>
      <c r="BR151" s="61"/>
      <c r="BS151" s="16"/>
      <c r="BT151" s="16"/>
      <c r="BU151" s="16"/>
      <c r="BV151" s="16"/>
      <c r="BW151" s="16"/>
      <c r="BX151" s="17"/>
      <c r="CB151" s="24"/>
      <c r="CC151" s="61"/>
      <c r="CD151" s="16"/>
      <c r="CE151" s="16"/>
      <c r="CF151" s="16"/>
      <c r="CG151" s="16"/>
      <c r="CH151" s="16"/>
      <c r="CI151" s="17"/>
      <c r="CM151" s="24"/>
      <c r="CN151" s="61"/>
      <c r="CO151" s="16"/>
      <c r="CP151" s="16"/>
      <c r="CQ151" s="16"/>
      <c r="CR151" s="16"/>
      <c r="CS151" s="16"/>
      <c r="CT151" s="17"/>
      <c r="CX151" s="24"/>
      <c r="CY151" s="60"/>
      <c r="CZ151" s="16"/>
      <c r="DA151" s="16"/>
      <c r="DB151" s="16"/>
      <c r="DC151" s="16"/>
      <c r="DD151" s="16"/>
      <c r="DE151" s="17"/>
      <c r="DI151" s="24"/>
      <c r="DJ151" s="60"/>
      <c r="DK151" s="16"/>
      <c r="DL151" s="16"/>
      <c r="DM151" s="16"/>
      <c r="DN151" s="16"/>
      <c r="DO151" s="16"/>
      <c r="DP151" s="17"/>
      <c r="DT151" s="24"/>
      <c r="DU151" s="60"/>
      <c r="DV151" s="16"/>
      <c r="DW151" s="16"/>
      <c r="DX151" s="16"/>
      <c r="DY151" s="16"/>
      <c r="DZ151" s="16"/>
      <c r="EA151" s="17"/>
      <c r="EE151" s="24"/>
      <c r="EF151" s="60"/>
      <c r="EG151" s="16"/>
      <c r="EH151" s="16"/>
      <c r="EI151" s="16"/>
      <c r="EJ151" s="16"/>
      <c r="EK151" s="16"/>
      <c r="EL151" s="17"/>
      <c r="EP151" s="24"/>
      <c r="EQ151" s="60"/>
      <c r="ER151" s="16"/>
      <c r="ES151" s="16"/>
      <c r="ET151" s="16"/>
      <c r="EU151" s="16"/>
      <c r="EV151" s="16"/>
      <c r="EW151" s="17"/>
      <c r="FA151" s="24"/>
      <c r="FB151" s="60"/>
      <c r="FC151" s="16"/>
      <c r="FD151" s="16"/>
      <c r="FE151" s="16"/>
      <c r="FF151" s="16"/>
      <c r="FG151" s="16"/>
      <c r="FH151" s="17"/>
      <c r="FL151" s="24"/>
      <c r="FM151" s="60"/>
      <c r="FN151" s="16"/>
      <c r="FO151" s="16"/>
      <c r="FP151" s="16"/>
      <c r="FQ151" s="16"/>
      <c r="FR151" s="16"/>
      <c r="FS151" s="17"/>
      <c r="FW151" s="24"/>
      <c r="FX151" s="60"/>
      <c r="FY151" s="16"/>
      <c r="FZ151" s="16"/>
      <c r="GA151" s="16"/>
      <c r="GB151" s="16"/>
      <c r="GC151" s="16"/>
      <c r="GD151" s="17"/>
      <c r="GH151" s="24"/>
      <c r="GI151" s="60"/>
      <c r="GJ151" s="16"/>
      <c r="GK151" s="16"/>
      <c r="GL151" s="16"/>
      <c r="GM151" s="16"/>
      <c r="GN151" s="16"/>
      <c r="GO151" s="17"/>
      <c r="GS151" s="24"/>
      <c r="GT151" s="60"/>
      <c r="GU151" s="16"/>
      <c r="GV151" s="16"/>
      <c r="GW151" s="16"/>
      <c r="GX151" s="16"/>
      <c r="GY151" s="16"/>
      <c r="GZ151" s="17"/>
      <c r="HD151" s="24"/>
      <c r="HE151" s="60"/>
      <c r="HF151" s="16"/>
      <c r="HG151" s="16"/>
      <c r="HH151" s="16"/>
      <c r="HI151" s="16"/>
      <c r="HJ151" s="16"/>
      <c r="HK151" s="17"/>
      <c r="HO151" s="24"/>
      <c r="HP151" s="60"/>
      <c r="HQ151" s="16"/>
      <c r="HR151" s="16"/>
      <c r="HS151" s="16"/>
      <c r="HT151" s="16"/>
      <c r="HU151" s="16"/>
      <c r="HV151" s="17"/>
      <c r="HZ151" s="24"/>
      <c r="IA151" s="60"/>
      <c r="IB151" s="16"/>
      <c r="IC151" s="16"/>
      <c r="ID151" s="16"/>
      <c r="IE151" s="16"/>
      <c r="IF151" s="16"/>
      <c r="IG151" s="17"/>
      <c r="IK151" s="24"/>
      <c r="IL151" s="60"/>
      <c r="IM151" s="16"/>
      <c r="IN151" s="16"/>
      <c r="IO151" s="16"/>
      <c r="IP151" s="16"/>
      <c r="IQ151" s="16"/>
      <c r="IR151" s="17"/>
      <c r="IV151" s="24"/>
      <c r="IW151" s="60"/>
      <c r="IX151" s="16"/>
      <c r="IY151" s="16"/>
      <c r="IZ151" s="16"/>
      <c r="JA151" s="16"/>
      <c r="JB151" s="16"/>
      <c r="JC151" s="17"/>
      <c r="JG151" s="24"/>
      <c r="JH151" s="60"/>
      <c r="JI151" s="16"/>
      <c r="JJ151" s="16"/>
      <c r="JK151" s="16"/>
      <c r="JL151" s="16"/>
      <c r="JM151" s="16"/>
      <c r="JN151" s="17"/>
      <c r="JR151" s="24"/>
      <c r="JS151" s="60"/>
      <c r="JT151" s="16"/>
      <c r="JU151" s="16"/>
      <c r="JV151" s="16"/>
      <c r="JW151" s="16"/>
      <c r="JX151" s="16"/>
      <c r="JY151" s="17"/>
      <c r="KC151" s="24"/>
      <c r="KD151" s="60"/>
      <c r="KE151" s="16"/>
      <c r="KF151" s="16"/>
      <c r="KG151" s="16"/>
      <c r="KH151" s="16"/>
      <c r="KI151" s="16"/>
      <c r="KJ151" s="17"/>
      <c r="KN151" s="24"/>
      <c r="KO151" s="60"/>
      <c r="KP151" s="16"/>
      <c r="KQ151" s="16"/>
      <c r="KR151" s="16"/>
      <c r="KS151" s="16"/>
      <c r="KT151" s="16"/>
      <c r="KU151" s="17"/>
      <c r="KY151" s="24"/>
      <c r="KZ151" s="60"/>
      <c r="LA151" s="16"/>
      <c r="LB151" s="16"/>
      <c r="LC151" s="16"/>
      <c r="LD151" s="16"/>
      <c r="LE151" s="16"/>
      <c r="LF151" s="17"/>
      <c r="LJ151" s="24"/>
      <c r="LK151" s="60"/>
      <c r="LL151" s="16"/>
      <c r="LM151" s="16"/>
      <c r="LN151" s="16"/>
      <c r="LO151" s="16"/>
      <c r="LP151" s="16"/>
      <c r="LQ151" s="17"/>
    </row>
    <row r="152">
      <c r="C152" s="31"/>
      <c r="D152" s="61"/>
      <c r="E152" s="16"/>
      <c r="F152" s="16"/>
      <c r="G152" s="21"/>
      <c r="H152" s="16"/>
      <c r="I152" s="16"/>
      <c r="J152" s="17"/>
      <c r="N152" s="17"/>
      <c r="O152" s="61"/>
      <c r="P152" s="16"/>
      <c r="Q152" s="16"/>
      <c r="R152" s="16"/>
      <c r="S152" s="16"/>
      <c r="T152" s="16"/>
      <c r="U152" s="17"/>
      <c r="Y152" s="24"/>
      <c r="Z152" s="61"/>
      <c r="AA152" s="16"/>
      <c r="AB152" s="16"/>
      <c r="AC152" s="16"/>
      <c r="AD152" s="16"/>
      <c r="AE152" s="16"/>
      <c r="AF152" s="17"/>
      <c r="AJ152" s="24"/>
      <c r="AK152" s="61"/>
      <c r="AL152" s="16"/>
      <c r="AM152" s="16"/>
      <c r="AN152" s="16"/>
      <c r="AO152" s="16"/>
      <c r="AP152" s="16"/>
      <c r="AQ152" s="17"/>
      <c r="AU152" s="24"/>
      <c r="AV152" s="61"/>
      <c r="AW152" s="16"/>
      <c r="AX152" s="16"/>
      <c r="AY152" s="16"/>
      <c r="AZ152" s="16"/>
      <c r="BA152" s="16"/>
      <c r="BB152" s="17"/>
      <c r="BF152" s="24"/>
      <c r="BG152" s="61"/>
      <c r="BH152" s="16"/>
      <c r="BI152" s="16"/>
      <c r="BJ152" s="16"/>
      <c r="BK152" s="16"/>
      <c r="BL152" s="16"/>
      <c r="BM152" s="17"/>
      <c r="BQ152" s="24"/>
      <c r="BR152" s="61"/>
      <c r="BS152" s="16"/>
      <c r="BT152" s="16"/>
      <c r="BU152" s="16"/>
      <c r="BV152" s="16"/>
      <c r="BW152" s="16"/>
      <c r="BX152" s="17"/>
      <c r="CB152" s="24"/>
      <c r="CC152" s="61"/>
      <c r="CD152" s="16"/>
      <c r="CE152" s="16"/>
      <c r="CF152" s="16"/>
      <c r="CG152" s="16"/>
      <c r="CH152" s="16"/>
      <c r="CI152" s="17"/>
      <c r="CM152" s="24"/>
      <c r="CN152" s="61"/>
      <c r="CO152" s="16"/>
      <c r="CP152" s="16"/>
      <c r="CQ152" s="16"/>
      <c r="CR152" s="16"/>
      <c r="CS152" s="16"/>
      <c r="CT152" s="17"/>
      <c r="CX152" s="24"/>
      <c r="CY152" s="60"/>
      <c r="CZ152" s="16"/>
      <c r="DA152" s="16"/>
      <c r="DB152" s="16"/>
      <c r="DC152" s="16"/>
      <c r="DD152" s="16"/>
      <c r="DE152" s="17"/>
      <c r="DI152" s="24"/>
      <c r="DJ152" s="60"/>
      <c r="DK152" s="16"/>
      <c r="DL152" s="16"/>
      <c r="DM152" s="16"/>
      <c r="DN152" s="16"/>
      <c r="DO152" s="16"/>
      <c r="DP152" s="17"/>
      <c r="DT152" s="24"/>
      <c r="DU152" s="60"/>
      <c r="DV152" s="16"/>
      <c r="DW152" s="16"/>
      <c r="DX152" s="16"/>
      <c r="DY152" s="16"/>
      <c r="DZ152" s="16"/>
      <c r="EA152" s="17"/>
      <c r="EE152" s="24"/>
      <c r="EF152" s="60"/>
      <c r="EG152" s="16"/>
      <c r="EH152" s="16"/>
      <c r="EI152" s="16"/>
      <c r="EJ152" s="16"/>
      <c r="EK152" s="16"/>
      <c r="EL152" s="17"/>
      <c r="EP152" s="24"/>
      <c r="EQ152" s="60"/>
      <c r="ER152" s="16"/>
      <c r="ES152" s="16"/>
      <c r="ET152" s="16"/>
      <c r="EU152" s="16"/>
      <c r="EV152" s="16"/>
      <c r="EW152" s="17"/>
      <c r="FA152" s="24"/>
      <c r="FB152" s="60"/>
      <c r="FC152" s="16"/>
      <c r="FD152" s="16"/>
      <c r="FE152" s="16"/>
      <c r="FF152" s="16"/>
      <c r="FG152" s="16"/>
      <c r="FH152" s="17"/>
      <c r="FL152" s="24"/>
      <c r="FM152" s="60"/>
      <c r="FN152" s="16"/>
      <c r="FO152" s="16"/>
      <c r="FP152" s="16"/>
      <c r="FQ152" s="16"/>
      <c r="FR152" s="16"/>
      <c r="FS152" s="17"/>
      <c r="FW152" s="24"/>
      <c r="FX152" s="60"/>
      <c r="FY152" s="16"/>
      <c r="FZ152" s="16"/>
      <c r="GA152" s="16"/>
      <c r="GB152" s="16"/>
      <c r="GC152" s="16"/>
      <c r="GD152" s="17"/>
      <c r="GH152" s="24"/>
      <c r="GI152" s="60"/>
      <c r="GJ152" s="16"/>
      <c r="GK152" s="16"/>
      <c r="GL152" s="16"/>
      <c r="GM152" s="16"/>
      <c r="GN152" s="16"/>
      <c r="GO152" s="17"/>
      <c r="GS152" s="24"/>
      <c r="GT152" s="60"/>
      <c r="GU152" s="16"/>
      <c r="GV152" s="16"/>
      <c r="GW152" s="16"/>
      <c r="GX152" s="16"/>
      <c r="GY152" s="16"/>
      <c r="GZ152" s="17"/>
      <c r="HD152" s="24"/>
      <c r="HE152" s="60"/>
      <c r="HF152" s="16"/>
      <c r="HG152" s="16"/>
      <c r="HH152" s="16"/>
      <c r="HI152" s="16"/>
      <c r="HJ152" s="16"/>
      <c r="HK152" s="17"/>
      <c r="HO152" s="24"/>
      <c r="HP152" s="60"/>
      <c r="HQ152" s="16"/>
      <c r="HR152" s="16"/>
      <c r="HS152" s="16"/>
      <c r="HT152" s="16"/>
      <c r="HU152" s="16"/>
      <c r="HV152" s="17"/>
      <c r="HZ152" s="24"/>
      <c r="IA152" s="60"/>
      <c r="IB152" s="16"/>
      <c r="IC152" s="16"/>
      <c r="ID152" s="16"/>
      <c r="IE152" s="16"/>
      <c r="IF152" s="16"/>
      <c r="IG152" s="17"/>
      <c r="IK152" s="24"/>
      <c r="IL152" s="60"/>
      <c r="IM152" s="16"/>
      <c r="IN152" s="16"/>
      <c r="IO152" s="16"/>
      <c r="IP152" s="16"/>
      <c r="IQ152" s="16"/>
      <c r="IR152" s="17"/>
      <c r="IV152" s="24"/>
      <c r="IW152" s="60"/>
      <c r="IX152" s="16"/>
      <c r="IY152" s="16"/>
      <c r="IZ152" s="16"/>
      <c r="JA152" s="16"/>
      <c r="JB152" s="16"/>
      <c r="JC152" s="17"/>
      <c r="JG152" s="24"/>
      <c r="JH152" s="60"/>
      <c r="JI152" s="16"/>
      <c r="JJ152" s="16"/>
      <c r="JK152" s="16"/>
      <c r="JL152" s="16"/>
      <c r="JM152" s="16"/>
      <c r="JN152" s="17"/>
      <c r="JR152" s="24"/>
      <c r="JS152" s="60"/>
      <c r="JT152" s="16"/>
      <c r="JU152" s="16"/>
      <c r="JV152" s="16"/>
      <c r="JW152" s="16"/>
      <c r="JX152" s="16"/>
      <c r="JY152" s="17"/>
      <c r="KC152" s="24"/>
      <c r="KD152" s="60"/>
      <c r="KE152" s="16"/>
      <c r="KF152" s="16"/>
      <c r="KG152" s="16"/>
      <c r="KH152" s="16"/>
      <c r="KI152" s="16"/>
      <c r="KJ152" s="17"/>
      <c r="KN152" s="24"/>
      <c r="KO152" s="60"/>
      <c r="KP152" s="16"/>
      <c r="KQ152" s="16"/>
      <c r="KR152" s="16"/>
      <c r="KS152" s="16"/>
      <c r="KT152" s="16"/>
      <c r="KU152" s="17"/>
      <c r="KY152" s="24"/>
      <c r="KZ152" s="60"/>
      <c r="LA152" s="16"/>
      <c r="LB152" s="16"/>
      <c r="LC152" s="16"/>
      <c r="LD152" s="16"/>
      <c r="LE152" s="16"/>
      <c r="LF152" s="17"/>
      <c r="LJ152" s="24"/>
      <c r="LK152" s="60"/>
      <c r="LL152" s="16"/>
      <c r="LM152" s="16"/>
      <c r="LN152" s="16"/>
      <c r="LO152" s="16"/>
      <c r="LP152" s="16"/>
      <c r="LQ152" s="17"/>
    </row>
    <row r="153">
      <c r="C153" s="31"/>
      <c r="D153" s="61"/>
      <c r="E153" s="16"/>
      <c r="F153" s="16"/>
      <c r="G153" s="21"/>
      <c r="H153" s="16"/>
      <c r="I153" s="16"/>
      <c r="J153" s="17"/>
      <c r="N153" s="17"/>
      <c r="O153" s="61"/>
      <c r="P153" s="16"/>
      <c r="Q153" s="16"/>
      <c r="R153" s="16"/>
      <c r="S153" s="16"/>
      <c r="T153" s="16"/>
      <c r="U153" s="17"/>
      <c r="Y153" s="24"/>
      <c r="Z153" s="61"/>
      <c r="AA153" s="16"/>
      <c r="AB153" s="16"/>
      <c r="AC153" s="16"/>
      <c r="AD153" s="16"/>
      <c r="AE153" s="16"/>
      <c r="AF153" s="17"/>
      <c r="AJ153" s="24"/>
      <c r="AK153" s="61"/>
      <c r="AL153" s="16"/>
      <c r="AM153" s="16"/>
      <c r="AN153" s="16"/>
      <c r="AO153" s="16"/>
      <c r="AP153" s="16"/>
      <c r="AQ153" s="17"/>
      <c r="AU153" s="24"/>
      <c r="AV153" s="61"/>
      <c r="AW153" s="16"/>
      <c r="AX153" s="16"/>
      <c r="AY153" s="16"/>
      <c r="AZ153" s="16"/>
      <c r="BA153" s="16"/>
      <c r="BB153" s="17"/>
      <c r="BF153" s="24"/>
      <c r="BG153" s="61"/>
      <c r="BH153" s="16"/>
      <c r="BI153" s="16"/>
      <c r="BJ153" s="16"/>
      <c r="BK153" s="16"/>
      <c r="BL153" s="16"/>
      <c r="BM153" s="17"/>
      <c r="BQ153" s="24"/>
      <c r="BR153" s="61"/>
      <c r="BS153" s="16"/>
      <c r="BT153" s="16"/>
      <c r="BU153" s="16"/>
      <c r="BV153" s="16"/>
      <c r="BW153" s="16"/>
      <c r="BX153" s="17"/>
      <c r="CB153" s="24"/>
      <c r="CC153" s="61"/>
      <c r="CD153" s="16"/>
      <c r="CE153" s="16"/>
      <c r="CF153" s="16"/>
      <c r="CG153" s="16"/>
      <c r="CH153" s="16"/>
      <c r="CI153" s="17"/>
      <c r="CM153" s="24"/>
      <c r="CN153" s="61"/>
      <c r="CO153" s="16"/>
      <c r="CP153" s="16"/>
      <c r="CQ153" s="16"/>
      <c r="CR153" s="16"/>
      <c r="CS153" s="16"/>
      <c r="CT153" s="17"/>
      <c r="CX153" s="24"/>
      <c r="CY153" s="60"/>
      <c r="CZ153" s="16"/>
      <c r="DA153" s="16"/>
      <c r="DB153" s="16"/>
      <c r="DC153" s="16"/>
      <c r="DD153" s="16"/>
      <c r="DE153" s="17"/>
      <c r="DI153" s="24"/>
      <c r="DJ153" s="60"/>
      <c r="DK153" s="16"/>
      <c r="DL153" s="16"/>
      <c r="DM153" s="16"/>
      <c r="DN153" s="16"/>
      <c r="DO153" s="16"/>
      <c r="DP153" s="17"/>
      <c r="DT153" s="24"/>
      <c r="DU153" s="60"/>
      <c r="DV153" s="16"/>
      <c r="DW153" s="16"/>
      <c r="DX153" s="16"/>
      <c r="DY153" s="16"/>
      <c r="DZ153" s="16"/>
      <c r="EA153" s="17"/>
      <c r="EE153" s="24"/>
      <c r="EF153" s="60"/>
      <c r="EG153" s="16"/>
      <c r="EH153" s="16"/>
      <c r="EI153" s="16"/>
      <c r="EJ153" s="16"/>
      <c r="EK153" s="16"/>
      <c r="EL153" s="17"/>
      <c r="EP153" s="24"/>
      <c r="EQ153" s="60"/>
      <c r="ER153" s="16"/>
      <c r="ES153" s="16"/>
      <c r="ET153" s="16"/>
      <c r="EU153" s="16"/>
      <c r="EV153" s="16"/>
      <c r="EW153" s="17"/>
      <c r="FA153" s="24"/>
      <c r="FB153" s="60"/>
      <c r="FC153" s="16"/>
      <c r="FD153" s="16"/>
      <c r="FE153" s="16"/>
      <c r="FF153" s="16"/>
      <c r="FG153" s="16"/>
      <c r="FH153" s="17"/>
      <c r="FL153" s="24"/>
      <c r="FM153" s="60"/>
      <c r="FN153" s="16"/>
      <c r="FO153" s="16"/>
      <c r="FP153" s="16"/>
      <c r="FQ153" s="16"/>
      <c r="FR153" s="16"/>
      <c r="FS153" s="17"/>
      <c r="FW153" s="24"/>
      <c r="FX153" s="60"/>
      <c r="FY153" s="16"/>
      <c r="FZ153" s="16"/>
      <c r="GA153" s="16"/>
      <c r="GB153" s="16"/>
      <c r="GC153" s="16"/>
      <c r="GD153" s="17"/>
      <c r="GH153" s="24"/>
      <c r="GI153" s="60"/>
      <c r="GJ153" s="16"/>
      <c r="GK153" s="16"/>
      <c r="GL153" s="16"/>
      <c r="GM153" s="16"/>
      <c r="GN153" s="16"/>
      <c r="GO153" s="17"/>
      <c r="GS153" s="24"/>
      <c r="GT153" s="60"/>
      <c r="GU153" s="16"/>
      <c r="GV153" s="16"/>
      <c r="GW153" s="16"/>
      <c r="GX153" s="16"/>
      <c r="GY153" s="16"/>
      <c r="GZ153" s="17"/>
      <c r="HD153" s="24"/>
      <c r="HE153" s="60"/>
      <c r="HF153" s="16"/>
      <c r="HG153" s="16"/>
      <c r="HH153" s="16"/>
      <c r="HI153" s="16"/>
      <c r="HJ153" s="16"/>
      <c r="HK153" s="17"/>
      <c r="HO153" s="24"/>
      <c r="HP153" s="60"/>
      <c r="HQ153" s="16"/>
      <c r="HR153" s="16"/>
      <c r="HS153" s="16"/>
      <c r="HT153" s="16"/>
      <c r="HU153" s="16"/>
      <c r="HV153" s="17"/>
      <c r="HZ153" s="24"/>
      <c r="IA153" s="60"/>
      <c r="IB153" s="16"/>
      <c r="IC153" s="16"/>
      <c r="ID153" s="16"/>
      <c r="IE153" s="16"/>
      <c r="IF153" s="16"/>
      <c r="IG153" s="17"/>
      <c r="IK153" s="24"/>
      <c r="IL153" s="60"/>
      <c r="IM153" s="16"/>
      <c r="IN153" s="16"/>
      <c r="IO153" s="16"/>
      <c r="IP153" s="16"/>
      <c r="IQ153" s="16"/>
      <c r="IR153" s="17"/>
      <c r="IV153" s="24"/>
      <c r="IW153" s="60"/>
      <c r="IX153" s="16"/>
      <c r="IY153" s="16"/>
      <c r="IZ153" s="16"/>
      <c r="JA153" s="16"/>
      <c r="JB153" s="16"/>
      <c r="JC153" s="17"/>
      <c r="JG153" s="24"/>
      <c r="JH153" s="60"/>
      <c r="JI153" s="16"/>
      <c r="JJ153" s="16"/>
      <c r="JK153" s="16"/>
      <c r="JL153" s="16"/>
      <c r="JM153" s="16"/>
      <c r="JN153" s="17"/>
      <c r="JR153" s="24"/>
      <c r="JS153" s="60"/>
      <c r="JT153" s="16"/>
      <c r="JU153" s="16"/>
      <c r="JV153" s="16"/>
      <c r="JW153" s="16"/>
      <c r="JX153" s="16"/>
      <c r="JY153" s="17"/>
      <c r="KC153" s="24"/>
      <c r="KD153" s="60"/>
      <c r="KE153" s="16"/>
      <c r="KF153" s="16"/>
      <c r="KG153" s="16"/>
      <c r="KH153" s="16"/>
      <c r="KI153" s="16"/>
      <c r="KJ153" s="17"/>
      <c r="KN153" s="24"/>
      <c r="KO153" s="60"/>
      <c r="KP153" s="16"/>
      <c r="KQ153" s="16"/>
      <c r="KR153" s="16"/>
      <c r="KS153" s="16"/>
      <c r="KT153" s="16"/>
      <c r="KU153" s="17"/>
      <c r="KY153" s="24"/>
      <c r="KZ153" s="60"/>
      <c r="LA153" s="16"/>
      <c r="LB153" s="16"/>
      <c r="LC153" s="16"/>
      <c r="LD153" s="16"/>
      <c r="LE153" s="16"/>
      <c r="LF153" s="17"/>
      <c r="LJ153" s="24"/>
      <c r="LK153" s="60"/>
      <c r="LL153" s="16"/>
      <c r="LM153" s="16"/>
      <c r="LN153" s="16"/>
      <c r="LO153" s="16"/>
      <c r="LP153" s="16"/>
      <c r="LQ153" s="17"/>
    </row>
    <row r="154">
      <c r="C154" s="31"/>
      <c r="D154" s="61"/>
      <c r="E154" s="16"/>
      <c r="F154" s="16"/>
      <c r="G154" s="21"/>
      <c r="H154" s="16"/>
      <c r="I154" s="16"/>
      <c r="J154" s="17"/>
      <c r="N154" s="17"/>
      <c r="O154" s="61"/>
      <c r="P154" s="16"/>
      <c r="Q154" s="16"/>
      <c r="R154" s="16"/>
      <c r="S154" s="16"/>
      <c r="T154" s="16"/>
      <c r="U154" s="17"/>
      <c r="Y154" s="24"/>
      <c r="Z154" s="61"/>
      <c r="AA154" s="16"/>
      <c r="AB154" s="16"/>
      <c r="AC154" s="16"/>
      <c r="AD154" s="16"/>
      <c r="AE154" s="16"/>
      <c r="AF154" s="17"/>
      <c r="AJ154" s="24"/>
      <c r="AK154" s="61"/>
      <c r="AL154" s="16"/>
      <c r="AM154" s="16"/>
      <c r="AN154" s="16"/>
      <c r="AO154" s="16"/>
      <c r="AP154" s="16"/>
      <c r="AQ154" s="17"/>
      <c r="AU154" s="24"/>
      <c r="AV154" s="61"/>
      <c r="AW154" s="16"/>
      <c r="AX154" s="16"/>
      <c r="AY154" s="16"/>
      <c r="AZ154" s="16"/>
      <c r="BA154" s="16"/>
      <c r="BB154" s="17"/>
      <c r="BF154" s="24"/>
      <c r="BG154" s="61"/>
      <c r="BH154" s="16"/>
      <c r="BI154" s="16"/>
      <c r="BJ154" s="16"/>
      <c r="BK154" s="16"/>
      <c r="BL154" s="16"/>
      <c r="BM154" s="17"/>
      <c r="BQ154" s="24"/>
      <c r="BR154" s="61"/>
      <c r="BS154" s="16"/>
      <c r="BT154" s="16"/>
      <c r="BU154" s="16"/>
      <c r="BV154" s="16"/>
      <c r="BW154" s="16"/>
      <c r="BX154" s="17"/>
      <c r="CB154" s="24"/>
      <c r="CC154" s="61"/>
      <c r="CD154" s="16"/>
      <c r="CE154" s="16"/>
      <c r="CF154" s="16"/>
      <c r="CG154" s="16"/>
      <c r="CH154" s="16"/>
      <c r="CI154" s="17"/>
      <c r="CM154" s="24"/>
      <c r="CN154" s="61"/>
      <c r="CO154" s="16"/>
      <c r="CP154" s="16"/>
      <c r="CQ154" s="16"/>
      <c r="CR154" s="16"/>
      <c r="CS154" s="16"/>
      <c r="CT154" s="17"/>
      <c r="CX154" s="24"/>
      <c r="CY154" s="60"/>
      <c r="CZ154" s="16"/>
      <c r="DA154" s="16"/>
      <c r="DB154" s="16"/>
      <c r="DC154" s="16"/>
      <c r="DD154" s="16"/>
      <c r="DE154" s="17"/>
      <c r="DI154" s="24"/>
      <c r="DJ154" s="60"/>
      <c r="DK154" s="16"/>
      <c r="DL154" s="16"/>
      <c r="DM154" s="16"/>
      <c r="DN154" s="16"/>
      <c r="DO154" s="16"/>
      <c r="DP154" s="17"/>
      <c r="DT154" s="24"/>
      <c r="DU154" s="60"/>
      <c r="DV154" s="16"/>
      <c r="DW154" s="16"/>
      <c r="DX154" s="16"/>
      <c r="DY154" s="16"/>
      <c r="DZ154" s="16"/>
      <c r="EA154" s="17"/>
      <c r="EE154" s="24"/>
      <c r="EF154" s="60"/>
      <c r="EG154" s="16"/>
      <c r="EH154" s="16"/>
      <c r="EI154" s="16"/>
      <c r="EJ154" s="16"/>
      <c r="EK154" s="16"/>
      <c r="EL154" s="17"/>
      <c r="EP154" s="24"/>
      <c r="EQ154" s="60"/>
      <c r="ER154" s="16"/>
      <c r="ES154" s="16"/>
      <c r="ET154" s="16"/>
      <c r="EU154" s="16"/>
      <c r="EV154" s="16"/>
      <c r="EW154" s="17"/>
      <c r="FA154" s="24"/>
      <c r="FB154" s="60"/>
      <c r="FC154" s="16"/>
      <c r="FD154" s="16"/>
      <c r="FE154" s="16"/>
      <c r="FF154" s="16"/>
      <c r="FG154" s="16"/>
      <c r="FH154" s="17"/>
      <c r="FL154" s="24"/>
      <c r="FM154" s="60"/>
      <c r="FN154" s="16"/>
      <c r="FO154" s="16"/>
      <c r="FP154" s="16"/>
      <c r="FQ154" s="16"/>
      <c r="FR154" s="16"/>
      <c r="FS154" s="17"/>
      <c r="FW154" s="24"/>
      <c r="FX154" s="60"/>
      <c r="FY154" s="16"/>
      <c r="FZ154" s="16"/>
      <c r="GA154" s="16"/>
      <c r="GB154" s="16"/>
      <c r="GC154" s="16"/>
      <c r="GD154" s="17"/>
      <c r="GH154" s="24"/>
      <c r="GI154" s="60"/>
      <c r="GJ154" s="16"/>
      <c r="GK154" s="16"/>
      <c r="GL154" s="16"/>
      <c r="GM154" s="16"/>
      <c r="GN154" s="16"/>
      <c r="GO154" s="17"/>
      <c r="GS154" s="24"/>
      <c r="GT154" s="60"/>
      <c r="GU154" s="16"/>
      <c r="GV154" s="16"/>
      <c r="GW154" s="16"/>
      <c r="GX154" s="16"/>
      <c r="GY154" s="16"/>
      <c r="GZ154" s="17"/>
      <c r="HD154" s="24"/>
      <c r="HE154" s="60"/>
      <c r="HF154" s="16"/>
      <c r="HG154" s="16"/>
      <c r="HH154" s="16"/>
      <c r="HI154" s="16"/>
      <c r="HJ154" s="16"/>
      <c r="HK154" s="17"/>
      <c r="HO154" s="24"/>
      <c r="HP154" s="60"/>
      <c r="HQ154" s="16"/>
      <c r="HR154" s="16"/>
      <c r="HS154" s="16"/>
      <c r="HT154" s="16"/>
      <c r="HU154" s="16"/>
      <c r="HV154" s="17"/>
      <c r="HZ154" s="24"/>
      <c r="IA154" s="60"/>
      <c r="IB154" s="16"/>
      <c r="IC154" s="16"/>
      <c r="ID154" s="16"/>
      <c r="IE154" s="16"/>
      <c r="IF154" s="16"/>
      <c r="IG154" s="17"/>
      <c r="IK154" s="24"/>
      <c r="IL154" s="60"/>
      <c r="IM154" s="16"/>
      <c r="IN154" s="16"/>
      <c r="IO154" s="16"/>
      <c r="IP154" s="16"/>
      <c r="IQ154" s="16"/>
      <c r="IR154" s="17"/>
      <c r="IV154" s="24"/>
      <c r="IW154" s="60"/>
      <c r="IX154" s="16"/>
      <c r="IY154" s="16"/>
      <c r="IZ154" s="16"/>
      <c r="JA154" s="16"/>
      <c r="JB154" s="16"/>
      <c r="JC154" s="17"/>
      <c r="JG154" s="24"/>
      <c r="JH154" s="60"/>
      <c r="JI154" s="16"/>
      <c r="JJ154" s="16"/>
      <c r="JK154" s="16"/>
      <c r="JL154" s="16"/>
      <c r="JM154" s="16"/>
      <c r="JN154" s="17"/>
      <c r="JR154" s="24"/>
      <c r="JS154" s="60"/>
      <c r="JT154" s="16"/>
      <c r="JU154" s="16"/>
      <c r="JV154" s="16"/>
      <c r="JW154" s="16"/>
      <c r="JX154" s="16"/>
      <c r="JY154" s="17"/>
      <c r="KC154" s="24"/>
      <c r="KD154" s="60"/>
      <c r="KE154" s="16"/>
      <c r="KF154" s="16"/>
      <c r="KG154" s="16"/>
      <c r="KH154" s="16"/>
      <c r="KI154" s="16"/>
      <c r="KJ154" s="17"/>
      <c r="KN154" s="24"/>
      <c r="KO154" s="60"/>
      <c r="KP154" s="16"/>
      <c r="KQ154" s="16"/>
      <c r="KR154" s="16"/>
      <c r="KS154" s="16"/>
      <c r="KT154" s="16"/>
      <c r="KU154" s="17"/>
      <c r="KY154" s="24"/>
      <c r="KZ154" s="60"/>
      <c r="LA154" s="16"/>
      <c r="LB154" s="16"/>
      <c r="LC154" s="16"/>
      <c r="LD154" s="16"/>
      <c r="LE154" s="16"/>
      <c r="LF154" s="17"/>
      <c r="LJ154" s="24"/>
      <c r="LK154" s="60"/>
      <c r="LL154" s="16"/>
      <c r="LM154" s="16"/>
      <c r="LN154" s="16"/>
      <c r="LO154" s="16"/>
      <c r="LP154" s="16"/>
      <c r="LQ154" s="17"/>
    </row>
    <row r="155">
      <c r="C155" s="31"/>
      <c r="D155" s="61"/>
      <c r="E155" s="16"/>
      <c r="F155" s="16"/>
      <c r="G155" s="21"/>
      <c r="H155" s="16"/>
      <c r="I155" s="16"/>
      <c r="J155" s="17"/>
      <c r="N155" s="17"/>
      <c r="O155" s="61"/>
      <c r="P155" s="16"/>
      <c r="Q155" s="16"/>
      <c r="R155" s="16"/>
      <c r="S155" s="16"/>
      <c r="T155" s="16"/>
      <c r="U155" s="17"/>
      <c r="Y155" s="24"/>
      <c r="Z155" s="61"/>
      <c r="AA155" s="16"/>
      <c r="AB155" s="16"/>
      <c r="AC155" s="16"/>
      <c r="AD155" s="16"/>
      <c r="AE155" s="16"/>
      <c r="AF155" s="17"/>
      <c r="AJ155" s="24"/>
      <c r="AK155" s="61"/>
      <c r="AL155" s="16"/>
      <c r="AM155" s="16"/>
      <c r="AN155" s="16"/>
      <c r="AO155" s="16"/>
      <c r="AP155" s="16"/>
      <c r="AQ155" s="17"/>
      <c r="AU155" s="24"/>
      <c r="AV155" s="61"/>
      <c r="AW155" s="16"/>
      <c r="AX155" s="16"/>
      <c r="AY155" s="16"/>
      <c r="AZ155" s="16"/>
      <c r="BA155" s="16"/>
      <c r="BB155" s="17"/>
      <c r="BF155" s="24"/>
      <c r="BG155" s="61"/>
      <c r="BH155" s="16"/>
      <c r="BI155" s="16"/>
      <c r="BJ155" s="16"/>
      <c r="BK155" s="16"/>
      <c r="BL155" s="16"/>
      <c r="BM155" s="17"/>
      <c r="BQ155" s="24"/>
      <c r="BR155" s="61"/>
      <c r="BS155" s="16"/>
      <c r="BT155" s="16"/>
      <c r="BU155" s="16"/>
      <c r="BV155" s="16"/>
      <c r="BW155" s="16"/>
      <c r="BX155" s="17"/>
      <c r="CB155" s="24"/>
      <c r="CC155" s="61"/>
      <c r="CD155" s="16"/>
      <c r="CE155" s="16"/>
      <c r="CF155" s="16"/>
      <c r="CG155" s="16"/>
      <c r="CH155" s="16"/>
      <c r="CI155" s="17"/>
      <c r="CM155" s="24"/>
      <c r="CN155" s="61"/>
      <c r="CO155" s="16"/>
      <c r="CP155" s="16"/>
      <c r="CQ155" s="16"/>
      <c r="CR155" s="16"/>
      <c r="CS155" s="16"/>
      <c r="CT155" s="17"/>
      <c r="CX155" s="24"/>
      <c r="CY155" s="60"/>
      <c r="CZ155" s="16"/>
      <c r="DA155" s="16"/>
      <c r="DB155" s="16"/>
      <c r="DC155" s="16"/>
      <c r="DD155" s="16"/>
      <c r="DE155" s="17"/>
      <c r="DI155" s="24"/>
      <c r="DJ155" s="60"/>
      <c r="DK155" s="16"/>
      <c r="DL155" s="16"/>
      <c r="DM155" s="16"/>
      <c r="DN155" s="16"/>
      <c r="DO155" s="16"/>
      <c r="DP155" s="17"/>
      <c r="DT155" s="24"/>
      <c r="DU155" s="60"/>
      <c r="DV155" s="16"/>
      <c r="DW155" s="16"/>
      <c r="DX155" s="16"/>
      <c r="DY155" s="16"/>
      <c r="DZ155" s="16"/>
      <c r="EA155" s="17"/>
      <c r="EE155" s="24"/>
      <c r="EF155" s="60"/>
      <c r="EG155" s="16"/>
      <c r="EH155" s="16"/>
      <c r="EI155" s="16"/>
      <c r="EJ155" s="16"/>
      <c r="EK155" s="16"/>
      <c r="EL155" s="17"/>
      <c r="EP155" s="24"/>
      <c r="EQ155" s="60"/>
      <c r="ER155" s="16"/>
      <c r="ES155" s="16"/>
      <c r="ET155" s="16"/>
      <c r="EU155" s="16"/>
      <c r="EV155" s="16"/>
      <c r="EW155" s="17"/>
      <c r="FA155" s="24"/>
      <c r="FB155" s="60"/>
      <c r="FC155" s="16"/>
      <c r="FD155" s="16"/>
      <c r="FE155" s="16"/>
      <c r="FF155" s="16"/>
      <c r="FG155" s="16"/>
      <c r="FH155" s="17"/>
      <c r="FL155" s="24"/>
      <c r="FM155" s="60"/>
      <c r="FN155" s="16"/>
      <c r="FO155" s="16"/>
      <c r="FP155" s="16"/>
      <c r="FQ155" s="16"/>
      <c r="FR155" s="16"/>
      <c r="FS155" s="17"/>
      <c r="FW155" s="24"/>
      <c r="FX155" s="60"/>
      <c r="FY155" s="16"/>
      <c r="FZ155" s="16"/>
      <c r="GA155" s="16"/>
      <c r="GB155" s="16"/>
      <c r="GC155" s="16"/>
      <c r="GD155" s="17"/>
      <c r="GH155" s="24"/>
      <c r="GI155" s="60"/>
      <c r="GJ155" s="16"/>
      <c r="GK155" s="16"/>
      <c r="GL155" s="16"/>
      <c r="GM155" s="16"/>
      <c r="GN155" s="16"/>
      <c r="GO155" s="17"/>
      <c r="GS155" s="24"/>
      <c r="GT155" s="60"/>
      <c r="GU155" s="16"/>
      <c r="GV155" s="16"/>
      <c r="GW155" s="16"/>
      <c r="GX155" s="16"/>
      <c r="GY155" s="16"/>
      <c r="GZ155" s="17"/>
      <c r="HD155" s="24"/>
      <c r="HE155" s="60"/>
      <c r="HF155" s="16"/>
      <c r="HG155" s="16"/>
      <c r="HH155" s="16"/>
      <c r="HI155" s="16"/>
      <c r="HJ155" s="16"/>
      <c r="HK155" s="17"/>
      <c r="HO155" s="24"/>
      <c r="HP155" s="60"/>
      <c r="HQ155" s="16"/>
      <c r="HR155" s="16"/>
      <c r="HS155" s="16"/>
      <c r="HT155" s="16"/>
      <c r="HU155" s="16"/>
      <c r="HV155" s="17"/>
      <c r="HZ155" s="24"/>
      <c r="IA155" s="60"/>
      <c r="IB155" s="16"/>
      <c r="IC155" s="16"/>
      <c r="ID155" s="16"/>
      <c r="IE155" s="16"/>
      <c r="IF155" s="16"/>
      <c r="IG155" s="17"/>
      <c r="IK155" s="24"/>
      <c r="IL155" s="60"/>
      <c r="IM155" s="16"/>
      <c r="IN155" s="16"/>
      <c r="IO155" s="16"/>
      <c r="IP155" s="16"/>
      <c r="IQ155" s="16"/>
      <c r="IR155" s="17"/>
      <c r="IV155" s="24"/>
      <c r="IW155" s="60"/>
      <c r="IX155" s="16"/>
      <c r="IY155" s="16"/>
      <c r="IZ155" s="16"/>
      <c r="JA155" s="16"/>
      <c r="JB155" s="16"/>
      <c r="JC155" s="17"/>
      <c r="JG155" s="24"/>
      <c r="JH155" s="60"/>
      <c r="JI155" s="16"/>
      <c r="JJ155" s="16"/>
      <c r="JK155" s="16"/>
      <c r="JL155" s="16"/>
      <c r="JM155" s="16"/>
      <c r="JN155" s="17"/>
      <c r="JR155" s="24"/>
      <c r="JS155" s="60"/>
      <c r="JT155" s="16"/>
      <c r="JU155" s="16"/>
      <c r="JV155" s="16"/>
      <c r="JW155" s="16"/>
      <c r="JX155" s="16"/>
      <c r="JY155" s="17"/>
      <c r="KC155" s="24"/>
      <c r="KD155" s="60"/>
      <c r="KE155" s="16"/>
      <c r="KF155" s="16"/>
      <c r="KG155" s="16"/>
      <c r="KH155" s="16"/>
      <c r="KI155" s="16"/>
      <c r="KJ155" s="17"/>
      <c r="KN155" s="24"/>
      <c r="KO155" s="60"/>
      <c r="KP155" s="16"/>
      <c r="KQ155" s="16"/>
      <c r="KR155" s="16"/>
      <c r="KS155" s="16"/>
      <c r="KT155" s="16"/>
      <c r="KU155" s="17"/>
      <c r="KY155" s="24"/>
      <c r="KZ155" s="60"/>
      <c r="LA155" s="16"/>
      <c r="LB155" s="16"/>
      <c r="LC155" s="16"/>
      <c r="LD155" s="16"/>
      <c r="LE155" s="16"/>
      <c r="LF155" s="17"/>
      <c r="LJ155" s="24"/>
      <c r="LK155" s="60"/>
      <c r="LL155" s="16"/>
      <c r="LM155" s="16"/>
      <c r="LN155" s="16"/>
      <c r="LO155" s="16"/>
      <c r="LP155" s="16"/>
      <c r="LQ155" s="17"/>
    </row>
    <row r="156">
      <c r="C156" s="31"/>
      <c r="D156" s="61"/>
      <c r="E156" s="16"/>
      <c r="F156" s="16"/>
      <c r="G156" s="21"/>
      <c r="H156" s="16"/>
      <c r="I156" s="16"/>
      <c r="J156" s="17"/>
      <c r="N156" s="17"/>
      <c r="O156" s="61"/>
      <c r="P156" s="16"/>
      <c r="Q156" s="16"/>
      <c r="R156" s="16"/>
      <c r="S156" s="16"/>
      <c r="T156" s="16"/>
      <c r="U156" s="17"/>
      <c r="Y156" s="24"/>
      <c r="Z156" s="61"/>
      <c r="AA156" s="16"/>
      <c r="AB156" s="16"/>
      <c r="AC156" s="16"/>
      <c r="AD156" s="16"/>
      <c r="AE156" s="16"/>
      <c r="AF156" s="17"/>
      <c r="AJ156" s="24"/>
      <c r="AK156" s="61"/>
      <c r="AL156" s="16"/>
      <c r="AM156" s="16"/>
      <c r="AN156" s="16"/>
      <c r="AO156" s="16"/>
      <c r="AP156" s="16"/>
      <c r="AQ156" s="17"/>
      <c r="AU156" s="24"/>
      <c r="AV156" s="61"/>
      <c r="AW156" s="16"/>
      <c r="AX156" s="16"/>
      <c r="AY156" s="16"/>
      <c r="AZ156" s="16"/>
      <c r="BA156" s="16"/>
      <c r="BB156" s="17"/>
      <c r="BF156" s="24"/>
      <c r="BG156" s="61"/>
      <c r="BH156" s="16"/>
      <c r="BI156" s="16"/>
      <c r="BJ156" s="16"/>
      <c r="BK156" s="16"/>
      <c r="BL156" s="16"/>
      <c r="BM156" s="17"/>
      <c r="BQ156" s="24"/>
      <c r="BR156" s="61"/>
      <c r="BS156" s="16"/>
      <c r="BT156" s="16"/>
      <c r="BU156" s="16"/>
      <c r="BV156" s="16"/>
      <c r="BW156" s="16"/>
      <c r="BX156" s="17"/>
      <c r="CB156" s="24"/>
      <c r="CC156" s="61"/>
      <c r="CD156" s="16"/>
      <c r="CE156" s="16"/>
      <c r="CF156" s="16"/>
      <c r="CG156" s="16"/>
      <c r="CH156" s="16"/>
      <c r="CI156" s="17"/>
      <c r="CM156" s="24"/>
      <c r="CN156" s="61"/>
      <c r="CO156" s="16"/>
      <c r="CP156" s="16"/>
      <c r="CQ156" s="16"/>
      <c r="CR156" s="16"/>
      <c r="CS156" s="16"/>
      <c r="CT156" s="17"/>
      <c r="CX156" s="24"/>
      <c r="CY156" s="60"/>
      <c r="CZ156" s="16"/>
      <c r="DA156" s="16"/>
      <c r="DB156" s="16"/>
      <c r="DC156" s="16"/>
      <c r="DD156" s="16"/>
      <c r="DE156" s="17"/>
      <c r="DI156" s="24"/>
      <c r="DJ156" s="60"/>
      <c r="DK156" s="16"/>
      <c r="DL156" s="16"/>
      <c r="DM156" s="16"/>
      <c r="DN156" s="16"/>
      <c r="DO156" s="16"/>
      <c r="DP156" s="17"/>
      <c r="DT156" s="24"/>
      <c r="DU156" s="60"/>
      <c r="DV156" s="16"/>
      <c r="DW156" s="16"/>
      <c r="DX156" s="16"/>
      <c r="DY156" s="16"/>
      <c r="DZ156" s="16"/>
      <c r="EA156" s="17"/>
      <c r="EE156" s="24"/>
      <c r="EF156" s="60"/>
      <c r="EG156" s="16"/>
      <c r="EH156" s="16"/>
      <c r="EI156" s="16"/>
      <c r="EJ156" s="16"/>
      <c r="EK156" s="16"/>
      <c r="EL156" s="17"/>
      <c r="EP156" s="24"/>
      <c r="EQ156" s="60"/>
      <c r="ER156" s="16"/>
      <c r="ES156" s="16"/>
      <c r="ET156" s="16"/>
      <c r="EU156" s="16"/>
      <c r="EV156" s="16"/>
      <c r="EW156" s="17"/>
      <c r="FA156" s="24"/>
      <c r="FB156" s="60"/>
      <c r="FC156" s="16"/>
      <c r="FD156" s="16"/>
      <c r="FE156" s="16"/>
      <c r="FF156" s="16"/>
      <c r="FG156" s="16"/>
      <c r="FH156" s="17"/>
      <c r="FL156" s="24"/>
      <c r="FM156" s="60"/>
      <c r="FN156" s="16"/>
      <c r="FO156" s="16"/>
      <c r="FP156" s="16"/>
      <c r="FQ156" s="16"/>
      <c r="FR156" s="16"/>
      <c r="FS156" s="17"/>
      <c r="FW156" s="24"/>
      <c r="FX156" s="60"/>
      <c r="FY156" s="16"/>
      <c r="FZ156" s="16"/>
      <c r="GA156" s="16"/>
      <c r="GB156" s="16"/>
      <c r="GC156" s="16"/>
      <c r="GD156" s="17"/>
      <c r="GH156" s="24"/>
      <c r="GI156" s="60"/>
      <c r="GJ156" s="16"/>
      <c r="GK156" s="16"/>
      <c r="GL156" s="16"/>
      <c r="GM156" s="16"/>
      <c r="GN156" s="16"/>
      <c r="GO156" s="17"/>
      <c r="GS156" s="24"/>
      <c r="GT156" s="60"/>
      <c r="GU156" s="16"/>
      <c r="GV156" s="16"/>
      <c r="GW156" s="16"/>
      <c r="GX156" s="16"/>
      <c r="GY156" s="16"/>
      <c r="GZ156" s="17"/>
      <c r="HD156" s="24"/>
      <c r="HE156" s="60"/>
      <c r="HF156" s="16"/>
      <c r="HG156" s="16"/>
      <c r="HH156" s="16"/>
      <c r="HI156" s="16"/>
      <c r="HJ156" s="16"/>
      <c r="HK156" s="17"/>
      <c r="HO156" s="24"/>
      <c r="HP156" s="60"/>
      <c r="HQ156" s="16"/>
      <c r="HR156" s="16"/>
      <c r="HS156" s="16"/>
      <c r="HT156" s="16"/>
      <c r="HU156" s="16"/>
      <c r="HV156" s="17"/>
      <c r="HZ156" s="24"/>
      <c r="IA156" s="60"/>
      <c r="IB156" s="16"/>
      <c r="IC156" s="16"/>
      <c r="ID156" s="16"/>
      <c r="IE156" s="16"/>
      <c r="IF156" s="16"/>
      <c r="IG156" s="17"/>
      <c r="IK156" s="24"/>
      <c r="IL156" s="60"/>
      <c r="IM156" s="16"/>
      <c r="IN156" s="16"/>
      <c r="IO156" s="16"/>
      <c r="IP156" s="16"/>
      <c r="IQ156" s="16"/>
      <c r="IR156" s="17"/>
      <c r="IV156" s="24"/>
      <c r="IW156" s="60"/>
      <c r="IX156" s="16"/>
      <c r="IY156" s="16"/>
      <c r="IZ156" s="16"/>
      <c r="JA156" s="16"/>
      <c r="JB156" s="16"/>
      <c r="JC156" s="17"/>
      <c r="JG156" s="24"/>
      <c r="JH156" s="60"/>
      <c r="JI156" s="16"/>
      <c r="JJ156" s="16"/>
      <c r="JK156" s="16"/>
      <c r="JL156" s="16"/>
      <c r="JM156" s="16"/>
      <c r="JN156" s="17"/>
      <c r="JR156" s="24"/>
      <c r="JS156" s="60"/>
      <c r="JT156" s="16"/>
      <c r="JU156" s="16"/>
      <c r="JV156" s="16"/>
      <c r="JW156" s="16"/>
      <c r="JX156" s="16"/>
      <c r="JY156" s="17"/>
      <c r="KC156" s="24"/>
      <c r="KD156" s="60"/>
      <c r="KE156" s="16"/>
      <c r="KF156" s="16"/>
      <c r="KG156" s="16"/>
      <c r="KH156" s="16"/>
      <c r="KI156" s="16"/>
      <c r="KJ156" s="17"/>
      <c r="KN156" s="24"/>
      <c r="KO156" s="60"/>
      <c r="KP156" s="16"/>
      <c r="KQ156" s="16"/>
      <c r="KR156" s="16"/>
      <c r="KS156" s="16"/>
      <c r="KT156" s="16"/>
      <c r="KU156" s="17"/>
      <c r="KY156" s="24"/>
      <c r="KZ156" s="60"/>
      <c r="LA156" s="16"/>
      <c r="LB156" s="16"/>
      <c r="LC156" s="16"/>
      <c r="LD156" s="16"/>
      <c r="LE156" s="16"/>
      <c r="LF156" s="17"/>
      <c r="LJ156" s="24"/>
      <c r="LK156" s="60"/>
      <c r="LL156" s="16"/>
      <c r="LM156" s="16"/>
      <c r="LN156" s="16"/>
      <c r="LO156" s="16"/>
      <c r="LP156" s="16"/>
      <c r="LQ156" s="17"/>
    </row>
    <row r="157">
      <c r="C157" s="31"/>
      <c r="D157" s="61"/>
      <c r="E157" s="16"/>
      <c r="F157" s="16"/>
      <c r="G157" s="21"/>
      <c r="H157" s="16"/>
      <c r="I157" s="16"/>
      <c r="J157" s="17"/>
      <c r="N157" s="17"/>
      <c r="O157" s="61"/>
      <c r="P157" s="16"/>
      <c r="Q157" s="16"/>
      <c r="R157" s="16"/>
      <c r="S157" s="16"/>
      <c r="T157" s="16"/>
      <c r="U157" s="17"/>
      <c r="Y157" s="24"/>
      <c r="Z157" s="61"/>
      <c r="AA157" s="16"/>
      <c r="AB157" s="16"/>
      <c r="AC157" s="16"/>
      <c r="AD157" s="16"/>
      <c r="AE157" s="16"/>
      <c r="AF157" s="17"/>
      <c r="AJ157" s="24"/>
      <c r="AK157" s="61"/>
      <c r="AL157" s="16"/>
      <c r="AM157" s="16"/>
      <c r="AN157" s="16"/>
      <c r="AO157" s="16"/>
      <c r="AP157" s="16"/>
      <c r="AQ157" s="17"/>
      <c r="AU157" s="24"/>
      <c r="AV157" s="61"/>
      <c r="AW157" s="16"/>
      <c r="AX157" s="16"/>
      <c r="AY157" s="16"/>
      <c r="AZ157" s="16"/>
      <c r="BA157" s="16"/>
      <c r="BB157" s="17"/>
      <c r="BF157" s="24"/>
      <c r="BG157" s="61"/>
      <c r="BH157" s="16"/>
      <c r="BI157" s="16"/>
      <c r="BJ157" s="16"/>
      <c r="BK157" s="16"/>
      <c r="BL157" s="16"/>
      <c r="BM157" s="17"/>
      <c r="BQ157" s="24"/>
      <c r="BR157" s="61"/>
      <c r="BS157" s="16"/>
      <c r="BT157" s="16"/>
      <c r="BU157" s="16"/>
      <c r="BV157" s="16"/>
      <c r="BW157" s="16"/>
      <c r="BX157" s="17"/>
      <c r="CB157" s="24"/>
      <c r="CC157" s="61"/>
      <c r="CD157" s="16"/>
      <c r="CE157" s="16"/>
      <c r="CF157" s="16"/>
      <c r="CG157" s="16"/>
      <c r="CH157" s="16"/>
      <c r="CI157" s="17"/>
      <c r="CM157" s="24"/>
      <c r="CN157" s="61"/>
      <c r="CO157" s="16"/>
      <c r="CP157" s="16"/>
      <c r="CQ157" s="16"/>
      <c r="CR157" s="16"/>
      <c r="CS157" s="16"/>
      <c r="CT157" s="17"/>
      <c r="CX157" s="24"/>
      <c r="CY157" s="60"/>
      <c r="CZ157" s="16"/>
      <c r="DA157" s="16"/>
      <c r="DB157" s="16"/>
      <c r="DC157" s="16"/>
      <c r="DD157" s="16"/>
      <c r="DE157" s="17"/>
      <c r="DI157" s="24"/>
      <c r="DJ157" s="60"/>
      <c r="DK157" s="16"/>
      <c r="DL157" s="16"/>
      <c r="DM157" s="16"/>
      <c r="DN157" s="16"/>
      <c r="DO157" s="16"/>
      <c r="DP157" s="17"/>
      <c r="DT157" s="24"/>
      <c r="DU157" s="60"/>
      <c r="DV157" s="16"/>
      <c r="DW157" s="16"/>
      <c r="DX157" s="16"/>
      <c r="DY157" s="16"/>
      <c r="DZ157" s="16"/>
      <c r="EA157" s="17"/>
      <c r="EE157" s="24"/>
      <c r="EF157" s="60"/>
      <c r="EG157" s="16"/>
      <c r="EH157" s="16"/>
      <c r="EI157" s="16"/>
      <c r="EJ157" s="16"/>
      <c r="EK157" s="16"/>
      <c r="EL157" s="17"/>
      <c r="EP157" s="24"/>
      <c r="EQ157" s="60"/>
      <c r="ER157" s="16"/>
      <c r="ES157" s="16"/>
      <c r="ET157" s="16"/>
      <c r="EU157" s="16"/>
      <c r="EV157" s="16"/>
      <c r="EW157" s="17"/>
      <c r="FA157" s="24"/>
      <c r="FB157" s="60"/>
      <c r="FC157" s="16"/>
      <c r="FD157" s="16"/>
      <c r="FE157" s="16"/>
      <c r="FF157" s="16"/>
      <c r="FG157" s="16"/>
      <c r="FH157" s="17"/>
      <c r="FL157" s="24"/>
      <c r="FM157" s="60"/>
      <c r="FN157" s="16"/>
      <c r="FO157" s="16"/>
      <c r="FP157" s="16"/>
      <c r="FQ157" s="16"/>
      <c r="FR157" s="16"/>
      <c r="FS157" s="17"/>
      <c r="FW157" s="24"/>
      <c r="FX157" s="60"/>
      <c r="FY157" s="16"/>
      <c r="FZ157" s="16"/>
      <c r="GA157" s="16"/>
      <c r="GB157" s="16"/>
      <c r="GC157" s="16"/>
      <c r="GD157" s="17"/>
      <c r="GH157" s="24"/>
      <c r="GI157" s="60"/>
      <c r="GJ157" s="16"/>
      <c r="GK157" s="16"/>
      <c r="GL157" s="16"/>
      <c r="GM157" s="16"/>
      <c r="GN157" s="16"/>
      <c r="GO157" s="17"/>
      <c r="GS157" s="24"/>
      <c r="GT157" s="60"/>
      <c r="GU157" s="16"/>
      <c r="GV157" s="16"/>
      <c r="GW157" s="16"/>
      <c r="GX157" s="16"/>
      <c r="GY157" s="16"/>
      <c r="GZ157" s="17"/>
      <c r="HD157" s="24"/>
      <c r="HE157" s="60"/>
      <c r="HF157" s="16"/>
      <c r="HG157" s="16"/>
      <c r="HH157" s="16"/>
      <c r="HI157" s="16"/>
      <c r="HJ157" s="16"/>
      <c r="HK157" s="17"/>
      <c r="HO157" s="24"/>
      <c r="HP157" s="60"/>
      <c r="HQ157" s="16"/>
      <c r="HR157" s="16"/>
      <c r="HS157" s="16"/>
      <c r="HT157" s="16"/>
      <c r="HU157" s="16"/>
      <c r="HV157" s="17"/>
      <c r="HZ157" s="24"/>
      <c r="IA157" s="60"/>
      <c r="IB157" s="16"/>
      <c r="IC157" s="16"/>
      <c r="ID157" s="16"/>
      <c r="IE157" s="16"/>
      <c r="IF157" s="16"/>
      <c r="IG157" s="17"/>
      <c r="IK157" s="24"/>
      <c r="IL157" s="60"/>
      <c r="IM157" s="16"/>
      <c r="IN157" s="16"/>
      <c r="IO157" s="16"/>
      <c r="IP157" s="16"/>
      <c r="IQ157" s="16"/>
      <c r="IR157" s="17"/>
      <c r="IV157" s="24"/>
      <c r="IW157" s="60"/>
      <c r="IX157" s="16"/>
      <c r="IY157" s="16"/>
      <c r="IZ157" s="16"/>
      <c r="JA157" s="16"/>
      <c r="JB157" s="16"/>
      <c r="JC157" s="17"/>
      <c r="JG157" s="24"/>
      <c r="JH157" s="60"/>
      <c r="JI157" s="16"/>
      <c r="JJ157" s="16"/>
      <c r="JK157" s="16"/>
      <c r="JL157" s="16"/>
      <c r="JM157" s="16"/>
      <c r="JN157" s="17"/>
      <c r="JR157" s="24"/>
      <c r="JS157" s="60"/>
      <c r="JT157" s="16"/>
      <c r="JU157" s="16"/>
      <c r="JV157" s="16"/>
      <c r="JW157" s="16"/>
      <c r="JX157" s="16"/>
      <c r="JY157" s="17"/>
      <c r="KC157" s="24"/>
      <c r="KD157" s="60"/>
      <c r="KE157" s="16"/>
      <c r="KF157" s="16"/>
      <c r="KG157" s="16"/>
      <c r="KH157" s="16"/>
      <c r="KI157" s="16"/>
      <c r="KJ157" s="17"/>
      <c r="KN157" s="24"/>
      <c r="KO157" s="60"/>
      <c r="KP157" s="16"/>
      <c r="KQ157" s="16"/>
      <c r="KR157" s="16"/>
      <c r="KS157" s="16"/>
      <c r="KT157" s="16"/>
      <c r="KU157" s="17"/>
      <c r="KY157" s="24"/>
      <c r="KZ157" s="60"/>
      <c r="LA157" s="16"/>
      <c r="LB157" s="16"/>
      <c r="LC157" s="16"/>
      <c r="LD157" s="16"/>
      <c r="LE157" s="16"/>
      <c r="LF157" s="17"/>
      <c r="LJ157" s="24"/>
      <c r="LK157" s="60"/>
      <c r="LL157" s="16"/>
      <c r="LM157" s="16"/>
      <c r="LN157" s="16"/>
      <c r="LO157" s="16"/>
      <c r="LP157" s="16"/>
      <c r="LQ157" s="17"/>
    </row>
    <row r="158">
      <c r="C158" s="31"/>
      <c r="D158" s="61"/>
      <c r="E158" s="16"/>
      <c r="F158" s="16"/>
      <c r="G158" s="21"/>
      <c r="H158" s="16"/>
      <c r="I158" s="16"/>
      <c r="J158" s="17"/>
      <c r="N158" s="17"/>
      <c r="O158" s="61"/>
      <c r="P158" s="16"/>
      <c r="Q158" s="16"/>
      <c r="R158" s="16"/>
      <c r="S158" s="16"/>
      <c r="T158" s="16"/>
      <c r="U158" s="17"/>
      <c r="Y158" s="24"/>
      <c r="Z158" s="61"/>
      <c r="AA158" s="16"/>
      <c r="AB158" s="16"/>
      <c r="AC158" s="16"/>
      <c r="AD158" s="16"/>
      <c r="AE158" s="16"/>
      <c r="AF158" s="17"/>
      <c r="AJ158" s="24"/>
      <c r="AK158" s="61"/>
      <c r="AL158" s="16"/>
      <c r="AM158" s="16"/>
      <c r="AN158" s="16"/>
      <c r="AO158" s="16"/>
      <c r="AP158" s="16"/>
      <c r="AQ158" s="17"/>
      <c r="AU158" s="24"/>
      <c r="AV158" s="61"/>
      <c r="AW158" s="16"/>
      <c r="AX158" s="16"/>
      <c r="AY158" s="16"/>
      <c r="AZ158" s="16"/>
      <c r="BA158" s="16"/>
      <c r="BB158" s="17"/>
      <c r="BF158" s="24"/>
      <c r="BG158" s="61"/>
      <c r="BH158" s="16"/>
      <c r="BI158" s="16"/>
      <c r="BJ158" s="16"/>
      <c r="BK158" s="16"/>
      <c r="BL158" s="16"/>
      <c r="BM158" s="17"/>
      <c r="BQ158" s="24"/>
      <c r="BR158" s="61"/>
      <c r="BS158" s="16"/>
      <c r="BT158" s="16"/>
      <c r="BU158" s="16"/>
      <c r="BV158" s="16"/>
      <c r="BW158" s="16"/>
      <c r="BX158" s="17"/>
      <c r="CB158" s="24"/>
      <c r="CC158" s="61"/>
      <c r="CD158" s="16"/>
      <c r="CE158" s="16"/>
      <c r="CF158" s="16"/>
      <c r="CG158" s="16"/>
      <c r="CH158" s="16"/>
      <c r="CI158" s="17"/>
      <c r="CM158" s="24"/>
      <c r="CN158" s="61"/>
      <c r="CO158" s="16"/>
      <c r="CP158" s="16"/>
      <c r="CQ158" s="16"/>
      <c r="CR158" s="16"/>
      <c r="CS158" s="16"/>
      <c r="CT158" s="17"/>
      <c r="CX158" s="24"/>
      <c r="CY158" s="60"/>
      <c r="CZ158" s="16"/>
      <c r="DA158" s="16"/>
      <c r="DB158" s="16"/>
      <c r="DC158" s="16"/>
      <c r="DD158" s="16"/>
      <c r="DE158" s="17"/>
      <c r="DI158" s="24"/>
      <c r="DJ158" s="60"/>
      <c r="DK158" s="16"/>
      <c r="DL158" s="16"/>
      <c r="DM158" s="16"/>
      <c r="DN158" s="16"/>
      <c r="DO158" s="16"/>
      <c r="DP158" s="17"/>
      <c r="DT158" s="24"/>
      <c r="DU158" s="60"/>
      <c r="DV158" s="16"/>
      <c r="DW158" s="16"/>
      <c r="DX158" s="16"/>
      <c r="DY158" s="16"/>
      <c r="DZ158" s="16"/>
      <c r="EA158" s="17"/>
      <c r="EE158" s="24"/>
      <c r="EF158" s="60"/>
      <c r="EG158" s="16"/>
      <c r="EH158" s="16"/>
      <c r="EI158" s="16"/>
      <c r="EJ158" s="16"/>
      <c r="EK158" s="16"/>
      <c r="EL158" s="17"/>
      <c r="EP158" s="24"/>
      <c r="EQ158" s="60"/>
      <c r="ER158" s="16"/>
      <c r="ES158" s="16"/>
      <c r="ET158" s="16"/>
      <c r="EU158" s="16"/>
      <c r="EV158" s="16"/>
      <c r="EW158" s="17"/>
      <c r="FA158" s="24"/>
      <c r="FB158" s="60"/>
      <c r="FC158" s="16"/>
      <c r="FD158" s="16"/>
      <c r="FE158" s="16"/>
      <c r="FF158" s="16"/>
      <c r="FG158" s="16"/>
      <c r="FH158" s="17"/>
      <c r="FL158" s="24"/>
      <c r="FM158" s="60"/>
      <c r="FN158" s="16"/>
      <c r="FO158" s="16"/>
      <c r="FP158" s="16"/>
      <c r="FQ158" s="16"/>
      <c r="FR158" s="16"/>
      <c r="FS158" s="17"/>
      <c r="FW158" s="24"/>
      <c r="FX158" s="60"/>
      <c r="FY158" s="16"/>
      <c r="FZ158" s="16"/>
      <c r="GA158" s="16"/>
      <c r="GB158" s="16"/>
      <c r="GC158" s="16"/>
      <c r="GD158" s="17"/>
      <c r="GH158" s="24"/>
      <c r="GI158" s="60"/>
      <c r="GJ158" s="16"/>
      <c r="GK158" s="16"/>
      <c r="GL158" s="16"/>
      <c r="GM158" s="16"/>
      <c r="GN158" s="16"/>
      <c r="GO158" s="17"/>
      <c r="GS158" s="24"/>
      <c r="GT158" s="60"/>
      <c r="GU158" s="16"/>
      <c r="GV158" s="16"/>
      <c r="GW158" s="16"/>
      <c r="GX158" s="16"/>
      <c r="GY158" s="16"/>
      <c r="GZ158" s="17"/>
      <c r="HD158" s="24"/>
      <c r="HE158" s="60"/>
      <c r="HF158" s="16"/>
      <c r="HG158" s="16"/>
      <c r="HH158" s="16"/>
      <c r="HI158" s="16"/>
      <c r="HJ158" s="16"/>
      <c r="HK158" s="17"/>
      <c r="HO158" s="24"/>
      <c r="HP158" s="60"/>
      <c r="HQ158" s="16"/>
      <c r="HR158" s="16"/>
      <c r="HS158" s="16"/>
      <c r="HT158" s="16"/>
      <c r="HU158" s="16"/>
      <c r="HV158" s="17"/>
      <c r="HZ158" s="24"/>
      <c r="IA158" s="60"/>
      <c r="IB158" s="16"/>
      <c r="IC158" s="16"/>
      <c r="ID158" s="16"/>
      <c r="IE158" s="16"/>
      <c r="IF158" s="16"/>
      <c r="IG158" s="17"/>
      <c r="IK158" s="24"/>
      <c r="IL158" s="60"/>
      <c r="IM158" s="16"/>
      <c r="IN158" s="16"/>
      <c r="IO158" s="16"/>
      <c r="IP158" s="16"/>
      <c r="IQ158" s="16"/>
      <c r="IR158" s="17"/>
      <c r="IV158" s="24"/>
      <c r="IW158" s="60"/>
      <c r="IX158" s="16"/>
      <c r="IY158" s="16"/>
      <c r="IZ158" s="16"/>
      <c r="JA158" s="16"/>
      <c r="JB158" s="16"/>
      <c r="JC158" s="17"/>
      <c r="JG158" s="24"/>
      <c r="JH158" s="60"/>
      <c r="JI158" s="16"/>
      <c r="JJ158" s="16"/>
      <c r="JK158" s="16"/>
      <c r="JL158" s="16"/>
      <c r="JM158" s="16"/>
      <c r="JN158" s="17"/>
      <c r="JR158" s="24"/>
      <c r="JS158" s="60"/>
      <c r="JT158" s="16"/>
      <c r="JU158" s="16"/>
      <c r="JV158" s="16"/>
      <c r="JW158" s="16"/>
      <c r="JX158" s="16"/>
      <c r="JY158" s="17"/>
      <c r="KC158" s="24"/>
      <c r="KD158" s="60"/>
      <c r="KE158" s="16"/>
      <c r="KF158" s="16"/>
      <c r="KG158" s="16"/>
      <c r="KH158" s="16"/>
      <c r="KI158" s="16"/>
      <c r="KJ158" s="17"/>
      <c r="KN158" s="24"/>
      <c r="KO158" s="60"/>
      <c r="KP158" s="16"/>
      <c r="KQ158" s="16"/>
      <c r="KR158" s="16"/>
      <c r="KS158" s="16"/>
      <c r="KT158" s="16"/>
      <c r="KU158" s="17"/>
      <c r="KY158" s="24"/>
      <c r="KZ158" s="60"/>
      <c r="LA158" s="16"/>
      <c r="LB158" s="16"/>
      <c r="LC158" s="16"/>
      <c r="LD158" s="16"/>
      <c r="LE158" s="16"/>
      <c r="LF158" s="17"/>
      <c r="LJ158" s="24"/>
      <c r="LK158" s="60"/>
      <c r="LL158" s="16"/>
      <c r="LM158" s="16"/>
      <c r="LN158" s="16"/>
      <c r="LO158" s="16"/>
      <c r="LP158" s="16"/>
      <c r="LQ158" s="17"/>
    </row>
    <row r="159">
      <c r="C159" s="31"/>
      <c r="D159" s="61"/>
      <c r="E159" s="16"/>
      <c r="F159" s="16"/>
      <c r="G159" s="21"/>
      <c r="H159" s="16"/>
      <c r="I159" s="16"/>
      <c r="J159" s="17"/>
      <c r="N159" s="17"/>
      <c r="O159" s="61"/>
      <c r="P159" s="16"/>
      <c r="Q159" s="16"/>
      <c r="R159" s="16"/>
      <c r="S159" s="16"/>
      <c r="T159" s="16"/>
      <c r="U159" s="17"/>
      <c r="Y159" s="24"/>
      <c r="Z159" s="61"/>
      <c r="AA159" s="16"/>
      <c r="AB159" s="16"/>
      <c r="AC159" s="16"/>
      <c r="AD159" s="16"/>
      <c r="AE159" s="16"/>
      <c r="AF159" s="17"/>
      <c r="AJ159" s="24"/>
      <c r="AK159" s="61"/>
      <c r="AL159" s="16"/>
      <c r="AM159" s="16"/>
      <c r="AN159" s="16"/>
      <c r="AO159" s="16"/>
      <c r="AP159" s="16"/>
      <c r="AQ159" s="17"/>
      <c r="AU159" s="24"/>
      <c r="AV159" s="61"/>
      <c r="AW159" s="16"/>
      <c r="AX159" s="16"/>
      <c r="AY159" s="16"/>
      <c r="AZ159" s="16"/>
      <c r="BA159" s="16"/>
      <c r="BB159" s="17"/>
      <c r="BF159" s="24"/>
      <c r="BG159" s="61"/>
      <c r="BH159" s="16"/>
      <c r="BI159" s="16"/>
      <c r="BJ159" s="16"/>
      <c r="BK159" s="16"/>
      <c r="BL159" s="16"/>
      <c r="BM159" s="17"/>
      <c r="BQ159" s="24"/>
      <c r="BR159" s="61"/>
      <c r="BS159" s="16"/>
      <c r="BT159" s="16"/>
      <c r="BU159" s="16"/>
      <c r="BV159" s="16"/>
      <c r="BW159" s="16"/>
      <c r="BX159" s="17"/>
      <c r="CB159" s="24"/>
      <c r="CC159" s="61"/>
      <c r="CD159" s="16"/>
      <c r="CE159" s="16"/>
      <c r="CF159" s="16"/>
      <c r="CG159" s="16"/>
      <c r="CH159" s="16"/>
      <c r="CI159" s="17"/>
      <c r="CM159" s="24"/>
      <c r="CN159" s="61"/>
      <c r="CO159" s="16"/>
      <c r="CP159" s="16"/>
      <c r="CQ159" s="16"/>
      <c r="CR159" s="16"/>
      <c r="CS159" s="16"/>
      <c r="CT159" s="17"/>
      <c r="CX159" s="24"/>
      <c r="CY159" s="60"/>
      <c r="CZ159" s="16"/>
      <c r="DA159" s="16"/>
      <c r="DB159" s="16"/>
      <c r="DC159" s="16"/>
      <c r="DD159" s="16"/>
      <c r="DE159" s="17"/>
      <c r="DI159" s="24"/>
      <c r="DJ159" s="60"/>
      <c r="DK159" s="16"/>
      <c r="DL159" s="16"/>
      <c r="DM159" s="16"/>
      <c r="DN159" s="16"/>
      <c r="DO159" s="16"/>
      <c r="DP159" s="17"/>
      <c r="DT159" s="24"/>
      <c r="DU159" s="60"/>
      <c r="DV159" s="16"/>
      <c r="DW159" s="16"/>
      <c r="DX159" s="16"/>
      <c r="DY159" s="16"/>
      <c r="DZ159" s="16"/>
      <c r="EA159" s="17"/>
      <c r="EE159" s="24"/>
      <c r="EF159" s="60"/>
      <c r="EG159" s="16"/>
      <c r="EH159" s="16"/>
      <c r="EI159" s="16"/>
      <c r="EJ159" s="16"/>
      <c r="EK159" s="16"/>
      <c r="EL159" s="17"/>
      <c r="EP159" s="24"/>
      <c r="EQ159" s="60"/>
      <c r="ER159" s="16"/>
      <c r="ES159" s="16"/>
      <c r="ET159" s="16"/>
      <c r="EU159" s="16"/>
      <c r="EV159" s="16"/>
      <c r="EW159" s="17"/>
      <c r="FA159" s="24"/>
      <c r="FB159" s="60"/>
      <c r="FC159" s="16"/>
      <c r="FD159" s="16"/>
      <c r="FE159" s="16"/>
      <c r="FF159" s="16"/>
      <c r="FG159" s="16"/>
      <c r="FH159" s="17"/>
      <c r="FL159" s="24"/>
      <c r="FM159" s="60"/>
      <c r="FN159" s="16"/>
      <c r="FO159" s="16"/>
      <c r="FP159" s="16"/>
      <c r="FQ159" s="16"/>
      <c r="FR159" s="16"/>
      <c r="FS159" s="17"/>
      <c r="FW159" s="24"/>
      <c r="FX159" s="60"/>
      <c r="FY159" s="16"/>
      <c r="FZ159" s="16"/>
      <c r="GA159" s="16"/>
      <c r="GB159" s="16"/>
      <c r="GC159" s="16"/>
      <c r="GD159" s="17"/>
      <c r="GH159" s="24"/>
      <c r="GI159" s="60"/>
      <c r="GJ159" s="16"/>
      <c r="GK159" s="16"/>
      <c r="GL159" s="16"/>
      <c r="GM159" s="16"/>
      <c r="GN159" s="16"/>
      <c r="GO159" s="17"/>
      <c r="GS159" s="24"/>
      <c r="GT159" s="60"/>
      <c r="GU159" s="16"/>
      <c r="GV159" s="16"/>
      <c r="GW159" s="16"/>
      <c r="GX159" s="16"/>
      <c r="GY159" s="16"/>
      <c r="GZ159" s="17"/>
      <c r="HD159" s="24"/>
      <c r="HE159" s="60"/>
      <c r="HF159" s="16"/>
      <c r="HG159" s="16"/>
      <c r="HH159" s="16"/>
      <c r="HI159" s="16"/>
      <c r="HJ159" s="16"/>
      <c r="HK159" s="17"/>
      <c r="HO159" s="24"/>
      <c r="HP159" s="60"/>
      <c r="HQ159" s="16"/>
      <c r="HR159" s="16"/>
      <c r="HS159" s="16"/>
      <c r="HT159" s="16"/>
      <c r="HU159" s="16"/>
      <c r="HV159" s="17"/>
      <c r="HZ159" s="24"/>
      <c r="IA159" s="60"/>
      <c r="IB159" s="16"/>
      <c r="IC159" s="16"/>
      <c r="ID159" s="16"/>
      <c r="IE159" s="16"/>
      <c r="IF159" s="16"/>
      <c r="IG159" s="17"/>
      <c r="IK159" s="24"/>
      <c r="IL159" s="60"/>
      <c r="IM159" s="16"/>
      <c r="IN159" s="16"/>
      <c r="IO159" s="16"/>
      <c r="IP159" s="16"/>
      <c r="IQ159" s="16"/>
      <c r="IR159" s="17"/>
      <c r="IV159" s="24"/>
      <c r="IW159" s="60"/>
      <c r="IX159" s="16"/>
      <c r="IY159" s="16"/>
      <c r="IZ159" s="16"/>
      <c r="JA159" s="16"/>
      <c r="JB159" s="16"/>
      <c r="JC159" s="17"/>
      <c r="JG159" s="24"/>
      <c r="JH159" s="60"/>
      <c r="JI159" s="16"/>
      <c r="JJ159" s="16"/>
      <c r="JK159" s="16"/>
      <c r="JL159" s="16"/>
      <c r="JM159" s="16"/>
      <c r="JN159" s="17"/>
      <c r="JR159" s="24"/>
      <c r="JS159" s="60"/>
      <c r="JT159" s="16"/>
      <c r="JU159" s="16"/>
      <c r="JV159" s="16"/>
      <c r="JW159" s="16"/>
      <c r="JX159" s="16"/>
      <c r="JY159" s="17"/>
      <c r="KC159" s="24"/>
      <c r="KD159" s="60"/>
      <c r="KE159" s="16"/>
      <c r="KF159" s="16"/>
      <c r="KG159" s="16"/>
      <c r="KH159" s="16"/>
      <c r="KI159" s="16"/>
      <c r="KJ159" s="17"/>
      <c r="KN159" s="24"/>
      <c r="KO159" s="60"/>
      <c r="KP159" s="16"/>
      <c r="KQ159" s="16"/>
      <c r="KR159" s="16"/>
      <c r="KS159" s="16"/>
      <c r="KT159" s="16"/>
      <c r="KU159" s="17"/>
      <c r="KY159" s="24"/>
      <c r="KZ159" s="60"/>
      <c r="LA159" s="16"/>
      <c r="LB159" s="16"/>
      <c r="LC159" s="16"/>
      <c r="LD159" s="16"/>
      <c r="LE159" s="16"/>
      <c r="LF159" s="17"/>
      <c r="LJ159" s="24"/>
      <c r="LK159" s="60"/>
      <c r="LL159" s="16"/>
      <c r="LM159" s="16"/>
      <c r="LN159" s="16"/>
      <c r="LO159" s="16"/>
      <c r="LP159" s="16"/>
      <c r="LQ159" s="17"/>
    </row>
    <row r="160">
      <c r="C160" s="31"/>
      <c r="D160" s="61"/>
      <c r="E160" s="16"/>
      <c r="F160" s="16"/>
      <c r="G160" s="21"/>
      <c r="H160" s="16"/>
      <c r="I160" s="16"/>
      <c r="J160" s="17"/>
      <c r="N160" s="17"/>
      <c r="O160" s="61"/>
      <c r="P160" s="16"/>
      <c r="Q160" s="16"/>
      <c r="R160" s="16"/>
      <c r="S160" s="16"/>
      <c r="T160" s="16"/>
      <c r="U160" s="17"/>
      <c r="Y160" s="24"/>
      <c r="Z160" s="61"/>
      <c r="AA160" s="16"/>
      <c r="AB160" s="16"/>
      <c r="AC160" s="16"/>
      <c r="AD160" s="16"/>
      <c r="AE160" s="16"/>
      <c r="AF160" s="17"/>
      <c r="AJ160" s="24"/>
      <c r="AK160" s="61"/>
      <c r="AL160" s="16"/>
      <c r="AM160" s="16"/>
      <c r="AN160" s="16"/>
      <c r="AO160" s="16"/>
      <c r="AP160" s="16"/>
      <c r="AQ160" s="17"/>
      <c r="AU160" s="24"/>
      <c r="AV160" s="61"/>
      <c r="AW160" s="16"/>
      <c r="AX160" s="16"/>
      <c r="AY160" s="16"/>
      <c r="AZ160" s="16"/>
      <c r="BA160" s="16"/>
      <c r="BB160" s="17"/>
      <c r="BF160" s="24"/>
      <c r="BG160" s="61"/>
      <c r="BH160" s="16"/>
      <c r="BI160" s="16"/>
      <c r="BJ160" s="16"/>
      <c r="BK160" s="16"/>
      <c r="BL160" s="16"/>
      <c r="BM160" s="17"/>
      <c r="BQ160" s="24"/>
      <c r="BR160" s="61"/>
      <c r="BS160" s="16"/>
      <c r="BT160" s="16"/>
      <c r="BU160" s="16"/>
      <c r="BV160" s="16"/>
      <c r="BW160" s="16"/>
      <c r="BX160" s="17"/>
      <c r="CB160" s="24"/>
      <c r="CC160" s="61"/>
      <c r="CD160" s="16"/>
      <c r="CE160" s="16"/>
      <c r="CF160" s="16"/>
      <c r="CG160" s="16"/>
      <c r="CH160" s="16"/>
      <c r="CI160" s="17"/>
      <c r="CM160" s="24"/>
      <c r="CN160" s="61"/>
      <c r="CO160" s="16"/>
      <c r="CP160" s="16"/>
      <c r="CQ160" s="16"/>
      <c r="CR160" s="16"/>
      <c r="CS160" s="16"/>
      <c r="CT160" s="17"/>
      <c r="CX160" s="24"/>
      <c r="CY160" s="60"/>
      <c r="CZ160" s="16"/>
      <c r="DA160" s="16"/>
      <c r="DB160" s="16"/>
      <c r="DC160" s="16"/>
      <c r="DD160" s="16"/>
      <c r="DE160" s="17"/>
      <c r="DI160" s="24"/>
      <c r="DJ160" s="60"/>
      <c r="DK160" s="16"/>
      <c r="DL160" s="16"/>
      <c r="DM160" s="16"/>
      <c r="DN160" s="16"/>
      <c r="DO160" s="16"/>
      <c r="DP160" s="17"/>
      <c r="DT160" s="24"/>
      <c r="DU160" s="60"/>
      <c r="DV160" s="16"/>
      <c r="DW160" s="16"/>
      <c r="DX160" s="16"/>
      <c r="DY160" s="16"/>
      <c r="DZ160" s="16"/>
      <c r="EA160" s="17"/>
      <c r="EE160" s="24"/>
      <c r="EF160" s="60"/>
      <c r="EG160" s="16"/>
      <c r="EH160" s="16"/>
      <c r="EI160" s="16"/>
      <c r="EJ160" s="16"/>
      <c r="EK160" s="16"/>
      <c r="EL160" s="17"/>
      <c r="EP160" s="24"/>
      <c r="EQ160" s="60"/>
      <c r="ER160" s="16"/>
      <c r="ES160" s="16"/>
      <c r="ET160" s="16"/>
      <c r="EU160" s="16"/>
      <c r="EV160" s="16"/>
      <c r="EW160" s="17"/>
      <c r="FA160" s="24"/>
      <c r="FB160" s="60"/>
      <c r="FC160" s="16"/>
      <c r="FD160" s="16"/>
      <c r="FE160" s="16"/>
      <c r="FF160" s="16"/>
      <c r="FG160" s="16"/>
      <c r="FH160" s="17"/>
      <c r="FL160" s="24"/>
      <c r="FM160" s="60"/>
      <c r="FN160" s="16"/>
      <c r="FO160" s="16"/>
      <c r="FP160" s="16"/>
      <c r="FQ160" s="16"/>
      <c r="FR160" s="16"/>
      <c r="FS160" s="17"/>
      <c r="FW160" s="24"/>
      <c r="FX160" s="60"/>
      <c r="FY160" s="16"/>
      <c r="FZ160" s="16"/>
      <c r="GA160" s="16"/>
      <c r="GB160" s="16"/>
      <c r="GC160" s="16"/>
      <c r="GD160" s="17"/>
      <c r="GH160" s="24"/>
      <c r="GI160" s="60"/>
      <c r="GJ160" s="16"/>
      <c r="GK160" s="16"/>
      <c r="GL160" s="16"/>
      <c r="GM160" s="16"/>
      <c r="GN160" s="16"/>
      <c r="GO160" s="17"/>
      <c r="GS160" s="24"/>
      <c r="GT160" s="60"/>
      <c r="GU160" s="16"/>
      <c r="GV160" s="16"/>
      <c r="GW160" s="16"/>
      <c r="GX160" s="16"/>
      <c r="GY160" s="16"/>
      <c r="GZ160" s="17"/>
      <c r="HD160" s="24"/>
      <c r="HE160" s="60"/>
      <c r="HF160" s="16"/>
      <c r="HG160" s="16"/>
      <c r="HH160" s="16"/>
      <c r="HI160" s="16"/>
      <c r="HJ160" s="16"/>
      <c r="HK160" s="17"/>
      <c r="HO160" s="24"/>
      <c r="HP160" s="60"/>
      <c r="HQ160" s="16"/>
      <c r="HR160" s="16"/>
      <c r="HS160" s="16"/>
      <c r="HT160" s="16"/>
      <c r="HU160" s="16"/>
      <c r="HV160" s="17"/>
      <c r="HZ160" s="24"/>
      <c r="IA160" s="60"/>
      <c r="IB160" s="16"/>
      <c r="IC160" s="16"/>
      <c r="ID160" s="16"/>
      <c r="IE160" s="16"/>
      <c r="IF160" s="16"/>
      <c r="IG160" s="17"/>
      <c r="IK160" s="24"/>
      <c r="IL160" s="60"/>
      <c r="IM160" s="16"/>
      <c r="IN160" s="16"/>
      <c r="IO160" s="16"/>
      <c r="IP160" s="16"/>
      <c r="IQ160" s="16"/>
      <c r="IR160" s="17"/>
      <c r="IV160" s="24"/>
      <c r="IW160" s="60"/>
      <c r="IX160" s="16"/>
      <c r="IY160" s="16"/>
      <c r="IZ160" s="16"/>
      <c r="JA160" s="16"/>
      <c r="JB160" s="16"/>
      <c r="JC160" s="17"/>
      <c r="JG160" s="24"/>
      <c r="JH160" s="60"/>
      <c r="JI160" s="16"/>
      <c r="JJ160" s="16"/>
      <c r="JK160" s="16"/>
      <c r="JL160" s="16"/>
      <c r="JM160" s="16"/>
      <c r="JN160" s="17"/>
      <c r="JR160" s="24"/>
      <c r="JS160" s="60"/>
      <c r="JT160" s="16"/>
      <c r="JU160" s="16"/>
      <c r="JV160" s="16"/>
      <c r="JW160" s="16"/>
      <c r="JX160" s="16"/>
      <c r="JY160" s="17"/>
      <c r="KC160" s="24"/>
      <c r="KD160" s="60"/>
      <c r="KE160" s="16"/>
      <c r="KF160" s="16"/>
      <c r="KG160" s="16"/>
      <c r="KH160" s="16"/>
      <c r="KI160" s="16"/>
      <c r="KJ160" s="17"/>
      <c r="KN160" s="24"/>
      <c r="KO160" s="60"/>
      <c r="KP160" s="16"/>
      <c r="KQ160" s="16"/>
      <c r="KR160" s="16"/>
      <c r="KS160" s="16"/>
      <c r="KT160" s="16"/>
      <c r="KU160" s="17"/>
      <c r="KY160" s="24"/>
      <c r="KZ160" s="60"/>
      <c r="LA160" s="16"/>
      <c r="LB160" s="16"/>
      <c r="LC160" s="16"/>
      <c r="LD160" s="16"/>
      <c r="LE160" s="16"/>
      <c r="LF160" s="17"/>
      <c r="LJ160" s="24"/>
      <c r="LK160" s="60"/>
      <c r="LL160" s="16"/>
      <c r="LM160" s="16"/>
      <c r="LN160" s="16"/>
      <c r="LO160" s="16"/>
      <c r="LP160" s="16"/>
      <c r="LQ160" s="17"/>
    </row>
    <row r="161">
      <c r="C161" s="31"/>
      <c r="D161" s="61"/>
      <c r="E161" s="16"/>
      <c r="F161" s="16"/>
      <c r="G161" s="21"/>
      <c r="H161" s="16"/>
      <c r="I161" s="16"/>
      <c r="J161" s="17"/>
      <c r="N161" s="17"/>
      <c r="O161" s="61"/>
      <c r="P161" s="16"/>
      <c r="Q161" s="16"/>
      <c r="R161" s="16"/>
      <c r="S161" s="16"/>
      <c r="T161" s="16"/>
      <c r="U161" s="17"/>
      <c r="Y161" s="24"/>
      <c r="Z161" s="61"/>
      <c r="AA161" s="16"/>
      <c r="AB161" s="16"/>
      <c r="AC161" s="16"/>
      <c r="AD161" s="16"/>
      <c r="AE161" s="16"/>
      <c r="AF161" s="17"/>
      <c r="AJ161" s="24"/>
      <c r="AK161" s="61"/>
      <c r="AL161" s="16"/>
      <c r="AM161" s="16"/>
      <c r="AN161" s="16"/>
      <c r="AO161" s="16"/>
      <c r="AP161" s="16"/>
      <c r="AQ161" s="17"/>
      <c r="AU161" s="24"/>
      <c r="AV161" s="61"/>
      <c r="AW161" s="16"/>
      <c r="AX161" s="16"/>
      <c r="AY161" s="16"/>
      <c r="AZ161" s="16"/>
      <c r="BA161" s="16"/>
      <c r="BB161" s="17"/>
      <c r="BF161" s="24"/>
      <c r="BG161" s="61"/>
      <c r="BH161" s="16"/>
      <c r="BI161" s="16"/>
      <c r="BJ161" s="16"/>
      <c r="BK161" s="16"/>
      <c r="BL161" s="16"/>
      <c r="BM161" s="17"/>
      <c r="BQ161" s="24"/>
      <c r="BR161" s="61"/>
      <c r="BS161" s="16"/>
      <c r="BT161" s="16"/>
      <c r="BU161" s="16"/>
      <c r="BV161" s="16"/>
      <c r="BW161" s="16"/>
      <c r="BX161" s="17"/>
      <c r="CB161" s="24"/>
      <c r="CC161" s="61"/>
      <c r="CD161" s="16"/>
      <c r="CE161" s="16"/>
      <c r="CF161" s="16"/>
      <c r="CG161" s="16"/>
      <c r="CH161" s="16"/>
      <c r="CI161" s="17"/>
      <c r="CM161" s="24"/>
      <c r="CN161" s="61"/>
      <c r="CO161" s="16"/>
      <c r="CP161" s="16"/>
      <c r="CQ161" s="16"/>
      <c r="CR161" s="16"/>
      <c r="CS161" s="16"/>
      <c r="CT161" s="17"/>
      <c r="CX161" s="24"/>
      <c r="CY161" s="60"/>
      <c r="CZ161" s="16"/>
      <c r="DA161" s="16"/>
      <c r="DB161" s="16"/>
      <c r="DC161" s="16"/>
      <c r="DD161" s="16"/>
      <c r="DE161" s="17"/>
      <c r="DI161" s="24"/>
      <c r="DJ161" s="60"/>
      <c r="DK161" s="16"/>
      <c r="DL161" s="16"/>
      <c r="DM161" s="16"/>
      <c r="DN161" s="16"/>
      <c r="DO161" s="16"/>
      <c r="DP161" s="17"/>
      <c r="DT161" s="24"/>
      <c r="DU161" s="60"/>
      <c r="DV161" s="16"/>
      <c r="DW161" s="16"/>
      <c r="DX161" s="16"/>
      <c r="DY161" s="16"/>
      <c r="DZ161" s="16"/>
      <c r="EA161" s="17"/>
      <c r="EE161" s="24"/>
      <c r="EF161" s="60"/>
      <c r="EG161" s="16"/>
      <c r="EH161" s="16"/>
      <c r="EI161" s="16"/>
      <c r="EJ161" s="16"/>
      <c r="EK161" s="16"/>
      <c r="EL161" s="17"/>
      <c r="EP161" s="24"/>
      <c r="EQ161" s="60"/>
      <c r="ER161" s="16"/>
      <c r="ES161" s="16"/>
      <c r="ET161" s="16"/>
      <c r="EU161" s="16"/>
      <c r="EV161" s="16"/>
      <c r="EW161" s="17"/>
      <c r="FA161" s="24"/>
      <c r="FB161" s="60"/>
      <c r="FC161" s="16"/>
      <c r="FD161" s="16"/>
      <c r="FE161" s="16"/>
      <c r="FF161" s="16"/>
      <c r="FG161" s="16"/>
      <c r="FH161" s="17"/>
      <c r="FL161" s="24"/>
      <c r="FM161" s="60"/>
      <c r="FN161" s="16"/>
      <c r="FO161" s="16"/>
      <c r="FP161" s="16"/>
      <c r="FQ161" s="16"/>
      <c r="FR161" s="16"/>
      <c r="FS161" s="17"/>
      <c r="FW161" s="24"/>
      <c r="FX161" s="60"/>
      <c r="FY161" s="16"/>
      <c r="FZ161" s="16"/>
      <c r="GA161" s="16"/>
      <c r="GB161" s="16"/>
      <c r="GC161" s="16"/>
      <c r="GD161" s="17"/>
      <c r="GH161" s="24"/>
      <c r="GI161" s="60"/>
      <c r="GJ161" s="16"/>
      <c r="GK161" s="16"/>
      <c r="GL161" s="16"/>
      <c r="GM161" s="16"/>
      <c r="GN161" s="16"/>
      <c r="GO161" s="17"/>
      <c r="GS161" s="24"/>
      <c r="GT161" s="60"/>
      <c r="GU161" s="16"/>
      <c r="GV161" s="16"/>
      <c r="GW161" s="16"/>
      <c r="GX161" s="16"/>
      <c r="GY161" s="16"/>
      <c r="GZ161" s="17"/>
      <c r="HD161" s="24"/>
      <c r="HE161" s="60"/>
      <c r="HF161" s="16"/>
      <c r="HG161" s="16"/>
      <c r="HH161" s="16"/>
      <c r="HI161" s="16"/>
      <c r="HJ161" s="16"/>
      <c r="HK161" s="17"/>
      <c r="HO161" s="24"/>
      <c r="HP161" s="60"/>
      <c r="HQ161" s="16"/>
      <c r="HR161" s="16"/>
      <c r="HS161" s="16"/>
      <c r="HT161" s="16"/>
      <c r="HU161" s="16"/>
      <c r="HV161" s="17"/>
      <c r="HZ161" s="24"/>
      <c r="IA161" s="60"/>
      <c r="IB161" s="16"/>
      <c r="IC161" s="16"/>
      <c r="ID161" s="16"/>
      <c r="IE161" s="16"/>
      <c r="IF161" s="16"/>
      <c r="IG161" s="17"/>
      <c r="IK161" s="24"/>
      <c r="IL161" s="60"/>
      <c r="IM161" s="16"/>
      <c r="IN161" s="16"/>
      <c r="IO161" s="16"/>
      <c r="IP161" s="16"/>
      <c r="IQ161" s="16"/>
      <c r="IR161" s="17"/>
      <c r="IV161" s="24"/>
      <c r="IW161" s="60"/>
      <c r="IX161" s="16"/>
      <c r="IY161" s="16"/>
      <c r="IZ161" s="16"/>
      <c r="JA161" s="16"/>
      <c r="JB161" s="16"/>
      <c r="JC161" s="17"/>
      <c r="JG161" s="24"/>
      <c r="JH161" s="60"/>
      <c r="JI161" s="16"/>
      <c r="JJ161" s="16"/>
      <c r="JK161" s="16"/>
      <c r="JL161" s="16"/>
      <c r="JM161" s="16"/>
      <c r="JN161" s="17"/>
      <c r="JR161" s="24"/>
      <c r="JS161" s="60"/>
      <c r="JT161" s="16"/>
      <c r="JU161" s="16"/>
      <c r="JV161" s="16"/>
      <c r="JW161" s="16"/>
      <c r="JX161" s="16"/>
      <c r="JY161" s="17"/>
      <c r="KC161" s="24"/>
      <c r="KD161" s="60"/>
      <c r="KE161" s="16"/>
      <c r="KF161" s="16"/>
      <c r="KG161" s="16"/>
      <c r="KH161" s="16"/>
      <c r="KI161" s="16"/>
      <c r="KJ161" s="17"/>
      <c r="KN161" s="24"/>
      <c r="KO161" s="60"/>
      <c r="KP161" s="16"/>
      <c r="KQ161" s="16"/>
      <c r="KR161" s="16"/>
      <c r="KS161" s="16"/>
      <c r="KT161" s="16"/>
      <c r="KU161" s="17"/>
      <c r="KY161" s="24"/>
      <c r="KZ161" s="60"/>
      <c r="LA161" s="16"/>
      <c r="LB161" s="16"/>
      <c r="LC161" s="16"/>
      <c r="LD161" s="16"/>
      <c r="LE161" s="16"/>
      <c r="LF161" s="17"/>
      <c r="LJ161" s="24"/>
      <c r="LK161" s="60"/>
      <c r="LL161" s="16"/>
      <c r="LM161" s="16"/>
      <c r="LN161" s="16"/>
      <c r="LO161" s="16"/>
      <c r="LP161" s="16"/>
      <c r="LQ161" s="17"/>
    </row>
    <row r="162">
      <c r="C162" s="31"/>
      <c r="D162" s="61"/>
      <c r="E162" s="16"/>
      <c r="F162" s="16"/>
      <c r="G162" s="21"/>
      <c r="H162" s="16"/>
      <c r="I162" s="16"/>
      <c r="J162" s="17"/>
      <c r="N162" s="17"/>
      <c r="O162" s="61"/>
      <c r="P162" s="16"/>
      <c r="Q162" s="16"/>
      <c r="R162" s="16"/>
      <c r="S162" s="16"/>
      <c r="T162" s="16"/>
      <c r="U162" s="17"/>
      <c r="Y162" s="24"/>
      <c r="Z162" s="61"/>
      <c r="AA162" s="16"/>
      <c r="AB162" s="16"/>
      <c r="AC162" s="16"/>
      <c r="AD162" s="16"/>
      <c r="AE162" s="16"/>
      <c r="AF162" s="17"/>
      <c r="AJ162" s="24"/>
      <c r="AK162" s="61"/>
      <c r="AL162" s="16"/>
      <c r="AM162" s="16"/>
      <c r="AN162" s="16"/>
      <c r="AO162" s="16"/>
      <c r="AP162" s="16"/>
      <c r="AQ162" s="17"/>
      <c r="AU162" s="24"/>
      <c r="AV162" s="61"/>
      <c r="AW162" s="16"/>
      <c r="AX162" s="16"/>
      <c r="AY162" s="16"/>
      <c r="AZ162" s="16"/>
      <c r="BA162" s="16"/>
      <c r="BB162" s="17"/>
      <c r="BF162" s="24"/>
      <c r="BG162" s="61"/>
      <c r="BH162" s="16"/>
      <c r="BI162" s="16"/>
      <c r="BJ162" s="16"/>
      <c r="BK162" s="16"/>
      <c r="BL162" s="16"/>
      <c r="BM162" s="17"/>
      <c r="BQ162" s="24"/>
      <c r="BR162" s="61"/>
      <c r="BS162" s="16"/>
      <c r="BT162" s="16"/>
      <c r="BU162" s="16"/>
      <c r="BV162" s="16"/>
      <c r="BW162" s="16"/>
      <c r="BX162" s="17"/>
      <c r="CB162" s="24"/>
      <c r="CC162" s="61"/>
      <c r="CD162" s="16"/>
      <c r="CE162" s="16"/>
      <c r="CF162" s="16"/>
      <c r="CG162" s="16"/>
      <c r="CH162" s="16"/>
      <c r="CI162" s="17"/>
      <c r="CM162" s="24"/>
      <c r="CN162" s="61"/>
      <c r="CO162" s="16"/>
      <c r="CP162" s="16"/>
      <c r="CQ162" s="16"/>
      <c r="CR162" s="16"/>
      <c r="CS162" s="16"/>
      <c r="CT162" s="17"/>
      <c r="CX162" s="24"/>
      <c r="CY162" s="60"/>
      <c r="CZ162" s="16"/>
      <c r="DA162" s="16"/>
      <c r="DB162" s="16"/>
      <c r="DC162" s="16"/>
      <c r="DD162" s="16"/>
      <c r="DE162" s="17"/>
      <c r="DI162" s="24"/>
      <c r="DJ162" s="60"/>
      <c r="DK162" s="16"/>
      <c r="DL162" s="16"/>
      <c r="DM162" s="16"/>
      <c r="DN162" s="16"/>
      <c r="DO162" s="16"/>
      <c r="DP162" s="17"/>
      <c r="DT162" s="24"/>
      <c r="DU162" s="60"/>
      <c r="DV162" s="16"/>
      <c r="DW162" s="16"/>
      <c r="DX162" s="16"/>
      <c r="DY162" s="16"/>
      <c r="DZ162" s="16"/>
      <c r="EA162" s="17"/>
      <c r="EE162" s="24"/>
      <c r="EF162" s="60"/>
      <c r="EG162" s="16"/>
      <c r="EH162" s="16"/>
      <c r="EI162" s="16"/>
      <c r="EJ162" s="16"/>
      <c r="EK162" s="16"/>
      <c r="EL162" s="17"/>
      <c r="EP162" s="24"/>
      <c r="EQ162" s="60"/>
      <c r="ER162" s="16"/>
      <c r="ES162" s="16"/>
      <c r="ET162" s="16"/>
      <c r="EU162" s="16"/>
      <c r="EV162" s="16"/>
      <c r="EW162" s="17"/>
      <c r="FA162" s="24"/>
      <c r="FB162" s="60"/>
      <c r="FC162" s="16"/>
      <c r="FD162" s="16"/>
      <c r="FE162" s="16"/>
      <c r="FF162" s="16"/>
      <c r="FG162" s="16"/>
      <c r="FH162" s="17"/>
      <c r="FL162" s="24"/>
      <c r="FM162" s="60"/>
      <c r="FN162" s="16"/>
      <c r="FO162" s="16"/>
      <c r="FP162" s="16"/>
      <c r="FQ162" s="16"/>
      <c r="FR162" s="16"/>
      <c r="FS162" s="17"/>
      <c r="FW162" s="24"/>
      <c r="FX162" s="60"/>
      <c r="FY162" s="16"/>
      <c r="FZ162" s="16"/>
      <c r="GA162" s="16"/>
      <c r="GB162" s="16"/>
      <c r="GC162" s="16"/>
      <c r="GD162" s="17"/>
      <c r="GH162" s="24"/>
      <c r="GI162" s="60"/>
      <c r="GJ162" s="16"/>
      <c r="GK162" s="16"/>
      <c r="GL162" s="16"/>
      <c r="GM162" s="16"/>
      <c r="GN162" s="16"/>
      <c r="GO162" s="17"/>
      <c r="GS162" s="24"/>
      <c r="GT162" s="60"/>
      <c r="GU162" s="16"/>
      <c r="GV162" s="16"/>
      <c r="GW162" s="16"/>
      <c r="GX162" s="16"/>
      <c r="GY162" s="16"/>
      <c r="GZ162" s="17"/>
      <c r="HD162" s="24"/>
      <c r="HE162" s="60"/>
      <c r="HF162" s="16"/>
      <c r="HG162" s="16"/>
      <c r="HH162" s="16"/>
      <c r="HI162" s="16"/>
      <c r="HJ162" s="16"/>
      <c r="HK162" s="17"/>
      <c r="HO162" s="24"/>
      <c r="HP162" s="60"/>
      <c r="HQ162" s="16"/>
      <c r="HR162" s="16"/>
      <c r="HS162" s="16"/>
      <c r="HT162" s="16"/>
      <c r="HU162" s="16"/>
      <c r="HV162" s="17"/>
      <c r="HZ162" s="24"/>
      <c r="IA162" s="60"/>
      <c r="IB162" s="16"/>
      <c r="IC162" s="16"/>
      <c r="ID162" s="16"/>
      <c r="IE162" s="16"/>
      <c r="IF162" s="16"/>
      <c r="IG162" s="17"/>
      <c r="IK162" s="24"/>
      <c r="IL162" s="60"/>
      <c r="IM162" s="16"/>
      <c r="IN162" s="16"/>
      <c r="IO162" s="16"/>
      <c r="IP162" s="16"/>
      <c r="IQ162" s="16"/>
      <c r="IR162" s="17"/>
      <c r="IV162" s="24"/>
      <c r="IW162" s="60"/>
      <c r="IX162" s="16"/>
      <c r="IY162" s="16"/>
      <c r="IZ162" s="16"/>
      <c r="JA162" s="16"/>
      <c r="JB162" s="16"/>
      <c r="JC162" s="17"/>
      <c r="JG162" s="24"/>
      <c r="JH162" s="60"/>
      <c r="JI162" s="16"/>
      <c r="JJ162" s="16"/>
      <c r="JK162" s="16"/>
      <c r="JL162" s="16"/>
      <c r="JM162" s="16"/>
      <c r="JN162" s="17"/>
      <c r="JR162" s="24"/>
      <c r="JS162" s="60"/>
      <c r="JT162" s="16"/>
      <c r="JU162" s="16"/>
      <c r="JV162" s="16"/>
      <c r="JW162" s="16"/>
      <c r="JX162" s="16"/>
      <c r="JY162" s="17"/>
      <c r="KC162" s="24"/>
      <c r="KD162" s="60"/>
      <c r="KE162" s="16"/>
      <c r="KF162" s="16"/>
      <c r="KG162" s="16"/>
      <c r="KH162" s="16"/>
      <c r="KI162" s="16"/>
      <c r="KJ162" s="17"/>
      <c r="KN162" s="24"/>
      <c r="KO162" s="60"/>
      <c r="KP162" s="16"/>
      <c r="KQ162" s="16"/>
      <c r="KR162" s="16"/>
      <c r="KS162" s="16"/>
      <c r="KT162" s="16"/>
      <c r="KU162" s="17"/>
      <c r="KY162" s="24"/>
      <c r="KZ162" s="60"/>
      <c r="LA162" s="16"/>
      <c r="LB162" s="16"/>
      <c r="LC162" s="16"/>
      <c r="LD162" s="16"/>
      <c r="LE162" s="16"/>
      <c r="LF162" s="17"/>
      <c r="LJ162" s="24"/>
      <c r="LK162" s="60"/>
      <c r="LL162" s="16"/>
      <c r="LM162" s="16"/>
      <c r="LN162" s="16"/>
      <c r="LO162" s="16"/>
      <c r="LP162" s="16"/>
      <c r="LQ162" s="17"/>
    </row>
    <row r="163">
      <c r="C163" s="31"/>
      <c r="D163" s="61"/>
      <c r="E163" s="16"/>
      <c r="F163" s="16"/>
      <c r="G163" s="21"/>
      <c r="H163" s="16"/>
      <c r="I163" s="16"/>
      <c r="J163" s="17"/>
      <c r="N163" s="17"/>
      <c r="O163" s="61"/>
      <c r="P163" s="16"/>
      <c r="Q163" s="16"/>
      <c r="R163" s="16"/>
      <c r="S163" s="16"/>
      <c r="T163" s="16"/>
      <c r="U163" s="17"/>
      <c r="Y163" s="24"/>
      <c r="Z163" s="61"/>
      <c r="AA163" s="16"/>
      <c r="AB163" s="16"/>
      <c r="AC163" s="16"/>
      <c r="AD163" s="16"/>
      <c r="AE163" s="16"/>
      <c r="AF163" s="17"/>
      <c r="AJ163" s="24"/>
      <c r="AK163" s="61"/>
      <c r="AL163" s="16"/>
      <c r="AM163" s="16"/>
      <c r="AN163" s="16"/>
      <c r="AO163" s="16"/>
      <c r="AP163" s="16"/>
      <c r="AQ163" s="17"/>
      <c r="AU163" s="24"/>
      <c r="AV163" s="61"/>
      <c r="AW163" s="16"/>
      <c r="AX163" s="16"/>
      <c r="AY163" s="16"/>
      <c r="AZ163" s="16"/>
      <c r="BA163" s="16"/>
      <c r="BB163" s="17"/>
      <c r="BF163" s="24"/>
      <c r="BG163" s="61"/>
      <c r="BH163" s="16"/>
      <c r="BI163" s="16"/>
      <c r="BJ163" s="16"/>
      <c r="BK163" s="16"/>
      <c r="BL163" s="16"/>
      <c r="BM163" s="17"/>
      <c r="BQ163" s="24"/>
      <c r="BR163" s="61"/>
      <c r="BS163" s="16"/>
      <c r="BT163" s="16"/>
      <c r="BU163" s="16"/>
      <c r="BV163" s="16"/>
      <c r="BW163" s="16"/>
      <c r="BX163" s="17"/>
      <c r="CB163" s="24"/>
      <c r="CC163" s="61"/>
      <c r="CD163" s="16"/>
      <c r="CE163" s="16"/>
      <c r="CF163" s="16"/>
      <c r="CG163" s="16"/>
      <c r="CH163" s="16"/>
      <c r="CI163" s="17"/>
      <c r="CM163" s="24"/>
      <c r="CN163" s="61"/>
      <c r="CO163" s="16"/>
      <c r="CP163" s="16"/>
      <c r="CQ163" s="16"/>
      <c r="CR163" s="16"/>
      <c r="CS163" s="16"/>
      <c r="CT163" s="17"/>
      <c r="CX163" s="24"/>
      <c r="CY163" s="60"/>
      <c r="CZ163" s="16"/>
      <c r="DA163" s="16"/>
      <c r="DB163" s="16"/>
      <c r="DC163" s="16"/>
      <c r="DD163" s="16"/>
      <c r="DE163" s="17"/>
      <c r="DI163" s="24"/>
      <c r="DJ163" s="60"/>
      <c r="DK163" s="16"/>
      <c r="DL163" s="16"/>
      <c r="DM163" s="16"/>
      <c r="DN163" s="16"/>
      <c r="DO163" s="16"/>
      <c r="DP163" s="17"/>
      <c r="DT163" s="24"/>
      <c r="DU163" s="60"/>
      <c r="DV163" s="16"/>
      <c r="DW163" s="16"/>
      <c r="DX163" s="16"/>
      <c r="DY163" s="16"/>
      <c r="DZ163" s="16"/>
      <c r="EA163" s="17"/>
      <c r="EE163" s="24"/>
      <c r="EF163" s="60"/>
      <c r="EG163" s="16"/>
      <c r="EH163" s="16"/>
      <c r="EI163" s="16"/>
      <c r="EJ163" s="16"/>
      <c r="EK163" s="16"/>
      <c r="EL163" s="17"/>
      <c r="EP163" s="24"/>
      <c r="EQ163" s="60"/>
      <c r="ER163" s="16"/>
      <c r="ES163" s="16"/>
      <c r="ET163" s="16"/>
      <c r="EU163" s="16"/>
      <c r="EV163" s="16"/>
      <c r="EW163" s="17"/>
      <c r="FA163" s="24"/>
      <c r="FB163" s="60"/>
      <c r="FC163" s="16"/>
      <c r="FD163" s="16"/>
      <c r="FE163" s="16"/>
      <c r="FF163" s="16"/>
      <c r="FG163" s="16"/>
      <c r="FH163" s="17"/>
      <c r="FL163" s="24"/>
      <c r="FM163" s="60"/>
      <c r="FN163" s="16"/>
      <c r="FO163" s="16"/>
      <c r="FP163" s="16"/>
      <c r="FQ163" s="16"/>
      <c r="FR163" s="16"/>
      <c r="FS163" s="17"/>
      <c r="FW163" s="24"/>
      <c r="FX163" s="60"/>
      <c r="FY163" s="16"/>
      <c r="FZ163" s="16"/>
      <c r="GA163" s="16"/>
      <c r="GB163" s="16"/>
      <c r="GC163" s="16"/>
      <c r="GD163" s="17"/>
      <c r="GH163" s="24"/>
      <c r="GI163" s="60"/>
      <c r="GJ163" s="16"/>
      <c r="GK163" s="16"/>
      <c r="GL163" s="16"/>
      <c r="GM163" s="16"/>
      <c r="GN163" s="16"/>
      <c r="GO163" s="17"/>
      <c r="GS163" s="24"/>
      <c r="GT163" s="60"/>
      <c r="GU163" s="16"/>
      <c r="GV163" s="16"/>
      <c r="GW163" s="16"/>
      <c r="GX163" s="16"/>
      <c r="GY163" s="16"/>
      <c r="GZ163" s="17"/>
      <c r="HD163" s="24"/>
      <c r="HE163" s="60"/>
      <c r="HF163" s="16"/>
      <c r="HG163" s="16"/>
      <c r="HH163" s="16"/>
      <c r="HI163" s="16"/>
      <c r="HJ163" s="16"/>
      <c r="HK163" s="17"/>
      <c r="HO163" s="24"/>
      <c r="HP163" s="60"/>
      <c r="HQ163" s="16"/>
      <c r="HR163" s="16"/>
      <c r="HS163" s="16"/>
      <c r="HT163" s="16"/>
      <c r="HU163" s="16"/>
      <c r="HV163" s="17"/>
      <c r="HZ163" s="24"/>
      <c r="IA163" s="60"/>
      <c r="IB163" s="16"/>
      <c r="IC163" s="16"/>
      <c r="ID163" s="16"/>
      <c r="IE163" s="16"/>
      <c r="IF163" s="16"/>
      <c r="IG163" s="17"/>
      <c r="IK163" s="24"/>
      <c r="IL163" s="60"/>
      <c r="IM163" s="16"/>
      <c r="IN163" s="16"/>
      <c r="IO163" s="16"/>
      <c r="IP163" s="16"/>
      <c r="IQ163" s="16"/>
      <c r="IR163" s="17"/>
      <c r="IV163" s="24"/>
      <c r="IW163" s="60"/>
      <c r="IX163" s="16"/>
      <c r="IY163" s="16"/>
      <c r="IZ163" s="16"/>
      <c r="JA163" s="16"/>
      <c r="JB163" s="16"/>
      <c r="JC163" s="17"/>
      <c r="JG163" s="24"/>
      <c r="JH163" s="60"/>
      <c r="JI163" s="16"/>
      <c r="JJ163" s="16"/>
      <c r="JK163" s="16"/>
      <c r="JL163" s="16"/>
      <c r="JM163" s="16"/>
      <c r="JN163" s="17"/>
      <c r="JR163" s="24"/>
      <c r="JS163" s="60"/>
      <c r="JT163" s="16"/>
      <c r="JU163" s="16"/>
      <c r="JV163" s="16"/>
      <c r="JW163" s="16"/>
      <c r="JX163" s="16"/>
      <c r="JY163" s="17"/>
      <c r="KC163" s="24"/>
      <c r="KD163" s="60"/>
      <c r="KE163" s="16"/>
      <c r="KF163" s="16"/>
      <c r="KG163" s="16"/>
      <c r="KH163" s="16"/>
      <c r="KI163" s="16"/>
      <c r="KJ163" s="17"/>
      <c r="KN163" s="24"/>
      <c r="KO163" s="60"/>
      <c r="KP163" s="16"/>
      <c r="KQ163" s="16"/>
      <c r="KR163" s="16"/>
      <c r="KS163" s="16"/>
      <c r="KT163" s="16"/>
      <c r="KU163" s="17"/>
      <c r="KY163" s="24"/>
      <c r="KZ163" s="60"/>
      <c r="LA163" s="16"/>
      <c r="LB163" s="16"/>
      <c r="LC163" s="16"/>
      <c r="LD163" s="16"/>
      <c r="LE163" s="16"/>
      <c r="LF163" s="17"/>
      <c r="LJ163" s="24"/>
      <c r="LK163" s="60"/>
      <c r="LL163" s="16"/>
      <c r="LM163" s="16"/>
      <c r="LN163" s="16"/>
      <c r="LO163" s="16"/>
      <c r="LP163" s="16"/>
      <c r="LQ163" s="17"/>
    </row>
    <row r="164">
      <c r="C164" s="31"/>
      <c r="D164" s="61"/>
      <c r="E164" s="16"/>
      <c r="F164" s="16"/>
      <c r="G164" s="21"/>
      <c r="H164" s="16"/>
      <c r="I164" s="16"/>
      <c r="J164" s="17"/>
      <c r="N164" s="17"/>
      <c r="O164" s="61"/>
      <c r="P164" s="16"/>
      <c r="Q164" s="16"/>
      <c r="R164" s="16"/>
      <c r="S164" s="16"/>
      <c r="T164" s="16"/>
      <c r="U164" s="17"/>
      <c r="Y164" s="24"/>
      <c r="Z164" s="61"/>
      <c r="AA164" s="16"/>
      <c r="AB164" s="16"/>
      <c r="AC164" s="16"/>
      <c r="AD164" s="16"/>
      <c r="AE164" s="16"/>
      <c r="AF164" s="17"/>
      <c r="AJ164" s="24"/>
      <c r="AK164" s="61"/>
      <c r="AL164" s="16"/>
      <c r="AM164" s="16"/>
      <c r="AN164" s="16"/>
      <c r="AO164" s="16"/>
      <c r="AP164" s="16"/>
      <c r="AQ164" s="17"/>
      <c r="AU164" s="24"/>
      <c r="AV164" s="61"/>
      <c r="AW164" s="16"/>
      <c r="AX164" s="16"/>
      <c r="AY164" s="16"/>
      <c r="AZ164" s="16"/>
      <c r="BA164" s="16"/>
      <c r="BB164" s="17"/>
      <c r="BF164" s="24"/>
      <c r="BG164" s="61"/>
      <c r="BH164" s="16"/>
      <c r="BI164" s="16"/>
      <c r="BJ164" s="16"/>
      <c r="BK164" s="16"/>
      <c r="BL164" s="16"/>
      <c r="BM164" s="17"/>
      <c r="BQ164" s="24"/>
      <c r="BR164" s="61"/>
      <c r="BS164" s="16"/>
      <c r="BT164" s="16"/>
      <c r="BU164" s="16"/>
      <c r="BV164" s="16"/>
      <c r="BW164" s="16"/>
      <c r="BX164" s="17"/>
      <c r="CB164" s="24"/>
      <c r="CC164" s="61"/>
      <c r="CD164" s="16"/>
      <c r="CE164" s="16"/>
      <c r="CF164" s="16"/>
      <c r="CG164" s="16"/>
      <c r="CH164" s="16"/>
      <c r="CI164" s="17"/>
      <c r="CM164" s="24"/>
      <c r="CN164" s="61"/>
      <c r="CO164" s="16"/>
      <c r="CP164" s="16"/>
      <c r="CQ164" s="16"/>
      <c r="CR164" s="16"/>
      <c r="CS164" s="16"/>
      <c r="CT164" s="17"/>
      <c r="CX164" s="24"/>
      <c r="CY164" s="60"/>
      <c r="CZ164" s="16"/>
      <c r="DA164" s="16"/>
      <c r="DB164" s="16"/>
      <c r="DC164" s="16"/>
      <c r="DD164" s="16"/>
      <c r="DE164" s="17"/>
      <c r="DI164" s="24"/>
      <c r="DJ164" s="60"/>
      <c r="DK164" s="16"/>
      <c r="DL164" s="16"/>
      <c r="DM164" s="16"/>
      <c r="DN164" s="16"/>
      <c r="DO164" s="16"/>
      <c r="DP164" s="17"/>
      <c r="DT164" s="24"/>
      <c r="DU164" s="60"/>
      <c r="DV164" s="16"/>
      <c r="DW164" s="16"/>
      <c r="DX164" s="16"/>
      <c r="DY164" s="16"/>
      <c r="DZ164" s="16"/>
      <c r="EA164" s="17"/>
      <c r="EE164" s="24"/>
      <c r="EF164" s="60"/>
      <c r="EG164" s="16"/>
      <c r="EH164" s="16"/>
      <c r="EI164" s="16"/>
      <c r="EJ164" s="16"/>
      <c r="EK164" s="16"/>
      <c r="EL164" s="17"/>
      <c r="EP164" s="24"/>
      <c r="EQ164" s="60"/>
      <c r="ER164" s="16"/>
      <c r="ES164" s="16"/>
      <c r="ET164" s="16"/>
      <c r="EU164" s="16"/>
      <c r="EV164" s="16"/>
      <c r="EW164" s="17"/>
      <c r="FA164" s="24"/>
      <c r="FB164" s="60"/>
      <c r="FC164" s="16"/>
      <c r="FD164" s="16"/>
      <c r="FE164" s="16"/>
      <c r="FF164" s="16"/>
      <c r="FG164" s="16"/>
      <c r="FH164" s="17"/>
      <c r="FL164" s="24"/>
      <c r="FM164" s="60"/>
      <c r="FN164" s="16"/>
      <c r="FO164" s="16"/>
      <c r="FP164" s="16"/>
      <c r="FQ164" s="16"/>
      <c r="FR164" s="16"/>
      <c r="FS164" s="17"/>
      <c r="FW164" s="24"/>
      <c r="FX164" s="60"/>
      <c r="FY164" s="16"/>
      <c r="FZ164" s="16"/>
      <c r="GA164" s="16"/>
      <c r="GB164" s="16"/>
      <c r="GC164" s="16"/>
      <c r="GD164" s="17"/>
      <c r="GH164" s="24"/>
      <c r="GI164" s="60"/>
      <c r="GJ164" s="16"/>
      <c r="GK164" s="16"/>
      <c r="GL164" s="16"/>
      <c r="GM164" s="16"/>
      <c r="GN164" s="16"/>
      <c r="GO164" s="17"/>
      <c r="GS164" s="24"/>
      <c r="GT164" s="60"/>
      <c r="GU164" s="16"/>
      <c r="GV164" s="16"/>
      <c r="GW164" s="16"/>
      <c r="GX164" s="16"/>
      <c r="GY164" s="16"/>
      <c r="GZ164" s="17"/>
      <c r="HD164" s="24"/>
      <c r="HE164" s="60"/>
      <c r="HF164" s="16"/>
      <c r="HG164" s="16"/>
      <c r="HH164" s="16"/>
      <c r="HI164" s="16"/>
      <c r="HJ164" s="16"/>
      <c r="HK164" s="17"/>
      <c r="HO164" s="24"/>
      <c r="HP164" s="60"/>
      <c r="HQ164" s="16"/>
      <c r="HR164" s="16"/>
      <c r="HS164" s="16"/>
      <c r="HT164" s="16"/>
      <c r="HU164" s="16"/>
      <c r="HV164" s="17"/>
      <c r="HZ164" s="24"/>
      <c r="IA164" s="60"/>
      <c r="IB164" s="16"/>
      <c r="IC164" s="16"/>
      <c r="ID164" s="16"/>
      <c r="IE164" s="16"/>
      <c r="IF164" s="16"/>
      <c r="IG164" s="17"/>
      <c r="IK164" s="24"/>
      <c r="IL164" s="60"/>
      <c r="IM164" s="16"/>
      <c r="IN164" s="16"/>
      <c r="IO164" s="16"/>
      <c r="IP164" s="16"/>
      <c r="IQ164" s="16"/>
      <c r="IR164" s="17"/>
      <c r="IV164" s="24"/>
      <c r="IW164" s="60"/>
      <c r="IX164" s="16"/>
      <c r="IY164" s="16"/>
      <c r="IZ164" s="16"/>
      <c r="JA164" s="16"/>
      <c r="JB164" s="16"/>
      <c r="JC164" s="17"/>
      <c r="JG164" s="24"/>
      <c r="JH164" s="60"/>
      <c r="JI164" s="16"/>
      <c r="JJ164" s="16"/>
      <c r="JK164" s="16"/>
      <c r="JL164" s="16"/>
      <c r="JM164" s="16"/>
      <c r="JN164" s="17"/>
      <c r="JR164" s="24"/>
      <c r="JS164" s="60"/>
      <c r="JT164" s="16"/>
      <c r="JU164" s="16"/>
      <c r="JV164" s="16"/>
      <c r="JW164" s="16"/>
      <c r="JX164" s="16"/>
      <c r="JY164" s="17"/>
      <c r="KC164" s="24"/>
      <c r="KD164" s="60"/>
      <c r="KE164" s="16"/>
      <c r="KF164" s="16"/>
      <c r="KG164" s="16"/>
      <c r="KH164" s="16"/>
      <c r="KI164" s="16"/>
      <c r="KJ164" s="17"/>
      <c r="KN164" s="24"/>
      <c r="KO164" s="60"/>
      <c r="KP164" s="16"/>
      <c r="KQ164" s="16"/>
      <c r="KR164" s="16"/>
      <c r="KS164" s="16"/>
      <c r="KT164" s="16"/>
      <c r="KU164" s="17"/>
      <c r="KY164" s="24"/>
      <c r="KZ164" s="60"/>
      <c r="LA164" s="16"/>
      <c r="LB164" s="16"/>
      <c r="LC164" s="16"/>
      <c r="LD164" s="16"/>
      <c r="LE164" s="16"/>
      <c r="LF164" s="17"/>
      <c r="LJ164" s="24"/>
      <c r="LK164" s="60"/>
      <c r="LL164" s="16"/>
      <c r="LM164" s="16"/>
      <c r="LN164" s="16"/>
      <c r="LO164" s="16"/>
      <c r="LP164" s="16"/>
      <c r="LQ164" s="17"/>
    </row>
    <row r="165">
      <c r="C165" s="31"/>
      <c r="D165" s="61"/>
      <c r="E165" s="16"/>
      <c r="F165" s="16"/>
      <c r="G165" s="21"/>
      <c r="H165" s="16"/>
      <c r="I165" s="16"/>
      <c r="J165" s="17"/>
      <c r="N165" s="17"/>
      <c r="O165" s="61"/>
      <c r="P165" s="16"/>
      <c r="Q165" s="16"/>
      <c r="R165" s="16"/>
      <c r="S165" s="16"/>
      <c r="T165" s="16"/>
      <c r="U165" s="17"/>
      <c r="Y165" s="24"/>
      <c r="Z165" s="61"/>
      <c r="AA165" s="16"/>
      <c r="AB165" s="16"/>
      <c r="AC165" s="16"/>
      <c r="AD165" s="16"/>
      <c r="AE165" s="16"/>
      <c r="AF165" s="17"/>
      <c r="AJ165" s="24"/>
      <c r="AK165" s="61"/>
      <c r="AL165" s="16"/>
      <c r="AM165" s="16"/>
      <c r="AN165" s="16"/>
      <c r="AO165" s="16"/>
      <c r="AP165" s="16"/>
      <c r="AQ165" s="17"/>
      <c r="AU165" s="24"/>
      <c r="AV165" s="61"/>
      <c r="AW165" s="16"/>
      <c r="AX165" s="16"/>
      <c r="AY165" s="16"/>
      <c r="AZ165" s="16"/>
      <c r="BA165" s="16"/>
      <c r="BB165" s="17"/>
      <c r="BF165" s="24"/>
      <c r="BG165" s="61"/>
      <c r="BH165" s="16"/>
      <c r="BI165" s="16"/>
      <c r="BJ165" s="16"/>
      <c r="BK165" s="16"/>
      <c r="BL165" s="16"/>
      <c r="BM165" s="17"/>
      <c r="BQ165" s="24"/>
      <c r="BR165" s="61"/>
      <c r="BS165" s="16"/>
      <c r="BT165" s="16"/>
      <c r="BU165" s="16"/>
      <c r="BV165" s="16"/>
      <c r="BW165" s="16"/>
      <c r="BX165" s="17"/>
      <c r="CB165" s="24"/>
      <c r="CC165" s="61"/>
      <c r="CD165" s="16"/>
      <c r="CE165" s="16"/>
      <c r="CF165" s="16"/>
      <c r="CG165" s="16"/>
      <c r="CH165" s="16"/>
      <c r="CI165" s="17"/>
      <c r="CM165" s="24"/>
      <c r="CN165" s="61"/>
      <c r="CO165" s="16"/>
      <c r="CP165" s="16"/>
      <c r="CQ165" s="16"/>
      <c r="CR165" s="16"/>
      <c r="CS165" s="16"/>
      <c r="CT165" s="17"/>
      <c r="CX165" s="24"/>
      <c r="CY165" s="60"/>
      <c r="CZ165" s="16"/>
      <c r="DA165" s="16"/>
      <c r="DB165" s="16"/>
      <c r="DC165" s="16"/>
      <c r="DD165" s="16"/>
      <c r="DE165" s="17"/>
      <c r="DI165" s="24"/>
      <c r="DJ165" s="60"/>
      <c r="DK165" s="16"/>
      <c r="DL165" s="16"/>
      <c r="DM165" s="16"/>
      <c r="DN165" s="16"/>
      <c r="DO165" s="16"/>
      <c r="DP165" s="17"/>
      <c r="DT165" s="24"/>
      <c r="DU165" s="60"/>
      <c r="DV165" s="16"/>
      <c r="DW165" s="16"/>
      <c r="DX165" s="16"/>
      <c r="DY165" s="16"/>
      <c r="DZ165" s="16"/>
      <c r="EA165" s="17"/>
      <c r="EE165" s="24"/>
      <c r="EF165" s="60"/>
      <c r="EG165" s="16"/>
      <c r="EH165" s="16"/>
      <c r="EI165" s="16"/>
      <c r="EJ165" s="16"/>
      <c r="EK165" s="16"/>
      <c r="EL165" s="17"/>
      <c r="EP165" s="24"/>
      <c r="EQ165" s="60"/>
      <c r="ER165" s="16"/>
      <c r="ES165" s="16"/>
      <c r="ET165" s="16"/>
      <c r="EU165" s="16"/>
      <c r="EV165" s="16"/>
      <c r="EW165" s="17"/>
      <c r="FA165" s="24"/>
      <c r="FB165" s="60"/>
      <c r="FC165" s="16"/>
      <c r="FD165" s="16"/>
      <c r="FE165" s="16"/>
      <c r="FF165" s="16"/>
      <c r="FG165" s="16"/>
      <c r="FH165" s="17"/>
      <c r="FL165" s="24"/>
      <c r="FM165" s="60"/>
      <c r="FN165" s="16"/>
      <c r="FO165" s="16"/>
      <c r="FP165" s="16"/>
      <c r="FQ165" s="16"/>
      <c r="FR165" s="16"/>
      <c r="FS165" s="17"/>
      <c r="FW165" s="24"/>
      <c r="FX165" s="60"/>
      <c r="FY165" s="16"/>
      <c r="FZ165" s="16"/>
      <c r="GA165" s="16"/>
      <c r="GB165" s="16"/>
      <c r="GC165" s="16"/>
      <c r="GD165" s="17"/>
      <c r="GH165" s="24"/>
      <c r="GI165" s="60"/>
      <c r="GJ165" s="16"/>
      <c r="GK165" s="16"/>
      <c r="GL165" s="16"/>
      <c r="GM165" s="16"/>
      <c r="GN165" s="16"/>
      <c r="GO165" s="17"/>
      <c r="GS165" s="24"/>
      <c r="GT165" s="60"/>
      <c r="GU165" s="16"/>
      <c r="GV165" s="16"/>
      <c r="GW165" s="16"/>
      <c r="GX165" s="16"/>
      <c r="GY165" s="16"/>
      <c r="GZ165" s="17"/>
      <c r="HD165" s="24"/>
      <c r="HE165" s="60"/>
      <c r="HF165" s="16"/>
      <c r="HG165" s="16"/>
      <c r="HH165" s="16"/>
      <c r="HI165" s="16"/>
      <c r="HJ165" s="16"/>
      <c r="HK165" s="17"/>
      <c r="HO165" s="24"/>
      <c r="HP165" s="60"/>
      <c r="HQ165" s="16"/>
      <c r="HR165" s="16"/>
      <c r="HS165" s="16"/>
      <c r="HT165" s="16"/>
      <c r="HU165" s="16"/>
      <c r="HV165" s="17"/>
      <c r="HZ165" s="24"/>
      <c r="IA165" s="60"/>
      <c r="IB165" s="16"/>
      <c r="IC165" s="16"/>
      <c r="ID165" s="16"/>
      <c r="IE165" s="16"/>
      <c r="IF165" s="16"/>
      <c r="IG165" s="17"/>
      <c r="IK165" s="24"/>
      <c r="IL165" s="60"/>
      <c r="IM165" s="16"/>
      <c r="IN165" s="16"/>
      <c r="IO165" s="16"/>
      <c r="IP165" s="16"/>
      <c r="IQ165" s="16"/>
      <c r="IR165" s="17"/>
      <c r="IV165" s="24"/>
      <c r="IW165" s="60"/>
      <c r="IX165" s="16"/>
      <c r="IY165" s="16"/>
      <c r="IZ165" s="16"/>
      <c r="JA165" s="16"/>
      <c r="JB165" s="16"/>
      <c r="JC165" s="17"/>
      <c r="JG165" s="24"/>
      <c r="JH165" s="60"/>
      <c r="JI165" s="16"/>
      <c r="JJ165" s="16"/>
      <c r="JK165" s="16"/>
      <c r="JL165" s="16"/>
      <c r="JM165" s="16"/>
      <c r="JN165" s="17"/>
      <c r="JR165" s="24"/>
      <c r="JS165" s="60"/>
      <c r="JT165" s="16"/>
      <c r="JU165" s="16"/>
      <c r="JV165" s="16"/>
      <c r="JW165" s="16"/>
      <c r="JX165" s="16"/>
      <c r="JY165" s="17"/>
      <c r="KC165" s="24"/>
      <c r="KD165" s="60"/>
      <c r="KE165" s="16"/>
      <c r="KF165" s="16"/>
      <c r="KG165" s="16"/>
      <c r="KH165" s="16"/>
      <c r="KI165" s="16"/>
      <c r="KJ165" s="17"/>
      <c r="KN165" s="24"/>
      <c r="KO165" s="60"/>
      <c r="KP165" s="16"/>
      <c r="KQ165" s="16"/>
      <c r="KR165" s="16"/>
      <c r="KS165" s="16"/>
      <c r="KT165" s="16"/>
      <c r="KU165" s="17"/>
      <c r="KY165" s="24"/>
      <c r="KZ165" s="60"/>
      <c r="LA165" s="16"/>
      <c r="LB165" s="16"/>
      <c r="LC165" s="16"/>
      <c r="LD165" s="16"/>
      <c r="LE165" s="16"/>
      <c r="LF165" s="17"/>
      <c r="LJ165" s="24"/>
      <c r="LK165" s="60"/>
      <c r="LL165" s="16"/>
      <c r="LM165" s="16"/>
      <c r="LN165" s="16"/>
      <c r="LO165" s="16"/>
      <c r="LP165" s="16"/>
      <c r="LQ165" s="17"/>
    </row>
    <row r="166">
      <c r="C166" s="31"/>
      <c r="D166" s="61"/>
      <c r="E166" s="16"/>
      <c r="F166" s="16"/>
      <c r="G166" s="21"/>
      <c r="H166" s="16"/>
      <c r="I166" s="16"/>
      <c r="J166" s="17"/>
      <c r="N166" s="17"/>
      <c r="O166" s="61"/>
      <c r="P166" s="16"/>
      <c r="Q166" s="16"/>
      <c r="R166" s="16"/>
      <c r="S166" s="16"/>
      <c r="T166" s="16"/>
      <c r="U166" s="17"/>
      <c r="Y166" s="24"/>
      <c r="Z166" s="61"/>
      <c r="AA166" s="16"/>
      <c r="AB166" s="16"/>
      <c r="AC166" s="16"/>
      <c r="AD166" s="16"/>
      <c r="AE166" s="16"/>
      <c r="AF166" s="17"/>
      <c r="AJ166" s="24"/>
      <c r="AK166" s="61"/>
      <c r="AL166" s="16"/>
      <c r="AM166" s="16"/>
      <c r="AN166" s="16"/>
      <c r="AO166" s="16"/>
      <c r="AP166" s="16"/>
      <c r="AQ166" s="17"/>
      <c r="AU166" s="24"/>
      <c r="AV166" s="61"/>
      <c r="AW166" s="16"/>
      <c r="AX166" s="16"/>
      <c r="AY166" s="16"/>
      <c r="AZ166" s="16"/>
      <c r="BA166" s="16"/>
      <c r="BB166" s="17"/>
      <c r="BF166" s="24"/>
      <c r="BG166" s="61"/>
      <c r="BH166" s="16"/>
      <c r="BI166" s="16"/>
      <c r="BJ166" s="16"/>
      <c r="BK166" s="16"/>
      <c r="BL166" s="16"/>
      <c r="BM166" s="17"/>
      <c r="BQ166" s="24"/>
      <c r="BR166" s="61"/>
      <c r="BS166" s="16"/>
      <c r="BT166" s="16"/>
      <c r="BU166" s="16"/>
      <c r="BV166" s="16"/>
      <c r="BW166" s="16"/>
      <c r="BX166" s="17"/>
      <c r="CB166" s="24"/>
      <c r="CC166" s="61"/>
      <c r="CD166" s="16"/>
      <c r="CE166" s="16"/>
      <c r="CF166" s="16"/>
      <c r="CG166" s="16"/>
      <c r="CH166" s="16"/>
      <c r="CI166" s="17"/>
      <c r="CM166" s="24"/>
      <c r="CN166" s="61"/>
      <c r="CO166" s="16"/>
      <c r="CP166" s="16"/>
      <c r="CQ166" s="16"/>
      <c r="CR166" s="16"/>
      <c r="CS166" s="16"/>
      <c r="CT166" s="17"/>
      <c r="CX166" s="24"/>
      <c r="CY166" s="60"/>
      <c r="CZ166" s="16"/>
      <c r="DA166" s="16"/>
      <c r="DB166" s="16"/>
      <c r="DC166" s="16"/>
      <c r="DD166" s="16"/>
      <c r="DE166" s="17"/>
      <c r="DI166" s="24"/>
      <c r="DJ166" s="60"/>
      <c r="DK166" s="16"/>
      <c r="DL166" s="16"/>
      <c r="DM166" s="16"/>
      <c r="DN166" s="16"/>
      <c r="DO166" s="16"/>
      <c r="DP166" s="17"/>
      <c r="DT166" s="24"/>
      <c r="DU166" s="60"/>
      <c r="DV166" s="16"/>
      <c r="DW166" s="16"/>
      <c r="DX166" s="16"/>
      <c r="DY166" s="16"/>
      <c r="DZ166" s="16"/>
      <c r="EA166" s="17"/>
      <c r="EE166" s="24"/>
      <c r="EF166" s="60"/>
      <c r="EG166" s="16"/>
      <c r="EH166" s="16"/>
      <c r="EI166" s="16"/>
      <c r="EJ166" s="16"/>
      <c r="EK166" s="16"/>
      <c r="EL166" s="17"/>
      <c r="EP166" s="24"/>
      <c r="EQ166" s="60"/>
      <c r="ER166" s="16"/>
      <c r="ES166" s="16"/>
      <c r="ET166" s="16"/>
      <c r="EU166" s="16"/>
      <c r="EV166" s="16"/>
      <c r="EW166" s="17"/>
      <c r="FA166" s="24"/>
      <c r="FB166" s="60"/>
      <c r="FC166" s="16"/>
      <c r="FD166" s="16"/>
      <c r="FE166" s="16"/>
      <c r="FF166" s="16"/>
      <c r="FG166" s="16"/>
      <c r="FH166" s="17"/>
      <c r="FL166" s="24"/>
      <c r="FM166" s="60"/>
      <c r="FN166" s="16"/>
      <c r="FO166" s="16"/>
      <c r="FP166" s="16"/>
      <c r="FQ166" s="16"/>
      <c r="FR166" s="16"/>
      <c r="FS166" s="17"/>
      <c r="FW166" s="24"/>
      <c r="FX166" s="60"/>
      <c r="FY166" s="16"/>
      <c r="FZ166" s="16"/>
      <c r="GA166" s="16"/>
      <c r="GB166" s="16"/>
      <c r="GC166" s="16"/>
      <c r="GD166" s="17"/>
      <c r="GH166" s="24"/>
      <c r="GI166" s="60"/>
      <c r="GJ166" s="16"/>
      <c r="GK166" s="16"/>
      <c r="GL166" s="16"/>
      <c r="GM166" s="16"/>
      <c r="GN166" s="16"/>
      <c r="GO166" s="17"/>
      <c r="GS166" s="24"/>
      <c r="GT166" s="60"/>
      <c r="GU166" s="16"/>
      <c r="GV166" s="16"/>
      <c r="GW166" s="16"/>
      <c r="GX166" s="16"/>
      <c r="GY166" s="16"/>
      <c r="GZ166" s="17"/>
      <c r="HD166" s="24"/>
      <c r="HE166" s="60"/>
      <c r="HF166" s="16"/>
      <c r="HG166" s="16"/>
      <c r="HH166" s="16"/>
      <c r="HI166" s="16"/>
      <c r="HJ166" s="16"/>
      <c r="HK166" s="17"/>
      <c r="HO166" s="24"/>
      <c r="HP166" s="60"/>
      <c r="HQ166" s="16"/>
      <c r="HR166" s="16"/>
      <c r="HS166" s="16"/>
      <c r="HT166" s="16"/>
      <c r="HU166" s="16"/>
      <c r="HV166" s="17"/>
      <c r="HZ166" s="24"/>
      <c r="IA166" s="60"/>
      <c r="IB166" s="16"/>
      <c r="IC166" s="16"/>
      <c r="ID166" s="16"/>
      <c r="IE166" s="16"/>
      <c r="IF166" s="16"/>
      <c r="IG166" s="17"/>
      <c r="IK166" s="24"/>
      <c r="IL166" s="60"/>
      <c r="IM166" s="16"/>
      <c r="IN166" s="16"/>
      <c r="IO166" s="16"/>
      <c r="IP166" s="16"/>
      <c r="IQ166" s="16"/>
      <c r="IR166" s="17"/>
      <c r="IV166" s="24"/>
      <c r="IW166" s="60"/>
      <c r="IX166" s="16"/>
      <c r="IY166" s="16"/>
      <c r="IZ166" s="16"/>
      <c r="JA166" s="16"/>
      <c r="JB166" s="16"/>
      <c r="JC166" s="17"/>
      <c r="JG166" s="24"/>
      <c r="JH166" s="60"/>
      <c r="JI166" s="16"/>
      <c r="JJ166" s="16"/>
      <c r="JK166" s="16"/>
      <c r="JL166" s="16"/>
      <c r="JM166" s="16"/>
      <c r="JN166" s="17"/>
      <c r="JR166" s="24"/>
      <c r="JS166" s="60"/>
      <c r="JT166" s="16"/>
      <c r="JU166" s="16"/>
      <c r="JV166" s="16"/>
      <c r="JW166" s="16"/>
      <c r="JX166" s="16"/>
      <c r="JY166" s="17"/>
      <c r="KC166" s="24"/>
      <c r="KD166" s="60"/>
      <c r="KE166" s="16"/>
      <c r="KF166" s="16"/>
      <c r="KG166" s="16"/>
      <c r="KH166" s="16"/>
      <c r="KI166" s="16"/>
      <c r="KJ166" s="17"/>
      <c r="KN166" s="24"/>
      <c r="KO166" s="60"/>
      <c r="KP166" s="16"/>
      <c r="KQ166" s="16"/>
      <c r="KR166" s="16"/>
      <c r="KS166" s="16"/>
      <c r="KT166" s="16"/>
      <c r="KU166" s="17"/>
      <c r="KY166" s="24"/>
      <c r="KZ166" s="60"/>
      <c r="LA166" s="16"/>
      <c r="LB166" s="16"/>
      <c r="LC166" s="16"/>
      <c r="LD166" s="16"/>
      <c r="LE166" s="16"/>
      <c r="LF166" s="17"/>
      <c r="LJ166" s="24"/>
      <c r="LK166" s="60"/>
      <c r="LL166" s="16"/>
      <c r="LM166" s="16"/>
      <c r="LN166" s="16"/>
      <c r="LO166" s="16"/>
      <c r="LP166" s="16"/>
      <c r="LQ166" s="17"/>
    </row>
    <row r="167">
      <c r="C167" s="31"/>
      <c r="D167" s="61"/>
      <c r="E167" s="16"/>
      <c r="F167" s="16"/>
      <c r="G167" s="21"/>
      <c r="H167" s="16"/>
      <c r="I167" s="16"/>
      <c r="J167" s="17"/>
      <c r="N167" s="17"/>
      <c r="O167" s="61"/>
      <c r="P167" s="16"/>
      <c r="Q167" s="16"/>
      <c r="R167" s="16"/>
      <c r="S167" s="16"/>
      <c r="T167" s="16"/>
      <c r="U167" s="17"/>
      <c r="Y167" s="24"/>
      <c r="Z167" s="61"/>
      <c r="AA167" s="16"/>
      <c r="AB167" s="16"/>
      <c r="AC167" s="16"/>
      <c r="AD167" s="16"/>
      <c r="AE167" s="16"/>
      <c r="AF167" s="17"/>
      <c r="AJ167" s="24"/>
      <c r="AK167" s="61"/>
      <c r="AL167" s="16"/>
      <c r="AM167" s="16"/>
      <c r="AN167" s="16"/>
      <c r="AO167" s="16"/>
      <c r="AP167" s="16"/>
      <c r="AQ167" s="17"/>
      <c r="AU167" s="24"/>
      <c r="AV167" s="61"/>
      <c r="AW167" s="16"/>
      <c r="AX167" s="16"/>
      <c r="AY167" s="16"/>
      <c r="AZ167" s="16"/>
      <c r="BA167" s="16"/>
      <c r="BB167" s="17"/>
      <c r="BF167" s="24"/>
      <c r="BG167" s="61"/>
      <c r="BH167" s="16"/>
      <c r="BI167" s="16"/>
      <c r="BJ167" s="16"/>
      <c r="BK167" s="16"/>
      <c r="BL167" s="16"/>
      <c r="BM167" s="17"/>
      <c r="BQ167" s="24"/>
      <c r="BR167" s="61"/>
      <c r="BS167" s="16"/>
      <c r="BT167" s="16"/>
      <c r="BU167" s="16"/>
      <c r="BV167" s="16"/>
      <c r="BW167" s="16"/>
      <c r="BX167" s="17"/>
      <c r="CB167" s="24"/>
      <c r="CC167" s="61"/>
      <c r="CD167" s="16"/>
      <c r="CE167" s="16"/>
      <c r="CF167" s="16"/>
      <c r="CG167" s="16"/>
      <c r="CH167" s="16"/>
      <c r="CI167" s="17"/>
      <c r="CM167" s="24"/>
      <c r="CN167" s="61"/>
      <c r="CO167" s="16"/>
      <c r="CP167" s="16"/>
      <c r="CQ167" s="16"/>
      <c r="CR167" s="16"/>
      <c r="CS167" s="16"/>
      <c r="CT167" s="17"/>
      <c r="CX167" s="24"/>
      <c r="CY167" s="60"/>
      <c r="CZ167" s="16"/>
      <c r="DA167" s="16"/>
      <c r="DB167" s="16"/>
      <c r="DC167" s="16"/>
      <c r="DD167" s="16"/>
      <c r="DE167" s="17"/>
      <c r="DI167" s="24"/>
      <c r="DJ167" s="60"/>
      <c r="DK167" s="16"/>
      <c r="DL167" s="16"/>
      <c r="DM167" s="16"/>
      <c r="DN167" s="16"/>
      <c r="DO167" s="16"/>
      <c r="DP167" s="17"/>
      <c r="DT167" s="24"/>
      <c r="DU167" s="60"/>
      <c r="DV167" s="16"/>
      <c r="DW167" s="16"/>
      <c r="DX167" s="16"/>
      <c r="DY167" s="16"/>
      <c r="DZ167" s="16"/>
      <c r="EA167" s="17"/>
      <c r="EE167" s="24"/>
      <c r="EF167" s="60"/>
      <c r="EG167" s="16"/>
      <c r="EH167" s="16"/>
      <c r="EI167" s="16"/>
      <c r="EJ167" s="16"/>
      <c r="EK167" s="16"/>
      <c r="EL167" s="17"/>
      <c r="EP167" s="24"/>
      <c r="EQ167" s="60"/>
      <c r="ER167" s="16"/>
      <c r="ES167" s="16"/>
      <c r="ET167" s="16"/>
      <c r="EU167" s="16"/>
      <c r="EV167" s="16"/>
      <c r="EW167" s="17"/>
      <c r="FA167" s="24"/>
      <c r="FB167" s="60"/>
      <c r="FC167" s="16"/>
      <c r="FD167" s="16"/>
      <c r="FE167" s="16"/>
      <c r="FF167" s="16"/>
      <c r="FG167" s="16"/>
      <c r="FH167" s="17"/>
      <c r="FL167" s="24"/>
      <c r="FM167" s="60"/>
      <c r="FN167" s="16"/>
      <c r="FO167" s="16"/>
      <c r="FP167" s="16"/>
      <c r="FQ167" s="16"/>
      <c r="FR167" s="16"/>
      <c r="FS167" s="17"/>
      <c r="FW167" s="24"/>
      <c r="FX167" s="60"/>
      <c r="FY167" s="16"/>
      <c r="FZ167" s="16"/>
      <c r="GA167" s="16"/>
      <c r="GB167" s="16"/>
      <c r="GC167" s="16"/>
      <c r="GD167" s="17"/>
      <c r="GH167" s="24"/>
      <c r="GI167" s="60"/>
      <c r="GJ167" s="16"/>
      <c r="GK167" s="16"/>
      <c r="GL167" s="16"/>
      <c r="GM167" s="16"/>
      <c r="GN167" s="16"/>
      <c r="GO167" s="17"/>
      <c r="GS167" s="24"/>
      <c r="GT167" s="60"/>
      <c r="GU167" s="16"/>
      <c r="GV167" s="16"/>
      <c r="GW167" s="16"/>
      <c r="GX167" s="16"/>
      <c r="GY167" s="16"/>
      <c r="GZ167" s="17"/>
      <c r="HD167" s="24"/>
      <c r="HE167" s="60"/>
      <c r="HF167" s="16"/>
      <c r="HG167" s="16"/>
      <c r="HH167" s="16"/>
      <c r="HI167" s="16"/>
      <c r="HJ167" s="16"/>
      <c r="HK167" s="17"/>
      <c r="HO167" s="24"/>
      <c r="HP167" s="60"/>
      <c r="HQ167" s="16"/>
      <c r="HR167" s="16"/>
      <c r="HS167" s="16"/>
      <c r="HT167" s="16"/>
      <c r="HU167" s="16"/>
      <c r="HV167" s="17"/>
      <c r="HZ167" s="24"/>
      <c r="IA167" s="60"/>
      <c r="IB167" s="16"/>
      <c r="IC167" s="16"/>
      <c r="ID167" s="16"/>
      <c r="IE167" s="16"/>
      <c r="IF167" s="16"/>
      <c r="IG167" s="17"/>
      <c r="IK167" s="24"/>
      <c r="IL167" s="60"/>
      <c r="IM167" s="16"/>
      <c r="IN167" s="16"/>
      <c r="IO167" s="16"/>
      <c r="IP167" s="16"/>
      <c r="IQ167" s="16"/>
      <c r="IR167" s="17"/>
      <c r="IV167" s="24"/>
      <c r="IW167" s="60"/>
      <c r="IX167" s="16"/>
      <c r="IY167" s="16"/>
      <c r="IZ167" s="16"/>
      <c r="JA167" s="16"/>
      <c r="JB167" s="16"/>
      <c r="JC167" s="17"/>
      <c r="JG167" s="24"/>
      <c r="JH167" s="60"/>
      <c r="JI167" s="16"/>
      <c r="JJ167" s="16"/>
      <c r="JK167" s="16"/>
      <c r="JL167" s="16"/>
      <c r="JM167" s="16"/>
      <c r="JN167" s="17"/>
      <c r="JR167" s="24"/>
      <c r="JS167" s="60"/>
      <c r="JT167" s="16"/>
      <c r="JU167" s="16"/>
      <c r="JV167" s="16"/>
      <c r="JW167" s="16"/>
      <c r="JX167" s="16"/>
      <c r="JY167" s="17"/>
      <c r="KC167" s="24"/>
      <c r="KD167" s="60"/>
      <c r="KE167" s="16"/>
      <c r="KF167" s="16"/>
      <c r="KG167" s="16"/>
      <c r="KH167" s="16"/>
      <c r="KI167" s="16"/>
      <c r="KJ167" s="17"/>
      <c r="KN167" s="24"/>
      <c r="KO167" s="60"/>
      <c r="KP167" s="16"/>
      <c r="KQ167" s="16"/>
      <c r="KR167" s="16"/>
      <c r="KS167" s="16"/>
      <c r="KT167" s="16"/>
      <c r="KU167" s="17"/>
      <c r="KY167" s="24"/>
      <c r="KZ167" s="60"/>
      <c r="LA167" s="16"/>
      <c r="LB167" s="16"/>
      <c r="LC167" s="16"/>
      <c r="LD167" s="16"/>
      <c r="LE167" s="16"/>
      <c r="LF167" s="17"/>
      <c r="LJ167" s="24"/>
      <c r="LK167" s="60"/>
      <c r="LL167" s="16"/>
      <c r="LM167" s="16"/>
      <c r="LN167" s="16"/>
      <c r="LO167" s="16"/>
      <c r="LP167" s="16"/>
      <c r="LQ167" s="17"/>
    </row>
    <row r="168">
      <c r="C168" s="31"/>
      <c r="D168" s="61"/>
      <c r="E168" s="16"/>
      <c r="F168" s="16"/>
      <c r="G168" s="21"/>
      <c r="H168" s="16"/>
      <c r="I168" s="16"/>
      <c r="J168" s="17"/>
      <c r="N168" s="17"/>
      <c r="O168" s="61"/>
      <c r="P168" s="16"/>
      <c r="Q168" s="16"/>
      <c r="R168" s="16"/>
      <c r="S168" s="16"/>
      <c r="T168" s="16"/>
      <c r="U168" s="17"/>
      <c r="Y168" s="24"/>
      <c r="Z168" s="61"/>
      <c r="AA168" s="16"/>
      <c r="AB168" s="16"/>
      <c r="AC168" s="16"/>
      <c r="AD168" s="16"/>
      <c r="AE168" s="16"/>
      <c r="AF168" s="17"/>
      <c r="AJ168" s="24"/>
      <c r="AK168" s="61"/>
      <c r="AL168" s="16"/>
      <c r="AM168" s="16"/>
      <c r="AN168" s="16"/>
      <c r="AO168" s="16"/>
      <c r="AP168" s="16"/>
      <c r="AQ168" s="17"/>
      <c r="AU168" s="24"/>
      <c r="AV168" s="61"/>
      <c r="AW168" s="16"/>
      <c r="AX168" s="16"/>
      <c r="AY168" s="16"/>
      <c r="AZ168" s="16"/>
      <c r="BA168" s="16"/>
      <c r="BB168" s="17"/>
      <c r="BF168" s="24"/>
      <c r="BG168" s="61"/>
      <c r="BH168" s="16"/>
      <c r="BI168" s="16"/>
      <c r="BJ168" s="16"/>
      <c r="BK168" s="16"/>
      <c r="BL168" s="16"/>
      <c r="BM168" s="17"/>
      <c r="BQ168" s="24"/>
      <c r="BR168" s="61"/>
      <c r="BS168" s="16"/>
      <c r="BT168" s="16"/>
      <c r="BU168" s="16"/>
      <c r="BV168" s="16"/>
      <c r="BW168" s="16"/>
      <c r="BX168" s="17"/>
      <c r="CB168" s="24"/>
      <c r="CC168" s="61"/>
      <c r="CD168" s="16"/>
      <c r="CE168" s="16"/>
      <c r="CF168" s="16"/>
      <c r="CG168" s="16"/>
      <c r="CH168" s="16"/>
      <c r="CI168" s="17"/>
      <c r="CM168" s="24"/>
      <c r="CN168" s="61"/>
      <c r="CO168" s="16"/>
      <c r="CP168" s="16"/>
      <c r="CQ168" s="16"/>
      <c r="CR168" s="16"/>
      <c r="CS168" s="16"/>
      <c r="CT168" s="17"/>
      <c r="CX168" s="24"/>
      <c r="CY168" s="60"/>
      <c r="CZ168" s="16"/>
      <c r="DA168" s="16"/>
      <c r="DB168" s="16"/>
      <c r="DC168" s="16"/>
      <c r="DD168" s="16"/>
      <c r="DE168" s="17"/>
      <c r="DI168" s="24"/>
      <c r="DJ168" s="60"/>
      <c r="DK168" s="16"/>
      <c r="DL168" s="16"/>
      <c r="DM168" s="16"/>
      <c r="DN168" s="16"/>
      <c r="DO168" s="16"/>
      <c r="DP168" s="17"/>
      <c r="DT168" s="24"/>
      <c r="DU168" s="60"/>
      <c r="DV168" s="16"/>
      <c r="DW168" s="16"/>
      <c r="DX168" s="16"/>
      <c r="DY168" s="16"/>
      <c r="DZ168" s="16"/>
      <c r="EA168" s="17"/>
      <c r="EE168" s="24"/>
      <c r="EF168" s="60"/>
      <c r="EG168" s="16"/>
      <c r="EH168" s="16"/>
      <c r="EI168" s="16"/>
      <c r="EJ168" s="16"/>
      <c r="EK168" s="16"/>
      <c r="EL168" s="17"/>
      <c r="EP168" s="24"/>
      <c r="EQ168" s="60"/>
      <c r="ER168" s="16"/>
      <c r="ES168" s="16"/>
      <c r="ET168" s="16"/>
      <c r="EU168" s="16"/>
      <c r="EV168" s="16"/>
      <c r="EW168" s="17"/>
      <c r="FA168" s="24"/>
      <c r="FB168" s="60"/>
      <c r="FC168" s="16"/>
      <c r="FD168" s="16"/>
      <c r="FE168" s="16"/>
      <c r="FF168" s="16"/>
      <c r="FG168" s="16"/>
      <c r="FH168" s="17"/>
      <c r="FL168" s="24"/>
      <c r="FM168" s="60"/>
      <c r="FN168" s="16"/>
      <c r="FO168" s="16"/>
      <c r="FP168" s="16"/>
      <c r="FQ168" s="16"/>
      <c r="FR168" s="16"/>
      <c r="FS168" s="17"/>
      <c r="FW168" s="24"/>
      <c r="FX168" s="60"/>
      <c r="FY168" s="16"/>
      <c r="FZ168" s="16"/>
      <c r="GA168" s="16"/>
      <c r="GB168" s="16"/>
      <c r="GC168" s="16"/>
      <c r="GD168" s="17"/>
      <c r="GH168" s="24"/>
      <c r="GI168" s="60"/>
      <c r="GJ168" s="16"/>
      <c r="GK168" s="16"/>
      <c r="GL168" s="16"/>
      <c r="GM168" s="16"/>
      <c r="GN168" s="16"/>
      <c r="GO168" s="17"/>
      <c r="GS168" s="24"/>
      <c r="GT168" s="60"/>
      <c r="GU168" s="16"/>
      <c r="GV168" s="16"/>
      <c r="GW168" s="16"/>
      <c r="GX168" s="16"/>
      <c r="GY168" s="16"/>
      <c r="GZ168" s="17"/>
      <c r="HD168" s="24"/>
      <c r="HE168" s="60"/>
      <c r="HF168" s="16"/>
      <c r="HG168" s="16"/>
      <c r="HH168" s="16"/>
      <c r="HI168" s="16"/>
      <c r="HJ168" s="16"/>
      <c r="HK168" s="17"/>
      <c r="HO168" s="24"/>
      <c r="HP168" s="60"/>
      <c r="HQ168" s="16"/>
      <c r="HR168" s="16"/>
      <c r="HS168" s="16"/>
      <c r="HT168" s="16"/>
      <c r="HU168" s="16"/>
      <c r="HV168" s="17"/>
      <c r="HZ168" s="24"/>
      <c r="IA168" s="60"/>
      <c r="IB168" s="16"/>
      <c r="IC168" s="16"/>
      <c r="ID168" s="16"/>
      <c r="IE168" s="16"/>
      <c r="IF168" s="16"/>
      <c r="IG168" s="17"/>
      <c r="IK168" s="24"/>
      <c r="IL168" s="60"/>
      <c r="IM168" s="16"/>
      <c r="IN168" s="16"/>
      <c r="IO168" s="16"/>
      <c r="IP168" s="16"/>
      <c r="IQ168" s="16"/>
      <c r="IR168" s="17"/>
      <c r="IV168" s="24"/>
      <c r="IW168" s="60"/>
      <c r="IX168" s="16"/>
      <c r="IY168" s="16"/>
      <c r="IZ168" s="16"/>
      <c r="JA168" s="16"/>
      <c r="JB168" s="16"/>
      <c r="JC168" s="17"/>
      <c r="JG168" s="24"/>
      <c r="JH168" s="60"/>
      <c r="JI168" s="16"/>
      <c r="JJ168" s="16"/>
      <c r="JK168" s="16"/>
      <c r="JL168" s="16"/>
      <c r="JM168" s="16"/>
      <c r="JN168" s="17"/>
      <c r="JR168" s="24"/>
      <c r="JS168" s="60"/>
      <c r="JT168" s="16"/>
      <c r="JU168" s="16"/>
      <c r="JV168" s="16"/>
      <c r="JW168" s="16"/>
      <c r="JX168" s="16"/>
      <c r="JY168" s="17"/>
      <c r="KC168" s="24"/>
      <c r="KD168" s="60"/>
      <c r="KE168" s="16"/>
      <c r="KF168" s="16"/>
      <c r="KG168" s="16"/>
      <c r="KH168" s="16"/>
      <c r="KI168" s="16"/>
      <c r="KJ168" s="17"/>
      <c r="KN168" s="24"/>
      <c r="KO168" s="60"/>
      <c r="KP168" s="16"/>
      <c r="KQ168" s="16"/>
      <c r="KR168" s="16"/>
      <c r="KS168" s="16"/>
      <c r="KT168" s="16"/>
      <c r="KU168" s="17"/>
      <c r="KY168" s="24"/>
      <c r="KZ168" s="60"/>
      <c r="LA168" s="16"/>
      <c r="LB168" s="16"/>
      <c r="LC168" s="16"/>
      <c r="LD168" s="16"/>
      <c r="LE168" s="16"/>
      <c r="LF168" s="17"/>
      <c r="LJ168" s="24"/>
      <c r="LK168" s="60"/>
      <c r="LL168" s="16"/>
      <c r="LM168" s="16"/>
      <c r="LN168" s="16"/>
      <c r="LO168" s="16"/>
      <c r="LP168" s="16"/>
      <c r="LQ168" s="17"/>
    </row>
    <row r="169">
      <c r="C169" s="31"/>
      <c r="D169" s="61"/>
      <c r="E169" s="16"/>
      <c r="F169" s="16"/>
      <c r="G169" s="21"/>
      <c r="H169" s="16"/>
      <c r="I169" s="16"/>
      <c r="J169" s="17"/>
      <c r="N169" s="17"/>
      <c r="O169" s="61"/>
      <c r="P169" s="16"/>
      <c r="Q169" s="16"/>
      <c r="R169" s="16"/>
      <c r="S169" s="16"/>
      <c r="T169" s="16"/>
      <c r="U169" s="17"/>
      <c r="Y169" s="24"/>
      <c r="Z169" s="61"/>
      <c r="AA169" s="16"/>
      <c r="AB169" s="16"/>
      <c r="AC169" s="16"/>
      <c r="AD169" s="16"/>
      <c r="AE169" s="16"/>
      <c r="AF169" s="17"/>
      <c r="AJ169" s="24"/>
      <c r="AK169" s="61"/>
      <c r="AL169" s="16"/>
      <c r="AM169" s="16"/>
      <c r="AN169" s="16"/>
      <c r="AO169" s="16"/>
      <c r="AP169" s="16"/>
      <c r="AQ169" s="17"/>
      <c r="AU169" s="24"/>
      <c r="AV169" s="61"/>
      <c r="AW169" s="16"/>
      <c r="AX169" s="16"/>
      <c r="AY169" s="16"/>
      <c r="AZ169" s="16"/>
      <c r="BA169" s="16"/>
      <c r="BB169" s="17"/>
      <c r="BF169" s="24"/>
      <c r="BG169" s="61"/>
      <c r="BH169" s="16"/>
      <c r="BI169" s="16"/>
      <c r="BJ169" s="16"/>
      <c r="BK169" s="16"/>
      <c r="BL169" s="16"/>
      <c r="BM169" s="17"/>
      <c r="BQ169" s="24"/>
      <c r="BR169" s="61"/>
      <c r="BS169" s="16"/>
      <c r="BT169" s="16"/>
      <c r="BU169" s="16"/>
      <c r="BV169" s="16"/>
      <c r="BW169" s="16"/>
      <c r="BX169" s="17"/>
      <c r="CB169" s="24"/>
      <c r="CC169" s="61"/>
      <c r="CD169" s="16"/>
      <c r="CE169" s="16"/>
      <c r="CF169" s="16"/>
      <c r="CG169" s="16"/>
      <c r="CH169" s="16"/>
      <c r="CI169" s="17"/>
      <c r="CM169" s="24"/>
      <c r="CN169" s="61"/>
      <c r="CO169" s="16"/>
      <c r="CP169" s="16"/>
      <c r="CQ169" s="16"/>
      <c r="CR169" s="16"/>
      <c r="CS169" s="16"/>
      <c r="CT169" s="17"/>
      <c r="CX169" s="24"/>
      <c r="CY169" s="60"/>
      <c r="CZ169" s="16"/>
      <c r="DA169" s="16"/>
      <c r="DB169" s="16"/>
      <c r="DC169" s="16"/>
      <c r="DD169" s="16"/>
      <c r="DE169" s="17"/>
      <c r="DI169" s="24"/>
      <c r="DJ169" s="60"/>
      <c r="DK169" s="16"/>
      <c r="DL169" s="16"/>
      <c r="DM169" s="16"/>
      <c r="DN169" s="16"/>
      <c r="DO169" s="16"/>
      <c r="DP169" s="17"/>
      <c r="DT169" s="24"/>
      <c r="DU169" s="60"/>
      <c r="DV169" s="16"/>
      <c r="DW169" s="16"/>
      <c r="DX169" s="16"/>
      <c r="DY169" s="16"/>
      <c r="DZ169" s="16"/>
      <c r="EA169" s="17"/>
      <c r="EE169" s="24"/>
      <c r="EF169" s="60"/>
      <c r="EG169" s="16"/>
      <c r="EH169" s="16"/>
      <c r="EI169" s="16"/>
      <c r="EJ169" s="16"/>
      <c r="EK169" s="16"/>
      <c r="EL169" s="17"/>
      <c r="EP169" s="24"/>
      <c r="EQ169" s="60"/>
      <c r="ER169" s="16"/>
      <c r="ES169" s="16"/>
      <c r="ET169" s="16"/>
      <c r="EU169" s="16"/>
      <c r="EV169" s="16"/>
      <c r="EW169" s="17"/>
      <c r="FA169" s="24"/>
      <c r="FB169" s="60"/>
      <c r="FC169" s="16"/>
      <c r="FD169" s="16"/>
      <c r="FE169" s="16"/>
      <c r="FF169" s="16"/>
      <c r="FG169" s="16"/>
      <c r="FH169" s="17"/>
      <c r="FL169" s="24"/>
      <c r="FM169" s="60"/>
      <c r="FN169" s="16"/>
      <c r="FO169" s="16"/>
      <c r="FP169" s="16"/>
      <c r="FQ169" s="16"/>
      <c r="FR169" s="16"/>
      <c r="FS169" s="17"/>
      <c r="FW169" s="24"/>
      <c r="FX169" s="60"/>
      <c r="FY169" s="16"/>
      <c r="FZ169" s="16"/>
      <c r="GA169" s="16"/>
      <c r="GB169" s="16"/>
      <c r="GC169" s="16"/>
      <c r="GD169" s="17"/>
      <c r="GH169" s="24"/>
      <c r="GI169" s="60"/>
      <c r="GJ169" s="16"/>
      <c r="GK169" s="16"/>
      <c r="GL169" s="16"/>
      <c r="GM169" s="16"/>
      <c r="GN169" s="16"/>
      <c r="GO169" s="17"/>
      <c r="GS169" s="24"/>
      <c r="GT169" s="60"/>
      <c r="GU169" s="16"/>
      <c r="GV169" s="16"/>
      <c r="GW169" s="16"/>
      <c r="GX169" s="16"/>
      <c r="GY169" s="16"/>
      <c r="GZ169" s="17"/>
      <c r="HD169" s="24"/>
      <c r="HE169" s="60"/>
      <c r="HF169" s="16"/>
      <c r="HG169" s="16"/>
      <c r="HH169" s="16"/>
      <c r="HI169" s="16"/>
      <c r="HJ169" s="16"/>
      <c r="HK169" s="17"/>
      <c r="HO169" s="24"/>
      <c r="HP169" s="60"/>
      <c r="HQ169" s="16"/>
      <c r="HR169" s="16"/>
      <c r="HS169" s="16"/>
      <c r="HT169" s="16"/>
      <c r="HU169" s="16"/>
      <c r="HV169" s="17"/>
      <c r="HZ169" s="24"/>
      <c r="IA169" s="60"/>
      <c r="IB169" s="16"/>
      <c r="IC169" s="16"/>
      <c r="ID169" s="16"/>
      <c r="IE169" s="16"/>
      <c r="IF169" s="16"/>
      <c r="IG169" s="17"/>
      <c r="IK169" s="24"/>
      <c r="IL169" s="60"/>
      <c r="IM169" s="16"/>
      <c r="IN169" s="16"/>
      <c r="IO169" s="16"/>
      <c r="IP169" s="16"/>
      <c r="IQ169" s="16"/>
      <c r="IR169" s="17"/>
      <c r="IV169" s="24"/>
      <c r="IW169" s="60"/>
      <c r="IX169" s="16"/>
      <c r="IY169" s="16"/>
      <c r="IZ169" s="16"/>
      <c r="JA169" s="16"/>
      <c r="JB169" s="16"/>
      <c r="JC169" s="17"/>
      <c r="JG169" s="24"/>
      <c r="JH169" s="60"/>
      <c r="JI169" s="16"/>
      <c r="JJ169" s="16"/>
      <c r="JK169" s="16"/>
      <c r="JL169" s="16"/>
      <c r="JM169" s="16"/>
      <c r="JN169" s="17"/>
      <c r="JR169" s="24"/>
      <c r="JS169" s="60"/>
      <c r="JT169" s="16"/>
      <c r="JU169" s="16"/>
      <c r="JV169" s="16"/>
      <c r="JW169" s="16"/>
      <c r="JX169" s="16"/>
      <c r="JY169" s="17"/>
      <c r="KC169" s="24"/>
      <c r="KD169" s="60"/>
      <c r="KE169" s="16"/>
      <c r="KF169" s="16"/>
      <c r="KG169" s="16"/>
      <c r="KH169" s="16"/>
      <c r="KI169" s="16"/>
      <c r="KJ169" s="17"/>
      <c r="KN169" s="24"/>
      <c r="KO169" s="60"/>
      <c r="KP169" s="16"/>
      <c r="KQ169" s="16"/>
      <c r="KR169" s="16"/>
      <c r="KS169" s="16"/>
      <c r="KT169" s="16"/>
      <c r="KU169" s="17"/>
      <c r="KY169" s="24"/>
      <c r="KZ169" s="60"/>
      <c r="LA169" s="16"/>
      <c r="LB169" s="16"/>
      <c r="LC169" s="16"/>
      <c r="LD169" s="16"/>
      <c r="LE169" s="16"/>
      <c r="LF169" s="17"/>
      <c r="LJ169" s="24"/>
      <c r="LK169" s="60"/>
      <c r="LL169" s="16"/>
      <c r="LM169" s="16"/>
      <c r="LN169" s="16"/>
      <c r="LO169" s="16"/>
      <c r="LP169" s="16"/>
      <c r="LQ169" s="17"/>
    </row>
    <row r="170">
      <c r="C170" s="31"/>
      <c r="D170" s="61"/>
      <c r="E170" s="16"/>
      <c r="F170" s="16"/>
      <c r="G170" s="21"/>
      <c r="H170" s="16"/>
      <c r="I170" s="16"/>
      <c r="J170" s="17"/>
      <c r="N170" s="17"/>
      <c r="O170" s="61"/>
      <c r="P170" s="16"/>
      <c r="Q170" s="16"/>
      <c r="R170" s="16"/>
      <c r="S170" s="16"/>
      <c r="T170" s="16"/>
      <c r="U170" s="17"/>
      <c r="Y170" s="24"/>
      <c r="Z170" s="61"/>
      <c r="AA170" s="16"/>
      <c r="AB170" s="16"/>
      <c r="AC170" s="16"/>
      <c r="AD170" s="16"/>
      <c r="AE170" s="16"/>
      <c r="AF170" s="17"/>
      <c r="AJ170" s="24"/>
      <c r="AK170" s="61"/>
      <c r="AL170" s="16"/>
      <c r="AM170" s="16"/>
      <c r="AN170" s="16"/>
      <c r="AO170" s="16"/>
      <c r="AP170" s="16"/>
      <c r="AQ170" s="17"/>
      <c r="AU170" s="24"/>
      <c r="AV170" s="61"/>
      <c r="AW170" s="16"/>
      <c r="AX170" s="16"/>
      <c r="AY170" s="16"/>
      <c r="AZ170" s="16"/>
      <c r="BA170" s="16"/>
      <c r="BB170" s="17"/>
      <c r="BF170" s="24"/>
      <c r="BG170" s="61"/>
      <c r="BH170" s="16"/>
      <c r="BI170" s="16"/>
      <c r="BJ170" s="16"/>
      <c r="BK170" s="16"/>
      <c r="BL170" s="16"/>
      <c r="BM170" s="17"/>
      <c r="BQ170" s="24"/>
      <c r="BR170" s="61"/>
      <c r="BS170" s="16"/>
      <c r="BT170" s="16"/>
      <c r="BU170" s="16"/>
      <c r="BV170" s="16"/>
      <c r="BW170" s="16"/>
      <c r="BX170" s="17"/>
      <c r="CB170" s="24"/>
      <c r="CC170" s="61"/>
      <c r="CD170" s="16"/>
      <c r="CE170" s="16"/>
      <c r="CF170" s="16"/>
      <c r="CG170" s="16"/>
      <c r="CH170" s="16"/>
      <c r="CI170" s="17"/>
      <c r="CM170" s="24"/>
      <c r="CN170" s="61"/>
      <c r="CO170" s="16"/>
      <c r="CP170" s="16"/>
      <c r="CQ170" s="16"/>
      <c r="CR170" s="16"/>
      <c r="CS170" s="16"/>
      <c r="CT170" s="17"/>
      <c r="CX170" s="24"/>
      <c r="CY170" s="60"/>
      <c r="CZ170" s="16"/>
      <c r="DA170" s="16"/>
      <c r="DB170" s="16"/>
      <c r="DC170" s="16"/>
      <c r="DD170" s="16"/>
      <c r="DE170" s="17"/>
      <c r="DI170" s="24"/>
      <c r="DJ170" s="60"/>
      <c r="DK170" s="16"/>
      <c r="DL170" s="16"/>
      <c r="DM170" s="16"/>
      <c r="DN170" s="16"/>
      <c r="DO170" s="16"/>
      <c r="DP170" s="17"/>
      <c r="DT170" s="24"/>
      <c r="DU170" s="60"/>
      <c r="DV170" s="16"/>
      <c r="DW170" s="16"/>
      <c r="DX170" s="16"/>
      <c r="DY170" s="16"/>
      <c r="DZ170" s="16"/>
      <c r="EA170" s="17"/>
      <c r="EE170" s="24"/>
      <c r="EF170" s="60"/>
      <c r="EG170" s="16"/>
      <c r="EH170" s="16"/>
      <c r="EI170" s="16"/>
      <c r="EJ170" s="16"/>
      <c r="EK170" s="16"/>
      <c r="EL170" s="17"/>
      <c r="EP170" s="24"/>
      <c r="EQ170" s="60"/>
      <c r="ER170" s="16"/>
      <c r="ES170" s="16"/>
      <c r="ET170" s="16"/>
      <c r="EU170" s="16"/>
      <c r="EV170" s="16"/>
      <c r="EW170" s="17"/>
      <c r="FA170" s="24"/>
      <c r="FB170" s="60"/>
      <c r="FC170" s="16"/>
      <c r="FD170" s="16"/>
      <c r="FE170" s="16"/>
      <c r="FF170" s="16"/>
      <c r="FG170" s="16"/>
      <c r="FH170" s="17"/>
      <c r="FL170" s="24"/>
      <c r="FM170" s="60"/>
      <c r="FN170" s="16"/>
      <c r="FO170" s="16"/>
      <c r="FP170" s="16"/>
      <c r="FQ170" s="16"/>
      <c r="FR170" s="16"/>
      <c r="FS170" s="17"/>
      <c r="FW170" s="24"/>
      <c r="FX170" s="60"/>
      <c r="FY170" s="16"/>
      <c r="FZ170" s="16"/>
      <c r="GA170" s="16"/>
      <c r="GB170" s="16"/>
      <c r="GC170" s="16"/>
      <c r="GD170" s="17"/>
      <c r="GH170" s="24"/>
      <c r="GI170" s="60"/>
      <c r="GJ170" s="16"/>
      <c r="GK170" s="16"/>
      <c r="GL170" s="16"/>
      <c r="GM170" s="16"/>
      <c r="GN170" s="16"/>
      <c r="GO170" s="17"/>
      <c r="GS170" s="24"/>
      <c r="GT170" s="60"/>
      <c r="GU170" s="16"/>
      <c r="GV170" s="16"/>
      <c r="GW170" s="16"/>
      <c r="GX170" s="16"/>
      <c r="GY170" s="16"/>
      <c r="GZ170" s="17"/>
      <c r="HD170" s="24"/>
      <c r="HE170" s="60"/>
      <c r="HF170" s="16"/>
      <c r="HG170" s="16"/>
      <c r="HH170" s="16"/>
      <c r="HI170" s="16"/>
      <c r="HJ170" s="16"/>
      <c r="HK170" s="17"/>
      <c r="HO170" s="24"/>
      <c r="HP170" s="60"/>
      <c r="HQ170" s="16"/>
      <c r="HR170" s="16"/>
      <c r="HS170" s="16"/>
      <c r="HT170" s="16"/>
      <c r="HU170" s="16"/>
      <c r="HV170" s="17"/>
      <c r="HZ170" s="24"/>
      <c r="IA170" s="60"/>
      <c r="IB170" s="16"/>
      <c r="IC170" s="16"/>
      <c r="ID170" s="16"/>
      <c r="IE170" s="16"/>
      <c r="IF170" s="16"/>
      <c r="IG170" s="17"/>
      <c r="IK170" s="24"/>
      <c r="IL170" s="60"/>
      <c r="IM170" s="16"/>
      <c r="IN170" s="16"/>
      <c r="IO170" s="16"/>
      <c r="IP170" s="16"/>
      <c r="IQ170" s="16"/>
      <c r="IR170" s="17"/>
      <c r="IV170" s="24"/>
      <c r="IW170" s="60"/>
      <c r="IX170" s="16"/>
      <c r="IY170" s="16"/>
      <c r="IZ170" s="16"/>
      <c r="JA170" s="16"/>
      <c r="JB170" s="16"/>
      <c r="JC170" s="17"/>
      <c r="JG170" s="24"/>
      <c r="JH170" s="60"/>
      <c r="JI170" s="16"/>
      <c r="JJ170" s="16"/>
      <c r="JK170" s="16"/>
      <c r="JL170" s="16"/>
      <c r="JM170" s="16"/>
      <c r="JN170" s="17"/>
      <c r="JR170" s="24"/>
      <c r="JS170" s="60"/>
      <c r="JT170" s="16"/>
      <c r="JU170" s="16"/>
      <c r="JV170" s="16"/>
      <c r="JW170" s="16"/>
      <c r="JX170" s="16"/>
      <c r="JY170" s="17"/>
      <c r="KC170" s="24"/>
      <c r="KD170" s="60"/>
      <c r="KE170" s="16"/>
      <c r="KF170" s="16"/>
      <c r="KG170" s="16"/>
      <c r="KH170" s="16"/>
      <c r="KI170" s="16"/>
      <c r="KJ170" s="17"/>
      <c r="KN170" s="24"/>
      <c r="KO170" s="60"/>
      <c r="KP170" s="16"/>
      <c r="KQ170" s="16"/>
      <c r="KR170" s="16"/>
      <c r="KS170" s="16"/>
      <c r="KT170" s="16"/>
      <c r="KU170" s="17"/>
      <c r="KY170" s="24"/>
      <c r="KZ170" s="60"/>
      <c r="LA170" s="16"/>
      <c r="LB170" s="16"/>
      <c r="LC170" s="16"/>
      <c r="LD170" s="16"/>
      <c r="LE170" s="16"/>
      <c r="LF170" s="17"/>
      <c r="LJ170" s="24"/>
      <c r="LK170" s="60"/>
      <c r="LL170" s="16"/>
      <c r="LM170" s="16"/>
      <c r="LN170" s="16"/>
      <c r="LO170" s="16"/>
      <c r="LP170" s="16"/>
      <c r="LQ170" s="17"/>
    </row>
    <row r="171">
      <c r="C171" s="31"/>
      <c r="D171" s="61"/>
      <c r="E171" s="16"/>
      <c r="F171" s="16"/>
      <c r="G171" s="21"/>
      <c r="H171" s="16"/>
      <c r="I171" s="16"/>
      <c r="J171" s="17"/>
      <c r="N171" s="17"/>
      <c r="O171" s="61"/>
      <c r="P171" s="16"/>
      <c r="Q171" s="16"/>
      <c r="R171" s="16"/>
      <c r="S171" s="16"/>
      <c r="T171" s="16"/>
      <c r="U171" s="17"/>
      <c r="Y171" s="24"/>
      <c r="Z171" s="61"/>
      <c r="AA171" s="16"/>
      <c r="AB171" s="16"/>
      <c r="AC171" s="16"/>
      <c r="AD171" s="16"/>
      <c r="AE171" s="16"/>
      <c r="AF171" s="17"/>
      <c r="AJ171" s="24"/>
      <c r="AK171" s="61"/>
      <c r="AL171" s="16"/>
      <c r="AM171" s="16"/>
      <c r="AN171" s="16"/>
      <c r="AO171" s="16"/>
      <c r="AP171" s="16"/>
      <c r="AQ171" s="17"/>
      <c r="AU171" s="24"/>
      <c r="AV171" s="61"/>
      <c r="AW171" s="16"/>
      <c r="AX171" s="16"/>
      <c r="AY171" s="16"/>
      <c r="AZ171" s="16"/>
      <c r="BA171" s="16"/>
      <c r="BB171" s="17"/>
      <c r="BF171" s="24"/>
      <c r="BG171" s="61"/>
      <c r="BH171" s="16"/>
      <c r="BI171" s="16"/>
      <c r="BJ171" s="16"/>
      <c r="BK171" s="16"/>
      <c r="BL171" s="16"/>
      <c r="BM171" s="17"/>
      <c r="BQ171" s="24"/>
      <c r="BR171" s="61"/>
      <c r="BS171" s="16"/>
      <c r="BT171" s="16"/>
      <c r="BU171" s="16"/>
      <c r="BV171" s="16"/>
      <c r="BW171" s="16"/>
      <c r="BX171" s="17"/>
      <c r="CB171" s="24"/>
      <c r="CC171" s="61"/>
      <c r="CD171" s="16"/>
      <c r="CE171" s="16"/>
      <c r="CF171" s="16"/>
      <c r="CG171" s="16"/>
      <c r="CH171" s="16"/>
      <c r="CI171" s="17"/>
      <c r="CM171" s="24"/>
      <c r="CN171" s="61"/>
      <c r="CO171" s="16"/>
      <c r="CP171" s="16"/>
      <c r="CQ171" s="16"/>
      <c r="CR171" s="16"/>
      <c r="CS171" s="16"/>
      <c r="CT171" s="17"/>
      <c r="CX171" s="24"/>
      <c r="CY171" s="60"/>
      <c r="CZ171" s="16"/>
      <c r="DA171" s="16"/>
      <c r="DB171" s="16"/>
      <c r="DC171" s="16"/>
      <c r="DD171" s="16"/>
      <c r="DE171" s="17"/>
      <c r="DI171" s="24"/>
      <c r="DJ171" s="60"/>
      <c r="DK171" s="16"/>
      <c r="DL171" s="16"/>
      <c r="DM171" s="16"/>
      <c r="DN171" s="16"/>
      <c r="DO171" s="16"/>
      <c r="DP171" s="17"/>
      <c r="DT171" s="24"/>
      <c r="DU171" s="60"/>
      <c r="DV171" s="16"/>
      <c r="DW171" s="16"/>
      <c r="DX171" s="16"/>
      <c r="DY171" s="16"/>
      <c r="DZ171" s="16"/>
      <c r="EA171" s="17"/>
      <c r="EE171" s="24"/>
      <c r="EF171" s="60"/>
      <c r="EG171" s="16"/>
      <c r="EH171" s="16"/>
      <c r="EI171" s="16"/>
      <c r="EJ171" s="16"/>
      <c r="EK171" s="16"/>
      <c r="EL171" s="17"/>
      <c r="EP171" s="24"/>
      <c r="EQ171" s="60"/>
      <c r="ER171" s="16"/>
      <c r="ES171" s="16"/>
      <c r="ET171" s="16"/>
      <c r="EU171" s="16"/>
      <c r="EV171" s="16"/>
      <c r="EW171" s="17"/>
      <c r="FA171" s="24"/>
      <c r="FB171" s="60"/>
      <c r="FC171" s="16"/>
      <c r="FD171" s="16"/>
      <c r="FE171" s="16"/>
      <c r="FF171" s="16"/>
      <c r="FG171" s="16"/>
      <c r="FH171" s="17"/>
      <c r="FL171" s="24"/>
      <c r="FM171" s="60"/>
      <c r="FN171" s="16"/>
      <c r="FO171" s="16"/>
      <c r="FP171" s="16"/>
      <c r="FQ171" s="16"/>
      <c r="FR171" s="16"/>
      <c r="FS171" s="17"/>
      <c r="FW171" s="24"/>
      <c r="FX171" s="60"/>
      <c r="FY171" s="16"/>
      <c r="FZ171" s="16"/>
      <c r="GA171" s="16"/>
      <c r="GB171" s="16"/>
      <c r="GC171" s="16"/>
      <c r="GD171" s="17"/>
      <c r="GH171" s="24"/>
      <c r="GI171" s="60"/>
      <c r="GJ171" s="16"/>
      <c r="GK171" s="16"/>
      <c r="GL171" s="16"/>
      <c r="GM171" s="16"/>
      <c r="GN171" s="16"/>
      <c r="GO171" s="17"/>
      <c r="GS171" s="24"/>
      <c r="GT171" s="60"/>
      <c r="GU171" s="16"/>
      <c r="GV171" s="16"/>
      <c r="GW171" s="16"/>
      <c r="GX171" s="16"/>
      <c r="GY171" s="16"/>
      <c r="GZ171" s="17"/>
      <c r="HD171" s="24"/>
      <c r="HE171" s="60"/>
      <c r="HF171" s="16"/>
      <c r="HG171" s="16"/>
      <c r="HH171" s="16"/>
      <c r="HI171" s="16"/>
      <c r="HJ171" s="16"/>
      <c r="HK171" s="17"/>
      <c r="HO171" s="24"/>
      <c r="HP171" s="60"/>
      <c r="HQ171" s="16"/>
      <c r="HR171" s="16"/>
      <c r="HS171" s="16"/>
      <c r="HT171" s="16"/>
      <c r="HU171" s="16"/>
      <c r="HV171" s="17"/>
      <c r="HZ171" s="24"/>
      <c r="IA171" s="60"/>
      <c r="IB171" s="16"/>
      <c r="IC171" s="16"/>
      <c r="ID171" s="16"/>
      <c r="IE171" s="16"/>
      <c r="IF171" s="16"/>
      <c r="IG171" s="17"/>
      <c r="IK171" s="24"/>
      <c r="IL171" s="60"/>
      <c r="IM171" s="16"/>
      <c r="IN171" s="16"/>
      <c r="IO171" s="16"/>
      <c r="IP171" s="16"/>
      <c r="IQ171" s="16"/>
      <c r="IR171" s="17"/>
      <c r="IV171" s="24"/>
      <c r="IW171" s="60"/>
      <c r="IX171" s="16"/>
      <c r="IY171" s="16"/>
      <c r="IZ171" s="16"/>
      <c r="JA171" s="16"/>
      <c r="JB171" s="16"/>
      <c r="JC171" s="17"/>
      <c r="JG171" s="24"/>
      <c r="JH171" s="60"/>
      <c r="JI171" s="16"/>
      <c r="JJ171" s="16"/>
      <c r="JK171" s="16"/>
      <c r="JL171" s="16"/>
      <c r="JM171" s="16"/>
      <c r="JN171" s="17"/>
      <c r="JR171" s="24"/>
      <c r="JS171" s="60"/>
      <c r="JT171" s="16"/>
      <c r="JU171" s="16"/>
      <c r="JV171" s="16"/>
      <c r="JW171" s="16"/>
      <c r="JX171" s="16"/>
      <c r="JY171" s="17"/>
      <c r="KC171" s="24"/>
      <c r="KD171" s="60"/>
      <c r="KE171" s="16"/>
      <c r="KF171" s="16"/>
      <c r="KG171" s="16"/>
      <c r="KH171" s="16"/>
      <c r="KI171" s="16"/>
      <c r="KJ171" s="17"/>
      <c r="KN171" s="24"/>
      <c r="KO171" s="60"/>
      <c r="KP171" s="16"/>
      <c r="KQ171" s="16"/>
      <c r="KR171" s="16"/>
      <c r="KS171" s="16"/>
      <c r="KT171" s="16"/>
      <c r="KU171" s="17"/>
      <c r="KY171" s="24"/>
      <c r="KZ171" s="60"/>
      <c r="LA171" s="16"/>
      <c r="LB171" s="16"/>
      <c r="LC171" s="16"/>
      <c r="LD171" s="16"/>
      <c r="LE171" s="16"/>
      <c r="LF171" s="17"/>
      <c r="LJ171" s="24"/>
      <c r="LK171" s="60"/>
      <c r="LL171" s="16"/>
      <c r="LM171" s="16"/>
      <c r="LN171" s="16"/>
      <c r="LO171" s="16"/>
      <c r="LP171" s="16"/>
      <c r="LQ171" s="17"/>
    </row>
    <row r="172">
      <c r="C172" s="31"/>
      <c r="D172" s="61"/>
      <c r="E172" s="16"/>
      <c r="F172" s="16"/>
      <c r="G172" s="21"/>
      <c r="H172" s="16"/>
      <c r="I172" s="16"/>
      <c r="J172" s="17"/>
      <c r="N172" s="17"/>
      <c r="O172" s="61"/>
      <c r="P172" s="16"/>
      <c r="Q172" s="16"/>
      <c r="R172" s="16"/>
      <c r="S172" s="16"/>
      <c r="T172" s="16"/>
      <c r="U172" s="17"/>
      <c r="Y172" s="24"/>
      <c r="Z172" s="61"/>
      <c r="AA172" s="16"/>
      <c r="AB172" s="16"/>
      <c r="AC172" s="16"/>
      <c r="AD172" s="16"/>
      <c r="AE172" s="16"/>
      <c r="AF172" s="17"/>
      <c r="AJ172" s="24"/>
      <c r="AK172" s="61"/>
      <c r="AL172" s="16"/>
      <c r="AM172" s="16"/>
      <c r="AN172" s="16"/>
      <c r="AO172" s="16"/>
      <c r="AP172" s="16"/>
      <c r="AQ172" s="17"/>
      <c r="AU172" s="24"/>
      <c r="AV172" s="61"/>
      <c r="AW172" s="16"/>
      <c r="AX172" s="16"/>
      <c r="AY172" s="16"/>
      <c r="AZ172" s="16"/>
      <c r="BA172" s="16"/>
      <c r="BB172" s="17"/>
      <c r="BF172" s="24"/>
      <c r="BG172" s="61"/>
      <c r="BH172" s="16"/>
      <c r="BI172" s="16"/>
      <c r="BJ172" s="16"/>
      <c r="BK172" s="16"/>
      <c r="BL172" s="16"/>
      <c r="BM172" s="17"/>
      <c r="BQ172" s="24"/>
      <c r="BR172" s="61"/>
      <c r="BS172" s="16"/>
      <c r="BT172" s="16"/>
      <c r="BU172" s="16"/>
      <c r="BV172" s="16"/>
      <c r="BW172" s="16"/>
      <c r="BX172" s="17"/>
      <c r="CB172" s="24"/>
      <c r="CC172" s="61"/>
      <c r="CD172" s="16"/>
      <c r="CE172" s="16"/>
      <c r="CF172" s="16"/>
      <c r="CG172" s="16"/>
      <c r="CH172" s="16"/>
      <c r="CI172" s="17"/>
      <c r="CM172" s="24"/>
      <c r="CN172" s="61"/>
      <c r="CO172" s="16"/>
      <c r="CP172" s="16"/>
      <c r="CQ172" s="16"/>
      <c r="CR172" s="16"/>
      <c r="CS172" s="16"/>
      <c r="CT172" s="17"/>
      <c r="CX172" s="24"/>
      <c r="CY172" s="60"/>
      <c r="CZ172" s="16"/>
      <c r="DA172" s="16"/>
      <c r="DB172" s="16"/>
      <c r="DC172" s="16"/>
      <c r="DD172" s="16"/>
      <c r="DE172" s="17"/>
      <c r="DI172" s="24"/>
      <c r="DJ172" s="60"/>
      <c r="DK172" s="16"/>
      <c r="DL172" s="16"/>
      <c r="DM172" s="16"/>
      <c r="DN172" s="16"/>
      <c r="DO172" s="16"/>
      <c r="DP172" s="17"/>
      <c r="DT172" s="24"/>
      <c r="DU172" s="60"/>
      <c r="DV172" s="16"/>
      <c r="DW172" s="16"/>
      <c r="DX172" s="16"/>
      <c r="DY172" s="16"/>
      <c r="DZ172" s="16"/>
      <c r="EA172" s="17"/>
      <c r="EE172" s="24"/>
      <c r="EF172" s="60"/>
      <c r="EG172" s="16"/>
      <c r="EH172" s="16"/>
      <c r="EI172" s="16"/>
      <c r="EJ172" s="16"/>
      <c r="EK172" s="16"/>
      <c r="EL172" s="17"/>
      <c r="EP172" s="24"/>
      <c r="EQ172" s="60"/>
      <c r="ER172" s="16"/>
      <c r="ES172" s="16"/>
      <c r="ET172" s="16"/>
      <c r="EU172" s="16"/>
      <c r="EV172" s="16"/>
      <c r="EW172" s="17"/>
      <c r="FA172" s="24"/>
      <c r="FB172" s="60"/>
      <c r="FC172" s="16"/>
      <c r="FD172" s="16"/>
      <c r="FE172" s="16"/>
      <c r="FF172" s="16"/>
      <c r="FG172" s="16"/>
      <c r="FH172" s="17"/>
      <c r="FL172" s="24"/>
      <c r="FM172" s="60"/>
      <c r="FN172" s="16"/>
      <c r="FO172" s="16"/>
      <c r="FP172" s="16"/>
      <c r="FQ172" s="16"/>
      <c r="FR172" s="16"/>
      <c r="FS172" s="17"/>
      <c r="FW172" s="24"/>
      <c r="FX172" s="60"/>
      <c r="FY172" s="16"/>
      <c r="FZ172" s="16"/>
      <c r="GA172" s="16"/>
      <c r="GB172" s="16"/>
      <c r="GC172" s="16"/>
      <c r="GD172" s="17"/>
      <c r="GH172" s="24"/>
      <c r="GI172" s="60"/>
      <c r="GJ172" s="16"/>
      <c r="GK172" s="16"/>
      <c r="GL172" s="16"/>
      <c r="GM172" s="16"/>
      <c r="GN172" s="16"/>
      <c r="GO172" s="17"/>
      <c r="GS172" s="24"/>
      <c r="GT172" s="60"/>
      <c r="GU172" s="16"/>
      <c r="GV172" s="16"/>
      <c r="GW172" s="16"/>
      <c r="GX172" s="16"/>
      <c r="GY172" s="16"/>
      <c r="GZ172" s="17"/>
      <c r="HD172" s="24"/>
      <c r="HE172" s="60"/>
      <c r="HF172" s="16"/>
      <c r="HG172" s="16"/>
      <c r="HH172" s="16"/>
      <c r="HI172" s="16"/>
      <c r="HJ172" s="16"/>
      <c r="HK172" s="17"/>
      <c r="HO172" s="24"/>
      <c r="HP172" s="60"/>
      <c r="HQ172" s="16"/>
      <c r="HR172" s="16"/>
      <c r="HS172" s="16"/>
      <c r="HT172" s="16"/>
      <c r="HU172" s="16"/>
      <c r="HV172" s="17"/>
      <c r="HZ172" s="24"/>
      <c r="IA172" s="60"/>
      <c r="IB172" s="16"/>
      <c r="IC172" s="16"/>
      <c r="ID172" s="16"/>
      <c r="IE172" s="16"/>
      <c r="IF172" s="16"/>
      <c r="IG172" s="17"/>
      <c r="IK172" s="24"/>
      <c r="IL172" s="60"/>
      <c r="IM172" s="16"/>
      <c r="IN172" s="16"/>
      <c r="IO172" s="16"/>
      <c r="IP172" s="16"/>
      <c r="IQ172" s="16"/>
      <c r="IR172" s="17"/>
      <c r="IV172" s="24"/>
      <c r="IW172" s="60"/>
      <c r="IX172" s="16"/>
      <c r="IY172" s="16"/>
      <c r="IZ172" s="16"/>
      <c r="JA172" s="16"/>
      <c r="JB172" s="16"/>
      <c r="JC172" s="17"/>
      <c r="JG172" s="24"/>
      <c r="JH172" s="60"/>
      <c r="JI172" s="16"/>
      <c r="JJ172" s="16"/>
      <c r="JK172" s="16"/>
      <c r="JL172" s="16"/>
      <c r="JM172" s="16"/>
      <c r="JN172" s="17"/>
      <c r="JR172" s="24"/>
      <c r="JS172" s="60"/>
      <c r="JT172" s="16"/>
      <c r="JU172" s="16"/>
      <c r="JV172" s="16"/>
      <c r="JW172" s="16"/>
      <c r="JX172" s="16"/>
      <c r="JY172" s="17"/>
      <c r="KC172" s="24"/>
      <c r="KD172" s="60"/>
      <c r="KE172" s="16"/>
      <c r="KF172" s="16"/>
      <c r="KG172" s="16"/>
      <c r="KH172" s="16"/>
      <c r="KI172" s="16"/>
      <c r="KJ172" s="17"/>
      <c r="KN172" s="24"/>
      <c r="KO172" s="60"/>
      <c r="KP172" s="16"/>
      <c r="KQ172" s="16"/>
      <c r="KR172" s="16"/>
      <c r="KS172" s="16"/>
      <c r="KT172" s="16"/>
      <c r="KU172" s="17"/>
      <c r="KY172" s="24"/>
      <c r="KZ172" s="60"/>
      <c r="LA172" s="16"/>
      <c r="LB172" s="16"/>
      <c r="LC172" s="16"/>
      <c r="LD172" s="16"/>
      <c r="LE172" s="16"/>
      <c r="LF172" s="17"/>
      <c r="LJ172" s="24"/>
      <c r="LK172" s="60"/>
      <c r="LL172" s="16"/>
      <c r="LM172" s="16"/>
      <c r="LN172" s="16"/>
      <c r="LO172" s="16"/>
      <c r="LP172" s="16"/>
      <c r="LQ172" s="17"/>
    </row>
    <row r="173">
      <c r="C173" s="31"/>
      <c r="D173" s="61"/>
      <c r="E173" s="16"/>
      <c r="F173" s="16"/>
      <c r="G173" s="21"/>
      <c r="H173" s="16"/>
      <c r="I173" s="16"/>
      <c r="J173" s="17"/>
      <c r="N173" s="17"/>
      <c r="O173" s="61"/>
      <c r="P173" s="16"/>
      <c r="Q173" s="16"/>
      <c r="R173" s="16"/>
      <c r="S173" s="16"/>
      <c r="T173" s="16"/>
      <c r="U173" s="17"/>
      <c r="Y173" s="24"/>
      <c r="Z173" s="61"/>
      <c r="AA173" s="16"/>
      <c r="AB173" s="16"/>
      <c r="AC173" s="16"/>
      <c r="AD173" s="16"/>
      <c r="AE173" s="16"/>
      <c r="AF173" s="17"/>
      <c r="AJ173" s="24"/>
      <c r="AK173" s="61"/>
      <c r="AL173" s="16"/>
      <c r="AM173" s="16"/>
      <c r="AN173" s="16"/>
      <c r="AO173" s="16"/>
      <c r="AP173" s="16"/>
      <c r="AQ173" s="17"/>
      <c r="AU173" s="24"/>
      <c r="AV173" s="61"/>
      <c r="AW173" s="16"/>
      <c r="AX173" s="16"/>
      <c r="AY173" s="16"/>
      <c r="AZ173" s="16"/>
      <c r="BA173" s="16"/>
      <c r="BB173" s="17"/>
      <c r="BF173" s="24"/>
      <c r="BG173" s="61"/>
      <c r="BH173" s="16"/>
      <c r="BI173" s="16"/>
      <c r="BJ173" s="16"/>
      <c r="BK173" s="16"/>
      <c r="BL173" s="16"/>
      <c r="BM173" s="17"/>
      <c r="BQ173" s="24"/>
      <c r="BR173" s="61"/>
      <c r="BS173" s="16"/>
      <c r="BT173" s="16"/>
      <c r="BU173" s="16"/>
      <c r="BV173" s="16"/>
      <c r="BW173" s="16"/>
      <c r="BX173" s="17"/>
      <c r="CB173" s="24"/>
      <c r="CC173" s="61"/>
      <c r="CD173" s="16"/>
      <c r="CE173" s="16"/>
      <c r="CF173" s="16"/>
      <c r="CG173" s="16"/>
      <c r="CH173" s="16"/>
      <c r="CI173" s="17"/>
      <c r="CM173" s="24"/>
      <c r="CN173" s="61"/>
      <c r="CO173" s="16"/>
      <c r="CP173" s="16"/>
      <c r="CQ173" s="16"/>
      <c r="CR173" s="16"/>
      <c r="CS173" s="16"/>
      <c r="CT173" s="17"/>
      <c r="CX173" s="24"/>
      <c r="CY173" s="60"/>
      <c r="CZ173" s="16"/>
      <c r="DA173" s="16"/>
      <c r="DB173" s="16"/>
      <c r="DC173" s="16"/>
      <c r="DD173" s="16"/>
      <c r="DE173" s="17"/>
      <c r="DI173" s="24"/>
      <c r="DJ173" s="60"/>
      <c r="DK173" s="16"/>
      <c r="DL173" s="16"/>
      <c r="DM173" s="16"/>
      <c r="DN173" s="16"/>
      <c r="DO173" s="16"/>
      <c r="DP173" s="17"/>
      <c r="DT173" s="24"/>
      <c r="DU173" s="60"/>
      <c r="DV173" s="16"/>
      <c r="DW173" s="16"/>
      <c r="DX173" s="16"/>
      <c r="DY173" s="16"/>
      <c r="DZ173" s="16"/>
      <c r="EA173" s="17"/>
      <c r="EE173" s="24"/>
      <c r="EF173" s="60"/>
      <c r="EG173" s="16"/>
      <c r="EH173" s="16"/>
      <c r="EI173" s="16"/>
      <c r="EJ173" s="16"/>
      <c r="EK173" s="16"/>
      <c r="EL173" s="17"/>
      <c r="EP173" s="24"/>
      <c r="EQ173" s="60"/>
      <c r="ER173" s="16"/>
      <c r="ES173" s="16"/>
      <c r="ET173" s="16"/>
      <c r="EU173" s="16"/>
      <c r="EV173" s="16"/>
      <c r="EW173" s="17"/>
      <c r="FA173" s="24"/>
      <c r="FB173" s="60"/>
      <c r="FC173" s="16"/>
      <c r="FD173" s="16"/>
      <c r="FE173" s="16"/>
      <c r="FF173" s="16"/>
      <c r="FG173" s="16"/>
      <c r="FH173" s="17"/>
      <c r="FL173" s="24"/>
      <c r="FM173" s="60"/>
      <c r="FN173" s="16"/>
      <c r="FO173" s="16"/>
      <c r="FP173" s="16"/>
      <c r="FQ173" s="16"/>
      <c r="FR173" s="16"/>
      <c r="FS173" s="17"/>
      <c r="FW173" s="24"/>
      <c r="FX173" s="60"/>
      <c r="FY173" s="16"/>
      <c r="FZ173" s="16"/>
      <c r="GA173" s="16"/>
      <c r="GB173" s="16"/>
      <c r="GC173" s="16"/>
      <c r="GD173" s="17"/>
      <c r="GH173" s="24"/>
      <c r="GI173" s="60"/>
      <c r="GJ173" s="16"/>
      <c r="GK173" s="16"/>
      <c r="GL173" s="16"/>
      <c r="GM173" s="16"/>
      <c r="GN173" s="16"/>
      <c r="GO173" s="17"/>
      <c r="GS173" s="24"/>
      <c r="GT173" s="60"/>
      <c r="GU173" s="16"/>
      <c r="GV173" s="16"/>
      <c r="GW173" s="16"/>
      <c r="GX173" s="16"/>
      <c r="GY173" s="16"/>
      <c r="GZ173" s="17"/>
      <c r="HD173" s="24"/>
      <c r="HE173" s="60"/>
      <c r="HF173" s="16"/>
      <c r="HG173" s="16"/>
      <c r="HH173" s="16"/>
      <c r="HI173" s="16"/>
      <c r="HJ173" s="16"/>
      <c r="HK173" s="17"/>
      <c r="HO173" s="24"/>
      <c r="HP173" s="60"/>
      <c r="HQ173" s="16"/>
      <c r="HR173" s="16"/>
      <c r="HS173" s="16"/>
      <c r="HT173" s="16"/>
      <c r="HU173" s="16"/>
      <c r="HV173" s="17"/>
      <c r="HZ173" s="24"/>
      <c r="IA173" s="60"/>
      <c r="IB173" s="16"/>
      <c r="IC173" s="16"/>
      <c r="ID173" s="16"/>
      <c r="IE173" s="16"/>
      <c r="IF173" s="16"/>
      <c r="IG173" s="17"/>
      <c r="IK173" s="24"/>
      <c r="IL173" s="60"/>
      <c r="IM173" s="16"/>
      <c r="IN173" s="16"/>
      <c r="IO173" s="16"/>
      <c r="IP173" s="16"/>
      <c r="IQ173" s="16"/>
      <c r="IR173" s="17"/>
      <c r="IV173" s="24"/>
      <c r="IW173" s="60"/>
      <c r="IX173" s="16"/>
      <c r="IY173" s="16"/>
      <c r="IZ173" s="16"/>
      <c r="JA173" s="16"/>
      <c r="JB173" s="16"/>
      <c r="JC173" s="17"/>
      <c r="JG173" s="24"/>
      <c r="JH173" s="60"/>
      <c r="JI173" s="16"/>
      <c r="JJ173" s="16"/>
      <c r="JK173" s="16"/>
      <c r="JL173" s="16"/>
      <c r="JM173" s="16"/>
      <c r="JN173" s="17"/>
      <c r="JR173" s="24"/>
      <c r="JS173" s="60"/>
      <c r="JT173" s="16"/>
      <c r="JU173" s="16"/>
      <c r="JV173" s="16"/>
      <c r="JW173" s="16"/>
      <c r="JX173" s="16"/>
      <c r="JY173" s="17"/>
      <c r="KC173" s="24"/>
      <c r="KD173" s="60"/>
      <c r="KE173" s="16"/>
      <c r="KF173" s="16"/>
      <c r="KG173" s="16"/>
      <c r="KH173" s="16"/>
      <c r="KI173" s="16"/>
      <c r="KJ173" s="17"/>
      <c r="KN173" s="24"/>
      <c r="KO173" s="60"/>
      <c r="KP173" s="16"/>
      <c r="KQ173" s="16"/>
      <c r="KR173" s="16"/>
      <c r="KS173" s="16"/>
      <c r="KT173" s="16"/>
      <c r="KU173" s="17"/>
      <c r="KY173" s="24"/>
      <c r="KZ173" s="60"/>
      <c r="LA173" s="16"/>
      <c r="LB173" s="16"/>
      <c r="LC173" s="16"/>
      <c r="LD173" s="16"/>
      <c r="LE173" s="16"/>
      <c r="LF173" s="17"/>
      <c r="LJ173" s="24"/>
      <c r="LK173" s="60"/>
      <c r="LL173" s="16"/>
      <c r="LM173" s="16"/>
      <c r="LN173" s="16"/>
      <c r="LO173" s="16"/>
      <c r="LP173" s="16"/>
      <c r="LQ173" s="17"/>
    </row>
    <row r="174">
      <c r="C174" s="31"/>
      <c r="D174" s="61"/>
      <c r="E174" s="16"/>
      <c r="F174" s="16"/>
      <c r="G174" s="21"/>
      <c r="H174" s="16"/>
      <c r="I174" s="16"/>
      <c r="J174" s="17"/>
      <c r="N174" s="17"/>
      <c r="O174" s="61"/>
      <c r="P174" s="16"/>
      <c r="Q174" s="16"/>
      <c r="R174" s="16"/>
      <c r="S174" s="16"/>
      <c r="T174" s="16"/>
      <c r="U174" s="17"/>
      <c r="Y174" s="24"/>
      <c r="Z174" s="61"/>
      <c r="AA174" s="16"/>
      <c r="AB174" s="16"/>
      <c r="AC174" s="16"/>
      <c r="AD174" s="16"/>
      <c r="AE174" s="16"/>
      <c r="AF174" s="17"/>
      <c r="AJ174" s="24"/>
      <c r="AK174" s="61"/>
      <c r="AL174" s="16"/>
      <c r="AM174" s="16"/>
      <c r="AN174" s="16"/>
      <c r="AO174" s="16"/>
      <c r="AP174" s="16"/>
      <c r="AQ174" s="17"/>
      <c r="AU174" s="24"/>
      <c r="AV174" s="61"/>
      <c r="AW174" s="16"/>
      <c r="AX174" s="16"/>
      <c r="AY174" s="16"/>
      <c r="AZ174" s="16"/>
      <c r="BA174" s="16"/>
      <c r="BB174" s="17"/>
      <c r="BF174" s="24"/>
      <c r="BG174" s="61"/>
      <c r="BH174" s="16"/>
      <c r="BI174" s="16"/>
      <c r="BJ174" s="16"/>
      <c r="BK174" s="16"/>
      <c r="BL174" s="16"/>
      <c r="BM174" s="17"/>
      <c r="BQ174" s="24"/>
      <c r="BR174" s="61"/>
      <c r="BS174" s="16"/>
      <c r="BT174" s="16"/>
      <c r="BU174" s="16"/>
      <c r="BV174" s="16"/>
      <c r="BW174" s="16"/>
      <c r="BX174" s="17"/>
      <c r="CB174" s="24"/>
      <c r="CC174" s="61"/>
      <c r="CD174" s="16"/>
      <c r="CE174" s="16"/>
      <c r="CF174" s="16"/>
      <c r="CG174" s="16"/>
      <c r="CH174" s="16"/>
      <c r="CI174" s="17"/>
      <c r="CM174" s="24"/>
      <c r="CN174" s="61"/>
      <c r="CO174" s="16"/>
      <c r="CP174" s="16"/>
      <c r="CQ174" s="16"/>
      <c r="CR174" s="16"/>
      <c r="CS174" s="16"/>
      <c r="CT174" s="17"/>
      <c r="CX174" s="24"/>
      <c r="CY174" s="60"/>
      <c r="CZ174" s="16"/>
      <c r="DA174" s="16"/>
      <c r="DB174" s="16"/>
      <c r="DC174" s="16"/>
      <c r="DD174" s="16"/>
      <c r="DE174" s="17"/>
      <c r="DI174" s="24"/>
      <c r="DJ174" s="60"/>
      <c r="DK174" s="16"/>
      <c r="DL174" s="16"/>
      <c r="DM174" s="16"/>
      <c r="DN174" s="16"/>
      <c r="DO174" s="16"/>
      <c r="DP174" s="17"/>
      <c r="DT174" s="24"/>
      <c r="DU174" s="60"/>
      <c r="DV174" s="16"/>
      <c r="DW174" s="16"/>
      <c r="DX174" s="16"/>
      <c r="DY174" s="16"/>
      <c r="DZ174" s="16"/>
      <c r="EA174" s="17"/>
      <c r="EE174" s="24"/>
      <c r="EF174" s="60"/>
      <c r="EG174" s="16"/>
      <c r="EH174" s="16"/>
      <c r="EI174" s="16"/>
      <c r="EJ174" s="16"/>
      <c r="EK174" s="16"/>
      <c r="EL174" s="17"/>
      <c r="EP174" s="24"/>
      <c r="EQ174" s="60"/>
      <c r="ER174" s="16"/>
      <c r="ES174" s="16"/>
      <c r="ET174" s="16"/>
      <c r="EU174" s="16"/>
      <c r="EV174" s="16"/>
      <c r="EW174" s="17"/>
      <c r="FA174" s="24"/>
      <c r="FB174" s="60"/>
      <c r="FC174" s="16"/>
      <c r="FD174" s="16"/>
      <c r="FE174" s="16"/>
      <c r="FF174" s="16"/>
      <c r="FG174" s="16"/>
      <c r="FH174" s="17"/>
      <c r="FL174" s="24"/>
      <c r="FM174" s="60"/>
      <c r="FN174" s="16"/>
      <c r="FO174" s="16"/>
      <c r="FP174" s="16"/>
      <c r="FQ174" s="16"/>
      <c r="FR174" s="16"/>
      <c r="FS174" s="17"/>
      <c r="FW174" s="24"/>
      <c r="FX174" s="60"/>
      <c r="FY174" s="16"/>
      <c r="FZ174" s="16"/>
      <c r="GA174" s="16"/>
      <c r="GB174" s="16"/>
      <c r="GC174" s="16"/>
      <c r="GD174" s="17"/>
      <c r="GH174" s="24"/>
      <c r="GI174" s="60"/>
      <c r="GJ174" s="16"/>
      <c r="GK174" s="16"/>
      <c r="GL174" s="16"/>
      <c r="GM174" s="16"/>
      <c r="GN174" s="16"/>
      <c r="GO174" s="17"/>
      <c r="GS174" s="24"/>
      <c r="GT174" s="60"/>
      <c r="GU174" s="16"/>
      <c r="GV174" s="16"/>
      <c r="GW174" s="16"/>
      <c r="GX174" s="16"/>
      <c r="GY174" s="16"/>
      <c r="GZ174" s="17"/>
      <c r="HD174" s="24"/>
      <c r="HE174" s="60"/>
      <c r="HF174" s="16"/>
      <c r="HG174" s="16"/>
      <c r="HH174" s="16"/>
      <c r="HI174" s="16"/>
      <c r="HJ174" s="16"/>
      <c r="HK174" s="17"/>
      <c r="HO174" s="24"/>
      <c r="HP174" s="60"/>
      <c r="HQ174" s="16"/>
      <c r="HR174" s="16"/>
      <c r="HS174" s="16"/>
      <c r="HT174" s="16"/>
      <c r="HU174" s="16"/>
      <c r="HV174" s="17"/>
      <c r="HZ174" s="24"/>
      <c r="IA174" s="60"/>
      <c r="IB174" s="16"/>
      <c r="IC174" s="16"/>
      <c r="ID174" s="16"/>
      <c r="IE174" s="16"/>
      <c r="IF174" s="16"/>
      <c r="IG174" s="17"/>
      <c r="IK174" s="24"/>
      <c r="IL174" s="60"/>
      <c r="IM174" s="16"/>
      <c r="IN174" s="16"/>
      <c r="IO174" s="16"/>
      <c r="IP174" s="16"/>
      <c r="IQ174" s="16"/>
      <c r="IR174" s="17"/>
      <c r="IV174" s="24"/>
      <c r="IW174" s="60"/>
      <c r="IX174" s="16"/>
      <c r="IY174" s="16"/>
      <c r="IZ174" s="16"/>
      <c r="JA174" s="16"/>
      <c r="JB174" s="16"/>
      <c r="JC174" s="17"/>
      <c r="JG174" s="24"/>
      <c r="JH174" s="60"/>
      <c r="JI174" s="16"/>
      <c r="JJ174" s="16"/>
      <c r="JK174" s="16"/>
      <c r="JL174" s="16"/>
      <c r="JM174" s="16"/>
      <c r="JN174" s="17"/>
      <c r="JR174" s="24"/>
      <c r="JS174" s="60"/>
      <c r="JT174" s="16"/>
      <c r="JU174" s="16"/>
      <c r="JV174" s="16"/>
      <c r="JW174" s="16"/>
      <c r="JX174" s="16"/>
      <c r="JY174" s="17"/>
      <c r="KC174" s="24"/>
      <c r="KD174" s="60"/>
      <c r="KE174" s="16"/>
      <c r="KF174" s="16"/>
      <c r="KG174" s="16"/>
      <c r="KH174" s="16"/>
      <c r="KI174" s="16"/>
      <c r="KJ174" s="17"/>
      <c r="KN174" s="24"/>
      <c r="KO174" s="60"/>
      <c r="KP174" s="16"/>
      <c r="KQ174" s="16"/>
      <c r="KR174" s="16"/>
      <c r="KS174" s="16"/>
      <c r="KT174" s="16"/>
      <c r="KU174" s="17"/>
      <c r="KY174" s="24"/>
      <c r="KZ174" s="60"/>
      <c r="LA174" s="16"/>
      <c r="LB174" s="16"/>
      <c r="LC174" s="16"/>
      <c r="LD174" s="16"/>
      <c r="LE174" s="16"/>
      <c r="LF174" s="17"/>
      <c r="LJ174" s="24"/>
      <c r="LK174" s="60"/>
      <c r="LL174" s="16"/>
      <c r="LM174" s="16"/>
      <c r="LN174" s="16"/>
      <c r="LO174" s="16"/>
      <c r="LP174" s="16"/>
      <c r="LQ174" s="17"/>
    </row>
    <row r="175">
      <c r="C175" s="31"/>
      <c r="D175" s="61"/>
      <c r="E175" s="16"/>
      <c r="F175" s="16"/>
      <c r="G175" s="21"/>
      <c r="H175" s="16"/>
      <c r="I175" s="16"/>
      <c r="J175" s="17"/>
      <c r="N175" s="17"/>
      <c r="O175" s="61"/>
      <c r="P175" s="16"/>
      <c r="Q175" s="16"/>
      <c r="R175" s="16"/>
      <c r="S175" s="16"/>
      <c r="T175" s="16"/>
      <c r="U175" s="17"/>
      <c r="Y175" s="24"/>
      <c r="Z175" s="61"/>
      <c r="AA175" s="16"/>
      <c r="AB175" s="16"/>
      <c r="AC175" s="16"/>
      <c r="AD175" s="16"/>
      <c r="AE175" s="16"/>
      <c r="AF175" s="17"/>
      <c r="AJ175" s="24"/>
      <c r="AK175" s="61"/>
      <c r="AL175" s="16"/>
      <c r="AM175" s="16"/>
      <c r="AN175" s="16"/>
      <c r="AO175" s="16"/>
      <c r="AP175" s="16"/>
      <c r="AQ175" s="17"/>
      <c r="AU175" s="24"/>
      <c r="AV175" s="61"/>
      <c r="AW175" s="16"/>
      <c r="AX175" s="16"/>
      <c r="AY175" s="16"/>
      <c r="AZ175" s="16"/>
      <c r="BA175" s="16"/>
      <c r="BB175" s="17"/>
      <c r="BF175" s="24"/>
      <c r="BG175" s="61"/>
      <c r="BH175" s="16"/>
      <c r="BI175" s="16"/>
      <c r="BJ175" s="16"/>
      <c r="BK175" s="16"/>
      <c r="BL175" s="16"/>
      <c r="BM175" s="17"/>
      <c r="BQ175" s="24"/>
      <c r="BR175" s="61"/>
      <c r="BS175" s="16"/>
      <c r="BT175" s="16"/>
      <c r="BU175" s="16"/>
      <c r="BV175" s="16"/>
      <c r="BW175" s="16"/>
      <c r="BX175" s="17"/>
      <c r="CB175" s="24"/>
      <c r="CC175" s="61"/>
      <c r="CD175" s="16"/>
      <c r="CE175" s="16"/>
      <c r="CF175" s="16"/>
      <c r="CG175" s="16"/>
      <c r="CH175" s="16"/>
      <c r="CI175" s="17"/>
      <c r="CM175" s="24"/>
      <c r="CN175" s="61"/>
      <c r="CO175" s="16"/>
      <c r="CP175" s="16"/>
      <c r="CQ175" s="16"/>
      <c r="CR175" s="16"/>
      <c r="CS175" s="16"/>
      <c r="CT175" s="17"/>
      <c r="CX175" s="24"/>
      <c r="CY175" s="60"/>
      <c r="CZ175" s="16"/>
      <c r="DA175" s="16"/>
      <c r="DB175" s="16"/>
      <c r="DC175" s="16"/>
      <c r="DD175" s="16"/>
      <c r="DE175" s="17"/>
      <c r="DI175" s="24"/>
      <c r="DJ175" s="60"/>
      <c r="DK175" s="16"/>
      <c r="DL175" s="16"/>
      <c r="DM175" s="16"/>
      <c r="DN175" s="16"/>
      <c r="DO175" s="16"/>
      <c r="DP175" s="17"/>
      <c r="DT175" s="24"/>
      <c r="DU175" s="60"/>
      <c r="DV175" s="16"/>
      <c r="DW175" s="16"/>
      <c r="DX175" s="16"/>
      <c r="DY175" s="16"/>
      <c r="DZ175" s="16"/>
      <c r="EA175" s="17"/>
      <c r="EE175" s="24"/>
      <c r="EF175" s="60"/>
      <c r="EG175" s="16"/>
      <c r="EH175" s="16"/>
      <c r="EI175" s="16"/>
      <c r="EJ175" s="16"/>
      <c r="EK175" s="16"/>
      <c r="EL175" s="17"/>
      <c r="EP175" s="24"/>
      <c r="EQ175" s="60"/>
      <c r="ER175" s="16"/>
      <c r="ES175" s="16"/>
      <c r="ET175" s="16"/>
      <c r="EU175" s="16"/>
      <c r="EV175" s="16"/>
      <c r="EW175" s="17"/>
      <c r="FA175" s="24"/>
      <c r="FB175" s="60"/>
      <c r="FC175" s="16"/>
      <c r="FD175" s="16"/>
      <c r="FE175" s="16"/>
      <c r="FF175" s="16"/>
      <c r="FG175" s="16"/>
      <c r="FH175" s="17"/>
      <c r="FL175" s="24"/>
      <c r="FM175" s="60"/>
      <c r="FN175" s="16"/>
      <c r="FO175" s="16"/>
      <c r="FP175" s="16"/>
      <c r="FQ175" s="16"/>
      <c r="FR175" s="16"/>
      <c r="FS175" s="17"/>
      <c r="FW175" s="24"/>
      <c r="FX175" s="60"/>
      <c r="FY175" s="16"/>
      <c r="FZ175" s="16"/>
      <c r="GA175" s="16"/>
      <c r="GB175" s="16"/>
      <c r="GC175" s="16"/>
      <c r="GD175" s="17"/>
      <c r="GH175" s="24"/>
      <c r="GI175" s="60"/>
      <c r="GJ175" s="16"/>
      <c r="GK175" s="16"/>
      <c r="GL175" s="16"/>
      <c r="GM175" s="16"/>
      <c r="GN175" s="16"/>
      <c r="GO175" s="17"/>
      <c r="GS175" s="24"/>
      <c r="GT175" s="60"/>
      <c r="GU175" s="16"/>
      <c r="GV175" s="16"/>
      <c r="GW175" s="16"/>
      <c r="GX175" s="16"/>
      <c r="GY175" s="16"/>
      <c r="GZ175" s="17"/>
      <c r="HD175" s="24"/>
      <c r="HE175" s="60"/>
      <c r="HF175" s="16"/>
      <c r="HG175" s="16"/>
      <c r="HH175" s="16"/>
      <c r="HI175" s="16"/>
      <c r="HJ175" s="16"/>
      <c r="HK175" s="17"/>
      <c r="HO175" s="24"/>
      <c r="HP175" s="60"/>
      <c r="HQ175" s="16"/>
      <c r="HR175" s="16"/>
      <c r="HS175" s="16"/>
      <c r="HT175" s="16"/>
      <c r="HU175" s="16"/>
      <c r="HV175" s="17"/>
      <c r="HZ175" s="24"/>
      <c r="IA175" s="60"/>
      <c r="IB175" s="16"/>
      <c r="IC175" s="16"/>
      <c r="ID175" s="16"/>
      <c r="IE175" s="16"/>
      <c r="IF175" s="16"/>
      <c r="IG175" s="17"/>
      <c r="IK175" s="24"/>
      <c r="IL175" s="60"/>
      <c r="IM175" s="16"/>
      <c r="IN175" s="16"/>
      <c r="IO175" s="16"/>
      <c r="IP175" s="16"/>
      <c r="IQ175" s="16"/>
      <c r="IR175" s="17"/>
      <c r="IV175" s="24"/>
      <c r="IW175" s="60"/>
      <c r="IX175" s="16"/>
      <c r="IY175" s="16"/>
      <c r="IZ175" s="16"/>
      <c r="JA175" s="16"/>
      <c r="JB175" s="16"/>
      <c r="JC175" s="17"/>
      <c r="JG175" s="24"/>
      <c r="JH175" s="60"/>
      <c r="JI175" s="16"/>
      <c r="JJ175" s="16"/>
      <c r="JK175" s="16"/>
      <c r="JL175" s="16"/>
      <c r="JM175" s="16"/>
      <c r="JN175" s="17"/>
      <c r="JR175" s="24"/>
      <c r="JS175" s="60"/>
      <c r="JT175" s="16"/>
      <c r="JU175" s="16"/>
      <c r="JV175" s="16"/>
      <c r="JW175" s="16"/>
      <c r="JX175" s="16"/>
      <c r="JY175" s="17"/>
      <c r="KC175" s="24"/>
      <c r="KD175" s="60"/>
      <c r="KE175" s="16"/>
      <c r="KF175" s="16"/>
      <c r="KG175" s="16"/>
      <c r="KH175" s="16"/>
      <c r="KI175" s="16"/>
      <c r="KJ175" s="17"/>
      <c r="KN175" s="24"/>
      <c r="KO175" s="60"/>
      <c r="KP175" s="16"/>
      <c r="KQ175" s="16"/>
      <c r="KR175" s="16"/>
      <c r="KS175" s="16"/>
      <c r="KT175" s="16"/>
      <c r="KU175" s="17"/>
      <c r="KY175" s="24"/>
      <c r="KZ175" s="60"/>
      <c r="LA175" s="16"/>
      <c r="LB175" s="16"/>
      <c r="LC175" s="16"/>
      <c r="LD175" s="16"/>
      <c r="LE175" s="16"/>
      <c r="LF175" s="17"/>
      <c r="LJ175" s="24"/>
      <c r="LK175" s="60"/>
      <c r="LL175" s="16"/>
      <c r="LM175" s="16"/>
      <c r="LN175" s="16"/>
      <c r="LO175" s="16"/>
      <c r="LP175" s="16"/>
      <c r="LQ175" s="17"/>
    </row>
    <row r="176">
      <c r="C176" s="31"/>
      <c r="D176" s="61"/>
      <c r="E176" s="16"/>
      <c r="F176" s="16"/>
      <c r="G176" s="21"/>
      <c r="H176" s="16"/>
      <c r="I176" s="16"/>
      <c r="J176" s="17"/>
      <c r="N176" s="17"/>
      <c r="O176" s="61"/>
      <c r="P176" s="16"/>
      <c r="Q176" s="16"/>
      <c r="R176" s="16"/>
      <c r="S176" s="16"/>
      <c r="T176" s="16"/>
      <c r="U176" s="17"/>
      <c r="Y176" s="24"/>
      <c r="Z176" s="61"/>
      <c r="AA176" s="16"/>
      <c r="AB176" s="16"/>
      <c r="AC176" s="16"/>
      <c r="AD176" s="16"/>
      <c r="AE176" s="16"/>
      <c r="AF176" s="17"/>
      <c r="AJ176" s="24"/>
      <c r="AK176" s="61"/>
      <c r="AL176" s="16"/>
      <c r="AM176" s="16"/>
      <c r="AN176" s="16"/>
      <c r="AO176" s="16"/>
      <c r="AP176" s="16"/>
      <c r="AQ176" s="17"/>
      <c r="AU176" s="24"/>
      <c r="AV176" s="61"/>
      <c r="AW176" s="16"/>
      <c r="AX176" s="16"/>
      <c r="AY176" s="16"/>
      <c r="AZ176" s="16"/>
      <c r="BA176" s="16"/>
      <c r="BB176" s="17"/>
      <c r="BF176" s="24"/>
      <c r="BG176" s="61"/>
      <c r="BH176" s="16"/>
      <c r="BI176" s="16"/>
      <c r="BJ176" s="16"/>
      <c r="BK176" s="16"/>
      <c r="BL176" s="16"/>
      <c r="BM176" s="17"/>
      <c r="BQ176" s="24"/>
      <c r="BR176" s="61"/>
      <c r="BS176" s="16"/>
      <c r="BT176" s="16"/>
      <c r="BU176" s="16"/>
      <c r="BV176" s="16"/>
      <c r="BW176" s="16"/>
      <c r="BX176" s="17"/>
      <c r="CB176" s="24"/>
      <c r="CC176" s="61"/>
      <c r="CD176" s="16"/>
      <c r="CE176" s="16"/>
      <c r="CF176" s="16"/>
      <c r="CG176" s="16"/>
      <c r="CH176" s="16"/>
      <c r="CI176" s="17"/>
      <c r="CM176" s="24"/>
      <c r="CN176" s="61"/>
      <c r="CO176" s="16"/>
      <c r="CP176" s="16"/>
      <c r="CQ176" s="16"/>
      <c r="CR176" s="16"/>
      <c r="CS176" s="16"/>
      <c r="CT176" s="17"/>
      <c r="CX176" s="24"/>
      <c r="CY176" s="60"/>
      <c r="CZ176" s="16"/>
      <c r="DA176" s="16"/>
      <c r="DB176" s="16"/>
      <c r="DC176" s="16"/>
      <c r="DD176" s="16"/>
      <c r="DE176" s="17"/>
      <c r="DI176" s="24"/>
      <c r="DJ176" s="60"/>
      <c r="DK176" s="16"/>
      <c r="DL176" s="16"/>
      <c r="DM176" s="16"/>
      <c r="DN176" s="16"/>
      <c r="DO176" s="16"/>
      <c r="DP176" s="17"/>
      <c r="DT176" s="24"/>
      <c r="DU176" s="60"/>
      <c r="DV176" s="16"/>
      <c r="DW176" s="16"/>
      <c r="DX176" s="16"/>
      <c r="DY176" s="16"/>
      <c r="DZ176" s="16"/>
      <c r="EA176" s="17"/>
      <c r="EE176" s="24"/>
      <c r="EF176" s="60"/>
      <c r="EG176" s="16"/>
      <c r="EH176" s="16"/>
      <c r="EI176" s="16"/>
      <c r="EJ176" s="16"/>
      <c r="EK176" s="16"/>
      <c r="EL176" s="17"/>
      <c r="EP176" s="24"/>
      <c r="EQ176" s="60"/>
      <c r="ER176" s="16"/>
      <c r="ES176" s="16"/>
      <c r="ET176" s="16"/>
      <c r="EU176" s="16"/>
      <c r="EV176" s="16"/>
      <c r="EW176" s="17"/>
      <c r="FA176" s="24"/>
      <c r="FB176" s="60"/>
      <c r="FC176" s="16"/>
      <c r="FD176" s="16"/>
      <c r="FE176" s="16"/>
      <c r="FF176" s="16"/>
      <c r="FG176" s="16"/>
      <c r="FH176" s="17"/>
      <c r="FL176" s="24"/>
      <c r="FM176" s="60"/>
      <c r="FN176" s="16"/>
      <c r="FO176" s="16"/>
      <c r="FP176" s="16"/>
      <c r="FQ176" s="16"/>
      <c r="FR176" s="16"/>
      <c r="FS176" s="17"/>
      <c r="FW176" s="24"/>
      <c r="FX176" s="60"/>
      <c r="FY176" s="16"/>
      <c r="FZ176" s="16"/>
      <c r="GA176" s="16"/>
      <c r="GB176" s="16"/>
      <c r="GC176" s="16"/>
      <c r="GD176" s="17"/>
      <c r="GH176" s="24"/>
      <c r="GI176" s="60"/>
      <c r="GJ176" s="16"/>
      <c r="GK176" s="16"/>
      <c r="GL176" s="16"/>
      <c r="GM176" s="16"/>
      <c r="GN176" s="16"/>
      <c r="GO176" s="17"/>
      <c r="GS176" s="24"/>
      <c r="GT176" s="60"/>
      <c r="GU176" s="16"/>
      <c r="GV176" s="16"/>
      <c r="GW176" s="16"/>
      <c r="GX176" s="16"/>
      <c r="GY176" s="16"/>
      <c r="GZ176" s="17"/>
      <c r="HD176" s="24"/>
      <c r="HE176" s="60"/>
      <c r="HF176" s="16"/>
      <c r="HG176" s="16"/>
      <c r="HH176" s="16"/>
      <c r="HI176" s="16"/>
      <c r="HJ176" s="16"/>
      <c r="HK176" s="17"/>
      <c r="HO176" s="24"/>
      <c r="HP176" s="60"/>
      <c r="HQ176" s="16"/>
      <c r="HR176" s="16"/>
      <c r="HS176" s="16"/>
      <c r="HT176" s="16"/>
      <c r="HU176" s="16"/>
      <c r="HV176" s="17"/>
      <c r="HZ176" s="24"/>
      <c r="IA176" s="60"/>
      <c r="IB176" s="16"/>
      <c r="IC176" s="16"/>
      <c r="ID176" s="16"/>
      <c r="IE176" s="16"/>
      <c r="IF176" s="16"/>
      <c r="IG176" s="17"/>
      <c r="IK176" s="24"/>
      <c r="IL176" s="60"/>
      <c r="IM176" s="16"/>
      <c r="IN176" s="16"/>
      <c r="IO176" s="16"/>
      <c r="IP176" s="16"/>
      <c r="IQ176" s="16"/>
      <c r="IR176" s="17"/>
      <c r="IV176" s="24"/>
      <c r="IW176" s="60"/>
      <c r="IX176" s="16"/>
      <c r="IY176" s="16"/>
      <c r="IZ176" s="16"/>
      <c r="JA176" s="16"/>
      <c r="JB176" s="16"/>
      <c r="JC176" s="17"/>
      <c r="JG176" s="24"/>
      <c r="JH176" s="60"/>
      <c r="JI176" s="16"/>
      <c r="JJ176" s="16"/>
      <c r="JK176" s="16"/>
      <c r="JL176" s="16"/>
      <c r="JM176" s="16"/>
      <c r="JN176" s="17"/>
      <c r="JR176" s="24"/>
      <c r="JS176" s="60"/>
      <c r="JT176" s="16"/>
      <c r="JU176" s="16"/>
      <c r="JV176" s="16"/>
      <c r="JW176" s="16"/>
      <c r="JX176" s="16"/>
      <c r="JY176" s="17"/>
      <c r="KC176" s="24"/>
      <c r="KD176" s="60"/>
      <c r="KE176" s="16"/>
      <c r="KF176" s="16"/>
      <c r="KG176" s="16"/>
      <c r="KH176" s="16"/>
      <c r="KI176" s="16"/>
      <c r="KJ176" s="17"/>
      <c r="KN176" s="24"/>
      <c r="KO176" s="60"/>
      <c r="KP176" s="16"/>
      <c r="KQ176" s="16"/>
      <c r="KR176" s="16"/>
      <c r="KS176" s="16"/>
      <c r="KT176" s="16"/>
      <c r="KU176" s="17"/>
      <c r="KY176" s="24"/>
      <c r="KZ176" s="60"/>
      <c r="LA176" s="16"/>
      <c r="LB176" s="16"/>
      <c r="LC176" s="16"/>
      <c r="LD176" s="16"/>
      <c r="LE176" s="16"/>
      <c r="LF176" s="17"/>
      <c r="LJ176" s="24"/>
      <c r="LK176" s="60"/>
      <c r="LL176" s="16"/>
      <c r="LM176" s="16"/>
      <c r="LN176" s="16"/>
      <c r="LO176" s="16"/>
      <c r="LP176" s="16"/>
      <c r="LQ176" s="17"/>
    </row>
    <row r="177">
      <c r="C177" s="31"/>
      <c r="D177" s="61"/>
      <c r="E177" s="16"/>
      <c r="F177" s="16"/>
      <c r="G177" s="21"/>
      <c r="H177" s="16"/>
      <c r="I177" s="16"/>
      <c r="J177" s="17"/>
      <c r="N177" s="17"/>
      <c r="O177" s="61"/>
      <c r="P177" s="16"/>
      <c r="Q177" s="16"/>
      <c r="R177" s="16"/>
      <c r="S177" s="16"/>
      <c r="T177" s="16"/>
      <c r="U177" s="17"/>
      <c r="Y177" s="24"/>
      <c r="Z177" s="61"/>
      <c r="AA177" s="16"/>
      <c r="AB177" s="16"/>
      <c r="AC177" s="16"/>
      <c r="AD177" s="16"/>
      <c r="AE177" s="16"/>
      <c r="AF177" s="17"/>
      <c r="AJ177" s="24"/>
      <c r="AK177" s="61"/>
      <c r="AL177" s="16"/>
      <c r="AM177" s="16"/>
      <c r="AN177" s="16"/>
      <c r="AO177" s="16"/>
      <c r="AP177" s="16"/>
      <c r="AQ177" s="17"/>
      <c r="AU177" s="24"/>
      <c r="AV177" s="61"/>
      <c r="AW177" s="16"/>
      <c r="AX177" s="16"/>
      <c r="AY177" s="16"/>
      <c r="AZ177" s="16"/>
      <c r="BA177" s="16"/>
      <c r="BB177" s="17"/>
      <c r="BF177" s="24"/>
      <c r="BG177" s="61"/>
      <c r="BH177" s="16"/>
      <c r="BI177" s="16"/>
      <c r="BJ177" s="16"/>
      <c r="BK177" s="16"/>
      <c r="BL177" s="16"/>
      <c r="BM177" s="17"/>
      <c r="BQ177" s="24"/>
      <c r="BR177" s="61"/>
      <c r="BS177" s="16"/>
      <c r="BT177" s="16"/>
      <c r="BU177" s="16"/>
      <c r="BV177" s="16"/>
      <c r="BW177" s="16"/>
      <c r="BX177" s="17"/>
      <c r="CB177" s="24"/>
      <c r="CC177" s="61"/>
      <c r="CD177" s="16"/>
      <c r="CE177" s="16"/>
      <c r="CF177" s="16"/>
      <c r="CG177" s="16"/>
      <c r="CH177" s="16"/>
      <c r="CI177" s="17"/>
      <c r="CM177" s="24"/>
      <c r="CN177" s="61"/>
      <c r="CO177" s="16"/>
      <c r="CP177" s="16"/>
      <c r="CQ177" s="16"/>
      <c r="CR177" s="16"/>
      <c r="CS177" s="16"/>
      <c r="CT177" s="17"/>
      <c r="CX177" s="24"/>
      <c r="CY177" s="60"/>
      <c r="CZ177" s="16"/>
      <c r="DA177" s="16"/>
      <c r="DB177" s="16"/>
      <c r="DC177" s="16"/>
      <c r="DD177" s="16"/>
      <c r="DE177" s="17"/>
      <c r="DI177" s="24"/>
      <c r="DJ177" s="60"/>
      <c r="DK177" s="16"/>
      <c r="DL177" s="16"/>
      <c r="DM177" s="16"/>
      <c r="DN177" s="16"/>
      <c r="DO177" s="16"/>
      <c r="DP177" s="17"/>
      <c r="DT177" s="24"/>
      <c r="DU177" s="60"/>
      <c r="DV177" s="16"/>
      <c r="DW177" s="16"/>
      <c r="DX177" s="16"/>
      <c r="DY177" s="16"/>
      <c r="DZ177" s="16"/>
      <c r="EA177" s="17"/>
      <c r="EE177" s="24"/>
      <c r="EF177" s="60"/>
      <c r="EG177" s="16"/>
      <c r="EH177" s="16"/>
      <c r="EI177" s="16"/>
      <c r="EJ177" s="16"/>
      <c r="EK177" s="16"/>
      <c r="EL177" s="17"/>
      <c r="EP177" s="24"/>
      <c r="EQ177" s="60"/>
      <c r="ER177" s="16"/>
      <c r="ES177" s="16"/>
      <c r="ET177" s="16"/>
      <c r="EU177" s="16"/>
      <c r="EV177" s="16"/>
      <c r="EW177" s="17"/>
      <c r="FA177" s="24"/>
      <c r="FB177" s="60"/>
      <c r="FC177" s="16"/>
      <c r="FD177" s="16"/>
      <c r="FE177" s="16"/>
      <c r="FF177" s="16"/>
      <c r="FG177" s="16"/>
      <c r="FH177" s="17"/>
      <c r="FL177" s="24"/>
      <c r="FM177" s="60"/>
      <c r="FN177" s="16"/>
      <c r="FO177" s="16"/>
      <c r="FP177" s="16"/>
      <c r="FQ177" s="16"/>
      <c r="FR177" s="16"/>
      <c r="FS177" s="17"/>
      <c r="FW177" s="24"/>
      <c r="FX177" s="60"/>
      <c r="FY177" s="16"/>
      <c r="FZ177" s="16"/>
      <c r="GA177" s="16"/>
      <c r="GB177" s="16"/>
      <c r="GC177" s="16"/>
      <c r="GD177" s="17"/>
      <c r="GH177" s="24"/>
      <c r="GI177" s="60"/>
      <c r="GJ177" s="16"/>
      <c r="GK177" s="16"/>
      <c r="GL177" s="16"/>
      <c r="GM177" s="16"/>
      <c r="GN177" s="16"/>
      <c r="GO177" s="17"/>
      <c r="GS177" s="24"/>
      <c r="GT177" s="60"/>
      <c r="GU177" s="16"/>
      <c r="GV177" s="16"/>
      <c r="GW177" s="16"/>
      <c r="GX177" s="16"/>
      <c r="GY177" s="16"/>
      <c r="GZ177" s="17"/>
      <c r="HD177" s="24"/>
      <c r="HE177" s="60"/>
      <c r="HF177" s="16"/>
      <c r="HG177" s="16"/>
      <c r="HH177" s="16"/>
      <c r="HI177" s="16"/>
      <c r="HJ177" s="16"/>
      <c r="HK177" s="17"/>
      <c r="HO177" s="24"/>
      <c r="HP177" s="60"/>
      <c r="HQ177" s="16"/>
      <c r="HR177" s="16"/>
      <c r="HS177" s="16"/>
      <c r="HT177" s="16"/>
      <c r="HU177" s="16"/>
      <c r="HV177" s="17"/>
      <c r="HZ177" s="24"/>
      <c r="IA177" s="60"/>
      <c r="IB177" s="16"/>
      <c r="IC177" s="16"/>
      <c r="ID177" s="16"/>
      <c r="IE177" s="16"/>
      <c r="IF177" s="16"/>
      <c r="IG177" s="17"/>
      <c r="IK177" s="24"/>
      <c r="IL177" s="60"/>
      <c r="IM177" s="16"/>
      <c r="IN177" s="16"/>
      <c r="IO177" s="16"/>
      <c r="IP177" s="16"/>
      <c r="IQ177" s="16"/>
      <c r="IR177" s="17"/>
      <c r="IV177" s="24"/>
      <c r="IW177" s="60"/>
      <c r="IX177" s="16"/>
      <c r="IY177" s="16"/>
      <c r="IZ177" s="16"/>
      <c r="JA177" s="16"/>
      <c r="JB177" s="16"/>
      <c r="JC177" s="17"/>
      <c r="JG177" s="24"/>
      <c r="JH177" s="60"/>
      <c r="JI177" s="16"/>
      <c r="JJ177" s="16"/>
      <c r="JK177" s="16"/>
      <c r="JL177" s="16"/>
      <c r="JM177" s="16"/>
      <c r="JN177" s="17"/>
      <c r="JR177" s="24"/>
      <c r="JS177" s="60"/>
      <c r="JT177" s="16"/>
      <c r="JU177" s="16"/>
      <c r="JV177" s="16"/>
      <c r="JW177" s="16"/>
      <c r="JX177" s="16"/>
      <c r="JY177" s="17"/>
      <c r="KC177" s="24"/>
      <c r="KD177" s="60"/>
      <c r="KE177" s="16"/>
      <c r="KF177" s="16"/>
      <c r="KG177" s="16"/>
      <c r="KH177" s="16"/>
      <c r="KI177" s="16"/>
      <c r="KJ177" s="17"/>
      <c r="KN177" s="24"/>
      <c r="KO177" s="60"/>
      <c r="KP177" s="16"/>
      <c r="KQ177" s="16"/>
      <c r="KR177" s="16"/>
      <c r="KS177" s="16"/>
      <c r="KT177" s="16"/>
      <c r="KU177" s="17"/>
      <c r="KY177" s="24"/>
      <c r="KZ177" s="60"/>
      <c r="LA177" s="16"/>
      <c r="LB177" s="16"/>
      <c r="LC177" s="16"/>
      <c r="LD177" s="16"/>
      <c r="LE177" s="16"/>
      <c r="LF177" s="17"/>
      <c r="LJ177" s="24"/>
      <c r="LK177" s="60"/>
      <c r="LL177" s="16"/>
      <c r="LM177" s="16"/>
      <c r="LN177" s="16"/>
      <c r="LO177" s="16"/>
      <c r="LP177" s="16"/>
      <c r="LQ177" s="17"/>
    </row>
    <row r="178">
      <c r="C178" s="31"/>
      <c r="D178" s="61"/>
      <c r="E178" s="16"/>
      <c r="F178" s="16"/>
      <c r="G178" s="21"/>
      <c r="H178" s="16"/>
      <c r="I178" s="16"/>
      <c r="J178" s="17"/>
      <c r="N178" s="17"/>
      <c r="O178" s="61"/>
      <c r="P178" s="16"/>
      <c r="Q178" s="16"/>
      <c r="R178" s="16"/>
      <c r="S178" s="16"/>
      <c r="T178" s="16"/>
      <c r="U178" s="17"/>
      <c r="Y178" s="24"/>
      <c r="Z178" s="61"/>
      <c r="AA178" s="16"/>
      <c r="AB178" s="16"/>
      <c r="AC178" s="16"/>
      <c r="AD178" s="16"/>
      <c r="AE178" s="16"/>
      <c r="AF178" s="17"/>
      <c r="AJ178" s="24"/>
      <c r="AK178" s="61"/>
      <c r="AL178" s="16"/>
      <c r="AM178" s="16"/>
      <c r="AN178" s="16"/>
      <c r="AO178" s="16"/>
      <c r="AP178" s="16"/>
      <c r="AQ178" s="17"/>
      <c r="AU178" s="24"/>
      <c r="AV178" s="61"/>
      <c r="AW178" s="16"/>
      <c r="AX178" s="16"/>
      <c r="AY178" s="16"/>
      <c r="AZ178" s="16"/>
      <c r="BA178" s="16"/>
      <c r="BB178" s="17"/>
      <c r="BF178" s="24"/>
      <c r="BG178" s="61"/>
      <c r="BH178" s="16"/>
      <c r="BI178" s="16"/>
      <c r="BJ178" s="16"/>
      <c r="BK178" s="16"/>
      <c r="BL178" s="16"/>
      <c r="BM178" s="17"/>
      <c r="BQ178" s="24"/>
      <c r="BR178" s="61"/>
      <c r="BS178" s="16"/>
      <c r="BT178" s="16"/>
      <c r="BU178" s="16"/>
      <c r="BV178" s="16"/>
      <c r="BW178" s="16"/>
      <c r="BX178" s="17"/>
      <c r="CB178" s="24"/>
      <c r="CC178" s="61"/>
      <c r="CD178" s="16"/>
      <c r="CE178" s="16"/>
      <c r="CF178" s="16"/>
      <c r="CG178" s="16"/>
      <c r="CH178" s="16"/>
      <c r="CI178" s="17"/>
      <c r="CM178" s="24"/>
      <c r="CN178" s="61"/>
      <c r="CO178" s="16"/>
      <c r="CP178" s="16"/>
      <c r="CQ178" s="16"/>
      <c r="CR178" s="16"/>
      <c r="CS178" s="16"/>
      <c r="CT178" s="17"/>
      <c r="CX178" s="24"/>
      <c r="CY178" s="60"/>
      <c r="CZ178" s="16"/>
      <c r="DA178" s="16"/>
      <c r="DB178" s="16"/>
      <c r="DC178" s="16"/>
      <c r="DD178" s="16"/>
      <c r="DE178" s="17"/>
      <c r="DI178" s="24"/>
      <c r="DJ178" s="60"/>
      <c r="DK178" s="16"/>
      <c r="DL178" s="16"/>
      <c r="DM178" s="16"/>
      <c r="DN178" s="16"/>
      <c r="DO178" s="16"/>
      <c r="DP178" s="17"/>
      <c r="DT178" s="24"/>
      <c r="DU178" s="60"/>
      <c r="DV178" s="16"/>
      <c r="DW178" s="16"/>
      <c r="DX178" s="16"/>
      <c r="DY178" s="16"/>
      <c r="DZ178" s="16"/>
      <c r="EA178" s="17"/>
      <c r="EE178" s="24"/>
      <c r="EF178" s="60"/>
      <c r="EG178" s="16"/>
      <c r="EH178" s="16"/>
      <c r="EI178" s="16"/>
      <c r="EJ178" s="16"/>
      <c r="EK178" s="16"/>
      <c r="EL178" s="17"/>
      <c r="EP178" s="24"/>
      <c r="EQ178" s="60"/>
      <c r="ER178" s="16"/>
      <c r="ES178" s="16"/>
      <c r="ET178" s="16"/>
      <c r="EU178" s="16"/>
      <c r="EV178" s="16"/>
      <c r="EW178" s="17"/>
      <c r="FA178" s="24"/>
      <c r="FB178" s="60"/>
      <c r="FC178" s="16"/>
      <c r="FD178" s="16"/>
      <c r="FE178" s="16"/>
      <c r="FF178" s="16"/>
      <c r="FG178" s="16"/>
      <c r="FH178" s="17"/>
      <c r="FL178" s="24"/>
      <c r="FM178" s="60"/>
      <c r="FN178" s="16"/>
      <c r="FO178" s="16"/>
      <c r="FP178" s="16"/>
      <c r="FQ178" s="16"/>
      <c r="FR178" s="16"/>
      <c r="FS178" s="17"/>
      <c r="FW178" s="24"/>
      <c r="FX178" s="60"/>
      <c r="FY178" s="16"/>
      <c r="FZ178" s="16"/>
      <c r="GA178" s="16"/>
      <c r="GB178" s="16"/>
      <c r="GC178" s="16"/>
      <c r="GD178" s="17"/>
      <c r="GH178" s="24"/>
      <c r="GI178" s="60"/>
      <c r="GJ178" s="16"/>
      <c r="GK178" s="16"/>
      <c r="GL178" s="16"/>
      <c r="GM178" s="16"/>
      <c r="GN178" s="16"/>
      <c r="GO178" s="17"/>
      <c r="GS178" s="24"/>
      <c r="GT178" s="60"/>
      <c r="GU178" s="16"/>
      <c r="GV178" s="16"/>
      <c r="GW178" s="16"/>
      <c r="GX178" s="16"/>
      <c r="GY178" s="16"/>
      <c r="GZ178" s="17"/>
      <c r="HD178" s="24"/>
      <c r="HE178" s="60"/>
      <c r="HF178" s="16"/>
      <c r="HG178" s="16"/>
      <c r="HH178" s="16"/>
      <c r="HI178" s="16"/>
      <c r="HJ178" s="16"/>
      <c r="HK178" s="17"/>
      <c r="HO178" s="24"/>
      <c r="HP178" s="60"/>
      <c r="HQ178" s="16"/>
      <c r="HR178" s="16"/>
      <c r="HS178" s="16"/>
      <c r="HT178" s="16"/>
      <c r="HU178" s="16"/>
      <c r="HV178" s="17"/>
      <c r="HZ178" s="24"/>
      <c r="IA178" s="60"/>
      <c r="IB178" s="16"/>
      <c r="IC178" s="16"/>
      <c r="ID178" s="16"/>
      <c r="IE178" s="16"/>
      <c r="IF178" s="16"/>
      <c r="IG178" s="17"/>
      <c r="IK178" s="24"/>
      <c r="IL178" s="60"/>
      <c r="IM178" s="16"/>
      <c r="IN178" s="16"/>
      <c r="IO178" s="16"/>
      <c r="IP178" s="16"/>
      <c r="IQ178" s="16"/>
      <c r="IR178" s="17"/>
      <c r="IV178" s="24"/>
      <c r="IW178" s="60"/>
      <c r="IX178" s="16"/>
      <c r="IY178" s="16"/>
      <c r="IZ178" s="16"/>
      <c r="JA178" s="16"/>
      <c r="JB178" s="16"/>
      <c r="JC178" s="17"/>
      <c r="JG178" s="24"/>
      <c r="JH178" s="60"/>
      <c r="JI178" s="16"/>
      <c r="JJ178" s="16"/>
      <c r="JK178" s="16"/>
      <c r="JL178" s="16"/>
      <c r="JM178" s="16"/>
      <c r="JN178" s="17"/>
      <c r="JR178" s="24"/>
      <c r="JS178" s="60"/>
      <c r="JT178" s="16"/>
      <c r="JU178" s="16"/>
      <c r="JV178" s="16"/>
      <c r="JW178" s="16"/>
      <c r="JX178" s="16"/>
      <c r="JY178" s="17"/>
      <c r="KC178" s="24"/>
      <c r="KD178" s="60"/>
      <c r="KE178" s="16"/>
      <c r="KF178" s="16"/>
      <c r="KG178" s="16"/>
      <c r="KH178" s="16"/>
      <c r="KI178" s="16"/>
      <c r="KJ178" s="17"/>
      <c r="KN178" s="24"/>
      <c r="KO178" s="60"/>
      <c r="KP178" s="16"/>
      <c r="KQ178" s="16"/>
      <c r="KR178" s="16"/>
      <c r="KS178" s="16"/>
      <c r="KT178" s="16"/>
      <c r="KU178" s="17"/>
      <c r="KY178" s="24"/>
      <c r="KZ178" s="60"/>
      <c r="LA178" s="16"/>
      <c r="LB178" s="16"/>
      <c r="LC178" s="16"/>
      <c r="LD178" s="16"/>
      <c r="LE178" s="16"/>
      <c r="LF178" s="17"/>
      <c r="LJ178" s="24"/>
      <c r="LK178" s="60"/>
      <c r="LL178" s="16"/>
      <c r="LM178" s="16"/>
      <c r="LN178" s="16"/>
      <c r="LO178" s="16"/>
      <c r="LP178" s="16"/>
      <c r="LQ178" s="17"/>
    </row>
    <row r="179">
      <c r="C179" s="31"/>
      <c r="D179" s="61"/>
      <c r="E179" s="16"/>
      <c r="F179" s="16"/>
      <c r="G179" s="21"/>
      <c r="H179" s="16"/>
      <c r="I179" s="16"/>
      <c r="J179" s="17"/>
      <c r="N179" s="17"/>
      <c r="O179" s="61"/>
      <c r="P179" s="16"/>
      <c r="Q179" s="16"/>
      <c r="R179" s="16"/>
      <c r="S179" s="16"/>
      <c r="T179" s="16"/>
      <c r="U179" s="17"/>
      <c r="Y179" s="24"/>
      <c r="Z179" s="61"/>
      <c r="AA179" s="16"/>
      <c r="AB179" s="16"/>
      <c r="AC179" s="16"/>
      <c r="AD179" s="16"/>
      <c r="AE179" s="16"/>
      <c r="AF179" s="17"/>
      <c r="AJ179" s="24"/>
      <c r="AK179" s="61"/>
      <c r="AL179" s="16"/>
      <c r="AM179" s="16"/>
      <c r="AN179" s="16"/>
      <c r="AO179" s="16"/>
      <c r="AP179" s="16"/>
      <c r="AQ179" s="17"/>
      <c r="AU179" s="24"/>
      <c r="AV179" s="61"/>
      <c r="AW179" s="16"/>
      <c r="AX179" s="16"/>
      <c r="AY179" s="16"/>
      <c r="AZ179" s="16"/>
      <c r="BA179" s="16"/>
      <c r="BB179" s="17"/>
      <c r="BF179" s="24"/>
      <c r="BG179" s="61"/>
      <c r="BH179" s="16"/>
      <c r="BI179" s="16"/>
      <c r="BJ179" s="16"/>
      <c r="BK179" s="16"/>
      <c r="BL179" s="16"/>
      <c r="BM179" s="17"/>
      <c r="BQ179" s="24"/>
      <c r="BR179" s="61"/>
      <c r="BS179" s="16"/>
      <c r="BT179" s="16"/>
      <c r="BU179" s="16"/>
      <c r="BV179" s="16"/>
      <c r="BW179" s="16"/>
      <c r="BX179" s="17"/>
      <c r="CB179" s="24"/>
      <c r="CC179" s="61"/>
      <c r="CD179" s="16"/>
      <c r="CE179" s="16"/>
      <c r="CF179" s="16"/>
      <c r="CG179" s="16"/>
      <c r="CH179" s="16"/>
      <c r="CI179" s="17"/>
      <c r="CM179" s="24"/>
      <c r="CN179" s="61"/>
      <c r="CO179" s="16"/>
      <c r="CP179" s="16"/>
      <c r="CQ179" s="16"/>
      <c r="CR179" s="16"/>
      <c r="CS179" s="16"/>
      <c r="CT179" s="17"/>
      <c r="CX179" s="24"/>
      <c r="CY179" s="60"/>
      <c r="CZ179" s="16"/>
      <c r="DA179" s="16"/>
      <c r="DB179" s="16"/>
      <c r="DC179" s="16"/>
      <c r="DD179" s="16"/>
      <c r="DE179" s="17"/>
      <c r="DI179" s="24"/>
      <c r="DJ179" s="60"/>
      <c r="DK179" s="16"/>
      <c r="DL179" s="16"/>
      <c r="DM179" s="16"/>
      <c r="DN179" s="16"/>
      <c r="DO179" s="16"/>
      <c r="DP179" s="17"/>
      <c r="DT179" s="24"/>
      <c r="DU179" s="60"/>
      <c r="DV179" s="16"/>
      <c r="DW179" s="16"/>
      <c r="DX179" s="16"/>
      <c r="DY179" s="16"/>
      <c r="DZ179" s="16"/>
      <c r="EA179" s="17"/>
      <c r="EE179" s="24"/>
      <c r="EF179" s="60"/>
      <c r="EG179" s="16"/>
      <c r="EH179" s="16"/>
      <c r="EI179" s="16"/>
      <c r="EJ179" s="16"/>
      <c r="EK179" s="16"/>
      <c r="EL179" s="17"/>
      <c r="EP179" s="24"/>
      <c r="EQ179" s="60"/>
      <c r="ER179" s="16"/>
      <c r="ES179" s="16"/>
      <c r="ET179" s="16"/>
      <c r="EU179" s="16"/>
      <c r="EV179" s="16"/>
      <c r="EW179" s="17"/>
      <c r="FA179" s="24"/>
      <c r="FB179" s="60"/>
      <c r="FC179" s="16"/>
      <c r="FD179" s="16"/>
      <c r="FE179" s="16"/>
      <c r="FF179" s="16"/>
      <c r="FG179" s="16"/>
      <c r="FH179" s="17"/>
      <c r="FL179" s="24"/>
      <c r="FM179" s="60"/>
      <c r="FN179" s="16"/>
      <c r="FO179" s="16"/>
      <c r="FP179" s="16"/>
      <c r="FQ179" s="16"/>
      <c r="FR179" s="16"/>
      <c r="FS179" s="17"/>
      <c r="FW179" s="24"/>
      <c r="FX179" s="60"/>
      <c r="FY179" s="16"/>
      <c r="FZ179" s="16"/>
      <c r="GA179" s="16"/>
      <c r="GB179" s="16"/>
      <c r="GC179" s="16"/>
      <c r="GD179" s="17"/>
      <c r="GH179" s="24"/>
      <c r="GI179" s="60"/>
      <c r="GJ179" s="16"/>
      <c r="GK179" s="16"/>
      <c r="GL179" s="16"/>
      <c r="GM179" s="16"/>
      <c r="GN179" s="16"/>
      <c r="GO179" s="17"/>
      <c r="GS179" s="24"/>
      <c r="GT179" s="60"/>
      <c r="GU179" s="16"/>
      <c r="GV179" s="16"/>
      <c r="GW179" s="16"/>
      <c r="GX179" s="16"/>
      <c r="GY179" s="16"/>
      <c r="GZ179" s="17"/>
      <c r="HD179" s="24"/>
      <c r="HE179" s="60"/>
      <c r="HF179" s="16"/>
      <c r="HG179" s="16"/>
      <c r="HH179" s="16"/>
      <c r="HI179" s="16"/>
      <c r="HJ179" s="16"/>
      <c r="HK179" s="17"/>
      <c r="HO179" s="24"/>
      <c r="HP179" s="60"/>
      <c r="HQ179" s="16"/>
      <c r="HR179" s="16"/>
      <c r="HS179" s="16"/>
      <c r="HT179" s="16"/>
      <c r="HU179" s="16"/>
      <c r="HV179" s="17"/>
      <c r="HZ179" s="24"/>
      <c r="IA179" s="60"/>
      <c r="IB179" s="16"/>
      <c r="IC179" s="16"/>
      <c r="ID179" s="16"/>
      <c r="IE179" s="16"/>
      <c r="IF179" s="16"/>
      <c r="IG179" s="17"/>
      <c r="IK179" s="24"/>
      <c r="IL179" s="60"/>
      <c r="IM179" s="16"/>
      <c r="IN179" s="16"/>
      <c r="IO179" s="16"/>
      <c r="IP179" s="16"/>
      <c r="IQ179" s="16"/>
      <c r="IR179" s="17"/>
      <c r="IV179" s="24"/>
      <c r="IW179" s="60"/>
      <c r="IX179" s="16"/>
      <c r="IY179" s="16"/>
      <c r="IZ179" s="16"/>
      <c r="JA179" s="16"/>
      <c r="JB179" s="16"/>
      <c r="JC179" s="17"/>
      <c r="JG179" s="24"/>
      <c r="JH179" s="60"/>
      <c r="JI179" s="16"/>
      <c r="JJ179" s="16"/>
      <c r="JK179" s="16"/>
      <c r="JL179" s="16"/>
      <c r="JM179" s="16"/>
      <c r="JN179" s="17"/>
      <c r="JR179" s="24"/>
      <c r="JS179" s="60"/>
      <c r="JT179" s="16"/>
      <c r="JU179" s="16"/>
      <c r="JV179" s="16"/>
      <c r="JW179" s="16"/>
      <c r="JX179" s="16"/>
      <c r="JY179" s="17"/>
      <c r="KC179" s="24"/>
      <c r="KD179" s="60"/>
      <c r="KE179" s="16"/>
      <c r="KF179" s="16"/>
      <c r="KG179" s="16"/>
      <c r="KH179" s="16"/>
      <c r="KI179" s="16"/>
      <c r="KJ179" s="17"/>
      <c r="KN179" s="24"/>
      <c r="KO179" s="60"/>
      <c r="KP179" s="16"/>
      <c r="KQ179" s="16"/>
      <c r="KR179" s="16"/>
      <c r="KS179" s="16"/>
      <c r="KT179" s="16"/>
      <c r="KU179" s="17"/>
      <c r="KY179" s="24"/>
      <c r="KZ179" s="60"/>
      <c r="LA179" s="16"/>
      <c r="LB179" s="16"/>
      <c r="LC179" s="16"/>
      <c r="LD179" s="16"/>
      <c r="LE179" s="16"/>
      <c r="LF179" s="17"/>
      <c r="LJ179" s="24"/>
      <c r="LK179" s="60"/>
      <c r="LL179" s="16"/>
      <c r="LM179" s="16"/>
      <c r="LN179" s="16"/>
      <c r="LO179" s="16"/>
      <c r="LP179" s="16"/>
      <c r="LQ179" s="17"/>
    </row>
    <row r="180">
      <c r="C180" s="31"/>
      <c r="D180" s="61"/>
      <c r="E180" s="16"/>
      <c r="F180" s="16"/>
      <c r="G180" s="21"/>
      <c r="H180" s="16"/>
      <c r="I180" s="16"/>
      <c r="J180" s="17"/>
      <c r="N180" s="17"/>
      <c r="O180" s="61"/>
      <c r="P180" s="16"/>
      <c r="Q180" s="16"/>
      <c r="R180" s="16"/>
      <c r="S180" s="16"/>
      <c r="T180" s="16"/>
      <c r="U180" s="17"/>
      <c r="Y180" s="24"/>
      <c r="Z180" s="61"/>
      <c r="AA180" s="16"/>
      <c r="AB180" s="16"/>
      <c r="AC180" s="16"/>
      <c r="AD180" s="16"/>
      <c r="AE180" s="16"/>
      <c r="AF180" s="17"/>
      <c r="AJ180" s="24"/>
      <c r="AK180" s="61"/>
      <c r="AL180" s="16"/>
      <c r="AM180" s="16"/>
      <c r="AN180" s="16"/>
      <c r="AO180" s="16"/>
      <c r="AP180" s="16"/>
      <c r="AQ180" s="17"/>
      <c r="AU180" s="24"/>
      <c r="AV180" s="61"/>
      <c r="AW180" s="16"/>
      <c r="AX180" s="16"/>
      <c r="AY180" s="16"/>
      <c r="AZ180" s="16"/>
      <c r="BA180" s="16"/>
      <c r="BB180" s="17"/>
      <c r="BF180" s="24"/>
      <c r="BG180" s="61"/>
      <c r="BH180" s="16"/>
      <c r="BI180" s="16"/>
      <c r="BJ180" s="16"/>
      <c r="BK180" s="16"/>
      <c r="BL180" s="16"/>
      <c r="BM180" s="17"/>
      <c r="BQ180" s="24"/>
      <c r="BR180" s="61"/>
      <c r="BS180" s="16"/>
      <c r="BT180" s="16"/>
      <c r="BU180" s="16"/>
      <c r="BV180" s="16"/>
      <c r="BW180" s="16"/>
      <c r="BX180" s="17"/>
      <c r="CB180" s="24"/>
      <c r="CC180" s="61"/>
      <c r="CD180" s="16"/>
      <c r="CE180" s="16"/>
      <c r="CF180" s="16"/>
      <c r="CG180" s="16"/>
      <c r="CH180" s="16"/>
      <c r="CI180" s="17"/>
      <c r="CM180" s="24"/>
      <c r="CN180" s="61"/>
      <c r="CO180" s="16"/>
      <c r="CP180" s="16"/>
      <c r="CQ180" s="16"/>
      <c r="CR180" s="16"/>
      <c r="CS180" s="16"/>
      <c r="CT180" s="17"/>
      <c r="CX180" s="24"/>
      <c r="CY180" s="60"/>
      <c r="CZ180" s="16"/>
      <c r="DA180" s="16"/>
      <c r="DB180" s="16"/>
      <c r="DC180" s="16"/>
      <c r="DD180" s="16"/>
      <c r="DE180" s="17"/>
      <c r="DI180" s="24"/>
      <c r="DJ180" s="60"/>
      <c r="DK180" s="16"/>
      <c r="DL180" s="16"/>
      <c r="DM180" s="16"/>
      <c r="DN180" s="16"/>
      <c r="DO180" s="16"/>
      <c r="DP180" s="17"/>
      <c r="DT180" s="24"/>
      <c r="DU180" s="60"/>
      <c r="DV180" s="16"/>
      <c r="DW180" s="16"/>
      <c r="DX180" s="16"/>
      <c r="DY180" s="16"/>
      <c r="DZ180" s="16"/>
      <c r="EA180" s="17"/>
      <c r="EE180" s="24"/>
      <c r="EF180" s="60"/>
      <c r="EG180" s="16"/>
      <c r="EH180" s="16"/>
      <c r="EI180" s="16"/>
      <c r="EJ180" s="16"/>
      <c r="EK180" s="16"/>
      <c r="EL180" s="17"/>
      <c r="EP180" s="24"/>
      <c r="EQ180" s="60"/>
      <c r="ER180" s="16"/>
      <c r="ES180" s="16"/>
      <c r="ET180" s="16"/>
      <c r="EU180" s="16"/>
      <c r="EV180" s="16"/>
      <c r="EW180" s="17"/>
      <c r="FA180" s="24"/>
      <c r="FB180" s="60"/>
      <c r="FC180" s="16"/>
      <c r="FD180" s="16"/>
      <c r="FE180" s="16"/>
      <c r="FF180" s="16"/>
      <c r="FG180" s="16"/>
      <c r="FH180" s="17"/>
      <c r="FL180" s="24"/>
      <c r="FM180" s="60"/>
      <c r="FN180" s="16"/>
      <c r="FO180" s="16"/>
      <c r="FP180" s="16"/>
      <c r="FQ180" s="16"/>
      <c r="FR180" s="16"/>
      <c r="FS180" s="17"/>
      <c r="FW180" s="24"/>
      <c r="FX180" s="60"/>
      <c r="FY180" s="16"/>
      <c r="FZ180" s="16"/>
      <c r="GA180" s="16"/>
      <c r="GB180" s="16"/>
      <c r="GC180" s="16"/>
      <c r="GD180" s="17"/>
      <c r="GH180" s="24"/>
      <c r="GI180" s="60"/>
      <c r="GJ180" s="16"/>
      <c r="GK180" s="16"/>
      <c r="GL180" s="16"/>
      <c r="GM180" s="16"/>
      <c r="GN180" s="16"/>
      <c r="GO180" s="17"/>
      <c r="GS180" s="24"/>
      <c r="GT180" s="60"/>
      <c r="GU180" s="16"/>
      <c r="GV180" s="16"/>
      <c r="GW180" s="16"/>
      <c r="GX180" s="16"/>
      <c r="GY180" s="16"/>
      <c r="GZ180" s="17"/>
      <c r="HD180" s="24"/>
      <c r="HE180" s="60"/>
      <c r="HF180" s="16"/>
      <c r="HG180" s="16"/>
      <c r="HH180" s="16"/>
      <c r="HI180" s="16"/>
      <c r="HJ180" s="16"/>
      <c r="HK180" s="17"/>
      <c r="HO180" s="24"/>
      <c r="HP180" s="60"/>
      <c r="HQ180" s="16"/>
      <c r="HR180" s="16"/>
      <c r="HS180" s="16"/>
      <c r="HT180" s="16"/>
      <c r="HU180" s="16"/>
      <c r="HV180" s="17"/>
      <c r="HZ180" s="24"/>
      <c r="IA180" s="60"/>
      <c r="IB180" s="16"/>
      <c r="IC180" s="16"/>
      <c r="ID180" s="16"/>
      <c r="IE180" s="16"/>
      <c r="IF180" s="16"/>
      <c r="IG180" s="17"/>
      <c r="IK180" s="24"/>
      <c r="IL180" s="60"/>
      <c r="IM180" s="16"/>
      <c r="IN180" s="16"/>
      <c r="IO180" s="16"/>
      <c r="IP180" s="16"/>
      <c r="IQ180" s="16"/>
      <c r="IR180" s="17"/>
      <c r="IV180" s="24"/>
      <c r="IW180" s="60"/>
      <c r="IX180" s="16"/>
      <c r="IY180" s="16"/>
      <c r="IZ180" s="16"/>
      <c r="JA180" s="16"/>
      <c r="JB180" s="16"/>
      <c r="JC180" s="17"/>
      <c r="JG180" s="24"/>
      <c r="JH180" s="60"/>
      <c r="JI180" s="16"/>
      <c r="JJ180" s="16"/>
      <c r="JK180" s="16"/>
      <c r="JL180" s="16"/>
      <c r="JM180" s="16"/>
      <c r="JN180" s="17"/>
      <c r="JR180" s="24"/>
      <c r="JS180" s="60"/>
      <c r="JT180" s="16"/>
      <c r="JU180" s="16"/>
      <c r="JV180" s="16"/>
      <c r="JW180" s="16"/>
      <c r="JX180" s="16"/>
      <c r="JY180" s="17"/>
      <c r="KC180" s="24"/>
      <c r="KD180" s="60"/>
      <c r="KE180" s="16"/>
      <c r="KF180" s="16"/>
      <c r="KG180" s="16"/>
      <c r="KH180" s="16"/>
      <c r="KI180" s="16"/>
      <c r="KJ180" s="17"/>
      <c r="KN180" s="24"/>
      <c r="KO180" s="60"/>
      <c r="KP180" s="16"/>
      <c r="KQ180" s="16"/>
      <c r="KR180" s="16"/>
      <c r="KS180" s="16"/>
      <c r="KT180" s="16"/>
      <c r="KU180" s="17"/>
      <c r="KY180" s="24"/>
      <c r="KZ180" s="60"/>
      <c r="LA180" s="16"/>
      <c r="LB180" s="16"/>
      <c r="LC180" s="16"/>
      <c r="LD180" s="16"/>
      <c r="LE180" s="16"/>
      <c r="LF180" s="17"/>
      <c r="LJ180" s="24"/>
      <c r="LK180" s="60"/>
      <c r="LL180" s="16"/>
      <c r="LM180" s="16"/>
      <c r="LN180" s="16"/>
      <c r="LO180" s="16"/>
      <c r="LP180" s="16"/>
      <c r="LQ180" s="17"/>
    </row>
    <row r="181">
      <c r="C181" s="31"/>
      <c r="D181" s="61"/>
      <c r="E181" s="16"/>
      <c r="F181" s="16"/>
      <c r="G181" s="21"/>
      <c r="H181" s="16"/>
      <c r="I181" s="16"/>
      <c r="J181" s="17"/>
      <c r="N181" s="17"/>
      <c r="O181" s="61"/>
      <c r="P181" s="16"/>
      <c r="Q181" s="16"/>
      <c r="R181" s="16"/>
      <c r="S181" s="16"/>
      <c r="T181" s="16"/>
      <c r="U181" s="17"/>
      <c r="Y181" s="24"/>
      <c r="Z181" s="61"/>
      <c r="AA181" s="16"/>
      <c r="AB181" s="16"/>
      <c r="AC181" s="16"/>
      <c r="AD181" s="16"/>
      <c r="AE181" s="16"/>
      <c r="AF181" s="17"/>
      <c r="AJ181" s="24"/>
      <c r="AK181" s="61"/>
      <c r="AL181" s="16"/>
      <c r="AM181" s="16"/>
      <c r="AN181" s="16"/>
      <c r="AO181" s="16"/>
      <c r="AP181" s="16"/>
      <c r="AQ181" s="17"/>
      <c r="AU181" s="24"/>
      <c r="AV181" s="61"/>
      <c r="AW181" s="16"/>
      <c r="AX181" s="16"/>
      <c r="AY181" s="16"/>
      <c r="AZ181" s="16"/>
      <c r="BA181" s="16"/>
      <c r="BB181" s="17"/>
      <c r="BF181" s="24"/>
      <c r="BG181" s="61"/>
      <c r="BH181" s="16"/>
      <c r="BI181" s="16"/>
      <c r="BJ181" s="16"/>
      <c r="BK181" s="16"/>
      <c r="BL181" s="16"/>
      <c r="BM181" s="17"/>
      <c r="BQ181" s="24"/>
      <c r="BR181" s="61"/>
      <c r="BS181" s="16"/>
      <c r="BT181" s="16"/>
      <c r="BU181" s="16"/>
      <c r="BV181" s="16"/>
      <c r="BW181" s="16"/>
      <c r="BX181" s="17"/>
      <c r="CB181" s="24"/>
      <c r="CC181" s="61"/>
      <c r="CD181" s="16"/>
      <c r="CE181" s="16"/>
      <c r="CF181" s="16"/>
      <c r="CG181" s="16"/>
      <c r="CH181" s="16"/>
      <c r="CI181" s="17"/>
      <c r="CM181" s="24"/>
      <c r="CN181" s="61"/>
      <c r="CO181" s="16"/>
      <c r="CP181" s="16"/>
      <c r="CQ181" s="16"/>
      <c r="CR181" s="16"/>
      <c r="CS181" s="16"/>
      <c r="CT181" s="17"/>
      <c r="CX181" s="24"/>
      <c r="CY181" s="60"/>
      <c r="CZ181" s="16"/>
      <c r="DA181" s="16"/>
      <c r="DB181" s="16"/>
      <c r="DC181" s="16"/>
      <c r="DD181" s="16"/>
      <c r="DE181" s="17"/>
      <c r="DI181" s="24"/>
      <c r="DJ181" s="60"/>
      <c r="DK181" s="16"/>
      <c r="DL181" s="16"/>
      <c r="DM181" s="16"/>
      <c r="DN181" s="16"/>
      <c r="DO181" s="16"/>
      <c r="DP181" s="17"/>
      <c r="DT181" s="24"/>
      <c r="DU181" s="60"/>
      <c r="DV181" s="16"/>
      <c r="DW181" s="16"/>
      <c r="DX181" s="16"/>
      <c r="DY181" s="16"/>
      <c r="DZ181" s="16"/>
      <c r="EA181" s="17"/>
      <c r="EE181" s="24"/>
      <c r="EF181" s="60"/>
      <c r="EG181" s="16"/>
      <c r="EH181" s="16"/>
      <c r="EI181" s="16"/>
      <c r="EJ181" s="16"/>
      <c r="EK181" s="16"/>
      <c r="EL181" s="17"/>
      <c r="EP181" s="24"/>
      <c r="EQ181" s="60"/>
      <c r="ER181" s="16"/>
      <c r="ES181" s="16"/>
      <c r="ET181" s="16"/>
      <c r="EU181" s="16"/>
      <c r="EV181" s="16"/>
      <c r="EW181" s="17"/>
      <c r="FA181" s="24"/>
      <c r="FB181" s="60"/>
      <c r="FC181" s="16"/>
      <c r="FD181" s="16"/>
      <c r="FE181" s="16"/>
      <c r="FF181" s="16"/>
      <c r="FG181" s="16"/>
      <c r="FH181" s="17"/>
      <c r="FL181" s="24"/>
      <c r="FM181" s="60"/>
      <c r="FN181" s="16"/>
      <c r="FO181" s="16"/>
      <c r="FP181" s="16"/>
      <c r="FQ181" s="16"/>
      <c r="FR181" s="16"/>
      <c r="FS181" s="17"/>
      <c r="FW181" s="24"/>
      <c r="FX181" s="60"/>
      <c r="FY181" s="16"/>
      <c r="FZ181" s="16"/>
      <c r="GA181" s="16"/>
      <c r="GB181" s="16"/>
      <c r="GC181" s="16"/>
      <c r="GD181" s="17"/>
      <c r="GH181" s="24"/>
      <c r="GI181" s="60"/>
      <c r="GJ181" s="16"/>
      <c r="GK181" s="16"/>
      <c r="GL181" s="16"/>
      <c r="GM181" s="16"/>
      <c r="GN181" s="16"/>
      <c r="GO181" s="17"/>
      <c r="GS181" s="24"/>
      <c r="GT181" s="60"/>
      <c r="GU181" s="16"/>
      <c r="GV181" s="16"/>
      <c r="GW181" s="16"/>
      <c r="GX181" s="16"/>
      <c r="GY181" s="16"/>
      <c r="GZ181" s="17"/>
      <c r="HD181" s="24"/>
      <c r="HE181" s="60"/>
      <c r="HF181" s="16"/>
      <c r="HG181" s="16"/>
      <c r="HH181" s="16"/>
      <c r="HI181" s="16"/>
      <c r="HJ181" s="16"/>
      <c r="HK181" s="17"/>
      <c r="HO181" s="24"/>
      <c r="HP181" s="60"/>
      <c r="HQ181" s="16"/>
      <c r="HR181" s="16"/>
      <c r="HS181" s="16"/>
      <c r="HT181" s="16"/>
      <c r="HU181" s="16"/>
      <c r="HV181" s="17"/>
      <c r="HZ181" s="24"/>
      <c r="IA181" s="60"/>
      <c r="IB181" s="16"/>
      <c r="IC181" s="16"/>
      <c r="ID181" s="16"/>
      <c r="IE181" s="16"/>
      <c r="IF181" s="16"/>
      <c r="IG181" s="17"/>
      <c r="IK181" s="24"/>
      <c r="IL181" s="60"/>
      <c r="IM181" s="16"/>
      <c r="IN181" s="16"/>
      <c r="IO181" s="16"/>
      <c r="IP181" s="16"/>
      <c r="IQ181" s="16"/>
      <c r="IR181" s="17"/>
      <c r="IV181" s="24"/>
      <c r="IW181" s="60"/>
      <c r="IX181" s="16"/>
      <c r="IY181" s="16"/>
      <c r="IZ181" s="16"/>
      <c r="JA181" s="16"/>
      <c r="JB181" s="16"/>
      <c r="JC181" s="17"/>
      <c r="JG181" s="24"/>
      <c r="JH181" s="60"/>
      <c r="JI181" s="16"/>
      <c r="JJ181" s="16"/>
      <c r="JK181" s="16"/>
      <c r="JL181" s="16"/>
      <c r="JM181" s="16"/>
      <c r="JN181" s="17"/>
      <c r="JR181" s="24"/>
      <c r="JS181" s="60"/>
      <c r="JT181" s="16"/>
      <c r="JU181" s="16"/>
      <c r="JV181" s="16"/>
      <c r="JW181" s="16"/>
      <c r="JX181" s="16"/>
      <c r="JY181" s="17"/>
      <c r="KC181" s="24"/>
      <c r="KD181" s="60"/>
      <c r="KE181" s="16"/>
      <c r="KF181" s="16"/>
      <c r="KG181" s="16"/>
      <c r="KH181" s="16"/>
      <c r="KI181" s="16"/>
      <c r="KJ181" s="17"/>
      <c r="KN181" s="24"/>
      <c r="KO181" s="60"/>
      <c r="KP181" s="16"/>
      <c r="KQ181" s="16"/>
      <c r="KR181" s="16"/>
      <c r="KS181" s="16"/>
      <c r="KT181" s="16"/>
      <c r="KU181" s="17"/>
      <c r="KY181" s="24"/>
      <c r="KZ181" s="60"/>
      <c r="LA181" s="16"/>
      <c r="LB181" s="16"/>
      <c r="LC181" s="16"/>
      <c r="LD181" s="16"/>
      <c r="LE181" s="16"/>
      <c r="LF181" s="17"/>
      <c r="LJ181" s="24"/>
      <c r="LK181" s="60"/>
      <c r="LL181" s="16"/>
      <c r="LM181" s="16"/>
      <c r="LN181" s="16"/>
      <c r="LO181" s="16"/>
      <c r="LP181" s="16"/>
      <c r="LQ181" s="17"/>
    </row>
    <row r="182">
      <c r="C182" s="31"/>
      <c r="D182" s="61"/>
      <c r="E182" s="16"/>
      <c r="F182" s="16"/>
      <c r="G182" s="21"/>
      <c r="H182" s="16"/>
      <c r="I182" s="16"/>
      <c r="J182" s="17"/>
      <c r="N182" s="17"/>
      <c r="O182" s="61"/>
      <c r="P182" s="16"/>
      <c r="Q182" s="16"/>
      <c r="R182" s="16"/>
      <c r="S182" s="16"/>
      <c r="T182" s="16"/>
      <c r="U182" s="17"/>
      <c r="Y182" s="24"/>
      <c r="Z182" s="61"/>
      <c r="AA182" s="16"/>
      <c r="AB182" s="16"/>
      <c r="AC182" s="16"/>
      <c r="AD182" s="16"/>
      <c r="AE182" s="16"/>
      <c r="AF182" s="17"/>
      <c r="AJ182" s="24"/>
      <c r="AK182" s="61"/>
      <c r="AL182" s="16"/>
      <c r="AM182" s="16"/>
      <c r="AN182" s="16"/>
      <c r="AO182" s="16"/>
      <c r="AP182" s="16"/>
      <c r="AQ182" s="17"/>
      <c r="AU182" s="24"/>
      <c r="AV182" s="61"/>
      <c r="AW182" s="16"/>
      <c r="AX182" s="16"/>
      <c r="AY182" s="16"/>
      <c r="AZ182" s="16"/>
      <c r="BA182" s="16"/>
      <c r="BB182" s="17"/>
      <c r="BF182" s="24"/>
      <c r="BG182" s="61"/>
      <c r="BH182" s="16"/>
      <c r="BI182" s="16"/>
      <c r="BJ182" s="16"/>
      <c r="BK182" s="16"/>
      <c r="BL182" s="16"/>
      <c r="BM182" s="17"/>
      <c r="BQ182" s="24"/>
      <c r="BR182" s="61"/>
      <c r="BS182" s="16"/>
      <c r="BT182" s="16"/>
      <c r="BU182" s="16"/>
      <c r="BV182" s="16"/>
      <c r="BW182" s="16"/>
      <c r="BX182" s="17"/>
      <c r="CB182" s="24"/>
      <c r="CC182" s="61"/>
      <c r="CD182" s="16"/>
      <c r="CE182" s="16"/>
      <c r="CF182" s="16"/>
      <c r="CG182" s="16"/>
      <c r="CH182" s="16"/>
      <c r="CI182" s="17"/>
      <c r="CM182" s="24"/>
      <c r="CN182" s="61"/>
      <c r="CO182" s="16"/>
      <c r="CP182" s="16"/>
      <c r="CQ182" s="16"/>
      <c r="CR182" s="16"/>
      <c r="CS182" s="16"/>
      <c r="CT182" s="17"/>
      <c r="CX182" s="24"/>
      <c r="CY182" s="60"/>
      <c r="CZ182" s="16"/>
      <c r="DA182" s="16"/>
      <c r="DB182" s="16"/>
      <c r="DC182" s="16"/>
      <c r="DD182" s="16"/>
      <c r="DE182" s="17"/>
      <c r="DI182" s="24"/>
      <c r="DJ182" s="60"/>
      <c r="DK182" s="16"/>
      <c r="DL182" s="16"/>
      <c r="DM182" s="16"/>
      <c r="DN182" s="16"/>
      <c r="DO182" s="16"/>
      <c r="DP182" s="17"/>
      <c r="DT182" s="24"/>
      <c r="DU182" s="60"/>
      <c r="DV182" s="16"/>
      <c r="DW182" s="16"/>
      <c r="DX182" s="16"/>
      <c r="DY182" s="16"/>
      <c r="DZ182" s="16"/>
      <c r="EA182" s="17"/>
      <c r="EE182" s="24"/>
      <c r="EF182" s="60"/>
      <c r="EG182" s="16"/>
      <c r="EH182" s="16"/>
      <c r="EI182" s="16"/>
      <c r="EJ182" s="16"/>
      <c r="EK182" s="16"/>
      <c r="EL182" s="17"/>
      <c r="EP182" s="24"/>
      <c r="EQ182" s="60"/>
      <c r="ER182" s="16"/>
      <c r="ES182" s="16"/>
      <c r="ET182" s="16"/>
      <c r="EU182" s="16"/>
      <c r="EV182" s="16"/>
      <c r="EW182" s="17"/>
      <c r="FA182" s="24"/>
      <c r="FB182" s="60"/>
      <c r="FC182" s="16"/>
      <c r="FD182" s="16"/>
      <c r="FE182" s="16"/>
      <c r="FF182" s="16"/>
      <c r="FG182" s="16"/>
      <c r="FH182" s="17"/>
      <c r="FL182" s="24"/>
      <c r="FM182" s="60"/>
      <c r="FN182" s="16"/>
      <c r="FO182" s="16"/>
      <c r="FP182" s="16"/>
      <c r="FQ182" s="16"/>
      <c r="FR182" s="16"/>
      <c r="FS182" s="17"/>
      <c r="FW182" s="24"/>
      <c r="FX182" s="60"/>
      <c r="FY182" s="16"/>
      <c r="FZ182" s="16"/>
      <c r="GA182" s="16"/>
      <c r="GB182" s="16"/>
      <c r="GC182" s="16"/>
      <c r="GD182" s="17"/>
      <c r="GH182" s="24"/>
      <c r="GI182" s="60"/>
      <c r="GJ182" s="16"/>
      <c r="GK182" s="16"/>
      <c r="GL182" s="16"/>
      <c r="GM182" s="16"/>
      <c r="GN182" s="16"/>
      <c r="GO182" s="17"/>
      <c r="GS182" s="24"/>
      <c r="GT182" s="60"/>
      <c r="GU182" s="16"/>
      <c r="GV182" s="16"/>
      <c r="GW182" s="16"/>
      <c r="GX182" s="16"/>
      <c r="GY182" s="16"/>
      <c r="GZ182" s="17"/>
      <c r="HD182" s="24"/>
      <c r="HE182" s="60"/>
      <c r="HF182" s="16"/>
      <c r="HG182" s="16"/>
      <c r="HH182" s="16"/>
      <c r="HI182" s="16"/>
      <c r="HJ182" s="16"/>
      <c r="HK182" s="17"/>
      <c r="HO182" s="24"/>
      <c r="HP182" s="60"/>
      <c r="HQ182" s="16"/>
      <c r="HR182" s="16"/>
      <c r="HS182" s="16"/>
      <c r="HT182" s="16"/>
      <c r="HU182" s="16"/>
      <c r="HV182" s="17"/>
      <c r="HZ182" s="24"/>
      <c r="IA182" s="60"/>
      <c r="IB182" s="16"/>
      <c r="IC182" s="16"/>
      <c r="ID182" s="16"/>
      <c r="IE182" s="16"/>
      <c r="IF182" s="16"/>
      <c r="IG182" s="17"/>
      <c r="IK182" s="24"/>
      <c r="IL182" s="60"/>
      <c r="IM182" s="16"/>
      <c r="IN182" s="16"/>
      <c r="IO182" s="16"/>
      <c r="IP182" s="16"/>
      <c r="IQ182" s="16"/>
      <c r="IR182" s="17"/>
      <c r="IV182" s="24"/>
      <c r="IW182" s="60"/>
      <c r="IX182" s="16"/>
      <c r="IY182" s="16"/>
      <c r="IZ182" s="16"/>
      <c r="JA182" s="16"/>
      <c r="JB182" s="16"/>
      <c r="JC182" s="17"/>
      <c r="JG182" s="24"/>
      <c r="JH182" s="60"/>
      <c r="JI182" s="16"/>
      <c r="JJ182" s="16"/>
      <c r="JK182" s="16"/>
      <c r="JL182" s="16"/>
      <c r="JM182" s="16"/>
      <c r="JN182" s="17"/>
      <c r="JR182" s="24"/>
      <c r="JS182" s="60"/>
      <c r="JT182" s="16"/>
      <c r="JU182" s="16"/>
      <c r="JV182" s="16"/>
      <c r="JW182" s="16"/>
      <c r="JX182" s="16"/>
      <c r="JY182" s="17"/>
      <c r="KC182" s="24"/>
      <c r="KD182" s="60"/>
      <c r="KE182" s="16"/>
      <c r="KF182" s="16"/>
      <c r="KG182" s="16"/>
      <c r="KH182" s="16"/>
      <c r="KI182" s="16"/>
      <c r="KJ182" s="17"/>
      <c r="KN182" s="24"/>
      <c r="KO182" s="60"/>
      <c r="KP182" s="16"/>
      <c r="KQ182" s="16"/>
      <c r="KR182" s="16"/>
      <c r="KS182" s="16"/>
      <c r="KT182" s="16"/>
      <c r="KU182" s="17"/>
      <c r="KY182" s="24"/>
      <c r="KZ182" s="60"/>
      <c r="LA182" s="16"/>
      <c r="LB182" s="16"/>
      <c r="LC182" s="16"/>
      <c r="LD182" s="16"/>
      <c r="LE182" s="16"/>
      <c r="LF182" s="17"/>
      <c r="LJ182" s="24"/>
      <c r="LK182" s="60"/>
      <c r="LL182" s="16"/>
      <c r="LM182" s="16"/>
      <c r="LN182" s="16"/>
      <c r="LO182" s="16"/>
      <c r="LP182" s="16"/>
      <c r="LQ182" s="17"/>
    </row>
    <row r="183">
      <c r="C183" s="31"/>
      <c r="D183" s="61"/>
      <c r="E183" s="16"/>
      <c r="F183" s="16"/>
      <c r="G183" s="21"/>
      <c r="H183" s="16"/>
      <c r="I183" s="16"/>
      <c r="J183" s="17"/>
      <c r="N183" s="17"/>
      <c r="O183" s="61"/>
      <c r="P183" s="16"/>
      <c r="Q183" s="16"/>
      <c r="R183" s="16"/>
      <c r="S183" s="16"/>
      <c r="T183" s="16"/>
      <c r="U183" s="17"/>
      <c r="Y183" s="24"/>
      <c r="Z183" s="61"/>
      <c r="AA183" s="16"/>
      <c r="AB183" s="16"/>
      <c r="AC183" s="16"/>
      <c r="AD183" s="16"/>
      <c r="AE183" s="16"/>
      <c r="AF183" s="17"/>
      <c r="AJ183" s="24"/>
      <c r="AK183" s="61"/>
      <c r="AL183" s="16"/>
      <c r="AM183" s="16"/>
      <c r="AN183" s="16"/>
      <c r="AO183" s="16"/>
      <c r="AP183" s="16"/>
      <c r="AQ183" s="17"/>
      <c r="AU183" s="24"/>
      <c r="AV183" s="61"/>
      <c r="AW183" s="16"/>
      <c r="AX183" s="16"/>
      <c r="AY183" s="16"/>
      <c r="AZ183" s="16"/>
      <c r="BA183" s="16"/>
      <c r="BB183" s="17"/>
      <c r="BF183" s="24"/>
      <c r="BG183" s="61"/>
      <c r="BH183" s="16"/>
      <c r="BI183" s="16"/>
      <c r="BJ183" s="16"/>
      <c r="BK183" s="16"/>
      <c r="BL183" s="16"/>
      <c r="BM183" s="17"/>
      <c r="BQ183" s="24"/>
      <c r="BR183" s="61"/>
      <c r="BS183" s="16"/>
      <c r="BT183" s="16"/>
      <c r="BU183" s="16"/>
      <c r="BV183" s="16"/>
      <c r="BW183" s="16"/>
      <c r="BX183" s="17"/>
      <c r="CB183" s="24"/>
      <c r="CC183" s="61"/>
      <c r="CD183" s="16"/>
      <c r="CE183" s="16"/>
      <c r="CF183" s="16"/>
      <c r="CG183" s="16"/>
      <c r="CH183" s="16"/>
      <c r="CI183" s="17"/>
      <c r="CM183" s="24"/>
      <c r="CN183" s="61"/>
      <c r="CO183" s="16"/>
      <c r="CP183" s="16"/>
      <c r="CQ183" s="16"/>
      <c r="CR183" s="16"/>
      <c r="CS183" s="16"/>
      <c r="CT183" s="17"/>
      <c r="CX183" s="24"/>
      <c r="CY183" s="60"/>
      <c r="CZ183" s="16"/>
      <c r="DA183" s="16"/>
      <c r="DB183" s="16"/>
      <c r="DC183" s="16"/>
      <c r="DD183" s="16"/>
      <c r="DE183" s="17"/>
      <c r="DI183" s="24"/>
      <c r="DJ183" s="60"/>
      <c r="DK183" s="16"/>
      <c r="DL183" s="16"/>
      <c r="DM183" s="16"/>
      <c r="DN183" s="16"/>
      <c r="DO183" s="16"/>
      <c r="DP183" s="17"/>
      <c r="DT183" s="24"/>
      <c r="DU183" s="60"/>
      <c r="DV183" s="16"/>
      <c r="DW183" s="16"/>
      <c r="DX183" s="16"/>
      <c r="DY183" s="16"/>
      <c r="DZ183" s="16"/>
      <c r="EA183" s="17"/>
      <c r="EE183" s="24"/>
      <c r="EF183" s="60"/>
      <c r="EG183" s="16"/>
      <c r="EH183" s="16"/>
      <c r="EI183" s="16"/>
      <c r="EJ183" s="16"/>
      <c r="EK183" s="16"/>
      <c r="EL183" s="17"/>
      <c r="EP183" s="24"/>
      <c r="EQ183" s="60"/>
      <c r="ER183" s="16"/>
      <c r="ES183" s="16"/>
      <c r="ET183" s="16"/>
      <c r="EU183" s="16"/>
      <c r="EV183" s="16"/>
      <c r="EW183" s="17"/>
      <c r="FA183" s="24"/>
      <c r="FB183" s="60"/>
      <c r="FC183" s="16"/>
      <c r="FD183" s="16"/>
      <c r="FE183" s="16"/>
      <c r="FF183" s="16"/>
      <c r="FG183" s="16"/>
      <c r="FH183" s="17"/>
      <c r="FL183" s="24"/>
      <c r="FM183" s="60"/>
      <c r="FN183" s="16"/>
      <c r="FO183" s="16"/>
      <c r="FP183" s="16"/>
      <c r="FQ183" s="16"/>
      <c r="FR183" s="16"/>
      <c r="FS183" s="17"/>
      <c r="FW183" s="24"/>
      <c r="FX183" s="60"/>
      <c r="FY183" s="16"/>
      <c r="FZ183" s="16"/>
      <c r="GA183" s="16"/>
      <c r="GB183" s="16"/>
      <c r="GC183" s="16"/>
      <c r="GD183" s="17"/>
      <c r="GH183" s="24"/>
      <c r="GI183" s="60"/>
      <c r="GJ183" s="16"/>
      <c r="GK183" s="16"/>
      <c r="GL183" s="16"/>
      <c r="GM183" s="16"/>
      <c r="GN183" s="16"/>
      <c r="GO183" s="17"/>
      <c r="GS183" s="24"/>
      <c r="GT183" s="60"/>
      <c r="GU183" s="16"/>
      <c r="GV183" s="16"/>
      <c r="GW183" s="16"/>
      <c r="GX183" s="16"/>
      <c r="GY183" s="16"/>
      <c r="GZ183" s="17"/>
      <c r="HD183" s="24"/>
      <c r="HE183" s="60"/>
      <c r="HF183" s="16"/>
      <c r="HG183" s="16"/>
      <c r="HH183" s="16"/>
      <c r="HI183" s="16"/>
      <c r="HJ183" s="16"/>
      <c r="HK183" s="17"/>
      <c r="HO183" s="24"/>
      <c r="HP183" s="60"/>
      <c r="HQ183" s="16"/>
      <c r="HR183" s="16"/>
      <c r="HS183" s="16"/>
      <c r="HT183" s="16"/>
      <c r="HU183" s="16"/>
      <c r="HV183" s="17"/>
      <c r="HZ183" s="24"/>
      <c r="IA183" s="60"/>
      <c r="IB183" s="16"/>
      <c r="IC183" s="16"/>
      <c r="ID183" s="16"/>
      <c r="IE183" s="16"/>
      <c r="IF183" s="16"/>
      <c r="IG183" s="17"/>
      <c r="IK183" s="24"/>
      <c r="IL183" s="60"/>
      <c r="IM183" s="16"/>
      <c r="IN183" s="16"/>
      <c r="IO183" s="16"/>
      <c r="IP183" s="16"/>
      <c r="IQ183" s="16"/>
      <c r="IR183" s="17"/>
      <c r="IV183" s="24"/>
      <c r="IW183" s="60"/>
      <c r="IX183" s="16"/>
      <c r="IY183" s="16"/>
      <c r="IZ183" s="16"/>
      <c r="JA183" s="16"/>
      <c r="JB183" s="16"/>
      <c r="JC183" s="17"/>
      <c r="JG183" s="24"/>
      <c r="JH183" s="60"/>
      <c r="JI183" s="16"/>
      <c r="JJ183" s="16"/>
      <c r="JK183" s="16"/>
      <c r="JL183" s="16"/>
      <c r="JM183" s="16"/>
      <c r="JN183" s="17"/>
      <c r="JR183" s="24"/>
      <c r="JS183" s="60"/>
      <c r="JT183" s="16"/>
      <c r="JU183" s="16"/>
      <c r="JV183" s="16"/>
      <c r="JW183" s="16"/>
      <c r="JX183" s="16"/>
      <c r="JY183" s="17"/>
      <c r="KC183" s="24"/>
      <c r="KD183" s="60"/>
      <c r="KE183" s="16"/>
      <c r="KF183" s="16"/>
      <c r="KG183" s="16"/>
      <c r="KH183" s="16"/>
      <c r="KI183" s="16"/>
      <c r="KJ183" s="17"/>
      <c r="KN183" s="24"/>
      <c r="KO183" s="60"/>
      <c r="KP183" s="16"/>
      <c r="KQ183" s="16"/>
      <c r="KR183" s="16"/>
      <c r="KS183" s="16"/>
      <c r="KT183" s="16"/>
      <c r="KU183" s="17"/>
      <c r="KY183" s="24"/>
      <c r="KZ183" s="60"/>
      <c r="LA183" s="16"/>
      <c r="LB183" s="16"/>
      <c r="LC183" s="16"/>
      <c r="LD183" s="16"/>
      <c r="LE183" s="16"/>
      <c r="LF183" s="17"/>
      <c r="LJ183" s="24"/>
      <c r="LK183" s="60"/>
      <c r="LL183" s="16"/>
      <c r="LM183" s="16"/>
      <c r="LN183" s="16"/>
      <c r="LO183" s="16"/>
      <c r="LP183" s="16"/>
      <c r="LQ183" s="17"/>
    </row>
    <row r="184">
      <c r="C184" s="31"/>
      <c r="D184" s="61"/>
      <c r="E184" s="16"/>
      <c r="F184" s="16"/>
      <c r="G184" s="21"/>
      <c r="H184" s="16"/>
      <c r="I184" s="16"/>
      <c r="J184" s="17"/>
      <c r="N184" s="17"/>
      <c r="O184" s="61"/>
      <c r="P184" s="16"/>
      <c r="Q184" s="16"/>
      <c r="R184" s="16"/>
      <c r="S184" s="16"/>
      <c r="T184" s="16"/>
      <c r="U184" s="17"/>
      <c r="Y184" s="24"/>
      <c r="Z184" s="61"/>
      <c r="AA184" s="16"/>
      <c r="AB184" s="16"/>
      <c r="AC184" s="16"/>
      <c r="AD184" s="16"/>
      <c r="AE184" s="16"/>
      <c r="AF184" s="17"/>
      <c r="AJ184" s="24"/>
      <c r="AK184" s="61"/>
      <c r="AL184" s="16"/>
      <c r="AM184" s="16"/>
      <c r="AN184" s="16"/>
      <c r="AO184" s="16"/>
      <c r="AP184" s="16"/>
      <c r="AQ184" s="17"/>
      <c r="AU184" s="24"/>
      <c r="AV184" s="61"/>
      <c r="AW184" s="16"/>
      <c r="AX184" s="16"/>
      <c r="AY184" s="16"/>
      <c r="AZ184" s="16"/>
      <c r="BA184" s="16"/>
      <c r="BB184" s="17"/>
      <c r="BF184" s="24"/>
      <c r="BG184" s="61"/>
      <c r="BH184" s="16"/>
      <c r="BI184" s="16"/>
      <c r="BJ184" s="16"/>
      <c r="BK184" s="16"/>
      <c r="BL184" s="16"/>
      <c r="BM184" s="17"/>
      <c r="BQ184" s="24"/>
      <c r="BR184" s="61"/>
      <c r="BS184" s="16"/>
      <c r="BT184" s="16"/>
      <c r="BU184" s="16"/>
      <c r="BV184" s="16"/>
      <c r="BW184" s="16"/>
      <c r="BX184" s="17"/>
      <c r="CB184" s="24"/>
      <c r="CC184" s="61"/>
      <c r="CD184" s="16"/>
      <c r="CE184" s="16"/>
      <c r="CF184" s="16"/>
      <c r="CG184" s="16"/>
      <c r="CH184" s="16"/>
      <c r="CI184" s="17"/>
      <c r="CM184" s="24"/>
      <c r="CN184" s="61"/>
      <c r="CO184" s="16"/>
      <c r="CP184" s="16"/>
      <c r="CQ184" s="16"/>
      <c r="CR184" s="16"/>
      <c r="CS184" s="16"/>
      <c r="CT184" s="17"/>
      <c r="CX184" s="24"/>
      <c r="CY184" s="60"/>
      <c r="CZ184" s="16"/>
      <c r="DA184" s="16"/>
      <c r="DB184" s="16"/>
      <c r="DC184" s="16"/>
      <c r="DD184" s="16"/>
      <c r="DE184" s="17"/>
      <c r="DI184" s="24"/>
      <c r="DJ184" s="60"/>
      <c r="DK184" s="16"/>
      <c r="DL184" s="16"/>
      <c r="DM184" s="16"/>
      <c r="DN184" s="16"/>
      <c r="DO184" s="16"/>
      <c r="DP184" s="17"/>
      <c r="DT184" s="24"/>
      <c r="DU184" s="60"/>
      <c r="DV184" s="16"/>
      <c r="DW184" s="16"/>
      <c r="DX184" s="16"/>
      <c r="DY184" s="16"/>
      <c r="DZ184" s="16"/>
      <c r="EA184" s="17"/>
      <c r="EE184" s="24"/>
      <c r="EF184" s="60"/>
      <c r="EG184" s="16"/>
      <c r="EH184" s="16"/>
      <c r="EI184" s="16"/>
      <c r="EJ184" s="16"/>
      <c r="EK184" s="16"/>
      <c r="EL184" s="17"/>
      <c r="EP184" s="24"/>
      <c r="EQ184" s="60"/>
      <c r="ER184" s="16"/>
      <c r="ES184" s="16"/>
      <c r="ET184" s="16"/>
      <c r="EU184" s="16"/>
      <c r="EV184" s="16"/>
      <c r="EW184" s="17"/>
      <c r="FA184" s="24"/>
      <c r="FB184" s="60"/>
      <c r="FC184" s="16"/>
      <c r="FD184" s="16"/>
      <c r="FE184" s="16"/>
      <c r="FF184" s="16"/>
      <c r="FG184" s="16"/>
      <c r="FH184" s="17"/>
      <c r="FL184" s="24"/>
      <c r="FM184" s="60"/>
      <c r="FN184" s="16"/>
      <c r="FO184" s="16"/>
      <c r="FP184" s="16"/>
      <c r="FQ184" s="16"/>
      <c r="FR184" s="16"/>
      <c r="FS184" s="17"/>
      <c r="FW184" s="24"/>
      <c r="FX184" s="60"/>
      <c r="FY184" s="16"/>
      <c r="FZ184" s="16"/>
      <c r="GA184" s="16"/>
      <c r="GB184" s="16"/>
      <c r="GC184" s="16"/>
      <c r="GD184" s="17"/>
      <c r="GH184" s="24"/>
      <c r="GI184" s="60"/>
      <c r="GJ184" s="16"/>
      <c r="GK184" s="16"/>
      <c r="GL184" s="16"/>
      <c r="GM184" s="16"/>
      <c r="GN184" s="16"/>
      <c r="GO184" s="17"/>
      <c r="GS184" s="24"/>
      <c r="GT184" s="60"/>
      <c r="GU184" s="16"/>
      <c r="GV184" s="16"/>
      <c r="GW184" s="16"/>
      <c r="GX184" s="16"/>
      <c r="GY184" s="16"/>
      <c r="GZ184" s="17"/>
      <c r="HD184" s="24"/>
      <c r="HE184" s="60"/>
      <c r="HF184" s="16"/>
      <c r="HG184" s="16"/>
      <c r="HH184" s="16"/>
      <c r="HI184" s="16"/>
      <c r="HJ184" s="16"/>
      <c r="HK184" s="17"/>
      <c r="HO184" s="24"/>
      <c r="HP184" s="60"/>
      <c r="HQ184" s="16"/>
      <c r="HR184" s="16"/>
      <c r="HS184" s="16"/>
      <c r="HT184" s="16"/>
      <c r="HU184" s="16"/>
      <c r="HV184" s="17"/>
      <c r="HZ184" s="24"/>
      <c r="IA184" s="60"/>
      <c r="IB184" s="16"/>
      <c r="IC184" s="16"/>
      <c r="ID184" s="16"/>
      <c r="IE184" s="16"/>
      <c r="IF184" s="16"/>
      <c r="IG184" s="17"/>
      <c r="IK184" s="24"/>
      <c r="IL184" s="60"/>
      <c r="IM184" s="16"/>
      <c r="IN184" s="16"/>
      <c r="IO184" s="16"/>
      <c r="IP184" s="16"/>
      <c r="IQ184" s="16"/>
      <c r="IR184" s="17"/>
      <c r="IV184" s="24"/>
      <c r="IW184" s="60"/>
      <c r="IX184" s="16"/>
      <c r="IY184" s="16"/>
      <c r="IZ184" s="16"/>
      <c r="JA184" s="16"/>
      <c r="JB184" s="16"/>
      <c r="JC184" s="17"/>
      <c r="JG184" s="24"/>
      <c r="JH184" s="60"/>
      <c r="JI184" s="16"/>
      <c r="JJ184" s="16"/>
      <c r="JK184" s="16"/>
      <c r="JL184" s="16"/>
      <c r="JM184" s="16"/>
      <c r="JN184" s="17"/>
      <c r="JR184" s="24"/>
      <c r="JS184" s="60"/>
      <c r="JT184" s="16"/>
      <c r="JU184" s="16"/>
      <c r="JV184" s="16"/>
      <c r="JW184" s="16"/>
      <c r="JX184" s="16"/>
      <c r="JY184" s="17"/>
      <c r="KC184" s="24"/>
      <c r="KD184" s="60"/>
      <c r="KE184" s="16"/>
      <c r="KF184" s="16"/>
      <c r="KG184" s="16"/>
      <c r="KH184" s="16"/>
      <c r="KI184" s="16"/>
      <c r="KJ184" s="17"/>
      <c r="KN184" s="24"/>
      <c r="KO184" s="60"/>
      <c r="KP184" s="16"/>
      <c r="KQ184" s="16"/>
      <c r="KR184" s="16"/>
      <c r="KS184" s="16"/>
      <c r="KT184" s="16"/>
      <c r="KU184" s="17"/>
      <c r="KY184" s="24"/>
      <c r="KZ184" s="60"/>
      <c r="LA184" s="16"/>
      <c r="LB184" s="16"/>
      <c r="LC184" s="16"/>
      <c r="LD184" s="16"/>
      <c r="LE184" s="16"/>
      <c r="LF184" s="17"/>
      <c r="LJ184" s="24"/>
      <c r="LK184" s="60"/>
      <c r="LL184" s="16"/>
      <c r="LM184" s="16"/>
      <c r="LN184" s="16"/>
      <c r="LO184" s="16"/>
      <c r="LP184" s="16"/>
      <c r="LQ184" s="17"/>
    </row>
    <row r="185">
      <c r="C185" s="31"/>
      <c r="D185" s="61"/>
      <c r="E185" s="16"/>
      <c r="F185" s="16"/>
      <c r="G185" s="21"/>
      <c r="H185" s="16"/>
      <c r="I185" s="16"/>
      <c r="J185" s="17"/>
      <c r="N185" s="17"/>
      <c r="O185" s="61"/>
      <c r="P185" s="16"/>
      <c r="Q185" s="16"/>
      <c r="R185" s="16"/>
      <c r="S185" s="16"/>
      <c r="T185" s="16"/>
      <c r="U185" s="17"/>
      <c r="Y185" s="24"/>
      <c r="Z185" s="61"/>
      <c r="AA185" s="16"/>
      <c r="AB185" s="16"/>
      <c r="AC185" s="16"/>
      <c r="AD185" s="16"/>
      <c r="AE185" s="16"/>
      <c r="AF185" s="17"/>
      <c r="AJ185" s="24"/>
      <c r="AK185" s="61"/>
      <c r="AL185" s="16"/>
      <c r="AM185" s="16"/>
      <c r="AN185" s="16"/>
      <c r="AO185" s="16"/>
      <c r="AP185" s="16"/>
      <c r="AQ185" s="17"/>
      <c r="AU185" s="24"/>
      <c r="AV185" s="61"/>
      <c r="AW185" s="16"/>
      <c r="AX185" s="16"/>
      <c r="AY185" s="16"/>
      <c r="AZ185" s="16"/>
      <c r="BA185" s="16"/>
      <c r="BB185" s="17"/>
      <c r="BF185" s="24"/>
      <c r="BG185" s="61"/>
      <c r="BH185" s="16"/>
      <c r="BI185" s="16"/>
      <c r="BJ185" s="16"/>
      <c r="BK185" s="16"/>
      <c r="BL185" s="16"/>
      <c r="BM185" s="17"/>
      <c r="BQ185" s="24"/>
      <c r="BR185" s="61"/>
      <c r="BS185" s="16"/>
      <c r="BT185" s="16"/>
      <c r="BU185" s="16"/>
      <c r="BV185" s="16"/>
      <c r="BW185" s="16"/>
      <c r="BX185" s="17"/>
      <c r="CB185" s="24"/>
      <c r="CC185" s="61"/>
      <c r="CD185" s="16"/>
      <c r="CE185" s="16"/>
      <c r="CF185" s="16"/>
      <c r="CG185" s="16"/>
      <c r="CH185" s="16"/>
      <c r="CI185" s="17"/>
      <c r="CM185" s="24"/>
      <c r="CN185" s="61"/>
      <c r="CO185" s="16"/>
      <c r="CP185" s="16"/>
      <c r="CQ185" s="16"/>
      <c r="CR185" s="16"/>
      <c r="CS185" s="16"/>
      <c r="CT185" s="17"/>
      <c r="CX185" s="24"/>
      <c r="CY185" s="60"/>
      <c r="CZ185" s="16"/>
      <c r="DA185" s="16"/>
      <c r="DB185" s="16"/>
      <c r="DC185" s="16"/>
      <c r="DD185" s="16"/>
      <c r="DE185" s="17"/>
      <c r="DI185" s="24"/>
      <c r="DJ185" s="60"/>
      <c r="DK185" s="16"/>
      <c r="DL185" s="16"/>
      <c r="DM185" s="16"/>
      <c r="DN185" s="16"/>
      <c r="DO185" s="16"/>
      <c r="DP185" s="17"/>
      <c r="DT185" s="24"/>
      <c r="DU185" s="60"/>
      <c r="DV185" s="16"/>
      <c r="DW185" s="16"/>
      <c r="DX185" s="16"/>
      <c r="DY185" s="16"/>
      <c r="DZ185" s="16"/>
      <c r="EA185" s="17"/>
      <c r="EE185" s="24"/>
      <c r="EF185" s="60"/>
      <c r="EG185" s="16"/>
      <c r="EH185" s="16"/>
      <c r="EI185" s="16"/>
      <c r="EJ185" s="16"/>
      <c r="EK185" s="16"/>
      <c r="EL185" s="17"/>
      <c r="EP185" s="24"/>
      <c r="EQ185" s="60"/>
      <c r="ER185" s="16"/>
      <c r="ES185" s="16"/>
      <c r="ET185" s="16"/>
      <c r="EU185" s="16"/>
      <c r="EV185" s="16"/>
      <c r="EW185" s="17"/>
      <c r="FA185" s="24"/>
      <c r="FB185" s="60"/>
      <c r="FC185" s="16"/>
      <c r="FD185" s="16"/>
      <c r="FE185" s="16"/>
      <c r="FF185" s="16"/>
      <c r="FG185" s="16"/>
      <c r="FH185" s="17"/>
      <c r="FL185" s="24"/>
      <c r="FM185" s="60"/>
      <c r="FN185" s="16"/>
      <c r="FO185" s="16"/>
      <c r="FP185" s="16"/>
      <c r="FQ185" s="16"/>
      <c r="FR185" s="16"/>
      <c r="FS185" s="17"/>
      <c r="FW185" s="24"/>
      <c r="FX185" s="60"/>
      <c r="FY185" s="16"/>
      <c r="FZ185" s="16"/>
      <c r="GA185" s="16"/>
      <c r="GB185" s="16"/>
      <c r="GC185" s="16"/>
      <c r="GD185" s="17"/>
      <c r="GH185" s="24"/>
      <c r="GI185" s="60"/>
      <c r="GJ185" s="16"/>
      <c r="GK185" s="16"/>
      <c r="GL185" s="16"/>
      <c r="GM185" s="16"/>
      <c r="GN185" s="16"/>
      <c r="GO185" s="17"/>
      <c r="GS185" s="24"/>
      <c r="GT185" s="60"/>
      <c r="GU185" s="16"/>
      <c r="GV185" s="16"/>
      <c r="GW185" s="16"/>
      <c r="GX185" s="16"/>
      <c r="GY185" s="16"/>
      <c r="GZ185" s="17"/>
      <c r="HD185" s="24"/>
      <c r="HE185" s="60"/>
      <c r="HF185" s="16"/>
      <c r="HG185" s="16"/>
      <c r="HH185" s="16"/>
      <c r="HI185" s="16"/>
      <c r="HJ185" s="16"/>
      <c r="HK185" s="17"/>
      <c r="HO185" s="24"/>
      <c r="HP185" s="60"/>
      <c r="HQ185" s="16"/>
      <c r="HR185" s="16"/>
      <c r="HS185" s="16"/>
      <c r="HT185" s="16"/>
      <c r="HU185" s="16"/>
      <c r="HV185" s="17"/>
      <c r="HZ185" s="24"/>
      <c r="IA185" s="60"/>
      <c r="IB185" s="16"/>
      <c r="IC185" s="16"/>
      <c r="ID185" s="16"/>
      <c r="IE185" s="16"/>
      <c r="IF185" s="16"/>
      <c r="IG185" s="17"/>
      <c r="IK185" s="24"/>
      <c r="IL185" s="60"/>
      <c r="IM185" s="16"/>
      <c r="IN185" s="16"/>
      <c r="IO185" s="16"/>
      <c r="IP185" s="16"/>
      <c r="IQ185" s="16"/>
      <c r="IR185" s="17"/>
      <c r="IV185" s="24"/>
      <c r="IW185" s="60"/>
      <c r="IX185" s="16"/>
      <c r="IY185" s="16"/>
      <c r="IZ185" s="16"/>
      <c r="JA185" s="16"/>
      <c r="JB185" s="16"/>
      <c r="JC185" s="17"/>
      <c r="JG185" s="24"/>
      <c r="JH185" s="60"/>
      <c r="JI185" s="16"/>
      <c r="JJ185" s="16"/>
      <c r="JK185" s="16"/>
      <c r="JL185" s="16"/>
      <c r="JM185" s="16"/>
      <c r="JN185" s="17"/>
      <c r="JR185" s="24"/>
      <c r="JS185" s="60"/>
      <c r="JT185" s="16"/>
      <c r="JU185" s="16"/>
      <c r="JV185" s="16"/>
      <c r="JW185" s="16"/>
      <c r="JX185" s="16"/>
      <c r="JY185" s="17"/>
      <c r="KC185" s="24"/>
      <c r="KD185" s="60"/>
      <c r="KE185" s="16"/>
      <c r="KF185" s="16"/>
      <c r="KG185" s="16"/>
      <c r="KH185" s="16"/>
      <c r="KI185" s="16"/>
      <c r="KJ185" s="17"/>
      <c r="KN185" s="24"/>
      <c r="KO185" s="60"/>
      <c r="KP185" s="16"/>
      <c r="KQ185" s="16"/>
      <c r="KR185" s="16"/>
      <c r="KS185" s="16"/>
      <c r="KT185" s="16"/>
      <c r="KU185" s="17"/>
      <c r="KY185" s="24"/>
      <c r="KZ185" s="60"/>
      <c r="LA185" s="16"/>
      <c r="LB185" s="16"/>
      <c r="LC185" s="16"/>
      <c r="LD185" s="16"/>
      <c r="LE185" s="16"/>
      <c r="LF185" s="17"/>
      <c r="LJ185" s="24"/>
      <c r="LK185" s="60"/>
      <c r="LL185" s="16"/>
      <c r="LM185" s="16"/>
      <c r="LN185" s="16"/>
      <c r="LO185" s="16"/>
      <c r="LP185" s="16"/>
      <c r="LQ185" s="17"/>
    </row>
    <row r="186">
      <c r="C186" s="31"/>
      <c r="D186" s="61"/>
      <c r="E186" s="16"/>
      <c r="F186" s="16"/>
      <c r="G186" s="21"/>
      <c r="H186" s="16"/>
      <c r="I186" s="16"/>
      <c r="J186" s="17"/>
      <c r="N186" s="17"/>
      <c r="O186" s="61"/>
      <c r="P186" s="16"/>
      <c r="Q186" s="16"/>
      <c r="R186" s="16"/>
      <c r="S186" s="16"/>
      <c r="T186" s="16"/>
      <c r="U186" s="17"/>
      <c r="Y186" s="24"/>
      <c r="Z186" s="61"/>
      <c r="AA186" s="16"/>
      <c r="AB186" s="16"/>
      <c r="AC186" s="16"/>
      <c r="AD186" s="16"/>
      <c r="AE186" s="16"/>
      <c r="AF186" s="17"/>
      <c r="AJ186" s="24"/>
      <c r="AK186" s="61"/>
      <c r="AL186" s="16"/>
      <c r="AM186" s="16"/>
      <c r="AN186" s="16"/>
      <c r="AO186" s="16"/>
      <c r="AP186" s="16"/>
      <c r="AQ186" s="17"/>
      <c r="AU186" s="24"/>
      <c r="AV186" s="61"/>
      <c r="AW186" s="16"/>
      <c r="AX186" s="16"/>
      <c r="AY186" s="16"/>
      <c r="AZ186" s="16"/>
      <c r="BA186" s="16"/>
      <c r="BB186" s="17"/>
      <c r="BF186" s="24"/>
      <c r="BG186" s="61"/>
      <c r="BH186" s="16"/>
      <c r="BI186" s="16"/>
      <c r="BJ186" s="16"/>
      <c r="BK186" s="16"/>
      <c r="BL186" s="16"/>
      <c r="BM186" s="17"/>
      <c r="BQ186" s="24"/>
      <c r="BR186" s="61"/>
      <c r="BS186" s="16"/>
      <c r="BT186" s="16"/>
      <c r="BU186" s="16"/>
      <c r="BV186" s="16"/>
      <c r="BW186" s="16"/>
      <c r="BX186" s="17"/>
      <c r="CB186" s="24"/>
      <c r="CC186" s="61"/>
      <c r="CD186" s="16"/>
      <c r="CE186" s="16"/>
      <c r="CF186" s="16"/>
      <c r="CG186" s="16"/>
      <c r="CH186" s="16"/>
      <c r="CI186" s="17"/>
      <c r="CM186" s="24"/>
      <c r="CN186" s="61"/>
      <c r="CO186" s="16"/>
      <c r="CP186" s="16"/>
      <c r="CQ186" s="16"/>
      <c r="CR186" s="16"/>
      <c r="CS186" s="16"/>
      <c r="CT186" s="17"/>
      <c r="CX186" s="24"/>
      <c r="CY186" s="60"/>
      <c r="CZ186" s="16"/>
      <c r="DA186" s="16"/>
      <c r="DB186" s="16"/>
      <c r="DC186" s="16"/>
      <c r="DD186" s="16"/>
      <c r="DE186" s="17"/>
      <c r="DI186" s="24"/>
      <c r="DJ186" s="60"/>
      <c r="DK186" s="16"/>
      <c r="DL186" s="16"/>
      <c r="DM186" s="16"/>
      <c r="DN186" s="16"/>
      <c r="DO186" s="16"/>
      <c r="DP186" s="17"/>
      <c r="DT186" s="24"/>
      <c r="DU186" s="60"/>
      <c r="DV186" s="16"/>
      <c r="DW186" s="16"/>
      <c r="DX186" s="16"/>
      <c r="DY186" s="16"/>
      <c r="DZ186" s="16"/>
      <c r="EA186" s="17"/>
      <c r="EE186" s="24"/>
      <c r="EF186" s="60"/>
      <c r="EG186" s="16"/>
      <c r="EH186" s="16"/>
      <c r="EI186" s="16"/>
      <c r="EJ186" s="16"/>
      <c r="EK186" s="16"/>
      <c r="EL186" s="17"/>
      <c r="EP186" s="24"/>
      <c r="EQ186" s="60"/>
      <c r="ER186" s="16"/>
      <c r="ES186" s="16"/>
      <c r="ET186" s="16"/>
      <c r="EU186" s="16"/>
      <c r="EV186" s="16"/>
      <c r="EW186" s="17"/>
      <c r="FA186" s="24"/>
      <c r="FB186" s="60"/>
      <c r="FC186" s="16"/>
      <c r="FD186" s="16"/>
      <c r="FE186" s="16"/>
      <c r="FF186" s="16"/>
      <c r="FG186" s="16"/>
      <c r="FH186" s="17"/>
      <c r="FL186" s="24"/>
      <c r="FM186" s="60"/>
      <c r="FN186" s="16"/>
      <c r="FO186" s="16"/>
      <c r="FP186" s="16"/>
      <c r="FQ186" s="16"/>
      <c r="FR186" s="16"/>
      <c r="FS186" s="17"/>
      <c r="FW186" s="24"/>
      <c r="FX186" s="60"/>
      <c r="FY186" s="16"/>
      <c r="FZ186" s="16"/>
      <c r="GA186" s="16"/>
      <c r="GB186" s="16"/>
      <c r="GC186" s="16"/>
      <c r="GD186" s="17"/>
      <c r="GH186" s="24"/>
      <c r="GI186" s="60"/>
      <c r="GJ186" s="16"/>
      <c r="GK186" s="16"/>
      <c r="GL186" s="16"/>
      <c r="GM186" s="16"/>
      <c r="GN186" s="16"/>
      <c r="GO186" s="17"/>
      <c r="GS186" s="24"/>
      <c r="GT186" s="60"/>
      <c r="GU186" s="16"/>
      <c r="GV186" s="16"/>
      <c r="GW186" s="16"/>
      <c r="GX186" s="16"/>
      <c r="GY186" s="16"/>
      <c r="GZ186" s="17"/>
      <c r="HD186" s="24"/>
      <c r="HE186" s="60"/>
      <c r="HF186" s="16"/>
      <c r="HG186" s="16"/>
      <c r="HH186" s="16"/>
      <c r="HI186" s="16"/>
      <c r="HJ186" s="16"/>
      <c r="HK186" s="17"/>
      <c r="HO186" s="24"/>
      <c r="HP186" s="60"/>
      <c r="HQ186" s="16"/>
      <c r="HR186" s="16"/>
      <c r="HS186" s="16"/>
      <c r="HT186" s="16"/>
      <c r="HU186" s="16"/>
      <c r="HV186" s="17"/>
      <c r="HZ186" s="24"/>
      <c r="IA186" s="60"/>
      <c r="IB186" s="16"/>
      <c r="IC186" s="16"/>
      <c r="ID186" s="16"/>
      <c r="IE186" s="16"/>
      <c r="IF186" s="16"/>
      <c r="IG186" s="17"/>
      <c r="IK186" s="24"/>
      <c r="IL186" s="60"/>
      <c r="IM186" s="16"/>
      <c r="IN186" s="16"/>
      <c r="IO186" s="16"/>
      <c r="IP186" s="16"/>
      <c r="IQ186" s="16"/>
      <c r="IR186" s="17"/>
      <c r="IV186" s="24"/>
      <c r="IW186" s="60"/>
      <c r="IX186" s="16"/>
      <c r="IY186" s="16"/>
      <c r="IZ186" s="16"/>
      <c r="JA186" s="16"/>
      <c r="JB186" s="16"/>
      <c r="JC186" s="17"/>
      <c r="JG186" s="24"/>
      <c r="JH186" s="60"/>
      <c r="JI186" s="16"/>
      <c r="JJ186" s="16"/>
      <c r="JK186" s="16"/>
      <c r="JL186" s="16"/>
      <c r="JM186" s="16"/>
      <c r="JN186" s="17"/>
      <c r="JR186" s="24"/>
      <c r="JS186" s="60"/>
      <c r="JT186" s="16"/>
      <c r="JU186" s="16"/>
      <c r="JV186" s="16"/>
      <c r="JW186" s="16"/>
      <c r="JX186" s="16"/>
      <c r="JY186" s="17"/>
      <c r="KC186" s="24"/>
      <c r="KD186" s="60"/>
      <c r="KE186" s="16"/>
      <c r="KF186" s="16"/>
      <c r="KG186" s="16"/>
      <c r="KH186" s="16"/>
      <c r="KI186" s="16"/>
      <c r="KJ186" s="17"/>
      <c r="KN186" s="24"/>
      <c r="KO186" s="60"/>
      <c r="KP186" s="16"/>
      <c r="KQ186" s="16"/>
      <c r="KR186" s="16"/>
      <c r="KS186" s="16"/>
      <c r="KT186" s="16"/>
      <c r="KU186" s="17"/>
      <c r="KY186" s="24"/>
      <c r="KZ186" s="60"/>
      <c r="LA186" s="16"/>
      <c r="LB186" s="16"/>
      <c r="LC186" s="16"/>
      <c r="LD186" s="16"/>
      <c r="LE186" s="16"/>
      <c r="LF186" s="17"/>
      <c r="LJ186" s="24"/>
      <c r="LK186" s="60"/>
      <c r="LL186" s="16"/>
      <c r="LM186" s="16"/>
      <c r="LN186" s="16"/>
      <c r="LO186" s="16"/>
      <c r="LP186" s="16"/>
      <c r="LQ186" s="17"/>
    </row>
    <row r="187">
      <c r="C187" s="31"/>
      <c r="D187" s="61"/>
      <c r="E187" s="16"/>
      <c r="F187" s="16"/>
      <c r="G187" s="21"/>
      <c r="H187" s="16"/>
      <c r="I187" s="16"/>
      <c r="J187" s="17"/>
      <c r="N187" s="17"/>
      <c r="O187" s="61"/>
      <c r="P187" s="16"/>
      <c r="Q187" s="16"/>
      <c r="R187" s="16"/>
      <c r="S187" s="16"/>
      <c r="T187" s="16"/>
      <c r="U187" s="17"/>
      <c r="Y187" s="24"/>
      <c r="Z187" s="61"/>
      <c r="AA187" s="16"/>
      <c r="AB187" s="16"/>
      <c r="AC187" s="16"/>
      <c r="AD187" s="16"/>
      <c r="AE187" s="16"/>
      <c r="AF187" s="17"/>
      <c r="AJ187" s="24"/>
      <c r="AK187" s="61"/>
      <c r="AL187" s="16"/>
      <c r="AM187" s="16"/>
      <c r="AN187" s="16"/>
      <c r="AO187" s="16"/>
      <c r="AP187" s="16"/>
      <c r="AQ187" s="17"/>
      <c r="AU187" s="24"/>
      <c r="AV187" s="61"/>
      <c r="AW187" s="16"/>
      <c r="AX187" s="16"/>
      <c r="AY187" s="16"/>
      <c r="AZ187" s="16"/>
      <c r="BA187" s="16"/>
      <c r="BB187" s="17"/>
      <c r="BF187" s="24"/>
      <c r="BG187" s="61"/>
      <c r="BH187" s="16"/>
      <c r="BI187" s="16"/>
      <c r="BJ187" s="16"/>
      <c r="BK187" s="16"/>
      <c r="BL187" s="16"/>
      <c r="BM187" s="17"/>
      <c r="BQ187" s="24"/>
      <c r="BR187" s="61"/>
      <c r="BS187" s="16"/>
      <c r="BT187" s="16"/>
      <c r="BU187" s="16"/>
      <c r="BV187" s="16"/>
      <c r="BW187" s="16"/>
      <c r="BX187" s="17"/>
      <c r="CB187" s="24"/>
      <c r="CC187" s="61"/>
      <c r="CD187" s="16"/>
      <c r="CE187" s="16"/>
      <c r="CF187" s="16"/>
      <c r="CG187" s="16"/>
      <c r="CH187" s="16"/>
      <c r="CI187" s="17"/>
      <c r="CM187" s="24"/>
      <c r="CN187" s="61"/>
      <c r="CO187" s="16"/>
      <c r="CP187" s="16"/>
      <c r="CQ187" s="16"/>
      <c r="CR187" s="16"/>
      <c r="CS187" s="16"/>
      <c r="CT187" s="17"/>
      <c r="CX187" s="24"/>
      <c r="CY187" s="60"/>
      <c r="CZ187" s="16"/>
      <c r="DA187" s="16"/>
      <c r="DB187" s="16"/>
      <c r="DC187" s="16"/>
      <c r="DD187" s="16"/>
      <c r="DE187" s="17"/>
      <c r="DI187" s="24"/>
      <c r="DJ187" s="60"/>
      <c r="DK187" s="16"/>
      <c r="DL187" s="16"/>
      <c r="DM187" s="16"/>
      <c r="DN187" s="16"/>
      <c r="DO187" s="16"/>
      <c r="DP187" s="17"/>
      <c r="DT187" s="24"/>
      <c r="DU187" s="60"/>
      <c r="DV187" s="16"/>
      <c r="DW187" s="16"/>
      <c r="DX187" s="16"/>
      <c r="DY187" s="16"/>
      <c r="DZ187" s="16"/>
      <c r="EA187" s="17"/>
      <c r="EE187" s="24"/>
      <c r="EF187" s="60"/>
      <c r="EG187" s="16"/>
      <c r="EH187" s="16"/>
      <c r="EI187" s="16"/>
      <c r="EJ187" s="16"/>
      <c r="EK187" s="16"/>
      <c r="EL187" s="17"/>
      <c r="EP187" s="24"/>
      <c r="EQ187" s="60"/>
      <c r="ER187" s="16"/>
      <c r="ES187" s="16"/>
      <c r="ET187" s="16"/>
      <c r="EU187" s="16"/>
      <c r="EV187" s="16"/>
      <c r="EW187" s="17"/>
      <c r="FA187" s="24"/>
      <c r="FB187" s="60"/>
      <c r="FC187" s="16"/>
      <c r="FD187" s="16"/>
      <c r="FE187" s="16"/>
      <c r="FF187" s="16"/>
      <c r="FG187" s="16"/>
      <c r="FH187" s="17"/>
      <c r="FL187" s="24"/>
      <c r="FM187" s="60"/>
      <c r="FN187" s="16"/>
      <c r="FO187" s="16"/>
      <c r="FP187" s="16"/>
      <c r="FQ187" s="16"/>
      <c r="FR187" s="16"/>
      <c r="FS187" s="17"/>
      <c r="FW187" s="24"/>
      <c r="FX187" s="60"/>
      <c r="FY187" s="16"/>
      <c r="FZ187" s="16"/>
      <c r="GA187" s="16"/>
      <c r="GB187" s="16"/>
      <c r="GC187" s="16"/>
      <c r="GD187" s="17"/>
      <c r="GH187" s="24"/>
      <c r="GI187" s="60"/>
      <c r="GJ187" s="16"/>
      <c r="GK187" s="16"/>
      <c r="GL187" s="16"/>
      <c r="GM187" s="16"/>
      <c r="GN187" s="16"/>
      <c r="GO187" s="17"/>
      <c r="GS187" s="24"/>
      <c r="GT187" s="60"/>
      <c r="GU187" s="16"/>
      <c r="GV187" s="16"/>
      <c r="GW187" s="16"/>
      <c r="GX187" s="16"/>
      <c r="GY187" s="16"/>
      <c r="GZ187" s="17"/>
      <c r="HD187" s="24"/>
      <c r="HE187" s="60"/>
      <c r="HF187" s="16"/>
      <c r="HG187" s="16"/>
      <c r="HH187" s="16"/>
      <c r="HI187" s="16"/>
      <c r="HJ187" s="16"/>
      <c r="HK187" s="17"/>
      <c r="HO187" s="24"/>
      <c r="HP187" s="60"/>
      <c r="HQ187" s="16"/>
      <c r="HR187" s="16"/>
      <c r="HS187" s="16"/>
      <c r="HT187" s="16"/>
      <c r="HU187" s="16"/>
      <c r="HV187" s="17"/>
      <c r="HZ187" s="24"/>
      <c r="IA187" s="60"/>
      <c r="IB187" s="16"/>
      <c r="IC187" s="16"/>
      <c r="ID187" s="16"/>
      <c r="IE187" s="16"/>
      <c r="IF187" s="16"/>
      <c r="IG187" s="17"/>
      <c r="IK187" s="24"/>
      <c r="IL187" s="60"/>
      <c r="IM187" s="16"/>
      <c r="IN187" s="16"/>
      <c r="IO187" s="16"/>
      <c r="IP187" s="16"/>
      <c r="IQ187" s="16"/>
      <c r="IR187" s="17"/>
      <c r="IV187" s="24"/>
      <c r="IW187" s="60"/>
      <c r="IX187" s="16"/>
      <c r="IY187" s="16"/>
      <c r="IZ187" s="16"/>
      <c r="JA187" s="16"/>
      <c r="JB187" s="16"/>
      <c r="JC187" s="17"/>
      <c r="JG187" s="24"/>
      <c r="JH187" s="60"/>
      <c r="JI187" s="16"/>
      <c r="JJ187" s="16"/>
      <c r="JK187" s="16"/>
      <c r="JL187" s="16"/>
      <c r="JM187" s="16"/>
      <c r="JN187" s="17"/>
      <c r="JR187" s="24"/>
      <c r="JS187" s="60"/>
      <c r="JT187" s="16"/>
      <c r="JU187" s="16"/>
      <c r="JV187" s="16"/>
      <c r="JW187" s="16"/>
      <c r="JX187" s="16"/>
      <c r="JY187" s="17"/>
      <c r="KC187" s="24"/>
      <c r="KD187" s="60"/>
      <c r="KE187" s="16"/>
      <c r="KF187" s="16"/>
      <c r="KG187" s="16"/>
      <c r="KH187" s="16"/>
      <c r="KI187" s="16"/>
      <c r="KJ187" s="17"/>
      <c r="KN187" s="24"/>
      <c r="KO187" s="60"/>
      <c r="KP187" s="16"/>
      <c r="KQ187" s="16"/>
      <c r="KR187" s="16"/>
      <c r="KS187" s="16"/>
      <c r="KT187" s="16"/>
      <c r="KU187" s="17"/>
      <c r="KY187" s="24"/>
      <c r="KZ187" s="60"/>
      <c r="LA187" s="16"/>
      <c r="LB187" s="16"/>
      <c r="LC187" s="16"/>
      <c r="LD187" s="16"/>
      <c r="LE187" s="16"/>
      <c r="LF187" s="17"/>
      <c r="LJ187" s="24"/>
      <c r="LK187" s="60"/>
      <c r="LL187" s="16"/>
      <c r="LM187" s="16"/>
      <c r="LN187" s="16"/>
      <c r="LO187" s="16"/>
      <c r="LP187" s="16"/>
      <c r="LQ187" s="17"/>
    </row>
    <row r="188">
      <c r="C188" s="31"/>
      <c r="D188" s="61"/>
      <c r="E188" s="16"/>
      <c r="F188" s="16"/>
      <c r="G188" s="21"/>
      <c r="H188" s="16"/>
      <c r="I188" s="16"/>
      <c r="J188" s="17"/>
      <c r="N188" s="17"/>
      <c r="O188" s="61"/>
      <c r="P188" s="16"/>
      <c r="Q188" s="16"/>
      <c r="R188" s="16"/>
      <c r="S188" s="16"/>
      <c r="T188" s="16"/>
      <c r="U188" s="17"/>
      <c r="Y188" s="24"/>
      <c r="Z188" s="61"/>
      <c r="AA188" s="16"/>
      <c r="AB188" s="16"/>
      <c r="AC188" s="16"/>
      <c r="AD188" s="16"/>
      <c r="AE188" s="16"/>
      <c r="AF188" s="17"/>
      <c r="AJ188" s="24"/>
      <c r="AK188" s="61"/>
      <c r="AL188" s="16"/>
      <c r="AM188" s="16"/>
      <c r="AN188" s="16"/>
      <c r="AO188" s="16"/>
      <c r="AP188" s="16"/>
      <c r="AQ188" s="17"/>
      <c r="AU188" s="24"/>
      <c r="AV188" s="61"/>
      <c r="AW188" s="16"/>
      <c r="AX188" s="16"/>
      <c r="AY188" s="16"/>
      <c r="AZ188" s="16"/>
      <c r="BA188" s="16"/>
      <c r="BB188" s="17"/>
      <c r="BF188" s="24"/>
      <c r="BG188" s="61"/>
      <c r="BH188" s="16"/>
      <c r="BI188" s="16"/>
      <c r="BJ188" s="16"/>
      <c r="BK188" s="16"/>
      <c r="BL188" s="16"/>
      <c r="BM188" s="17"/>
      <c r="BQ188" s="24"/>
      <c r="BR188" s="61"/>
      <c r="BS188" s="16"/>
      <c r="BT188" s="16"/>
      <c r="BU188" s="16"/>
      <c r="BV188" s="16"/>
      <c r="BW188" s="16"/>
      <c r="BX188" s="17"/>
      <c r="CB188" s="24"/>
      <c r="CC188" s="61"/>
      <c r="CD188" s="16"/>
      <c r="CE188" s="16"/>
      <c r="CF188" s="16"/>
      <c r="CG188" s="16"/>
      <c r="CH188" s="16"/>
      <c r="CI188" s="17"/>
      <c r="CM188" s="24"/>
      <c r="CN188" s="61"/>
      <c r="CO188" s="16"/>
      <c r="CP188" s="16"/>
      <c r="CQ188" s="16"/>
      <c r="CR188" s="16"/>
      <c r="CS188" s="16"/>
      <c r="CT188" s="17"/>
      <c r="CX188" s="24"/>
      <c r="CY188" s="60"/>
      <c r="CZ188" s="16"/>
      <c r="DA188" s="16"/>
      <c r="DB188" s="16"/>
      <c r="DC188" s="16"/>
      <c r="DD188" s="16"/>
      <c r="DE188" s="17"/>
      <c r="DI188" s="24"/>
      <c r="DJ188" s="60"/>
      <c r="DK188" s="16"/>
      <c r="DL188" s="16"/>
      <c r="DM188" s="16"/>
      <c r="DN188" s="16"/>
      <c r="DO188" s="16"/>
      <c r="DP188" s="17"/>
      <c r="DT188" s="24"/>
      <c r="DU188" s="60"/>
      <c r="DV188" s="16"/>
      <c r="DW188" s="16"/>
      <c r="DX188" s="16"/>
      <c r="DY188" s="16"/>
      <c r="DZ188" s="16"/>
      <c r="EA188" s="17"/>
      <c r="EE188" s="24"/>
      <c r="EF188" s="60"/>
      <c r="EG188" s="16"/>
      <c r="EH188" s="16"/>
      <c r="EI188" s="16"/>
      <c r="EJ188" s="16"/>
      <c r="EK188" s="16"/>
      <c r="EL188" s="17"/>
      <c r="EP188" s="24"/>
      <c r="EQ188" s="60"/>
      <c r="ER188" s="16"/>
      <c r="ES188" s="16"/>
      <c r="ET188" s="16"/>
      <c r="EU188" s="16"/>
      <c r="EV188" s="16"/>
      <c r="EW188" s="17"/>
      <c r="FA188" s="24"/>
      <c r="FB188" s="60"/>
      <c r="FC188" s="16"/>
      <c r="FD188" s="16"/>
      <c r="FE188" s="16"/>
      <c r="FF188" s="16"/>
      <c r="FG188" s="16"/>
      <c r="FH188" s="17"/>
      <c r="FL188" s="24"/>
      <c r="FM188" s="60"/>
      <c r="FN188" s="16"/>
      <c r="FO188" s="16"/>
      <c r="FP188" s="16"/>
      <c r="FQ188" s="16"/>
      <c r="FR188" s="16"/>
      <c r="FS188" s="17"/>
      <c r="FW188" s="24"/>
      <c r="FX188" s="60"/>
      <c r="FY188" s="16"/>
      <c r="FZ188" s="16"/>
      <c r="GA188" s="16"/>
      <c r="GB188" s="16"/>
      <c r="GC188" s="16"/>
      <c r="GD188" s="17"/>
      <c r="GH188" s="24"/>
      <c r="GI188" s="60"/>
      <c r="GJ188" s="16"/>
      <c r="GK188" s="16"/>
      <c r="GL188" s="16"/>
      <c r="GM188" s="16"/>
      <c r="GN188" s="16"/>
      <c r="GO188" s="17"/>
      <c r="GS188" s="24"/>
      <c r="GT188" s="60"/>
      <c r="GU188" s="16"/>
      <c r="GV188" s="16"/>
      <c r="GW188" s="16"/>
      <c r="GX188" s="16"/>
      <c r="GY188" s="16"/>
      <c r="GZ188" s="17"/>
      <c r="HD188" s="24"/>
      <c r="HE188" s="60"/>
      <c r="HF188" s="16"/>
      <c r="HG188" s="16"/>
      <c r="HH188" s="16"/>
      <c r="HI188" s="16"/>
      <c r="HJ188" s="16"/>
      <c r="HK188" s="17"/>
      <c r="HO188" s="24"/>
      <c r="HP188" s="60"/>
      <c r="HQ188" s="16"/>
      <c r="HR188" s="16"/>
      <c r="HS188" s="16"/>
      <c r="HT188" s="16"/>
      <c r="HU188" s="16"/>
      <c r="HV188" s="17"/>
      <c r="HZ188" s="24"/>
      <c r="IA188" s="60"/>
      <c r="IB188" s="16"/>
      <c r="IC188" s="16"/>
      <c r="ID188" s="16"/>
      <c r="IE188" s="16"/>
      <c r="IF188" s="16"/>
      <c r="IG188" s="17"/>
      <c r="IK188" s="24"/>
      <c r="IL188" s="60"/>
      <c r="IM188" s="16"/>
      <c r="IN188" s="16"/>
      <c r="IO188" s="16"/>
      <c r="IP188" s="16"/>
      <c r="IQ188" s="16"/>
      <c r="IR188" s="17"/>
      <c r="IV188" s="24"/>
      <c r="IW188" s="60"/>
      <c r="IX188" s="16"/>
      <c r="IY188" s="16"/>
      <c r="IZ188" s="16"/>
      <c r="JA188" s="16"/>
      <c r="JB188" s="16"/>
      <c r="JC188" s="17"/>
      <c r="JG188" s="24"/>
      <c r="JH188" s="60"/>
      <c r="JI188" s="16"/>
      <c r="JJ188" s="16"/>
      <c r="JK188" s="16"/>
      <c r="JL188" s="16"/>
      <c r="JM188" s="16"/>
      <c r="JN188" s="17"/>
      <c r="JR188" s="24"/>
      <c r="JS188" s="60"/>
      <c r="JT188" s="16"/>
      <c r="JU188" s="16"/>
      <c r="JV188" s="16"/>
      <c r="JW188" s="16"/>
      <c r="JX188" s="16"/>
      <c r="JY188" s="17"/>
      <c r="KC188" s="24"/>
      <c r="KD188" s="60"/>
      <c r="KE188" s="16"/>
      <c r="KF188" s="16"/>
      <c r="KG188" s="16"/>
      <c r="KH188" s="16"/>
      <c r="KI188" s="16"/>
      <c r="KJ188" s="17"/>
      <c r="KN188" s="24"/>
      <c r="KO188" s="60"/>
      <c r="KP188" s="16"/>
      <c r="KQ188" s="16"/>
      <c r="KR188" s="16"/>
      <c r="KS188" s="16"/>
      <c r="KT188" s="16"/>
      <c r="KU188" s="17"/>
      <c r="KY188" s="24"/>
      <c r="KZ188" s="60"/>
      <c r="LA188" s="16"/>
      <c r="LB188" s="16"/>
      <c r="LC188" s="16"/>
      <c r="LD188" s="16"/>
      <c r="LE188" s="16"/>
      <c r="LF188" s="17"/>
      <c r="LJ188" s="24"/>
      <c r="LK188" s="60"/>
      <c r="LL188" s="16"/>
      <c r="LM188" s="16"/>
      <c r="LN188" s="16"/>
      <c r="LO188" s="16"/>
      <c r="LP188" s="16"/>
      <c r="LQ188" s="17"/>
    </row>
    <row r="189">
      <c r="C189" s="31"/>
      <c r="D189" s="61"/>
      <c r="E189" s="16"/>
      <c r="F189" s="16"/>
      <c r="G189" s="21"/>
      <c r="H189" s="16"/>
      <c r="I189" s="16"/>
      <c r="J189" s="17"/>
      <c r="N189" s="17"/>
      <c r="O189" s="61"/>
      <c r="P189" s="16"/>
      <c r="Q189" s="16"/>
      <c r="R189" s="16"/>
      <c r="S189" s="16"/>
      <c r="T189" s="16"/>
      <c r="U189" s="17"/>
      <c r="Y189" s="24"/>
      <c r="Z189" s="61"/>
      <c r="AA189" s="16"/>
      <c r="AB189" s="16"/>
      <c r="AC189" s="16"/>
      <c r="AD189" s="16"/>
      <c r="AE189" s="16"/>
      <c r="AF189" s="17"/>
      <c r="AJ189" s="24"/>
      <c r="AK189" s="61"/>
      <c r="AL189" s="16"/>
      <c r="AM189" s="16"/>
      <c r="AN189" s="16"/>
      <c r="AO189" s="16"/>
      <c r="AP189" s="16"/>
      <c r="AQ189" s="17"/>
      <c r="AU189" s="24"/>
      <c r="AV189" s="61"/>
      <c r="AW189" s="16"/>
      <c r="AX189" s="16"/>
      <c r="AY189" s="16"/>
      <c r="AZ189" s="16"/>
      <c r="BA189" s="16"/>
      <c r="BB189" s="17"/>
      <c r="BF189" s="24"/>
      <c r="BG189" s="61"/>
      <c r="BH189" s="16"/>
      <c r="BI189" s="16"/>
      <c r="BJ189" s="16"/>
      <c r="BK189" s="16"/>
      <c r="BL189" s="16"/>
      <c r="BM189" s="17"/>
      <c r="BQ189" s="24"/>
      <c r="BR189" s="61"/>
      <c r="BS189" s="16"/>
      <c r="BT189" s="16"/>
      <c r="BU189" s="16"/>
      <c r="BV189" s="16"/>
      <c r="BW189" s="16"/>
      <c r="BX189" s="17"/>
      <c r="CB189" s="24"/>
      <c r="CC189" s="61"/>
      <c r="CD189" s="16"/>
      <c r="CE189" s="16"/>
      <c r="CF189" s="16"/>
      <c r="CG189" s="16"/>
      <c r="CH189" s="16"/>
      <c r="CI189" s="17"/>
      <c r="CM189" s="24"/>
      <c r="CN189" s="61"/>
      <c r="CO189" s="16"/>
      <c r="CP189" s="16"/>
      <c r="CQ189" s="16"/>
      <c r="CR189" s="16"/>
      <c r="CS189" s="16"/>
      <c r="CT189" s="17"/>
      <c r="CX189" s="24"/>
      <c r="CY189" s="60"/>
      <c r="CZ189" s="16"/>
      <c r="DA189" s="16"/>
      <c r="DB189" s="16"/>
      <c r="DC189" s="16"/>
      <c r="DD189" s="16"/>
      <c r="DE189" s="17"/>
      <c r="DI189" s="24"/>
      <c r="DJ189" s="60"/>
      <c r="DK189" s="16"/>
      <c r="DL189" s="16"/>
      <c r="DM189" s="16"/>
      <c r="DN189" s="16"/>
      <c r="DO189" s="16"/>
      <c r="DP189" s="17"/>
      <c r="DT189" s="24"/>
      <c r="DU189" s="60"/>
      <c r="DV189" s="16"/>
      <c r="DW189" s="16"/>
      <c r="DX189" s="16"/>
      <c r="DY189" s="16"/>
      <c r="DZ189" s="16"/>
      <c r="EA189" s="17"/>
      <c r="EE189" s="24"/>
      <c r="EF189" s="60"/>
      <c r="EG189" s="16"/>
      <c r="EH189" s="16"/>
      <c r="EI189" s="16"/>
      <c r="EJ189" s="16"/>
      <c r="EK189" s="16"/>
      <c r="EL189" s="17"/>
      <c r="EP189" s="24"/>
      <c r="EQ189" s="60"/>
      <c r="ER189" s="16"/>
      <c r="ES189" s="16"/>
      <c r="ET189" s="16"/>
      <c r="EU189" s="16"/>
      <c r="EV189" s="16"/>
      <c r="EW189" s="17"/>
      <c r="FA189" s="24"/>
      <c r="FB189" s="60"/>
      <c r="FC189" s="16"/>
      <c r="FD189" s="16"/>
      <c r="FE189" s="16"/>
      <c r="FF189" s="16"/>
      <c r="FG189" s="16"/>
      <c r="FH189" s="17"/>
      <c r="FL189" s="24"/>
      <c r="FM189" s="60"/>
      <c r="FN189" s="16"/>
      <c r="FO189" s="16"/>
      <c r="FP189" s="16"/>
      <c r="FQ189" s="16"/>
      <c r="FR189" s="16"/>
      <c r="FS189" s="17"/>
      <c r="FW189" s="24"/>
      <c r="FX189" s="60"/>
      <c r="FY189" s="16"/>
      <c r="FZ189" s="16"/>
      <c r="GA189" s="16"/>
      <c r="GB189" s="16"/>
      <c r="GC189" s="16"/>
      <c r="GD189" s="17"/>
      <c r="GH189" s="24"/>
      <c r="GI189" s="60"/>
      <c r="GJ189" s="16"/>
      <c r="GK189" s="16"/>
      <c r="GL189" s="16"/>
      <c r="GM189" s="16"/>
      <c r="GN189" s="16"/>
      <c r="GO189" s="17"/>
      <c r="GS189" s="24"/>
      <c r="GT189" s="60"/>
      <c r="GU189" s="16"/>
      <c r="GV189" s="16"/>
      <c r="GW189" s="16"/>
      <c r="GX189" s="16"/>
      <c r="GY189" s="16"/>
      <c r="GZ189" s="17"/>
      <c r="HD189" s="24"/>
      <c r="HE189" s="60"/>
      <c r="HF189" s="16"/>
      <c r="HG189" s="16"/>
      <c r="HH189" s="16"/>
      <c r="HI189" s="16"/>
      <c r="HJ189" s="16"/>
      <c r="HK189" s="17"/>
      <c r="HO189" s="24"/>
      <c r="HP189" s="60"/>
      <c r="HQ189" s="16"/>
      <c r="HR189" s="16"/>
      <c r="HS189" s="16"/>
      <c r="HT189" s="16"/>
      <c r="HU189" s="16"/>
      <c r="HV189" s="17"/>
      <c r="HZ189" s="24"/>
      <c r="IA189" s="60"/>
      <c r="IB189" s="16"/>
      <c r="IC189" s="16"/>
      <c r="ID189" s="16"/>
      <c r="IE189" s="16"/>
      <c r="IF189" s="16"/>
      <c r="IG189" s="17"/>
      <c r="IK189" s="24"/>
      <c r="IL189" s="60"/>
      <c r="IM189" s="16"/>
      <c r="IN189" s="16"/>
      <c r="IO189" s="16"/>
      <c r="IP189" s="16"/>
      <c r="IQ189" s="16"/>
      <c r="IR189" s="17"/>
      <c r="IV189" s="24"/>
      <c r="IW189" s="60"/>
      <c r="IX189" s="16"/>
      <c r="IY189" s="16"/>
      <c r="IZ189" s="16"/>
      <c r="JA189" s="16"/>
      <c r="JB189" s="16"/>
      <c r="JC189" s="17"/>
      <c r="JG189" s="24"/>
      <c r="JH189" s="60"/>
      <c r="JI189" s="16"/>
      <c r="JJ189" s="16"/>
      <c r="JK189" s="16"/>
      <c r="JL189" s="16"/>
      <c r="JM189" s="16"/>
      <c r="JN189" s="17"/>
      <c r="JR189" s="24"/>
      <c r="JS189" s="60"/>
      <c r="JT189" s="16"/>
      <c r="JU189" s="16"/>
      <c r="JV189" s="16"/>
      <c r="JW189" s="16"/>
      <c r="JX189" s="16"/>
      <c r="JY189" s="17"/>
      <c r="KC189" s="24"/>
      <c r="KD189" s="60"/>
      <c r="KE189" s="16"/>
      <c r="KF189" s="16"/>
      <c r="KG189" s="16"/>
      <c r="KH189" s="16"/>
      <c r="KI189" s="16"/>
      <c r="KJ189" s="17"/>
      <c r="KN189" s="24"/>
      <c r="KO189" s="60"/>
      <c r="KP189" s="16"/>
      <c r="KQ189" s="16"/>
      <c r="KR189" s="16"/>
      <c r="KS189" s="16"/>
      <c r="KT189" s="16"/>
      <c r="KU189" s="17"/>
      <c r="KY189" s="24"/>
      <c r="KZ189" s="60"/>
      <c r="LA189" s="16"/>
      <c r="LB189" s="16"/>
      <c r="LC189" s="16"/>
      <c r="LD189" s="16"/>
      <c r="LE189" s="16"/>
      <c r="LF189" s="17"/>
      <c r="LJ189" s="24"/>
      <c r="LK189" s="60"/>
      <c r="LL189" s="16"/>
      <c r="LM189" s="16"/>
      <c r="LN189" s="16"/>
      <c r="LO189" s="16"/>
      <c r="LP189" s="16"/>
      <c r="LQ189" s="17"/>
    </row>
    <row r="190">
      <c r="C190" s="31"/>
      <c r="D190" s="61"/>
      <c r="E190" s="16"/>
      <c r="F190" s="16"/>
      <c r="G190" s="21"/>
      <c r="H190" s="16"/>
      <c r="I190" s="16"/>
      <c r="J190" s="17"/>
      <c r="N190" s="17"/>
      <c r="O190" s="61"/>
      <c r="P190" s="16"/>
      <c r="Q190" s="16"/>
      <c r="R190" s="16"/>
      <c r="S190" s="16"/>
      <c r="T190" s="16"/>
      <c r="U190" s="17"/>
      <c r="Y190" s="24"/>
      <c r="Z190" s="61"/>
      <c r="AA190" s="16"/>
      <c r="AB190" s="16"/>
      <c r="AC190" s="16"/>
      <c r="AD190" s="16"/>
      <c r="AE190" s="16"/>
      <c r="AF190" s="17"/>
      <c r="AJ190" s="24"/>
      <c r="AK190" s="61"/>
      <c r="AL190" s="16"/>
      <c r="AM190" s="16"/>
      <c r="AN190" s="16"/>
      <c r="AO190" s="16"/>
      <c r="AP190" s="16"/>
      <c r="AQ190" s="17"/>
      <c r="AU190" s="24"/>
      <c r="AV190" s="61"/>
      <c r="AW190" s="16"/>
      <c r="AX190" s="16"/>
      <c r="AY190" s="16"/>
      <c r="AZ190" s="16"/>
      <c r="BA190" s="16"/>
      <c r="BB190" s="17"/>
      <c r="BF190" s="24"/>
      <c r="BG190" s="61"/>
      <c r="BH190" s="16"/>
      <c r="BI190" s="16"/>
      <c r="BJ190" s="16"/>
      <c r="BK190" s="16"/>
      <c r="BL190" s="16"/>
      <c r="BM190" s="17"/>
      <c r="BQ190" s="24"/>
      <c r="BR190" s="61"/>
      <c r="BS190" s="16"/>
      <c r="BT190" s="16"/>
      <c r="BU190" s="16"/>
      <c r="BV190" s="16"/>
      <c r="BW190" s="16"/>
      <c r="BX190" s="17"/>
      <c r="CB190" s="24"/>
      <c r="CC190" s="61"/>
      <c r="CD190" s="16"/>
      <c r="CE190" s="16"/>
      <c r="CF190" s="16"/>
      <c r="CG190" s="16"/>
      <c r="CH190" s="16"/>
      <c r="CI190" s="17"/>
      <c r="CM190" s="24"/>
      <c r="CN190" s="61"/>
      <c r="CO190" s="16"/>
      <c r="CP190" s="16"/>
      <c r="CQ190" s="16"/>
      <c r="CR190" s="16"/>
      <c r="CS190" s="16"/>
      <c r="CT190" s="17"/>
      <c r="CX190" s="24"/>
      <c r="CY190" s="60"/>
      <c r="CZ190" s="16"/>
      <c r="DA190" s="16"/>
      <c r="DB190" s="16"/>
      <c r="DC190" s="16"/>
      <c r="DD190" s="16"/>
      <c r="DE190" s="17"/>
      <c r="DI190" s="24"/>
      <c r="DJ190" s="60"/>
      <c r="DK190" s="16"/>
      <c r="DL190" s="16"/>
      <c r="DM190" s="16"/>
      <c r="DN190" s="16"/>
      <c r="DO190" s="16"/>
      <c r="DP190" s="17"/>
      <c r="DT190" s="24"/>
      <c r="DU190" s="60"/>
      <c r="DV190" s="16"/>
      <c r="DW190" s="16"/>
      <c r="DX190" s="16"/>
      <c r="DY190" s="16"/>
      <c r="DZ190" s="16"/>
      <c r="EA190" s="17"/>
      <c r="EE190" s="24"/>
      <c r="EF190" s="60"/>
      <c r="EG190" s="16"/>
      <c r="EH190" s="16"/>
      <c r="EI190" s="16"/>
      <c r="EJ190" s="16"/>
      <c r="EK190" s="16"/>
      <c r="EL190" s="17"/>
      <c r="EP190" s="24"/>
      <c r="EQ190" s="60"/>
      <c r="ER190" s="16"/>
      <c r="ES190" s="16"/>
      <c r="ET190" s="16"/>
      <c r="EU190" s="16"/>
      <c r="EV190" s="16"/>
      <c r="EW190" s="17"/>
      <c r="FA190" s="24"/>
      <c r="FB190" s="60"/>
      <c r="FC190" s="16"/>
      <c r="FD190" s="16"/>
      <c r="FE190" s="16"/>
      <c r="FF190" s="16"/>
      <c r="FG190" s="16"/>
      <c r="FH190" s="17"/>
      <c r="FL190" s="24"/>
      <c r="FM190" s="60"/>
      <c r="FN190" s="16"/>
      <c r="FO190" s="16"/>
      <c r="FP190" s="16"/>
      <c r="FQ190" s="16"/>
      <c r="FR190" s="16"/>
      <c r="FS190" s="17"/>
      <c r="FW190" s="24"/>
      <c r="FX190" s="60"/>
      <c r="FY190" s="16"/>
      <c r="FZ190" s="16"/>
      <c r="GA190" s="16"/>
      <c r="GB190" s="16"/>
      <c r="GC190" s="16"/>
      <c r="GD190" s="17"/>
      <c r="GH190" s="24"/>
      <c r="GI190" s="60"/>
      <c r="GJ190" s="16"/>
      <c r="GK190" s="16"/>
      <c r="GL190" s="16"/>
      <c r="GM190" s="16"/>
      <c r="GN190" s="16"/>
      <c r="GO190" s="17"/>
      <c r="GS190" s="24"/>
      <c r="GT190" s="60"/>
      <c r="GU190" s="16"/>
      <c r="GV190" s="16"/>
      <c r="GW190" s="16"/>
      <c r="GX190" s="16"/>
      <c r="GY190" s="16"/>
      <c r="GZ190" s="17"/>
      <c r="HD190" s="24"/>
      <c r="HE190" s="60"/>
      <c r="HF190" s="16"/>
      <c r="HG190" s="16"/>
      <c r="HH190" s="16"/>
      <c r="HI190" s="16"/>
      <c r="HJ190" s="16"/>
      <c r="HK190" s="17"/>
      <c r="HO190" s="24"/>
      <c r="HP190" s="60"/>
      <c r="HQ190" s="16"/>
      <c r="HR190" s="16"/>
      <c r="HS190" s="16"/>
      <c r="HT190" s="16"/>
      <c r="HU190" s="16"/>
      <c r="HV190" s="17"/>
      <c r="HZ190" s="24"/>
      <c r="IA190" s="60"/>
      <c r="IB190" s="16"/>
      <c r="IC190" s="16"/>
      <c r="ID190" s="16"/>
      <c r="IE190" s="16"/>
      <c r="IF190" s="16"/>
      <c r="IG190" s="17"/>
      <c r="IK190" s="24"/>
      <c r="IL190" s="60"/>
      <c r="IM190" s="16"/>
      <c r="IN190" s="16"/>
      <c r="IO190" s="16"/>
      <c r="IP190" s="16"/>
      <c r="IQ190" s="16"/>
      <c r="IR190" s="17"/>
      <c r="IV190" s="24"/>
      <c r="IW190" s="60"/>
      <c r="IX190" s="16"/>
      <c r="IY190" s="16"/>
      <c r="IZ190" s="16"/>
      <c r="JA190" s="16"/>
      <c r="JB190" s="16"/>
      <c r="JC190" s="17"/>
      <c r="JG190" s="24"/>
      <c r="JH190" s="60"/>
      <c r="JI190" s="16"/>
      <c r="JJ190" s="16"/>
      <c r="JK190" s="16"/>
      <c r="JL190" s="16"/>
      <c r="JM190" s="16"/>
      <c r="JN190" s="17"/>
      <c r="JR190" s="24"/>
      <c r="JS190" s="60"/>
      <c r="JT190" s="16"/>
      <c r="JU190" s="16"/>
      <c r="JV190" s="16"/>
      <c r="JW190" s="16"/>
      <c r="JX190" s="16"/>
      <c r="JY190" s="17"/>
      <c r="KC190" s="24"/>
      <c r="KD190" s="60"/>
      <c r="KE190" s="16"/>
      <c r="KF190" s="16"/>
      <c r="KG190" s="16"/>
      <c r="KH190" s="16"/>
      <c r="KI190" s="16"/>
      <c r="KJ190" s="17"/>
      <c r="KN190" s="24"/>
      <c r="KO190" s="60"/>
      <c r="KP190" s="16"/>
      <c r="KQ190" s="16"/>
      <c r="KR190" s="16"/>
      <c r="KS190" s="16"/>
      <c r="KT190" s="16"/>
      <c r="KU190" s="17"/>
      <c r="KY190" s="24"/>
      <c r="KZ190" s="60"/>
      <c r="LA190" s="16"/>
      <c r="LB190" s="16"/>
      <c r="LC190" s="16"/>
      <c r="LD190" s="16"/>
      <c r="LE190" s="16"/>
      <c r="LF190" s="17"/>
      <c r="LJ190" s="24"/>
      <c r="LK190" s="60"/>
      <c r="LL190" s="16"/>
      <c r="LM190" s="16"/>
      <c r="LN190" s="16"/>
      <c r="LO190" s="16"/>
      <c r="LP190" s="16"/>
      <c r="LQ190" s="17"/>
    </row>
    <row r="191">
      <c r="C191" s="31"/>
      <c r="D191" s="61"/>
      <c r="E191" s="16"/>
      <c r="F191" s="16"/>
      <c r="G191" s="21"/>
      <c r="H191" s="16"/>
      <c r="I191" s="16"/>
      <c r="J191" s="17"/>
      <c r="N191" s="17"/>
      <c r="O191" s="61"/>
      <c r="P191" s="16"/>
      <c r="Q191" s="16"/>
      <c r="R191" s="16"/>
      <c r="S191" s="16"/>
      <c r="T191" s="16"/>
      <c r="U191" s="17"/>
      <c r="Y191" s="24"/>
      <c r="Z191" s="61"/>
      <c r="AA191" s="16"/>
      <c r="AB191" s="16"/>
      <c r="AC191" s="16"/>
      <c r="AD191" s="16"/>
      <c r="AE191" s="16"/>
      <c r="AF191" s="17"/>
      <c r="AJ191" s="24"/>
      <c r="AK191" s="61"/>
      <c r="AL191" s="16"/>
      <c r="AM191" s="16"/>
      <c r="AN191" s="16"/>
      <c r="AO191" s="16"/>
      <c r="AP191" s="16"/>
      <c r="AQ191" s="17"/>
      <c r="AU191" s="24"/>
      <c r="AV191" s="61"/>
      <c r="AW191" s="16"/>
      <c r="AX191" s="16"/>
      <c r="AY191" s="16"/>
      <c r="AZ191" s="16"/>
      <c r="BA191" s="16"/>
      <c r="BB191" s="17"/>
      <c r="BF191" s="24"/>
      <c r="BG191" s="61"/>
      <c r="BH191" s="16"/>
      <c r="BI191" s="16"/>
      <c r="BJ191" s="16"/>
      <c r="BK191" s="16"/>
      <c r="BL191" s="16"/>
      <c r="BM191" s="17"/>
      <c r="BQ191" s="24"/>
      <c r="BR191" s="61"/>
      <c r="BS191" s="16"/>
      <c r="BT191" s="16"/>
      <c r="BU191" s="16"/>
      <c r="BV191" s="16"/>
      <c r="BW191" s="16"/>
      <c r="BX191" s="17"/>
      <c r="CB191" s="24"/>
      <c r="CC191" s="61"/>
      <c r="CD191" s="16"/>
      <c r="CE191" s="16"/>
      <c r="CF191" s="16"/>
      <c r="CG191" s="16"/>
      <c r="CH191" s="16"/>
      <c r="CI191" s="17"/>
      <c r="CM191" s="24"/>
      <c r="CN191" s="61"/>
      <c r="CO191" s="16"/>
      <c r="CP191" s="16"/>
      <c r="CQ191" s="16"/>
      <c r="CR191" s="16"/>
      <c r="CS191" s="16"/>
      <c r="CT191" s="17"/>
      <c r="CX191" s="24"/>
      <c r="CY191" s="60"/>
      <c r="CZ191" s="16"/>
      <c r="DA191" s="16"/>
      <c r="DB191" s="16"/>
      <c r="DC191" s="16"/>
      <c r="DD191" s="16"/>
      <c r="DE191" s="17"/>
      <c r="DI191" s="24"/>
      <c r="DJ191" s="60"/>
      <c r="DK191" s="16"/>
      <c r="DL191" s="16"/>
      <c r="DM191" s="16"/>
      <c r="DN191" s="16"/>
      <c r="DO191" s="16"/>
      <c r="DP191" s="17"/>
      <c r="DT191" s="24"/>
      <c r="DU191" s="60"/>
      <c r="DV191" s="16"/>
      <c r="DW191" s="16"/>
      <c r="DX191" s="16"/>
      <c r="DY191" s="16"/>
      <c r="DZ191" s="16"/>
      <c r="EA191" s="17"/>
      <c r="EE191" s="24"/>
      <c r="EF191" s="60"/>
      <c r="EG191" s="16"/>
      <c r="EH191" s="16"/>
      <c r="EI191" s="16"/>
      <c r="EJ191" s="16"/>
      <c r="EK191" s="16"/>
      <c r="EL191" s="17"/>
      <c r="EP191" s="24"/>
      <c r="EQ191" s="60"/>
      <c r="ER191" s="16"/>
      <c r="ES191" s="16"/>
      <c r="ET191" s="16"/>
      <c r="EU191" s="16"/>
      <c r="EV191" s="16"/>
      <c r="EW191" s="17"/>
      <c r="FA191" s="24"/>
      <c r="FB191" s="60"/>
      <c r="FC191" s="16"/>
      <c r="FD191" s="16"/>
      <c r="FE191" s="16"/>
      <c r="FF191" s="16"/>
      <c r="FG191" s="16"/>
      <c r="FH191" s="17"/>
      <c r="FL191" s="24"/>
      <c r="FM191" s="60"/>
      <c r="FN191" s="16"/>
      <c r="FO191" s="16"/>
      <c r="FP191" s="16"/>
      <c r="FQ191" s="16"/>
      <c r="FR191" s="16"/>
      <c r="FS191" s="17"/>
      <c r="FW191" s="24"/>
      <c r="FX191" s="60"/>
      <c r="FY191" s="16"/>
      <c r="FZ191" s="16"/>
      <c r="GA191" s="16"/>
      <c r="GB191" s="16"/>
      <c r="GC191" s="16"/>
      <c r="GD191" s="17"/>
      <c r="GH191" s="24"/>
      <c r="GI191" s="60"/>
      <c r="GJ191" s="16"/>
      <c r="GK191" s="16"/>
      <c r="GL191" s="16"/>
      <c r="GM191" s="16"/>
      <c r="GN191" s="16"/>
      <c r="GO191" s="17"/>
      <c r="GS191" s="24"/>
      <c r="GT191" s="60"/>
      <c r="GU191" s="16"/>
      <c r="GV191" s="16"/>
      <c r="GW191" s="16"/>
      <c r="GX191" s="16"/>
      <c r="GY191" s="16"/>
      <c r="GZ191" s="17"/>
      <c r="HD191" s="24"/>
      <c r="HE191" s="60"/>
      <c r="HF191" s="16"/>
      <c r="HG191" s="16"/>
      <c r="HH191" s="16"/>
      <c r="HI191" s="16"/>
      <c r="HJ191" s="16"/>
      <c r="HK191" s="17"/>
      <c r="HO191" s="24"/>
      <c r="HP191" s="60"/>
      <c r="HQ191" s="16"/>
      <c r="HR191" s="16"/>
      <c r="HS191" s="16"/>
      <c r="HT191" s="16"/>
      <c r="HU191" s="16"/>
      <c r="HV191" s="17"/>
      <c r="HZ191" s="24"/>
      <c r="IA191" s="60"/>
      <c r="IB191" s="16"/>
      <c r="IC191" s="16"/>
      <c r="ID191" s="16"/>
      <c r="IE191" s="16"/>
      <c r="IF191" s="16"/>
      <c r="IG191" s="17"/>
      <c r="IK191" s="24"/>
      <c r="IL191" s="60"/>
      <c r="IM191" s="16"/>
      <c r="IN191" s="16"/>
      <c r="IO191" s="16"/>
      <c r="IP191" s="16"/>
      <c r="IQ191" s="16"/>
      <c r="IR191" s="17"/>
      <c r="IV191" s="24"/>
      <c r="IW191" s="60"/>
      <c r="IX191" s="16"/>
      <c r="IY191" s="16"/>
      <c r="IZ191" s="16"/>
      <c r="JA191" s="16"/>
      <c r="JB191" s="16"/>
      <c r="JC191" s="17"/>
      <c r="JG191" s="24"/>
      <c r="JH191" s="60"/>
      <c r="JI191" s="16"/>
      <c r="JJ191" s="16"/>
      <c r="JK191" s="16"/>
      <c r="JL191" s="16"/>
      <c r="JM191" s="16"/>
      <c r="JN191" s="17"/>
      <c r="JR191" s="24"/>
      <c r="JS191" s="60"/>
      <c r="JT191" s="16"/>
      <c r="JU191" s="16"/>
      <c r="JV191" s="16"/>
      <c r="JW191" s="16"/>
      <c r="JX191" s="16"/>
      <c r="JY191" s="17"/>
      <c r="KC191" s="24"/>
      <c r="KD191" s="60"/>
      <c r="KE191" s="16"/>
      <c r="KF191" s="16"/>
      <c r="KG191" s="16"/>
      <c r="KH191" s="16"/>
      <c r="KI191" s="16"/>
      <c r="KJ191" s="17"/>
      <c r="KN191" s="24"/>
      <c r="KO191" s="60"/>
      <c r="KP191" s="16"/>
      <c r="KQ191" s="16"/>
      <c r="KR191" s="16"/>
      <c r="KS191" s="16"/>
      <c r="KT191" s="16"/>
      <c r="KU191" s="17"/>
      <c r="KY191" s="24"/>
      <c r="KZ191" s="60"/>
      <c r="LA191" s="16"/>
      <c r="LB191" s="16"/>
      <c r="LC191" s="16"/>
      <c r="LD191" s="16"/>
      <c r="LE191" s="16"/>
      <c r="LF191" s="17"/>
      <c r="LJ191" s="24"/>
      <c r="LK191" s="60"/>
      <c r="LL191" s="16"/>
      <c r="LM191" s="16"/>
      <c r="LN191" s="16"/>
      <c r="LO191" s="16"/>
      <c r="LP191" s="16"/>
      <c r="LQ191" s="17"/>
    </row>
    <row r="192">
      <c r="C192" s="31"/>
      <c r="D192" s="61"/>
      <c r="E192" s="16"/>
      <c r="F192" s="16"/>
      <c r="G192" s="21"/>
      <c r="H192" s="16"/>
      <c r="I192" s="16"/>
      <c r="J192" s="17"/>
      <c r="N192" s="17"/>
      <c r="O192" s="61"/>
      <c r="P192" s="16"/>
      <c r="Q192" s="16"/>
      <c r="R192" s="16"/>
      <c r="S192" s="16"/>
      <c r="T192" s="16"/>
      <c r="U192" s="17"/>
      <c r="Y192" s="24"/>
      <c r="Z192" s="61"/>
      <c r="AA192" s="16"/>
      <c r="AB192" s="16"/>
      <c r="AC192" s="16"/>
      <c r="AD192" s="16"/>
      <c r="AE192" s="16"/>
      <c r="AF192" s="17"/>
      <c r="AJ192" s="24"/>
      <c r="AK192" s="61"/>
      <c r="AL192" s="16"/>
      <c r="AM192" s="16"/>
      <c r="AN192" s="16"/>
      <c r="AO192" s="16"/>
      <c r="AP192" s="16"/>
      <c r="AQ192" s="17"/>
      <c r="AU192" s="24"/>
      <c r="AV192" s="61"/>
      <c r="AW192" s="16"/>
      <c r="AX192" s="16"/>
      <c r="AY192" s="16"/>
      <c r="AZ192" s="16"/>
      <c r="BA192" s="16"/>
      <c r="BB192" s="17"/>
      <c r="BF192" s="24"/>
      <c r="BG192" s="61"/>
      <c r="BH192" s="16"/>
      <c r="BI192" s="16"/>
      <c r="BJ192" s="16"/>
      <c r="BK192" s="16"/>
      <c r="BL192" s="16"/>
      <c r="BM192" s="17"/>
      <c r="BQ192" s="24"/>
      <c r="BR192" s="61"/>
      <c r="BS192" s="16"/>
      <c r="BT192" s="16"/>
      <c r="BU192" s="16"/>
      <c r="BV192" s="16"/>
      <c r="BW192" s="16"/>
      <c r="BX192" s="17"/>
      <c r="CB192" s="24"/>
      <c r="CC192" s="61"/>
      <c r="CD192" s="16"/>
      <c r="CE192" s="16"/>
      <c r="CF192" s="16"/>
      <c r="CG192" s="16"/>
      <c r="CH192" s="16"/>
      <c r="CI192" s="17"/>
      <c r="CM192" s="24"/>
      <c r="CN192" s="61"/>
      <c r="CO192" s="16"/>
      <c r="CP192" s="16"/>
      <c r="CQ192" s="16"/>
      <c r="CR192" s="16"/>
      <c r="CS192" s="16"/>
      <c r="CT192" s="17"/>
      <c r="CX192" s="24"/>
      <c r="CY192" s="60"/>
      <c r="CZ192" s="16"/>
      <c r="DA192" s="16"/>
      <c r="DB192" s="16"/>
      <c r="DC192" s="16"/>
      <c r="DD192" s="16"/>
      <c r="DE192" s="17"/>
      <c r="DI192" s="24"/>
      <c r="DJ192" s="60"/>
      <c r="DK192" s="16"/>
      <c r="DL192" s="16"/>
      <c r="DM192" s="16"/>
      <c r="DN192" s="16"/>
      <c r="DO192" s="16"/>
      <c r="DP192" s="17"/>
      <c r="DT192" s="24"/>
      <c r="DU192" s="60"/>
      <c r="DV192" s="16"/>
      <c r="DW192" s="16"/>
      <c r="DX192" s="16"/>
      <c r="DY192" s="16"/>
      <c r="DZ192" s="16"/>
      <c r="EA192" s="17"/>
      <c r="EE192" s="24"/>
      <c r="EF192" s="60"/>
      <c r="EG192" s="16"/>
      <c r="EH192" s="16"/>
      <c r="EI192" s="16"/>
      <c r="EJ192" s="16"/>
      <c r="EK192" s="16"/>
      <c r="EL192" s="17"/>
      <c r="EP192" s="24"/>
      <c r="EQ192" s="60"/>
      <c r="ER192" s="16"/>
      <c r="ES192" s="16"/>
      <c r="ET192" s="16"/>
      <c r="EU192" s="16"/>
      <c r="EV192" s="16"/>
      <c r="EW192" s="17"/>
      <c r="FA192" s="24"/>
      <c r="FB192" s="60"/>
      <c r="FC192" s="16"/>
      <c r="FD192" s="16"/>
      <c r="FE192" s="16"/>
      <c r="FF192" s="16"/>
      <c r="FG192" s="16"/>
      <c r="FH192" s="17"/>
      <c r="FL192" s="24"/>
      <c r="FM192" s="60"/>
      <c r="FN192" s="16"/>
      <c r="FO192" s="16"/>
      <c r="FP192" s="16"/>
      <c r="FQ192" s="16"/>
      <c r="FR192" s="16"/>
      <c r="FS192" s="17"/>
      <c r="FW192" s="24"/>
      <c r="FX192" s="60"/>
      <c r="FY192" s="16"/>
      <c r="FZ192" s="16"/>
      <c r="GA192" s="16"/>
      <c r="GB192" s="16"/>
      <c r="GC192" s="16"/>
      <c r="GD192" s="17"/>
      <c r="GH192" s="24"/>
      <c r="GI192" s="60"/>
      <c r="GJ192" s="16"/>
      <c r="GK192" s="16"/>
      <c r="GL192" s="16"/>
      <c r="GM192" s="16"/>
      <c r="GN192" s="16"/>
      <c r="GO192" s="17"/>
      <c r="GS192" s="24"/>
      <c r="GT192" s="60"/>
      <c r="GU192" s="16"/>
      <c r="GV192" s="16"/>
      <c r="GW192" s="16"/>
      <c r="GX192" s="16"/>
      <c r="GY192" s="16"/>
      <c r="GZ192" s="17"/>
      <c r="HD192" s="24"/>
      <c r="HE192" s="60"/>
      <c r="HF192" s="16"/>
      <c r="HG192" s="16"/>
      <c r="HH192" s="16"/>
      <c r="HI192" s="16"/>
      <c r="HJ192" s="16"/>
      <c r="HK192" s="17"/>
      <c r="HO192" s="24"/>
      <c r="HP192" s="60"/>
      <c r="HQ192" s="16"/>
      <c r="HR192" s="16"/>
      <c r="HS192" s="16"/>
      <c r="HT192" s="16"/>
      <c r="HU192" s="16"/>
      <c r="HV192" s="17"/>
      <c r="HZ192" s="24"/>
      <c r="IA192" s="60"/>
      <c r="IB192" s="16"/>
      <c r="IC192" s="16"/>
      <c r="ID192" s="16"/>
      <c r="IE192" s="16"/>
      <c r="IF192" s="16"/>
      <c r="IG192" s="17"/>
      <c r="IK192" s="24"/>
      <c r="IL192" s="60"/>
      <c r="IM192" s="16"/>
      <c r="IN192" s="16"/>
      <c r="IO192" s="16"/>
      <c r="IP192" s="16"/>
      <c r="IQ192" s="16"/>
      <c r="IR192" s="17"/>
      <c r="IV192" s="24"/>
      <c r="IW192" s="60"/>
      <c r="IX192" s="16"/>
      <c r="IY192" s="16"/>
      <c r="IZ192" s="16"/>
      <c r="JA192" s="16"/>
      <c r="JB192" s="16"/>
      <c r="JC192" s="17"/>
      <c r="JG192" s="24"/>
      <c r="JH192" s="60"/>
      <c r="JI192" s="16"/>
      <c r="JJ192" s="16"/>
      <c r="JK192" s="16"/>
      <c r="JL192" s="16"/>
      <c r="JM192" s="16"/>
      <c r="JN192" s="17"/>
      <c r="JR192" s="24"/>
      <c r="JS192" s="60"/>
      <c r="JT192" s="16"/>
      <c r="JU192" s="16"/>
      <c r="JV192" s="16"/>
      <c r="JW192" s="16"/>
      <c r="JX192" s="16"/>
      <c r="JY192" s="17"/>
      <c r="KC192" s="24"/>
      <c r="KD192" s="60"/>
      <c r="KE192" s="16"/>
      <c r="KF192" s="16"/>
      <c r="KG192" s="16"/>
      <c r="KH192" s="16"/>
      <c r="KI192" s="16"/>
      <c r="KJ192" s="17"/>
      <c r="KN192" s="24"/>
      <c r="KO192" s="60"/>
      <c r="KP192" s="16"/>
      <c r="KQ192" s="16"/>
      <c r="KR192" s="16"/>
      <c r="KS192" s="16"/>
      <c r="KT192" s="16"/>
      <c r="KU192" s="17"/>
      <c r="KY192" s="24"/>
      <c r="KZ192" s="60"/>
      <c r="LA192" s="16"/>
      <c r="LB192" s="16"/>
      <c r="LC192" s="16"/>
      <c r="LD192" s="16"/>
      <c r="LE192" s="16"/>
      <c r="LF192" s="17"/>
      <c r="LJ192" s="24"/>
      <c r="LK192" s="60"/>
      <c r="LL192" s="16"/>
      <c r="LM192" s="16"/>
      <c r="LN192" s="16"/>
      <c r="LO192" s="16"/>
      <c r="LP192" s="16"/>
      <c r="LQ192" s="17"/>
    </row>
    <row r="193">
      <c r="C193" s="31"/>
      <c r="D193" s="61"/>
      <c r="E193" s="16"/>
      <c r="F193" s="16"/>
      <c r="G193" s="21"/>
      <c r="H193" s="16"/>
      <c r="I193" s="16"/>
      <c r="J193" s="17"/>
      <c r="N193" s="17"/>
      <c r="O193" s="61"/>
      <c r="P193" s="16"/>
      <c r="Q193" s="16"/>
      <c r="R193" s="16"/>
      <c r="S193" s="16"/>
      <c r="T193" s="16"/>
      <c r="U193" s="17"/>
      <c r="Y193" s="24"/>
      <c r="Z193" s="61"/>
      <c r="AA193" s="16"/>
      <c r="AB193" s="16"/>
      <c r="AC193" s="16"/>
      <c r="AD193" s="16"/>
      <c r="AE193" s="16"/>
      <c r="AF193" s="17"/>
      <c r="AJ193" s="24"/>
      <c r="AK193" s="61"/>
      <c r="AL193" s="16"/>
      <c r="AM193" s="16"/>
      <c r="AN193" s="16"/>
      <c r="AO193" s="16"/>
      <c r="AP193" s="16"/>
      <c r="AQ193" s="17"/>
      <c r="AU193" s="24"/>
      <c r="AV193" s="61"/>
      <c r="AW193" s="16"/>
      <c r="AX193" s="16"/>
      <c r="AY193" s="16"/>
      <c r="AZ193" s="16"/>
      <c r="BA193" s="16"/>
      <c r="BB193" s="17"/>
      <c r="BF193" s="24"/>
      <c r="BG193" s="61"/>
      <c r="BH193" s="16"/>
      <c r="BI193" s="16"/>
      <c r="BJ193" s="16"/>
      <c r="BK193" s="16"/>
      <c r="BL193" s="16"/>
      <c r="BM193" s="17"/>
      <c r="BQ193" s="24"/>
      <c r="BR193" s="61"/>
      <c r="BS193" s="16"/>
      <c r="BT193" s="16"/>
      <c r="BU193" s="16"/>
      <c r="BV193" s="16"/>
      <c r="BW193" s="16"/>
      <c r="BX193" s="17"/>
      <c r="CB193" s="24"/>
      <c r="CC193" s="61"/>
      <c r="CD193" s="16"/>
      <c r="CE193" s="16"/>
      <c r="CF193" s="16"/>
      <c r="CG193" s="16"/>
      <c r="CH193" s="16"/>
      <c r="CI193" s="17"/>
      <c r="CM193" s="24"/>
      <c r="CN193" s="61"/>
      <c r="CO193" s="16"/>
      <c r="CP193" s="16"/>
      <c r="CQ193" s="16"/>
      <c r="CR193" s="16"/>
      <c r="CS193" s="16"/>
      <c r="CT193" s="17"/>
      <c r="CX193" s="24"/>
      <c r="CY193" s="60"/>
      <c r="CZ193" s="16"/>
      <c r="DA193" s="16"/>
      <c r="DB193" s="16"/>
      <c r="DC193" s="16"/>
      <c r="DD193" s="16"/>
      <c r="DE193" s="17"/>
      <c r="DI193" s="24"/>
      <c r="DJ193" s="60"/>
      <c r="DK193" s="16"/>
      <c r="DL193" s="16"/>
      <c r="DM193" s="16"/>
      <c r="DN193" s="16"/>
      <c r="DO193" s="16"/>
      <c r="DP193" s="17"/>
      <c r="DT193" s="24"/>
      <c r="DU193" s="60"/>
      <c r="DV193" s="16"/>
      <c r="DW193" s="16"/>
      <c r="DX193" s="16"/>
      <c r="DY193" s="16"/>
      <c r="DZ193" s="16"/>
      <c r="EA193" s="17"/>
      <c r="EE193" s="24"/>
      <c r="EF193" s="60"/>
      <c r="EG193" s="16"/>
      <c r="EH193" s="16"/>
      <c r="EI193" s="16"/>
      <c r="EJ193" s="16"/>
      <c r="EK193" s="16"/>
      <c r="EL193" s="17"/>
      <c r="EP193" s="24"/>
      <c r="EQ193" s="60"/>
      <c r="ER193" s="16"/>
      <c r="ES193" s="16"/>
      <c r="ET193" s="16"/>
      <c r="EU193" s="16"/>
      <c r="EV193" s="16"/>
      <c r="EW193" s="17"/>
      <c r="FA193" s="24"/>
      <c r="FB193" s="60"/>
      <c r="FC193" s="16"/>
      <c r="FD193" s="16"/>
      <c r="FE193" s="16"/>
      <c r="FF193" s="16"/>
      <c r="FG193" s="16"/>
      <c r="FH193" s="17"/>
      <c r="FL193" s="24"/>
      <c r="FM193" s="60"/>
      <c r="FN193" s="16"/>
      <c r="FO193" s="16"/>
      <c r="FP193" s="16"/>
      <c r="FQ193" s="16"/>
      <c r="FR193" s="16"/>
      <c r="FS193" s="17"/>
      <c r="FW193" s="24"/>
      <c r="FX193" s="60"/>
      <c r="FY193" s="16"/>
      <c r="FZ193" s="16"/>
      <c r="GA193" s="16"/>
      <c r="GB193" s="16"/>
      <c r="GC193" s="16"/>
      <c r="GD193" s="17"/>
      <c r="GH193" s="24"/>
      <c r="GI193" s="60"/>
      <c r="GJ193" s="16"/>
      <c r="GK193" s="16"/>
      <c r="GL193" s="16"/>
      <c r="GM193" s="16"/>
      <c r="GN193" s="16"/>
      <c r="GO193" s="17"/>
      <c r="GS193" s="24"/>
      <c r="GT193" s="60"/>
      <c r="GU193" s="16"/>
      <c r="GV193" s="16"/>
      <c r="GW193" s="16"/>
      <c r="GX193" s="16"/>
      <c r="GY193" s="16"/>
      <c r="GZ193" s="17"/>
      <c r="HD193" s="24"/>
      <c r="HE193" s="60"/>
      <c r="HF193" s="16"/>
      <c r="HG193" s="16"/>
      <c r="HH193" s="16"/>
      <c r="HI193" s="16"/>
      <c r="HJ193" s="16"/>
      <c r="HK193" s="17"/>
      <c r="HO193" s="24"/>
      <c r="HP193" s="60"/>
      <c r="HQ193" s="16"/>
      <c r="HR193" s="16"/>
      <c r="HS193" s="16"/>
      <c r="HT193" s="16"/>
      <c r="HU193" s="16"/>
      <c r="HV193" s="17"/>
      <c r="HZ193" s="24"/>
      <c r="IA193" s="60"/>
      <c r="IB193" s="16"/>
      <c r="IC193" s="16"/>
      <c r="ID193" s="16"/>
      <c r="IE193" s="16"/>
      <c r="IF193" s="16"/>
      <c r="IG193" s="17"/>
      <c r="IK193" s="24"/>
      <c r="IL193" s="60"/>
      <c r="IM193" s="16"/>
      <c r="IN193" s="16"/>
      <c r="IO193" s="16"/>
      <c r="IP193" s="16"/>
      <c r="IQ193" s="16"/>
      <c r="IR193" s="17"/>
      <c r="IV193" s="24"/>
      <c r="IW193" s="60"/>
      <c r="IX193" s="16"/>
      <c r="IY193" s="16"/>
      <c r="IZ193" s="16"/>
      <c r="JA193" s="16"/>
      <c r="JB193" s="16"/>
      <c r="JC193" s="17"/>
      <c r="JG193" s="24"/>
      <c r="JH193" s="60"/>
      <c r="JI193" s="16"/>
      <c r="JJ193" s="16"/>
      <c r="JK193" s="16"/>
      <c r="JL193" s="16"/>
      <c r="JM193" s="16"/>
      <c r="JN193" s="17"/>
      <c r="JR193" s="24"/>
      <c r="JS193" s="60"/>
      <c r="JT193" s="16"/>
      <c r="JU193" s="16"/>
      <c r="JV193" s="16"/>
      <c r="JW193" s="16"/>
      <c r="JX193" s="16"/>
      <c r="JY193" s="17"/>
      <c r="KC193" s="24"/>
      <c r="KD193" s="60"/>
      <c r="KE193" s="16"/>
      <c r="KF193" s="16"/>
      <c r="KG193" s="16"/>
      <c r="KH193" s="16"/>
      <c r="KI193" s="16"/>
      <c r="KJ193" s="17"/>
      <c r="KN193" s="24"/>
      <c r="KO193" s="60"/>
      <c r="KP193" s="16"/>
      <c r="KQ193" s="16"/>
      <c r="KR193" s="16"/>
      <c r="KS193" s="16"/>
      <c r="KT193" s="16"/>
      <c r="KU193" s="17"/>
      <c r="KY193" s="24"/>
      <c r="KZ193" s="60"/>
      <c r="LA193" s="16"/>
      <c r="LB193" s="16"/>
      <c r="LC193" s="16"/>
      <c r="LD193" s="16"/>
      <c r="LE193" s="16"/>
      <c r="LF193" s="17"/>
      <c r="LJ193" s="24"/>
      <c r="LK193" s="60"/>
      <c r="LL193" s="16"/>
      <c r="LM193" s="16"/>
      <c r="LN193" s="16"/>
      <c r="LO193" s="16"/>
      <c r="LP193" s="16"/>
      <c r="LQ193" s="17"/>
    </row>
    <row r="194">
      <c r="C194" s="31"/>
      <c r="D194" s="61"/>
      <c r="E194" s="16"/>
      <c r="F194" s="16"/>
      <c r="G194" s="21"/>
      <c r="H194" s="16"/>
      <c r="I194" s="16"/>
      <c r="J194" s="17"/>
      <c r="N194" s="17"/>
      <c r="O194" s="61"/>
      <c r="P194" s="16"/>
      <c r="Q194" s="16"/>
      <c r="R194" s="16"/>
      <c r="S194" s="16"/>
      <c r="T194" s="16"/>
      <c r="U194" s="17"/>
      <c r="Y194" s="24"/>
      <c r="Z194" s="61"/>
      <c r="AA194" s="16"/>
      <c r="AB194" s="16"/>
      <c r="AC194" s="16"/>
      <c r="AD194" s="16"/>
      <c r="AE194" s="16"/>
      <c r="AF194" s="17"/>
      <c r="AJ194" s="24"/>
      <c r="AK194" s="61"/>
      <c r="AL194" s="16"/>
      <c r="AM194" s="16"/>
      <c r="AN194" s="16"/>
      <c r="AO194" s="16"/>
      <c r="AP194" s="16"/>
      <c r="AQ194" s="17"/>
      <c r="AU194" s="24"/>
      <c r="AV194" s="61"/>
      <c r="AW194" s="16"/>
      <c r="AX194" s="16"/>
      <c r="AY194" s="16"/>
      <c r="AZ194" s="16"/>
      <c r="BA194" s="16"/>
      <c r="BB194" s="17"/>
      <c r="BF194" s="24"/>
      <c r="BG194" s="61"/>
      <c r="BH194" s="16"/>
      <c r="BI194" s="16"/>
      <c r="BJ194" s="16"/>
      <c r="BK194" s="16"/>
      <c r="BL194" s="16"/>
      <c r="BM194" s="17"/>
      <c r="BQ194" s="24"/>
      <c r="BR194" s="61"/>
      <c r="BS194" s="16"/>
      <c r="BT194" s="16"/>
      <c r="BU194" s="16"/>
      <c r="BV194" s="16"/>
      <c r="BW194" s="16"/>
      <c r="BX194" s="17"/>
      <c r="CB194" s="24"/>
      <c r="CC194" s="61"/>
      <c r="CD194" s="16"/>
      <c r="CE194" s="16"/>
      <c r="CF194" s="16"/>
      <c r="CG194" s="16"/>
      <c r="CH194" s="16"/>
      <c r="CI194" s="17"/>
      <c r="CM194" s="24"/>
      <c r="CN194" s="61"/>
      <c r="CO194" s="16"/>
      <c r="CP194" s="16"/>
      <c r="CQ194" s="16"/>
      <c r="CR194" s="16"/>
      <c r="CS194" s="16"/>
      <c r="CT194" s="17"/>
      <c r="CX194" s="24"/>
      <c r="CY194" s="60"/>
      <c r="CZ194" s="16"/>
      <c r="DA194" s="16"/>
      <c r="DB194" s="16"/>
      <c r="DC194" s="16"/>
      <c r="DD194" s="16"/>
      <c r="DE194" s="17"/>
      <c r="DI194" s="24"/>
      <c r="DJ194" s="60"/>
      <c r="DK194" s="16"/>
      <c r="DL194" s="16"/>
      <c r="DM194" s="16"/>
      <c r="DN194" s="16"/>
      <c r="DO194" s="16"/>
      <c r="DP194" s="17"/>
      <c r="DT194" s="24"/>
      <c r="DU194" s="60"/>
      <c r="DV194" s="16"/>
      <c r="DW194" s="16"/>
      <c r="DX194" s="16"/>
      <c r="DY194" s="16"/>
      <c r="DZ194" s="16"/>
      <c r="EA194" s="17"/>
      <c r="EE194" s="24"/>
      <c r="EF194" s="60"/>
      <c r="EG194" s="16"/>
      <c r="EH194" s="16"/>
      <c r="EI194" s="16"/>
      <c r="EJ194" s="16"/>
      <c r="EK194" s="16"/>
      <c r="EL194" s="17"/>
      <c r="EP194" s="24"/>
      <c r="EQ194" s="60"/>
      <c r="ER194" s="16"/>
      <c r="ES194" s="16"/>
      <c r="ET194" s="16"/>
      <c r="EU194" s="16"/>
      <c r="EV194" s="16"/>
      <c r="EW194" s="17"/>
      <c r="FA194" s="24"/>
      <c r="FB194" s="60"/>
      <c r="FC194" s="16"/>
      <c r="FD194" s="16"/>
      <c r="FE194" s="16"/>
      <c r="FF194" s="16"/>
      <c r="FG194" s="16"/>
      <c r="FH194" s="17"/>
      <c r="FL194" s="24"/>
      <c r="FM194" s="60"/>
      <c r="FN194" s="16"/>
      <c r="FO194" s="16"/>
      <c r="FP194" s="16"/>
      <c r="FQ194" s="16"/>
      <c r="FR194" s="16"/>
      <c r="FS194" s="17"/>
      <c r="FW194" s="24"/>
      <c r="FX194" s="60"/>
      <c r="FY194" s="16"/>
      <c r="FZ194" s="16"/>
      <c r="GA194" s="16"/>
      <c r="GB194" s="16"/>
      <c r="GC194" s="16"/>
      <c r="GD194" s="17"/>
      <c r="GH194" s="24"/>
      <c r="GI194" s="60"/>
      <c r="GJ194" s="16"/>
      <c r="GK194" s="16"/>
      <c r="GL194" s="16"/>
      <c r="GM194" s="16"/>
      <c r="GN194" s="16"/>
      <c r="GO194" s="17"/>
      <c r="GS194" s="24"/>
      <c r="GT194" s="60"/>
      <c r="GU194" s="16"/>
      <c r="GV194" s="16"/>
      <c r="GW194" s="16"/>
      <c r="GX194" s="16"/>
      <c r="GY194" s="16"/>
      <c r="GZ194" s="17"/>
      <c r="HD194" s="24"/>
      <c r="HE194" s="60"/>
      <c r="HF194" s="16"/>
      <c r="HG194" s="16"/>
      <c r="HH194" s="16"/>
      <c r="HI194" s="16"/>
      <c r="HJ194" s="16"/>
      <c r="HK194" s="17"/>
      <c r="HO194" s="24"/>
      <c r="HP194" s="60"/>
      <c r="HQ194" s="16"/>
      <c r="HR194" s="16"/>
      <c r="HS194" s="16"/>
      <c r="HT194" s="16"/>
      <c r="HU194" s="16"/>
      <c r="HV194" s="17"/>
      <c r="HZ194" s="24"/>
      <c r="IA194" s="60"/>
      <c r="IB194" s="16"/>
      <c r="IC194" s="16"/>
      <c r="ID194" s="16"/>
      <c r="IE194" s="16"/>
      <c r="IF194" s="16"/>
      <c r="IG194" s="17"/>
      <c r="IK194" s="24"/>
      <c r="IL194" s="60"/>
      <c r="IM194" s="16"/>
      <c r="IN194" s="16"/>
      <c r="IO194" s="16"/>
      <c r="IP194" s="16"/>
      <c r="IQ194" s="16"/>
      <c r="IR194" s="17"/>
      <c r="IV194" s="24"/>
      <c r="IW194" s="60"/>
      <c r="IX194" s="16"/>
      <c r="IY194" s="16"/>
      <c r="IZ194" s="16"/>
      <c r="JA194" s="16"/>
      <c r="JB194" s="16"/>
      <c r="JC194" s="17"/>
      <c r="JG194" s="24"/>
      <c r="JH194" s="60"/>
      <c r="JI194" s="16"/>
      <c r="JJ194" s="16"/>
      <c r="JK194" s="16"/>
      <c r="JL194" s="16"/>
      <c r="JM194" s="16"/>
      <c r="JN194" s="17"/>
      <c r="JR194" s="24"/>
      <c r="JS194" s="60"/>
      <c r="JT194" s="16"/>
      <c r="JU194" s="16"/>
      <c r="JV194" s="16"/>
      <c r="JW194" s="16"/>
      <c r="JX194" s="16"/>
      <c r="JY194" s="17"/>
      <c r="KC194" s="24"/>
      <c r="KD194" s="60"/>
      <c r="KE194" s="16"/>
      <c r="KF194" s="16"/>
      <c r="KG194" s="16"/>
      <c r="KH194" s="16"/>
      <c r="KI194" s="16"/>
      <c r="KJ194" s="17"/>
      <c r="KN194" s="24"/>
      <c r="KO194" s="60"/>
      <c r="KP194" s="16"/>
      <c r="KQ194" s="16"/>
      <c r="KR194" s="16"/>
      <c r="KS194" s="16"/>
      <c r="KT194" s="16"/>
      <c r="KU194" s="17"/>
      <c r="KY194" s="24"/>
      <c r="KZ194" s="60"/>
      <c r="LA194" s="16"/>
      <c r="LB194" s="16"/>
      <c r="LC194" s="16"/>
      <c r="LD194" s="16"/>
      <c r="LE194" s="16"/>
      <c r="LF194" s="17"/>
      <c r="LJ194" s="24"/>
      <c r="LK194" s="60"/>
      <c r="LL194" s="16"/>
      <c r="LM194" s="16"/>
      <c r="LN194" s="16"/>
      <c r="LO194" s="16"/>
      <c r="LP194" s="16"/>
      <c r="LQ194" s="17"/>
    </row>
    <row r="195">
      <c r="C195" s="31"/>
      <c r="D195" s="61"/>
      <c r="E195" s="16"/>
      <c r="F195" s="16"/>
      <c r="G195" s="21"/>
      <c r="H195" s="16"/>
      <c r="I195" s="16"/>
      <c r="J195" s="17"/>
      <c r="N195" s="17"/>
      <c r="O195" s="61"/>
      <c r="P195" s="16"/>
      <c r="Q195" s="16"/>
      <c r="R195" s="16"/>
      <c r="S195" s="16"/>
      <c r="T195" s="16"/>
      <c r="U195" s="17"/>
      <c r="Y195" s="24"/>
      <c r="Z195" s="61"/>
      <c r="AA195" s="16"/>
      <c r="AB195" s="16"/>
      <c r="AC195" s="16"/>
      <c r="AD195" s="16"/>
      <c r="AE195" s="16"/>
      <c r="AF195" s="17"/>
      <c r="AJ195" s="24"/>
      <c r="AK195" s="61"/>
      <c r="AL195" s="16"/>
      <c r="AM195" s="16"/>
      <c r="AN195" s="16"/>
      <c r="AO195" s="16"/>
      <c r="AP195" s="16"/>
      <c r="AQ195" s="17"/>
      <c r="AU195" s="24"/>
      <c r="AV195" s="61"/>
      <c r="AW195" s="16"/>
      <c r="AX195" s="16"/>
      <c r="AY195" s="16"/>
      <c r="AZ195" s="16"/>
      <c r="BA195" s="16"/>
      <c r="BB195" s="17"/>
      <c r="BF195" s="24"/>
      <c r="BG195" s="61"/>
      <c r="BH195" s="16"/>
      <c r="BI195" s="16"/>
      <c r="BJ195" s="16"/>
      <c r="BK195" s="16"/>
      <c r="BL195" s="16"/>
      <c r="BM195" s="17"/>
      <c r="BQ195" s="24"/>
      <c r="BR195" s="61"/>
      <c r="BS195" s="16"/>
      <c r="BT195" s="16"/>
      <c r="BU195" s="16"/>
      <c r="BV195" s="16"/>
      <c r="BW195" s="16"/>
      <c r="BX195" s="17"/>
      <c r="CB195" s="24"/>
      <c r="CC195" s="61"/>
      <c r="CD195" s="16"/>
      <c r="CE195" s="16"/>
      <c r="CF195" s="16"/>
      <c r="CG195" s="16"/>
      <c r="CH195" s="16"/>
      <c r="CI195" s="17"/>
      <c r="CM195" s="24"/>
      <c r="CN195" s="61"/>
      <c r="CO195" s="16"/>
      <c r="CP195" s="16"/>
      <c r="CQ195" s="16"/>
      <c r="CR195" s="16"/>
      <c r="CS195" s="16"/>
      <c r="CT195" s="17"/>
      <c r="CX195" s="24"/>
      <c r="CY195" s="60"/>
      <c r="CZ195" s="16"/>
      <c r="DA195" s="16"/>
      <c r="DB195" s="16"/>
      <c r="DC195" s="16"/>
      <c r="DD195" s="16"/>
      <c r="DE195" s="17"/>
      <c r="DI195" s="24"/>
      <c r="DJ195" s="60"/>
      <c r="DK195" s="16"/>
      <c r="DL195" s="16"/>
      <c r="DM195" s="16"/>
      <c r="DN195" s="16"/>
      <c r="DO195" s="16"/>
      <c r="DP195" s="17"/>
      <c r="DT195" s="24"/>
      <c r="DU195" s="60"/>
      <c r="DV195" s="16"/>
      <c r="DW195" s="16"/>
      <c r="DX195" s="16"/>
      <c r="DY195" s="16"/>
      <c r="DZ195" s="16"/>
      <c r="EA195" s="17"/>
      <c r="EE195" s="24"/>
      <c r="EF195" s="60"/>
      <c r="EG195" s="16"/>
      <c r="EH195" s="16"/>
      <c r="EI195" s="16"/>
      <c r="EJ195" s="16"/>
      <c r="EK195" s="16"/>
      <c r="EL195" s="17"/>
      <c r="EP195" s="24"/>
      <c r="EQ195" s="60"/>
      <c r="ER195" s="16"/>
      <c r="ES195" s="16"/>
      <c r="ET195" s="16"/>
      <c r="EU195" s="16"/>
      <c r="EV195" s="16"/>
      <c r="EW195" s="17"/>
      <c r="FA195" s="24"/>
      <c r="FB195" s="60"/>
      <c r="FC195" s="16"/>
      <c r="FD195" s="16"/>
      <c r="FE195" s="16"/>
      <c r="FF195" s="16"/>
      <c r="FG195" s="16"/>
      <c r="FH195" s="17"/>
      <c r="FL195" s="24"/>
      <c r="FM195" s="60"/>
      <c r="FN195" s="16"/>
      <c r="FO195" s="16"/>
      <c r="FP195" s="16"/>
      <c r="FQ195" s="16"/>
      <c r="FR195" s="16"/>
      <c r="FS195" s="17"/>
      <c r="FW195" s="24"/>
      <c r="FX195" s="60"/>
      <c r="FY195" s="16"/>
      <c r="FZ195" s="16"/>
      <c r="GA195" s="16"/>
      <c r="GB195" s="16"/>
      <c r="GC195" s="16"/>
      <c r="GD195" s="17"/>
      <c r="GH195" s="24"/>
      <c r="GI195" s="60"/>
      <c r="GJ195" s="16"/>
      <c r="GK195" s="16"/>
      <c r="GL195" s="16"/>
      <c r="GM195" s="16"/>
      <c r="GN195" s="16"/>
      <c r="GO195" s="17"/>
      <c r="GS195" s="24"/>
      <c r="GT195" s="60"/>
      <c r="GU195" s="16"/>
      <c r="GV195" s="16"/>
      <c r="GW195" s="16"/>
      <c r="GX195" s="16"/>
      <c r="GY195" s="16"/>
      <c r="GZ195" s="17"/>
      <c r="HD195" s="24"/>
      <c r="HE195" s="60"/>
      <c r="HF195" s="16"/>
      <c r="HG195" s="16"/>
      <c r="HH195" s="16"/>
      <c r="HI195" s="16"/>
      <c r="HJ195" s="16"/>
      <c r="HK195" s="17"/>
      <c r="HO195" s="24"/>
      <c r="HP195" s="60"/>
      <c r="HQ195" s="16"/>
      <c r="HR195" s="16"/>
      <c r="HS195" s="16"/>
      <c r="HT195" s="16"/>
      <c r="HU195" s="16"/>
      <c r="HV195" s="17"/>
      <c r="HZ195" s="24"/>
      <c r="IA195" s="60"/>
      <c r="IB195" s="16"/>
      <c r="IC195" s="16"/>
      <c r="ID195" s="16"/>
      <c r="IE195" s="16"/>
      <c r="IF195" s="16"/>
      <c r="IG195" s="17"/>
      <c r="IK195" s="24"/>
      <c r="IL195" s="60"/>
      <c r="IM195" s="16"/>
      <c r="IN195" s="16"/>
      <c r="IO195" s="16"/>
      <c r="IP195" s="16"/>
      <c r="IQ195" s="16"/>
      <c r="IR195" s="17"/>
      <c r="IV195" s="24"/>
      <c r="IW195" s="60"/>
      <c r="IX195" s="16"/>
      <c r="IY195" s="16"/>
      <c r="IZ195" s="16"/>
      <c r="JA195" s="16"/>
      <c r="JB195" s="16"/>
      <c r="JC195" s="17"/>
      <c r="JG195" s="24"/>
      <c r="JH195" s="60"/>
      <c r="JI195" s="16"/>
      <c r="JJ195" s="16"/>
      <c r="JK195" s="16"/>
      <c r="JL195" s="16"/>
      <c r="JM195" s="16"/>
      <c r="JN195" s="17"/>
      <c r="JR195" s="24"/>
      <c r="JS195" s="60"/>
      <c r="JT195" s="16"/>
      <c r="JU195" s="16"/>
      <c r="JV195" s="16"/>
      <c r="JW195" s="16"/>
      <c r="JX195" s="16"/>
      <c r="JY195" s="17"/>
      <c r="KC195" s="24"/>
      <c r="KD195" s="60"/>
      <c r="KE195" s="16"/>
      <c r="KF195" s="16"/>
      <c r="KG195" s="16"/>
      <c r="KH195" s="16"/>
      <c r="KI195" s="16"/>
      <c r="KJ195" s="17"/>
      <c r="KN195" s="24"/>
      <c r="KO195" s="60"/>
      <c r="KP195" s="16"/>
      <c r="KQ195" s="16"/>
      <c r="KR195" s="16"/>
      <c r="KS195" s="16"/>
      <c r="KT195" s="16"/>
      <c r="KU195" s="17"/>
      <c r="KY195" s="24"/>
      <c r="KZ195" s="60"/>
      <c r="LA195" s="16"/>
      <c r="LB195" s="16"/>
      <c r="LC195" s="16"/>
      <c r="LD195" s="16"/>
      <c r="LE195" s="16"/>
      <c r="LF195" s="17"/>
      <c r="LJ195" s="24"/>
      <c r="LK195" s="60"/>
      <c r="LL195" s="16"/>
      <c r="LM195" s="16"/>
      <c r="LN195" s="16"/>
      <c r="LO195" s="16"/>
      <c r="LP195" s="16"/>
      <c r="LQ195" s="17"/>
    </row>
    <row r="196">
      <c r="C196" s="31"/>
      <c r="D196" s="61"/>
      <c r="E196" s="16"/>
      <c r="F196" s="16"/>
      <c r="G196" s="21"/>
      <c r="H196" s="16"/>
      <c r="I196" s="16"/>
      <c r="J196" s="17"/>
      <c r="N196" s="17"/>
      <c r="O196" s="61"/>
      <c r="P196" s="16"/>
      <c r="Q196" s="16"/>
      <c r="R196" s="16"/>
      <c r="S196" s="16"/>
      <c r="T196" s="16"/>
      <c r="U196" s="17"/>
      <c r="Y196" s="24"/>
      <c r="Z196" s="61"/>
      <c r="AA196" s="16"/>
      <c r="AB196" s="16"/>
      <c r="AC196" s="16"/>
      <c r="AD196" s="16"/>
      <c r="AE196" s="16"/>
      <c r="AF196" s="17"/>
      <c r="AJ196" s="24"/>
      <c r="AK196" s="61"/>
      <c r="AL196" s="16"/>
      <c r="AM196" s="16"/>
      <c r="AN196" s="16"/>
      <c r="AO196" s="16"/>
      <c r="AP196" s="16"/>
      <c r="AQ196" s="17"/>
      <c r="AU196" s="24"/>
      <c r="AV196" s="61"/>
      <c r="AW196" s="16"/>
      <c r="AX196" s="16"/>
      <c r="AY196" s="16"/>
      <c r="AZ196" s="16"/>
      <c r="BA196" s="16"/>
      <c r="BB196" s="17"/>
      <c r="BF196" s="24"/>
      <c r="BG196" s="61"/>
      <c r="BH196" s="16"/>
      <c r="BI196" s="16"/>
      <c r="BJ196" s="16"/>
      <c r="BK196" s="16"/>
      <c r="BL196" s="16"/>
      <c r="BM196" s="17"/>
      <c r="BQ196" s="24"/>
      <c r="BR196" s="61"/>
      <c r="BS196" s="16"/>
      <c r="BT196" s="16"/>
      <c r="BU196" s="16"/>
      <c r="BV196" s="16"/>
      <c r="BW196" s="16"/>
      <c r="BX196" s="17"/>
      <c r="CB196" s="24"/>
      <c r="CC196" s="61"/>
      <c r="CD196" s="16"/>
      <c r="CE196" s="16"/>
      <c r="CF196" s="16"/>
      <c r="CG196" s="16"/>
      <c r="CH196" s="16"/>
      <c r="CI196" s="17"/>
      <c r="CM196" s="24"/>
      <c r="CN196" s="61"/>
      <c r="CO196" s="16"/>
      <c r="CP196" s="16"/>
      <c r="CQ196" s="16"/>
      <c r="CR196" s="16"/>
      <c r="CS196" s="16"/>
      <c r="CT196" s="17"/>
      <c r="CX196" s="24"/>
      <c r="CY196" s="60"/>
      <c r="CZ196" s="16"/>
      <c r="DA196" s="16"/>
      <c r="DB196" s="16"/>
      <c r="DC196" s="16"/>
      <c r="DD196" s="16"/>
      <c r="DE196" s="17"/>
      <c r="DI196" s="24"/>
      <c r="DJ196" s="60"/>
      <c r="DK196" s="16"/>
      <c r="DL196" s="16"/>
      <c r="DM196" s="16"/>
      <c r="DN196" s="16"/>
      <c r="DO196" s="16"/>
      <c r="DP196" s="17"/>
      <c r="DT196" s="24"/>
      <c r="DU196" s="60"/>
      <c r="DV196" s="16"/>
      <c r="DW196" s="16"/>
      <c r="DX196" s="16"/>
      <c r="DY196" s="16"/>
      <c r="DZ196" s="16"/>
      <c r="EA196" s="17"/>
      <c r="EE196" s="24"/>
      <c r="EF196" s="60"/>
      <c r="EG196" s="16"/>
      <c r="EH196" s="16"/>
      <c r="EI196" s="16"/>
      <c r="EJ196" s="16"/>
      <c r="EK196" s="16"/>
      <c r="EL196" s="17"/>
      <c r="EP196" s="24"/>
      <c r="EQ196" s="60"/>
      <c r="ER196" s="16"/>
      <c r="ES196" s="16"/>
      <c r="ET196" s="16"/>
      <c r="EU196" s="16"/>
      <c r="EV196" s="16"/>
      <c r="EW196" s="17"/>
      <c r="FA196" s="24"/>
      <c r="FB196" s="60"/>
      <c r="FC196" s="16"/>
      <c r="FD196" s="16"/>
      <c r="FE196" s="16"/>
      <c r="FF196" s="16"/>
      <c r="FG196" s="16"/>
      <c r="FH196" s="17"/>
      <c r="FL196" s="24"/>
      <c r="FM196" s="60"/>
      <c r="FN196" s="16"/>
      <c r="FO196" s="16"/>
      <c r="FP196" s="16"/>
      <c r="FQ196" s="16"/>
      <c r="FR196" s="16"/>
      <c r="FS196" s="17"/>
      <c r="FW196" s="24"/>
      <c r="FX196" s="60"/>
      <c r="FY196" s="16"/>
      <c r="FZ196" s="16"/>
      <c r="GA196" s="16"/>
      <c r="GB196" s="16"/>
      <c r="GC196" s="16"/>
      <c r="GD196" s="17"/>
      <c r="GH196" s="24"/>
      <c r="GI196" s="60"/>
      <c r="GJ196" s="16"/>
      <c r="GK196" s="16"/>
      <c r="GL196" s="16"/>
      <c r="GM196" s="16"/>
      <c r="GN196" s="16"/>
      <c r="GO196" s="17"/>
      <c r="GS196" s="24"/>
      <c r="GT196" s="60"/>
      <c r="GU196" s="16"/>
      <c r="GV196" s="16"/>
      <c r="GW196" s="16"/>
      <c r="GX196" s="16"/>
      <c r="GY196" s="16"/>
      <c r="GZ196" s="17"/>
      <c r="HD196" s="24"/>
      <c r="HE196" s="60"/>
      <c r="HF196" s="16"/>
      <c r="HG196" s="16"/>
      <c r="HH196" s="16"/>
      <c r="HI196" s="16"/>
      <c r="HJ196" s="16"/>
      <c r="HK196" s="17"/>
      <c r="HO196" s="24"/>
      <c r="HP196" s="60"/>
      <c r="HQ196" s="16"/>
      <c r="HR196" s="16"/>
      <c r="HS196" s="16"/>
      <c r="HT196" s="16"/>
      <c r="HU196" s="16"/>
      <c r="HV196" s="17"/>
      <c r="HZ196" s="24"/>
      <c r="IA196" s="60"/>
      <c r="IB196" s="16"/>
      <c r="IC196" s="16"/>
      <c r="ID196" s="16"/>
      <c r="IE196" s="16"/>
      <c r="IF196" s="16"/>
      <c r="IG196" s="17"/>
      <c r="IK196" s="24"/>
      <c r="IL196" s="60"/>
      <c r="IM196" s="16"/>
      <c r="IN196" s="16"/>
      <c r="IO196" s="16"/>
      <c r="IP196" s="16"/>
      <c r="IQ196" s="16"/>
      <c r="IR196" s="17"/>
      <c r="IV196" s="24"/>
      <c r="IW196" s="60"/>
      <c r="IX196" s="16"/>
      <c r="IY196" s="16"/>
      <c r="IZ196" s="16"/>
      <c r="JA196" s="16"/>
      <c r="JB196" s="16"/>
      <c r="JC196" s="17"/>
      <c r="JG196" s="24"/>
      <c r="JH196" s="60"/>
      <c r="JI196" s="16"/>
      <c r="JJ196" s="16"/>
      <c r="JK196" s="16"/>
      <c r="JL196" s="16"/>
      <c r="JM196" s="16"/>
      <c r="JN196" s="17"/>
      <c r="JR196" s="24"/>
      <c r="JS196" s="60"/>
      <c r="JT196" s="16"/>
      <c r="JU196" s="16"/>
      <c r="JV196" s="16"/>
      <c r="JW196" s="16"/>
      <c r="JX196" s="16"/>
      <c r="JY196" s="17"/>
      <c r="KC196" s="24"/>
      <c r="KD196" s="60"/>
      <c r="KE196" s="16"/>
      <c r="KF196" s="16"/>
      <c r="KG196" s="16"/>
      <c r="KH196" s="16"/>
      <c r="KI196" s="16"/>
      <c r="KJ196" s="17"/>
      <c r="KN196" s="24"/>
      <c r="KO196" s="60"/>
      <c r="KP196" s="16"/>
      <c r="KQ196" s="16"/>
      <c r="KR196" s="16"/>
      <c r="KS196" s="16"/>
      <c r="KT196" s="16"/>
      <c r="KU196" s="17"/>
      <c r="KY196" s="24"/>
      <c r="KZ196" s="60"/>
      <c r="LA196" s="16"/>
      <c r="LB196" s="16"/>
      <c r="LC196" s="16"/>
      <c r="LD196" s="16"/>
      <c r="LE196" s="16"/>
      <c r="LF196" s="17"/>
      <c r="LJ196" s="24"/>
      <c r="LK196" s="60"/>
      <c r="LL196" s="16"/>
      <c r="LM196" s="16"/>
      <c r="LN196" s="16"/>
      <c r="LO196" s="16"/>
      <c r="LP196" s="16"/>
      <c r="LQ196" s="17"/>
    </row>
    <row r="197">
      <c r="C197" s="31"/>
      <c r="D197" s="61"/>
      <c r="E197" s="16"/>
      <c r="F197" s="16"/>
      <c r="G197" s="21"/>
      <c r="H197" s="16"/>
      <c r="I197" s="16"/>
      <c r="J197" s="17"/>
      <c r="N197" s="17"/>
      <c r="O197" s="61"/>
      <c r="P197" s="16"/>
      <c r="Q197" s="16"/>
      <c r="R197" s="16"/>
      <c r="S197" s="16"/>
      <c r="T197" s="16"/>
      <c r="U197" s="17"/>
      <c r="Y197" s="24"/>
      <c r="Z197" s="61"/>
      <c r="AA197" s="16"/>
      <c r="AB197" s="16"/>
      <c r="AC197" s="16"/>
      <c r="AD197" s="16"/>
      <c r="AE197" s="16"/>
      <c r="AF197" s="17"/>
      <c r="AJ197" s="24"/>
      <c r="AK197" s="61"/>
      <c r="AL197" s="16"/>
      <c r="AM197" s="16"/>
      <c r="AN197" s="16"/>
      <c r="AO197" s="16"/>
      <c r="AP197" s="16"/>
      <c r="AQ197" s="17"/>
      <c r="AU197" s="24"/>
      <c r="AV197" s="61"/>
      <c r="AW197" s="16"/>
      <c r="AX197" s="16"/>
      <c r="AY197" s="16"/>
      <c r="AZ197" s="16"/>
      <c r="BA197" s="16"/>
      <c r="BB197" s="17"/>
      <c r="BF197" s="24"/>
      <c r="BG197" s="61"/>
      <c r="BH197" s="16"/>
      <c r="BI197" s="16"/>
      <c r="BJ197" s="16"/>
      <c r="BK197" s="16"/>
      <c r="BL197" s="16"/>
      <c r="BM197" s="17"/>
      <c r="BQ197" s="24"/>
      <c r="BR197" s="61"/>
      <c r="BS197" s="16"/>
      <c r="BT197" s="16"/>
      <c r="BU197" s="16"/>
      <c r="BV197" s="16"/>
      <c r="BW197" s="16"/>
      <c r="BX197" s="17"/>
      <c r="CB197" s="24"/>
      <c r="CC197" s="61"/>
      <c r="CD197" s="16"/>
      <c r="CE197" s="16"/>
      <c r="CF197" s="16"/>
      <c r="CG197" s="16"/>
      <c r="CH197" s="16"/>
      <c r="CI197" s="17"/>
      <c r="CM197" s="24"/>
      <c r="CN197" s="61"/>
      <c r="CO197" s="16"/>
      <c r="CP197" s="16"/>
      <c r="CQ197" s="16"/>
      <c r="CR197" s="16"/>
      <c r="CS197" s="16"/>
      <c r="CT197" s="17"/>
      <c r="CX197" s="24"/>
      <c r="CY197" s="60"/>
      <c r="CZ197" s="16"/>
      <c r="DA197" s="16"/>
      <c r="DB197" s="16"/>
      <c r="DC197" s="16"/>
      <c r="DD197" s="16"/>
      <c r="DE197" s="17"/>
      <c r="DI197" s="24"/>
      <c r="DJ197" s="60"/>
      <c r="DK197" s="16"/>
      <c r="DL197" s="16"/>
      <c r="DM197" s="16"/>
      <c r="DN197" s="16"/>
      <c r="DO197" s="16"/>
      <c r="DP197" s="17"/>
      <c r="DT197" s="24"/>
      <c r="DU197" s="60"/>
      <c r="DV197" s="16"/>
      <c r="DW197" s="16"/>
      <c r="DX197" s="16"/>
      <c r="DY197" s="16"/>
      <c r="DZ197" s="16"/>
      <c r="EA197" s="17"/>
      <c r="EE197" s="24"/>
      <c r="EF197" s="60"/>
      <c r="EG197" s="16"/>
      <c r="EH197" s="16"/>
      <c r="EI197" s="16"/>
      <c r="EJ197" s="16"/>
      <c r="EK197" s="16"/>
      <c r="EL197" s="17"/>
      <c r="EP197" s="24"/>
      <c r="EQ197" s="60"/>
      <c r="ER197" s="16"/>
      <c r="ES197" s="16"/>
      <c r="ET197" s="16"/>
      <c r="EU197" s="16"/>
      <c r="EV197" s="16"/>
      <c r="EW197" s="17"/>
      <c r="FA197" s="24"/>
      <c r="FB197" s="60"/>
      <c r="FC197" s="16"/>
      <c r="FD197" s="16"/>
      <c r="FE197" s="16"/>
      <c r="FF197" s="16"/>
      <c r="FG197" s="16"/>
      <c r="FH197" s="17"/>
      <c r="FL197" s="24"/>
      <c r="FM197" s="60"/>
      <c r="FN197" s="16"/>
      <c r="FO197" s="16"/>
      <c r="FP197" s="16"/>
      <c r="FQ197" s="16"/>
      <c r="FR197" s="16"/>
      <c r="FS197" s="17"/>
      <c r="FW197" s="24"/>
      <c r="FX197" s="60"/>
      <c r="FY197" s="16"/>
      <c r="FZ197" s="16"/>
      <c r="GA197" s="16"/>
      <c r="GB197" s="16"/>
      <c r="GC197" s="16"/>
      <c r="GD197" s="17"/>
      <c r="GH197" s="24"/>
      <c r="GI197" s="60"/>
      <c r="GJ197" s="16"/>
      <c r="GK197" s="16"/>
      <c r="GL197" s="16"/>
      <c r="GM197" s="16"/>
      <c r="GN197" s="16"/>
      <c r="GO197" s="17"/>
      <c r="GS197" s="24"/>
      <c r="GT197" s="60"/>
      <c r="GU197" s="16"/>
      <c r="GV197" s="16"/>
      <c r="GW197" s="16"/>
      <c r="GX197" s="16"/>
      <c r="GY197" s="16"/>
      <c r="GZ197" s="17"/>
      <c r="HD197" s="24"/>
      <c r="HE197" s="60"/>
      <c r="HF197" s="16"/>
      <c r="HG197" s="16"/>
      <c r="HH197" s="16"/>
      <c r="HI197" s="16"/>
      <c r="HJ197" s="16"/>
      <c r="HK197" s="17"/>
      <c r="HO197" s="24"/>
      <c r="HP197" s="60"/>
      <c r="HQ197" s="16"/>
      <c r="HR197" s="16"/>
      <c r="HS197" s="16"/>
      <c r="HT197" s="16"/>
      <c r="HU197" s="16"/>
      <c r="HV197" s="17"/>
      <c r="HZ197" s="24"/>
      <c r="IA197" s="60"/>
      <c r="IB197" s="16"/>
      <c r="IC197" s="16"/>
      <c r="ID197" s="16"/>
      <c r="IE197" s="16"/>
      <c r="IF197" s="16"/>
      <c r="IG197" s="17"/>
      <c r="IK197" s="24"/>
      <c r="IL197" s="60"/>
      <c r="IM197" s="16"/>
      <c r="IN197" s="16"/>
      <c r="IO197" s="16"/>
      <c r="IP197" s="16"/>
      <c r="IQ197" s="16"/>
      <c r="IR197" s="17"/>
      <c r="IV197" s="24"/>
      <c r="IW197" s="60"/>
      <c r="IX197" s="16"/>
      <c r="IY197" s="16"/>
      <c r="IZ197" s="16"/>
      <c r="JA197" s="16"/>
      <c r="JB197" s="16"/>
      <c r="JC197" s="17"/>
      <c r="JG197" s="24"/>
      <c r="JH197" s="60"/>
      <c r="JI197" s="16"/>
      <c r="JJ197" s="16"/>
      <c r="JK197" s="16"/>
      <c r="JL197" s="16"/>
      <c r="JM197" s="16"/>
      <c r="JN197" s="17"/>
      <c r="JR197" s="24"/>
      <c r="JS197" s="60"/>
      <c r="JT197" s="16"/>
      <c r="JU197" s="16"/>
      <c r="JV197" s="16"/>
      <c r="JW197" s="16"/>
      <c r="JX197" s="16"/>
      <c r="JY197" s="17"/>
      <c r="KC197" s="24"/>
      <c r="KD197" s="60"/>
      <c r="KE197" s="16"/>
      <c r="KF197" s="16"/>
      <c r="KG197" s="16"/>
      <c r="KH197" s="16"/>
      <c r="KI197" s="16"/>
      <c r="KJ197" s="17"/>
      <c r="KN197" s="24"/>
      <c r="KO197" s="60"/>
      <c r="KP197" s="16"/>
      <c r="KQ197" s="16"/>
      <c r="KR197" s="16"/>
      <c r="KS197" s="16"/>
      <c r="KT197" s="16"/>
      <c r="KU197" s="17"/>
      <c r="KY197" s="24"/>
      <c r="KZ197" s="60"/>
      <c r="LA197" s="16"/>
      <c r="LB197" s="16"/>
      <c r="LC197" s="16"/>
      <c r="LD197" s="16"/>
      <c r="LE197" s="16"/>
      <c r="LF197" s="17"/>
      <c r="LJ197" s="24"/>
      <c r="LK197" s="60"/>
      <c r="LL197" s="16"/>
      <c r="LM197" s="16"/>
      <c r="LN197" s="16"/>
      <c r="LO197" s="16"/>
      <c r="LP197" s="16"/>
      <c r="LQ197" s="17"/>
    </row>
    <row r="198">
      <c r="C198" s="31"/>
      <c r="D198" s="61"/>
      <c r="E198" s="16"/>
      <c r="F198" s="16"/>
      <c r="G198" s="21"/>
      <c r="H198" s="16"/>
      <c r="I198" s="16"/>
      <c r="J198" s="17"/>
      <c r="N198" s="17"/>
      <c r="O198" s="61"/>
      <c r="P198" s="16"/>
      <c r="Q198" s="16"/>
      <c r="R198" s="16"/>
      <c r="S198" s="16"/>
      <c r="T198" s="16"/>
      <c r="U198" s="17"/>
      <c r="Y198" s="24"/>
      <c r="Z198" s="61"/>
      <c r="AA198" s="16"/>
      <c r="AB198" s="16"/>
      <c r="AC198" s="16"/>
      <c r="AD198" s="16"/>
      <c r="AE198" s="16"/>
      <c r="AF198" s="17"/>
      <c r="AJ198" s="24"/>
      <c r="AK198" s="61"/>
      <c r="AL198" s="16"/>
      <c r="AM198" s="16"/>
      <c r="AN198" s="16"/>
      <c r="AO198" s="16"/>
      <c r="AP198" s="16"/>
      <c r="AQ198" s="17"/>
      <c r="AU198" s="24"/>
      <c r="AV198" s="61"/>
      <c r="AW198" s="16"/>
      <c r="AX198" s="16"/>
      <c r="AY198" s="16"/>
      <c r="AZ198" s="16"/>
      <c r="BA198" s="16"/>
      <c r="BB198" s="17"/>
      <c r="BF198" s="24"/>
      <c r="BG198" s="61"/>
      <c r="BH198" s="16"/>
      <c r="BI198" s="16"/>
      <c r="BJ198" s="16"/>
      <c r="BK198" s="16"/>
      <c r="BL198" s="16"/>
      <c r="BM198" s="17"/>
      <c r="BQ198" s="24"/>
      <c r="BR198" s="61"/>
      <c r="BS198" s="16"/>
      <c r="BT198" s="16"/>
      <c r="BU198" s="16"/>
      <c r="BV198" s="16"/>
      <c r="BW198" s="16"/>
      <c r="BX198" s="17"/>
      <c r="CB198" s="24"/>
      <c r="CC198" s="61"/>
      <c r="CD198" s="16"/>
      <c r="CE198" s="16"/>
      <c r="CF198" s="16"/>
      <c r="CG198" s="16"/>
      <c r="CH198" s="16"/>
      <c r="CI198" s="17"/>
      <c r="CM198" s="24"/>
      <c r="CN198" s="61"/>
      <c r="CO198" s="16"/>
      <c r="CP198" s="16"/>
      <c r="CQ198" s="16"/>
      <c r="CR198" s="16"/>
      <c r="CS198" s="16"/>
      <c r="CT198" s="17"/>
      <c r="CX198" s="24"/>
      <c r="CY198" s="60"/>
      <c r="CZ198" s="16"/>
      <c r="DA198" s="16"/>
      <c r="DB198" s="16"/>
      <c r="DC198" s="16"/>
      <c r="DD198" s="16"/>
      <c r="DE198" s="17"/>
      <c r="DI198" s="24"/>
      <c r="DJ198" s="60"/>
      <c r="DK198" s="16"/>
      <c r="DL198" s="16"/>
      <c r="DM198" s="16"/>
      <c r="DN198" s="16"/>
      <c r="DO198" s="16"/>
      <c r="DP198" s="17"/>
      <c r="DT198" s="24"/>
      <c r="DU198" s="60"/>
      <c r="DV198" s="16"/>
      <c r="DW198" s="16"/>
      <c r="DX198" s="16"/>
      <c r="DY198" s="16"/>
      <c r="DZ198" s="16"/>
      <c r="EA198" s="17"/>
      <c r="EE198" s="24"/>
      <c r="EF198" s="60"/>
      <c r="EG198" s="16"/>
      <c r="EH198" s="16"/>
      <c r="EI198" s="16"/>
      <c r="EJ198" s="16"/>
      <c r="EK198" s="16"/>
      <c r="EL198" s="17"/>
      <c r="EP198" s="24"/>
      <c r="EQ198" s="60"/>
      <c r="ER198" s="16"/>
      <c r="ES198" s="16"/>
      <c r="ET198" s="16"/>
      <c r="EU198" s="16"/>
      <c r="EV198" s="16"/>
      <c r="EW198" s="17"/>
      <c r="FA198" s="24"/>
      <c r="FB198" s="60"/>
      <c r="FC198" s="16"/>
      <c r="FD198" s="16"/>
      <c r="FE198" s="16"/>
      <c r="FF198" s="16"/>
      <c r="FG198" s="16"/>
      <c r="FH198" s="17"/>
      <c r="FL198" s="24"/>
      <c r="FM198" s="60"/>
      <c r="FN198" s="16"/>
      <c r="FO198" s="16"/>
      <c r="FP198" s="16"/>
      <c r="FQ198" s="16"/>
      <c r="FR198" s="16"/>
      <c r="FS198" s="17"/>
      <c r="FW198" s="24"/>
      <c r="FX198" s="60"/>
      <c r="FY198" s="16"/>
      <c r="FZ198" s="16"/>
      <c r="GA198" s="16"/>
      <c r="GB198" s="16"/>
      <c r="GC198" s="16"/>
      <c r="GD198" s="17"/>
      <c r="GH198" s="24"/>
      <c r="GI198" s="60"/>
      <c r="GJ198" s="16"/>
      <c r="GK198" s="16"/>
      <c r="GL198" s="16"/>
      <c r="GM198" s="16"/>
      <c r="GN198" s="16"/>
      <c r="GO198" s="17"/>
      <c r="GS198" s="24"/>
      <c r="GT198" s="60"/>
      <c r="GU198" s="16"/>
      <c r="GV198" s="16"/>
      <c r="GW198" s="16"/>
      <c r="GX198" s="16"/>
      <c r="GY198" s="16"/>
      <c r="GZ198" s="17"/>
      <c r="HD198" s="24"/>
      <c r="HE198" s="60"/>
      <c r="HF198" s="16"/>
      <c r="HG198" s="16"/>
      <c r="HH198" s="16"/>
      <c r="HI198" s="16"/>
      <c r="HJ198" s="16"/>
      <c r="HK198" s="17"/>
      <c r="HO198" s="24"/>
      <c r="HP198" s="60"/>
      <c r="HQ198" s="16"/>
      <c r="HR198" s="16"/>
      <c r="HS198" s="16"/>
      <c r="HT198" s="16"/>
      <c r="HU198" s="16"/>
      <c r="HV198" s="17"/>
      <c r="HZ198" s="24"/>
      <c r="IA198" s="60"/>
      <c r="IB198" s="16"/>
      <c r="IC198" s="16"/>
      <c r="ID198" s="16"/>
      <c r="IE198" s="16"/>
      <c r="IF198" s="16"/>
      <c r="IG198" s="17"/>
      <c r="IK198" s="24"/>
      <c r="IL198" s="60"/>
      <c r="IM198" s="16"/>
      <c r="IN198" s="16"/>
      <c r="IO198" s="16"/>
      <c r="IP198" s="16"/>
      <c r="IQ198" s="16"/>
      <c r="IR198" s="17"/>
      <c r="IV198" s="24"/>
      <c r="IW198" s="60"/>
      <c r="IX198" s="16"/>
      <c r="IY198" s="16"/>
      <c r="IZ198" s="16"/>
      <c r="JA198" s="16"/>
      <c r="JB198" s="16"/>
      <c r="JC198" s="17"/>
      <c r="JG198" s="24"/>
      <c r="JH198" s="60"/>
      <c r="JI198" s="16"/>
      <c r="JJ198" s="16"/>
      <c r="JK198" s="16"/>
      <c r="JL198" s="16"/>
      <c r="JM198" s="16"/>
      <c r="JN198" s="17"/>
      <c r="JR198" s="24"/>
      <c r="JS198" s="60"/>
      <c r="JT198" s="16"/>
      <c r="JU198" s="16"/>
      <c r="JV198" s="16"/>
      <c r="JW198" s="16"/>
      <c r="JX198" s="16"/>
      <c r="JY198" s="17"/>
      <c r="KC198" s="24"/>
      <c r="KD198" s="60"/>
      <c r="KE198" s="16"/>
      <c r="KF198" s="16"/>
      <c r="KG198" s="16"/>
      <c r="KH198" s="16"/>
      <c r="KI198" s="16"/>
      <c r="KJ198" s="17"/>
      <c r="KN198" s="24"/>
      <c r="KO198" s="60"/>
      <c r="KP198" s="16"/>
      <c r="KQ198" s="16"/>
      <c r="KR198" s="16"/>
      <c r="KS198" s="16"/>
      <c r="KT198" s="16"/>
      <c r="KU198" s="17"/>
      <c r="KY198" s="24"/>
      <c r="KZ198" s="60"/>
      <c r="LA198" s="16"/>
      <c r="LB198" s="16"/>
      <c r="LC198" s="16"/>
      <c r="LD198" s="16"/>
      <c r="LE198" s="16"/>
      <c r="LF198" s="17"/>
      <c r="LJ198" s="24"/>
      <c r="LK198" s="60"/>
      <c r="LL198" s="16"/>
      <c r="LM198" s="16"/>
      <c r="LN198" s="16"/>
      <c r="LO198" s="16"/>
      <c r="LP198" s="16"/>
      <c r="LQ198" s="17"/>
    </row>
    <row r="199">
      <c r="C199" s="31"/>
      <c r="D199" s="61"/>
      <c r="E199" s="16"/>
      <c r="F199" s="16"/>
      <c r="G199" s="21"/>
      <c r="H199" s="16"/>
      <c r="I199" s="16"/>
      <c r="J199" s="17"/>
      <c r="N199" s="17"/>
      <c r="O199" s="61"/>
      <c r="P199" s="16"/>
      <c r="Q199" s="16"/>
      <c r="R199" s="16"/>
      <c r="S199" s="16"/>
      <c r="T199" s="16"/>
      <c r="U199" s="17"/>
      <c r="Y199" s="24"/>
      <c r="Z199" s="61"/>
      <c r="AA199" s="16"/>
      <c r="AB199" s="16"/>
      <c r="AC199" s="16"/>
      <c r="AD199" s="16"/>
      <c r="AE199" s="16"/>
      <c r="AF199" s="17"/>
      <c r="AJ199" s="24"/>
      <c r="AK199" s="61"/>
      <c r="AL199" s="16"/>
      <c r="AM199" s="16"/>
      <c r="AN199" s="16"/>
      <c r="AO199" s="16"/>
      <c r="AP199" s="16"/>
      <c r="AQ199" s="17"/>
      <c r="AU199" s="24"/>
      <c r="AV199" s="61"/>
      <c r="AW199" s="16"/>
      <c r="AX199" s="16"/>
      <c r="AY199" s="16"/>
      <c r="AZ199" s="16"/>
      <c r="BA199" s="16"/>
      <c r="BB199" s="17"/>
      <c r="BF199" s="24"/>
      <c r="BG199" s="61"/>
      <c r="BH199" s="16"/>
      <c r="BI199" s="16"/>
      <c r="BJ199" s="16"/>
      <c r="BK199" s="16"/>
      <c r="BL199" s="16"/>
      <c r="BM199" s="17"/>
      <c r="BQ199" s="24"/>
      <c r="BR199" s="61"/>
      <c r="BS199" s="16"/>
      <c r="BT199" s="16"/>
      <c r="BU199" s="16"/>
      <c r="BV199" s="16"/>
      <c r="BW199" s="16"/>
      <c r="BX199" s="17"/>
      <c r="CB199" s="24"/>
      <c r="CC199" s="61"/>
      <c r="CD199" s="16"/>
      <c r="CE199" s="16"/>
      <c r="CF199" s="16"/>
      <c r="CG199" s="16"/>
      <c r="CH199" s="16"/>
      <c r="CI199" s="17"/>
      <c r="CM199" s="24"/>
      <c r="CN199" s="61"/>
      <c r="CO199" s="16"/>
      <c r="CP199" s="16"/>
      <c r="CQ199" s="16"/>
      <c r="CR199" s="16"/>
      <c r="CS199" s="16"/>
      <c r="CT199" s="17"/>
      <c r="CX199" s="24"/>
      <c r="CY199" s="60"/>
      <c r="CZ199" s="16"/>
      <c r="DA199" s="16"/>
      <c r="DB199" s="16"/>
      <c r="DC199" s="16"/>
      <c r="DD199" s="16"/>
      <c r="DE199" s="17"/>
      <c r="DI199" s="24"/>
      <c r="DJ199" s="60"/>
      <c r="DK199" s="16"/>
      <c r="DL199" s="16"/>
      <c r="DM199" s="16"/>
      <c r="DN199" s="16"/>
      <c r="DO199" s="16"/>
      <c r="DP199" s="17"/>
      <c r="DT199" s="24"/>
      <c r="DU199" s="60"/>
      <c r="DV199" s="16"/>
      <c r="DW199" s="16"/>
      <c r="DX199" s="16"/>
      <c r="DY199" s="16"/>
      <c r="DZ199" s="16"/>
      <c r="EA199" s="17"/>
      <c r="EE199" s="24"/>
      <c r="EF199" s="60"/>
      <c r="EG199" s="16"/>
      <c r="EH199" s="16"/>
      <c r="EI199" s="16"/>
      <c r="EJ199" s="16"/>
      <c r="EK199" s="16"/>
      <c r="EL199" s="17"/>
      <c r="EP199" s="24"/>
      <c r="EQ199" s="60"/>
      <c r="ER199" s="16"/>
      <c r="ES199" s="16"/>
      <c r="ET199" s="16"/>
      <c r="EU199" s="16"/>
      <c r="EV199" s="16"/>
      <c r="EW199" s="17"/>
      <c r="FA199" s="24"/>
      <c r="FB199" s="60"/>
      <c r="FC199" s="16"/>
      <c r="FD199" s="16"/>
      <c r="FE199" s="16"/>
      <c r="FF199" s="16"/>
      <c r="FG199" s="16"/>
      <c r="FH199" s="17"/>
      <c r="FL199" s="24"/>
      <c r="FM199" s="60"/>
      <c r="FN199" s="16"/>
      <c r="FO199" s="16"/>
      <c r="FP199" s="16"/>
      <c r="FQ199" s="16"/>
      <c r="FR199" s="16"/>
      <c r="FS199" s="17"/>
      <c r="FW199" s="24"/>
      <c r="FX199" s="60"/>
      <c r="FY199" s="16"/>
      <c r="FZ199" s="16"/>
      <c r="GA199" s="16"/>
      <c r="GB199" s="16"/>
      <c r="GC199" s="16"/>
      <c r="GD199" s="17"/>
      <c r="GH199" s="24"/>
      <c r="GI199" s="60"/>
      <c r="GJ199" s="16"/>
      <c r="GK199" s="16"/>
      <c r="GL199" s="16"/>
      <c r="GM199" s="16"/>
      <c r="GN199" s="16"/>
      <c r="GO199" s="17"/>
      <c r="GS199" s="24"/>
      <c r="GT199" s="60"/>
      <c r="GU199" s="16"/>
      <c r="GV199" s="16"/>
      <c r="GW199" s="16"/>
      <c r="GX199" s="16"/>
      <c r="GY199" s="16"/>
      <c r="GZ199" s="17"/>
      <c r="HD199" s="24"/>
      <c r="HE199" s="60"/>
      <c r="HF199" s="16"/>
      <c r="HG199" s="16"/>
      <c r="HH199" s="16"/>
      <c r="HI199" s="16"/>
      <c r="HJ199" s="16"/>
      <c r="HK199" s="17"/>
      <c r="HO199" s="24"/>
      <c r="HP199" s="60"/>
      <c r="HQ199" s="16"/>
      <c r="HR199" s="16"/>
      <c r="HS199" s="16"/>
      <c r="HT199" s="16"/>
      <c r="HU199" s="16"/>
      <c r="HV199" s="17"/>
      <c r="HZ199" s="24"/>
      <c r="IA199" s="60"/>
      <c r="IB199" s="16"/>
      <c r="IC199" s="16"/>
      <c r="ID199" s="16"/>
      <c r="IE199" s="16"/>
      <c r="IF199" s="16"/>
      <c r="IG199" s="17"/>
      <c r="IK199" s="24"/>
      <c r="IL199" s="60"/>
      <c r="IM199" s="16"/>
      <c r="IN199" s="16"/>
      <c r="IO199" s="16"/>
      <c r="IP199" s="16"/>
      <c r="IQ199" s="16"/>
      <c r="IR199" s="17"/>
      <c r="IV199" s="24"/>
      <c r="IW199" s="60"/>
      <c r="IX199" s="16"/>
      <c r="IY199" s="16"/>
      <c r="IZ199" s="16"/>
      <c r="JA199" s="16"/>
      <c r="JB199" s="16"/>
      <c r="JC199" s="17"/>
      <c r="JG199" s="24"/>
      <c r="JH199" s="60"/>
      <c r="JI199" s="16"/>
      <c r="JJ199" s="16"/>
      <c r="JK199" s="16"/>
      <c r="JL199" s="16"/>
      <c r="JM199" s="16"/>
      <c r="JN199" s="17"/>
      <c r="JR199" s="24"/>
      <c r="JS199" s="60"/>
      <c r="JT199" s="16"/>
      <c r="JU199" s="16"/>
      <c r="JV199" s="16"/>
      <c r="JW199" s="16"/>
      <c r="JX199" s="16"/>
      <c r="JY199" s="17"/>
      <c r="KC199" s="24"/>
      <c r="KD199" s="60"/>
      <c r="KE199" s="16"/>
      <c r="KF199" s="16"/>
      <c r="KG199" s="16"/>
      <c r="KH199" s="16"/>
      <c r="KI199" s="16"/>
      <c r="KJ199" s="17"/>
      <c r="KN199" s="24"/>
      <c r="KO199" s="60"/>
      <c r="KP199" s="16"/>
      <c r="KQ199" s="16"/>
      <c r="KR199" s="16"/>
      <c r="KS199" s="16"/>
      <c r="KT199" s="16"/>
      <c r="KU199" s="17"/>
      <c r="KY199" s="24"/>
      <c r="KZ199" s="60"/>
      <c r="LA199" s="16"/>
      <c r="LB199" s="16"/>
      <c r="LC199" s="16"/>
      <c r="LD199" s="16"/>
      <c r="LE199" s="16"/>
      <c r="LF199" s="17"/>
      <c r="LJ199" s="24"/>
      <c r="LK199" s="60"/>
      <c r="LL199" s="16"/>
      <c r="LM199" s="16"/>
      <c r="LN199" s="16"/>
      <c r="LO199" s="16"/>
      <c r="LP199" s="16"/>
      <c r="LQ199" s="17"/>
    </row>
    <row r="200">
      <c r="C200" s="31"/>
      <c r="D200" s="61"/>
      <c r="E200" s="16"/>
      <c r="F200" s="16"/>
      <c r="G200" s="21"/>
      <c r="H200" s="16"/>
      <c r="I200" s="16"/>
      <c r="J200" s="17"/>
      <c r="N200" s="17"/>
      <c r="O200" s="61"/>
      <c r="P200" s="16"/>
      <c r="Q200" s="16"/>
      <c r="R200" s="16"/>
      <c r="S200" s="16"/>
      <c r="T200" s="16"/>
      <c r="U200" s="17"/>
      <c r="Y200" s="24"/>
      <c r="Z200" s="61"/>
      <c r="AA200" s="16"/>
      <c r="AB200" s="16"/>
      <c r="AC200" s="16"/>
      <c r="AD200" s="16"/>
      <c r="AE200" s="16"/>
      <c r="AF200" s="17"/>
      <c r="AJ200" s="24"/>
      <c r="AK200" s="61"/>
      <c r="AL200" s="16"/>
      <c r="AM200" s="16"/>
      <c r="AN200" s="16"/>
      <c r="AO200" s="16"/>
      <c r="AP200" s="16"/>
      <c r="AQ200" s="17"/>
      <c r="AU200" s="24"/>
      <c r="AV200" s="61"/>
      <c r="AW200" s="16"/>
      <c r="AX200" s="16"/>
      <c r="AY200" s="16"/>
      <c r="AZ200" s="16"/>
      <c r="BA200" s="16"/>
      <c r="BB200" s="17"/>
      <c r="BF200" s="24"/>
      <c r="BG200" s="61"/>
      <c r="BH200" s="16"/>
      <c r="BI200" s="16"/>
      <c r="BJ200" s="16"/>
      <c r="BK200" s="16"/>
      <c r="BL200" s="16"/>
      <c r="BM200" s="17"/>
      <c r="BQ200" s="24"/>
      <c r="BR200" s="61"/>
      <c r="BS200" s="16"/>
      <c r="BT200" s="16"/>
      <c r="BU200" s="16"/>
      <c r="BV200" s="16"/>
      <c r="BW200" s="16"/>
      <c r="BX200" s="17"/>
      <c r="CB200" s="24"/>
      <c r="CC200" s="61"/>
      <c r="CD200" s="16"/>
      <c r="CE200" s="16"/>
      <c r="CF200" s="16"/>
      <c r="CG200" s="16"/>
      <c r="CH200" s="16"/>
      <c r="CI200" s="17"/>
      <c r="CM200" s="24"/>
      <c r="CN200" s="61"/>
      <c r="CO200" s="16"/>
      <c r="CP200" s="16"/>
      <c r="CQ200" s="16"/>
      <c r="CR200" s="16"/>
      <c r="CS200" s="16"/>
      <c r="CT200" s="17"/>
      <c r="CX200" s="24"/>
      <c r="CY200" s="60"/>
      <c r="CZ200" s="16"/>
      <c r="DA200" s="16"/>
      <c r="DB200" s="16"/>
      <c r="DC200" s="16"/>
      <c r="DD200" s="16"/>
      <c r="DE200" s="17"/>
      <c r="DI200" s="24"/>
      <c r="DJ200" s="60"/>
      <c r="DK200" s="16"/>
      <c r="DL200" s="16"/>
      <c r="DM200" s="16"/>
      <c r="DN200" s="16"/>
      <c r="DO200" s="16"/>
      <c r="DP200" s="17"/>
      <c r="DT200" s="24"/>
      <c r="DU200" s="60"/>
      <c r="DV200" s="16"/>
      <c r="DW200" s="16"/>
      <c r="DX200" s="16"/>
      <c r="DY200" s="16"/>
      <c r="DZ200" s="16"/>
      <c r="EA200" s="17"/>
      <c r="EE200" s="24"/>
      <c r="EF200" s="60"/>
      <c r="EG200" s="16"/>
      <c r="EH200" s="16"/>
      <c r="EI200" s="16"/>
      <c r="EJ200" s="16"/>
      <c r="EK200" s="16"/>
      <c r="EL200" s="17"/>
      <c r="EP200" s="24"/>
      <c r="EQ200" s="60"/>
      <c r="ER200" s="16"/>
      <c r="ES200" s="16"/>
      <c r="ET200" s="16"/>
      <c r="EU200" s="16"/>
      <c r="EV200" s="16"/>
      <c r="EW200" s="17"/>
      <c r="FA200" s="24"/>
      <c r="FB200" s="60"/>
      <c r="FC200" s="16"/>
      <c r="FD200" s="16"/>
      <c r="FE200" s="16"/>
      <c r="FF200" s="16"/>
      <c r="FG200" s="16"/>
      <c r="FH200" s="17"/>
      <c r="FL200" s="24"/>
      <c r="FM200" s="60"/>
      <c r="FN200" s="16"/>
      <c r="FO200" s="16"/>
      <c r="FP200" s="16"/>
      <c r="FQ200" s="16"/>
      <c r="FR200" s="16"/>
      <c r="FS200" s="17"/>
      <c r="FW200" s="24"/>
      <c r="FX200" s="60"/>
      <c r="FY200" s="16"/>
      <c r="FZ200" s="16"/>
      <c r="GA200" s="16"/>
      <c r="GB200" s="16"/>
      <c r="GC200" s="16"/>
      <c r="GD200" s="17"/>
      <c r="GH200" s="24"/>
      <c r="GI200" s="60"/>
      <c r="GJ200" s="16"/>
      <c r="GK200" s="16"/>
      <c r="GL200" s="16"/>
      <c r="GM200" s="16"/>
      <c r="GN200" s="16"/>
      <c r="GO200" s="17"/>
      <c r="GS200" s="24"/>
      <c r="GT200" s="60"/>
      <c r="GU200" s="16"/>
      <c r="GV200" s="16"/>
      <c r="GW200" s="16"/>
      <c r="GX200" s="16"/>
      <c r="GY200" s="16"/>
      <c r="GZ200" s="17"/>
      <c r="HD200" s="24"/>
      <c r="HE200" s="60"/>
      <c r="HF200" s="16"/>
      <c r="HG200" s="16"/>
      <c r="HH200" s="16"/>
      <c r="HI200" s="16"/>
      <c r="HJ200" s="16"/>
      <c r="HK200" s="17"/>
      <c r="HO200" s="24"/>
      <c r="HP200" s="60"/>
      <c r="HQ200" s="16"/>
      <c r="HR200" s="16"/>
      <c r="HS200" s="16"/>
      <c r="HT200" s="16"/>
      <c r="HU200" s="16"/>
      <c r="HV200" s="17"/>
      <c r="HZ200" s="24"/>
      <c r="IA200" s="60"/>
      <c r="IB200" s="16"/>
      <c r="IC200" s="16"/>
      <c r="ID200" s="16"/>
      <c r="IE200" s="16"/>
      <c r="IF200" s="16"/>
      <c r="IG200" s="17"/>
      <c r="IK200" s="24"/>
      <c r="IL200" s="60"/>
      <c r="IM200" s="16"/>
      <c r="IN200" s="16"/>
      <c r="IO200" s="16"/>
      <c r="IP200" s="16"/>
      <c r="IQ200" s="16"/>
      <c r="IR200" s="17"/>
      <c r="IV200" s="24"/>
      <c r="IW200" s="60"/>
      <c r="IX200" s="16"/>
      <c r="IY200" s="16"/>
      <c r="IZ200" s="16"/>
      <c r="JA200" s="16"/>
      <c r="JB200" s="16"/>
      <c r="JC200" s="17"/>
      <c r="JG200" s="24"/>
      <c r="JH200" s="60"/>
      <c r="JI200" s="16"/>
      <c r="JJ200" s="16"/>
      <c r="JK200" s="16"/>
      <c r="JL200" s="16"/>
      <c r="JM200" s="16"/>
      <c r="JN200" s="17"/>
      <c r="JR200" s="24"/>
      <c r="JS200" s="60"/>
      <c r="JT200" s="16"/>
      <c r="JU200" s="16"/>
      <c r="JV200" s="16"/>
      <c r="JW200" s="16"/>
      <c r="JX200" s="16"/>
      <c r="JY200" s="17"/>
      <c r="KC200" s="24"/>
      <c r="KD200" s="60"/>
      <c r="KE200" s="16"/>
      <c r="KF200" s="16"/>
      <c r="KG200" s="16"/>
      <c r="KH200" s="16"/>
      <c r="KI200" s="16"/>
      <c r="KJ200" s="17"/>
      <c r="KN200" s="24"/>
      <c r="KO200" s="60"/>
      <c r="KP200" s="16"/>
      <c r="KQ200" s="16"/>
      <c r="KR200" s="16"/>
      <c r="KS200" s="16"/>
      <c r="KT200" s="16"/>
      <c r="KU200" s="17"/>
      <c r="KY200" s="24"/>
      <c r="KZ200" s="60"/>
      <c r="LA200" s="16"/>
      <c r="LB200" s="16"/>
      <c r="LC200" s="16"/>
      <c r="LD200" s="16"/>
      <c r="LE200" s="16"/>
      <c r="LF200" s="17"/>
      <c r="LJ200" s="24"/>
      <c r="LK200" s="60"/>
      <c r="LL200" s="16"/>
      <c r="LM200" s="16"/>
      <c r="LN200" s="16"/>
      <c r="LO200" s="16"/>
      <c r="LP200" s="16"/>
      <c r="LQ200" s="17"/>
    </row>
    <row r="201">
      <c r="C201" s="31"/>
      <c r="D201" s="61"/>
      <c r="E201" s="16"/>
      <c r="F201" s="16"/>
      <c r="G201" s="21"/>
      <c r="H201" s="16"/>
      <c r="I201" s="16"/>
      <c r="J201" s="17"/>
      <c r="N201" s="17"/>
      <c r="O201" s="61"/>
      <c r="P201" s="16"/>
      <c r="Q201" s="16"/>
      <c r="R201" s="16"/>
      <c r="S201" s="16"/>
      <c r="T201" s="16"/>
      <c r="U201" s="17"/>
      <c r="Y201" s="24"/>
      <c r="Z201" s="61"/>
      <c r="AA201" s="16"/>
      <c r="AB201" s="16"/>
      <c r="AC201" s="16"/>
      <c r="AD201" s="16"/>
      <c r="AE201" s="16"/>
      <c r="AF201" s="17"/>
      <c r="AJ201" s="24"/>
      <c r="AK201" s="61"/>
      <c r="AL201" s="16"/>
      <c r="AM201" s="16"/>
      <c r="AN201" s="16"/>
      <c r="AO201" s="16"/>
      <c r="AP201" s="16"/>
      <c r="AQ201" s="17"/>
      <c r="AU201" s="24"/>
      <c r="AV201" s="61"/>
      <c r="AW201" s="16"/>
      <c r="AX201" s="16"/>
      <c r="AY201" s="16"/>
      <c r="AZ201" s="16"/>
      <c r="BA201" s="16"/>
      <c r="BB201" s="17"/>
      <c r="BF201" s="24"/>
      <c r="BG201" s="61"/>
      <c r="BH201" s="16"/>
      <c r="BI201" s="16"/>
      <c r="BJ201" s="16"/>
      <c r="BK201" s="16"/>
      <c r="BL201" s="16"/>
      <c r="BM201" s="17"/>
      <c r="BQ201" s="24"/>
      <c r="BR201" s="61"/>
      <c r="BS201" s="16"/>
      <c r="BT201" s="16"/>
      <c r="BU201" s="16"/>
      <c r="BV201" s="16"/>
      <c r="BW201" s="16"/>
      <c r="BX201" s="17"/>
      <c r="CB201" s="24"/>
      <c r="CC201" s="61"/>
      <c r="CD201" s="16"/>
      <c r="CE201" s="16"/>
      <c r="CF201" s="16"/>
      <c r="CG201" s="16"/>
      <c r="CH201" s="16"/>
      <c r="CI201" s="17"/>
      <c r="CM201" s="24"/>
      <c r="CN201" s="61"/>
      <c r="CO201" s="16"/>
      <c r="CP201" s="16"/>
      <c r="CQ201" s="16"/>
      <c r="CR201" s="16"/>
      <c r="CS201" s="16"/>
      <c r="CT201" s="17"/>
      <c r="CX201" s="24"/>
      <c r="CY201" s="60"/>
      <c r="CZ201" s="16"/>
      <c r="DA201" s="16"/>
      <c r="DB201" s="16"/>
      <c r="DC201" s="16"/>
      <c r="DD201" s="16"/>
      <c r="DE201" s="17"/>
      <c r="DI201" s="24"/>
      <c r="DJ201" s="60"/>
      <c r="DK201" s="16"/>
      <c r="DL201" s="16"/>
      <c r="DM201" s="16"/>
      <c r="DN201" s="16"/>
      <c r="DO201" s="16"/>
      <c r="DP201" s="17"/>
      <c r="DT201" s="24"/>
      <c r="DU201" s="60"/>
      <c r="DV201" s="16"/>
      <c r="DW201" s="16"/>
      <c r="DX201" s="16"/>
      <c r="DY201" s="16"/>
      <c r="DZ201" s="16"/>
      <c r="EA201" s="17"/>
      <c r="EE201" s="24"/>
      <c r="EF201" s="60"/>
      <c r="EG201" s="16"/>
      <c r="EH201" s="16"/>
      <c r="EI201" s="16"/>
      <c r="EJ201" s="16"/>
      <c r="EK201" s="16"/>
      <c r="EL201" s="17"/>
      <c r="EP201" s="24"/>
      <c r="EQ201" s="60"/>
      <c r="ER201" s="16"/>
      <c r="ES201" s="16"/>
      <c r="ET201" s="16"/>
      <c r="EU201" s="16"/>
      <c r="EV201" s="16"/>
      <c r="EW201" s="17"/>
      <c r="FA201" s="24"/>
      <c r="FB201" s="60"/>
      <c r="FC201" s="16"/>
      <c r="FD201" s="16"/>
      <c r="FE201" s="16"/>
      <c r="FF201" s="16"/>
      <c r="FG201" s="16"/>
      <c r="FH201" s="17"/>
      <c r="FL201" s="24"/>
      <c r="FM201" s="60"/>
      <c r="FN201" s="16"/>
      <c r="FO201" s="16"/>
      <c r="FP201" s="16"/>
      <c r="FQ201" s="16"/>
      <c r="FR201" s="16"/>
      <c r="FS201" s="17"/>
      <c r="FW201" s="24"/>
      <c r="FX201" s="60"/>
      <c r="FY201" s="16"/>
      <c r="FZ201" s="16"/>
      <c r="GA201" s="16"/>
      <c r="GB201" s="16"/>
      <c r="GC201" s="16"/>
      <c r="GD201" s="17"/>
      <c r="GH201" s="24"/>
      <c r="GI201" s="60"/>
      <c r="GJ201" s="16"/>
      <c r="GK201" s="16"/>
      <c r="GL201" s="16"/>
      <c r="GM201" s="16"/>
      <c r="GN201" s="16"/>
      <c r="GO201" s="17"/>
      <c r="GS201" s="24"/>
      <c r="GT201" s="60"/>
      <c r="GU201" s="16"/>
      <c r="GV201" s="16"/>
      <c r="GW201" s="16"/>
      <c r="GX201" s="16"/>
      <c r="GY201" s="16"/>
      <c r="GZ201" s="17"/>
      <c r="HD201" s="24"/>
      <c r="HE201" s="60"/>
      <c r="HF201" s="16"/>
      <c r="HG201" s="16"/>
      <c r="HH201" s="16"/>
      <c r="HI201" s="16"/>
      <c r="HJ201" s="16"/>
      <c r="HK201" s="17"/>
      <c r="HO201" s="24"/>
      <c r="HP201" s="60"/>
      <c r="HQ201" s="16"/>
      <c r="HR201" s="16"/>
      <c r="HS201" s="16"/>
      <c r="HT201" s="16"/>
      <c r="HU201" s="16"/>
      <c r="HV201" s="17"/>
      <c r="HZ201" s="24"/>
      <c r="IA201" s="60"/>
      <c r="IB201" s="16"/>
      <c r="IC201" s="16"/>
      <c r="ID201" s="16"/>
      <c r="IE201" s="16"/>
      <c r="IF201" s="16"/>
      <c r="IG201" s="17"/>
      <c r="IK201" s="24"/>
      <c r="IL201" s="60"/>
      <c r="IM201" s="16"/>
      <c r="IN201" s="16"/>
      <c r="IO201" s="16"/>
      <c r="IP201" s="16"/>
      <c r="IQ201" s="16"/>
      <c r="IR201" s="17"/>
      <c r="IV201" s="24"/>
      <c r="IW201" s="60"/>
      <c r="IX201" s="16"/>
      <c r="IY201" s="16"/>
      <c r="IZ201" s="16"/>
      <c r="JA201" s="16"/>
      <c r="JB201" s="16"/>
      <c r="JC201" s="17"/>
      <c r="JG201" s="24"/>
      <c r="JH201" s="60"/>
      <c r="JI201" s="16"/>
      <c r="JJ201" s="16"/>
      <c r="JK201" s="16"/>
      <c r="JL201" s="16"/>
      <c r="JM201" s="16"/>
      <c r="JN201" s="17"/>
      <c r="JR201" s="24"/>
      <c r="JS201" s="60"/>
      <c r="JT201" s="16"/>
      <c r="JU201" s="16"/>
      <c r="JV201" s="16"/>
      <c r="JW201" s="16"/>
      <c r="JX201" s="16"/>
      <c r="JY201" s="17"/>
      <c r="KC201" s="24"/>
      <c r="KD201" s="60"/>
      <c r="KE201" s="16"/>
      <c r="KF201" s="16"/>
      <c r="KG201" s="16"/>
      <c r="KH201" s="16"/>
      <c r="KI201" s="16"/>
      <c r="KJ201" s="17"/>
      <c r="KN201" s="24"/>
      <c r="KO201" s="60"/>
      <c r="KP201" s="16"/>
      <c r="KQ201" s="16"/>
      <c r="KR201" s="16"/>
      <c r="KS201" s="16"/>
      <c r="KT201" s="16"/>
      <c r="KU201" s="17"/>
      <c r="KY201" s="24"/>
      <c r="KZ201" s="60"/>
      <c r="LA201" s="16"/>
      <c r="LB201" s="16"/>
      <c r="LC201" s="16"/>
      <c r="LD201" s="16"/>
      <c r="LE201" s="16"/>
      <c r="LF201" s="17"/>
      <c r="LJ201" s="24"/>
      <c r="LK201" s="60"/>
      <c r="LL201" s="16"/>
      <c r="LM201" s="16"/>
      <c r="LN201" s="16"/>
      <c r="LO201" s="16"/>
      <c r="LP201" s="16"/>
      <c r="LQ201" s="17"/>
    </row>
    <row r="202">
      <c r="C202" s="31"/>
      <c r="D202" s="61"/>
      <c r="E202" s="16"/>
      <c r="F202" s="16"/>
      <c r="G202" s="21"/>
      <c r="H202" s="16"/>
      <c r="I202" s="16"/>
      <c r="J202" s="17"/>
      <c r="N202" s="17"/>
      <c r="O202" s="61"/>
      <c r="P202" s="16"/>
      <c r="Q202" s="16"/>
      <c r="R202" s="16"/>
      <c r="S202" s="16"/>
      <c r="T202" s="16"/>
      <c r="U202" s="17"/>
      <c r="Y202" s="24"/>
      <c r="Z202" s="61"/>
      <c r="AA202" s="16"/>
      <c r="AB202" s="16"/>
      <c r="AC202" s="16"/>
      <c r="AD202" s="16"/>
      <c r="AE202" s="16"/>
      <c r="AF202" s="17"/>
      <c r="AJ202" s="24"/>
      <c r="AK202" s="61"/>
      <c r="AL202" s="16"/>
      <c r="AM202" s="16"/>
      <c r="AN202" s="16"/>
      <c r="AO202" s="16"/>
      <c r="AP202" s="16"/>
      <c r="AQ202" s="17"/>
      <c r="AU202" s="24"/>
      <c r="AV202" s="61"/>
      <c r="AW202" s="16"/>
      <c r="AX202" s="16"/>
      <c r="AY202" s="16"/>
      <c r="AZ202" s="16"/>
      <c r="BA202" s="16"/>
      <c r="BB202" s="17"/>
      <c r="BF202" s="24"/>
      <c r="BG202" s="61"/>
      <c r="BH202" s="16"/>
      <c r="BI202" s="16"/>
      <c r="BJ202" s="16"/>
      <c r="BK202" s="16"/>
      <c r="BL202" s="16"/>
      <c r="BM202" s="17"/>
      <c r="BQ202" s="24"/>
      <c r="BR202" s="61"/>
      <c r="BS202" s="16"/>
      <c r="BT202" s="16"/>
      <c r="BU202" s="16"/>
      <c r="BV202" s="16"/>
      <c r="BW202" s="16"/>
      <c r="BX202" s="17"/>
      <c r="CB202" s="24"/>
      <c r="CC202" s="61"/>
      <c r="CD202" s="16"/>
      <c r="CE202" s="16"/>
      <c r="CF202" s="16"/>
      <c r="CG202" s="16"/>
      <c r="CH202" s="16"/>
      <c r="CI202" s="17"/>
      <c r="CM202" s="24"/>
      <c r="CN202" s="61"/>
      <c r="CO202" s="16"/>
      <c r="CP202" s="16"/>
      <c r="CQ202" s="16"/>
      <c r="CR202" s="16"/>
      <c r="CS202" s="16"/>
      <c r="CT202" s="17"/>
      <c r="CX202" s="24"/>
      <c r="CY202" s="60"/>
      <c r="CZ202" s="16"/>
      <c r="DA202" s="16"/>
      <c r="DB202" s="16"/>
      <c r="DC202" s="16"/>
      <c r="DD202" s="16"/>
      <c r="DE202" s="17"/>
      <c r="DI202" s="24"/>
      <c r="DJ202" s="60"/>
      <c r="DK202" s="16"/>
      <c r="DL202" s="16"/>
      <c r="DM202" s="16"/>
      <c r="DN202" s="16"/>
      <c r="DO202" s="16"/>
      <c r="DP202" s="17"/>
      <c r="DT202" s="24"/>
      <c r="DU202" s="60"/>
      <c r="DV202" s="16"/>
      <c r="DW202" s="16"/>
      <c r="DX202" s="16"/>
      <c r="DY202" s="16"/>
      <c r="DZ202" s="16"/>
      <c r="EA202" s="17"/>
      <c r="EE202" s="24"/>
      <c r="EF202" s="60"/>
      <c r="EG202" s="16"/>
      <c r="EH202" s="16"/>
      <c r="EI202" s="16"/>
      <c r="EJ202" s="16"/>
      <c r="EK202" s="16"/>
      <c r="EL202" s="17"/>
      <c r="EP202" s="24"/>
      <c r="EQ202" s="60"/>
      <c r="ER202" s="16"/>
      <c r="ES202" s="16"/>
      <c r="ET202" s="16"/>
      <c r="EU202" s="16"/>
      <c r="EV202" s="16"/>
      <c r="EW202" s="17"/>
      <c r="FA202" s="24"/>
      <c r="FB202" s="60"/>
      <c r="FC202" s="16"/>
      <c r="FD202" s="16"/>
      <c r="FE202" s="16"/>
      <c r="FF202" s="16"/>
      <c r="FG202" s="16"/>
      <c r="FH202" s="17"/>
      <c r="FL202" s="24"/>
      <c r="FM202" s="60"/>
      <c r="FN202" s="16"/>
      <c r="FO202" s="16"/>
      <c r="FP202" s="16"/>
      <c r="FQ202" s="16"/>
      <c r="FR202" s="16"/>
      <c r="FS202" s="17"/>
      <c r="FW202" s="24"/>
      <c r="FX202" s="60"/>
      <c r="FY202" s="16"/>
      <c r="FZ202" s="16"/>
      <c r="GA202" s="16"/>
      <c r="GB202" s="16"/>
      <c r="GC202" s="16"/>
      <c r="GD202" s="17"/>
      <c r="GH202" s="24"/>
      <c r="GI202" s="60"/>
      <c r="GJ202" s="16"/>
      <c r="GK202" s="16"/>
      <c r="GL202" s="16"/>
      <c r="GM202" s="16"/>
      <c r="GN202" s="16"/>
      <c r="GO202" s="17"/>
      <c r="GS202" s="24"/>
      <c r="GT202" s="60"/>
      <c r="GU202" s="16"/>
      <c r="GV202" s="16"/>
      <c r="GW202" s="16"/>
      <c r="GX202" s="16"/>
      <c r="GY202" s="16"/>
      <c r="GZ202" s="17"/>
      <c r="HD202" s="24"/>
      <c r="HE202" s="60"/>
      <c r="HF202" s="16"/>
      <c r="HG202" s="16"/>
      <c r="HH202" s="16"/>
      <c r="HI202" s="16"/>
      <c r="HJ202" s="16"/>
      <c r="HK202" s="17"/>
      <c r="HO202" s="24"/>
      <c r="HP202" s="60"/>
      <c r="HQ202" s="16"/>
      <c r="HR202" s="16"/>
      <c r="HS202" s="16"/>
      <c r="HT202" s="16"/>
      <c r="HU202" s="16"/>
      <c r="HV202" s="17"/>
      <c r="HZ202" s="24"/>
      <c r="IA202" s="60"/>
      <c r="IB202" s="16"/>
      <c r="IC202" s="16"/>
      <c r="ID202" s="16"/>
      <c r="IE202" s="16"/>
      <c r="IF202" s="16"/>
      <c r="IG202" s="17"/>
      <c r="IK202" s="24"/>
      <c r="IL202" s="60"/>
      <c r="IM202" s="16"/>
      <c r="IN202" s="16"/>
      <c r="IO202" s="16"/>
      <c r="IP202" s="16"/>
      <c r="IQ202" s="16"/>
      <c r="IR202" s="17"/>
      <c r="IV202" s="24"/>
      <c r="IW202" s="60"/>
      <c r="IX202" s="16"/>
      <c r="IY202" s="16"/>
      <c r="IZ202" s="16"/>
      <c r="JA202" s="16"/>
      <c r="JB202" s="16"/>
      <c r="JC202" s="17"/>
      <c r="JG202" s="24"/>
      <c r="JH202" s="60"/>
      <c r="JI202" s="16"/>
      <c r="JJ202" s="16"/>
      <c r="JK202" s="16"/>
      <c r="JL202" s="16"/>
      <c r="JM202" s="16"/>
      <c r="JN202" s="17"/>
      <c r="JR202" s="24"/>
      <c r="JS202" s="60"/>
      <c r="JT202" s="16"/>
      <c r="JU202" s="16"/>
      <c r="JV202" s="16"/>
      <c r="JW202" s="16"/>
      <c r="JX202" s="16"/>
      <c r="JY202" s="17"/>
      <c r="KC202" s="24"/>
      <c r="KD202" s="60"/>
      <c r="KE202" s="16"/>
      <c r="KF202" s="16"/>
      <c r="KG202" s="16"/>
      <c r="KH202" s="16"/>
      <c r="KI202" s="16"/>
      <c r="KJ202" s="17"/>
      <c r="KN202" s="24"/>
      <c r="KO202" s="60"/>
      <c r="KP202" s="16"/>
      <c r="KQ202" s="16"/>
      <c r="KR202" s="16"/>
      <c r="KS202" s="16"/>
      <c r="KT202" s="16"/>
      <c r="KU202" s="17"/>
      <c r="KY202" s="24"/>
      <c r="KZ202" s="60"/>
      <c r="LA202" s="16"/>
      <c r="LB202" s="16"/>
      <c r="LC202" s="16"/>
      <c r="LD202" s="16"/>
      <c r="LE202" s="16"/>
      <c r="LF202" s="17"/>
      <c r="LJ202" s="24"/>
      <c r="LK202" s="60"/>
      <c r="LL202" s="16"/>
      <c r="LM202" s="16"/>
      <c r="LN202" s="16"/>
      <c r="LO202" s="16"/>
      <c r="LP202" s="16"/>
      <c r="LQ202" s="17"/>
    </row>
    <row r="203">
      <c r="C203" s="31"/>
      <c r="D203" s="61"/>
      <c r="E203" s="16"/>
      <c r="F203" s="16"/>
      <c r="G203" s="21"/>
      <c r="H203" s="16"/>
      <c r="I203" s="16"/>
      <c r="J203" s="17"/>
      <c r="N203" s="17"/>
      <c r="O203" s="61"/>
      <c r="P203" s="16"/>
      <c r="Q203" s="16"/>
      <c r="R203" s="16"/>
      <c r="S203" s="16"/>
      <c r="T203" s="16"/>
      <c r="U203" s="17"/>
      <c r="Y203" s="24"/>
      <c r="Z203" s="61"/>
      <c r="AA203" s="16"/>
      <c r="AB203" s="16"/>
      <c r="AC203" s="16"/>
      <c r="AD203" s="16"/>
      <c r="AE203" s="16"/>
      <c r="AF203" s="17"/>
      <c r="AJ203" s="24"/>
      <c r="AK203" s="61"/>
      <c r="AL203" s="16"/>
      <c r="AM203" s="16"/>
      <c r="AN203" s="16"/>
      <c r="AO203" s="16"/>
      <c r="AP203" s="16"/>
      <c r="AQ203" s="17"/>
      <c r="AU203" s="24"/>
      <c r="AV203" s="61"/>
      <c r="AW203" s="16"/>
      <c r="AX203" s="16"/>
      <c r="AY203" s="16"/>
      <c r="AZ203" s="16"/>
      <c r="BA203" s="16"/>
      <c r="BB203" s="17"/>
      <c r="BF203" s="24"/>
      <c r="BG203" s="61"/>
      <c r="BH203" s="16"/>
      <c r="BI203" s="16"/>
      <c r="BJ203" s="16"/>
      <c r="BK203" s="16"/>
      <c r="BL203" s="16"/>
      <c r="BM203" s="17"/>
      <c r="BQ203" s="24"/>
      <c r="BR203" s="61"/>
      <c r="BS203" s="16"/>
      <c r="BT203" s="16"/>
      <c r="BU203" s="16"/>
      <c r="BV203" s="16"/>
      <c r="BW203" s="16"/>
      <c r="BX203" s="17"/>
      <c r="CB203" s="24"/>
      <c r="CC203" s="61"/>
      <c r="CD203" s="16"/>
      <c r="CE203" s="16"/>
      <c r="CF203" s="16"/>
      <c r="CG203" s="16"/>
      <c r="CH203" s="16"/>
      <c r="CI203" s="17"/>
      <c r="CM203" s="24"/>
      <c r="CN203" s="61"/>
      <c r="CO203" s="16"/>
      <c r="CP203" s="16"/>
      <c r="CQ203" s="16"/>
      <c r="CR203" s="16"/>
      <c r="CS203" s="16"/>
      <c r="CT203" s="17"/>
      <c r="CX203" s="24"/>
      <c r="CY203" s="60"/>
      <c r="CZ203" s="16"/>
      <c r="DA203" s="16"/>
      <c r="DB203" s="16"/>
      <c r="DC203" s="16"/>
      <c r="DD203" s="16"/>
      <c r="DE203" s="17"/>
      <c r="DI203" s="24"/>
      <c r="DJ203" s="60"/>
      <c r="DK203" s="16"/>
      <c r="DL203" s="16"/>
      <c r="DM203" s="16"/>
      <c r="DN203" s="16"/>
      <c r="DO203" s="16"/>
      <c r="DP203" s="17"/>
      <c r="DT203" s="24"/>
      <c r="DU203" s="60"/>
      <c r="DV203" s="16"/>
      <c r="DW203" s="16"/>
      <c r="DX203" s="16"/>
      <c r="DY203" s="16"/>
      <c r="DZ203" s="16"/>
      <c r="EA203" s="17"/>
      <c r="EE203" s="24"/>
      <c r="EF203" s="60"/>
      <c r="EG203" s="16"/>
      <c r="EH203" s="16"/>
      <c r="EI203" s="16"/>
      <c r="EJ203" s="16"/>
      <c r="EK203" s="16"/>
      <c r="EL203" s="17"/>
      <c r="EP203" s="24"/>
      <c r="EQ203" s="60"/>
      <c r="ER203" s="16"/>
      <c r="ES203" s="16"/>
      <c r="ET203" s="16"/>
      <c r="EU203" s="16"/>
      <c r="EV203" s="16"/>
      <c r="EW203" s="17"/>
      <c r="FA203" s="24"/>
      <c r="FB203" s="60"/>
      <c r="FC203" s="16"/>
      <c r="FD203" s="16"/>
      <c r="FE203" s="16"/>
      <c r="FF203" s="16"/>
      <c r="FG203" s="16"/>
      <c r="FH203" s="17"/>
      <c r="FL203" s="24"/>
      <c r="FM203" s="60"/>
      <c r="FN203" s="16"/>
      <c r="FO203" s="16"/>
      <c r="FP203" s="16"/>
      <c r="FQ203" s="16"/>
      <c r="FR203" s="16"/>
      <c r="FS203" s="17"/>
      <c r="FW203" s="24"/>
      <c r="FX203" s="60"/>
      <c r="FY203" s="16"/>
      <c r="FZ203" s="16"/>
      <c r="GA203" s="16"/>
      <c r="GB203" s="16"/>
      <c r="GC203" s="16"/>
      <c r="GD203" s="17"/>
      <c r="GH203" s="24"/>
      <c r="GI203" s="60"/>
      <c r="GJ203" s="16"/>
      <c r="GK203" s="16"/>
      <c r="GL203" s="16"/>
      <c r="GM203" s="16"/>
      <c r="GN203" s="16"/>
      <c r="GO203" s="17"/>
      <c r="GS203" s="24"/>
      <c r="GT203" s="60"/>
      <c r="GU203" s="16"/>
      <c r="GV203" s="16"/>
      <c r="GW203" s="16"/>
      <c r="GX203" s="16"/>
      <c r="GY203" s="16"/>
      <c r="GZ203" s="17"/>
      <c r="HD203" s="24"/>
      <c r="HE203" s="60"/>
      <c r="HF203" s="16"/>
      <c r="HG203" s="16"/>
      <c r="HH203" s="16"/>
      <c r="HI203" s="16"/>
      <c r="HJ203" s="16"/>
      <c r="HK203" s="17"/>
      <c r="HO203" s="24"/>
      <c r="HP203" s="60"/>
      <c r="HQ203" s="16"/>
      <c r="HR203" s="16"/>
      <c r="HS203" s="16"/>
      <c r="HT203" s="16"/>
      <c r="HU203" s="16"/>
      <c r="HV203" s="17"/>
      <c r="HZ203" s="24"/>
      <c r="IA203" s="60"/>
      <c r="IB203" s="16"/>
      <c r="IC203" s="16"/>
      <c r="ID203" s="16"/>
      <c r="IE203" s="16"/>
      <c r="IF203" s="16"/>
      <c r="IG203" s="17"/>
      <c r="IK203" s="24"/>
      <c r="IL203" s="60"/>
      <c r="IM203" s="16"/>
      <c r="IN203" s="16"/>
      <c r="IO203" s="16"/>
      <c r="IP203" s="16"/>
      <c r="IQ203" s="16"/>
      <c r="IR203" s="17"/>
      <c r="IV203" s="24"/>
      <c r="IW203" s="60"/>
      <c r="IX203" s="16"/>
      <c r="IY203" s="16"/>
      <c r="IZ203" s="16"/>
      <c r="JA203" s="16"/>
      <c r="JB203" s="16"/>
      <c r="JC203" s="17"/>
      <c r="JG203" s="24"/>
      <c r="JH203" s="60"/>
      <c r="JI203" s="16"/>
      <c r="JJ203" s="16"/>
      <c r="JK203" s="16"/>
      <c r="JL203" s="16"/>
      <c r="JM203" s="16"/>
      <c r="JN203" s="17"/>
      <c r="JR203" s="24"/>
      <c r="JS203" s="60"/>
      <c r="JT203" s="16"/>
      <c r="JU203" s="16"/>
      <c r="JV203" s="16"/>
      <c r="JW203" s="16"/>
      <c r="JX203" s="16"/>
      <c r="JY203" s="17"/>
      <c r="KC203" s="24"/>
      <c r="KD203" s="60"/>
      <c r="KE203" s="16"/>
      <c r="KF203" s="16"/>
      <c r="KG203" s="16"/>
      <c r="KH203" s="16"/>
      <c r="KI203" s="16"/>
      <c r="KJ203" s="17"/>
      <c r="KN203" s="24"/>
      <c r="KO203" s="60"/>
      <c r="KP203" s="16"/>
      <c r="KQ203" s="16"/>
      <c r="KR203" s="16"/>
      <c r="KS203" s="16"/>
      <c r="KT203" s="16"/>
      <c r="KU203" s="17"/>
      <c r="KY203" s="24"/>
      <c r="KZ203" s="60"/>
      <c r="LA203" s="16"/>
      <c r="LB203" s="16"/>
      <c r="LC203" s="16"/>
      <c r="LD203" s="16"/>
      <c r="LE203" s="16"/>
      <c r="LF203" s="17"/>
      <c r="LJ203" s="24"/>
      <c r="LK203" s="60"/>
      <c r="LL203" s="16"/>
      <c r="LM203" s="16"/>
      <c r="LN203" s="16"/>
      <c r="LO203" s="16"/>
      <c r="LP203" s="16"/>
      <c r="LQ203" s="17"/>
    </row>
    <row r="204">
      <c r="C204" s="31"/>
      <c r="D204" s="61"/>
      <c r="E204" s="16"/>
      <c r="F204" s="16"/>
      <c r="G204" s="21"/>
      <c r="H204" s="16"/>
      <c r="I204" s="16"/>
      <c r="J204" s="17"/>
      <c r="N204" s="17"/>
      <c r="O204" s="61"/>
      <c r="P204" s="16"/>
      <c r="Q204" s="16"/>
      <c r="R204" s="16"/>
      <c r="S204" s="16"/>
      <c r="T204" s="16"/>
      <c r="U204" s="17"/>
      <c r="Y204" s="24"/>
      <c r="Z204" s="61"/>
      <c r="AA204" s="16"/>
      <c r="AB204" s="16"/>
      <c r="AC204" s="16"/>
      <c r="AD204" s="16"/>
      <c r="AE204" s="16"/>
      <c r="AF204" s="17"/>
      <c r="AJ204" s="24"/>
      <c r="AK204" s="61"/>
      <c r="AL204" s="16"/>
      <c r="AM204" s="16"/>
      <c r="AN204" s="16"/>
      <c r="AO204" s="16"/>
      <c r="AP204" s="16"/>
      <c r="AQ204" s="17"/>
      <c r="AU204" s="24"/>
      <c r="AV204" s="61"/>
      <c r="AW204" s="16"/>
      <c r="AX204" s="16"/>
      <c r="AY204" s="16"/>
      <c r="AZ204" s="16"/>
      <c r="BA204" s="16"/>
      <c r="BB204" s="17"/>
      <c r="BF204" s="24"/>
      <c r="BG204" s="61"/>
      <c r="BH204" s="16"/>
      <c r="BI204" s="16"/>
      <c r="BJ204" s="16"/>
      <c r="BK204" s="16"/>
      <c r="BL204" s="16"/>
      <c r="BM204" s="17"/>
      <c r="BQ204" s="24"/>
      <c r="BR204" s="61"/>
      <c r="BS204" s="16"/>
      <c r="BT204" s="16"/>
      <c r="BU204" s="16"/>
      <c r="BV204" s="16"/>
      <c r="BW204" s="16"/>
      <c r="BX204" s="17"/>
      <c r="CB204" s="24"/>
      <c r="CC204" s="61"/>
      <c r="CD204" s="16"/>
      <c r="CE204" s="16"/>
      <c r="CF204" s="16"/>
      <c r="CG204" s="16"/>
      <c r="CH204" s="16"/>
      <c r="CI204" s="17"/>
      <c r="CM204" s="24"/>
      <c r="CN204" s="61"/>
      <c r="CO204" s="16"/>
      <c r="CP204" s="16"/>
      <c r="CQ204" s="16"/>
      <c r="CR204" s="16"/>
      <c r="CS204" s="16"/>
      <c r="CT204" s="17"/>
      <c r="CX204" s="24"/>
      <c r="CY204" s="60"/>
      <c r="CZ204" s="16"/>
      <c r="DA204" s="16"/>
      <c r="DB204" s="16"/>
      <c r="DC204" s="16"/>
      <c r="DD204" s="16"/>
      <c r="DE204" s="17"/>
      <c r="DI204" s="24"/>
      <c r="DJ204" s="60"/>
      <c r="DK204" s="16"/>
      <c r="DL204" s="16"/>
      <c r="DM204" s="16"/>
      <c r="DN204" s="16"/>
      <c r="DO204" s="16"/>
      <c r="DP204" s="17"/>
      <c r="DT204" s="24"/>
      <c r="DU204" s="60"/>
      <c r="DV204" s="16"/>
      <c r="DW204" s="16"/>
      <c r="DX204" s="16"/>
      <c r="DY204" s="16"/>
      <c r="DZ204" s="16"/>
      <c r="EA204" s="17"/>
      <c r="EE204" s="24"/>
      <c r="EF204" s="60"/>
      <c r="EG204" s="16"/>
      <c r="EH204" s="16"/>
      <c r="EI204" s="16"/>
      <c r="EJ204" s="16"/>
      <c r="EK204" s="16"/>
      <c r="EL204" s="17"/>
      <c r="EP204" s="24"/>
      <c r="EQ204" s="60"/>
      <c r="ER204" s="16"/>
      <c r="ES204" s="16"/>
      <c r="ET204" s="16"/>
      <c r="EU204" s="16"/>
      <c r="EV204" s="16"/>
      <c r="EW204" s="17"/>
      <c r="FA204" s="24"/>
      <c r="FB204" s="60"/>
      <c r="FC204" s="16"/>
      <c r="FD204" s="16"/>
      <c r="FE204" s="16"/>
      <c r="FF204" s="16"/>
      <c r="FG204" s="16"/>
      <c r="FH204" s="17"/>
      <c r="FL204" s="24"/>
      <c r="FM204" s="60"/>
      <c r="FN204" s="16"/>
      <c r="FO204" s="16"/>
      <c r="FP204" s="16"/>
      <c r="FQ204" s="16"/>
      <c r="FR204" s="16"/>
      <c r="FS204" s="17"/>
      <c r="FW204" s="24"/>
      <c r="FX204" s="60"/>
      <c r="FY204" s="16"/>
      <c r="FZ204" s="16"/>
      <c r="GA204" s="16"/>
      <c r="GB204" s="16"/>
      <c r="GC204" s="16"/>
      <c r="GD204" s="17"/>
      <c r="GH204" s="24"/>
      <c r="GI204" s="60"/>
      <c r="GJ204" s="16"/>
      <c r="GK204" s="16"/>
      <c r="GL204" s="16"/>
      <c r="GM204" s="16"/>
      <c r="GN204" s="16"/>
      <c r="GO204" s="17"/>
      <c r="GS204" s="24"/>
      <c r="GT204" s="60"/>
      <c r="GU204" s="16"/>
      <c r="GV204" s="16"/>
      <c r="GW204" s="16"/>
      <c r="GX204" s="16"/>
      <c r="GY204" s="16"/>
      <c r="GZ204" s="17"/>
      <c r="HD204" s="24"/>
      <c r="HE204" s="60"/>
      <c r="HF204" s="16"/>
      <c r="HG204" s="16"/>
      <c r="HH204" s="16"/>
      <c r="HI204" s="16"/>
      <c r="HJ204" s="16"/>
      <c r="HK204" s="17"/>
      <c r="HO204" s="24"/>
      <c r="HP204" s="60"/>
      <c r="HQ204" s="16"/>
      <c r="HR204" s="16"/>
      <c r="HS204" s="16"/>
      <c r="HT204" s="16"/>
      <c r="HU204" s="16"/>
      <c r="HV204" s="17"/>
      <c r="HZ204" s="24"/>
      <c r="IA204" s="60"/>
      <c r="IB204" s="16"/>
      <c r="IC204" s="16"/>
      <c r="ID204" s="16"/>
      <c r="IE204" s="16"/>
      <c r="IF204" s="16"/>
      <c r="IG204" s="17"/>
      <c r="IK204" s="24"/>
      <c r="IL204" s="60"/>
      <c r="IM204" s="16"/>
      <c r="IN204" s="16"/>
      <c r="IO204" s="16"/>
      <c r="IP204" s="16"/>
      <c r="IQ204" s="16"/>
      <c r="IR204" s="17"/>
      <c r="IV204" s="24"/>
      <c r="IW204" s="60"/>
      <c r="IX204" s="16"/>
      <c r="IY204" s="16"/>
      <c r="IZ204" s="16"/>
      <c r="JA204" s="16"/>
      <c r="JB204" s="16"/>
      <c r="JC204" s="17"/>
      <c r="JG204" s="24"/>
      <c r="JH204" s="60"/>
      <c r="JI204" s="16"/>
      <c r="JJ204" s="16"/>
      <c r="JK204" s="16"/>
      <c r="JL204" s="16"/>
      <c r="JM204" s="16"/>
      <c r="JN204" s="17"/>
      <c r="JR204" s="24"/>
      <c r="JS204" s="60"/>
      <c r="JT204" s="16"/>
      <c r="JU204" s="16"/>
      <c r="JV204" s="16"/>
      <c r="JW204" s="16"/>
      <c r="JX204" s="16"/>
      <c r="JY204" s="17"/>
      <c r="KC204" s="24"/>
      <c r="KD204" s="60"/>
      <c r="KE204" s="16"/>
      <c r="KF204" s="16"/>
      <c r="KG204" s="16"/>
      <c r="KH204" s="16"/>
      <c r="KI204" s="16"/>
      <c r="KJ204" s="17"/>
      <c r="KN204" s="24"/>
      <c r="KO204" s="60"/>
      <c r="KP204" s="16"/>
      <c r="KQ204" s="16"/>
      <c r="KR204" s="16"/>
      <c r="KS204" s="16"/>
      <c r="KT204" s="16"/>
      <c r="KU204" s="17"/>
      <c r="KY204" s="24"/>
      <c r="KZ204" s="60"/>
      <c r="LA204" s="16"/>
      <c r="LB204" s="16"/>
      <c r="LC204" s="16"/>
      <c r="LD204" s="16"/>
      <c r="LE204" s="16"/>
      <c r="LF204" s="17"/>
      <c r="LJ204" s="24"/>
      <c r="LK204" s="60"/>
      <c r="LL204" s="16"/>
      <c r="LM204" s="16"/>
      <c r="LN204" s="16"/>
      <c r="LO204" s="16"/>
      <c r="LP204" s="16"/>
      <c r="LQ204" s="17"/>
    </row>
    <row r="205">
      <c r="C205" s="31"/>
      <c r="D205" s="61"/>
      <c r="E205" s="16"/>
      <c r="F205" s="16"/>
      <c r="G205" s="21"/>
      <c r="H205" s="16"/>
      <c r="I205" s="16"/>
      <c r="J205" s="17"/>
      <c r="N205" s="17"/>
      <c r="O205" s="61"/>
      <c r="P205" s="16"/>
      <c r="Q205" s="16"/>
      <c r="R205" s="16"/>
      <c r="S205" s="16"/>
      <c r="T205" s="16"/>
      <c r="U205" s="17"/>
      <c r="Y205" s="24"/>
      <c r="Z205" s="61"/>
      <c r="AA205" s="16"/>
      <c r="AB205" s="16"/>
      <c r="AC205" s="16"/>
      <c r="AD205" s="16"/>
      <c r="AE205" s="16"/>
      <c r="AF205" s="17"/>
      <c r="AJ205" s="24"/>
      <c r="AK205" s="61"/>
      <c r="AL205" s="16"/>
      <c r="AM205" s="16"/>
      <c r="AN205" s="16"/>
      <c r="AO205" s="16"/>
      <c r="AP205" s="16"/>
      <c r="AQ205" s="17"/>
      <c r="AU205" s="24"/>
      <c r="AV205" s="61"/>
      <c r="AW205" s="16"/>
      <c r="AX205" s="16"/>
      <c r="AY205" s="16"/>
      <c r="AZ205" s="16"/>
      <c r="BA205" s="16"/>
      <c r="BB205" s="17"/>
      <c r="BF205" s="24"/>
      <c r="BG205" s="61"/>
      <c r="BH205" s="16"/>
      <c r="BI205" s="16"/>
      <c r="BJ205" s="16"/>
      <c r="BK205" s="16"/>
      <c r="BL205" s="16"/>
      <c r="BM205" s="17"/>
      <c r="BQ205" s="24"/>
      <c r="BR205" s="61"/>
      <c r="BS205" s="16"/>
      <c r="BT205" s="16"/>
      <c r="BU205" s="16"/>
      <c r="BV205" s="16"/>
      <c r="BW205" s="16"/>
      <c r="BX205" s="17"/>
      <c r="CB205" s="24"/>
      <c r="CC205" s="61"/>
      <c r="CD205" s="16"/>
      <c r="CE205" s="16"/>
      <c r="CF205" s="16"/>
      <c r="CG205" s="16"/>
      <c r="CH205" s="16"/>
      <c r="CI205" s="17"/>
      <c r="CM205" s="24"/>
      <c r="CN205" s="61"/>
      <c r="CO205" s="16"/>
      <c r="CP205" s="16"/>
      <c r="CQ205" s="16"/>
      <c r="CR205" s="16"/>
      <c r="CS205" s="16"/>
      <c r="CT205" s="17"/>
      <c r="CX205" s="24"/>
      <c r="CY205" s="60"/>
      <c r="CZ205" s="16"/>
      <c r="DA205" s="16"/>
      <c r="DB205" s="16"/>
      <c r="DC205" s="16"/>
      <c r="DD205" s="16"/>
      <c r="DE205" s="17"/>
      <c r="DI205" s="24"/>
      <c r="DJ205" s="60"/>
      <c r="DK205" s="16"/>
      <c r="DL205" s="16"/>
      <c r="DM205" s="16"/>
      <c r="DN205" s="16"/>
      <c r="DO205" s="16"/>
      <c r="DP205" s="17"/>
      <c r="DT205" s="24"/>
      <c r="DU205" s="60"/>
      <c r="DV205" s="16"/>
      <c r="DW205" s="16"/>
      <c r="DX205" s="16"/>
      <c r="DY205" s="16"/>
      <c r="DZ205" s="16"/>
      <c r="EA205" s="17"/>
      <c r="EE205" s="24"/>
      <c r="EF205" s="60"/>
      <c r="EG205" s="16"/>
      <c r="EH205" s="16"/>
      <c r="EI205" s="16"/>
      <c r="EJ205" s="16"/>
      <c r="EK205" s="16"/>
      <c r="EL205" s="17"/>
      <c r="EP205" s="24"/>
      <c r="EQ205" s="60"/>
      <c r="ER205" s="16"/>
      <c r="ES205" s="16"/>
      <c r="ET205" s="16"/>
      <c r="EU205" s="16"/>
      <c r="EV205" s="16"/>
      <c r="EW205" s="17"/>
      <c r="FA205" s="24"/>
      <c r="FB205" s="60"/>
      <c r="FC205" s="16"/>
      <c r="FD205" s="16"/>
      <c r="FE205" s="16"/>
      <c r="FF205" s="16"/>
      <c r="FG205" s="16"/>
      <c r="FH205" s="17"/>
      <c r="FL205" s="24"/>
      <c r="FM205" s="60"/>
      <c r="FN205" s="16"/>
      <c r="FO205" s="16"/>
      <c r="FP205" s="16"/>
      <c r="FQ205" s="16"/>
      <c r="FR205" s="16"/>
      <c r="FS205" s="17"/>
      <c r="FW205" s="24"/>
      <c r="FX205" s="60"/>
      <c r="FY205" s="16"/>
      <c r="FZ205" s="16"/>
      <c r="GA205" s="16"/>
      <c r="GB205" s="16"/>
      <c r="GC205" s="16"/>
      <c r="GD205" s="17"/>
      <c r="GH205" s="24"/>
      <c r="GI205" s="60"/>
      <c r="GJ205" s="16"/>
      <c r="GK205" s="16"/>
      <c r="GL205" s="16"/>
      <c r="GM205" s="16"/>
      <c r="GN205" s="16"/>
      <c r="GO205" s="17"/>
      <c r="GS205" s="24"/>
      <c r="GT205" s="60"/>
      <c r="GU205" s="16"/>
      <c r="GV205" s="16"/>
      <c r="GW205" s="16"/>
      <c r="GX205" s="16"/>
      <c r="GY205" s="16"/>
      <c r="GZ205" s="17"/>
      <c r="HD205" s="24"/>
      <c r="HE205" s="60"/>
      <c r="HF205" s="16"/>
      <c r="HG205" s="16"/>
      <c r="HH205" s="16"/>
      <c r="HI205" s="16"/>
      <c r="HJ205" s="16"/>
      <c r="HK205" s="17"/>
      <c r="HO205" s="24"/>
      <c r="HP205" s="60"/>
      <c r="HQ205" s="16"/>
      <c r="HR205" s="16"/>
      <c r="HS205" s="16"/>
      <c r="HT205" s="16"/>
      <c r="HU205" s="16"/>
      <c r="HV205" s="17"/>
      <c r="HZ205" s="24"/>
      <c r="IA205" s="60"/>
      <c r="IB205" s="16"/>
      <c r="IC205" s="16"/>
      <c r="ID205" s="16"/>
      <c r="IE205" s="16"/>
      <c r="IF205" s="16"/>
      <c r="IG205" s="17"/>
      <c r="IK205" s="24"/>
      <c r="IL205" s="60"/>
      <c r="IM205" s="16"/>
      <c r="IN205" s="16"/>
      <c r="IO205" s="16"/>
      <c r="IP205" s="16"/>
      <c r="IQ205" s="16"/>
      <c r="IR205" s="17"/>
      <c r="IV205" s="24"/>
      <c r="IW205" s="60"/>
      <c r="IX205" s="16"/>
      <c r="IY205" s="16"/>
      <c r="IZ205" s="16"/>
      <c r="JA205" s="16"/>
      <c r="JB205" s="16"/>
      <c r="JC205" s="17"/>
      <c r="JG205" s="24"/>
      <c r="JH205" s="60"/>
      <c r="JI205" s="16"/>
      <c r="JJ205" s="16"/>
      <c r="JK205" s="16"/>
      <c r="JL205" s="16"/>
      <c r="JM205" s="16"/>
      <c r="JN205" s="17"/>
      <c r="JR205" s="24"/>
      <c r="JS205" s="60"/>
      <c r="JT205" s="16"/>
      <c r="JU205" s="16"/>
      <c r="JV205" s="16"/>
      <c r="JW205" s="16"/>
      <c r="JX205" s="16"/>
      <c r="JY205" s="17"/>
      <c r="KC205" s="24"/>
      <c r="KD205" s="60"/>
      <c r="KE205" s="16"/>
      <c r="KF205" s="16"/>
      <c r="KG205" s="16"/>
      <c r="KH205" s="16"/>
      <c r="KI205" s="16"/>
      <c r="KJ205" s="17"/>
      <c r="KN205" s="24"/>
      <c r="KO205" s="60"/>
      <c r="KP205" s="16"/>
      <c r="KQ205" s="16"/>
      <c r="KR205" s="16"/>
      <c r="KS205" s="16"/>
      <c r="KT205" s="16"/>
      <c r="KU205" s="17"/>
      <c r="KY205" s="24"/>
      <c r="KZ205" s="60"/>
      <c r="LA205" s="16"/>
      <c r="LB205" s="16"/>
      <c r="LC205" s="16"/>
      <c r="LD205" s="16"/>
      <c r="LE205" s="16"/>
      <c r="LF205" s="17"/>
      <c r="LJ205" s="24"/>
      <c r="LK205" s="60"/>
      <c r="LL205" s="16"/>
      <c r="LM205" s="16"/>
      <c r="LN205" s="16"/>
      <c r="LO205" s="16"/>
      <c r="LP205" s="16"/>
      <c r="LQ205" s="17"/>
    </row>
    <row r="206">
      <c r="C206" s="31"/>
      <c r="D206" s="61"/>
      <c r="E206" s="16"/>
      <c r="F206" s="16"/>
      <c r="G206" s="21"/>
      <c r="H206" s="16"/>
      <c r="I206" s="16"/>
      <c r="J206" s="17"/>
      <c r="N206" s="17"/>
      <c r="O206" s="61"/>
      <c r="P206" s="16"/>
      <c r="Q206" s="16"/>
      <c r="R206" s="16"/>
      <c r="S206" s="16"/>
      <c r="T206" s="16"/>
      <c r="U206" s="17"/>
      <c r="Y206" s="24"/>
      <c r="Z206" s="61"/>
      <c r="AA206" s="16"/>
      <c r="AB206" s="16"/>
      <c r="AC206" s="16"/>
      <c r="AD206" s="16"/>
      <c r="AE206" s="16"/>
      <c r="AF206" s="17"/>
      <c r="AJ206" s="24"/>
      <c r="AK206" s="61"/>
      <c r="AL206" s="16"/>
      <c r="AM206" s="16"/>
      <c r="AN206" s="16"/>
      <c r="AO206" s="16"/>
      <c r="AP206" s="16"/>
      <c r="AQ206" s="17"/>
      <c r="AU206" s="24"/>
      <c r="AV206" s="61"/>
      <c r="AW206" s="16"/>
      <c r="AX206" s="16"/>
      <c r="AY206" s="16"/>
      <c r="AZ206" s="16"/>
      <c r="BA206" s="16"/>
      <c r="BB206" s="17"/>
      <c r="BF206" s="24"/>
      <c r="BG206" s="61"/>
      <c r="BH206" s="16"/>
      <c r="BI206" s="16"/>
      <c r="BJ206" s="16"/>
      <c r="BK206" s="16"/>
      <c r="BL206" s="16"/>
      <c r="BM206" s="17"/>
      <c r="BQ206" s="24"/>
      <c r="BR206" s="61"/>
      <c r="BS206" s="16"/>
      <c r="BT206" s="16"/>
      <c r="BU206" s="16"/>
      <c r="BV206" s="16"/>
      <c r="BW206" s="16"/>
      <c r="BX206" s="17"/>
      <c r="CB206" s="24"/>
      <c r="CC206" s="61"/>
      <c r="CD206" s="16"/>
      <c r="CE206" s="16"/>
      <c r="CF206" s="16"/>
      <c r="CG206" s="16"/>
      <c r="CH206" s="16"/>
      <c r="CI206" s="17"/>
      <c r="CM206" s="24"/>
      <c r="CN206" s="61"/>
      <c r="CO206" s="16"/>
      <c r="CP206" s="16"/>
      <c r="CQ206" s="16"/>
      <c r="CR206" s="16"/>
      <c r="CS206" s="16"/>
      <c r="CT206" s="17"/>
      <c r="CX206" s="24"/>
      <c r="CY206" s="60"/>
      <c r="CZ206" s="16"/>
      <c r="DA206" s="16"/>
      <c r="DB206" s="16"/>
      <c r="DC206" s="16"/>
      <c r="DD206" s="16"/>
      <c r="DE206" s="17"/>
      <c r="DI206" s="24"/>
      <c r="DJ206" s="60"/>
      <c r="DK206" s="16"/>
      <c r="DL206" s="16"/>
      <c r="DM206" s="16"/>
      <c r="DN206" s="16"/>
      <c r="DO206" s="16"/>
      <c r="DP206" s="17"/>
      <c r="DT206" s="24"/>
      <c r="DU206" s="60"/>
      <c r="DV206" s="16"/>
      <c r="DW206" s="16"/>
      <c r="DX206" s="16"/>
      <c r="DY206" s="16"/>
      <c r="DZ206" s="16"/>
      <c r="EA206" s="17"/>
      <c r="EE206" s="24"/>
      <c r="EF206" s="60"/>
      <c r="EG206" s="16"/>
      <c r="EH206" s="16"/>
      <c r="EI206" s="16"/>
      <c r="EJ206" s="16"/>
      <c r="EK206" s="16"/>
      <c r="EL206" s="17"/>
      <c r="EP206" s="24"/>
      <c r="EQ206" s="60"/>
      <c r="ER206" s="16"/>
      <c r="ES206" s="16"/>
      <c r="ET206" s="16"/>
      <c r="EU206" s="16"/>
      <c r="EV206" s="16"/>
      <c r="EW206" s="17"/>
      <c r="FA206" s="24"/>
      <c r="FB206" s="60"/>
      <c r="FC206" s="16"/>
      <c r="FD206" s="16"/>
      <c r="FE206" s="16"/>
      <c r="FF206" s="16"/>
      <c r="FG206" s="16"/>
      <c r="FH206" s="17"/>
      <c r="FL206" s="24"/>
      <c r="FM206" s="60"/>
      <c r="FN206" s="16"/>
      <c r="FO206" s="16"/>
      <c r="FP206" s="16"/>
      <c r="FQ206" s="16"/>
      <c r="FR206" s="16"/>
      <c r="FS206" s="17"/>
      <c r="FW206" s="24"/>
      <c r="FX206" s="60"/>
      <c r="FY206" s="16"/>
      <c r="FZ206" s="16"/>
      <c r="GA206" s="16"/>
      <c r="GB206" s="16"/>
      <c r="GC206" s="16"/>
      <c r="GD206" s="17"/>
      <c r="GH206" s="24"/>
      <c r="GI206" s="60"/>
      <c r="GJ206" s="16"/>
      <c r="GK206" s="16"/>
      <c r="GL206" s="16"/>
      <c r="GM206" s="16"/>
      <c r="GN206" s="16"/>
      <c r="GO206" s="17"/>
      <c r="GS206" s="24"/>
      <c r="GT206" s="60"/>
      <c r="GU206" s="16"/>
      <c r="GV206" s="16"/>
      <c r="GW206" s="16"/>
      <c r="GX206" s="16"/>
      <c r="GY206" s="16"/>
      <c r="GZ206" s="17"/>
      <c r="HD206" s="24"/>
      <c r="HE206" s="60"/>
      <c r="HF206" s="16"/>
      <c r="HG206" s="16"/>
      <c r="HH206" s="16"/>
      <c r="HI206" s="16"/>
      <c r="HJ206" s="16"/>
      <c r="HK206" s="17"/>
      <c r="HO206" s="24"/>
      <c r="HP206" s="60"/>
      <c r="HQ206" s="16"/>
      <c r="HR206" s="16"/>
      <c r="HS206" s="16"/>
      <c r="HT206" s="16"/>
      <c r="HU206" s="16"/>
      <c r="HV206" s="17"/>
      <c r="HZ206" s="24"/>
      <c r="IA206" s="60"/>
      <c r="IB206" s="16"/>
      <c r="IC206" s="16"/>
      <c r="ID206" s="16"/>
      <c r="IE206" s="16"/>
      <c r="IF206" s="16"/>
      <c r="IG206" s="17"/>
      <c r="IK206" s="24"/>
      <c r="IL206" s="60"/>
      <c r="IM206" s="16"/>
      <c r="IN206" s="16"/>
      <c r="IO206" s="16"/>
      <c r="IP206" s="16"/>
      <c r="IQ206" s="16"/>
      <c r="IR206" s="17"/>
      <c r="IV206" s="24"/>
      <c r="IW206" s="60"/>
      <c r="IX206" s="16"/>
      <c r="IY206" s="16"/>
      <c r="IZ206" s="16"/>
      <c r="JA206" s="16"/>
      <c r="JB206" s="16"/>
      <c r="JC206" s="17"/>
      <c r="JG206" s="24"/>
      <c r="JH206" s="60"/>
      <c r="JI206" s="16"/>
      <c r="JJ206" s="16"/>
      <c r="JK206" s="16"/>
      <c r="JL206" s="16"/>
      <c r="JM206" s="16"/>
      <c r="JN206" s="17"/>
      <c r="JR206" s="24"/>
      <c r="JS206" s="60"/>
      <c r="JT206" s="16"/>
      <c r="JU206" s="16"/>
      <c r="JV206" s="16"/>
      <c r="JW206" s="16"/>
      <c r="JX206" s="16"/>
      <c r="JY206" s="17"/>
      <c r="KC206" s="24"/>
      <c r="KD206" s="60"/>
      <c r="KE206" s="16"/>
      <c r="KF206" s="16"/>
      <c r="KG206" s="16"/>
      <c r="KH206" s="16"/>
      <c r="KI206" s="16"/>
      <c r="KJ206" s="17"/>
      <c r="KN206" s="24"/>
      <c r="KO206" s="60"/>
      <c r="KP206" s="16"/>
      <c r="KQ206" s="16"/>
      <c r="KR206" s="16"/>
      <c r="KS206" s="16"/>
      <c r="KT206" s="16"/>
      <c r="KU206" s="17"/>
      <c r="KY206" s="24"/>
      <c r="KZ206" s="60"/>
      <c r="LA206" s="16"/>
      <c r="LB206" s="16"/>
      <c r="LC206" s="16"/>
      <c r="LD206" s="16"/>
      <c r="LE206" s="16"/>
      <c r="LF206" s="17"/>
      <c r="LJ206" s="24"/>
      <c r="LK206" s="60"/>
      <c r="LL206" s="16"/>
      <c r="LM206" s="16"/>
      <c r="LN206" s="16"/>
      <c r="LO206" s="16"/>
      <c r="LP206" s="16"/>
      <c r="LQ206" s="17"/>
    </row>
    <row r="207">
      <c r="C207" s="31"/>
      <c r="D207" s="61"/>
      <c r="E207" s="16"/>
      <c r="F207" s="16"/>
      <c r="G207" s="21"/>
      <c r="H207" s="16"/>
      <c r="I207" s="16"/>
      <c r="J207" s="17"/>
      <c r="N207" s="17"/>
      <c r="O207" s="61"/>
      <c r="P207" s="16"/>
      <c r="Q207" s="16"/>
      <c r="R207" s="16"/>
      <c r="S207" s="16"/>
      <c r="T207" s="16"/>
      <c r="U207" s="17"/>
      <c r="Y207" s="24"/>
      <c r="Z207" s="61"/>
      <c r="AA207" s="16"/>
      <c r="AB207" s="16"/>
      <c r="AC207" s="16"/>
      <c r="AD207" s="16"/>
      <c r="AE207" s="16"/>
      <c r="AF207" s="17"/>
      <c r="AJ207" s="24"/>
      <c r="AK207" s="61"/>
      <c r="AL207" s="16"/>
      <c r="AM207" s="16"/>
      <c r="AN207" s="16"/>
      <c r="AO207" s="16"/>
      <c r="AP207" s="16"/>
      <c r="AQ207" s="17"/>
      <c r="AU207" s="24"/>
      <c r="AV207" s="61"/>
      <c r="AW207" s="16"/>
      <c r="AX207" s="16"/>
      <c r="AY207" s="16"/>
      <c r="AZ207" s="16"/>
      <c r="BA207" s="16"/>
      <c r="BB207" s="17"/>
      <c r="BF207" s="24"/>
      <c r="BG207" s="61"/>
      <c r="BH207" s="16"/>
      <c r="BI207" s="16"/>
      <c r="BJ207" s="16"/>
      <c r="BK207" s="16"/>
      <c r="BL207" s="16"/>
      <c r="BM207" s="17"/>
      <c r="BQ207" s="24"/>
      <c r="BR207" s="61"/>
      <c r="BS207" s="16"/>
      <c r="BT207" s="16"/>
      <c r="BU207" s="16"/>
      <c r="BV207" s="16"/>
      <c r="BW207" s="16"/>
      <c r="BX207" s="17"/>
      <c r="CB207" s="24"/>
      <c r="CC207" s="61"/>
      <c r="CD207" s="16"/>
      <c r="CE207" s="16"/>
      <c r="CF207" s="16"/>
      <c r="CG207" s="16"/>
      <c r="CH207" s="16"/>
      <c r="CI207" s="17"/>
      <c r="CM207" s="24"/>
      <c r="CN207" s="61"/>
      <c r="CO207" s="16"/>
      <c r="CP207" s="16"/>
      <c r="CQ207" s="16"/>
      <c r="CR207" s="16"/>
      <c r="CS207" s="16"/>
      <c r="CT207" s="17"/>
      <c r="CX207" s="24"/>
      <c r="CY207" s="60"/>
      <c r="CZ207" s="16"/>
      <c r="DA207" s="16"/>
      <c r="DB207" s="16"/>
      <c r="DC207" s="16"/>
      <c r="DD207" s="16"/>
      <c r="DE207" s="17"/>
      <c r="DI207" s="24"/>
      <c r="DJ207" s="60"/>
      <c r="DK207" s="16"/>
      <c r="DL207" s="16"/>
      <c r="DM207" s="16"/>
      <c r="DN207" s="16"/>
      <c r="DO207" s="16"/>
      <c r="DP207" s="17"/>
      <c r="DT207" s="24"/>
      <c r="DU207" s="60"/>
      <c r="DV207" s="16"/>
      <c r="DW207" s="16"/>
      <c r="DX207" s="16"/>
      <c r="DY207" s="16"/>
      <c r="DZ207" s="16"/>
      <c r="EA207" s="17"/>
      <c r="EE207" s="24"/>
      <c r="EF207" s="60"/>
      <c r="EG207" s="16"/>
      <c r="EH207" s="16"/>
      <c r="EI207" s="16"/>
      <c r="EJ207" s="16"/>
      <c r="EK207" s="16"/>
      <c r="EL207" s="17"/>
      <c r="EP207" s="24"/>
      <c r="EQ207" s="60"/>
      <c r="ER207" s="16"/>
      <c r="ES207" s="16"/>
      <c r="ET207" s="16"/>
      <c r="EU207" s="16"/>
      <c r="EV207" s="16"/>
      <c r="EW207" s="17"/>
      <c r="FA207" s="24"/>
      <c r="FB207" s="60"/>
      <c r="FC207" s="16"/>
      <c r="FD207" s="16"/>
      <c r="FE207" s="16"/>
      <c r="FF207" s="16"/>
      <c r="FG207" s="16"/>
      <c r="FH207" s="17"/>
      <c r="FL207" s="24"/>
      <c r="FM207" s="60"/>
      <c r="FN207" s="16"/>
      <c r="FO207" s="16"/>
      <c r="FP207" s="16"/>
      <c r="FQ207" s="16"/>
      <c r="FR207" s="16"/>
      <c r="FS207" s="17"/>
      <c r="FW207" s="24"/>
      <c r="FX207" s="60"/>
      <c r="FY207" s="16"/>
      <c r="FZ207" s="16"/>
      <c r="GA207" s="16"/>
      <c r="GB207" s="16"/>
      <c r="GC207" s="16"/>
      <c r="GD207" s="17"/>
      <c r="GH207" s="24"/>
      <c r="GI207" s="60"/>
      <c r="GJ207" s="16"/>
      <c r="GK207" s="16"/>
      <c r="GL207" s="16"/>
      <c r="GM207" s="16"/>
      <c r="GN207" s="16"/>
      <c r="GO207" s="17"/>
      <c r="GS207" s="24"/>
      <c r="GT207" s="60"/>
      <c r="GU207" s="16"/>
      <c r="GV207" s="16"/>
      <c r="GW207" s="16"/>
      <c r="GX207" s="16"/>
      <c r="GY207" s="16"/>
      <c r="GZ207" s="17"/>
      <c r="HD207" s="24"/>
      <c r="HE207" s="60"/>
      <c r="HF207" s="16"/>
      <c r="HG207" s="16"/>
      <c r="HH207" s="16"/>
      <c r="HI207" s="16"/>
      <c r="HJ207" s="16"/>
      <c r="HK207" s="17"/>
      <c r="HO207" s="24"/>
      <c r="HP207" s="60"/>
      <c r="HQ207" s="16"/>
      <c r="HR207" s="16"/>
      <c r="HS207" s="16"/>
      <c r="HT207" s="16"/>
      <c r="HU207" s="16"/>
      <c r="HV207" s="17"/>
      <c r="HZ207" s="24"/>
      <c r="IA207" s="60"/>
      <c r="IB207" s="16"/>
      <c r="IC207" s="16"/>
      <c r="ID207" s="16"/>
      <c r="IE207" s="16"/>
      <c r="IF207" s="16"/>
      <c r="IG207" s="17"/>
      <c r="IK207" s="24"/>
      <c r="IL207" s="60"/>
      <c r="IM207" s="16"/>
      <c r="IN207" s="16"/>
      <c r="IO207" s="16"/>
      <c r="IP207" s="16"/>
      <c r="IQ207" s="16"/>
      <c r="IR207" s="17"/>
      <c r="IV207" s="24"/>
      <c r="IW207" s="60"/>
      <c r="IX207" s="16"/>
      <c r="IY207" s="16"/>
      <c r="IZ207" s="16"/>
      <c r="JA207" s="16"/>
      <c r="JB207" s="16"/>
      <c r="JC207" s="17"/>
      <c r="JG207" s="24"/>
      <c r="JH207" s="60"/>
      <c r="JI207" s="16"/>
      <c r="JJ207" s="16"/>
      <c r="JK207" s="16"/>
      <c r="JL207" s="16"/>
      <c r="JM207" s="16"/>
      <c r="JN207" s="17"/>
      <c r="JR207" s="24"/>
      <c r="JS207" s="60"/>
      <c r="JT207" s="16"/>
      <c r="JU207" s="16"/>
      <c r="JV207" s="16"/>
      <c r="JW207" s="16"/>
      <c r="JX207" s="16"/>
      <c r="JY207" s="17"/>
      <c r="KC207" s="24"/>
      <c r="KD207" s="60"/>
      <c r="KE207" s="16"/>
      <c r="KF207" s="16"/>
      <c r="KG207" s="16"/>
      <c r="KH207" s="16"/>
      <c r="KI207" s="16"/>
      <c r="KJ207" s="17"/>
      <c r="KN207" s="24"/>
      <c r="KO207" s="60"/>
      <c r="KP207" s="16"/>
      <c r="KQ207" s="16"/>
      <c r="KR207" s="16"/>
      <c r="KS207" s="16"/>
      <c r="KT207" s="16"/>
      <c r="KU207" s="17"/>
      <c r="KY207" s="24"/>
      <c r="KZ207" s="60"/>
      <c r="LA207" s="16"/>
      <c r="LB207" s="16"/>
      <c r="LC207" s="16"/>
      <c r="LD207" s="16"/>
      <c r="LE207" s="16"/>
      <c r="LF207" s="17"/>
      <c r="LJ207" s="24"/>
      <c r="LK207" s="60"/>
      <c r="LL207" s="16"/>
      <c r="LM207" s="16"/>
      <c r="LN207" s="16"/>
      <c r="LO207" s="16"/>
      <c r="LP207" s="16"/>
      <c r="LQ207" s="17"/>
    </row>
    <row r="208">
      <c r="C208" s="31"/>
      <c r="D208" s="61"/>
      <c r="E208" s="16"/>
      <c r="F208" s="16"/>
      <c r="G208" s="21"/>
      <c r="H208" s="16"/>
      <c r="I208" s="16"/>
      <c r="J208" s="17"/>
      <c r="N208" s="17"/>
      <c r="O208" s="61"/>
      <c r="P208" s="16"/>
      <c r="Q208" s="16"/>
      <c r="R208" s="16"/>
      <c r="S208" s="16"/>
      <c r="T208" s="16"/>
      <c r="U208" s="17"/>
      <c r="Y208" s="24"/>
      <c r="Z208" s="61"/>
      <c r="AA208" s="16"/>
      <c r="AB208" s="16"/>
      <c r="AC208" s="16"/>
      <c r="AD208" s="16"/>
      <c r="AE208" s="16"/>
      <c r="AF208" s="17"/>
      <c r="AJ208" s="24"/>
      <c r="AK208" s="61"/>
      <c r="AL208" s="16"/>
      <c r="AM208" s="16"/>
      <c r="AN208" s="16"/>
      <c r="AO208" s="16"/>
      <c r="AP208" s="16"/>
      <c r="AQ208" s="17"/>
      <c r="AU208" s="24"/>
      <c r="AV208" s="61"/>
      <c r="AW208" s="16"/>
      <c r="AX208" s="16"/>
      <c r="AY208" s="16"/>
      <c r="AZ208" s="16"/>
      <c r="BA208" s="16"/>
      <c r="BB208" s="17"/>
      <c r="BF208" s="24"/>
      <c r="BG208" s="61"/>
      <c r="BH208" s="16"/>
      <c r="BI208" s="16"/>
      <c r="BJ208" s="16"/>
      <c r="BK208" s="16"/>
      <c r="BL208" s="16"/>
      <c r="BM208" s="17"/>
      <c r="BQ208" s="24"/>
      <c r="BR208" s="61"/>
      <c r="BS208" s="16"/>
      <c r="BT208" s="16"/>
      <c r="BU208" s="16"/>
      <c r="BV208" s="16"/>
      <c r="BW208" s="16"/>
      <c r="BX208" s="17"/>
      <c r="CB208" s="24"/>
      <c r="CC208" s="61"/>
      <c r="CD208" s="16"/>
      <c r="CE208" s="16"/>
      <c r="CF208" s="16"/>
      <c r="CG208" s="16"/>
      <c r="CH208" s="16"/>
      <c r="CI208" s="17"/>
      <c r="CM208" s="24"/>
      <c r="CN208" s="61"/>
      <c r="CO208" s="16"/>
      <c r="CP208" s="16"/>
      <c r="CQ208" s="16"/>
      <c r="CR208" s="16"/>
      <c r="CS208" s="16"/>
      <c r="CT208" s="17"/>
      <c r="CX208" s="24"/>
      <c r="CY208" s="60"/>
      <c r="CZ208" s="16"/>
      <c r="DA208" s="16"/>
      <c r="DB208" s="16"/>
      <c r="DC208" s="16"/>
      <c r="DD208" s="16"/>
      <c r="DE208" s="17"/>
      <c r="DI208" s="24"/>
      <c r="DJ208" s="60"/>
      <c r="DK208" s="16"/>
      <c r="DL208" s="16"/>
      <c r="DM208" s="16"/>
      <c r="DN208" s="16"/>
      <c r="DO208" s="16"/>
      <c r="DP208" s="17"/>
      <c r="DT208" s="24"/>
      <c r="DU208" s="60"/>
      <c r="DV208" s="16"/>
      <c r="DW208" s="16"/>
      <c r="DX208" s="16"/>
      <c r="DY208" s="16"/>
      <c r="DZ208" s="16"/>
      <c r="EA208" s="17"/>
      <c r="EE208" s="24"/>
      <c r="EF208" s="60"/>
      <c r="EG208" s="16"/>
      <c r="EH208" s="16"/>
      <c r="EI208" s="16"/>
      <c r="EJ208" s="16"/>
      <c r="EK208" s="16"/>
      <c r="EL208" s="17"/>
      <c r="EP208" s="24"/>
      <c r="EQ208" s="60"/>
      <c r="ER208" s="16"/>
      <c r="ES208" s="16"/>
      <c r="ET208" s="16"/>
      <c r="EU208" s="16"/>
      <c r="EV208" s="16"/>
      <c r="EW208" s="17"/>
      <c r="FA208" s="24"/>
      <c r="FB208" s="60"/>
      <c r="FC208" s="16"/>
      <c r="FD208" s="16"/>
      <c r="FE208" s="16"/>
      <c r="FF208" s="16"/>
      <c r="FG208" s="16"/>
      <c r="FH208" s="17"/>
      <c r="FL208" s="24"/>
      <c r="FM208" s="60"/>
      <c r="FN208" s="16"/>
      <c r="FO208" s="16"/>
      <c r="FP208" s="16"/>
      <c r="FQ208" s="16"/>
      <c r="FR208" s="16"/>
      <c r="FS208" s="17"/>
      <c r="FW208" s="24"/>
      <c r="FX208" s="60"/>
      <c r="FY208" s="16"/>
      <c r="FZ208" s="16"/>
      <c r="GA208" s="16"/>
      <c r="GB208" s="16"/>
      <c r="GC208" s="16"/>
      <c r="GD208" s="17"/>
      <c r="GH208" s="24"/>
      <c r="GI208" s="60"/>
      <c r="GJ208" s="16"/>
      <c r="GK208" s="16"/>
      <c r="GL208" s="16"/>
      <c r="GM208" s="16"/>
      <c r="GN208" s="16"/>
      <c r="GO208" s="17"/>
      <c r="GS208" s="24"/>
      <c r="GT208" s="60"/>
      <c r="GU208" s="16"/>
      <c r="GV208" s="16"/>
      <c r="GW208" s="16"/>
      <c r="GX208" s="16"/>
      <c r="GY208" s="16"/>
      <c r="GZ208" s="17"/>
      <c r="HD208" s="24"/>
      <c r="HE208" s="60"/>
      <c r="HF208" s="16"/>
      <c r="HG208" s="16"/>
      <c r="HH208" s="16"/>
      <c r="HI208" s="16"/>
      <c r="HJ208" s="16"/>
      <c r="HK208" s="17"/>
      <c r="HO208" s="24"/>
      <c r="HP208" s="60"/>
      <c r="HQ208" s="16"/>
      <c r="HR208" s="16"/>
      <c r="HS208" s="16"/>
      <c r="HT208" s="16"/>
      <c r="HU208" s="16"/>
      <c r="HV208" s="17"/>
      <c r="HZ208" s="24"/>
      <c r="IA208" s="60"/>
      <c r="IB208" s="16"/>
      <c r="IC208" s="16"/>
      <c r="ID208" s="16"/>
      <c r="IE208" s="16"/>
      <c r="IF208" s="16"/>
      <c r="IG208" s="17"/>
      <c r="IK208" s="24"/>
      <c r="IL208" s="60"/>
      <c r="IM208" s="16"/>
      <c r="IN208" s="16"/>
      <c r="IO208" s="16"/>
      <c r="IP208" s="16"/>
      <c r="IQ208" s="16"/>
      <c r="IR208" s="17"/>
      <c r="IV208" s="24"/>
      <c r="IW208" s="60"/>
      <c r="IX208" s="16"/>
      <c r="IY208" s="16"/>
      <c r="IZ208" s="16"/>
      <c r="JA208" s="16"/>
      <c r="JB208" s="16"/>
      <c r="JC208" s="17"/>
      <c r="JG208" s="24"/>
      <c r="JH208" s="60"/>
      <c r="JI208" s="16"/>
      <c r="JJ208" s="16"/>
      <c r="JK208" s="16"/>
      <c r="JL208" s="16"/>
      <c r="JM208" s="16"/>
      <c r="JN208" s="17"/>
      <c r="JR208" s="24"/>
      <c r="JS208" s="60"/>
      <c r="JT208" s="16"/>
      <c r="JU208" s="16"/>
      <c r="JV208" s="16"/>
      <c r="JW208" s="16"/>
      <c r="JX208" s="16"/>
      <c r="JY208" s="17"/>
      <c r="KC208" s="24"/>
      <c r="KD208" s="60"/>
      <c r="KE208" s="16"/>
      <c r="KF208" s="16"/>
      <c r="KG208" s="16"/>
      <c r="KH208" s="16"/>
      <c r="KI208" s="16"/>
      <c r="KJ208" s="17"/>
      <c r="KN208" s="24"/>
      <c r="KO208" s="60"/>
      <c r="KP208" s="16"/>
      <c r="KQ208" s="16"/>
      <c r="KR208" s="16"/>
      <c r="KS208" s="16"/>
      <c r="KT208" s="16"/>
      <c r="KU208" s="17"/>
      <c r="KY208" s="24"/>
      <c r="KZ208" s="60"/>
      <c r="LA208" s="16"/>
      <c r="LB208" s="16"/>
      <c r="LC208" s="16"/>
      <c r="LD208" s="16"/>
      <c r="LE208" s="16"/>
      <c r="LF208" s="17"/>
      <c r="LJ208" s="24"/>
      <c r="LK208" s="60"/>
      <c r="LL208" s="16"/>
      <c r="LM208" s="16"/>
      <c r="LN208" s="16"/>
      <c r="LO208" s="16"/>
      <c r="LP208" s="16"/>
      <c r="LQ208" s="17"/>
    </row>
    <row r="209">
      <c r="C209" s="31"/>
      <c r="D209" s="61"/>
      <c r="E209" s="16"/>
      <c r="F209" s="16"/>
      <c r="G209" s="21"/>
      <c r="H209" s="16"/>
      <c r="I209" s="16"/>
      <c r="J209" s="17"/>
      <c r="N209" s="17"/>
      <c r="O209" s="61"/>
      <c r="P209" s="16"/>
      <c r="Q209" s="16"/>
      <c r="R209" s="16"/>
      <c r="S209" s="16"/>
      <c r="T209" s="16"/>
      <c r="U209" s="17"/>
      <c r="Y209" s="24"/>
      <c r="Z209" s="61"/>
      <c r="AA209" s="16"/>
      <c r="AB209" s="16"/>
      <c r="AC209" s="16"/>
      <c r="AD209" s="16"/>
      <c r="AE209" s="16"/>
      <c r="AF209" s="17"/>
      <c r="AJ209" s="24"/>
      <c r="AK209" s="61"/>
      <c r="AL209" s="16"/>
      <c r="AM209" s="16"/>
      <c r="AN209" s="16"/>
      <c r="AO209" s="16"/>
      <c r="AP209" s="16"/>
      <c r="AQ209" s="17"/>
      <c r="AU209" s="24"/>
      <c r="AV209" s="61"/>
      <c r="AW209" s="16"/>
      <c r="AX209" s="16"/>
      <c r="AY209" s="16"/>
      <c r="AZ209" s="16"/>
      <c r="BA209" s="16"/>
      <c r="BB209" s="17"/>
      <c r="BF209" s="24"/>
      <c r="BG209" s="61"/>
      <c r="BH209" s="16"/>
      <c r="BI209" s="16"/>
      <c r="BJ209" s="16"/>
      <c r="BK209" s="16"/>
      <c r="BL209" s="16"/>
      <c r="BM209" s="17"/>
      <c r="BQ209" s="24"/>
      <c r="BR209" s="61"/>
      <c r="BS209" s="16"/>
      <c r="BT209" s="16"/>
      <c r="BU209" s="16"/>
      <c r="BV209" s="16"/>
      <c r="BW209" s="16"/>
      <c r="BX209" s="17"/>
      <c r="CB209" s="24"/>
      <c r="CC209" s="61"/>
      <c r="CD209" s="16"/>
      <c r="CE209" s="16"/>
      <c r="CF209" s="16"/>
      <c r="CG209" s="16"/>
      <c r="CH209" s="16"/>
      <c r="CI209" s="17"/>
      <c r="CM209" s="24"/>
      <c r="CN209" s="61"/>
      <c r="CO209" s="16"/>
      <c r="CP209" s="16"/>
      <c r="CQ209" s="16"/>
      <c r="CR209" s="16"/>
      <c r="CS209" s="16"/>
      <c r="CT209" s="17"/>
      <c r="CX209" s="24"/>
      <c r="CY209" s="60"/>
      <c r="CZ209" s="16"/>
      <c r="DA209" s="16"/>
      <c r="DB209" s="16"/>
      <c r="DC209" s="16"/>
      <c r="DD209" s="16"/>
      <c r="DE209" s="17"/>
      <c r="DI209" s="24"/>
      <c r="DJ209" s="60"/>
      <c r="DK209" s="16"/>
      <c r="DL209" s="16"/>
      <c r="DM209" s="16"/>
      <c r="DN209" s="16"/>
      <c r="DO209" s="16"/>
      <c r="DP209" s="17"/>
      <c r="DT209" s="24"/>
      <c r="DU209" s="60"/>
      <c r="DV209" s="16"/>
      <c r="DW209" s="16"/>
      <c r="DX209" s="16"/>
      <c r="DY209" s="16"/>
      <c r="DZ209" s="16"/>
      <c r="EA209" s="17"/>
      <c r="EE209" s="24"/>
      <c r="EF209" s="60"/>
      <c r="EG209" s="16"/>
      <c r="EH209" s="16"/>
      <c r="EI209" s="16"/>
      <c r="EJ209" s="16"/>
      <c r="EK209" s="16"/>
      <c r="EL209" s="17"/>
      <c r="EP209" s="24"/>
      <c r="EQ209" s="60"/>
      <c r="ER209" s="16"/>
      <c r="ES209" s="16"/>
      <c r="ET209" s="16"/>
      <c r="EU209" s="16"/>
      <c r="EV209" s="16"/>
      <c r="EW209" s="17"/>
      <c r="FA209" s="24"/>
      <c r="FB209" s="60"/>
      <c r="FC209" s="16"/>
      <c r="FD209" s="16"/>
      <c r="FE209" s="16"/>
      <c r="FF209" s="16"/>
      <c r="FG209" s="16"/>
      <c r="FH209" s="17"/>
      <c r="FL209" s="24"/>
      <c r="FM209" s="60"/>
      <c r="FN209" s="16"/>
      <c r="FO209" s="16"/>
      <c r="FP209" s="16"/>
      <c r="FQ209" s="16"/>
      <c r="FR209" s="16"/>
      <c r="FS209" s="17"/>
      <c r="FW209" s="24"/>
      <c r="FX209" s="60"/>
      <c r="FY209" s="16"/>
      <c r="FZ209" s="16"/>
      <c r="GA209" s="16"/>
      <c r="GB209" s="16"/>
      <c r="GC209" s="16"/>
      <c r="GD209" s="17"/>
      <c r="GH209" s="24"/>
      <c r="GI209" s="60"/>
      <c r="GJ209" s="16"/>
      <c r="GK209" s="16"/>
      <c r="GL209" s="16"/>
      <c r="GM209" s="16"/>
      <c r="GN209" s="16"/>
      <c r="GO209" s="17"/>
      <c r="GS209" s="24"/>
      <c r="GT209" s="60"/>
      <c r="GU209" s="16"/>
      <c r="GV209" s="16"/>
      <c r="GW209" s="16"/>
      <c r="GX209" s="16"/>
      <c r="GY209" s="16"/>
      <c r="GZ209" s="17"/>
      <c r="HD209" s="24"/>
      <c r="HE209" s="60"/>
      <c r="HF209" s="16"/>
      <c r="HG209" s="16"/>
      <c r="HH209" s="16"/>
      <c r="HI209" s="16"/>
      <c r="HJ209" s="16"/>
      <c r="HK209" s="17"/>
      <c r="HO209" s="24"/>
      <c r="HP209" s="60"/>
      <c r="HQ209" s="16"/>
      <c r="HR209" s="16"/>
      <c r="HS209" s="16"/>
      <c r="HT209" s="16"/>
      <c r="HU209" s="16"/>
      <c r="HV209" s="17"/>
      <c r="HZ209" s="24"/>
      <c r="IA209" s="60"/>
      <c r="IB209" s="16"/>
      <c r="IC209" s="16"/>
      <c r="ID209" s="16"/>
      <c r="IE209" s="16"/>
      <c r="IF209" s="16"/>
      <c r="IG209" s="17"/>
      <c r="IK209" s="24"/>
      <c r="IL209" s="60"/>
      <c r="IM209" s="16"/>
      <c r="IN209" s="16"/>
      <c r="IO209" s="16"/>
      <c r="IP209" s="16"/>
      <c r="IQ209" s="16"/>
      <c r="IR209" s="17"/>
      <c r="IV209" s="24"/>
      <c r="IW209" s="60"/>
      <c r="IX209" s="16"/>
      <c r="IY209" s="16"/>
      <c r="IZ209" s="16"/>
      <c r="JA209" s="16"/>
      <c r="JB209" s="16"/>
      <c r="JC209" s="17"/>
      <c r="JG209" s="24"/>
      <c r="JH209" s="60"/>
      <c r="JI209" s="16"/>
      <c r="JJ209" s="16"/>
      <c r="JK209" s="16"/>
      <c r="JL209" s="16"/>
      <c r="JM209" s="16"/>
      <c r="JN209" s="17"/>
      <c r="JR209" s="24"/>
      <c r="JS209" s="60"/>
      <c r="JT209" s="16"/>
      <c r="JU209" s="16"/>
      <c r="JV209" s="16"/>
      <c r="JW209" s="16"/>
      <c r="JX209" s="16"/>
      <c r="JY209" s="17"/>
      <c r="KC209" s="24"/>
      <c r="KD209" s="60"/>
      <c r="KE209" s="16"/>
      <c r="KF209" s="16"/>
      <c r="KG209" s="16"/>
      <c r="KH209" s="16"/>
      <c r="KI209" s="16"/>
      <c r="KJ209" s="17"/>
      <c r="KN209" s="24"/>
      <c r="KO209" s="60"/>
      <c r="KP209" s="16"/>
      <c r="KQ209" s="16"/>
      <c r="KR209" s="16"/>
      <c r="KS209" s="16"/>
      <c r="KT209" s="16"/>
      <c r="KU209" s="17"/>
      <c r="KY209" s="24"/>
      <c r="KZ209" s="60"/>
      <c r="LA209" s="16"/>
      <c r="LB209" s="16"/>
      <c r="LC209" s="16"/>
      <c r="LD209" s="16"/>
      <c r="LE209" s="16"/>
      <c r="LF209" s="17"/>
      <c r="LJ209" s="24"/>
      <c r="LK209" s="60"/>
      <c r="LL209" s="16"/>
      <c r="LM209" s="16"/>
      <c r="LN209" s="16"/>
      <c r="LO209" s="16"/>
      <c r="LP209" s="16"/>
      <c r="LQ209" s="17"/>
    </row>
    <row r="210">
      <c r="C210" s="31"/>
      <c r="D210" s="61"/>
      <c r="E210" s="16"/>
      <c r="F210" s="16"/>
      <c r="G210" s="21"/>
      <c r="H210" s="16"/>
      <c r="I210" s="16"/>
      <c r="J210" s="17"/>
      <c r="N210" s="17"/>
      <c r="O210" s="61"/>
      <c r="P210" s="16"/>
      <c r="Q210" s="16"/>
      <c r="R210" s="16"/>
      <c r="S210" s="16"/>
      <c r="T210" s="16"/>
      <c r="U210" s="17"/>
      <c r="Y210" s="24"/>
      <c r="Z210" s="61"/>
      <c r="AA210" s="16"/>
      <c r="AB210" s="16"/>
      <c r="AC210" s="16"/>
      <c r="AD210" s="16"/>
      <c r="AE210" s="16"/>
      <c r="AF210" s="17"/>
      <c r="AJ210" s="24"/>
      <c r="AK210" s="61"/>
      <c r="AL210" s="16"/>
      <c r="AM210" s="16"/>
      <c r="AN210" s="16"/>
      <c r="AO210" s="16"/>
      <c r="AP210" s="16"/>
      <c r="AQ210" s="17"/>
      <c r="AU210" s="24"/>
      <c r="AV210" s="61"/>
      <c r="AW210" s="16"/>
      <c r="AX210" s="16"/>
      <c r="AY210" s="16"/>
      <c r="AZ210" s="16"/>
      <c r="BA210" s="16"/>
      <c r="BB210" s="17"/>
      <c r="BF210" s="24"/>
      <c r="BG210" s="61"/>
      <c r="BH210" s="16"/>
      <c r="BI210" s="16"/>
      <c r="BJ210" s="16"/>
      <c r="BK210" s="16"/>
      <c r="BL210" s="16"/>
      <c r="BM210" s="17"/>
      <c r="BQ210" s="24"/>
      <c r="BR210" s="61"/>
      <c r="BS210" s="16"/>
      <c r="BT210" s="16"/>
      <c r="BU210" s="16"/>
      <c r="BV210" s="16"/>
      <c r="BW210" s="16"/>
      <c r="BX210" s="17"/>
      <c r="CB210" s="24"/>
      <c r="CC210" s="61"/>
      <c r="CD210" s="16"/>
      <c r="CE210" s="16"/>
      <c r="CF210" s="16"/>
      <c r="CG210" s="16"/>
      <c r="CH210" s="16"/>
      <c r="CI210" s="17"/>
      <c r="CM210" s="24"/>
      <c r="CN210" s="61"/>
      <c r="CO210" s="16"/>
      <c r="CP210" s="16"/>
      <c r="CQ210" s="16"/>
      <c r="CR210" s="16"/>
      <c r="CS210" s="16"/>
      <c r="CT210" s="17"/>
      <c r="CX210" s="24"/>
      <c r="CY210" s="60"/>
      <c r="CZ210" s="16"/>
      <c r="DA210" s="16"/>
      <c r="DB210" s="16"/>
      <c r="DC210" s="16"/>
      <c r="DD210" s="16"/>
      <c r="DE210" s="17"/>
      <c r="DI210" s="24"/>
      <c r="DJ210" s="60"/>
      <c r="DK210" s="16"/>
      <c r="DL210" s="16"/>
      <c r="DM210" s="16"/>
      <c r="DN210" s="16"/>
      <c r="DO210" s="16"/>
      <c r="DP210" s="17"/>
      <c r="DT210" s="24"/>
      <c r="DU210" s="60"/>
      <c r="DV210" s="16"/>
      <c r="DW210" s="16"/>
      <c r="DX210" s="16"/>
      <c r="DY210" s="16"/>
      <c r="DZ210" s="16"/>
      <c r="EA210" s="17"/>
      <c r="EE210" s="24"/>
      <c r="EF210" s="60"/>
      <c r="EG210" s="16"/>
      <c r="EH210" s="16"/>
      <c r="EI210" s="16"/>
      <c r="EJ210" s="16"/>
      <c r="EK210" s="16"/>
      <c r="EL210" s="17"/>
      <c r="EP210" s="24"/>
      <c r="EQ210" s="60"/>
      <c r="ER210" s="16"/>
      <c r="ES210" s="16"/>
      <c r="ET210" s="16"/>
      <c r="EU210" s="16"/>
      <c r="EV210" s="16"/>
      <c r="EW210" s="17"/>
      <c r="FA210" s="24"/>
      <c r="FB210" s="60"/>
      <c r="FC210" s="16"/>
      <c r="FD210" s="16"/>
      <c r="FE210" s="16"/>
      <c r="FF210" s="16"/>
      <c r="FG210" s="16"/>
      <c r="FH210" s="17"/>
      <c r="FL210" s="24"/>
      <c r="FM210" s="60"/>
      <c r="FN210" s="16"/>
      <c r="FO210" s="16"/>
      <c r="FP210" s="16"/>
      <c r="FQ210" s="16"/>
      <c r="FR210" s="16"/>
      <c r="FS210" s="17"/>
      <c r="FW210" s="24"/>
      <c r="FX210" s="60"/>
      <c r="FY210" s="16"/>
      <c r="FZ210" s="16"/>
      <c r="GA210" s="16"/>
      <c r="GB210" s="16"/>
      <c r="GC210" s="16"/>
      <c r="GD210" s="17"/>
      <c r="GH210" s="24"/>
      <c r="GI210" s="60"/>
      <c r="GJ210" s="16"/>
      <c r="GK210" s="16"/>
      <c r="GL210" s="16"/>
      <c r="GM210" s="16"/>
      <c r="GN210" s="16"/>
      <c r="GO210" s="17"/>
      <c r="GS210" s="24"/>
      <c r="GT210" s="60"/>
      <c r="GU210" s="16"/>
      <c r="GV210" s="16"/>
      <c r="GW210" s="16"/>
      <c r="GX210" s="16"/>
      <c r="GY210" s="16"/>
      <c r="GZ210" s="17"/>
      <c r="HD210" s="24"/>
      <c r="HE210" s="60"/>
      <c r="HF210" s="16"/>
      <c r="HG210" s="16"/>
      <c r="HH210" s="16"/>
      <c r="HI210" s="16"/>
      <c r="HJ210" s="16"/>
      <c r="HK210" s="17"/>
      <c r="HO210" s="24"/>
      <c r="HP210" s="60"/>
      <c r="HQ210" s="16"/>
      <c r="HR210" s="16"/>
      <c r="HS210" s="16"/>
      <c r="HT210" s="16"/>
      <c r="HU210" s="16"/>
      <c r="HV210" s="17"/>
      <c r="HZ210" s="24"/>
      <c r="IA210" s="60"/>
      <c r="IB210" s="16"/>
      <c r="IC210" s="16"/>
      <c r="ID210" s="16"/>
      <c r="IE210" s="16"/>
      <c r="IF210" s="16"/>
      <c r="IG210" s="17"/>
      <c r="IK210" s="24"/>
      <c r="IL210" s="60"/>
      <c r="IM210" s="16"/>
      <c r="IN210" s="16"/>
      <c r="IO210" s="16"/>
      <c r="IP210" s="16"/>
      <c r="IQ210" s="16"/>
      <c r="IR210" s="17"/>
      <c r="IV210" s="24"/>
      <c r="IW210" s="60"/>
      <c r="IX210" s="16"/>
      <c r="IY210" s="16"/>
      <c r="IZ210" s="16"/>
      <c r="JA210" s="16"/>
      <c r="JB210" s="16"/>
      <c r="JC210" s="17"/>
      <c r="JG210" s="24"/>
      <c r="JH210" s="60"/>
      <c r="JI210" s="16"/>
      <c r="JJ210" s="16"/>
      <c r="JK210" s="16"/>
      <c r="JL210" s="16"/>
      <c r="JM210" s="16"/>
      <c r="JN210" s="17"/>
      <c r="JR210" s="24"/>
      <c r="JS210" s="60"/>
      <c r="JT210" s="16"/>
      <c r="JU210" s="16"/>
      <c r="JV210" s="16"/>
      <c r="JW210" s="16"/>
      <c r="JX210" s="16"/>
      <c r="JY210" s="17"/>
      <c r="KC210" s="24"/>
      <c r="KD210" s="60"/>
      <c r="KE210" s="16"/>
      <c r="KF210" s="16"/>
      <c r="KG210" s="16"/>
      <c r="KH210" s="16"/>
      <c r="KI210" s="16"/>
      <c r="KJ210" s="17"/>
      <c r="KN210" s="24"/>
      <c r="KO210" s="60"/>
      <c r="KP210" s="16"/>
      <c r="KQ210" s="16"/>
      <c r="KR210" s="16"/>
      <c r="KS210" s="16"/>
      <c r="KT210" s="16"/>
      <c r="KU210" s="17"/>
      <c r="KY210" s="24"/>
      <c r="KZ210" s="60"/>
      <c r="LA210" s="16"/>
      <c r="LB210" s="16"/>
      <c r="LC210" s="16"/>
      <c r="LD210" s="16"/>
      <c r="LE210" s="16"/>
      <c r="LF210" s="17"/>
      <c r="LJ210" s="24"/>
      <c r="LK210" s="60"/>
      <c r="LL210" s="16"/>
      <c r="LM210" s="16"/>
      <c r="LN210" s="16"/>
      <c r="LO210" s="16"/>
      <c r="LP210" s="16"/>
      <c r="LQ210" s="17"/>
    </row>
    <row r="211">
      <c r="C211" s="31"/>
      <c r="D211" s="61"/>
      <c r="E211" s="16"/>
      <c r="F211" s="16"/>
      <c r="G211" s="21"/>
      <c r="H211" s="16"/>
      <c r="I211" s="16"/>
      <c r="J211" s="17"/>
      <c r="N211" s="17"/>
      <c r="O211" s="61"/>
      <c r="P211" s="16"/>
      <c r="Q211" s="16"/>
      <c r="R211" s="16"/>
      <c r="S211" s="16"/>
      <c r="T211" s="16"/>
      <c r="U211" s="17"/>
      <c r="Y211" s="24"/>
      <c r="Z211" s="61"/>
      <c r="AA211" s="16"/>
      <c r="AB211" s="16"/>
      <c r="AC211" s="16"/>
      <c r="AD211" s="16"/>
      <c r="AE211" s="16"/>
      <c r="AF211" s="17"/>
      <c r="AJ211" s="24"/>
      <c r="AK211" s="61"/>
      <c r="AL211" s="16"/>
      <c r="AM211" s="16"/>
      <c r="AN211" s="16"/>
      <c r="AO211" s="16"/>
      <c r="AP211" s="16"/>
      <c r="AQ211" s="17"/>
      <c r="AU211" s="24"/>
      <c r="AV211" s="61"/>
      <c r="AW211" s="16"/>
      <c r="AX211" s="16"/>
      <c r="AY211" s="16"/>
      <c r="AZ211" s="16"/>
      <c r="BA211" s="16"/>
      <c r="BB211" s="17"/>
      <c r="BF211" s="24"/>
      <c r="BG211" s="61"/>
      <c r="BH211" s="16"/>
      <c r="BI211" s="16"/>
      <c r="BJ211" s="16"/>
      <c r="BK211" s="16"/>
      <c r="BL211" s="16"/>
      <c r="BM211" s="17"/>
      <c r="BQ211" s="24"/>
      <c r="BR211" s="61"/>
      <c r="BS211" s="16"/>
      <c r="BT211" s="16"/>
      <c r="BU211" s="16"/>
      <c r="BV211" s="16"/>
      <c r="BW211" s="16"/>
      <c r="BX211" s="17"/>
      <c r="CB211" s="24"/>
      <c r="CC211" s="61"/>
      <c r="CD211" s="16"/>
      <c r="CE211" s="16"/>
      <c r="CF211" s="16"/>
      <c r="CG211" s="16"/>
      <c r="CH211" s="16"/>
      <c r="CI211" s="17"/>
      <c r="CM211" s="24"/>
      <c r="CN211" s="61"/>
      <c r="CO211" s="16"/>
      <c r="CP211" s="16"/>
      <c r="CQ211" s="16"/>
      <c r="CR211" s="16"/>
      <c r="CS211" s="16"/>
      <c r="CT211" s="17"/>
      <c r="CX211" s="24"/>
      <c r="CY211" s="60"/>
      <c r="CZ211" s="16"/>
      <c r="DA211" s="16"/>
      <c r="DB211" s="16"/>
      <c r="DC211" s="16"/>
      <c r="DD211" s="16"/>
      <c r="DE211" s="17"/>
      <c r="DI211" s="24"/>
      <c r="DJ211" s="60"/>
      <c r="DK211" s="16"/>
      <c r="DL211" s="16"/>
      <c r="DM211" s="16"/>
      <c r="DN211" s="16"/>
      <c r="DO211" s="16"/>
      <c r="DP211" s="17"/>
      <c r="DT211" s="24"/>
      <c r="DU211" s="60"/>
      <c r="DV211" s="16"/>
      <c r="DW211" s="16"/>
      <c r="DX211" s="16"/>
      <c r="DY211" s="16"/>
      <c r="DZ211" s="16"/>
      <c r="EA211" s="17"/>
      <c r="EE211" s="24"/>
      <c r="EF211" s="60"/>
      <c r="EG211" s="16"/>
      <c r="EH211" s="16"/>
      <c r="EI211" s="16"/>
      <c r="EJ211" s="16"/>
      <c r="EK211" s="16"/>
      <c r="EL211" s="17"/>
      <c r="EP211" s="24"/>
      <c r="EQ211" s="60"/>
      <c r="ER211" s="16"/>
      <c r="ES211" s="16"/>
      <c r="ET211" s="16"/>
      <c r="EU211" s="16"/>
      <c r="EV211" s="16"/>
      <c r="EW211" s="17"/>
      <c r="FA211" s="24"/>
      <c r="FB211" s="60"/>
      <c r="FC211" s="16"/>
      <c r="FD211" s="16"/>
      <c r="FE211" s="16"/>
      <c r="FF211" s="16"/>
      <c r="FG211" s="16"/>
      <c r="FH211" s="17"/>
      <c r="FL211" s="24"/>
      <c r="FM211" s="60"/>
      <c r="FN211" s="16"/>
      <c r="FO211" s="16"/>
      <c r="FP211" s="16"/>
      <c r="FQ211" s="16"/>
      <c r="FR211" s="16"/>
      <c r="FS211" s="17"/>
      <c r="FW211" s="24"/>
      <c r="FX211" s="60"/>
      <c r="FY211" s="16"/>
      <c r="FZ211" s="16"/>
      <c r="GA211" s="16"/>
      <c r="GB211" s="16"/>
      <c r="GC211" s="16"/>
      <c r="GD211" s="17"/>
      <c r="GH211" s="24"/>
      <c r="GI211" s="60"/>
      <c r="GJ211" s="16"/>
      <c r="GK211" s="16"/>
      <c r="GL211" s="16"/>
      <c r="GM211" s="16"/>
      <c r="GN211" s="16"/>
      <c r="GO211" s="17"/>
      <c r="GS211" s="24"/>
      <c r="GT211" s="60"/>
      <c r="GU211" s="16"/>
      <c r="GV211" s="16"/>
      <c r="GW211" s="16"/>
      <c r="GX211" s="16"/>
      <c r="GY211" s="16"/>
      <c r="GZ211" s="17"/>
      <c r="HD211" s="24"/>
      <c r="HE211" s="60"/>
      <c r="HF211" s="16"/>
      <c r="HG211" s="16"/>
      <c r="HH211" s="16"/>
      <c r="HI211" s="16"/>
      <c r="HJ211" s="16"/>
      <c r="HK211" s="17"/>
      <c r="HO211" s="24"/>
      <c r="HP211" s="60"/>
      <c r="HQ211" s="16"/>
      <c r="HR211" s="16"/>
      <c r="HS211" s="16"/>
      <c r="HT211" s="16"/>
      <c r="HU211" s="16"/>
      <c r="HV211" s="17"/>
      <c r="HZ211" s="24"/>
      <c r="IA211" s="60"/>
      <c r="IB211" s="16"/>
      <c r="IC211" s="16"/>
      <c r="ID211" s="16"/>
      <c r="IE211" s="16"/>
      <c r="IF211" s="16"/>
      <c r="IG211" s="17"/>
      <c r="IK211" s="24"/>
      <c r="IL211" s="60"/>
      <c r="IM211" s="16"/>
      <c r="IN211" s="16"/>
      <c r="IO211" s="16"/>
      <c r="IP211" s="16"/>
      <c r="IQ211" s="16"/>
      <c r="IR211" s="17"/>
      <c r="IV211" s="24"/>
      <c r="IW211" s="60"/>
      <c r="IX211" s="16"/>
      <c r="IY211" s="16"/>
      <c r="IZ211" s="16"/>
      <c r="JA211" s="16"/>
      <c r="JB211" s="16"/>
      <c r="JC211" s="17"/>
      <c r="JG211" s="24"/>
      <c r="JH211" s="60"/>
      <c r="JI211" s="16"/>
      <c r="JJ211" s="16"/>
      <c r="JK211" s="16"/>
      <c r="JL211" s="16"/>
      <c r="JM211" s="16"/>
      <c r="JN211" s="17"/>
      <c r="JR211" s="24"/>
      <c r="JS211" s="60"/>
      <c r="JT211" s="16"/>
      <c r="JU211" s="16"/>
      <c r="JV211" s="16"/>
      <c r="JW211" s="16"/>
      <c r="JX211" s="16"/>
      <c r="JY211" s="17"/>
      <c r="KC211" s="24"/>
      <c r="KD211" s="60"/>
      <c r="KE211" s="16"/>
      <c r="KF211" s="16"/>
      <c r="KG211" s="16"/>
      <c r="KH211" s="16"/>
      <c r="KI211" s="16"/>
      <c r="KJ211" s="17"/>
      <c r="KN211" s="24"/>
      <c r="KO211" s="60"/>
      <c r="KP211" s="16"/>
      <c r="KQ211" s="16"/>
      <c r="KR211" s="16"/>
      <c r="KS211" s="16"/>
      <c r="KT211" s="16"/>
      <c r="KU211" s="17"/>
      <c r="KY211" s="24"/>
      <c r="KZ211" s="60"/>
      <c r="LA211" s="16"/>
      <c r="LB211" s="16"/>
      <c r="LC211" s="16"/>
      <c r="LD211" s="16"/>
      <c r="LE211" s="16"/>
      <c r="LF211" s="17"/>
      <c r="LJ211" s="24"/>
      <c r="LK211" s="60"/>
      <c r="LL211" s="16"/>
      <c r="LM211" s="16"/>
      <c r="LN211" s="16"/>
      <c r="LO211" s="16"/>
      <c r="LP211" s="16"/>
      <c r="LQ211" s="17"/>
    </row>
    <row r="212">
      <c r="C212" s="31"/>
      <c r="D212" s="61"/>
      <c r="E212" s="16"/>
      <c r="F212" s="16"/>
      <c r="G212" s="21"/>
      <c r="H212" s="16"/>
      <c r="I212" s="16"/>
      <c r="J212" s="17"/>
      <c r="N212" s="17"/>
      <c r="O212" s="61"/>
      <c r="P212" s="16"/>
      <c r="Q212" s="16"/>
      <c r="R212" s="16"/>
      <c r="S212" s="16"/>
      <c r="T212" s="16"/>
      <c r="U212" s="17"/>
      <c r="Y212" s="24"/>
      <c r="Z212" s="61"/>
      <c r="AA212" s="16"/>
      <c r="AB212" s="16"/>
      <c r="AC212" s="16"/>
      <c r="AD212" s="16"/>
      <c r="AE212" s="16"/>
      <c r="AF212" s="17"/>
      <c r="AJ212" s="24"/>
      <c r="AK212" s="61"/>
      <c r="AL212" s="16"/>
      <c r="AM212" s="16"/>
      <c r="AN212" s="16"/>
      <c r="AO212" s="16"/>
      <c r="AP212" s="16"/>
      <c r="AQ212" s="17"/>
      <c r="AU212" s="24"/>
      <c r="AV212" s="61"/>
      <c r="AW212" s="16"/>
      <c r="AX212" s="16"/>
      <c r="AY212" s="16"/>
      <c r="AZ212" s="16"/>
      <c r="BA212" s="16"/>
      <c r="BB212" s="17"/>
      <c r="BF212" s="24"/>
      <c r="BG212" s="61"/>
      <c r="BH212" s="16"/>
      <c r="BI212" s="16"/>
      <c r="BJ212" s="16"/>
      <c r="BK212" s="16"/>
      <c r="BL212" s="16"/>
      <c r="BM212" s="17"/>
      <c r="BQ212" s="24"/>
      <c r="BR212" s="61"/>
      <c r="BS212" s="16"/>
      <c r="BT212" s="16"/>
      <c r="BU212" s="16"/>
      <c r="BV212" s="16"/>
      <c r="BW212" s="16"/>
      <c r="BX212" s="17"/>
      <c r="CB212" s="24"/>
      <c r="CC212" s="61"/>
      <c r="CD212" s="16"/>
      <c r="CE212" s="16"/>
      <c r="CF212" s="16"/>
      <c r="CG212" s="16"/>
      <c r="CH212" s="16"/>
      <c r="CI212" s="17"/>
      <c r="CM212" s="24"/>
      <c r="CN212" s="61"/>
      <c r="CO212" s="16"/>
      <c r="CP212" s="16"/>
      <c r="CQ212" s="16"/>
      <c r="CR212" s="16"/>
      <c r="CS212" s="16"/>
      <c r="CT212" s="17"/>
      <c r="CX212" s="24"/>
      <c r="CY212" s="60"/>
      <c r="CZ212" s="16"/>
      <c r="DA212" s="16"/>
      <c r="DB212" s="16"/>
      <c r="DC212" s="16"/>
      <c r="DD212" s="16"/>
      <c r="DE212" s="17"/>
      <c r="DI212" s="24"/>
      <c r="DJ212" s="60"/>
      <c r="DK212" s="16"/>
      <c r="DL212" s="16"/>
      <c r="DM212" s="16"/>
      <c r="DN212" s="16"/>
      <c r="DO212" s="16"/>
      <c r="DP212" s="17"/>
      <c r="DT212" s="24"/>
      <c r="DU212" s="60"/>
      <c r="DV212" s="16"/>
      <c r="DW212" s="16"/>
      <c r="DX212" s="16"/>
      <c r="DY212" s="16"/>
      <c r="DZ212" s="16"/>
      <c r="EA212" s="17"/>
      <c r="EE212" s="24"/>
      <c r="EF212" s="60"/>
      <c r="EG212" s="16"/>
      <c r="EH212" s="16"/>
      <c r="EI212" s="16"/>
      <c r="EJ212" s="16"/>
      <c r="EK212" s="16"/>
      <c r="EL212" s="17"/>
      <c r="EP212" s="24"/>
      <c r="EQ212" s="60"/>
      <c r="ER212" s="16"/>
      <c r="ES212" s="16"/>
      <c r="ET212" s="16"/>
      <c r="EU212" s="16"/>
      <c r="EV212" s="16"/>
      <c r="EW212" s="17"/>
      <c r="FA212" s="24"/>
      <c r="FB212" s="60"/>
      <c r="FC212" s="16"/>
      <c r="FD212" s="16"/>
      <c r="FE212" s="16"/>
      <c r="FF212" s="16"/>
      <c r="FG212" s="16"/>
      <c r="FH212" s="17"/>
      <c r="FL212" s="24"/>
      <c r="FM212" s="60"/>
      <c r="FN212" s="16"/>
      <c r="FO212" s="16"/>
      <c r="FP212" s="16"/>
      <c r="FQ212" s="16"/>
      <c r="FR212" s="16"/>
      <c r="FS212" s="17"/>
      <c r="FW212" s="24"/>
      <c r="FX212" s="60"/>
      <c r="FY212" s="16"/>
      <c r="FZ212" s="16"/>
      <c r="GA212" s="16"/>
      <c r="GB212" s="16"/>
      <c r="GC212" s="16"/>
      <c r="GD212" s="17"/>
      <c r="GH212" s="24"/>
      <c r="GI212" s="60"/>
      <c r="GJ212" s="16"/>
      <c r="GK212" s="16"/>
      <c r="GL212" s="16"/>
      <c r="GM212" s="16"/>
      <c r="GN212" s="16"/>
      <c r="GO212" s="17"/>
      <c r="GS212" s="24"/>
      <c r="GT212" s="60"/>
      <c r="GU212" s="16"/>
      <c r="GV212" s="16"/>
      <c r="GW212" s="16"/>
      <c r="GX212" s="16"/>
      <c r="GY212" s="16"/>
      <c r="GZ212" s="17"/>
      <c r="HD212" s="24"/>
      <c r="HE212" s="60"/>
      <c r="HF212" s="16"/>
      <c r="HG212" s="16"/>
      <c r="HH212" s="16"/>
      <c r="HI212" s="16"/>
      <c r="HJ212" s="16"/>
      <c r="HK212" s="17"/>
      <c r="HO212" s="24"/>
      <c r="HP212" s="60"/>
      <c r="HQ212" s="16"/>
      <c r="HR212" s="16"/>
      <c r="HS212" s="16"/>
      <c r="HT212" s="16"/>
      <c r="HU212" s="16"/>
      <c r="HV212" s="17"/>
      <c r="HZ212" s="24"/>
      <c r="IA212" s="60"/>
      <c r="IB212" s="16"/>
      <c r="IC212" s="16"/>
      <c r="ID212" s="16"/>
      <c r="IE212" s="16"/>
      <c r="IF212" s="16"/>
      <c r="IG212" s="17"/>
      <c r="IK212" s="24"/>
      <c r="IL212" s="60"/>
      <c r="IM212" s="16"/>
      <c r="IN212" s="16"/>
      <c r="IO212" s="16"/>
      <c r="IP212" s="16"/>
      <c r="IQ212" s="16"/>
      <c r="IR212" s="17"/>
      <c r="IV212" s="24"/>
      <c r="IW212" s="60"/>
      <c r="IX212" s="16"/>
      <c r="IY212" s="16"/>
      <c r="IZ212" s="16"/>
      <c r="JA212" s="16"/>
      <c r="JB212" s="16"/>
      <c r="JC212" s="17"/>
      <c r="JG212" s="24"/>
      <c r="JH212" s="60"/>
      <c r="JI212" s="16"/>
      <c r="JJ212" s="16"/>
      <c r="JK212" s="16"/>
      <c r="JL212" s="16"/>
      <c r="JM212" s="16"/>
      <c r="JN212" s="17"/>
      <c r="JR212" s="24"/>
      <c r="JS212" s="60"/>
      <c r="JT212" s="16"/>
      <c r="JU212" s="16"/>
      <c r="JV212" s="16"/>
      <c r="JW212" s="16"/>
      <c r="JX212" s="16"/>
      <c r="JY212" s="17"/>
      <c r="KC212" s="24"/>
      <c r="KD212" s="60"/>
      <c r="KE212" s="16"/>
      <c r="KF212" s="16"/>
      <c r="KG212" s="16"/>
      <c r="KH212" s="16"/>
      <c r="KI212" s="16"/>
      <c r="KJ212" s="17"/>
      <c r="KN212" s="24"/>
      <c r="KO212" s="60"/>
      <c r="KP212" s="16"/>
      <c r="KQ212" s="16"/>
      <c r="KR212" s="16"/>
      <c r="KS212" s="16"/>
      <c r="KT212" s="16"/>
      <c r="KU212" s="17"/>
      <c r="KY212" s="24"/>
      <c r="KZ212" s="60"/>
      <c r="LA212" s="16"/>
      <c r="LB212" s="16"/>
      <c r="LC212" s="16"/>
      <c r="LD212" s="16"/>
      <c r="LE212" s="16"/>
      <c r="LF212" s="17"/>
      <c r="LJ212" s="24"/>
      <c r="LK212" s="60"/>
      <c r="LL212" s="16"/>
      <c r="LM212" s="16"/>
      <c r="LN212" s="16"/>
      <c r="LO212" s="16"/>
      <c r="LP212" s="16"/>
      <c r="LQ212" s="17"/>
    </row>
    <row r="213">
      <c r="C213" s="31"/>
      <c r="D213" s="61"/>
      <c r="E213" s="16"/>
      <c r="F213" s="16"/>
      <c r="G213" s="21"/>
      <c r="H213" s="16"/>
      <c r="I213" s="16"/>
      <c r="J213" s="17"/>
      <c r="N213" s="17"/>
      <c r="O213" s="61"/>
      <c r="P213" s="16"/>
      <c r="Q213" s="16"/>
      <c r="R213" s="16"/>
      <c r="S213" s="16"/>
      <c r="T213" s="16"/>
      <c r="U213" s="17"/>
      <c r="Y213" s="24"/>
      <c r="Z213" s="61"/>
      <c r="AA213" s="16"/>
      <c r="AB213" s="16"/>
      <c r="AC213" s="16"/>
      <c r="AD213" s="16"/>
      <c r="AE213" s="16"/>
      <c r="AF213" s="17"/>
      <c r="AJ213" s="24"/>
      <c r="AK213" s="61"/>
      <c r="AL213" s="16"/>
      <c r="AM213" s="16"/>
      <c r="AN213" s="16"/>
      <c r="AO213" s="16"/>
      <c r="AP213" s="16"/>
      <c r="AQ213" s="17"/>
      <c r="AU213" s="24"/>
      <c r="AV213" s="61"/>
      <c r="AW213" s="16"/>
      <c r="AX213" s="16"/>
      <c r="AY213" s="16"/>
      <c r="AZ213" s="16"/>
      <c r="BA213" s="16"/>
      <c r="BB213" s="17"/>
      <c r="BF213" s="24"/>
      <c r="BG213" s="61"/>
      <c r="BH213" s="16"/>
      <c r="BI213" s="16"/>
      <c r="BJ213" s="16"/>
      <c r="BK213" s="16"/>
      <c r="BL213" s="16"/>
      <c r="BM213" s="17"/>
      <c r="BQ213" s="24"/>
      <c r="BR213" s="61"/>
      <c r="BS213" s="16"/>
      <c r="BT213" s="16"/>
      <c r="BU213" s="16"/>
      <c r="BV213" s="16"/>
      <c r="BW213" s="16"/>
      <c r="BX213" s="17"/>
      <c r="CB213" s="24"/>
      <c r="CC213" s="61"/>
      <c r="CD213" s="16"/>
      <c r="CE213" s="16"/>
      <c r="CF213" s="16"/>
      <c r="CG213" s="16"/>
      <c r="CH213" s="16"/>
      <c r="CI213" s="17"/>
      <c r="CM213" s="24"/>
      <c r="CN213" s="61"/>
      <c r="CO213" s="16"/>
      <c r="CP213" s="16"/>
      <c r="CQ213" s="16"/>
      <c r="CR213" s="16"/>
      <c r="CS213" s="16"/>
      <c r="CT213" s="17"/>
      <c r="CX213" s="24"/>
      <c r="CY213" s="60"/>
      <c r="CZ213" s="16"/>
      <c r="DA213" s="16"/>
      <c r="DB213" s="16"/>
      <c r="DC213" s="16"/>
      <c r="DD213" s="16"/>
      <c r="DE213" s="17"/>
      <c r="DI213" s="24"/>
      <c r="DJ213" s="60"/>
      <c r="DK213" s="16"/>
      <c r="DL213" s="16"/>
      <c r="DM213" s="16"/>
      <c r="DN213" s="16"/>
      <c r="DO213" s="16"/>
      <c r="DP213" s="17"/>
      <c r="DT213" s="24"/>
      <c r="DU213" s="60"/>
      <c r="DV213" s="16"/>
      <c r="DW213" s="16"/>
      <c r="DX213" s="16"/>
      <c r="DY213" s="16"/>
      <c r="DZ213" s="16"/>
      <c r="EA213" s="17"/>
      <c r="EE213" s="24"/>
      <c r="EF213" s="60"/>
      <c r="EG213" s="16"/>
      <c r="EH213" s="16"/>
      <c r="EI213" s="16"/>
      <c r="EJ213" s="16"/>
      <c r="EK213" s="16"/>
      <c r="EL213" s="17"/>
      <c r="EP213" s="24"/>
      <c r="EQ213" s="60"/>
      <c r="ER213" s="16"/>
      <c r="ES213" s="16"/>
      <c r="ET213" s="16"/>
      <c r="EU213" s="16"/>
      <c r="EV213" s="16"/>
      <c r="EW213" s="17"/>
      <c r="FA213" s="24"/>
      <c r="FB213" s="60"/>
      <c r="FC213" s="16"/>
      <c r="FD213" s="16"/>
      <c r="FE213" s="16"/>
      <c r="FF213" s="16"/>
      <c r="FG213" s="16"/>
      <c r="FH213" s="17"/>
      <c r="FL213" s="24"/>
      <c r="FM213" s="60"/>
      <c r="FN213" s="16"/>
      <c r="FO213" s="16"/>
      <c r="FP213" s="16"/>
      <c r="FQ213" s="16"/>
      <c r="FR213" s="16"/>
      <c r="FS213" s="17"/>
      <c r="FW213" s="24"/>
      <c r="FX213" s="60"/>
      <c r="FY213" s="16"/>
      <c r="FZ213" s="16"/>
      <c r="GA213" s="16"/>
      <c r="GB213" s="16"/>
      <c r="GC213" s="16"/>
      <c r="GD213" s="17"/>
      <c r="GH213" s="24"/>
      <c r="GI213" s="60"/>
      <c r="GJ213" s="16"/>
      <c r="GK213" s="16"/>
      <c r="GL213" s="16"/>
      <c r="GM213" s="16"/>
      <c r="GN213" s="16"/>
      <c r="GO213" s="17"/>
      <c r="GS213" s="24"/>
      <c r="GT213" s="60"/>
      <c r="GU213" s="16"/>
      <c r="GV213" s="16"/>
      <c r="GW213" s="16"/>
      <c r="GX213" s="16"/>
      <c r="GY213" s="16"/>
      <c r="GZ213" s="17"/>
      <c r="HD213" s="24"/>
      <c r="HE213" s="60"/>
      <c r="HF213" s="16"/>
      <c r="HG213" s="16"/>
      <c r="HH213" s="16"/>
      <c r="HI213" s="16"/>
      <c r="HJ213" s="16"/>
      <c r="HK213" s="17"/>
      <c r="HO213" s="24"/>
      <c r="HP213" s="60"/>
      <c r="HQ213" s="16"/>
      <c r="HR213" s="16"/>
      <c r="HS213" s="16"/>
      <c r="HT213" s="16"/>
      <c r="HU213" s="16"/>
      <c r="HV213" s="17"/>
      <c r="HZ213" s="24"/>
      <c r="IA213" s="60"/>
      <c r="IB213" s="16"/>
      <c r="IC213" s="16"/>
      <c r="ID213" s="16"/>
      <c r="IE213" s="16"/>
      <c r="IF213" s="16"/>
      <c r="IG213" s="17"/>
      <c r="IK213" s="24"/>
      <c r="IL213" s="60"/>
      <c r="IM213" s="16"/>
      <c r="IN213" s="16"/>
      <c r="IO213" s="16"/>
      <c r="IP213" s="16"/>
      <c r="IQ213" s="16"/>
      <c r="IR213" s="17"/>
      <c r="IV213" s="24"/>
      <c r="IW213" s="60"/>
      <c r="IX213" s="16"/>
      <c r="IY213" s="16"/>
      <c r="IZ213" s="16"/>
      <c r="JA213" s="16"/>
      <c r="JB213" s="16"/>
      <c r="JC213" s="17"/>
      <c r="JG213" s="24"/>
      <c r="JH213" s="60"/>
      <c r="JI213" s="16"/>
      <c r="JJ213" s="16"/>
      <c r="JK213" s="16"/>
      <c r="JL213" s="16"/>
      <c r="JM213" s="16"/>
      <c r="JN213" s="17"/>
      <c r="JR213" s="24"/>
      <c r="JS213" s="60"/>
      <c r="JT213" s="16"/>
      <c r="JU213" s="16"/>
      <c r="JV213" s="16"/>
      <c r="JW213" s="16"/>
      <c r="JX213" s="16"/>
      <c r="JY213" s="17"/>
      <c r="KC213" s="24"/>
      <c r="KD213" s="60"/>
      <c r="KE213" s="16"/>
      <c r="KF213" s="16"/>
      <c r="KG213" s="16"/>
      <c r="KH213" s="16"/>
      <c r="KI213" s="16"/>
      <c r="KJ213" s="17"/>
      <c r="KN213" s="24"/>
      <c r="KO213" s="60"/>
      <c r="KP213" s="16"/>
      <c r="KQ213" s="16"/>
      <c r="KR213" s="16"/>
      <c r="KS213" s="16"/>
      <c r="KT213" s="16"/>
      <c r="KU213" s="17"/>
      <c r="KY213" s="24"/>
      <c r="KZ213" s="60"/>
      <c r="LA213" s="16"/>
      <c r="LB213" s="16"/>
      <c r="LC213" s="16"/>
      <c r="LD213" s="16"/>
      <c r="LE213" s="16"/>
      <c r="LF213" s="17"/>
      <c r="LJ213" s="24"/>
      <c r="LK213" s="60"/>
      <c r="LL213" s="16"/>
      <c r="LM213" s="16"/>
      <c r="LN213" s="16"/>
      <c r="LO213" s="16"/>
      <c r="LP213" s="16"/>
      <c r="LQ213" s="17"/>
    </row>
    <row r="214">
      <c r="C214" s="31"/>
      <c r="D214" s="61"/>
      <c r="E214" s="16"/>
      <c r="F214" s="16"/>
      <c r="G214" s="21"/>
      <c r="H214" s="16"/>
      <c r="I214" s="16"/>
      <c r="J214" s="17"/>
      <c r="N214" s="17"/>
      <c r="O214" s="61"/>
      <c r="P214" s="16"/>
      <c r="Q214" s="16"/>
      <c r="R214" s="16"/>
      <c r="S214" s="16"/>
      <c r="T214" s="16"/>
      <c r="U214" s="17"/>
      <c r="Y214" s="24"/>
      <c r="Z214" s="61"/>
      <c r="AA214" s="16"/>
      <c r="AB214" s="16"/>
      <c r="AC214" s="16"/>
      <c r="AD214" s="16"/>
      <c r="AE214" s="16"/>
      <c r="AF214" s="17"/>
      <c r="AJ214" s="24"/>
      <c r="AK214" s="61"/>
      <c r="AL214" s="16"/>
      <c r="AM214" s="16"/>
      <c r="AN214" s="16"/>
      <c r="AO214" s="16"/>
      <c r="AP214" s="16"/>
      <c r="AQ214" s="17"/>
      <c r="AU214" s="24"/>
      <c r="AV214" s="61"/>
      <c r="AW214" s="16"/>
      <c r="AX214" s="16"/>
      <c r="AY214" s="16"/>
      <c r="AZ214" s="16"/>
      <c r="BA214" s="16"/>
      <c r="BB214" s="17"/>
      <c r="BF214" s="24"/>
      <c r="BG214" s="61"/>
      <c r="BH214" s="16"/>
      <c r="BI214" s="16"/>
      <c r="BJ214" s="16"/>
      <c r="BK214" s="16"/>
      <c r="BL214" s="16"/>
      <c r="BM214" s="17"/>
      <c r="BQ214" s="24"/>
      <c r="BR214" s="61"/>
      <c r="BS214" s="16"/>
      <c r="BT214" s="16"/>
      <c r="BU214" s="16"/>
      <c r="BV214" s="16"/>
      <c r="BW214" s="16"/>
      <c r="BX214" s="17"/>
      <c r="CB214" s="24"/>
      <c r="CC214" s="61"/>
      <c r="CD214" s="16"/>
      <c r="CE214" s="16"/>
      <c r="CF214" s="16"/>
      <c r="CG214" s="16"/>
      <c r="CH214" s="16"/>
      <c r="CI214" s="17"/>
      <c r="CM214" s="24"/>
      <c r="CN214" s="61"/>
      <c r="CO214" s="16"/>
      <c r="CP214" s="16"/>
      <c r="CQ214" s="16"/>
      <c r="CR214" s="16"/>
      <c r="CS214" s="16"/>
      <c r="CT214" s="17"/>
      <c r="CX214" s="24"/>
      <c r="CY214" s="60"/>
      <c r="CZ214" s="16"/>
      <c r="DA214" s="16"/>
      <c r="DB214" s="16"/>
      <c r="DC214" s="16"/>
      <c r="DD214" s="16"/>
      <c r="DE214" s="17"/>
      <c r="DI214" s="24"/>
      <c r="DJ214" s="60"/>
      <c r="DK214" s="16"/>
      <c r="DL214" s="16"/>
      <c r="DM214" s="16"/>
      <c r="DN214" s="16"/>
      <c r="DO214" s="16"/>
      <c r="DP214" s="17"/>
      <c r="DT214" s="24"/>
      <c r="DU214" s="60"/>
      <c r="DV214" s="16"/>
      <c r="DW214" s="16"/>
      <c r="DX214" s="16"/>
      <c r="DY214" s="16"/>
      <c r="DZ214" s="16"/>
      <c r="EA214" s="17"/>
      <c r="EE214" s="24"/>
      <c r="EF214" s="60"/>
      <c r="EG214" s="16"/>
      <c r="EH214" s="16"/>
      <c r="EI214" s="16"/>
      <c r="EJ214" s="16"/>
      <c r="EK214" s="16"/>
      <c r="EL214" s="17"/>
      <c r="EP214" s="24"/>
      <c r="EQ214" s="60"/>
      <c r="ER214" s="16"/>
      <c r="ES214" s="16"/>
      <c r="ET214" s="16"/>
      <c r="EU214" s="16"/>
      <c r="EV214" s="16"/>
      <c r="EW214" s="17"/>
      <c r="FA214" s="24"/>
      <c r="FB214" s="60"/>
      <c r="FC214" s="16"/>
      <c r="FD214" s="16"/>
      <c r="FE214" s="16"/>
      <c r="FF214" s="16"/>
      <c r="FG214" s="16"/>
      <c r="FH214" s="17"/>
      <c r="FL214" s="24"/>
      <c r="FM214" s="60"/>
      <c r="FN214" s="16"/>
      <c r="FO214" s="16"/>
      <c r="FP214" s="16"/>
      <c r="FQ214" s="16"/>
      <c r="FR214" s="16"/>
      <c r="FS214" s="17"/>
      <c r="FW214" s="24"/>
      <c r="FX214" s="60"/>
      <c r="FY214" s="16"/>
      <c r="FZ214" s="16"/>
      <c r="GA214" s="16"/>
      <c r="GB214" s="16"/>
      <c r="GC214" s="16"/>
      <c r="GD214" s="17"/>
      <c r="GH214" s="24"/>
      <c r="GI214" s="60"/>
      <c r="GJ214" s="16"/>
      <c r="GK214" s="16"/>
      <c r="GL214" s="16"/>
      <c r="GM214" s="16"/>
      <c r="GN214" s="16"/>
      <c r="GO214" s="17"/>
      <c r="GS214" s="24"/>
      <c r="GT214" s="60"/>
      <c r="GU214" s="16"/>
      <c r="GV214" s="16"/>
      <c r="GW214" s="16"/>
      <c r="GX214" s="16"/>
      <c r="GY214" s="16"/>
      <c r="GZ214" s="17"/>
      <c r="HD214" s="24"/>
      <c r="HE214" s="60"/>
      <c r="HF214" s="16"/>
      <c r="HG214" s="16"/>
      <c r="HH214" s="16"/>
      <c r="HI214" s="16"/>
      <c r="HJ214" s="16"/>
      <c r="HK214" s="17"/>
      <c r="HO214" s="24"/>
      <c r="HP214" s="60"/>
      <c r="HQ214" s="16"/>
      <c r="HR214" s="16"/>
      <c r="HS214" s="16"/>
      <c r="HT214" s="16"/>
      <c r="HU214" s="16"/>
      <c r="HV214" s="17"/>
      <c r="HZ214" s="24"/>
      <c r="IA214" s="60"/>
      <c r="IB214" s="16"/>
      <c r="IC214" s="16"/>
      <c r="ID214" s="16"/>
      <c r="IE214" s="16"/>
      <c r="IF214" s="16"/>
      <c r="IG214" s="17"/>
      <c r="IK214" s="24"/>
      <c r="IL214" s="60"/>
      <c r="IM214" s="16"/>
      <c r="IN214" s="16"/>
      <c r="IO214" s="16"/>
      <c r="IP214" s="16"/>
      <c r="IQ214" s="16"/>
      <c r="IR214" s="17"/>
      <c r="IV214" s="24"/>
      <c r="IW214" s="60"/>
      <c r="IX214" s="16"/>
      <c r="IY214" s="16"/>
      <c r="IZ214" s="16"/>
      <c r="JA214" s="16"/>
      <c r="JB214" s="16"/>
      <c r="JC214" s="17"/>
      <c r="JG214" s="24"/>
      <c r="JH214" s="60"/>
      <c r="JI214" s="16"/>
      <c r="JJ214" s="16"/>
      <c r="JK214" s="16"/>
      <c r="JL214" s="16"/>
      <c r="JM214" s="16"/>
      <c r="JN214" s="17"/>
      <c r="JR214" s="24"/>
      <c r="JS214" s="60"/>
      <c r="JT214" s="16"/>
      <c r="JU214" s="16"/>
      <c r="JV214" s="16"/>
      <c r="JW214" s="16"/>
      <c r="JX214" s="16"/>
      <c r="JY214" s="17"/>
      <c r="KC214" s="24"/>
      <c r="KD214" s="60"/>
      <c r="KE214" s="16"/>
      <c r="KF214" s="16"/>
      <c r="KG214" s="16"/>
      <c r="KH214" s="16"/>
      <c r="KI214" s="16"/>
      <c r="KJ214" s="17"/>
      <c r="KN214" s="24"/>
      <c r="KO214" s="60"/>
      <c r="KP214" s="16"/>
      <c r="KQ214" s="16"/>
      <c r="KR214" s="16"/>
      <c r="KS214" s="16"/>
      <c r="KT214" s="16"/>
      <c r="KU214" s="17"/>
      <c r="KY214" s="24"/>
      <c r="KZ214" s="60"/>
      <c r="LA214" s="16"/>
      <c r="LB214" s="16"/>
      <c r="LC214" s="16"/>
      <c r="LD214" s="16"/>
      <c r="LE214" s="16"/>
      <c r="LF214" s="17"/>
      <c r="LJ214" s="24"/>
      <c r="LK214" s="60"/>
      <c r="LL214" s="16"/>
      <c r="LM214" s="16"/>
      <c r="LN214" s="16"/>
      <c r="LO214" s="16"/>
      <c r="LP214" s="16"/>
      <c r="LQ214" s="17"/>
    </row>
    <row r="215">
      <c r="C215" s="31"/>
      <c r="D215" s="61"/>
      <c r="E215" s="16"/>
      <c r="F215" s="16"/>
      <c r="G215" s="21"/>
      <c r="H215" s="16"/>
      <c r="I215" s="16"/>
      <c r="J215" s="17"/>
      <c r="N215" s="17"/>
      <c r="O215" s="61"/>
      <c r="P215" s="16"/>
      <c r="Q215" s="16"/>
      <c r="R215" s="16"/>
      <c r="S215" s="16"/>
      <c r="T215" s="16"/>
      <c r="U215" s="17"/>
      <c r="Y215" s="24"/>
      <c r="Z215" s="61"/>
      <c r="AA215" s="16"/>
      <c r="AB215" s="16"/>
      <c r="AC215" s="16"/>
      <c r="AD215" s="16"/>
      <c r="AE215" s="16"/>
      <c r="AF215" s="17"/>
      <c r="AJ215" s="24"/>
      <c r="AK215" s="61"/>
      <c r="AL215" s="16"/>
      <c r="AM215" s="16"/>
      <c r="AN215" s="16"/>
      <c r="AO215" s="16"/>
      <c r="AP215" s="16"/>
      <c r="AQ215" s="17"/>
      <c r="AU215" s="24"/>
      <c r="AV215" s="61"/>
      <c r="AW215" s="16"/>
      <c r="AX215" s="16"/>
      <c r="AY215" s="16"/>
      <c r="AZ215" s="16"/>
      <c r="BA215" s="16"/>
      <c r="BB215" s="17"/>
      <c r="BF215" s="24"/>
      <c r="BG215" s="61"/>
      <c r="BH215" s="16"/>
      <c r="BI215" s="16"/>
      <c r="BJ215" s="16"/>
      <c r="BK215" s="16"/>
      <c r="BL215" s="16"/>
      <c r="BM215" s="17"/>
      <c r="BQ215" s="24"/>
      <c r="BR215" s="61"/>
      <c r="BS215" s="16"/>
      <c r="BT215" s="16"/>
      <c r="BU215" s="16"/>
      <c r="BV215" s="16"/>
      <c r="BW215" s="16"/>
      <c r="BX215" s="17"/>
      <c r="CB215" s="24"/>
      <c r="CC215" s="61"/>
      <c r="CD215" s="16"/>
      <c r="CE215" s="16"/>
      <c r="CF215" s="16"/>
      <c r="CG215" s="16"/>
      <c r="CH215" s="16"/>
      <c r="CI215" s="17"/>
      <c r="CM215" s="24"/>
      <c r="CN215" s="61"/>
      <c r="CO215" s="16"/>
      <c r="CP215" s="16"/>
      <c r="CQ215" s="16"/>
      <c r="CR215" s="16"/>
      <c r="CS215" s="16"/>
      <c r="CT215" s="17"/>
      <c r="CX215" s="24"/>
      <c r="CY215" s="60"/>
      <c r="CZ215" s="16"/>
      <c r="DA215" s="16"/>
      <c r="DB215" s="16"/>
      <c r="DC215" s="16"/>
      <c r="DD215" s="16"/>
      <c r="DE215" s="17"/>
      <c r="DI215" s="24"/>
      <c r="DJ215" s="60"/>
      <c r="DK215" s="16"/>
      <c r="DL215" s="16"/>
      <c r="DM215" s="16"/>
      <c r="DN215" s="16"/>
      <c r="DO215" s="16"/>
      <c r="DP215" s="17"/>
      <c r="DT215" s="24"/>
      <c r="DU215" s="60"/>
      <c r="DV215" s="16"/>
      <c r="DW215" s="16"/>
      <c r="DX215" s="16"/>
      <c r="DY215" s="16"/>
      <c r="DZ215" s="16"/>
      <c r="EA215" s="17"/>
      <c r="EE215" s="24"/>
      <c r="EF215" s="60"/>
      <c r="EG215" s="16"/>
      <c r="EH215" s="16"/>
      <c r="EI215" s="16"/>
      <c r="EJ215" s="16"/>
      <c r="EK215" s="16"/>
      <c r="EL215" s="17"/>
      <c r="EP215" s="24"/>
      <c r="EQ215" s="60"/>
      <c r="ER215" s="16"/>
      <c r="ES215" s="16"/>
      <c r="ET215" s="16"/>
      <c r="EU215" s="16"/>
      <c r="EV215" s="16"/>
      <c r="EW215" s="17"/>
      <c r="FA215" s="24"/>
      <c r="FB215" s="60"/>
      <c r="FC215" s="16"/>
      <c r="FD215" s="16"/>
      <c r="FE215" s="16"/>
      <c r="FF215" s="16"/>
      <c r="FG215" s="16"/>
      <c r="FH215" s="17"/>
      <c r="FL215" s="24"/>
      <c r="FM215" s="60"/>
      <c r="FN215" s="16"/>
      <c r="FO215" s="16"/>
      <c r="FP215" s="16"/>
      <c r="FQ215" s="16"/>
      <c r="FR215" s="16"/>
      <c r="FS215" s="17"/>
      <c r="FW215" s="24"/>
      <c r="FX215" s="60"/>
      <c r="FY215" s="16"/>
      <c r="FZ215" s="16"/>
      <c r="GA215" s="16"/>
      <c r="GB215" s="16"/>
      <c r="GC215" s="16"/>
      <c r="GD215" s="17"/>
      <c r="GH215" s="24"/>
      <c r="GI215" s="60"/>
      <c r="GJ215" s="16"/>
      <c r="GK215" s="16"/>
      <c r="GL215" s="16"/>
      <c r="GM215" s="16"/>
      <c r="GN215" s="16"/>
      <c r="GO215" s="17"/>
      <c r="GS215" s="24"/>
      <c r="GT215" s="60"/>
      <c r="GU215" s="16"/>
      <c r="GV215" s="16"/>
      <c r="GW215" s="16"/>
      <c r="GX215" s="16"/>
      <c r="GY215" s="16"/>
      <c r="GZ215" s="17"/>
      <c r="HD215" s="24"/>
      <c r="HE215" s="60"/>
      <c r="HF215" s="16"/>
      <c r="HG215" s="16"/>
      <c r="HH215" s="16"/>
      <c r="HI215" s="16"/>
      <c r="HJ215" s="16"/>
      <c r="HK215" s="17"/>
      <c r="HO215" s="24"/>
      <c r="HP215" s="60"/>
      <c r="HQ215" s="16"/>
      <c r="HR215" s="16"/>
      <c r="HS215" s="16"/>
      <c r="HT215" s="16"/>
      <c r="HU215" s="16"/>
      <c r="HV215" s="17"/>
      <c r="HZ215" s="24"/>
      <c r="IA215" s="60"/>
      <c r="IB215" s="16"/>
      <c r="IC215" s="16"/>
      <c r="ID215" s="16"/>
      <c r="IE215" s="16"/>
      <c r="IF215" s="16"/>
      <c r="IG215" s="17"/>
      <c r="IK215" s="24"/>
      <c r="IL215" s="60"/>
      <c r="IM215" s="16"/>
      <c r="IN215" s="16"/>
      <c r="IO215" s="16"/>
      <c r="IP215" s="16"/>
      <c r="IQ215" s="16"/>
      <c r="IR215" s="17"/>
      <c r="IV215" s="24"/>
      <c r="IW215" s="60"/>
      <c r="IX215" s="16"/>
      <c r="IY215" s="16"/>
      <c r="IZ215" s="16"/>
      <c r="JA215" s="16"/>
      <c r="JB215" s="16"/>
      <c r="JC215" s="17"/>
      <c r="JG215" s="24"/>
      <c r="JH215" s="60"/>
      <c r="JI215" s="16"/>
      <c r="JJ215" s="16"/>
      <c r="JK215" s="16"/>
      <c r="JL215" s="16"/>
      <c r="JM215" s="16"/>
      <c r="JN215" s="17"/>
      <c r="JR215" s="24"/>
      <c r="JS215" s="60"/>
      <c r="JT215" s="16"/>
      <c r="JU215" s="16"/>
      <c r="JV215" s="16"/>
      <c r="JW215" s="16"/>
      <c r="JX215" s="16"/>
      <c r="JY215" s="17"/>
      <c r="KC215" s="24"/>
      <c r="KD215" s="60"/>
      <c r="KE215" s="16"/>
      <c r="KF215" s="16"/>
      <c r="KG215" s="16"/>
      <c r="KH215" s="16"/>
      <c r="KI215" s="16"/>
      <c r="KJ215" s="17"/>
      <c r="KN215" s="24"/>
      <c r="KO215" s="60"/>
      <c r="KP215" s="16"/>
      <c r="KQ215" s="16"/>
      <c r="KR215" s="16"/>
      <c r="KS215" s="16"/>
      <c r="KT215" s="16"/>
      <c r="KU215" s="17"/>
      <c r="KY215" s="24"/>
      <c r="KZ215" s="60"/>
      <c r="LA215" s="16"/>
      <c r="LB215" s="16"/>
      <c r="LC215" s="16"/>
      <c r="LD215" s="16"/>
      <c r="LE215" s="16"/>
      <c r="LF215" s="17"/>
      <c r="LJ215" s="24"/>
      <c r="LK215" s="60"/>
      <c r="LL215" s="16"/>
      <c r="LM215" s="16"/>
      <c r="LN215" s="16"/>
      <c r="LO215" s="16"/>
      <c r="LP215" s="16"/>
      <c r="LQ215" s="17"/>
    </row>
    <row r="216">
      <c r="C216" s="31"/>
      <c r="D216" s="61"/>
      <c r="E216" s="16"/>
      <c r="F216" s="16"/>
      <c r="G216" s="21"/>
      <c r="H216" s="16"/>
      <c r="I216" s="16"/>
      <c r="J216" s="17"/>
      <c r="N216" s="17"/>
      <c r="O216" s="61"/>
      <c r="P216" s="16"/>
      <c r="Q216" s="16"/>
      <c r="R216" s="16"/>
      <c r="S216" s="16"/>
      <c r="T216" s="16"/>
      <c r="U216" s="17"/>
      <c r="Y216" s="24"/>
      <c r="Z216" s="61"/>
      <c r="AA216" s="16"/>
      <c r="AB216" s="16"/>
      <c r="AC216" s="16"/>
      <c r="AD216" s="16"/>
      <c r="AE216" s="16"/>
      <c r="AF216" s="17"/>
      <c r="AJ216" s="24"/>
      <c r="AK216" s="61"/>
      <c r="AL216" s="16"/>
      <c r="AM216" s="16"/>
      <c r="AN216" s="16"/>
      <c r="AO216" s="16"/>
      <c r="AP216" s="16"/>
      <c r="AQ216" s="17"/>
      <c r="AU216" s="24"/>
      <c r="AV216" s="61"/>
      <c r="AW216" s="16"/>
      <c r="AX216" s="16"/>
      <c r="AY216" s="16"/>
      <c r="AZ216" s="16"/>
      <c r="BA216" s="16"/>
      <c r="BB216" s="17"/>
      <c r="BF216" s="24"/>
      <c r="BG216" s="61"/>
      <c r="BH216" s="16"/>
      <c r="BI216" s="16"/>
      <c r="BJ216" s="16"/>
      <c r="BK216" s="16"/>
      <c r="BL216" s="16"/>
      <c r="BM216" s="17"/>
      <c r="BQ216" s="24"/>
      <c r="BR216" s="61"/>
      <c r="BS216" s="16"/>
      <c r="BT216" s="16"/>
      <c r="BU216" s="16"/>
      <c r="BV216" s="16"/>
      <c r="BW216" s="16"/>
      <c r="BX216" s="17"/>
      <c r="CB216" s="24"/>
      <c r="CC216" s="61"/>
      <c r="CD216" s="16"/>
      <c r="CE216" s="16"/>
      <c r="CF216" s="16"/>
      <c r="CG216" s="16"/>
      <c r="CH216" s="16"/>
      <c r="CI216" s="17"/>
      <c r="CM216" s="24"/>
      <c r="CN216" s="61"/>
      <c r="CO216" s="16"/>
      <c r="CP216" s="16"/>
      <c r="CQ216" s="16"/>
      <c r="CR216" s="16"/>
      <c r="CS216" s="16"/>
      <c r="CT216" s="17"/>
      <c r="CX216" s="24"/>
      <c r="CY216" s="60"/>
      <c r="CZ216" s="16"/>
      <c r="DA216" s="16"/>
      <c r="DB216" s="16"/>
      <c r="DC216" s="16"/>
      <c r="DD216" s="16"/>
      <c r="DE216" s="17"/>
      <c r="DI216" s="24"/>
      <c r="DJ216" s="60"/>
      <c r="DK216" s="16"/>
      <c r="DL216" s="16"/>
      <c r="DM216" s="16"/>
      <c r="DN216" s="16"/>
      <c r="DO216" s="16"/>
      <c r="DP216" s="17"/>
      <c r="DT216" s="24"/>
      <c r="DU216" s="60"/>
      <c r="DV216" s="16"/>
      <c r="DW216" s="16"/>
      <c r="DX216" s="16"/>
      <c r="DY216" s="16"/>
      <c r="DZ216" s="16"/>
      <c r="EA216" s="17"/>
      <c r="EE216" s="24"/>
      <c r="EF216" s="60"/>
      <c r="EG216" s="16"/>
      <c r="EH216" s="16"/>
      <c r="EI216" s="16"/>
      <c r="EJ216" s="16"/>
      <c r="EK216" s="16"/>
      <c r="EL216" s="17"/>
      <c r="EP216" s="24"/>
      <c r="EQ216" s="60"/>
      <c r="ER216" s="16"/>
      <c r="ES216" s="16"/>
      <c r="ET216" s="16"/>
      <c r="EU216" s="16"/>
      <c r="EV216" s="16"/>
      <c r="EW216" s="17"/>
      <c r="FA216" s="24"/>
      <c r="FB216" s="60"/>
      <c r="FC216" s="16"/>
      <c r="FD216" s="16"/>
      <c r="FE216" s="16"/>
      <c r="FF216" s="16"/>
      <c r="FG216" s="16"/>
      <c r="FH216" s="17"/>
      <c r="FL216" s="24"/>
      <c r="FM216" s="60"/>
      <c r="FN216" s="16"/>
      <c r="FO216" s="16"/>
      <c r="FP216" s="16"/>
      <c r="FQ216" s="16"/>
      <c r="FR216" s="16"/>
      <c r="FS216" s="17"/>
      <c r="FW216" s="24"/>
      <c r="FX216" s="60"/>
      <c r="FY216" s="16"/>
      <c r="FZ216" s="16"/>
      <c r="GA216" s="16"/>
      <c r="GB216" s="16"/>
      <c r="GC216" s="16"/>
      <c r="GD216" s="17"/>
      <c r="GH216" s="24"/>
      <c r="GI216" s="60"/>
      <c r="GJ216" s="16"/>
      <c r="GK216" s="16"/>
      <c r="GL216" s="16"/>
      <c r="GM216" s="16"/>
      <c r="GN216" s="16"/>
      <c r="GO216" s="17"/>
      <c r="GS216" s="24"/>
      <c r="GT216" s="60"/>
      <c r="GU216" s="16"/>
      <c r="GV216" s="16"/>
      <c r="GW216" s="16"/>
      <c r="GX216" s="16"/>
      <c r="GY216" s="16"/>
      <c r="GZ216" s="17"/>
      <c r="HD216" s="24"/>
      <c r="HE216" s="60"/>
      <c r="HF216" s="16"/>
      <c r="HG216" s="16"/>
      <c r="HH216" s="16"/>
      <c r="HI216" s="16"/>
      <c r="HJ216" s="16"/>
      <c r="HK216" s="17"/>
      <c r="HO216" s="24"/>
      <c r="HP216" s="60"/>
      <c r="HQ216" s="16"/>
      <c r="HR216" s="16"/>
      <c r="HS216" s="16"/>
      <c r="HT216" s="16"/>
      <c r="HU216" s="16"/>
      <c r="HV216" s="17"/>
      <c r="HZ216" s="24"/>
      <c r="IA216" s="60"/>
      <c r="IB216" s="16"/>
      <c r="IC216" s="16"/>
      <c r="ID216" s="16"/>
      <c r="IE216" s="16"/>
      <c r="IF216" s="16"/>
      <c r="IG216" s="17"/>
      <c r="IK216" s="24"/>
      <c r="IL216" s="60"/>
      <c r="IM216" s="16"/>
      <c r="IN216" s="16"/>
      <c r="IO216" s="16"/>
      <c r="IP216" s="16"/>
      <c r="IQ216" s="16"/>
      <c r="IR216" s="17"/>
      <c r="IV216" s="24"/>
      <c r="IW216" s="60"/>
      <c r="IX216" s="16"/>
      <c r="IY216" s="16"/>
      <c r="IZ216" s="16"/>
      <c r="JA216" s="16"/>
      <c r="JB216" s="16"/>
      <c r="JC216" s="17"/>
      <c r="JG216" s="24"/>
      <c r="JH216" s="60"/>
      <c r="JI216" s="16"/>
      <c r="JJ216" s="16"/>
      <c r="JK216" s="16"/>
      <c r="JL216" s="16"/>
      <c r="JM216" s="16"/>
      <c r="JN216" s="17"/>
      <c r="JR216" s="24"/>
      <c r="JS216" s="60"/>
      <c r="JT216" s="16"/>
      <c r="JU216" s="16"/>
      <c r="JV216" s="16"/>
      <c r="JW216" s="16"/>
      <c r="JX216" s="16"/>
      <c r="JY216" s="17"/>
      <c r="KC216" s="24"/>
      <c r="KD216" s="60"/>
      <c r="KE216" s="16"/>
      <c r="KF216" s="16"/>
      <c r="KG216" s="16"/>
      <c r="KH216" s="16"/>
      <c r="KI216" s="16"/>
      <c r="KJ216" s="17"/>
      <c r="KN216" s="24"/>
      <c r="KO216" s="60"/>
      <c r="KP216" s="16"/>
      <c r="KQ216" s="16"/>
      <c r="KR216" s="16"/>
      <c r="KS216" s="16"/>
      <c r="KT216" s="16"/>
      <c r="KU216" s="17"/>
      <c r="KY216" s="24"/>
      <c r="KZ216" s="60"/>
      <c r="LA216" s="16"/>
      <c r="LB216" s="16"/>
      <c r="LC216" s="16"/>
      <c r="LD216" s="16"/>
      <c r="LE216" s="16"/>
      <c r="LF216" s="17"/>
      <c r="LJ216" s="24"/>
      <c r="LK216" s="60"/>
      <c r="LL216" s="16"/>
      <c r="LM216" s="16"/>
      <c r="LN216" s="16"/>
      <c r="LO216" s="16"/>
      <c r="LP216" s="16"/>
      <c r="LQ216" s="17"/>
    </row>
    <row r="217">
      <c r="C217" s="31"/>
      <c r="D217" s="61"/>
      <c r="E217" s="16"/>
      <c r="F217" s="16"/>
      <c r="G217" s="21"/>
      <c r="H217" s="16"/>
      <c r="I217" s="16"/>
      <c r="J217" s="17"/>
      <c r="N217" s="17"/>
      <c r="O217" s="61"/>
      <c r="P217" s="16"/>
      <c r="Q217" s="16"/>
      <c r="R217" s="16"/>
      <c r="S217" s="16"/>
      <c r="T217" s="16"/>
      <c r="U217" s="17"/>
      <c r="Y217" s="24"/>
      <c r="Z217" s="61"/>
      <c r="AA217" s="16"/>
      <c r="AB217" s="16"/>
      <c r="AC217" s="16"/>
      <c r="AD217" s="16"/>
      <c r="AE217" s="16"/>
      <c r="AF217" s="17"/>
      <c r="AJ217" s="24"/>
      <c r="AK217" s="61"/>
      <c r="AL217" s="16"/>
      <c r="AM217" s="16"/>
      <c r="AN217" s="16"/>
      <c r="AO217" s="16"/>
      <c r="AP217" s="16"/>
      <c r="AQ217" s="17"/>
      <c r="AU217" s="24"/>
      <c r="AV217" s="61"/>
      <c r="AW217" s="16"/>
      <c r="AX217" s="16"/>
      <c r="AY217" s="16"/>
      <c r="AZ217" s="16"/>
      <c r="BA217" s="16"/>
      <c r="BB217" s="17"/>
      <c r="BF217" s="24"/>
      <c r="BG217" s="61"/>
      <c r="BH217" s="16"/>
      <c r="BI217" s="16"/>
      <c r="BJ217" s="16"/>
      <c r="BK217" s="16"/>
      <c r="BL217" s="16"/>
      <c r="BM217" s="17"/>
      <c r="BQ217" s="24"/>
      <c r="BR217" s="61"/>
      <c r="BS217" s="16"/>
      <c r="BT217" s="16"/>
      <c r="BU217" s="16"/>
      <c r="BV217" s="16"/>
      <c r="BW217" s="16"/>
      <c r="BX217" s="17"/>
      <c r="CB217" s="24"/>
      <c r="CC217" s="61"/>
      <c r="CD217" s="16"/>
      <c r="CE217" s="16"/>
      <c r="CF217" s="16"/>
      <c r="CG217" s="16"/>
      <c r="CH217" s="16"/>
      <c r="CI217" s="17"/>
      <c r="CM217" s="24"/>
      <c r="CN217" s="61"/>
      <c r="CO217" s="16"/>
      <c r="CP217" s="16"/>
      <c r="CQ217" s="16"/>
      <c r="CR217" s="16"/>
      <c r="CS217" s="16"/>
      <c r="CT217" s="17"/>
      <c r="CX217" s="24"/>
      <c r="CY217" s="60"/>
      <c r="CZ217" s="16"/>
      <c r="DA217" s="16"/>
      <c r="DB217" s="16"/>
      <c r="DC217" s="16"/>
      <c r="DD217" s="16"/>
      <c r="DE217" s="17"/>
      <c r="DI217" s="24"/>
      <c r="DJ217" s="60"/>
      <c r="DK217" s="16"/>
      <c r="DL217" s="16"/>
      <c r="DM217" s="16"/>
      <c r="DN217" s="16"/>
      <c r="DO217" s="16"/>
      <c r="DP217" s="17"/>
      <c r="DT217" s="24"/>
      <c r="DU217" s="60"/>
      <c r="DV217" s="16"/>
      <c r="DW217" s="16"/>
      <c r="DX217" s="16"/>
      <c r="DY217" s="16"/>
      <c r="DZ217" s="16"/>
      <c r="EA217" s="17"/>
      <c r="EE217" s="24"/>
      <c r="EF217" s="60"/>
      <c r="EG217" s="16"/>
      <c r="EH217" s="16"/>
      <c r="EI217" s="16"/>
      <c r="EJ217" s="16"/>
      <c r="EK217" s="16"/>
      <c r="EL217" s="17"/>
      <c r="EP217" s="24"/>
      <c r="EQ217" s="60"/>
      <c r="ER217" s="16"/>
      <c r="ES217" s="16"/>
      <c r="ET217" s="16"/>
      <c r="EU217" s="16"/>
      <c r="EV217" s="16"/>
      <c r="EW217" s="17"/>
      <c r="FA217" s="24"/>
      <c r="FB217" s="60"/>
      <c r="FC217" s="16"/>
      <c r="FD217" s="16"/>
      <c r="FE217" s="16"/>
      <c r="FF217" s="16"/>
      <c r="FG217" s="16"/>
      <c r="FH217" s="17"/>
      <c r="FL217" s="24"/>
      <c r="FM217" s="60"/>
      <c r="FN217" s="16"/>
      <c r="FO217" s="16"/>
      <c r="FP217" s="16"/>
      <c r="FQ217" s="16"/>
      <c r="FR217" s="16"/>
      <c r="FS217" s="17"/>
      <c r="FW217" s="24"/>
      <c r="FX217" s="60"/>
      <c r="FY217" s="16"/>
      <c r="FZ217" s="16"/>
      <c r="GA217" s="16"/>
      <c r="GB217" s="16"/>
      <c r="GC217" s="16"/>
      <c r="GD217" s="17"/>
      <c r="GH217" s="24"/>
      <c r="GI217" s="60"/>
      <c r="GJ217" s="16"/>
      <c r="GK217" s="16"/>
      <c r="GL217" s="16"/>
      <c r="GM217" s="16"/>
      <c r="GN217" s="16"/>
      <c r="GO217" s="17"/>
      <c r="GS217" s="24"/>
      <c r="GT217" s="60"/>
      <c r="GU217" s="16"/>
      <c r="GV217" s="16"/>
      <c r="GW217" s="16"/>
      <c r="GX217" s="16"/>
      <c r="GY217" s="16"/>
      <c r="GZ217" s="17"/>
      <c r="HD217" s="24"/>
      <c r="HE217" s="60"/>
      <c r="HF217" s="16"/>
      <c r="HG217" s="16"/>
      <c r="HH217" s="16"/>
      <c r="HI217" s="16"/>
      <c r="HJ217" s="16"/>
      <c r="HK217" s="17"/>
      <c r="HO217" s="24"/>
      <c r="HP217" s="60"/>
      <c r="HQ217" s="16"/>
      <c r="HR217" s="16"/>
      <c r="HS217" s="16"/>
      <c r="HT217" s="16"/>
      <c r="HU217" s="16"/>
      <c r="HV217" s="17"/>
      <c r="HZ217" s="24"/>
      <c r="IA217" s="60"/>
      <c r="IB217" s="16"/>
      <c r="IC217" s="16"/>
      <c r="ID217" s="16"/>
      <c r="IE217" s="16"/>
      <c r="IF217" s="16"/>
      <c r="IG217" s="17"/>
      <c r="IK217" s="24"/>
      <c r="IL217" s="60"/>
      <c r="IM217" s="16"/>
      <c r="IN217" s="16"/>
      <c r="IO217" s="16"/>
      <c r="IP217" s="16"/>
      <c r="IQ217" s="16"/>
      <c r="IR217" s="17"/>
      <c r="IV217" s="24"/>
      <c r="IW217" s="60"/>
      <c r="IX217" s="16"/>
      <c r="IY217" s="16"/>
      <c r="IZ217" s="16"/>
      <c r="JA217" s="16"/>
      <c r="JB217" s="16"/>
      <c r="JC217" s="17"/>
      <c r="JG217" s="24"/>
      <c r="JH217" s="60"/>
      <c r="JI217" s="16"/>
      <c r="JJ217" s="16"/>
      <c r="JK217" s="16"/>
      <c r="JL217" s="16"/>
      <c r="JM217" s="16"/>
      <c r="JN217" s="17"/>
      <c r="JR217" s="24"/>
      <c r="JS217" s="60"/>
      <c r="JT217" s="16"/>
      <c r="JU217" s="16"/>
      <c r="JV217" s="16"/>
      <c r="JW217" s="16"/>
      <c r="JX217" s="16"/>
      <c r="JY217" s="17"/>
      <c r="KC217" s="24"/>
      <c r="KD217" s="60"/>
      <c r="KE217" s="16"/>
      <c r="KF217" s="16"/>
      <c r="KG217" s="16"/>
      <c r="KH217" s="16"/>
      <c r="KI217" s="16"/>
      <c r="KJ217" s="17"/>
      <c r="KN217" s="24"/>
      <c r="KO217" s="60"/>
      <c r="KP217" s="16"/>
      <c r="KQ217" s="16"/>
      <c r="KR217" s="16"/>
      <c r="KS217" s="16"/>
      <c r="KT217" s="16"/>
      <c r="KU217" s="17"/>
      <c r="KY217" s="24"/>
      <c r="KZ217" s="60"/>
      <c r="LA217" s="16"/>
      <c r="LB217" s="16"/>
      <c r="LC217" s="16"/>
      <c r="LD217" s="16"/>
      <c r="LE217" s="16"/>
      <c r="LF217" s="17"/>
      <c r="LJ217" s="24"/>
      <c r="LK217" s="60"/>
      <c r="LL217" s="16"/>
      <c r="LM217" s="16"/>
      <c r="LN217" s="16"/>
      <c r="LO217" s="16"/>
      <c r="LP217" s="16"/>
      <c r="LQ217" s="17"/>
    </row>
    <row r="218">
      <c r="C218" s="31"/>
      <c r="D218" s="61"/>
      <c r="E218" s="16"/>
      <c r="F218" s="16"/>
      <c r="G218" s="21"/>
      <c r="H218" s="16"/>
      <c r="I218" s="16"/>
      <c r="J218" s="17"/>
      <c r="N218" s="17"/>
      <c r="O218" s="61"/>
      <c r="P218" s="16"/>
      <c r="Q218" s="16"/>
      <c r="R218" s="16"/>
      <c r="S218" s="16"/>
      <c r="T218" s="16"/>
      <c r="U218" s="17"/>
      <c r="Y218" s="24"/>
      <c r="Z218" s="61"/>
      <c r="AA218" s="16"/>
      <c r="AB218" s="16"/>
      <c r="AC218" s="16"/>
      <c r="AD218" s="16"/>
      <c r="AE218" s="16"/>
      <c r="AF218" s="17"/>
      <c r="AJ218" s="24"/>
      <c r="AK218" s="61"/>
      <c r="AL218" s="16"/>
      <c r="AM218" s="16"/>
      <c r="AN218" s="16"/>
      <c r="AO218" s="16"/>
      <c r="AP218" s="16"/>
      <c r="AQ218" s="17"/>
      <c r="AU218" s="24"/>
      <c r="AV218" s="61"/>
      <c r="AW218" s="16"/>
      <c r="AX218" s="16"/>
      <c r="AY218" s="16"/>
      <c r="AZ218" s="16"/>
      <c r="BA218" s="16"/>
      <c r="BB218" s="17"/>
      <c r="BF218" s="24"/>
      <c r="BG218" s="61"/>
      <c r="BH218" s="16"/>
      <c r="BI218" s="16"/>
      <c r="BJ218" s="16"/>
      <c r="BK218" s="16"/>
      <c r="BL218" s="16"/>
      <c r="BM218" s="17"/>
      <c r="BQ218" s="24"/>
      <c r="BR218" s="61"/>
      <c r="BS218" s="16"/>
      <c r="BT218" s="16"/>
      <c r="BU218" s="16"/>
      <c r="BV218" s="16"/>
      <c r="BW218" s="16"/>
      <c r="BX218" s="17"/>
      <c r="CB218" s="24"/>
      <c r="CC218" s="61"/>
      <c r="CD218" s="16"/>
      <c r="CE218" s="16"/>
      <c r="CF218" s="16"/>
      <c r="CG218" s="16"/>
      <c r="CH218" s="16"/>
      <c r="CI218" s="17"/>
      <c r="CM218" s="24"/>
      <c r="CN218" s="61"/>
      <c r="CO218" s="16"/>
      <c r="CP218" s="16"/>
      <c r="CQ218" s="16"/>
      <c r="CR218" s="16"/>
      <c r="CS218" s="16"/>
      <c r="CT218" s="17"/>
      <c r="CX218" s="24"/>
      <c r="CY218" s="60"/>
      <c r="CZ218" s="16"/>
      <c r="DA218" s="16"/>
      <c r="DB218" s="16"/>
      <c r="DC218" s="16"/>
      <c r="DD218" s="16"/>
      <c r="DE218" s="17"/>
      <c r="DI218" s="24"/>
      <c r="DJ218" s="60"/>
      <c r="DK218" s="16"/>
      <c r="DL218" s="16"/>
      <c r="DM218" s="16"/>
      <c r="DN218" s="16"/>
      <c r="DO218" s="16"/>
      <c r="DP218" s="17"/>
      <c r="DT218" s="24"/>
      <c r="DU218" s="60"/>
      <c r="DV218" s="16"/>
      <c r="DW218" s="16"/>
      <c r="DX218" s="16"/>
      <c r="DY218" s="16"/>
      <c r="DZ218" s="16"/>
      <c r="EA218" s="17"/>
      <c r="EE218" s="24"/>
      <c r="EF218" s="60"/>
      <c r="EG218" s="16"/>
      <c r="EH218" s="16"/>
      <c r="EI218" s="16"/>
      <c r="EJ218" s="16"/>
      <c r="EK218" s="16"/>
      <c r="EL218" s="17"/>
      <c r="EP218" s="24"/>
      <c r="EQ218" s="60"/>
      <c r="ER218" s="16"/>
      <c r="ES218" s="16"/>
      <c r="ET218" s="16"/>
      <c r="EU218" s="16"/>
      <c r="EV218" s="16"/>
      <c r="EW218" s="17"/>
      <c r="FA218" s="24"/>
      <c r="FB218" s="60"/>
      <c r="FC218" s="16"/>
      <c r="FD218" s="16"/>
      <c r="FE218" s="16"/>
      <c r="FF218" s="16"/>
      <c r="FG218" s="16"/>
      <c r="FH218" s="17"/>
      <c r="FL218" s="24"/>
      <c r="FM218" s="60"/>
      <c r="FN218" s="16"/>
      <c r="FO218" s="16"/>
      <c r="FP218" s="16"/>
      <c r="FQ218" s="16"/>
      <c r="FR218" s="16"/>
      <c r="FS218" s="17"/>
      <c r="FW218" s="24"/>
      <c r="FX218" s="60"/>
      <c r="FY218" s="16"/>
      <c r="FZ218" s="16"/>
      <c r="GA218" s="16"/>
      <c r="GB218" s="16"/>
      <c r="GC218" s="16"/>
      <c r="GD218" s="17"/>
      <c r="GH218" s="24"/>
      <c r="GI218" s="60"/>
      <c r="GJ218" s="16"/>
      <c r="GK218" s="16"/>
      <c r="GL218" s="16"/>
      <c r="GM218" s="16"/>
      <c r="GN218" s="16"/>
      <c r="GO218" s="17"/>
      <c r="GS218" s="24"/>
      <c r="GT218" s="60"/>
      <c r="GU218" s="16"/>
      <c r="GV218" s="16"/>
      <c r="GW218" s="16"/>
      <c r="GX218" s="16"/>
      <c r="GY218" s="16"/>
      <c r="GZ218" s="17"/>
      <c r="HD218" s="24"/>
      <c r="HE218" s="60"/>
      <c r="HF218" s="16"/>
      <c r="HG218" s="16"/>
      <c r="HH218" s="16"/>
      <c r="HI218" s="16"/>
      <c r="HJ218" s="16"/>
      <c r="HK218" s="17"/>
      <c r="HO218" s="24"/>
      <c r="HP218" s="60"/>
      <c r="HQ218" s="16"/>
      <c r="HR218" s="16"/>
      <c r="HS218" s="16"/>
      <c r="HT218" s="16"/>
      <c r="HU218" s="16"/>
      <c r="HV218" s="17"/>
      <c r="HZ218" s="24"/>
      <c r="IA218" s="60"/>
      <c r="IB218" s="16"/>
      <c r="IC218" s="16"/>
      <c r="ID218" s="16"/>
      <c r="IE218" s="16"/>
      <c r="IF218" s="16"/>
      <c r="IG218" s="17"/>
      <c r="IK218" s="24"/>
      <c r="IL218" s="60"/>
      <c r="IM218" s="16"/>
      <c r="IN218" s="16"/>
      <c r="IO218" s="16"/>
      <c r="IP218" s="16"/>
      <c r="IQ218" s="16"/>
      <c r="IR218" s="17"/>
      <c r="IV218" s="24"/>
      <c r="IW218" s="60"/>
      <c r="IX218" s="16"/>
      <c r="IY218" s="16"/>
      <c r="IZ218" s="16"/>
      <c r="JA218" s="16"/>
      <c r="JB218" s="16"/>
      <c r="JC218" s="17"/>
      <c r="JG218" s="24"/>
      <c r="JH218" s="60"/>
      <c r="JI218" s="16"/>
      <c r="JJ218" s="16"/>
      <c r="JK218" s="16"/>
      <c r="JL218" s="16"/>
      <c r="JM218" s="16"/>
      <c r="JN218" s="17"/>
      <c r="JR218" s="24"/>
      <c r="JS218" s="60"/>
      <c r="JT218" s="16"/>
      <c r="JU218" s="16"/>
      <c r="JV218" s="16"/>
      <c r="JW218" s="16"/>
      <c r="JX218" s="16"/>
      <c r="JY218" s="17"/>
      <c r="KC218" s="24"/>
      <c r="KD218" s="60"/>
      <c r="KE218" s="16"/>
      <c r="KF218" s="16"/>
      <c r="KG218" s="16"/>
      <c r="KH218" s="16"/>
      <c r="KI218" s="16"/>
      <c r="KJ218" s="17"/>
      <c r="KN218" s="24"/>
      <c r="KO218" s="60"/>
      <c r="KP218" s="16"/>
      <c r="KQ218" s="16"/>
      <c r="KR218" s="16"/>
      <c r="KS218" s="16"/>
      <c r="KT218" s="16"/>
      <c r="KU218" s="17"/>
      <c r="KY218" s="24"/>
      <c r="KZ218" s="60"/>
      <c r="LA218" s="16"/>
      <c r="LB218" s="16"/>
      <c r="LC218" s="16"/>
      <c r="LD218" s="16"/>
      <c r="LE218" s="16"/>
      <c r="LF218" s="17"/>
      <c r="LJ218" s="24"/>
      <c r="LK218" s="60"/>
      <c r="LL218" s="16"/>
      <c r="LM218" s="16"/>
      <c r="LN218" s="16"/>
      <c r="LO218" s="16"/>
      <c r="LP218" s="16"/>
      <c r="LQ218" s="17"/>
    </row>
    <row r="219">
      <c r="C219" s="31"/>
      <c r="D219" s="61"/>
      <c r="E219" s="16"/>
      <c r="F219" s="16"/>
      <c r="G219" s="21"/>
      <c r="H219" s="16"/>
      <c r="I219" s="16"/>
      <c r="J219" s="17"/>
      <c r="N219" s="17"/>
      <c r="O219" s="61"/>
      <c r="P219" s="16"/>
      <c r="Q219" s="16"/>
      <c r="R219" s="16"/>
      <c r="S219" s="16"/>
      <c r="T219" s="16"/>
      <c r="U219" s="17"/>
      <c r="Y219" s="24"/>
      <c r="Z219" s="61"/>
      <c r="AA219" s="16"/>
      <c r="AB219" s="16"/>
      <c r="AC219" s="16"/>
      <c r="AD219" s="16"/>
      <c r="AE219" s="16"/>
      <c r="AF219" s="17"/>
      <c r="AJ219" s="24"/>
      <c r="AK219" s="61"/>
      <c r="AL219" s="16"/>
      <c r="AM219" s="16"/>
      <c r="AN219" s="16"/>
      <c r="AO219" s="16"/>
      <c r="AP219" s="16"/>
      <c r="AQ219" s="17"/>
      <c r="AU219" s="24"/>
      <c r="AV219" s="61"/>
      <c r="AW219" s="16"/>
      <c r="AX219" s="16"/>
      <c r="AY219" s="16"/>
      <c r="AZ219" s="16"/>
      <c r="BA219" s="16"/>
      <c r="BB219" s="17"/>
      <c r="BF219" s="24"/>
      <c r="BG219" s="61"/>
      <c r="BH219" s="16"/>
      <c r="BI219" s="16"/>
      <c r="BJ219" s="16"/>
      <c r="BK219" s="16"/>
      <c r="BL219" s="16"/>
      <c r="BM219" s="17"/>
      <c r="BQ219" s="24"/>
      <c r="BR219" s="61"/>
      <c r="BS219" s="16"/>
      <c r="BT219" s="16"/>
      <c r="BU219" s="16"/>
      <c r="BV219" s="16"/>
      <c r="BW219" s="16"/>
      <c r="BX219" s="17"/>
      <c r="CB219" s="24"/>
      <c r="CC219" s="61"/>
      <c r="CD219" s="16"/>
      <c r="CE219" s="16"/>
      <c r="CF219" s="16"/>
      <c r="CG219" s="16"/>
      <c r="CH219" s="16"/>
      <c r="CI219" s="17"/>
      <c r="CM219" s="24"/>
      <c r="CN219" s="61"/>
      <c r="CO219" s="16"/>
      <c r="CP219" s="16"/>
      <c r="CQ219" s="16"/>
      <c r="CR219" s="16"/>
      <c r="CS219" s="16"/>
      <c r="CT219" s="17"/>
      <c r="CX219" s="24"/>
      <c r="CY219" s="60"/>
      <c r="CZ219" s="16"/>
      <c r="DA219" s="16"/>
      <c r="DB219" s="16"/>
      <c r="DC219" s="16"/>
      <c r="DD219" s="16"/>
      <c r="DE219" s="17"/>
      <c r="DI219" s="24"/>
      <c r="DJ219" s="60"/>
      <c r="DK219" s="16"/>
      <c r="DL219" s="16"/>
      <c r="DM219" s="16"/>
      <c r="DN219" s="16"/>
      <c r="DO219" s="16"/>
      <c r="DP219" s="17"/>
      <c r="DT219" s="24"/>
      <c r="DU219" s="60"/>
      <c r="DV219" s="16"/>
      <c r="DW219" s="16"/>
      <c r="DX219" s="16"/>
      <c r="DY219" s="16"/>
      <c r="DZ219" s="16"/>
      <c r="EA219" s="17"/>
      <c r="EE219" s="24"/>
      <c r="EF219" s="60"/>
      <c r="EG219" s="16"/>
      <c r="EH219" s="16"/>
      <c r="EI219" s="16"/>
      <c r="EJ219" s="16"/>
      <c r="EK219" s="16"/>
      <c r="EL219" s="17"/>
      <c r="EP219" s="24"/>
      <c r="EQ219" s="60"/>
      <c r="ER219" s="16"/>
      <c r="ES219" s="16"/>
      <c r="ET219" s="16"/>
      <c r="EU219" s="16"/>
      <c r="EV219" s="16"/>
      <c r="EW219" s="17"/>
      <c r="FA219" s="24"/>
      <c r="FB219" s="60"/>
      <c r="FC219" s="16"/>
      <c r="FD219" s="16"/>
      <c r="FE219" s="16"/>
      <c r="FF219" s="16"/>
      <c r="FG219" s="16"/>
      <c r="FH219" s="17"/>
      <c r="FL219" s="24"/>
      <c r="FM219" s="60"/>
      <c r="FN219" s="16"/>
      <c r="FO219" s="16"/>
      <c r="FP219" s="16"/>
      <c r="FQ219" s="16"/>
      <c r="FR219" s="16"/>
      <c r="FS219" s="17"/>
      <c r="FW219" s="24"/>
      <c r="FX219" s="60"/>
      <c r="FY219" s="16"/>
      <c r="FZ219" s="16"/>
      <c r="GA219" s="16"/>
      <c r="GB219" s="16"/>
      <c r="GC219" s="16"/>
      <c r="GD219" s="17"/>
      <c r="GH219" s="24"/>
      <c r="GI219" s="60"/>
      <c r="GJ219" s="16"/>
      <c r="GK219" s="16"/>
      <c r="GL219" s="16"/>
      <c r="GM219" s="16"/>
      <c r="GN219" s="16"/>
      <c r="GO219" s="17"/>
      <c r="GS219" s="24"/>
      <c r="GT219" s="60"/>
      <c r="GU219" s="16"/>
      <c r="GV219" s="16"/>
      <c r="GW219" s="16"/>
      <c r="GX219" s="16"/>
      <c r="GY219" s="16"/>
      <c r="GZ219" s="17"/>
      <c r="HD219" s="24"/>
      <c r="HE219" s="60"/>
      <c r="HF219" s="16"/>
      <c r="HG219" s="16"/>
      <c r="HH219" s="16"/>
      <c r="HI219" s="16"/>
      <c r="HJ219" s="16"/>
      <c r="HK219" s="17"/>
      <c r="HO219" s="24"/>
      <c r="HP219" s="60"/>
      <c r="HQ219" s="16"/>
      <c r="HR219" s="16"/>
      <c r="HS219" s="16"/>
      <c r="HT219" s="16"/>
      <c r="HU219" s="16"/>
      <c r="HV219" s="17"/>
      <c r="HZ219" s="24"/>
      <c r="IA219" s="60"/>
      <c r="IB219" s="16"/>
      <c r="IC219" s="16"/>
      <c r="ID219" s="16"/>
      <c r="IE219" s="16"/>
      <c r="IF219" s="16"/>
      <c r="IG219" s="17"/>
      <c r="IK219" s="24"/>
      <c r="IL219" s="60"/>
      <c r="IM219" s="16"/>
      <c r="IN219" s="16"/>
      <c r="IO219" s="16"/>
      <c r="IP219" s="16"/>
      <c r="IQ219" s="16"/>
      <c r="IR219" s="17"/>
      <c r="IV219" s="24"/>
      <c r="IW219" s="60"/>
      <c r="IX219" s="16"/>
      <c r="IY219" s="16"/>
      <c r="IZ219" s="16"/>
      <c r="JA219" s="16"/>
      <c r="JB219" s="16"/>
      <c r="JC219" s="17"/>
      <c r="JG219" s="24"/>
      <c r="JH219" s="60"/>
      <c r="JI219" s="16"/>
      <c r="JJ219" s="16"/>
      <c r="JK219" s="16"/>
      <c r="JL219" s="16"/>
      <c r="JM219" s="16"/>
      <c r="JN219" s="17"/>
      <c r="JR219" s="24"/>
      <c r="JS219" s="60"/>
      <c r="JT219" s="16"/>
      <c r="JU219" s="16"/>
      <c r="JV219" s="16"/>
      <c r="JW219" s="16"/>
      <c r="JX219" s="16"/>
      <c r="JY219" s="17"/>
      <c r="KC219" s="24"/>
      <c r="KD219" s="60"/>
      <c r="KE219" s="16"/>
      <c r="KF219" s="16"/>
      <c r="KG219" s="16"/>
      <c r="KH219" s="16"/>
      <c r="KI219" s="16"/>
      <c r="KJ219" s="17"/>
      <c r="KN219" s="24"/>
      <c r="KO219" s="60"/>
      <c r="KP219" s="16"/>
      <c r="KQ219" s="16"/>
      <c r="KR219" s="16"/>
      <c r="KS219" s="16"/>
      <c r="KT219" s="16"/>
      <c r="KU219" s="17"/>
      <c r="KY219" s="24"/>
      <c r="KZ219" s="60"/>
      <c r="LA219" s="16"/>
      <c r="LB219" s="16"/>
      <c r="LC219" s="16"/>
      <c r="LD219" s="16"/>
      <c r="LE219" s="16"/>
      <c r="LF219" s="17"/>
      <c r="LJ219" s="24"/>
      <c r="LK219" s="60"/>
      <c r="LL219" s="16"/>
      <c r="LM219" s="16"/>
      <c r="LN219" s="16"/>
      <c r="LO219" s="16"/>
      <c r="LP219" s="16"/>
      <c r="LQ219" s="17"/>
    </row>
    <row r="220">
      <c r="C220" s="31"/>
      <c r="D220" s="61"/>
      <c r="E220" s="16"/>
      <c r="F220" s="16"/>
      <c r="G220" s="21"/>
      <c r="H220" s="16"/>
      <c r="I220" s="16"/>
      <c r="J220" s="17"/>
      <c r="N220" s="17"/>
      <c r="O220" s="61"/>
      <c r="P220" s="16"/>
      <c r="Q220" s="16"/>
      <c r="R220" s="16"/>
      <c r="S220" s="16"/>
      <c r="T220" s="16"/>
      <c r="U220" s="17"/>
      <c r="Y220" s="24"/>
      <c r="Z220" s="61"/>
      <c r="AA220" s="16"/>
      <c r="AB220" s="16"/>
      <c r="AC220" s="16"/>
      <c r="AD220" s="16"/>
      <c r="AE220" s="16"/>
      <c r="AF220" s="17"/>
      <c r="AJ220" s="24"/>
      <c r="AK220" s="61"/>
      <c r="AL220" s="16"/>
      <c r="AM220" s="16"/>
      <c r="AN220" s="16"/>
      <c r="AO220" s="16"/>
      <c r="AP220" s="16"/>
      <c r="AQ220" s="17"/>
      <c r="AU220" s="24"/>
      <c r="AV220" s="61"/>
      <c r="AW220" s="16"/>
      <c r="AX220" s="16"/>
      <c r="AY220" s="16"/>
      <c r="AZ220" s="16"/>
      <c r="BA220" s="16"/>
      <c r="BB220" s="17"/>
      <c r="BF220" s="24"/>
      <c r="BG220" s="61"/>
      <c r="BH220" s="16"/>
      <c r="BI220" s="16"/>
      <c r="BJ220" s="16"/>
      <c r="BK220" s="16"/>
      <c r="BL220" s="16"/>
      <c r="BM220" s="17"/>
      <c r="BQ220" s="24"/>
      <c r="BR220" s="61"/>
      <c r="BS220" s="16"/>
      <c r="BT220" s="16"/>
      <c r="BU220" s="16"/>
      <c r="BV220" s="16"/>
      <c r="BW220" s="16"/>
      <c r="BX220" s="17"/>
      <c r="CB220" s="24"/>
      <c r="CC220" s="61"/>
      <c r="CD220" s="16"/>
      <c r="CE220" s="16"/>
      <c r="CF220" s="16"/>
      <c r="CG220" s="16"/>
      <c r="CH220" s="16"/>
      <c r="CI220" s="17"/>
      <c r="CM220" s="24"/>
      <c r="CN220" s="61"/>
      <c r="CO220" s="16"/>
      <c r="CP220" s="16"/>
      <c r="CQ220" s="16"/>
      <c r="CR220" s="16"/>
      <c r="CS220" s="16"/>
      <c r="CT220" s="17"/>
      <c r="CX220" s="24"/>
      <c r="CY220" s="60"/>
      <c r="CZ220" s="16"/>
      <c r="DA220" s="16"/>
      <c r="DB220" s="16"/>
      <c r="DC220" s="16"/>
      <c r="DD220" s="16"/>
      <c r="DE220" s="17"/>
      <c r="DI220" s="24"/>
      <c r="DJ220" s="60"/>
      <c r="DK220" s="16"/>
      <c r="DL220" s="16"/>
      <c r="DM220" s="16"/>
      <c r="DN220" s="16"/>
      <c r="DO220" s="16"/>
      <c r="DP220" s="17"/>
      <c r="DT220" s="24"/>
      <c r="DU220" s="60"/>
      <c r="DV220" s="16"/>
      <c r="DW220" s="16"/>
      <c r="DX220" s="16"/>
      <c r="DY220" s="16"/>
      <c r="DZ220" s="16"/>
      <c r="EA220" s="17"/>
      <c r="EE220" s="24"/>
      <c r="EF220" s="60"/>
      <c r="EG220" s="16"/>
      <c r="EH220" s="16"/>
      <c r="EI220" s="16"/>
      <c r="EJ220" s="16"/>
      <c r="EK220" s="16"/>
      <c r="EL220" s="17"/>
      <c r="EP220" s="24"/>
      <c r="EQ220" s="60"/>
      <c r="ER220" s="16"/>
      <c r="ES220" s="16"/>
      <c r="ET220" s="16"/>
      <c r="EU220" s="16"/>
      <c r="EV220" s="16"/>
      <c r="EW220" s="17"/>
      <c r="FA220" s="24"/>
      <c r="FB220" s="60"/>
      <c r="FC220" s="16"/>
      <c r="FD220" s="16"/>
      <c r="FE220" s="16"/>
      <c r="FF220" s="16"/>
      <c r="FG220" s="16"/>
      <c r="FH220" s="17"/>
      <c r="FL220" s="24"/>
      <c r="FM220" s="60"/>
      <c r="FN220" s="16"/>
      <c r="FO220" s="16"/>
      <c r="FP220" s="16"/>
      <c r="FQ220" s="16"/>
      <c r="FR220" s="16"/>
      <c r="FS220" s="17"/>
      <c r="FW220" s="24"/>
      <c r="FX220" s="60"/>
      <c r="FY220" s="16"/>
      <c r="FZ220" s="16"/>
      <c r="GA220" s="16"/>
      <c r="GB220" s="16"/>
      <c r="GC220" s="16"/>
      <c r="GD220" s="17"/>
      <c r="GH220" s="24"/>
      <c r="GI220" s="60"/>
      <c r="GJ220" s="16"/>
      <c r="GK220" s="16"/>
      <c r="GL220" s="16"/>
      <c r="GM220" s="16"/>
      <c r="GN220" s="16"/>
      <c r="GO220" s="17"/>
      <c r="GS220" s="24"/>
      <c r="GT220" s="60"/>
      <c r="GU220" s="16"/>
      <c r="GV220" s="16"/>
      <c r="GW220" s="16"/>
      <c r="GX220" s="16"/>
      <c r="GY220" s="16"/>
      <c r="GZ220" s="17"/>
      <c r="HD220" s="24"/>
      <c r="HE220" s="60"/>
      <c r="HF220" s="16"/>
      <c r="HG220" s="16"/>
      <c r="HH220" s="16"/>
      <c r="HI220" s="16"/>
      <c r="HJ220" s="16"/>
      <c r="HK220" s="17"/>
      <c r="HO220" s="24"/>
      <c r="HP220" s="60"/>
      <c r="HQ220" s="16"/>
      <c r="HR220" s="16"/>
      <c r="HS220" s="16"/>
      <c r="HT220" s="16"/>
      <c r="HU220" s="16"/>
      <c r="HV220" s="17"/>
      <c r="HZ220" s="24"/>
      <c r="IA220" s="60"/>
      <c r="IB220" s="16"/>
      <c r="IC220" s="16"/>
      <c r="ID220" s="16"/>
      <c r="IE220" s="16"/>
      <c r="IF220" s="16"/>
      <c r="IG220" s="17"/>
      <c r="IK220" s="24"/>
      <c r="IL220" s="60"/>
      <c r="IM220" s="16"/>
      <c r="IN220" s="16"/>
      <c r="IO220" s="16"/>
      <c r="IP220" s="16"/>
      <c r="IQ220" s="16"/>
      <c r="IR220" s="17"/>
      <c r="IV220" s="24"/>
      <c r="IW220" s="60"/>
      <c r="IX220" s="16"/>
      <c r="IY220" s="16"/>
      <c r="IZ220" s="16"/>
      <c r="JA220" s="16"/>
      <c r="JB220" s="16"/>
      <c r="JC220" s="17"/>
      <c r="JG220" s="24"/>
      <c r="JH220" s="60"/>
      <c r="JI220" s="16"/>
      <c r="JJ220" s="16"/>
      <c r="JK220" s="16"/>
      <c r="JL220" s="16"/>
      <c r="JM220" s="16"/>
      <c r="JN220" s="17"/>
      <c r="JR220" s="24"/>
      <c r="JS220" s="60"/>
      <c r="JT220" s="16"/>
      <c r="JU220" s="16"/>
      <c r="JV220" s="16"/>
      <c r="JW220" s="16"/>
      <c r="JX220" s="16"/>
      <c r="JY220" s="17"/>
      <c r="KC220" s="24"/>
      <c r="KD220" s="60"/>
      <c r="KE220" s="16"/>
      <c r="KF220" s="16"/>
      <c r="KG220" s="16"/>
      <c r="KH220" s="16"/>
      <c r="KI220" s="16"/>
      <c r="KJ220" s="17"/>
      <c r="KN220" s="24"/>
      <c r="KO220" s="60"/>
      <c r="KP220" s="16"/>
      <c r="KQ220" s="16"/>
      <c r="KR220" s="16"/>
      <c r="KS220" s="16"/>
      <c r="KT220" s="16"/>
      <c r="KU220" s="17"/>
      <c r="KY220" s="24"/>
      <c r="KZ220" s="60"/>
      <c r="LA220" s="16"/>
      <c r="LB220" s="16"/>
      <c r="LC220" s="16"/>
      <c r="LD220" s="16"/>
      <c r="LE220" s="16"/>
      <c r="LF220" s="17"/>
      <c r="LJ220" s="24"/>
      <c r="LK220" s="60"/>
      <c r="LL220" s="16"/>
      <c r="LM220" s="16"/>
      <c r="LN220" s="16"/>
      <c r="LO220" s="16"/>
      <c r="LP220" s="16"/>
      <c r="LQ220" s="17"/>
    </row>
    <row r="221">
      <c r="C221" s="31"/>
      <c r="D221" s="61"/>
      <c r="E221" s="16"/>
      <c r="F221" s="16"/>
      <c r="G221" s="21"/>
      <c r="H221" s="16"/>
      <c r="I221" s="16"/>
      <c r="J221" s="17"/>
      <c r="N221" s="17"/>
      <c r="O221" s="61"/>
      <c r="P221" s="16"/>
      <c r="Q221" s="16"/>
      <c r="R221" s="16"/>
      <c r="S221" s="16"/>
      <c r="T221" s="16"/>
      <c r="U221" s="17"/>
      <c r="Y221" s="24"/>
      <c r="Z221" s="61"/>
      <c r="AA221" s="16"/>
      <c r="AB221" s="16"/>
      <c r="AC221" s="16"/>
      <c r="AD221" s="16"/>
      <c r="AE221" s="16"/>
      <c r="AF221" s="17"/>
      <c r="AJ221" s="24"/>
      <c r="AK221" s="61"/>
      <c r="AL221" s="16"/>
      <c r="AM221" s="16"/>
      <c r="AN221" s="16"/>
      <c r="AO221" s="16"/>
      <c r="AP221" s="16"/>
      <c r="AQ221" s="17"/>
      <c r="AU221" s="24"/>
      <c r="AV221" s="61"/>
      <c r="AW221" s="16"/>
      <c r="AX221" s="16"/>
      <c r="AY221" s="16"/>
      <c r="AZ221" s="16"/>
      <c r="BA221" s="16"/>
      <c r="BB221" s="17"/>
      <c r="BF221" s="24"/>
      <c r="BG221" s="61"/>
      <c r="BH221" s="16"/>
      <c r="BI221" s="16"/>
      <c r="BJ221" s="16"/>
      <c r="BK221" s="16"/>
      <c r="BL221" s="16"/>
      <c r="BM221" s="17"/>
      <c r="BQ221" s="24"/>
      <c r="BR221" s="61"/>
      <c r="BS221" s="16"/>
      <c r="BT221" s="16"/>
      <c r="BU221" s="16"/>
      <c r="BV221" s="16"/>
      <c r="BW221" s="16"/>
      <c r="BX221" s="17"/>
      <c r="CB221" s="24"/>
      <c r="CC221" s="61"/>
      <c r="CD221" s="16"/>
      <c r="CE221" s="16"/>
      <c r="CF221" s="16"/>
      <c r="CG221" s="16"/>
      <c r="CH221" s="16"/>
      <c r="CI221" s="17"/>
      <c r="CM221" s="24"/>
      <c r="CN221" s="61"/>
      <c r="CO221" s="16"/>
      <c r="CP221" s="16"/>
      <c r="CQ221" s="16"/>
      <c r="CR221" s="16"/>
      <c r="CS221" s="16"/>
      <c r="CT221" s="17"/>
      <c r="CX221" s="24"/>
      <c r="CY221" s="60"/>
      <c r="CZ221" s="16"/>
      <c r="DA221" s="16"/>
      <c r="DB221" s="16"/>
      <c r="DC221" s="16"/>
      <c r="DD221" s="16"/>
      <c r="DE221" s="17"/>
      <c r="DI221" s="24"/>
      <c r="DJ221" s="60"/>
      <c r="DK221" s="16"/>
      <c r="DL221" s="16"/>
      <c r="DM221" s="16"/>
      <c r="DN221" s="16"/>
      <c r="DO221" s="16"/>
      <c r="DP221" s="17"/>
      <c r="DT221" s="24"/>
      <c r="DU221" s="60"/>
      <c r="DV221" s="16"/>
      <c r="DW221" s="16"/>
      <c r="DX221" s="16"/>
      <c r="DY221" s="16"/>
      <c r="DZ221" s="16"/>
      <c r="EA221" s="17"/>
      <c r="EE221" s="24"/>
      <c r="EF221" s="60"/>
      <c r="EG221" s="16"/>
      <c r="EH221" s="16"/>
      <c r="EI221" s="16"/>
      <c r="EJ221" s="16"/>
      <c r="EK221" s="16"/>
      <c r="EL221" s="17"/>
      <c r="EP221" s="24"/>
      <c r="EQ221" s="60"/>
      <c r="ER221" s="16"/>
      <c r="ES221" s="16"/>
      <c r="ET221" s="16"/>
      <c r="EU221" s="16"/>
      <c r="EV221" s="16"/>
      <c r="EW221" s="17"/>
      <c r="FA221" s="24"/>
      <c r="FB221" s="60"/>
      <c r="FC221" s="16"/>
      <c r="FD221" s="16"/>
      <c r="FE221" s="16"/>
      <c r="FF221" s="16"/>
      <c r="FG221" s="16"/>
      <c r="FH221" s="17"/>
      <c r="FL221" s="24"/>
      <c r="FM221" s="60"/>
      <c r="FN221" s="16"/>
      <c r="FO221" s="16"/>
      <c r="FP221" s="16"/>
      <c r="FQ221" s="16"/>
      <c r="FR221" s="16"/>
      <c r="FS221" s="17"/>
      <c r="FW221" s="24"/>
      <c r="FX221" s="60"/>
      <c r="FY221" s="16"/>
      <c r="FZ221" s="16"/>
      <c r="GA221" s="16"/>
      <c r="GB221" s="16"/>
      <c r="GC221" s="16"/>
      <c r="GD221" s="17"/>
      <c r="GH221" s="24"/>
      <c r="GI221" s="60"/>
      <c r="GJ221" s="16"/>
      <c r="GK221" s="16"/>
      <c r="GL221" s="16"/>
      <c r="GM221" s="16"/>
      <c r="GN221" s="16"/>
      <c r="GO221" s="17"/>
      <c r="GS221" s="24"/>
      <c r="GT221" s="60"/>
      <c r="GU221" s="16"/>
      <c r="GV221" s="16"/>
      <c r="GW221" s="16"/>
      <c r="GX221" s="16"/>
      <c r="GY221" s="16"/>
      <c r="GZ221" s="17"/>
      <c r="HD221" s="24"/>
      <c r="HE221" s="60"/>
      <c r="HF221" s="16"/>
      <c r="HG221" s="16"/>
      <c r="HH221" s="16"/>
      <c r="HI221" s="16"/>
      <c r="HJ221" s="16"/>
      <c r="HK221" s="17"/>
      <c r="HO221" s="24"/>
      <c r="HP221" s="60"/>
      <c r="HQ221" s="16"/>
      <c r="HR221" s="16"/>
      <c r="HS221" s="16"/>
      <c r="HT221" s="16"/>
      <c r="HU221" s="16"/>
      <c r="HV221" s="17"/>
      <c r="HZ221" s="24"/>
      <c r="IA221" s="60"/>
      <c r="IB221" s="16"/>
      <c r="IC221" s="16"/>
      <c r="ID221" s="16"/>
      <c r="IE221" s="16"/>
      <c r="IF221" s="16"/>
      <c r="IG221" s="17"/>
      <c r="IK221" s="24"/>
      <c r="IL221" s="60"/>
      <c r="IM221" s="16"/>
      <c r="IN221" s="16"/>
      <c r="IO221" s="16"/>
      <c r="IP221" s="16"/>
      <c r="IQ221" s="16"/>
      <c r="IR221" s="17"/>
      <c r="IV221" s="24"/>
      <c r="IW221" s="60"/>
      <c r="IX221" s="16"/>
      <c r="IY221" s="16"/>
      <c r="IZ221" s="16"/>
      <c r="JA221" s="16"/>
      <c r="JB221" s="16"/>
      <c r="JC221" s="17"/>
      <c r="JG221" s="24"/>
      <c r="JH221" s="60"/>
      <c r="JI221" s="16"/>
      <c r="JJ221" s="16"/>
      <c r="JK221" s="16"/>
      <c r="JL221" s="16"/>
      <c r="JM221" s="16"/>
      <c r="JN221" s="17"/>
      <c r="JR221" s="24"/>
      <c r="JS221" s="60"/>
      <c r="JT221" s="16"/>
      <c r="JU221" s="16"/>
      <c r="JV221" s="16"/>
      <c r="JW221" s="16"/>
      <c r="JX221" s="16"/>
      <c r="JY221" s="17"/>
      <c r="KC221" s="24"/>
      <c r="KD221" s="60"/>
      <c r="KE221" s="16"/>
      <c r="KF221" s="16"/>
      <c r="KG221" s="16"/>
      <c r="KH221" s="16"/>
      <c r="KI221" s="16"/>
      <c r="KJ221" s="17"/>
      <c r="KN221" s="24"/>
      <c r="KO221" s="60"/>
      <c r="KP221" s="16"/>
      <c r="KQ221" s="16"/>
      <c r="KR221" s="16"/>
      <c r="KS221" s="16"/>
      <c r="KT221" s="16"/>
      <c r="KU221" s="17"/>
      <c r="KY221" s="24"/>
      <c r="KZ221" s="60"/>
      <c r="LA221" s="16"/>
      <c r="LB221" s="16"/>
      <c r="LC221" s="16"/>
      <c r="LD221" s="16"/>
      <c r="LE221" s="16"/>
      <c r="LF221" s="17"/>
      <c r="LJ221" s="24"/>
      <c r="LK221" s="60"/>
      <c r="LL221" s="16"/>
      <c r="LM221" s="16"/>
      <c r="LN221" s="16"/>
      <c r="LO221" s="16"/>
      <c r="LP221" s="16"/>
      <c r="LQ221" s="17"/>
    </row>
    <row r="222">
      <c r="C222" s="31"/>
      <c r="D222" s="61"/>
      <c r="E222" s="16"/>
      <c r="F222" s="16"/>
      <c r="G222" s="21"/>
      <c r="H222" s="16"/>
      <c r="I222" s="16"/>
      <c r="J222" s="17"/>
      <c r="N222" s="17"/>
      <c r="O222" s="61"/>
      <c r="P222" s="16"/>
      <c r="Q222" s="16"/>
      <c r="R222" s="16"/>
      <c r="S222" s="16"/>
      <c r="T222" s="16"/>
      <c r="U222" s="17"/>
      <c r="Y222" s="24"/>
      <c r="Z222" s="61"/>
      <c r="AA222" s="16"/>
      <c r="AB222" s="16"/>
      <c r="AC222" s="16"/>
      <c r="AD222" s="16"/>
      <c r="AE222" s="16"/>
      <c r="AF222" s="17"/>
      <c r="AJ222" s="24"/>
      <c r="AK222" s="61"/>
      <c r="AL222" s="16"/>
      <c r="AM222" s="16"/>
      <c r="AN222" s="16"/>
      <c r="AO222" s="16"/>
      <c r="AP222" s="16"/>
      <c r="AQ222" s="17"/>
      <c r="AU222" s="24"/>
      <c r="AV222" s="61"/>
      <c r="AW222" s="16"/>
      <c r="AX222" s="16"/>
      <c r="AY222" s="16"/>
      <c r="AZ222" s="16"/>
      <c r="BA222" s="16"/>
      <c r="BB222" s="17"/>
      <c r="BF222" s="24"/>
      <c r="BG222" s="61"/>
      <c r="BH222" s="16"/>
      <c r="BI222" s="16"/>
      <c r="BJ222" s="16"/>
      <c r="BK222" s="16"/>
      <c r="BL222" s="16"/>
      <c r="BM222" s="17"/>
      <c r="BQ222" s="24"/>
      <c r="BR222" s="61"/>
      <c r="BS222" s="16"/>
      <c r="BT222" s="16"/>
      <c r="BU222" s="16"/>
      <c r="BV222" s="16"/>
      <c r="BW222" s="16"/>
      <c r="BX222" s="17"/>
      <c r="CB222" s="24"/>
      <c r="CC222" s="61"/>
      <c r="CD222" s="16"/>
      <c r="CE222" s="16"/>
      <c r="CF222" s="16"/>
      <c r="CG222" s="16"/>
      <c r="CH222" s="16"/>
      <c r="CI222" s="17"/>
      <c r="CM222" s="24"/>
      <c r="CN222" s="61"/>
      <c r="CO222" s="16"/>
      <c r="CP222" s="16"/>
      <c r="CQ222" s="16"/>
      <c r="CR222" s="16"/>
      <c r="CS222" s="16"/>
      <c r="CT222" s="17"/>
      <c r="CX222" s="24"/>
      <c r="CY222" s="60"/>
      <c r="CZ222" s="16"/>
      <c r="DA222" s="16"/>
      <c r="DB222" s="16"/>
      <c r="DC222" s="16"/>
      <c r="DD222" s="16"/>
      <c r="DE222" s="17"/>
      <c r="DI222" s="24"/>
      <c r="DJ222" s="60"/>
      <c r="DK222" s="16"/>
      <c r="DL222" s="16"/>
      <c r="DM222" s="16"/>
      <c r="DN222" s="16"/>
      <c r="DO222" s="16"/>
      <c r="DP222" s="17"/>
      <c r="DT222" s="24"/>
      <c r="DU222" s="60"/>
      <c r="DV222" s="16"/>
      <c r="DW222" s="16"/>
      <c r="DX222" s="16"/>
      <c r="DY222" s="16"/>
      <c r="DZ222" s="16"/>
      <c r="EA222" s="17"/>
      <c r="EE222" s="24"/>
      <c r="EF222" s="60"/>
      <c r="EG222" s="16"/>
      <c r="EH222" s="16"/>
      <c r="EI222" s="16"/>
      <c r="EJ222" s="16"/>
      <c r="EK222" s="16"/>
      <c r="EL222" s="17"/>
      <c r="EP222" s="24"/>
      <c r="EQ222" s="60"/>
      <c r="ER222" s="16"/>
      <c r="ES222" s="16"/>
      <c r="ET222" s="16"/>
      <c r="EU222" s="16"/>
      <c r="EV222" s="16"/>
      <c r="EW222" s="17"/>
      <c r="FA222" s="24"/>
      <c r="FB222" s="60"/>
      <c r="FC222" s="16"/>
      <c r="FD222" s="16"/>
      <c r="FE222" s="16"/>
      <c r="FF222" s="16"/>
      <c r="FG222" s="16"/>
      <c r="FH222" s="17"/>
      <c r="FL222" s="24"/>
      <c r="FM222" s="60"/>
      <c r="FN222" s="16"/>
      <c r="FO222" s="16"/>
      <c r="FP222" s="16"/>
      <c r="FQ222" s="16"/>
      <c r="FR222" s="16"/>
      <c r="FS222" s="17"/>
      <c r="FW222" s="24"/>
      <c r="FX222" s="60"/>
      <c r="FY222" s="16"/>
      <c r="FZ222" s="16"/>
      <c r="GA222" s="16"/>
      <c r="GB222" s="16"/>
      <c r="GC222" s="16"/>
      <c r="GD222" s="17"/>
      <c r="GH222" s="24"/>
      <c r="GI222" s="60"/>
      <c r="GJ222" s="16"/>
      <c r="GK222" s="16"/>
      <c r="GL222" s="16"/>
      <c r="GM222" s="16"/>
      <c r="GN222" s="16"/>
      <c r="GO222" s="17"/>
      <c r="GS222" s="24"/>
      <c r="GT222" s="60"/>
      <c r="GU222" s="16"/>
      <c r="GV222" s="16"/>
      <c r="GW222" s="16"/>
      <c r="GX222" s="16"/>
      <c r="GY222" s="16"/>
      <c r="GZ222" s="17"/>
      <c r="HD222" s="24"/>
      <c r="HE222" s="60"/>
      <c r="HF222" s="16"/>
      <c r="HG222" s="16"/>
      <c r="HH222" s="16"/>
      <c r="HI222" s="16"/>
      <c r="HJ222" s="16"/>
      <c r="HK222" s="17"/>
      <c r="HO222" s="24"/>
      <c r="HP222" s="60"/>
      <c r="HQ222" s="16"/>
      <c r="HR222" s="16"/>
      <c r="HS222" s="16"/>
      <c r="HT222" s="16"/>
      <c r="HU222" s="16"/>
      <c r="HV222" s="17"/>
      <c r="HZ222" s="24"/>
      <c r="IA222" s="60"/>
      <c r="IB222" s="16"/>
      <c r="IC222" s="16"/>
      <c r="ID222" s="16"/>
      <c r="IE222" s="16"/>
      <c r="IF222" s="16"/>
      <c r="IG222" s="17"/>
      <c r="IK222" s="24"/>
      <c r="IL222" s="60"/>
      <c r="IM222" s="16"/>
      <c r="IN222" s="16"/>
      <c r="IO222" s="16"/>
      <c r="IP222" s="16"/>
      <c r="IQ222" s="16"/>
      <c r="IR222" s="17"/>
      <c r="IV222" s="24"/>
      <c r="IW222" s="60"/>
      <c r="IX222" s="16"/>
      <c r="IY222" s="16"/>
      <c r="IZ222" s="16"/>
      <c r="JA222" s="16"/>
      <c r="JB222" s="16"/>
      <c r="JC222" s="17"/>
      <c r="JG222" s="24"/>
      <c r="JH222" s="60"/>
      <c r="JI222" s="16"/>
      <c r="JJ222" s="16"/>
      <c r="JK222" s="16"/>
      <c r="JL222" s="16"/>
      <c r="JM222" s="16"/>
      <c r="JN222" s="17"/>
      <c r="JR222" s="24"/>
      <c r="JS222" s="60"/>
      <c r="JT222" s="16"/>
      <c r="JU222" s="16"/>
      <c r="JV222" s="16"/>
      <c r="JW222" s="16"/>
      <c r="JX222" s="16"/>
      <c r="JY222" s="17"/>
      <c r="KC222" s="24"/>
      <c r="KD222" s="60"/>
      <c r="KE222" s="16"/>
      <c r="KF222" s="16"/>
      <c r="KG222" s="16"/>
      <c r="KH222" s="16"/>
      <c r="KI222" s="16"/>
      <c r="KJ222" s="17"/>
      <c r="KN222" s="24"/>
      <c r="KO222" s="60"/>
      <c r="KP222" s="16"/>
      <c r="KQ222" s="16"/>
      <c r="KR222" s="16"/>
      <c r="KS222" s="16"/>
      <c r="KT222" s="16"/>
      <c r="KU222" s="17"/>
      <c r="KY222" s="24"/>
      <c r="KZ222" s="60"/>
      <c r="LA222" s="16"/>
      <c r="LB222" s="16"/>
      <c r="LC222" s="16"/>
      <c r="LD222" s="16"/>
      <c r="LE222" s="16"/>
      <c r="LF222" s="17"/>
      <c r="LJ222" s="24"/>
      <c r="LK222" s="60"/>
      <c r="LL222" s="16"/>
      <c r="LM222" s="16"/>
      <c r="LN222" s="16"/>
      <c r="LO222" s="16"/>
      <c r="LP222" s="16"/>
      <c r="LQ222" s="17"/>
    </row>
    <row r="223">
      <c r="C223" s="31"/>
      <c r="D223" s="61"/>
      <c r="E223" s="16"/>
      <c r="F223" s="16"/>
      <c r="G223" s="21"/>
      <c r="H223" s="16"/>
      <c r="I223" s="16"/>
      <c r="J223" s="17"/>
      <c r="N223" s="17"/>
      <c r="O223" s="61"/>
      <c r="P223" s="16"/>
      <c r="Q223" s="16"/>
      <c r="R223" s="16"/>
      <c r="S223" s="16"/>
      <c r="T223" s="16"/>
      <c r="U223" s="17"/>
      <c r="Y223" s="24"/>
      <c r="Z223" s="61"/>
      <c r="AA223" s="16"/>
      <c r="AB223" s="16"/>
      <c r="AC223" s="16"/>
      <c r="AD223" s="16"/>
      <c r="AE223" s="16"/>
      <c r="AF223" s="17"/>
      <c r="AJ223" s="24"/>
      <c r="AK223" s="61"/>
      <c r="AL223" s="16"/>
      <c r="AM223" s="16"/>
      <c r="AN223" s="16"/>
      <c r="AO223" s="16"/>
      <c r="AP223" s="16"/>
      <c r="AQ223" s="17"/>
      <c r="AU223" s="24"/>
      <c r="AV223" s="61"/>
      <c r="AW223" s="16"/>
      <c r="AX223" s="16"/>
      <c r="AY223" s="16"/>
      <c r="AZ223" s="16"/>
      <c r="BA223" s="16"/>
      <c r="BB223" s="17"/>
      <c r="BF223" s="24"/>
      <c r="BG223" s="61"/>
      <c r="BH223" s="16"/>
      <c r="BI223" s="16"/>
      <c r="BJ223" s="16"/>
      <c r="BK223" s="16"/>
      <c r="BL223" s="16"/>
      <c r="BM223" s="17"/>
      <c r="BQ223" s="24"/>
      <c r="BR223" s="61"/>
      <c r="BS223" s="16"/>
      <c r="BT223" s="16"/>
      <c r="BU223" s="16"/>
      <c r="BV223" s="16"/>
      <c r="BW223" s="16"/>
      <c r="BX223" s="17"/>
      <c r="CB223" s="24"/>
      <c r="CC223" s="61"/>
      <c r="CD223" s="16"/>
      <c r="CE223" s="16"/>
      <c r="CF223" s="16"/>
      <c r="CG223" s="16"/>
      <c r="CH223" s="16"/>
      <c r="CI223" s="17"/>
      <c r="CM223" s="24"/>
      <c r="CN223" s="61"/>
      <c r="CO223" s="16"/>
      <c r="CP223" s="16"/>
      <c r="CQ223" s="16"/>
      <c r="CR223" s="16"/>
      <c r="CS223" s="16"/>
      <c r="CT223" s="17"/>
      <c r="CX223" s="24"/>
      <c r="CY223" s="60"/>
      <c r="CZ223" s="16"/>
      <c r="DA223" s="16"/>
      <c r="DB223" s="16"/>
      <c r="DC223" s="16"/>
      <c r="DD223" s="16"/>
      <c r="DE223" s="17"/>
      <c r="DI223" s="24"/>
      <c r="DJ223" s="60"/>
      <c r="DK223" s="16"/>
      <c r="DL223" s="16"/>
      <c r="DM223" s="16"/>
      <c r="DN223" s="16"/>
      <c r="DO223" s="16"/>
      <c r="DP223" s="17"/>
      <c r="DT223" s="24"/>
      <c r="DU223" s="60"/>
      <c r="DV223" s="16"/>
      <c r="DW223" s="16"/>
      <c r="DX223" s="16"/>
      <c r="DY223" s="16"/>
      <c r="DZ223" s="16"/>
      <c r="EA223" s="17"/>
      <c r="EE223" s="24"/>
      <c r="EF223" s="60"/>
      <c r="EG223" s="16"/>
      <c r="EH223" s="16"/>
      <c r="EI223" s="16"/>
      <c r="EJ223" s="16"/>
      <c r="EK223" s="16"/>
      <c r="EL223" s="17"/>
      <c r="EP223" s="24"/>
      <c r="EQ223" s="60"/>
      <c r="ER223" s="16"/>
      <c r="ES223" s="16"/>
      <c r="ET223" s="16"/>
      <c r="EU223" s="16"/>
      <c r="EV223" s="16"/>
      <c r="EW223" s="17"/>
      <c r="FA223" s="24"/>
      <c r="FB223" s="60"/>
      <c r="FC223" s="16"/>
      <c r="FD223" s="16"/>
      <c r="FE223" s="16"/>
      <c r="FF223" s="16"/>
      <c r="FG223" s="16"/>
      <c r="FH223" s="17"/>
      <c r="FL223" s="24"/>
      <c r="FM223" s="60"/>
      <c r="FN223" s="16"/>
      <c r="FO223" s="16"/>
      <c r="FP223" s="16"/>
      <c r="FQ223" s="16"/>
      <c r="FR223" s="16"/>
      <c r="FS223" s="17"/>
      <c r="FW223" s="24"/>
      <c r="FX223" s="60"/>
      <c r="FY223" s="16"/>
      <c r="FZ223" s="16"/>
      <c r="GA223" s="16"/>
      <c r="GB223" s="16"/>
      <c r="GC223" s="16"/>
      <c r="GD223" s="17"/>
      <c r="GH223" s="24"/>
      <c r="GI223" s="60"/>
      <c r="GJ223" s="16"/>
      <c r="GK223" s="16"/>
      <c r="GL223" s="16"/>
      <c r="GM223" s="16"/>
      <c r="GN223" s="16"/>
      <c r="GO223" s="17"/>
      <c r="GS223" s="24"/>
      <c r="GT223" s="60"/>
      <c r="GU223" s="16"/>
      <c r="GV223" s="16"/>
      <c r="GW223" s="16"/>
      <c r="GX223" s="16"/>
      <c r="GY223" s="16"/>
      <c r="GZ223" s="17"/>
      <c r="HD223" s="24"/>
      <c r="HE223" s="60"/>
      <c r="HF223" s="16"/>
      <c r="HG223" s="16"/>
      <c r="HH223" s="16"/>
      <c r="HI223" s="16"/>
      <c r="HJ223" s="16"/>
      <c r="HK223" s="17"/>
      <c r="HO223" s="24"/>
      <c r="HP223" s="60"/>
      <c r="HQ223" s="16"/>
      <c r="HR223" s="16"/>
      <c r="HS223" s="16"/>
      <c r="HT223" s="16"/>
      <c r="HU223" s="16"/>
      <c r="HV223" s="17"/>
      <c r="HZ223" s="24"/>
      <c r="IA223" s="60"/>
      <c r="IB223" s="16"/>
      <c r="IC223" s="16"/>
      <c r="ID223" s="16"/>
      <c r="IE223" s="16"/>
      <c r="IF223" s="16"/>
      <c r="IG223" s="17"/>
      <c r="IK223" s="24"/>
      <c r="IL223" s="60"/>
      <c r="IM223" s="16"/>
      <c r="IN223" s="16"/>
      <c r="IO223" s="16"/>
      <c r="IP223" s="16"/>
      <c r="IQ223" s="16"/>
      <c r="IR223" s="17"/>
      <c r="IV223" s="24"/>
      <c r="IW223" s="60"/>
      <c r="IX223" s="16"/>
      <c r="IY223" s="16"/>
      <c r="IZ223" s="16"/>
      <c r="JA223" s="16"/>
      <c r="JB223" s="16"/>
      <c r="JC223" s="17"/>
      <c r="JG223" s="24"/>
      <c r="JH223" s="60"/>
      <c r="JI223" s="16"/>
      <c r="JJ223" s="16"/>
      <c r="JK223" s="16"/>
      <c r="JL223" s="16"/>
      <c r="JM223" s="16"/>
      <c r="JN223" s="17"/>
      <c r="JR223" s="24"/>
      <c r="JS223" s="60"/>
      <c r="JT223" s="16"/>
      <c r="JU223" s="16"/>
      <c r="JV223" s="16"/>
      <c r="JW223" s="16"/>
      <c r="JX223" s="16"/>
      <c r="JY223" s="17"/>
      <c r="KC223" s="24"/>
      <c r="KD223" s="60"/>
      <c r="KE223" s="16"/>
      <c r="KF223" s="16"/>
      <c r="KG223" s="16"/>
      <c r="KH223" s="16"/>
      <c r="KI223" s="16"/>
      <c r="KJ223" s="17"/>
      <c r="KN223" s="24"/>
      <c r="KO223" s="60"/>
      <c r="KP223" s="16"/>
      <c r="KQ223" s="16"/>
      <c r="KR223" s="16"/>
      <c r="KS223" s="16"/>
      <c r="KT223" s="16"/>
      <c r="KU223" s="17"/>
      <c r="KY223" s="24"/>
      <c r="KZ223" s="60"/>
      <c r="LA223" s="16"/>
      <c r="LB223" s="16"/>
      <c r="LC223" s="16"/>
      <c r="LD223" s="16"/>
      <c r="LE223" s="16"/>
      <c r="LF223" s="17"/>
      <c r="LJ223" s="24"/>
      <c r="LK223" s="60"/>
      <c r="LL223" s="16"/>
      <c r="LM223" s="16"/>
      <c r="LN223" s="16"/>
      <c r="LO223" s="16"/>
      <c r="LP223" s="16"/>
      <c r="LQ223" s="17"/>
    </row>
    <row r="224">
      <c r="C224" s="31"/>
      <c r="D224" s="61"/>
      <c r="E224" s="16"/>
      <c r="F224" s="16"/>
      <c r="G224" s="21"/>
      <c r="H224" s="16"/>
      <c r="I224" s="16"/>
      <c r="J224" s="17"/>
      <c r="N224" s="17"/>
      <c r="O224" s="61"/>
      <c r="P224" s="16"/>
      <c r="Q224" s="16"/>
      <c r="R224" s="16"/>
      <c r="S224" s="16"/>
      <c r="T224" s="16"/>
      <c r="U224" s="17"/>
      <c r="Y224" s="24"/>
      <c r="Z224" s="61"/>
      <c r="AA224" s="16"/>
      <c r="AB224" s="16"/>
      <c r="AC224" s="16"/>
      <c r="AD224" s="16"/>
      <c r="AE224" s="16"/>
      <c r="AF224" s="17"/>
      <c r="AJ224" s="24"/>
      <c r="AK224" s="61"/>
      <c r="AL224" s="16"/>
      <c r="AM224" s="16"/>
      <c r="AN224" s="16"/>
      <c r="AO224" s="16"/>
      <c r="AP224" s="16"/>
      <c r="AQ224" s="17"/>
      <c r="AU224" s="24"/>
      <c r="AV224" s="61"/>
      <c r="AW224" s="16"/>
      <c r="AX224" s="16"/>
      <c r="AY224" s="16"/>
      <c r="AZ224" s="16"/>
      <c r="BA224" s="16"/>
      <c r="BB224" s="17"/>
      <c r="BF224" s="24"/>
      <c r="BG224" s="61"/>
      <c r="BH224" s="16"/>
      <c r="BI224" s="16"/>
      <c r="BJ224" s="16"/>
      <c r="BK224" s="16"/>
      <c r="BL224" s="16"/>
      <c r="BM224" s="17"/>
      <c r="BQ224" s="24"/>
      <c r="BR224" s="61"/>
      <c r="BS224" s="16"/>
      <c r="BT224" s="16"/>
      <c r="BU224" s="16"/>
      <c r="BV224" s="16"/>
      <c r="BW224" s="16"/>
      <c r="BX224" s="17"/>
      <c r="CB224" s="24"/>
      <c r="CC224" s="61"/>
      <c r="CD224" s="16"/>
      <c r="CE224" s="16"/>
      <c r="CF224" s="16"/>
      <c r="CG224" s="16"/>
      <c r="CH224" s="16"/>
      <c r="CI224" s="17"/>
      <c r="CM224" s="24"/>
      <c r="CN224" s="61"/>
      <c r="CO224" s="16"/>
      <c r="CP224" s="16"/>
      <c r="CQ224" s="16"/>
      <c r="CR224" s="16"/>
      <c r="CS224" s="16"/>
      <c r="CT224" s="17"/>
      <c r="CX224" s="24"/>
      <c r="CY224" s="60"/>
      <c r="CZ224" s="16"/>
      <c r="DA224" s="16"/>
      <c r="DB224" s="16"/>
      <c r="DC224" s="16"/>
      <c r="DD224" s="16"/>
      <c r="DE224" s="17"/>
      <c r="DI224" s="24"/>
      <c r="DJ224" s="60"/>
      <c r="DK224" s="16"/>
      <c r="DL224" s="16"/>
      <c r="DM224" s="16"/>
      <c r="DN224" s="16"/>
      <c r="DO224" s="16"/>
      <c r="DP224" s="17"/>
      <c r="DT224" s="24"/>
      <c r="DU224" s="60"/>
      <c r="DV224" s="16"/>
      <c r="DW224" s="16"/>
      <c r="DX224" s="16"/>
      <c r="DY224" s="16"/>
      <c r="DZ224" s="16"/>
      <c r="EA224" s="17"/>
      <c r="EE224" s="24"/>
      <c r="EF224" s="60"/>
      <c r="EG224" s="16"/>
      <c r="EH224" s="16"/>
      <c r="EI224" s="16"/>
      <c r="EJ224" s="16"/>
      <c r="EK224" s="16"/>
      <c r="EL224" s="17"/>
      <c r="EP224" s="24"/>
      <c r="EQ224" s="60"/>
      <c r="ER224" s="16"/>
      <c r="ES224" s="16"/>
      <c r="ET224" s="16"/>
      <c r="EU224" s="16"/>
      <c r="EV224" s="16"/>
      <c r="EW224" s="17"/>
      <c r="FA224" s="24"/>
      <c r="FB224" s="60"/>
      <c r="FC224" s="16"/>
      <c r="FD224" s="16"/>
      <c r="FE224" s="16"/>
      <c r="FF224" s="16"/>
      <c r="FG224" s="16"/>
      <c r="FH224" s="17"/>
      <c r="FL224" s="24"/>
      <c r="FM224" s="60"/>
      <c r="FN224" s="16"/>
      <c r="FO224" s="16"/>
      <c r="FP224" s="16"/>
      <c r="FQ224" s="16"/>
      <c r="FR224" s="16"/>
      <c r="FS224" s="17"/>
      <c r="FW224" s="24"/>
      <c r="FX224" s="60"/>
      <c r="FY224" s="16"/>
      <c r="FZ224" s="16"/>
      <c r="GA224" s="16"/>
      <c r="GB224" s="16"/>
      <c r="GC224" s="16"/>
      <c r="GD224" s="17"/>
      <c r="GH224" s="24"/>
      <c r="GI224" s="60"/>
      <c r="GJ224" s="16"/>
      <c r="GK224" s="16"/>
      <c r="GL224" s="16"/>
      <c r="GM224" s="16"/>
      <c r="GN224" s="16"/>
      <c r="GO224" s="17"/>
      <c r="GS224" s="24"/>
      <c r="GT224" s="60"/>
      <c r="GU224" s="16"/>
      <c r="GV224" s="16"/>
      <c r="GW224" s="16"/>
      <c r="GX224" s="16"/>
      <c r="GY224" s="16"/>
      <c r="GZ224" s="17"/>
      <c r="HD224" s="24"/>
      <c r="HE224" s="60"/>
      <c r="HF224" s="16"/>
      <c r="HG224" s="16"/>
      <c r="HH224" s="16"/>
      <c r="HI224" s="16"/>
      <c r="HJ224" s="16"/>
      <c r="HK224" s="17"/>
      <c r="HO224" s="24"/>
      <c r="HP224" s="60"/>
      <c r="HQ224" s="16"/>
      <c r="HR224" s="16"/>
      <c r="HS224" s="16"/>
      <c r="HT224" s="16"/>
      <c r="HU224" s="16"/>
      <c r="HV224" s="17"/>
      <c r="HZ224" s="24"/>
      <c r="IA224" s="60"/>
      <c r="IB224" s="16"/>
      <c r="IC224" s="16"/>
      <c r="ID224" s="16"/>
      <c r="IE224" s="16"/>
      <c r="IF224" s="16"/>
      <c r="IG224" s="17"/>
      <c r="IK224" s="24"/>
      <c r="IL224" s="60"/>
      <c r="IM224" s="16"/>
      <c r="IN224" s="16"/>
      <c r="IO224" s="16"/>
      <c r="IP224" s="16"/>
      <c r="IQ224" s="16"/>
      <c r="IR224" s="17"/>
      <c r="IV224" s="24"/>
      <c r="IW224" s="60"/>
      <c r="IX224" s="16"/>
      <c r="IY224" s="16"/>
      <c r="IZ224" s="16"/>
      <c r="JA224" s="16"/>
      <c r="JB224" s="16"/>
      <c r="JC224" s="17"/>
      <c r="JG224" s="24"/>
      <c r="JH224" s="60"/>
      <c r="JI224" s="16"/>
      <c r="JJ224" s="16"/>
      <c r="JK224" s="16"/>
      <c r="JL224" s="16"/>
      <c r="JM224" s="16"/>
      <c r="JN224" s="17"/>
      <c r="JR224" s="24"/>
      <c r="JS224" s="60"/>
      <c r="JT224" s="16"/>
      <c r="JU224" s="16"/>
      <c r="JV224" s="16"/>
      <c r="JW224" s="16"/>
      <c r="JX224" s="16"/>
      <c r="JY224" s="17"/>
      <c r="KC224" s="24"/>
      <c r="KD224" s="60"/>
      <c r="KE224" s="16"/>
      <c r="KF224" s="16"/>
      <c r="KG224" s="16"/>
      <c r="KH224" s="16"/>
      <c r="KI224" s="16"/>
      <c r="KJ224" s="17"/>
      <c r="KN224" s="24"/>
      <c r="KO224" s="60"/>
      <c r="KP224" s="16"/>
      <c r="KQ224" s="16"/>
      <c r="KR224" s="16"/>
      <c r="KS224" s="16"/>
      <c r="KT224" s="16"/>
      <c r="KU224" s="17"/>
      <c r="KY224" s="24"/>
      <c r="KZ224" s="60"/>
      <c r="LA224" s="16"/>
      <c r="LB224" s="16"/>
      <c r="LC224" s="16"/>
      <c r="LD224" s="16"/>
      <c r="LE224" s="16"/>
      <c r="LF224" s="17"/>
      <c r="LJ224" s="24"/>
      <c r="LK224" s="60"/>
      <c r="LL224" s="16"/>
      <c r="LM224" s="16"/>
      <c r="LN224" s="16"/>
      <c r="LO224" s="16"/>
      <c r="LP224" s="16"/>
      <c r="LQ224" s="17"/>
    </row>
    <row r="225">
      <c r="C225" s="31"/>
      <c r="D225" s="61"/>
      <c r="E225" s="16"/>
      <c r="F225" s="16"/>
      <c r="G225" s="21"/>
      <c r="H225" s="16"/>
      <c r="I225" s="16"/>
      <c r="J225" s="17"/>
      <c r="N225" s="17"/>
      <c r="O225" s="61"/>
      <c r="P225" s="16"/>
      <c r="Q225" s="16"/>
      <c r="R225" s="16"/>
      <c r="S225" s="16"/>
      <c r="T225" s="16"/>
      <c r="U225" s="17"/>
      <c r="Y225" s="24"/>
      <c r="Z225" s="61"/>
      <c r="AA225" s="16"/>
      <c r="AB225" s="16"/>
      <c r="AC225" s="16"/>
      <c r="AD225" s="16"/>
      <c r="AE225" s="16"/>
      <c r="AF225" s="17"/>
      <c r="AJ225" s="24"/>
      <c r="AK225" s="61"/>
      <c r="AL225" s="16"/>
      <c r="AM225" s="16"/>
      <c r="AN225" s="16"/>
      <c r="AO225" s="16"/>
      <c r="AP225" s="16"/>
      <c r="AQ225" s="17"/>
      <c r="AU225" s="24"/>
      <c r="AV225" s="61"/>
      <c r="AW225" s="16"/>
      <c r="AX225" s="16"/>
      <c r="AY225" s="16"/>
      <c r="AZ225" s="16"/>
      <c r="BA225" s="16"/>
      <c r="BB225" s="17"/>
      <c r="BF225" s="24"/>
      <c r="BG225" s="61"/>
      <c r="BH225" s="16"/>
      <c r="BI225" s="16"/>
      <c r="BJ225" s="16"/>
      <c r="BK225" s="16"/>
      <c r="BL225" s="16"/>
      <c r="BM225" s="17"/>
      <c r="BQ225" s="24"/>
      <c r="BR225" s="61"/>
      <c r="BS225" s="16"/>
      <c r="BT225" s="16"/>
      <c r="BU225" s="16"/>
      <c r="BV225" s="16"/>
      <c r="BW225" s="16"/>
      <c r="BX225" s="17"/>
      <c r="CB225" s="24"/>
      <c r="CC225" s="61"/>
      <c r="CD225" s="16"/>
      <c r="CE225" s="16"/>
      <c r="CF225" s="16"/>
      <c r="CG225" s="16"/>
      <c r="CH225" s="16"/>
      <c r="CI225" s="17"/>
      <c r="CM225" s="24"/>
      <c r="CN225" s="61"/>
      <c r="CO225" s="16"/>
      <c r="CP225" s="16"/>
      <c r="CQ225" s="16"/>
      <c r="CR225" s="16"/>
      <c r="CS225" s="16"/>
      <c r="CT225" s="17"/>
      <c r="CX225" s="24"/>
      <c r="CY225" s="60"/>
      <c r="CZ225" s="16"/>
      <c r="DA225" s="16"/>
      <c r="DB225" s="16"/>
      <c r="DC225" s="16"/>
      <c r="DD225" s="16"/>
      <c r="DE225" s="17"/>
      <c r="DI225" s="24"/>
      <c r="DJ225" s="60"/>
      <c r="DK225" s="16"/>
      <c r="DL225" s="16"/>
      <c r="DM225" s="16"/>
      <c r="DN225" s="16"/>
      <c r="DO225" s="16"/>
      <c r="DP225" s="17"/>
      <c r="DT225" s="24"/>
      <c r="DU225" s="60"/>
      <c r="DV225" s="16"/>
      <c r="DW225" s="16"/>
      <c r="DX225" s="16"/>
      <c r="DY225" s="16"/>
      <c r="DZ225" s="16"/>
      <c r="EA225" s="17"/>
      <c r="EE225" s="24"/>
      <c r="EF225" s="60"/>
      <c r="EG225" s="16"/>
      <c r="EH225" s="16"/>
      <c r="EI225" s="16"/>
      <c r="EJ225" s="16"/>
      <c r="EK225" s="16"/>
      <c r="EL225" s="17"/>
      <c r="EP225" s="24"/>
      <c r="EQ225" s="60"/>
      <c r="ER225" s="16"/>
      <c r="ES225" s="16"/>
      <c r="ET225" s="16"/>
      <c r="EU225" s="16"/>
      <c r="EV225" s="16"/>
      <c r="EW225" s="17"/>
      <c r="FA225" s="24"/>
      <c r="FB225" s="60"/>
      <c r="FC225" s="16"/>
      <c r="FD225" s="16"/>
      <c r="FE225" s="16"/>
      <c r="FF225" s="16"/>
      <c r="FG225" s="16"/>
      <c r="FH225" s="17"/>
      <c r="FL225" s="24"/>
      <c r="FM225" s="60"/>
      <c r="FN225" s="16"/>
      <c r="FO225" s="16"/>
      <c r="FP225" s="16"/>
      <c r="FQ225" s="16"/>
      <c r="FR225" s="16"/>
      <c r="FS225" s="17"/>
      <c r="FW225" s="24"/>
      <c r="FX225" s="60"/>
      <c r="FY225" s="16"/>
      <c r="FZ225" s="16"/>
      <c r="GA225" s="16"/>
      <c r="GB225" s="16"/>
      <c r="GC225" s="16"/>
      <c r="GD225" s="17"/>
      <c r="GH225" s="24"/>
      <c r="GI225" s="60"/>
      <c r="GJ225" s="16"/>
      <c r="GK225" s="16"/>
      <c r="GL225" s="16"/>
      <c r="GM225" s="16"/>
      <c r="GN225" s="16"/>
      <c r="GO225" s="17"/>
      <c r="GS225" s="24"/>
      <c r="GT225" s="60"/>
      <c r="GU225" s="16"/>
      <c r="GV225" s="16"/>
      <c r="GW225" s="16"/>
      <c r="GX225" s="16"/>
      <c r="GY225" s="16"/>
      <c r="GZ225" s="17"/>
      <c r="HD225" s="24"/>
      <c r="HE225" s="60"/>
      <c r="HF225" s="16"/>
      <c r="HG225" s="16"/>
      <c r="HH225" s="16"/>
      <c r="HI225" s="16"/>
      <c r="HJ225" s="16"/>
      <c r="HK225" s="17"/>
      <c r="HO225" s="24"/>
      <c r="HP225" s="60"/>
      <c r="HQ225" s="16"/>
      <c r="HR225" s="16"/>
      <c r="HS225" s="16"/>
      <c r="HT225" s="16"/>
      <c r="HU225" s="16"/>
      <c r="HV225" s="17"/>
      <c r="HZ225" s="24"/>
      <c r="IA225" s="60"/>
      <c r="IB225" s="16"/>
      <c r="IC225" s="16"/>
      <c r="ID225" s="16"/>
      <c r="IE225" s="16"/>
      <c r="IF225" s="16"/>
      <c r="IG225" s="17"/>
      <c r="IK225" s="24"/>
      <c r="IL225" s="60"/>
      <c r="IM225" s="16"/>
      <c r="IN225" s="16"/>
      <c r="IO225" s="16"/>
      <c r="IP225" s="16"/>
      <c r="IQ225" s="16"/>
      <c r="IR225" s="17"/>
      <c r="IV225" s="24"/>
      <c r="IW225" s="60"/>
      <c r="IX225" s="16"/>
      <c r="IY225" s="16"/>
      <c r="IZ225" s="16"/>
      <c r="JA225" s="16"/>
      <c r="JB225" s="16"/>
      <c r="JC225" s="17"/>
      <c r="JG225" s="24"/>
      <c r="JH225" s="60"/>
      <c r="JI225" s="16"/>
      <c r="JJ225" s="16"/>
      <c r="JK225" s="16"/>
      <c r="JL225" s="16"/>
      <c r="JM225" s="16"/>
      <c r="JN225" s="17"/>
      <c r="JR225" s="24"/>
      <c r="JS225" s="60"/>
      <c r="JT225" s="16"/>
      <c r="JU225" s="16"/>
      <c r="JV225" s="16"/>
      <c r="JW225" s="16"/>
      <c r="JX225" s="16"/>
      <c r="JY225" s="17"/>
      <c r="KC225" s="24"/>
      <c r="KD225" s="60"/>
      <c r="KE225" s="16"/>
      <c r="KF225" s="16"/>
      <c r="KG225" s="16"/>
      <c r="KH225" s="16"/>
      <c r="KI225" s="16"/>
      <c r="KJ225" s="17"/>
      <c r="KN225" s="24"/>
      <c r="KO225" s="60"/>
      <c r="KP225" s="16"/>
      <c r="KQ225" s="16"/>
      <c r="KR225" s="16"/>
      <c r="KS225" s="16"/>
      <c r="KT225" s="16"/>
      <c r="KU225" s="17"/>
      <c r="KY225" s="24"/>
      <c r="KZ225" s="60"/>
      <c r="LA225" s="16"/>
      <c r="LB225" s="16"/>
      <c r="LC225" s="16"/>
      <c r="LD225" s="16"/>
      <c r="LE225" s="16"/>
      <c r="LF225" s="17"/>
      <c r="LJ225" s="24"/>
      <c r="LK225" s="60"/>
      <c r="LL225" s="16"/>
      <c r="LM225" s="16"/>
      <c r="LN225" s="16"/>
      <c r="LO225" s="16"/>
      <c r="LP225" s="16"/>
      <c r="LQ225" s="17"/>
    </row>
    <row r="226">
      <c r="C226" s="31"/>
      <c r="D226" s="61"/>
      <c r="E226" s="16"/>
      <c r="F226" s="16"/>
      <c r="G226" s="21"/>
      <c r="H226" s="16"/>
      <c r="I226" s="16"/>
      <c r="J226" s="17"/>
      <c r="N226" s="17"/>
      <c r="O226" s="61"/>
      <c r="P226" s="16"/>
      <c r="Q226" s="16"/>
      <c r="R226" s="16"/>
      <c r="S226" s="16"/>
      <c r="T226" s="16"/>
      <c r="U226" s="17"/>
      <c r="Y226" s="24"/>
      <c r="Z226" s="61"/>
      <c r="AA226" s="16"/>
      <c r="AB226" s="16"/>
      <c r="AC226" s="16"/>
      <c r="AD226" s="16"/>
      <c r="AE226" s="16"/>
      <c r="AF226" s="17"/>
      <c r="AJ226" s="24"/>
      <c r="AK226" s="61"/>
      <c r="AL226" s="16"/>
      <c r="AM226" s="16"/>
      <c r="AN226" s="16"/>
      <c r="AO226" s="16"/>
      <c r="AP226" s="16"/>
      <c r="AQ226" s="17"/>
      <c r="AU226" s="24"/>
      <c r="AV226" s="61"/>
      <c r="AW226" s="16"/>
      <c r="AX226" s="16"/>
      <c r="AY226" s="16"/>
      <c r="AZ226" s="16"/>
      <c r="BA226" s="16"/>
      <c r="BB226" s="17"/>
      <c r="BF226" s="24"/>
      <c r="BG226" s="61"/>
      <c r="BH226" s="16"/>
      <c r="BI226" s="16"/>
      <c r="BJ226" s="16"/>
      <c r="BK226" s="16"/>
      <c r="BL226" s="16"/>
      <c r="BM226" s="17"/>
      <c r="BQ226" s="24"/>
      <c r="BR226" s="61"/>
      <c r="BS226" s="16"/>
      <c r="BT226" s="16"/>
      <c r="BU226" s="16"/>
      <c r="BV226" s="16"/>
      <c r="BW226" s="16"/>
      <c r="BX226" s="17"/>
      <c r="CB226" s="24"/>
      <c r="CC226" s="61"/>
      <c r="CD226" s="16"/>
      <c r="CE226" s="16"/>
      <c r="CF226" s="16"/>
      <c r="CG226" s="16"/>
      <c r="CH226" s="16"/>
      <c r="CI226" s="17"/>
      <c r="CM226" s="24"/>
      <c r="CN226" s="61"/>
      <c r="CO226" s="16"/>
      <c r="CP226" s="16"/>
      <c r="CQ226" s="16"/>
      <c r="CR226" s="16"/>
      <c r="CS226" s="16"/>
      <c r="CT226" s="17"/>
      <c r="CX226" s="24"/>
      <c r="CY226" s="60"/>
      <c r="CZ226" s="16"/>
      <c r="DA226" s="16"/>
      <c r="DB226" s="16"/>
      <c r="DC226" s="16"/>
      <c r="DD226" s="16"/>
      <c r="DE226" s="17"/>
      <c r="DI226" s="24"/>
      <c r="DJ226" s="60"/>
      <c r="DK226" s="16"/>
      <c r="DL226" s="16"/>
      <c r="DM226" s="16"/>
      <c r="DN226" s="16"/>
      <c r="DO226" s="16"/>
      <c r="DP226" s="17"/>
      <c r="DT226" s="24"/>
      <c r="DU226" s="60"/>
      <c r="DV226" s="16"/>
      <c r="DW226" s="16"/>
      <c r="DX226" s="16"/>
      <c r="DY226" s="16"/>
      <c r="DZ226" s="16"/>
      <c r="EA226" s="17"/>
      <c r="EE226" s="24"/>
      <c r="EF226" s="60"/>
      <c r="EG226" s="16"/>
      <c r="EH226" s="16"/>
      <c r="EI226" s="16"/>
      <c r="EJ226" s="16"/>
      <c r="EK226" s="16"/>
      <c r="EL226" s="17"/>
      <c r="EP226" s="24"/>
      <c r="EQ226" s="60"/>
      <c r="ER226" s="16"/>
      <c r="ES226" s="16"/>
      <c r="ET226" s="16"/>
      <c r="EU226" s="16"/>
      <c r="EV226" s="16"/>
      <c r="EW226" s="17"/>
      <c r="FA226" s="24"/>
      <c r="FB226" s="60"/>
      <c r="FC226" s="16"/>
      <c r="FD226" s="16"/>
      <c r="FE226" s="16"/>
      <c r="FF226" s="16"/>
      <c r="FG226" s="16"/>
      <c r="FH226" s="17"/>
      <c r="FL226" s="24"/>
      <c r="FM226" s="60"/>
      <c r="FN226" s="16"/>
      <c r="FO226" s="16"/>
      <c r="FP226" s="16"/>
      <c r="FQ226" s="16"/>
      <c r="FR226" s="16"/>
      <c r="FS226" s="17"/>
      <c r="FW226" s="24"/>
      <c r="FX226" s="60"/>
      <c r="FY226" s="16"/>
      <c r="FZ226" s="16"/>
      <c r="GA226" s="16"/>
      <c r="GB226" s="16"/>
      <c r="GC226" s="16"/>
      <c r="GD226" s="17"/>
      <c r="GH226" s="24"/>
      <c r="GI226" s="60"/>
      <c r="GJ226" s="16"/>
      <c r="GK226" s="16"/>
      <c r="GL226" s="16"/>
      <c r="GM226" s="16"/>
      <c r="GN226" s="16"/>
      <c r="GO226" s="17"/>
      <c r="GS226" s="24"/>
      <c r="GT226" s="60"/>
      <c r="GU226" s="16"/>
      <c r="GV226" s="16"/>
      <c r="GW226" s="16"/>
      <c r="GX226" s="16"/>
      <c r="GY226" s="16"/>
      <c r="GZ226" s="17"/>
      <c r="HD226" s="24"/>
      <c r="HE226" s="60"/>
      <c r="HF226" s="16"/>
      <c r="HG226" s="16"/>
      <c r="HH226" s="16"/>
      <c r="HI226" s="16"/>
      <c r="HJ226" s="16"/>
      <c r="HK226" s="17"/>
      <c r="HO226" s="24"/>
      <c r="HP226" s="60"/>
      <c r="HQ226" s="16"/>
      <c r="HR226" s="16"/>
      <c r="HS226" s="16"/>
      <c r="HT226" s="16"/>
      <c r="HU226" s="16"/>
      <c r="HV226" s="17"/>
      <c r="HZ226" s="24"/>
      <c r="IA226" s="60"/>
      <c r="IB226" s="16"/>
      <c r="IC226" s="16"/>
      <c r="ID226" s="16"/>
      <c r="IE226" s="16"/>
      <c r="IF226" s="16"/>
      <c r="IG226" s="17"/>
      <c r="IK226" s="24"/>
      <c r="IL226" s="60"/>
      <c r="IM226" s="16"/>
      <c r="IN226" s="16"/>
      <c r="IO226" s="16"/>
      <c r="IP226" s="16"/>
      <c r="IQ226" s="16"/>
      <c r="IR226" s="17"/>
      <c r="IV226" s="24"/>
      <c r="IW226" s="60"/>
      <c r="IX226" s="16"/>
      <c r="IY226" s="16"/>
      <c r="IZ226" s="16"/>
      <c r="JA226" s="16"/>
      <c r="JB226" s="16"/>
      <c r="JC226" s="17"/>
      <c r="JG226" s="24"/>
      <c r="JH226" s="60"/>
      <c r="JI226" s="16"/>
      <c r="JJ226" s="16"/>
      <c r="JK226" s="16"/>
      <c r="JL226" s="16"/>
      <c r="JM226" s="16"/>
      <c r="JN226" s="17"/>
      <c r="JR226" s="24"/>
      <c r="JS226" s="60"/>
      <c r="JT226" s="16"/>
      <c r="JU226" s="16"/>
      <c r="JV226" s="16"/>
      <c r="JW226" s="16"/>
      <c r="JX226" s="16"/>
      <c r="JY226" s="17"/>
      <c r="KC226" s="24"/>
      <c r="KD226" s="60"/>
      <c r="KE226" s="16"/>
      <c r="KF226" s="16"/>
      <c r="KG226" s="16"/>
      <c r="KH226" s="16"/>
      <c r="KI226" s="16"/>
      <c r="KJ226" s="17"/>
      <c r="KN226" s="24"/>
      <c r="KO226" s="60"/>
      <c r="KP226" s="16"/>
      <c r="KQ226" s="16"/>
      <c r="KR226" s="16"/>
      <c r="KS226" s="16"/>
      <c r="KT226" s="16"/>
      <c r="KU226" s="17"/>
      <c r="KY226" s="24"/>
      <c r="KZ226" s="60"/>
      <c r="LA226" s="16"/>
      <c r="LB226" s="16"/>
      <c r="LC226" s="16"/>
      <c r="LD226" s="16"/>
      <c r="LE226" s="16"/>
      <c r="LF226" s="17"/>
      <c r="LJ226" s="24"/>
      <c r="LK226" s="60"/>
      <c r="LL226" s="16"/>
      <c r="LM226" s="16"/>
      <c r="LN226" s="16"/>
      <c r="LO226" s="16"/>
      <c r="LP226" s="16"/>
      <c r="LQ226" s="17"/>
    </row>
    <row r="227">
      <c r="C227" s="31"/>
      <c r="D227" s="61"/>
      <c r="E227" s="16"/>
      <c r="F227" s="16"/>
      <c r="G227" s="21"/>
      <c r="H227" s="16"/>
      <c r="I227" s="16"/>
      <c r="J227" s="17"/>
      <c r="N227" s="17"/>
      <c r="O227" s="61"/>
      <c r="P227" s="16"/>
      <c r="Q227" s="16"/>
      <c r="R227" s="16"/>
      <c r="S227" s="16"/>
      <c r="T227" s="16"/>
      <c r="U227" s="17"/>
      <c r="Y227" s="24"/>
      <c r="Z227" s="61"/>
      <c r="AA227" s="16"/>
      <c r="AB227" s="16"/>
      <c r="AC227" s="16"/>
      <c r="AD227" s="16"/>
      <c r="AE227" s="16"/>
      <c r="AF227" s="17"/>
      <c r="AJ227" s="24"/>
      <c r="AK227" s="61"/>
      <c r="AL227" s="16"/>
      <c r="AM227" s="16"/>
      <c r="AN227" s="16"/>
      <c r="AO227" s="16"/>
      <c r="AP227" s="16"/>
      <c r="AQ227" s="17"/>
      <c r="AU227" s="24"/>
      <c r="AV227" s="61"/>
      <c r="AW227" s="16"/>
      <c r="AX227" s="16"/>
      <c r="AY227" s="16"/>
      <c r="AZ227" s="16"/>
      <c r="BA227" s="16"/>
      <c r="BB227" s="17"/>
      <c r="BF227" s="24"/>
      <c r="BG227" s="61"/>
      <c r="BH227" s="16"/>
      <c r="BI227" s="16"/>
      <c r="BJ227" s="16"/>
      <c r="BK227" s="16"/>
      <c r="BL227" s="16"/>
      <c r="BM227" s="17"/>
      <c r="BQ227" s="24"/>
      <c r="BR227" s="61"/>
      <c r="BS227" s="16"/>
      <c r="BT227" s="16"/>
      <c r="BU227" s="16"/>
      <c r="BV227" s="16"/>
      <c r="BW227" s="16"/>
      <c r="BX227" s="17"/>
      <c r="CB227" s="24"/>
      <c r="CC227" s="61"/>
      <c r="CD227" s="16"/>
      <c r="CE227" s="16"/>
      <c r="CF227" s="16"/>
      <c r="CG227" s="16"/>
      <c r="CH227" s="16"/>
      <c r="CI227" s="17"/>
      <c r="CM227" s="24"/>
      <c r="CN227" s="61"/>
      <c r="CO227" s="16"/>
      <c r="CP227" s="16"/>
      <c r="CQ227" s="16"/>
      <c r="CR227" s="16"/>
      <c r="CS227" s="16"/>
      <c r="CT227" s="17"/>
      <c r="CX227" s="24"/>
      <c r="CY227" s="60"/>
      <c r="CZ227" s="16"/>
      <c r="DA227" s="16"/>
      <c r="DB227" s="16"/>
      <c r="DC227" s="16"/>
      <c r="DD227" s="16"/>
      <c r="DE227" s="17"/>
      <c r="DI227" s="24"/>
      <c r="DJ227" s="60"/>
      <c r="DK227" s="16"/>
      <c r="DL227" s="16"/>
      <c r="DM227" s="16"/>
      <c r="DN227" s="16"/>
      <c r="DO227" s="16"/>
      <c r="DP227" s="17"/>
      <c r="DT227" s="24"/>
      <c r="DU227" s="60"/>
      <c r="DV227" s="16"/>
      <c r="DW227" s="16"/>
      <c r="DX227" s="16"/>
      <c r="DY227" s="16"/>
      <c r="DZ227" s="16"/>
      <c r="EA227" s="17"/>
      <c r="EE227" s="24"/>
      <c r="EF227" s="60"/>
      <c r="EG227" s="16"/>
      <c r="EH227" s="16"/>
      <c r="EI227" s="16"/>
      <c r="EJ227" s="16"/>
      <c r="EK227" s="16"/>
      <c r="EL227" s="17"/>
      <c r="EP227" s="24"/>
      <c r="EQ227" s="60"/>
      <c r="ER227" s="16"/>
      <c r="ES227" s="16"/>
      <c r="ET227" s="16"/>
      <c r="EU227" s="16"/>
      <c r="EV227" s="16"/>
      <c r="EW227" s="17"/>
      <c r="FA227" s="24"/>
      <c r="FB227" s="60"/>
      <c r="FC227" s="16"/>
      <c r="FD227" s="16"/>
      <c r="FE227" s="16"/>
      <c r="FF227" s="16"/>
      <c r="FG227" s="16"/>
      <c r="FH227" s="17"/>
      <c r="FL227" s="24"/>
      <c r="FM227" s="60"/>
      <c r="FN227" s="16"/>
      <c r="FO227" s="16"/>
      <c r="FP227" s="16"/>
      <c r="FQ227" s="16"/>
      <c r="FR227" s="16"/>
      <c r="FS227" s="17"/>
      <c r="FW227" s="24"/>
      <c r="FX227" s="60"/>
      <c r="FY227" s="16"/>
      <c r="FZ227" s="16"/>
      <c r="GA227" s="16"/>
      <c r="GB227" s="16"/>
      <c r="GC227" s="16"/>
      <c r="GD227" s="17"/>
      <c r="GH227" s="24"/>
      <c r="GI227" s="60"/>
      <c r="GJ227" s="16"/>
      <c r="GK227" s="16"/>
      <c r="GL227" s="16"/>
      <c r="GM227" s="16"/>
      <c r="GN227" s="16"/>
      <c r="GO227" s="17"/>
      <c r="GS227" s="24"/>
      <c r="GT227" s="60"/>
      <c r="GU227" s="16"/>
      <c r="GV227" s="16"/>
      <c r="GW227" s="16"/>
      <c r="GX227" s="16"/>
      <c r="GY227" s="16"/>
      <c r="GZ227" s="17"/>
      <c r="HD227" s="24"/>
      <c r="HE227" s="60"/>
      <c r="HF227" s="16"/>
      <c r="HG227" s="16"/>
      <c r="HH227" s="16"/>
      <c r="HI227" s="16"/>
      <c r="HJ227" s="16"/>
      <c r="HK227" s="17"/>
      <c r="HO227" s="24"/>
      <c r="HP227" s="60"/>
      <c r="HQ227" s="16"/>
      <c r="HR227" s="16"/>
      <c r="HS227" s="16"/>
      <c r="HT227" s="16"/>
      <c r="HU227" s="16"/>
      <c r="HV227" s="17"/>
      <c r="HZ227" s="24"/>
      <c r="IA227" s="60"/>
      <c r="IB227" s="16"/>
      <c r="IC227" s="16"/>
      <c r="ID227" s="16"/>
      <c r="IE227" s="16"/>
      <c r="IF227" s="16"/>
      <c r="IG227" s="17"/>
      <c r="IK227" s="24"/>
      <c r="IL227" s="60"/>
      <c r="IM227" s="16"/>
      <c r="IN227" s="16"/>
      <c r="IO227" s="16"/>
      <c r="IP227" s="16"/>
      <c r="IQ227" s="16"/>
      <c r="IR227" s="17"/>
      <c r="IV227" s="24"/>
      <c r="IW227" s="60"/>
      <c r="IX227" s="16"/>
      <c r="IY227" s="16"/>
      <c r="IZ227" s="16"/>
      <c r="JA227" s="16"/>
      <c r="JB227" s="16"/>
      <c r="JC227" s="17"/>
      <c r="JG227" s="24"/>
      <c r="JH227" s="60"/>
      <c r="JI227" s="16"/>
      <c r="JJ227" s="16"/>
      <c r="JK227" s="16"/>
      <c r="JL227" s="16"/>
      <c r="JM227" s="16"/>
      <c r="JN227" s="17"/>
      <c r="JR227" s="24"/>
      <c r="JS227" s="60"/>
      <c r="JT227" s="16"/>
      <c r="JU227" s="16"/>
      <c r="JV227" s="16"/>
      <c r="JW227" s="16"/>
      <c r="JX227" s="16"/>
      <c r="JY227" s="17"/>
      <c r="KC227" s="24"/>
      <c r="KD227" s="60"/>
      <c r="KE227" s="16"/>
      <c r="KF227" s="16"/>
      <c r="KG227" s="16"/>
      <c r="KH227" s="16"/>
      <c r="KI227" s="16"/>
      <c r="KJ227" s="17"/>
      <c r="KN227" s="24"/>
      <c r="KO227" s="60"/>
      <c r="KP227" s="16"/>
      <c r="KQ227" s="16"/>
      <c r="KR227" s="16"/>
      <c r="KS227" s="16"/>
      <c r="KT227" s="16"/>
      <c r="KU227" s="17"/>
      <c r="KY227" s="24"/>
      <c r="KZ227" s="60"/>
      <c r="LA227" s="16"/>
      <c r="LB227" s="16"/>
      <c r="LC227" s="16"/>
      <c r="LD227" s="16"/>
      <c r="LE227" s="16"/>
      <c r="LF227" s="17"/>
      <c r="LJ227" s="24"/>
      <c r="LK227" s="60"/>
      <c r="LL227" s="16"/>
      <c r="LM227" s="16"/>
      <c r="LN227" s="16"/>
      <c r="LO227" s="16"/>
      <c r="LP227" s="16"/>
      <c r="LQ227" s="17"/>
    </row>
    <row r="228">
      <c r="C228" s="31"/>
      <c r="D228" s="61"/>
      <c r="E228" s="16"/>
      <c r="F228" s="16"/>
      <c r="G228" s="21"/>
      <c r="H228" s="16"/>
      <c r="I228" s="16"/>
      <c r="J228" s="17"/>
      <c r="N228" s="17"/>
      <c r="O228" s="61"/>
      <c r="P228" s="16"/>
      <c r="Q228" s="16"/>
      <c r="R228" s="16"/>
      <c r="S228" s="16"/>
      <c r="T228" s="16"/>
      <c r="U228" s="17"/>
      <c r="Y228" s="24"/>
      <c r="Z228" s="61"/>
      <c r="AA228" s="16"/>
      <c r="AB228" s="16"/>
      <c r="AC228" s="16"/>
      <c r="AD228" s="16"/>
      <c r="AE228" s="16"/>
      <c r="AF228" s="17"/>
      <c r="AJ228" s="24"/>
      <c r="AK228" s="61"/>
      <c r="AL228" s="16"/>
      <c r="AM228" s="16"/>
      <c r="AN228" s="16"/>
      <c r="AO228" s="16"/>
      <c r="AP228" s="16"/>
      <c r="AQ228" s="17"/>
      <c r="AU228" s="24"/>
      <c r="AV228" s="61"/>
      <c r="AW228" s="16"/>
      <c r="AX228" s="16"/>
      <c r="AY228" s="16"/>
      <c r="AZ228" s="16"/>
      <c r="BA228" s="16"/>
      <c r="BB228" s="17"/>
      <c r="BF228" s="24"/>
      <c r="BG228" s="61"/>
      <c r="BH228" s="16"/>
      <c r="BI228" s="16"/>
      <c r="BJ228" s="16"/>
      <c r="BK228" s="16"/>
      <c r="BL228" s="16"/>
      <c r="BM228" s="17"/>
      <c r="BQ228" s="24"/>
      <c r="BR228" s="61"/>
      <c r="BS228" s="16"/>
      <c r="BT228" s="16"/>
      <c r="BU228" s="16"/>
      <c r="BV228" s="16"/>
      <c r="BW228" s="16"/>
      <c r="BX228" s="17"/>
      <c r="CB228" s="24"/>
      <c r="CC228" s="61"/>
      <c r="CD228" s="16"/>
      <c r="CE228" s="16"/>
      <c r="CF228" s="16"/>
      <c r="CG228" s="16"/>
      <c r="CH228" s="16"/>
      <c r="CI228" s="17"/>
      <c r="CM228" s="24"/>
      <c r="CN228" s="61"/>
      <c r="CO228" s="16"/>
      <c r="CP228" s="16"/>
      <c r="CQ228" s="16"/>
      <c r="CR228" s="16"/>
      <c r="CS228" s="16"/>
      <c r="CT228" s="17"/>
      <c r="CX228" s="24"/>
      <c r="CY228" s="60"/>
      <c r="CZ228" s="16"/>
      <c r="DA228" s="16"/>
      <c r="DB228" s="16"/>
      <c r="DC228" s="16"/>
      <c r="DD228" s="16"/>
      <c r="DE228" s="17"/>
      <c r="DI228" s="24"/>
      <c r="DJ228" s="60"/>
      <c r="DK228" s="16"/>
      <c r="DL228" s="16"/>
      <c r="DM228" s="16"/>
      <c r="DN228" s="16"/>
      <c r="DO228" s="16"/>
      <c r="DP228" s="17"/>
      <c r="DT228" s="24"/>
      <c r="DU228" s="60"/>
      <c r="DV228" s="16"/>
      <c r="DW228" s="16"/>
      <c r="DX228" s="16"/>
      <c r="DY228" s="16"/>
      <c r="DZ228" s="16"/>
      <c r="EA228" s="17"/>
      <c r="EE228" s="24"/>
      <c r="EF228" s="60"/>
      <c r="EG228" s="16"/>
      <c r="EH228" s="16"/>
      <c r="EI228" s="16"/>
      <c r="EJ228" s="16"/>
      <c r="EK228" s="16"/>
      <c r="EL228" s="17"/>
      <c r="EP228" s="24"/>
      <c r="EQ228" s="60"/>
      <c r="ER228" s="16"/>
      <c r="ES228" s="16"/>
      <c r="ET228" s="16"/>
      <c r="EU228" s="16"/>
      <c r="EV228" s="16"/>
      <c r="EW228" s="17"/>
      <c r="FA228" s="24"/>
      <c r="FB228" s="60"/>
      <c r="FC228" s="16"/>
      <c r="FD228" s="16"/>
      <c r="FE228" s="16"/>
      <c r="FF228" s="16"/>
      <c r="FG228" s="16"/>
      <c r="FH228" s="17"/>
      <c r="FL228" s="24"/>
      <c r="FM228" s="60"/>
      <c r="FN228" s="16"/>
      <c r="FO228" s="16"/>
      <c r="FP228" s="16"/>
      <c r="FQ228" s="16"/>
      <c r="FR228" s="16"/>
      <c r="FS228" s="17"/>
      <c r="FW228" s="24"/>
      <c r="FX228" s="60"/>
      <c r="FY228" s="16"/>
      <c r="FZ228" s="16"/>
      <c r="GA228" s="16"/>
      <c r="GB228" s="16"/>
      <c r="GC228" s="16"/>
      <c r="GD228" s="17"/>
      <c r="GH228" s="24"/>
      <c r="GI228" s="60"/>
      <c r="GJ228" s="16"/>
      <c r="GK228" s="16"/>
      <c r="GL228" s="16"/>
      <c r="GM228" s="16"/>
      <c r="GN228" s="16"/>
      <c r="GO228" s="17"/>
      <c r="GS228" s="24"/>
      <c r="GT228" s="60"/>
      <c r="GU228" s="16"/>
      <c r="GV228" s="16"/>
      <c r="GW228" s="16"/>
      <c r="GX228" s="16"/>
      <c r="GY228" s="16"/>
      <c r="GZ228" s="17"/>
      <c r="HD228" s="24"/>
      <c r="HE228" s="60"/>
      <c r="HF228" s="16"/>
      <c r="HG228" s="16"/>
      <c r="HH228" s="16"/>
      <c r="HI228" s="16"/>
      <c r="HJ228" s="16"/>
      <c r="HK228" s="17"/>
      <c r="HO228" s="24"/>
      <c r="HP228" s="60"/>
      <c r="HQ228" s="16"/>
      <c r="HR228" s="16"/>
      <c r="HS228" s="16"/>
      <c r="HT228" s="16"/>
      <c r="HU228" s="16"/>
      <c r="HV228" s="17"/>
      <c r="HZ228" s="24"/>
      <c r="IA228" s="60"/>
      <c r="IB228" s="16"/>
      <c r="IC228" s="16"/>
      <c r="ID228" s="16"/>
      <c r="IE228" s="16"/>
      <c r="IF228" s="16"/>
      <c r="IG228" s="17"/>
      <c r="IK228" s="24"/>
      <c r="IL228" s="60"/>
      <c r="IM228" s="16"/>
      <c r="IN228" s="16"/>
      <c r="IO228" s="16"/>
      <c r="IP228" s="16"/>
      <c r="IQ228" s="16"/>
      <c r="IR228" s="17"/>
      <c r="IV228" s="24"/>
      <c r="IW228" s="60"/>
      <c r="IX228" s="16"/>
      <c r="IY228" s="16"/>
      <c r="IZ228" s="16"/>
      <c r="JA228" s="16"/>
      <c r="JB228" s="16"/>
      <c r="JC228" s="17"/>
      <c r="JG228" s="24"/>
      <c r="JH228" s="60"/>
      <c r="JI228" s="16"/>
      <c r="JJ228" s="16"/>
      <c r="JK228" s="16"/>
      <c r="JL228" s="16"/>
      <c r="JM228" s="16"/>
      <c r="JN228" s="17"/>
      <c r="JR228" s="24"/>
      <c r="JS228" s="60"/>
      <c r="JT228" s="16"/>
      <c r="JU228" s="16"/>
      <c r="JV228" s="16"/>
      <c r="JW228" s="16"/>
      <c r="JX228" s="16"/>
      <c r="JY228" s="17"/>
      <c r="KC228" s="24"/>
      <c r="KD228" s="60"/>
      <c r="KE228" s="16"/>
      <c r="KF228" s="16"/>
      <c r="KG228" s="16"/>
      <c r="KH228" s="16"/>
      <c r="KI228" s="16"/>
      <c r="KJ228" s="17"/>
      <c r="KN228" s="24"/>
      <c r="KO228" s="60"/>
      <c r="KP228" s="16"/>
      <c r="KQ228" s="16"/>
      <c r="KR228" s="16"/>
      <c r="KS228" s="16"/>
      <c r="KT228" s="16"/>
      <c r="KU228" s="17"/>
      <c r="KY228" s="24"/>
      <c r="KZ228" s="60"/>
      <c r="LA228" s="16"/>
      <c r="LB228" s="16"/>
      <c r="LC228" s="16"/>
      <c r="LD228" s="16"/>
      <c r="LE228" s="16"/>
      <c r="LF228" s="17"/>
      <c r="LJ228" s="24"/>
      <c r="LK228" s="60"/>
      <c r="LL228" s="16"/>
      <c r="LM228" s="16"/>
      <c r="LN228" s="16"/>
      <c r="LO228" s="16"/>
      <c r="LP228" s="16"/>
      <c r="LQ228" s="17"/>
    </row>
    <row r="229">
      <c r="C229" s="31"/>
      <c r="D229" s="61"/>
      <c r="E229" s="16"/>
      <c r="F229" s="16"/>
      <c r="G229" s="21"/>
      <c r="H229" s="16"/>
      <c r="I229" s="16"/>
      <c r="J229" s="17"/>
      <c r="N229" s="17"/>
      <c r="O229" s="61"/>
      <c r="P229" s="16"/>
      <c r="Q229" s="16"/>
      <c r="R229" s="16"/>
      <c r="S229" s="16"/>
      <c r="T229" s="16"/>
      <c r="U229" s="17"/>
      <c r="Y229" s="24"/>
      <c r="Z229" s="61"/>
      <c r="AA229" s="16"/>
      <c r="AB229" s="16"/>
      <c r="AC229" s="16"/>
      <c r="AD229" s="16"/>
      <c r="AE229" s="16"/>
      <c r="AF229" s="17"/>
      <c r="AJ229" s="24"/>
      <c r="AK229" s="61"/>
      <c r="AL229" s="16"/>
      <c r="AM229" s="16"/>
      <c r="AN229" s="16"/>
      <c r="AO229" s="16"/>
      <c r="AP229" s="16"/>
      <c r="AQ229" s="17"/>
      <c r="AU229" s="24"/>
      <c r="AV229" s="61"/>
      <c r="AW229" s="16"/>
      <c r="AX229" s="16"/>
      <c r="AY229" s="16"/>
      <c r="AZ229" s="16"/>
      <c r="BA229" s="16"/>
      <c r="BB229" s="17"/>
      <c r="BF229" s="24"/>
      <c r="BG229" s="61"/>
      <c r="BH229" s="16"/>
      <c r="BI229" s="16"/>
      <c r="BJ229" s="16"/>
      <c r="BK229" s="16"/>
      <c r="BL229" s="16"/>
      <c r="BM229" s="17"/>
      <c r="BQ229" s="24"/>
      <c r="BR229" s="61"/>
      <c r="BS229" s="16"/>
      <c r="BT229" s="16"/>
      <c r="BU229" s="16"/>
      <c r="BV229" s="16"/>
      <c r="BW229" s="16"/>
      <c r="BX229" s="17"/>
      <c r="CB229" s="24"/>
      <c r="CC229" s="61"/>
      <c r="CD229" s="16"/>
      <c r="CE229" s="16"/>
      <c r="CF229" s="16"/>
      <c r="CG229" s="16"/>
      <c r="CH229" s="16"/>
      <c r="CI229" s="17"/>
      <c r="CM229" s="24"/>
      <c r="CN229" s="61"/>
      <c r="CO229" s="16"/>
      <c r="CP229" s="16"/>
      <c r="CQ229" s="16"/>
      <c r="CR229" s="16"/>
      <c r="CS229" s="16"/>
      <c r="CT229" s="17"/>
      <c r="CX229" s="24"/>
      <c r="CY229" s="60"/>
      <c r="CZ229" s="16"/>
      <c r="DA229" s="16"/>
      <c r="DB229" s="16"/>
      <c r="DC229" s="16"/>
      <c r="DD229" s="16"/>
      <c r="DE229" s="17"/>
      <c r="DI229" s="24"/>
      <c r="DJ229" s="60"/>
      <c r="DK229" s="16"/>
      <c r="DL229" s="16"/>
      <c r="DM229" s="16"/>
      <c r="DN229" s="16"/>
      <c r="DO229" s="16"/>
      <c r="DP229" s="17"/>
      <c r="DT229" s="24"/>
      <c r="DU229" s="60"/>
      <c r="DV229" s="16"/>
      <c r="DW229" s="16"/>
      <c r="DX229" s="16"/>
      <c r="DY229" s="16"/>
      <c r="DZ229" s="16"/>
      <c r="EA229" s="17"/>
      <c r="EE229" s="24"/>
      <c r="EF229" s="60"/>
      <c r="EG229" s="16"/>
      <c r="EH229" s="16"/>
      <c r="EI229" s="16"/>
      <c r="EJ229" s="16"/>
      <c r="EK229" s="16"/>
      <c r="EL229" s="17"/>
      <c r="EP229" s="24"/>
      <c r="EQ229" s="60"/>
      <c r="ER229" s="16"/>
      <c r="ES229" s="16"/>
      <c r="ET229" s="16"/>
      <c r="EU229" s="16"/>
      <c r="EV229" s="16"/>
      <c r="EW229" s="17"/>
      <c r="FA229" s="24"/>
      <c r="FB229" s="60"/>
      <c r="FC229" s="16"/>
      <c r="FD229" s="16"/>
      <c r="FE229" s="16"/>
      <c r="FF229" s="16"/>
      <c r="FG229" s="16"/>
      <c r="FH229" s="17"/>
      <c r="FL229" s="24"/>
      <c r="FM229" s="60"/>
      <c r="FN229" s="16"/>
      <c r="FO229" s="16"/>
      <c r="FP229" s="16"/>
      <c r="FQ229" s="16"/>
      <c r="FR229" s="16"/>
      <c r="FS229" s="17"/>
      <c r="FW229" s="24"/>
      <c r="FX229" s="60"/>
      <c r="FY229" s="16"/>
      <c r="FZ229" s="16"/>
      <c r="GA229" s="16"/>
      <c r="GB229" s="16"/>
      <c r="GC229" s="16"/>
      <c r="GD229" s="17"/>
      <c r="GH229" s="24"/>
      <c r="GI229" s="60"/>
      <c r="GJ229" s="16"/>
      <c r="GK229" s="16"/>
      <c r="GL229" s="16"/>
      <c r="GM229" s="16"/>
      <c r="GN229" s="16"/>
      <c r="GO229" s="17"/>
      <c r="GS229" s="24"/>
      <c r="GT229" s="60"/>
      <c r="GU229" s="16"/>
      <c r="GV229" s="16"/>
      <c r="GW229" s="16"/>
      <c r="GX229" s="16"/>
      <c r="GY229" s="16"/>
      <c r="GZ229" s="17"/>
      <c r="HD229" s="24"/>
      <c r="HE229" s="60"/>
      <c r="HF229" s="16"/>
      <c r="HG229" s="16"/>
      <c r="HH229" s="16"/>
      <c r="HI229" s="16"/>
      <c r="HJ229" s="16"/>
      <c r="HK229" s="17"/>
      <c r="HO229" s="24"/>
      <c r="HP229" s="60"/>
      <c r="HQ229" s="16"/>
      <c r="HR229" s="16"/>
      <c r="HS229" s="16"/>
      <c r="HT229" s="16"/>
      <c r="HU229" s="16"/>
      <c r="HV229" s="17"/>
      <c r="HZ229" s="24"/>
      <c r="IA229" s="60"/>
      <c r="IB229" s="16"/>
      <c r="IC229" s="16"/>
      <c r="ID229" s="16"/>
      <c r="IE229" s="16"/>
      <c r="IF229" s="16"/>
      <c r="IG229" s="17"/>
      <c r="IK229" s="24"/>
      <c r="IL229" s="60"/>
      <c r="IM229" s="16"/>
      <c r="IN229" s="16"/>
      <c r="IO229" s="16"/>
      <c r="IP229" s="16"/>
      <c r="IQ229" s="16"/>
      <c r="IR229" s="17"/>
      <c r="IV229" s="24"/>
      <c r="IW229" s="60"/>
      <c r="IX229" s="16"/>
      <c r="IY229" s="16"/>
      <c r="IZ229" s="16"/>
      <c r="JA229" s="16"/>
      <c r="JB229" s="16"/>
      <c r="JC229" s="17"/>
      <c r="JG229" s="24"/>
      <c r="JH229" s="60"/>
      <c r="JI229" s="16"/>
      <c r="JJ229" s="16"/>
      <c r="JK229" s="16"/>
      <c r="JL229" s="16"/>
      <c r="JM229" s="16"/>
      <c r="JN229" s="17"/>
      <c r="JR229" s="24"/>
      <c r="JS229" s="60"/>
      <c r="JT229" s="16"/>
      <c r="JU229" s="16"/>
      <c r="JV229" s="16"/>
      <c r="JW229" s="16"/>
      <c r="JX229" s="16"/>
      <c r="JY229" s="17"/>
      <c r="KC229" s="24"/>
      <c r="KD229" s="60"/>
      <c r="KE229" s="16"/>
      <c r="KF229" s="16"/>
      <c r="KG229" s="16"/>
      <c r="KH229" s="16"/>
      <c r="KI229" s="16"/>
      <c r="KJ229" s="17"/>
      <c r="KN229" s="24"/>
      <c r="KO229" s="60"/>
      <c r="KP229" s="16"/>
      <c r="KQ229" s="16"/>
      <c r="KR229" s="16"/>
      <c r="KS229" s="16"/>
      <c r="KT229" s="16"/>
      <c r="KU229" s="17"/>
      <c r="KY229" s="24"/>
      <c r="KZ229" s="60"/>
      <c r="LA229" s="16"/>
      <c r="LB229" s="16"/>
      <c r="LC229" s="16"/>
      <c r="LD229" s="16"/>
      <c r="LE229" s="16"/>
      <c r="LF229" s="17"/>
      <c r="LJ229" s="24"/>
      <c r="LK229" s="60"/>
      <c r="LL229" s="16"/>
      <c r="LM229" s="16"/>
      <c r="LN229" s="16"/>
      <c r="LO229" s="16"/>
      <c r="LP229" s="16"/>
      <c r="LQ229" s="17"/>
    </row>
    <row r="230">
      <c r="C230" s="31"/>
      <c r="D230" s="61"/>
      <c r="E230" s="16"/>
      <c r="F230" s="16"/>
      <c r="G230" s="21"/>
      <c r="H230" s="16"/>
      <c r="I230" s="16"/>
      <c r="J230" s="17"/>
      <c r="N230" s="17"/>
      <c r="O230" s="61"/>
      <c r="P230" s="16"/>
      <c r="Q230" s="16"/>
      <c r="R230" s="16"/>
      <c r="S230" s="16"/>
      <c r="T230" s="16"/>
      <c r="U230" s="17"/>
      <c r="Y230" s="24"/>
      <c r="Z230" s="61"/>
      <c r="AA230" s="16"/>
      <c r="AB230" s="16"/>
      <c r="AC230" s="16"/>
      <c r="AD230" s="16"/>
      <c r="AE230" s="16"/>
      <c r="AF230" s="17"/>
      <c r="AJ230" s="24"/>
      <c r="AK230" s="61"/>
      <c r="AL230" s="16"/>
      <c r="AM230" s="16"/>
      <c r="AN230" s="16"/>
      <c r="AO230" s="16"/>
      <c r="AP230" s="16"/>
      <c r="AQ230" s="17"/>
      <c r="AU230" s="24"/>
      <c r="AV230" s="61"/>
      <c r="AW230" s="16"/>
      <c r="AX230" s="16"/>
      <c r="AY230" s="16"/>
      <c r="AZ230" s="16"/>
      <c r="BA230" s="16"/>
      <c r="BB230" s="17"/>
      <c r="BF230" s="24"/>
      <c r="BG230" s="61"/>
      <c r="BH230" s="16"/>
      <c r="BI230" s="16"/>
      <c r="BJ230" s="16"/>
      <c r="BK230" s="16"/>
      <c r="BL230" s="16"/>
      <c r="BM230" s="17"/>
      <c r="BQ230" s="24"/>
      <c r="BR230" s="61"/>
      <c r="BS230" s="16"/>
      <c r="BT230" s="16"/>
      <c r="BU230" s="16"/>
      <c r="BV230" s="16"/>
      <c r="BW230" s="16"/>
      <c r="BX230" s="17"/>
      <c r="CB230" s="24"/>
      <c r="CC230" s="61"/>
      <c r="CD230" s="16"/>
      <c r="CE230" s="16"/>
      <c r="CF230" s="16"/>
      <c r="CG230" s="16"/>
      <c r="CH230" s="16"/>
      <c r="CI230" s="17"/>
      <c r="CM230" s="24"/>
      <c r="CN230" s="61"/>
      <c r="CO230" s="16"/>
      <c r="CP230" s="16"/>
      <c r="CQ230" s="16"/>
      <c r="CR230" s="16"/>
      <c r="CS230" s="16"/>
      <c r="CT230" s="17"/>
      <c r="CX230" s="24"/>
      <c r="CY230" s="60"/>
      <c r="CZ230" s="16"/>
      <c r="DA230" s="16"/>
      <c r="DB230" s="16"/>
      <c r="DC230" s="16"/>
      <c r="DD230" s="16"/>
      <c r="DE230" s="17"/>
      <c r="DI230" s="24"/>
      <c r="DJ230" s="60"/>
      <c r="DK230" s="16"/>
      <c r="DL230" s="16"/>
      <c r="DM230" s="16"/>
      <c r="DN230" s="16"/>
      <c r="DO230" s="16"/>
      <c r="DP230" s="17"/>
      <c r="DT230" s="24"/>
      <c r="DU230" s="60"/>
      <c r="DV230" s="16"/>
      <c r="DW230" s="16"/>
      <c r="DX230" s="16"/>
      <c r="DY230" s="16"/>
      <c r="DZ230" s="16"/>
      <c r="EA230" s="17"/>
      <c r="EE230" s="24"/>
      <c r="EF230" s="60"/>
      <c r="EG230" s="16"/>
      <c r="EH230" s="16"/>
      <c r="EI230" s="16"/>
      <c r="EJ230" s="16"/>
      <c r="EK230" s="16"/>
      <c r="EL230" s="17"/>
      <c r="EP230" s="24"/>
      <c r="EQ230" s="60"/>
      <c r="ER230" s="16"/>
      <c r="ES230" s="16"/>
      <c r="ET230" s="16"/>
      <c r="EU230" s="16"/>
      <c r="EV230" s="16"/>
      <c r="EW230" s="17"/>
      <c r="FA230" s="24"/>
      <c r="FB230" s="60"/>
      <c r="FC230" s="16"/>
      <c r="FD230" s="16"/>
      <c r="FE230" s="16"/>
      <c r="FF230" s="16"/>
      <c r="FG230" s="16"/>
      <c r="FH230" s="17"/>
      <c r="FL230" s="24"/>
      <c r="FM230" s="60"/>
      <c r="FN230" s="16"/>
      <c r="FO230" s="16"/>
      <c r="FP230" s="16"/>
      <c r="FQ230" s="16"/>
      <c r="FR230" s="16"/>
      <c r="FS230" s="17"/>
      <c r="FW230" s="24"/>
      <c r="FX230" s="60"/>
      <c r="FY230" s="16"/>
      <c r="FZ230" s="16"/>
      <c r="GA230" s="16"/>
      <c r="GB230" s="16"/>
      <c r="GC230" s="16"/>
      <c r="GD230" s="17"/>
      <c r="GH230" s="24"/>
      <c r="GI230" s="60"/>
      <c r="GJ230" s="16"/>
      <c r="GK230" s="16"/>
      <c r="GL230" s="16"/>
      <c r="GM230" s="16"/>
      <c r="GN230" s="16"/>
      <c r="GO230" s="17"/>
      <c r="GS230" s="24"/>
      <c r="GT230" s="60"/>
      <c r="GU230" s="16"/>
      <c r="GV230" s="16"/>
      <c r="GW230" s="16"/>
      <c r="GX230" s="16"/>
      <c r="GY230" s="16"/>
      <c r="GZ230" s="17"/>
      <c r="HD230" s="24"/>
      <c r="HE230" s="60"/>
      <c r="HF230" s="16"/>
      <c r="HG230" s="16"/>
      <c r="HH230" s="16"/>
      <c r="HI230" s="16"/>
      <c r="HJ230" s="16"/>
      <c r="HK230" s="17"/>
      <c r="HO230" s="24"/>
      <c r="HP230" s="60"/>
      <c r="HQ230" s="16"/>
      <c r="HR230" s="16"/>
      <c r="HS230" s="16"/>
      <c r="HT230" s="16"/>
      <c r="HU230" s="16"/>
      <c r="HV230" s="17"/>
      <c r="HZ230" s="24"/>
      <c r="IA230" s="60"/>
      <c r="IB230" s="16"/>
      <c r="IC230" s="16"/>
      <c r="ID230" s="16"/>
      <c r="IE230" s="16"/>
      <c r="IF230" s="16"/>
      <c r="IG230" s="17"/>
      <c r="IK230" s="24"/>
      <c r="IL230" s="60"/>
      <c r="IM230" s="16"/>
      <c r="IN230" s="16"/>
      <c r="IO230" s="16"/>
      <c r="IP230" s="16"/>
      <c r="IQ230" s="16"/>
      <c r="IR230" s="17"/>
      <c r="IV230" s="24"/>
      <c r="IW230" s="60"/>
      <c r="IX230" s="16"/>
      <c r="IY230" s="16"/>
      <c r="IZ230" s="16"/>
      <c r="JA230" s="16"/>
      <c r="JB230" s="16"/>
      <c r="JC230" s="17"/>
      <c r="JG230" s="24"/>
      <c r="JH230" s="60"/>
      <c r="JI230" s="16"/>
      <c r="JJ230" s="16"/>
      <c r="JK230" s="16"/>
      <c r="JL230" s="16"/>
      <c r="JM230" s="16"/>
      <c r="JN230" s="17"/>
      <c r="JR230" s="24"/>
      <c r="JS230" s="60"/>
      <c r="JT230" s="16"/>
      <c r="JU230" s="16"/>
      <c r="JV230" s="16"/>
      <c r="JW230" s="16"/>
      <c r="JX230" s="16"/>
      <c r="JY230" s="17"/>
      <c r="KC230" s="24"/>
      <c r="KD230" s="60"/>
      <c r="KE230" s="16"/>
      <c r="KF230" s="16"/>
      <c r="KG230" s="16"/>
      <c r="KH230" s="16"/>
      <c r="KI230" s="16"/>
      <c r="KJ230" s="17"/>
      <c r="KN230" s="24"/>
      <c r="KO230" s="60"/>
      <c r="KP230" s="16"/>
      <c r="KQ230" s="16"/>
      <c r="KR230" s="16"/>
      <c r="KS230" s="16"/>
      <c r="KT230" s="16"/>
      <c r="KU230" s="17"/>
      <c r="KY230" s="24"/>
      <c r="KZ230" s="60"/>
      <c r="LA230" s="16"/>
      <c r="LB230" s="16"/>
      <c r="LC230" s="16"/>
      <c r="LD230" s="16"/>
      <c r="LE230" s="16"/>
      <c r="LF230" s="17"/>
      <c r="LJ230" s="24"/>
      <c r="LK230" s="60"/>
      <c r="LL230" s="16"/>
      <c r="LM230" s="16"/>
      <c r="LN230" s="16"/>
      <c r="LO230" s="16"/>
      <c r="LP230" s="16"/>
      <c r="LQ230" s="17"/>
    </row>
    <row r="231">
      <c r="C231" s="31"/>
      <c r="D231" s="61"/>
      <c r="E231" s="16"/>
      <c r="F231" s="16"/>
      <c r="G231" s="21"/>
      <c r="H231" s="16"/>
      <c r="I231" s="16"/>
      <c r="J231" s="17"/>
      <c r="N231" s="17"/>
      <c r="O231" s="61"/>
      <c r="P231" s="16"/>
      <c r="Q231" s="16"/>
      <c r="R231" s="16"/>
      <c r="S231" s="16"/>
      <c r="T231" s="16"/>
      <c r="U231" s="17"/>
      <c r="Y231" s="24"/>
      <c r="Z231" s="61"/>
      <c r="AA231" s="16"/>
      <c r="AB231" s="16"/>
      <c r="AC231" s="16"/>
      <c r="AD231" s="16"/>
      <c r="AE231" s="16"/>
      <c r="AF231" s="17"/>
      <c r="AJ231" s="24"/>
      <c r="AK231" s="61"/>
      <c r="AL231" s="16"/>
      <c r="AM231" s="16"/>
      <c r="AN231" s="16"/>
      <c r="AO231" s="16"/>
      <c r="AP231" s="16"/>
      <c r="AQ231" s="17"/>
      <c r="AU231" s="24"/>
      <c r="AV231" s="61"/>
      <c r="AW231" s="16"/>
      <c r="AX231" s="16"/>
      <c r="AY231" s="16"/>
      <c r="AZ231" s="16"/>
      <c r="BA231" s="16"/>
      <c r="BB231" s="17"/>
      <c r="BF231" s="24"/>
      <c r="BG231" s="61"/>
      <c r="BH231" s="16"/>
      <c r="BI231" s="16"/>
      <c r="BJ231" s="16"/>
      <c r="BK231" s="16"/>
      <c r="BL231" s="16"/>
      <c r="BM231" s="17"/>
      <c r="BQ231" s="24"/>
      <c r="BR231" s="61"/>
      <c r="BS231" s="16"/>
      <c r="BT231" s="16"/>
      <c r="BU231" s="16"/>
      <c r="BV231" s="16"/>
      <c r="BW231" s="16"/>
      <c r="BX231" s="17"/>
      <c r="CB231" s="24"/>
      <c r="CC231" s="61"/>
      <c r="CD231" s="16"/>
      <c r="CE231" s="16"/>
      <c r="CF231" s="16"/>
      <c r="CG231" s="16"/>
      <c r="CH231" s="16"/>
      <c r="CI231" s="17"/>
      <c r="CM231" s="24"/>
      <c r="CN231" s="61"/>
      <c r="CO231" s="16"/>
      <c r="CP231" s="16"/>
      <c r="CQ231" s="16"/>
      <c r="CR231" s="16"/>
      <c r="CS231" s="16"/>
      <c r="CT231" s="17"/>
      <c r="CX231" s="24"/>
      <c r="CY231" s="60"/>
      <c r="CZ231" s="16"/>
      <c r="DA231" s="16"/>
      <c r="DB231" s="16"/>
      <c r="DC231" s="16"/>
      <c r="DD231" s="16"/>
      <c r="DE231" s="17"/>
      <c r="DI231" s="24"/>
      <c r="DJ231" s="60"/>
      <c r="DK231" s="16"/>
      <c r="DL231" s="16"/>
      <c r="DM231" s="16"/>
      <c r="DN231" s="16"/>
      <c r="DO231" s="16"/>
      <c r="DP231" s="17"/>
      <c r="DT231" s="24"/>
      <c r="DU231" s="60"/>
      <c r="DV231" s="16"/>
      <c r="DW231" s="16"/>
      <c r="DX231" s="16"/>
      <c r="DY231" s="16"/>
      <c r="DZ231" s="16"/>
      <c r="EA231" s="17"/>
      <c r="EE231" s="24"/>
      <c r="EF231" s="60"/>
      <c r="EG231" s="16"/>
      <c r="EH231" s="16"/>
      <c r="EI231" s="16"/>
      <c r="EJ231" s="16"/>
      <c r="EK231" s="16"/>
      <c r="EL231" s="17"/>
      <c r="EP231" s="24"/>
      <c r="EQ231" s="60"/>
      <c r="ER231" s="16"/>
      <c r="ES231" s="16"/>
      <c r="ET231" s="16"/>
      <c r="EU231" s="16"/>
      <c r="EV231" s="16"/>
      <c r="EW231" s="17"/>
      <c r="FA231" s="24"/>
      <c r="FB231" s="60"/>
      <c r="FC231" s="16"/>
      <c r="FD231" s="16"/>
      <c r="FE231" s="16"/>
      <c r="FF231" s="16"/>
      <c r="FG231" s="16"/>
      <c r="FH231" s="17"/>
      <c r="FL231" s="24"/>
      <c r="FM231" s="60"/>
      <c r="FN231" s="16"/>
      <c r="FO231" s="16"/>
      <c r="FP231" s="16"/>
      <c r="FQ231" s="16"/>
      <c r="FR231" s="16"/>
      <c r="FS231" s="17"/>
      <c r="FW231" s="24"/>
      <c r="FX231" s="60"/>
      <c r="FY231" s="16"/>
      <c r="FZ231" s="16"/>
      <c r="GA231" s="16"/>
      <c r="GB231" s="16"/>
      <c r="GC231" s="16"/>
      <c r="GD231" s="17"/>
      <c r="GH231" s="24"/>
      <c r="GI231" s="60"/>
      <c r="GJ231" s="16"/>
      <c r="GK231" s="16"/>
      <c r="GL231" s="16"/>
      <c r="GM231" s="16"/>
      <c r="GN231" s="16"/>
      <c r="GO231" s="17"/>
      <c r="GS231" s="24"/>
      <c r="GT231" s="60"/>
      <c r="GU231" s="16"/>
      <c r="GV231" s="16"/>
      <c r="GW231" s="16"/>
      <c r="GX231" s="16"/>
      <c r="GY231" s="16"/>
      <c r="GZ231" s="17"/>
      <c r="HD231" s="24"/>
      <c r="HE231" s="60"/>
      <c r="HF231" s="16"/>
      <c r="HG231" s="16"/>
      <c r="HH231" s="16"/>
      <c r="HI231" s="16"/>
      <c r="HJ231" s="16"/>
      <c r="HK231" s="17"/>
      <c r="HO231" s="24"/>
      <c r="HP231" s="60"/>
      <c r="HQ231" s="16"/>
      <c r="HR231" s="16"/>
      <c r="HS231" s="16"/>
      <c r="HT231" s="16"/>
      <c r="HU231" s="16"/>
      <c r="HV231" s="17"/>
      <c r="HZ231" s="24"/>
      <c r="IA231" s="60"/>
      <c r="IB231" s="16"/>
      <c r="IC231" s="16"/>
      <c r="ID231" s="16"/>
      <c r="IE231" s="16"/>
      <c r="IF231" s="16"/>
      <c r="IG231" s="17"/>
      <c r="IK231" s="24"/>
      <c r="IL231" s="60"/>
      <c r="IM231" s="16"/>
      <c r="IN231" s="16"/>
      <c r="IO231" s="16"/>
      <c r="IP231" s="16"/>
      <c r="IQ231" s="16"/>
      <c r="IR231" s="17"/>
      <c r="IV231" s="24"/>
      <c r="IW231" s="60"/>
      <c r="IX231" s="16"/>
      <c r="IY231" s="16"/>
      <c r="IZ231" s="16"/>
      <c r="JA231" s="16"/>
      <c r="JB231" s="16"/>
      <c r="JC231" s="17"/>
      <c r="JG231" s="24"/>
      <c r="JH231" s="60"/>
      <c r="JI231" s="16"/>
      <c r="JJ231" s="16"/>
      <c r="JK231" s="16"/>
      <c r="JL231" s="16"/>
      <c r="JM231" s="16"/>
      <c r="JN231" s="17"/>
      <c r="JR231" s="24"/>
      <c r="JS231" s="60"/>
      <c r="JT231" s="16"/>
      <c r="JU231" s="16"/>
      <c r="JV231" s="16"/>
      <c r="JW231" s="16"/>
      <c r="JX231" s="16"/>
      <c r="JY231" s="17"/>
      <c r="KC231" s="24"/>
      <c r="KD231" s="60"/>
      <c r="KE231" s="16"/>
      <c r="KF231" s="16"/>
      <c r="KG231" s="16"/>
      <c r="KH231" s="16"/>
      <c r="KI231" s="16"/>
      <c r="KJ231" s="17"/>
      <c r="KN231" s="24"/>
      <c r="KO231" s="60"/>
      <c r="KP231" s="16"/>
      <c r="KQ231" s="16"/>
      <c r="KR231" s="16"/>
      <c r="KS231" s="16"/>
      <c r="KT231" s="16"/>
      <c r="KU231" s="17"/>
      <c r="KY231" s="24"/>
      <c r="KZ231" s="60"/>
      <c r="LA231" s="16"/>
      <c r="LB231" s="16"/>
      <c r="LC231" s="16"/>
      <c r="LD231" s="16"/>
      <c r="LE231" s="16"/>
      <c r="LF231" s="17"/>
      <c r="LJ231" s="24"/>
      <c r="LK231" s="60"/>
      <c r="LL231" s="16"/>
      <c r="LM231" s="16"/>
      <c r="LN231" s="16"/>
      <c r="LO231" s="16"/>
      <c r="LP231" s="16"/>
      <c r="LQ231" s="17"/>
    </row>
    <row r="232">
      <c r="C232" s="31"/>
      <c r="D232" s="61"/>
      <c r="E232" s="16"/>
      <c r="F232" s="16"/>
      <c r="G232" s="21"/>
      <c r="H232" s="16"/>
      <c r="I232" s="16"/>
      <c r="J232" s="17"/>
      <c r="N232" s="17"/>
      <c r="O232" s="61"/>
      <c r="P232" s="16"/>
      <c r="Q232" s="16"/>
      <c r="R232" s="16"/>
      <c r="S232" s="16"/>
      <c r="T232" s="16"/>
      <c r="U232" s="17"/>
      <c r="Y232" s="24"/>
      <c r="Z232" s="61"/>
      <c r="AA232" s="16"/>
      <c r="AB232" s="16"/>
      <c r="AC232" s="16"/>
      <c r="AD232" s="16"/>
      <c r="AE232" s="16"/>
      <c r="AF232" s="17"/>
      <c r="AJ232" s="24"/>
      <c r="AK232" s="61"/>
      <c r="AL232" s="16"/>
      <c r="AM232" s="16"/>
      <c r="AN232" s="16"/>
      <c r="AO232" s="16"/>
      <c r="AP232" s="16"/>
      <c r="AQ232" s="17"/>
      <c r="AU232" s="24"/>
      <c r="AV232" s="61"/>
      <c r="AW232" s="16"/>
      <c r="AX232" s="16"/>
      <c r="AY232" s="16"/>
      <c r="AZ232" s="16"/>
      <c r="BA232" s="16"/>
      <c r="BB232" s="17"/>
      <c r="BF232" s="24"/>
      <c r="BG232" s="61"/>
      <c r="BH232" s="16"/>
      <c r="BI232" s="16"/>
      <c r="BJ232" s="16"/>
      <c r="BK232" s="16"/>
      <c r="BL232" s="16"/>
      <c r="BM232" s="17"/>
      <c r="BQ232" s="24"/>
      <c r="BR232" s="61"/>
      <c r="BS232" s="16"/>
      <c r="BT232" s="16"/>
      <c r="BU232" s="16"/>
      <c r="BV232" s="16"/>
      <c r="BW232" s="16"/>
      <c r="BX232" s="17"/>
      <c r="CB232" s="24"/>
      <c r="CC232" s="61"/>
      <c r="CD232" s="16"/>
      <c r="CE232" s="16"/>
      <c r="CF232" s="16"/>
      <c r="CG232" s="16"/>
      <c r="CH232" s="16"/>
      <c r="CI232" s="17"/>
      <c r="CM232" s="24"/>
      <c r="CN232" s="61"/>
      <c r="CO232" s="16"/>
      <c r="CP232" s="16"/>
      <c r="CQ232" s="16"/>
      <c r="CR232" s="16"/>
      <c r="CS232" s="16"/>
      <c r="CT232" s="17"/>
      <c r="CX232" s="24"/>
      <c r="CY232" s="60"/>
      <c r="CZ232" s="16"/>
      <c r="DA232" s="16"/>
      <c r="DB232" s="16"/>
      <c r="DC232" s="16"/>
      <c r="DD232" s="16"/>
      <c r="DE232" s="17"/>
      <c r="DI232" s="24"/>
      <c r="DJ232" s="60"/>
      <c r="DK232" s="16"/>
      <c r="DL232" s="16"/>
      <c r="DM232" s="16"/>
      <c r="DN232" s="16"/>
      <c r="DO232" s="16"/>
      <c r="DP232" s="17"/>
      <c r="DT232" s="24"/>
      <c r="DU232" s="60"/>
      <c r="DV232" s="16"/>
      <c r="DW232" s="16"/>
      <c r="DX232" s="16"/>
      <c r="DY232" s="16"/>
      <c r="DZ232" s="16"/>
      <c r="EA232" s="17"/>
      <c r="EE232" s="24"/>
      <c r="EF232" s="60"/>
      <c r="EG232" s="16"/>
      <c r="EH232" s="16"/>
      <c r="EI232" s="16"/>
      <c r="EJ232" s="16"/>
      <c r="EK232" s="16"/>
      <c r="EL232" s="17"/>
      <c r="EP232" s="24"/>
      <c r="EQ232" s="60"/>
      <c r="ER232" s="16"/>
      <c r="ES232" s="16"/>
      <c r="ET232" s="16"/>
      <c r="EU232" s="16"/>
      <c r="EV232" s="16"/>
      <c r="EW232" s="17"/>
      <c r="FA232" s="24"/>
      <c r="FB232" s="60"/>
      <c r="FC232" s="16"/>
      <c r="FD232" s="16"/>
      <c r="FE232" s="16"/>
      <c r="FF232" s="16"/>
      <c r="FG232" s="16"/>
      <c r="FH232" s="17"/>
      <c r="FL232" s="24"/>
      <c r="FM232" s="60"/>
      <c r="FN232" s="16"/>
      <c r="FO232" s="16"/>
      <c r="FP232" s="16"/>
      <c r="FQ232" s="16"/>
      <c r="FR232" s="16"/>
      <c r="FS232" s="17"/>
      <c r="FW232" s="24"/>
      <c r="FX232" s="60"/>
      <c r="FY232" s="16"/>
      <c r="FZ232" s="16"/>
      <c r="GA232" s="16"/>
      <c r="GB232" s="16"/>
      <c r="GC232" s="16"/>
      <c r="GD232" s="17"/>
      <c r="GH232" s="24"/>
      <c r="GI232" s="60"/>
      <c r="GJ232" s="16"/>
      <c r="GK232" s="16"/>
      <c r="GL232" s="16"/>
      <c r="GM232" s="16"/>
      <c r="GN232" s="16"/>
      <c r="GO232" s="17"/>
      <c r="GS232" s="24"/>
      <c r="GT232" s="60"/>
      <c r="GU232" s="16"/>
      <c r="GV232" s="16"/>
      <c r="GW232" s="16"/>
      <c r="GX232" s="16"/>
      <c r="GY232" s="16"/>
      <c r="GZ232" s="17"/>
      <c r="HD232" s="24"/>
      <c r="HE232" s="60"/>
      <c r="HF232" s="16"/>
      <c r="HG232" s="16"/>
      <c r="HH232" s="16"/>
      <c r="HI232" s="16"/>
      <c r="HJ232" s="16"/>
      <c r="HK232" s="17"/>
      <c r="HO232" s="24"/>
      <c r="HP232" s="60"/>
      <c r="HQ232" s="16"/>
      <c r="HR232" s="16"/>
      <c r="HS232" s="16"/>
      <c r="HT232" s="16"/>
      <c r="HU232" s="16"/>
      <c r="HV232" s="17"/>
      <c r="HZ232" s="24"/>
      <c r="IA232" s="60"/>
      <c r="IB232" s="16"/>
      <c r="IC232" s="16"/>
      <c r="ID232" s="16"/>
      <c r="IE232" s="16"/>
      <c r="IF232" s="16"/>
      <c r="IG232" s="17"/>
      <c r="IK232" s="24"/>
      <c r="IL232" s="60"/>
      <c r="IM232" s="16"/>
      <c r="IN232" s="16"/>
      <c r="IO232" s="16"/>
      <c r="IP232" s="16"/>
      <c r="IQ232" s="16"/>
      <c r="IR232" s="17"/>
      <c r="IV232" s="24"/>
      <c r="IW232" s="60"/>
      <c r="IX232" s="16"/>
      <c r="IY232" s="16"/>
      <c r="IZ232" s="16"/>
      <c r="JA232" s="16"/>
      <c r="JB232" s="16"/>
      <c r="JC232" s="17"/>
      <c r="JG232" s="24"/>
      <c r="JH232" s="60"/>
      <c r="JI232" s="16"/>
      <c r="JJ232" s="16"/>
      <c r="JK232" s="16"/>
      <c r="JL232" s="16"/>
      <c r="JM232" s="16"/>
      <c r="JN232" s="17"/>
      <c r="JR232" s="24"/>
      <c r="JS232" s="60"/>
      <c r="JT232" s="16"/>
      <c r="JU232" s="16"/>
      <c r="JV232" s="16"/>
      <c r="JW232" s="16"/>
      <c r="JX232" s="16"/>
      <c r="JY232" s="17"/>
      <c r="KC232" s="24"/>
      <c r="KD232" s="60"/>
      <c r="KE232" s="16"/>
      <c r="KF232" s="16"/>
      <c r="KG232" s="16"/>
      <c r="KH232" s="16"/>
      <c r="KI232" s="16"/>
      <c r="KJ232" s="17"/>
      <c r="KN232" s="24"/>
      <c r="KO232" s="60"/>
      <c r="KP232" s="16"/>
      <c r="KQ232" s="16"/>
      <c r="KR232" s="16"/>
      <c r="KS232" s="16"/>
      <c r="KT232" s="16"/>
      <c r="KU232" s="17"/>
      <c r="KY232" s="24"/>
      <c r="KZ232" s="60"/>
      <c r="LA232" s="16"/>
      <c r="LB232" s="16"/>
      <c r="LC232" s="16"/>
      <c r="LD232" s="16"/>
      <c r="LE232" s="16"/>
      <c r="LF232" s="17"/>
      <c r="LJ232" s="24"/>
      <c r="LK232" s="60"/>
      <c r="LL232" s="16"/>
      <c r="LM232" s="16"/>
      <c r="LN232" s="16"/>
      <c r="LO232" s="16"/>
      <c r="LP232" s="16"/>
      <c r="LQ232" s="17"/>
    </row>
    <row r="233">
      <c r="C233" s="31"/>
      <c r="D233" s="61"/>
      <c r="E233" s="16"/>
      <c r="F233" s="16"/>
      <c r="G233" s="21"/>
      <c r="H233" s="16"/>
      <c r="I233" s="16"/>
      <c r="J233" s="17"/>
      <c r="N233" s="17"/>
      <c r="O233" s="61"/>
      <c r="P233" s="16"/>
      <c r="Q233" s="16"/>
      <c r="R233" s="16"/>
      <c r="S233" s="16"/>
      <c r="T233" s="16"/>
      <c r="U233" s="17"/>
      <c r="Y233" s="24"/>
      <c r="Z233" s="61"/>
      <c r="AA233" s="16"/>
      <c r="AB233" s="16"/>
      <c r="AC233" s="16"/>
      <c r="AD233" s="16"/>
      <c r="AE233" s="16"/>
      <c r="AF233" s="17"/>
      <c r="AJ233" s="24"/>
      <c r="AK233" s="61"/>
      <c r="AL233" s="16"/>
      <c r="AM233" s="16"/>
      <c r="AN233" s="16"/>
      <c r="AO233" s="16"/>
      <c r="AP233" s="16"/>
      <c r="AQ233" s="17"/>
      <c r="AU233" s="24"/>
      <c r="AV233" s="61"/>
      <c r="AW233" s="16"/>
      <c r="AX233" s="16"/>
      <c r="AY233" s="16"/>
      <c r="AZ233" s="16"/>
      <c r="BA233" s="16"/>
      <c r="BB233" s="17"/>
      <c r="BF233" s="24"/>
      <c r="BG233" s="61"/>
      <c r="BH233" s="16"/>
      <c r="BI233" s="16"/>
      <c r="BJ233" s="16"/>
      <c r="BK233" s="16"/>
      <c r="BL233" s="16"/>
      <c r="BM233" s="17"/>
      <c r="BQ233" s="24"/>
      <c r="BR233" s="61"/>
      <c r="BS233" s="16"/>
      <c r="BT233" s="16"/>
      <c r="BU233" s="16"/>
      <c r="BV233" s="16"/>
      <c r="BW233" s="16"/>
      <c r="BX233" s="17"/>
      <c r="CB233" s="24"/>
      <c r="CC233" s="61"/>
      <c r="CD233" s="16"/>
      <c r="CE233" s="16"/>
      <c r="CF233" s="16"/>
      <c r="CG233" s="16"/>
      <c r="CH233" s="16"/>
      <c r="CI233" s="17"/>
      <c r="CM233" s="24"/>
      <c r="CN233" s="61"/>
      <c r="CO233" s="16"/>
      <c r="CP233" s="16"/>
      <c r="CQ233" s="16"/>
      <c r="CR233" s="16"/>
      <c r="CS233" s="16"/>
      <c r="CT233" s="17"/>
      <c r="CX233" s="24"/>
      <c r="CY233" s="60"/>
      <c r="CZ233" s="16"/>
      <c r="DA233" s="16"/>
      <c r="DB233" s="16"/>
      <c r="DC233" s="16"/>
      <c r="DD233" s="16"/>
      <c r="DE233" s="17"/>
      <c r="DI233" s="24"/>
      <c r="DJ233" s="60"/>
      <c r="DK233" s="16"/>
      <c r="DL233" s="16"/>
      <c r="DM233" s="16"/>
      <c r="DN233" s="16"/>
      <c r="DO233" s="16"/>
      <c r="DP233" s="17"/>
      <c r="DT233" s="24"/>
      <c r="DU233" s="60"/>
      <c r="DV233" s="16"/>
      <c r="DW233" s="16"/>
      <c r="DX233" s="16"/>
      <c r="DY233" s="16"/>
      <c r="DZ233" s="16"/>
      <c r="EA233" s="17"/>
      <c r="EE233" s="24"/>
      <c r="EF233" s="60"/>
      <c r="EG233" s="16"/>
      <c r="EH233" s="16"/>
      <c r="EI233" s="16"/>
      <c r="EJ233" s="16"/>
      <c r="EK233" s="16"/>
      <c r="EL233" s="17"/>
      <c r="EP233" s="24"/>
      <c r="EQ233" s="60"/>
      <c r="ER233" s="16"/>
      <c r="ES233" s="16"/>
      <c r="ET233" s="16"/>
      <c r="EU233" s="16"/>
      <c r="EV233" s="16"/>
      <c r="EW233" s="17"/>
      <c r="FA233" s="24"/>
      <c r="FB233" s="60"/>
      <c r="FC233" s="16"/>
      <c r="FD233" s="16"/>
      <c r="FE233" s="16"/>
      <c r="FF233" s="16"/>
      <c r="FG233" s="16"/>
      <c r="FH233" s="17"/>
      <c r="FL233" s="24"/>
      <c r="FM233" s="60"/>
      <c r="FN233" s="16"/>
      <c r="FO233" s="16"/>
      <c r="FP233" s="16"/>
      <c r="FQ233" s="16"/>
      <c r="FR233" s="16"/>
      <c r="FS233" s="17"/>
      <c r="FW233" s="24"/>
      <c r="FX233" s="60"/>
      <c r="FY233" s="16"/>
      <c r="FZ233" s="16"/>
      <c r="GA233" s="16"/>
      <c r="GB233" s="16"/>
      <c r="GC233" s="16"/>
      <c r="GD233" s="17"/>
      <c r="GH233" s="24"/>
      <c r="GI233" s="60"/>
      <c r="GJ233" s="16"/>
      <c r="GK233" s="16"/>
      <c r="GL233" s="16"/>
      <c r="GM233" s="16"/>
      <c r="GN233" s="16"/>
      <c r="GO233" s="17"/>
      <c r="GS233" s="24"/>
      <c r="GT233" s="60"/>
      <c r="GU233" s="16"/>
      <c r="GV233" s="16"/>
      <c r="GW233" s="16"/>
      <c r="GX233" s="16"/>
      <c r="GY233" s="16"/>
      <c r="GZ233" s="17"/>
      <c r="HD233" s="24"/>
      <c r="HE233" s="60"/>
      <c r="HF233" s="16"/>
      <c r="HG233" s="16"/>
      <c r="HH233" s="16"/>
      <c r="HI233" s="16"/>
      <c r="HJ233" s="16"/>
      <c r="HK233" s="17"/>
      <c r="HO233" s="24"/>
      <c r="HP233" s="60"/>
      <c r="HQ233" s="16"/>
      <c r="HR233" s="16"/>
      <c r="HS233" s="16"/>
      <c r="HT233" s="16"/>
      <c r="HU233" s="16"/>
      <c r="HV233" s="17"/>
      <c r="HZ233" s="24"/>
      <c r="IA233" s="60"/>
      <c r="IB233" s="16"/>
      <c r="IC233" s="16"/>
      <c r="ID233" s="16"/>
      <c r="IE233" s="16"/>
      <c r="IF233" s="16"/>
      <c r="IG233" s="17"/>
      <c r="IK233" s="24"/>
      <c r="IL233" s="60"/>
      <c r="IM233" s="16"/>
      <c r="IN233" s="16"/>
      <c r="IO233" s="16"/>
      <c r="IP233" s="16"/>
      <c r="IQ233" s="16"/>
      <c r="IR233" s="17"/>
      <c r="IV233" s="24"/>
      <c r="IW233" s="60"/>
      <c r="IX233" s="16"/>
      <c r="IY233" s="16"/>
      <c r="IZ233" s="16"/>
      <c r="JA233" s="16"/>
      <c r="JB233" s="16"/>
      <c r="JC233" s="17"/>
      <c r="JG233" s="24"/>
      <c r="JH233" s="60"/>
      <c r="JI233" s="16"/>
      <c r="JJ233" s="16"/>
      <c r="JK233" s="16"/>
      <c r="JL233" s="16"/>
      <c r="JM233" s="16"/>
      <c r="JN233" s="17"/>
      <c r="JR233" s="24"/>
      <c r="JS233" s="60"/>
      <c r="JT233" s="16"/>
      <c r="JU233" s="16"/>
      <c r="JV233" s="16"/>
      <c r="JW233" s="16"/>
      <c r="JX233" s="16"/>
      <c r="JY233" s="17"/>
      <c r="KC233" s="24"/>
      <c r="KD233" s="60"/>
      <c r="KE233" s="16"/>
      <c r="KF233" s="16"/>
      <c r="KG233" s="16"/>
      <c r="KH233" s="16"/>
      <c r="KI233" s="16"/>
      <c r="KJ233" s="17"/>
      <c r="KN233" s="24"/>
      <c r="KO233" s="60"/>
      <c r="KP233" s="16"/>
      <c r="KQ233" s="16"/>
      <c r="KR233" s="16"/>
      <c r="KS233" s="16"/>
      <c r="KT233" s="16"/>
      <c r="KU233" s="17"/>
      <c r="KY233" s="24"/>
      <c r="KZ233" s="60"/>
      <c r="LA233" s="16"/>
      <c r="LB233" s="16"/>
      <c r="LC233" s="16"/>
      <c r="LD233" s="16"/>
      <c r="LE233" s="16"/>
      <c r="LF233" s="17"/>
      <c r="LJ233" s="24"/>
      <c r="LK233" s="60"/>
      <c r="LL233" s="16"/>
      <c r="LM233" s="16"/>
      <c r="LN233" s="16"/>
      <c r="LO233" s="16"/>
      <c r="LP233" s="16"/>
      <c r="LQ233" s="17"/>
    </row>
    <row r="234">
      <c r="C234" s="31"/>
      <c r="D234" s="61"/>
      <c r="E234" s="16"/>
      <c r="F234" s="16"/>
      <c r="G234" s="21"/>
      <c r="H234" s="16"/>
      <c r="I234" s="16"/>
      <c r="J234" s="17"/>
      <c r="N234" s="17"/>
      <c r="O234" s="61"/>
      <c r="P234" s="16"/>
      <c r="Q234" s="16"/>
      <c r="R234" s="16"/>
      <c r="S234" s="16"/>
      <c r="T234" s="16"/>
      <c r="U234" s="17"/>
      <c r="Y234" s="24"/>
      <c r="Z234" s="61"/>
      <c r="AA234" s="16"/>
      <c r="AB234" s="16"/>
      <c r="AC234" s="16"/>
      <c r="AD234" s="16"/>
      <c r="AE234" s="16"/>
      <c r="AF234" s="17"/>
      <c r="AJ234" s="24"/>
      <c r="AK234" s="61"/>
      <c r="AL234" s="16"/>
      <c r="AM234" s="16"/>
      <c r="AN234" s="16"/>
      <c r="AO234" s="16"/>
      <c r="AP234" s="16"/>
      <c r="AQ234" s="17"/>
      <c r="AU234" s="24"/>
      <c r="AV234" s="61"/>
      <c r="AW234" s="16"/>
      <c r="AX234" s="16"/>
      <c r="AY234" s="16"/>
      <c r="AZ234" s="16"/>
      <c r="BA234" s="16"/>
      <c r="BB234" s="17"/>
      <c r="BF234" s="24"/>
      <c r="BG234" s="61"/>
      <c r="BH234" s="16"/>
      <c r="BI234" s="16"/>
      <c r="BJ234" s="16"/>
      <c r="BK234" s="16"/>
      <c r="BL234" s="16"/>
      <c r="BM234" s="17"/>
      <c r="BQ234" s="24"/>
      <c r="BR234" s="61"/>
      <c r="BS234" s="16"/>
      <c r="BT234" s="16"/>
      <c r="BU234" s="16"/>
      <c r="BV234" s="16"/>
      <c r="BW234" s="16"/>
      <c r="BX234" s="17"/>
      <c r="CB234" s="24"/>
      <c r="CC234" s="61"/>
      <c r="CD234" s="16"/>
      <c r="CE234" s="16"/>
      <c r="CF234" s="16"/>
      <c r="CG234" s="16"/>
      <c r="CH234" s="16"/>
      <c r="CI234" s="17"/>
      <c r="CM234" s="24"/>
      <c r="CN234" s="61"/>
      <c r="CO234" s="16"/>
      <c r="CP234" s="16"/>
      <c r="CQ234" s="16"/>
      <c r="CR234" s="16"/>
      <c r="CS234" s="16"/>
      <c r="CT234" s="17"/>
      <c r="CX234" s="24"/>
      <c r="CY234" s="60"/>
      <c r="CZ234" s="16"/>
      <c r="DA234" s="16"/>
      <c r="DB234" s="16"/>
      <c r="DC234" s="16"/>
      <c r="DD234" s="16"/>
      <c r="DE234" s="17"/>
      <c r="DI234" s="24"/>
      <c r="DJ234" s="60"/>
      <c r="DK234" s="16"/>
      <c r="DL234" s="16"/>
      <c r="DM234" s="16"/>
      <c r="DN234" s="16"/>
      <c r="DO234" s="16"/>
      <c r="DP234" s="17"/>
      <c r="DT234" s="24"/>
      <c r="DU234" s="60"/>
      <c r="DV234" s="16"/>
      <c r="DW234" s="16"/>
      <c r="DX234" s="16"/>
      <c r="DY234" s="16"/>
      <c r="DZ234" s="16"/>
      <c r="EA234" s="17"/>
      <c r="EE234" s="24"/>
      <c r="EF234" s="60"/>
      <c r="EG234" s="16"/>
      <c r="EH234" s="16"/>
      <c r="EI234" s="16"/>
      <c r="EJ234" s="16"/>
      <c r="EK234" s="16"/>
      <c r="EL234" s="17"/>
      <c r="EP234" s="24"/>
      <c r="EQ234" s="60"/>
      <c r="ER234" s="16"/>
      <c r="ES234" s="16"/>
      <c r="ET234" s="16"/>
      <c r="EU234" s="16"/>
      <c r="EV234" s="16"/>
      <c r="EW234" s="17"/>
      <c r="FA234" s="24"/>
      <c r="FB234" s="60"/>
      <c r="FC234" s="16"/>
      <c r="FD234" s="16"/>
      <c r="FE234" s="16"/>
      <c r="FF234" s="16"/>
      <c r="FG234" s="16"/>
      <c r="FH234" s="17"/>
      <c r="FL234" s="24"/>
      <c r="FM234" s="60"/>
      <c r="FN234" s="16"/>
      <c r="FO234" s="16"/>
      <c r="FP234" s="16"/>
      <c r="FQ234" s="16"/>
      <c r="FR234" s="16"/>
      <c r="FS234" s="17"/>
      <c r="FW234" s="24"/>
      <c r="FX234" s="60"/>
      <c r="FY234" s="16"/>
      <c r="FZ234" s="16"/>
      <c r="GA234" s="16"/>
      <c r="GB234" s="16"/>
      <c r="GC234" s="16"/>
      <c r="GD234" s="17"/>
      <c r="GH234" s="24"/>
      <c r="GI234" s="60"/>
      <c r="GJ234" s="16"/>
      <c r="GK234" s="16"/>
      <c r="GL234" s="16"/>
      <c r="GM234" s="16"/>
      <c r="GN234" s="16"/>
      <c r="GO234" s="17"/>
      <c r="GS234" s="24"/>
      <c r="GT234" s="60"/>
      <c r="GU234" s="16"/>
      <c r="GV234" s="16"/>
      <c r="GW234" s="16"/>
      <c r="GX234" s="16"/>
      <c r="GY234" s="16"/>
      <c r="GZ234" s="17"/>
      <c r="HD234" s="24"/>
      <c r="HE234" s="60"/>
      <c r="HF234" s="16"/>
      <c r="HG234" s="16"/>
      <c r="HH234" s="16"/>
      <c r="HI234" s="16"/>
      <c r="HJ234" s="16"/>
      <c r="HK234" s="17"/>
      <c r="HO234" s="24"/>
      <c r="HP234" s="60"/>
      <c r="HQ234" s="16"/>
      <c r="HR234" s="16"/>
      <c r="HS234" s="16"/>
      <c r="HT234" s="16"/>
      <c r="HU234" s="16"/>
      <c r="HV234" s="17"/>
      <c r="HZ234" s="24"/>
      <c r="IA234" s="60"/>
      <c r="IB234" s="16"/>
      <c r="IC234" s="16"/>
      <c r="ID234" s="16"/>
      <c r="IE234" s="16"/>
      <c r="IF234" s="16"/>
      <c r="IG234" s="17"/>
      <c r="IK234" s="24"/>
      <c r="IL234" s="60"/>
      <c r="IM234" s="16"/>
      <c r="IN234" s="16"/>
      <c r="IO234" s="16"/>
      <c r="IP234" s="16"/>
      <c r="IQ234" s="16"/>
      <c r="IR234" s="17"/>
      <c r="IV234" s="24"/>
      <c r="IW234" s="60"/>
      <c r="IX234" s="16"/>
      <c r="IY234" s="16"/>
      <c r="IZ234" s="16"/>
      <c r="JA234" s="16"/>
      <c r="JB234" s="16"/>
      <c r="JC234" s="17"/>
      <c r="JG234" s="24"/>
      <c r="JH234" s="60"/>
      <c r="JI234" s="16"/>
      <c r="JJ234" s="16"/>
      <c r="JK234" s="16"/>
      <c r="JL234" s="16"/>
      <c r="JM234" s="16"/>
      <c r="JN234" s="17"/>
      <c r="JR234" s="24"/>
      <c r="JS234" s="60"/>
      <c r="JT234" s="16"/>
      <c r="JU234" s="16"/>
      <c r="JV234" s="16"/>
      <c r="JW234" s="16"/>
      <c r="JX234" s="16"/>
      <c r="JY234" s="17"/>
      <c r="KC234" s="24"/>
      <c r="KD234" s="60"/>
      <c r="KE234" s="16"/>
      <c r="KF234" s="16"/>
      <c r="KG234" s="16"/>
      <c r="KH234" s="16"/>
      <c r="KI234" s="16"/>
      <c r="KJ234" s="17"/>
      <c r="KN234" s="24"/>
      <c r="KO234" s="60"/>
      <c r="KP234" s="16"/>
      <c r="KQ234" s="16"/>
      <c r="KR234" s="16"/>
      <c r="KS234" s="16"/>
      <c r="KT234" s="16"/>
      <c r="KU234" s="17"/>
      <c r="KY234" s="24"/>
      <c r="KZ234" s="60"/>
      <c r="LA234" s="16"/>
      <c r="LB234" s="16"/>
      <c r="LC234" s="16"/>
      <c r="LD234" s="16"/>
      <c r="LE234" s="16"/>
      <c r="LF234" s="17"/>
      <c r="LJ234" s="24"/>
      <c r="LK234" s="60"/>
      <c r="LL234" s="16"/>
      <c r="LM234" s="16"/>
      <c r="LN234" s="16"/>
      <c r="LO234" s="16"/>
      <c r="LP234" s="16"/>
      <c r="LQ234" s="17"/>
    </row>
    <row r="235">
      <c r="C235" s="31"/>
      <c r="D235" s="61"/>
      <c r="E235" s="16"/>
      <c r="F235" s="16"/>
      <c r="G235" s="21"/>
      <c r="H235" s="16"/>
      <c r="I235" s="16"/>
      <c r="J235" s="17"/>
      <c r="N235" s="17"/>
      <c r="O235" s="61"/>
      <c r="P235" s="16"/>
      <c r="Q235" s="16"/>
      <c r="R235" s="16"/>
      <c r="S235" s="16"/>
      <c r="T235" s="16"/>
      <c r="U235" s="17"/>
      <c r="Y235" s="24"/>
      <c r="Z235" s="61"/>
      <c r="AA235" s="16"/>
      <c r="AB235" s="16"/>
      <c r="AC235" s="16"/>
      <c r="AD235" s="16"/>
      <c r="AE235" s="16"/>
      <c r="AF235" s="17"/>
      <c r="AJ235" s="24"/>
      <c r="AK235" s="61"/>
      <c r="AL235" s="16"/>
      <c r="AM235" s="16"/>
      <c r="AN235" s="16"/>
      <c r="AO235" s="16"/>
      <c r="AP235" s="16"/>
      <c r="AQ235" s="17"/>
      <c r="AU235" s="24"/>
      <c r="AV235" s="61"/>
      <c r="AW235" s="16"/>
      <c r="AX235" s="16"/>
      <c r="AY235" s="16"/>
      <c r="AZ235" s="16"/>
      <c r="BA235" s="16"/>
      <c r="BB235" s="17"/>
      <c r="BF235" s="24"/>
      <c r="BG235" s="61"/>
      <c r="BH235" s="16"/>
      <c r="BI235" s="16"/>
      <c r="BJ235" s="16"/>
      <c r="BK235" s="16"/>
      <c r="BL235" s="16"/>
      <c r="BM235" s="17"/>
      <c r="BQ235" s="24"/>
      <c r="BR235" s="61"/>
      <c r="BS235" s="16"/>
      <c r="BT235" s="16"/>
      <c r="BU235" s="16"/>
      <c r="BV235" s="16"/>
      <c r="BW235" s="16"/>
      <c r="BX235" s="17"/>
      <c r="CB235" s="24"/>
      <c r="CC235" s="61"/>
      <c r="CD235" s="16"/>
      <c r="CE235" s="16"/>
      <c r="CF235" s="16"/>
      <c r="CG235" s="16"/>
      <c r="CH235" s="16"/>
      <c r="CI235" s="17"/>
      <c r="CM235" s="24"/>
      <c r="CN235" s="61"/>
      <c r="CO235" s="16"/>
      <c r="CP235" s="16"/>
      <c r="CQ235" s="16"/>
      <c r="CR235" s="16"/>
      <c r="CS235" s="16"/>
      <c r="CT235" s="17"/>
      <c r="CX235" s="24"/>
      <c r="CY235" s="60"/>
      <c r="CZ235" s="16"/>
      <c r="DA235" s="16"/>
      <c r="DB235" s="16"/>
      <c r="DC235" s="16"/>
      <c r="DD235" s="16"/>
      <c r="DE235" s="17"/>
      <c r="DI235" s="24"/>
      <c r="DJ235" s="60"/>
      <c r="DK235" s="16"/>
      <c r="DL235" s="16"/>
      <c r="DM235" s="16"/>
      <c r="DN235" s="16"/>
      <c r="DO235" s="16"/>
      <c r="DP235" s="17"/>
      <c r="DT235" s="24"/>
      <c r="DU235" s="60"/>
      <c r="DV235" s="16"/>
      <c r="DW235" s="16"/>
      <c r="DX235" s="16"/>
      <c r="DY235" s="16"/>
      <c r="DZ235" s="16"/>
      <c r="EA235" s="17"/>
      <c r="EE235" s="24"/>
      <c r="EF235" s="60"/>
      <c r="EG235" s="16"/>
      <c r="EH235" s="16"/>
      <c r="EI235" s="16"/>
      <c r="EJ235" s="16"/>
      <c r="EK235" s="16"/>
      <c r="EL235" s="17"/>
      <c r="EP235" s="24"/>
      <c r="EQ235" s="60"/>
      <c r="ER235" s="16"/>
      <c r="ES235" s="16"/>
      <c r="ET235" s="16"/>
      <c r="EU235" s="16"/>
      <c r="EV235" s="16"/>
      <c r="EW235" s="17"/>
      <c r="FA235" s="24"/>
      <c r="FB235" s="60"/>
      <c r="FC235" s="16"/>
      <c r="FD235" s="16"/>
      <c r="FE235" s="16"/>
      <c r="FF235" s="16"/>
      <c r="FG235" s="16"/>
      <c r="FH235" s="17"/>
      <c r="FL235" s="24"/>
      <c r="FM235" s="60"/>
      <c r="FN235" s="16"/>
      <c r="FO235" s="16"/>
      <c r="FP235" s="16"/>
      <c r="FQ235" s="16"/>
      <c r="FR235" s="16"/>
      <c r="FS235" s="17"/>
      <c r="FW235" s="24"/>
      <c r="FX235" s="60"/>
      <c r="FY235" s="16"/>
      <c r="FZ235" s="16"/>
      <c r="GA235" s="16"/>
      <c r="GB235" s="16"/>
      <c r="GC235" s="16"/>
      <c r="GD235" s="17"/>
      <c r="GH235" s="24"/>
      <c r="GI235" s="60"/>
      <c r="GJ235" s="16"/>
      <c r="GK235" s="16"/>
      <c r="GL235" s="16"/>
      <c r="GM235" s="16"/>
      <c r="GN235" s="16"/>
      <c r="GO235" s="17"/>
      <c r="GS235" s="24"/>
      <c r="GT235" s="60"/>
      <c r="GU235" s="16"/>
      <c r="GV235" s="16"/>
      <c r="GW235" s="16"/>
      <c r="GX235" s="16"/>
      <c r="GY235" s="16"/>
      <c r="GZ235" s="17"/>
      <c r="HD235" s="24"/>
      <c r="HE235" s="60"/>
      <c r="HF235" s="16"/>
      <c r="HG235" s="16"/>
      <c r="HH235" s="16"/>
      <c r="HI235" s="16"/>
      <c r="HJ235" s="16"/>
      <c r="HK235" s="17"/>
      <c r="HO235" s="24"/>
      <c r="HP235" s="60"/>
      <c r="HQ235" s="16"/>
      <c r="HR235" s="16"/>
      <c r="HS235" s="16"/>
      <c r="HT235" s="16"/>
      <c r="HU235" s="16"/>
      <c r="HV235" s="17"/>
      <c r="HZ235" s="24"/>
      <c r="IA235" s="60"/>
      <c r="IB235" s="16"/>
      <c r="IC235" s="16"/>
      <c r="ID235" s="16"/>
      <c r="IE235" s="16"/>
      <c r="IF235" s="16"/>
      <c r="IG235" s="17"/>
      <c r="IK235" s="24"/>
      <c r="IL235" s="60"/>
      <c r="IM235" s="16"/>
      <c r="IN235" s="16"/>
      <c r="IO235" s="16"/>
      <c r="IP235" s="16"/>
      <c r="IQ235" s="16"/>
      <c r="IR235" s="17"/>
      <c r="IV235" s="24"/>
      <c r="IW235" s="60"/>
      <c r="IX235" s="16"/>
      <c r="IY235" s="16"/>
      <c r="IZ235" s="16"/>
      <c r="JA235" s="16"/>
      <c r="JB235" s="16"/>
      <c r="JC235" s="17"/>
      <c r="JG235" s="24"/>
      <c r="JH235" s="60"/>
      <c r="JI235" s="16"/>
      <c r="JJ235" s="16"/>
      <c r="JK235" s="16"/>
      <c r="JL235" s="16"/>
      <c r="JM235" s="16"/>
      <c r="JN235" s="17"/>
      <c r="JR235" s="24"/>
      <c r="JS235" s="60"/>
      <c r="JT235" s="16"/>
      <c r="JU235" s="16"/>
      <c r="JV235" s="16"/>
      <c r="JW235" s="16"/>
      <c r="JX235" s="16"/>
      <c r="JY235" s="17"/>
      <c r="KC235" s="24"/>
      <c r="KD235" s="60"/>
      <c r="KE235" s="16"/>
      <c r="KF235" s="16"/>
      <c r="KG235" s="16"/>
      <c r="KH235" s="16"/>
      <c r="KI235" s="16"/>
      <c r="KJ235" s="17"/>
      <c r="KN235" s="24"/>
      <c r="KO235" s="60"/>
      <c r="KP235" s="16"/>
      <c r="KQ235" s="16"/>
      <c r="KR235" s="16"/>
      <c r="KS235" s="16"/>
      <c r="KT235" s="16"/>
      <c r="KU235" s="17"/>
      <c r="KY235" s="24"/>
      <c r="KZ235" s="60"/>
      <c r="LA235" s="16"/>
      <c r="LB235" s="16"/>
      <c r="LC235" s="16"/>
      <c r="LD235" s="16"/>
      <c r="LE235" s="16"/>
      <c r="LF235" s="17"/>
      <c r="LJ235" s="24"/>
      <c r="LK235" s="60"/>
      <c r="LL235" s="16"/>
      <c r="LM235" s="16"/>
      <c r="LN235" s="16"/>
      <c r="LO235" s="16"/>
      <c r="LP235" s="16"/>
      <c r="LQ235" s="17"/>
    </row>
    <row r="236">
      <c r="C236" s="31"/>
      <c r="D236" s="61"/>
      <c r="E236" s="16"/>
      <c r="F236" s="16"/>
      <c r="G236" s="21"/>
      <c r="H236" s="16"/>
      <c r="I236" s="16"/>
      <c r="J236" s="17"/>
      <c r="N236" s="17"/>
      <c r="O236" s="61"/>
      <c r="P236" s="16"/>
      <c r="Q236" s="16"/>
      <c r="R236" s="16"/>
      <c r="S236" s="16"/>
      <c r="T236" s="16"/>
      <c r="U236" s="17"/>
      <c r="Y236" s="24"/>
      <c r="Z236" s="61"/>
      <c r="AA236" s="16"/>
      <c r="AB236" s="16"/>
      <c r="AC236" s="16"/>
      <c r="AD236" s="16"/>
      <c r="AE236" s="16"/>
      <c r="AF236" s="17"/>
      <c r="AJ236" s="24"/>
      <c r="AK236" s="61"/>
      <c r="AL236" s="16"/>
      <c r="AM236" s="16"/>
      <c r="AN236" s="16"/>
      <c r="AO236" s="16"/>
      <c r="AP236" s="16"/>
      <c r="AQ236" s="17"/>
      <c r="AU236" s="24"/>
      <c r="AV236" s="61"/>
      <c r="AW236" s="16"/>
      <c r="AX236" s="16"/>
      <c r="AY236" s="16"/>
      <c r="AZ236" s="16"/>
      <c r="BA236" s="16"/>
      <c r="BB236" s="17"/>
      <c r="BF236" s="24"/>
      <c r="BG236" s="61"/>
      <c r="BH236" s="16"/>
      <c r="BI236" s="16"/>
      <c r="BJ236" s="16"/>
      <c r="BK236" s="16"/>
      <c r="BL236" s="16"/>
      <c r="BM236" s="17"/>
      <c r="BQ236" s="24"/>
      <c r="BR236" s="61"/>
      <c r="BS236" s="16"/>
      <c r="BT236" s="16"/>
      <c r="BU236" s="16"/>
      <c r="BV236" s="16"/>
      <c r="BW236" s="16"/>
      <c r="BX236" s="17"/>
      <c r="CB236" s="24"/>
      <c r="CC236" s="61"/>
      <c r="CD236" s="16"/>
      <c r="CE236" s="16"/>
      <c r="CF236" s="16"/>
      <c r="CG236" s="16"/>
      <c r="CH236" s="16"/>
      <c r="CI236" s="17"/>
      <c r="CM236" s="24"/>
      <c r="CN236" s="61"/>
      <c r="CO236" s="16"/>
      <c r="CP236" s="16"/>
      <c r="CQ236" s="16"/>
      <c r="CR236" s="16"/>
      <c r="CS236" s="16"/>
      <c r="CT236" s="17"/>
      <c r="CX236" s="24"/>
      <c r="CY236" s="60"/>
      <c r="CZ236" s="16"/>
      <c r="DA236" s="16"/>
      <c r="DB236" s="16"/>
      <c r="DC236" s="16"/>
      <c r="DD236" s="16"/>
      <c r="DE236" s="17"/>
      <c r="DI236" s="24"/>
      <c r="DJ236" s="60"/>
      <c r="DK236" s="16"/>
      <c r="DL236" s="16"/>
      <c r="DM236" s="16"/>
      <c r="DN236" s="16"/>
      <c r="DO236" s="16"/>
      <c r="DP236" s="17"/>
      <c r="DT236" s="24"/>
      <c r="DU236" s="60"/>
      <c r="DV236" s="16"/>
      <c r="DW236" s="16"/>
      <c r="DX236" s="16"/>
      <c r="DY236" s="16"/>
      <c r="DZ236" s="16"/>
      <c r="EA236" s="17"/>
      <c r="EE236" s="24"/>
      <c r="EF236" s="60"/>
      <c r="EG236" s="16"/>
      <c r="EH236" s="16"/>
      <c r="EI236" s="16"/>
      <c r="EJ236" s="16"/>
      <c r="EK236" s="16"/>
      <c r="EL236" s="17"/>
      <c r="EP236" s="24"/>
      <c r="EQ236" s="60"/>
      <c r="ER236" s="16"/>
      <c r="ES236" s="16"/>
      <c r="ET236" s="16"/>
      <c r="EU236" s="16"/>
      <c r="EV236" s="16"/>
      <c r="EW236" s="17"/>
      <c r="FA236" s="24"/>
      <c r="FB236" s="60"/>
      <c r="FC236" s="16"/>
      <c r="FD236" s="16"/>
      <c r="FE236" s="16"/>
      <c r="FF236" s="16"/>
      <c r="FG236" s="16"/>
      <c r="FH236" s="17"/>
      <c r="FL236" s="24"/>
      <c r="FM236" s="60"/>
      <c r="FN236" s="16"/>
      <c r="FO236" s="16"/>
      <c r="FP236" s="16"/>
      <c r="FQ236" s="16"/>
      <c r="FR236" s="16"/>
      <c r="FS236" s="17"/>
      <c r="FW236" s="24"/>
      <c r="FX236" s="60"/>
      <c r="FY236" s="16"/>
      <c r="FZ236" s="16"/>
      <c r="GA236" s="16"/>
      <c r="GB236" s="16"/>
      <c r="GC236" s="16"/>
      <c r="GD236" s="17"/>
      <c r="GH236" s="24"/>
      <c r="GI236" s="60"/>
      <c r="GJ236" s="16"/>
      <c r="GK236" s="16"/>
      <c r="GL236" s="16"/>
      <c r="GM236" s="16"/>
      <c r="GN236" s="16"/>
      <c r="GO236" s="17"/>
      <c r="GS236" s="24"/>
      <c r="GT236" s="60"/>
      <c r="GU236" s="16"/>
      <c r="GV236" s="16"/>
      <c r="GW236" s="16"/>
      <c r="GX236" s="16"/>
      <c r="GY236" s="16"/>
      <c r="GZ236" s="17"/>
      <c r="HD236" s="24"/>
      <c r="HE236" s="60"/>
      <c r="HF236" s="16"/>
      <c r="HG236" s="16"/>
      <c r="HH236" s="16"/>
      <c r="HI236" s="16"/>
      <c r="HJ236" s="16"/>
      <c r="HK236" s="17"/>
      <c r="HO236" s="24"/>
      <c r="HP236" s="60"/>
      <c r="HQ236" s="16"/>
      <c r="HR236" s="16"/>
      <c r="HS236" s="16"/>
      <c r="HT236" s="16"/>
      <c r="HU236" s="16"/>
      <c r="HV236" s="17"/>
      <c r="HZ236" s="24"/>
      <c r="IA236" s="60"/>
      <c r="IB236" s="16"/>
      <c r="IC236" s="16"/>
      <c r="ID236" s="16"/>
      <c r="IE236" s="16"/>
      <c r="IF236" s="16"/>
      <c r="IG236" s="17"/>
      <c r="IK236" s="24"/>
      <c r="IL236" s="60"/>
      <c r="IM236" s="16"/>
      <c r="IN236" s="16"/>
      <c r="IO236" s="16"/>
      <c r="IP236" s="16"/>
      <c r="IQ236" s="16"/>
      <c r="IR236" s="17"/>
      <c r="IV236" s="24"/>
      <c r="IW236" s="60"/>
      <c r="IX236" s="16"/>
      <c r="IY236" s="16"/>
      <c r="IZ236" s="16"/>
      <c r="JA236" s="16"/>
      <c r="JB236" s="16"/>
      <c r="JC236" s="17"/>
      <c r="JG236" s="24"/>
      <c r="JH236" s="60"/>
      <c r="JI236" s="16"/>
      <c r="JJ236" s="16"/>
      <c r="JK236" s="16"/>
      <c r="JL236" s="16"/>
      <c r="JM236" s="16"/>
      <c r="JN236" s="17"/>
      <c r="JR236" s="24"/>
      <c r="JS236" s="60"/>
      <c r="JT236" s="16"/>
      <c r="JU236" s="16"/>
      <c r="JV236" s="16"/>
      <c r="JW236" s="16"/>
      <c r="JX236" s="16"/>
      <c r="JY236" s="17"/>
      <c r="KC236" s="24"/>
      <c r="KD236" s="60"/>
      <c r="KE236" s="16"/>
      <c r="KF236" s="16"/>
      <c r="KG236" s="16"/>
      <c r="KH236" s="16"/>
      <c r="KI236" s="16"/>
      <c r="KJ236" s="17"/>
      <c r="KN236" s="24"/>
      <c r="KO236" s="60"/>
      <c r="KP236" s="16"/>
      <c r="KQ236" s="16"/>
      <c r="KR236" s="16"/>
      <c r="KS236" s="16"/>
      <c r="KT236" s="16"/>
      <c r="KU236" s="17"/>
      <c r="KY236" s="24"/>
      <c r="KZ236" s="60"/>
      <c r="LA236" s="16"/>
      <c r="LB236" s="16"/>
      <c r="LC236" s="16"/>
      <c r="LD236" s="16"/>
      <c r="LE236" s="16"/>
      <c r="LF236" s="17"/>
      <c r="LJ236" s="24"/>
      <c r="LK236" s="60"/>
      <c r="LL236" s="16"/>
      <c r="LM236" s="16"/>
      <c r="LN236" s="16"/>
      <c r="LO236" s="16"/>
      <c r="LP236" s="16"/>
      <c r="LQ236" s="17"/>
    </row>
    <row r="237">
      <c r="C237" s="31"/>
      <c r="D237" s="61"/>
      <c r="E237" s="16"/>
      <c r="F237" s="16"/>
      <c r="G237" s="21"/>
      <c r="H237" s="16"/>
      <c r="I237" s="16"/>
      <c r="J237" s="17"/>
      <c r="N237" s="17"/>
      <c r="O237" s="61"/>
      <c r="P237" s="16"/>
      <c r="Q237" s="16"/>
      <c r="R237" s="16"/>
      <c r="S237" s="16"/>
      <c r="T237" s="16"/>
      <c r="U237" s="17"/>
      <c r="Y237" s="24"/>
      <c r="Z237" s="61"/>
      <c r="AA237" s="16"/>
      <c r="AB237" s="16"/>
      <c r="AC237" s="16"/>
      <c r="AD237" s="16"/>
      <c r="AE237" s="16"/>
      <c r="AF237" s="17"/>
      <c r="AJ237" s="24"/>
      <c r="AK237" s="61"/>
      <c r="AL237" s="16"/>
      <c r="AM237" s="16"/>
      <c r="AN237" s="16"/>
      <c r="AO237" s="16"/>
      <c r="AP237" s="16"/>
      <c r="AQ237" s="17"/>
      <c r="AU237" s="24"/>
      <c r="AV237" s="61"/>
      <c r="AW237" s="16"/>
      <c r="AX237" s="16"/>
      <c r="AY237" s="16"/>
      <c r="AZ237" s="16"/>
      <c r="BA237" s="16"/>
      <c r="BB237" s="17"/>
      <c r="BF237" s="24"/>
      <c r="BG237" s="61"/>
      <c r="BH237" s="16"/>
      <c r="BI237" s="16"/>
      <c r="BJ237" s="16"/>
      <c r="BK237" s="16"/>
      <c r="BL237" s="16"/>
      <c r="BM237" s="17"/>
      <c r="BQ237" s="24"/>
      <c r="BR237" s="61"/>
      <c r="BS237" s="16"/>
      <c r="BT237" s="16"/>
      <c r="BU237" s="16"/>
      <c r="BV237" s="16"/>
      <c r="BW237" s="16"/>
      <c r="BX237" s="17"/>
      <c r="CB237" s="24"/>
      <c r="CC237" s="61"/>
      <c r="CD237" s="16"/>
      <c r="CE237" s="16"/>
      <c r="CF237" s="16"/>
      <c r="CG237" s="16"/>
      <c r="CH237" s="16"/>
      <c r="CI237" s="17"/>
      <c r="CM237" s="24"/>
      <c r="CN237" s="61"/>
      <c r="CO237" s="16"/>
      <c r="CP237" s="16"/>
      <c r="CQ237" s="16"/>
      <c r="CR237" s="16"/>
      <c r="CS237" s="16"/>
      <c r="CT237" s="17"/>
      <c r="CX237" s="24"/>
      <c r="CY237" s="60"/>
      <c r="CZ237" s="16"/>
      <c r="DA237" s="16"/>
      <c r="DB237" s="16"/>
      <c r="DC237" s="16"/>
      <c r="DD237" s="16"/>
      <c r="DE237" s="17"/>
      <c r="DI237" s="24"/>
      <c r="DJ237" s="60"/>
      <c r="DK237" s="16"/>
      <c r="DL237" s="16"/>
      <c r="DM237" s="16"/>
      <c r="DN237" s="16"/>
      <c r="DO237" s="16"/>
      <c r="DP237" s="17"/>
      <c r="DT237" s="24"/>
      <c r="DU237" s="60"/>
      <c r="DV237" s="16"/>
      <c r="DW237" s="16"/>
      <c r="DX237" s="16"/>
      <c r="DY237" s="16"/>
      <c r="DZ237" s="16"/>
      <c r="EA237" s="17"/>
      <c r="EE237" s="24"/>
      <c r="EF237" s="60"/>
      <c r="EG237" s="16"/>
      <c r="EH237" s="16"/>
      <c r="EI237" s="16"/>
      <c r="EJ237" s="16"/>
      <c r="EK237" s="16"/>
      <c r="EL237" s="17"/>
      <c r="EP237" s="24"/>
      <c r="EQ237" s="60"/>
      <c r="ER237" s="16"/>
      <c r="ES237" s="16"/>
      <c r="ET237" s="16"/>
      <c r="EU237" s="16"/>
      <c r="EV237" s="16"/>
      <c r="EW237" s="17"/>
      <c r="FA237" s="24"/>
      <c r="FB237" s="60"/>
      <c r="FC237" s="16"/>
      <c r="FD237" s="16"/>
      <c r="FE237" s="16"/>
      <c r="FF237" s="16"/>
      <c r="FG237" s="16"/>
      <c r="FH237" s="17"/>
      <c r="FL237" s="24"/>
      <c r="FM237" s="60"/>
      <c r="FN237" s="16"/>
      <c r="FO237" s="16"/>
      <c r="FP237" s="16"/>
      <c r="FQ237" s="16"/>
      <c r="FR237" s="16"/>
      <c r="FS237" s="17"/>
      <c r="FW237" s="24"/>
      <c r="FX237" s="60"/>
      <c r="FY237" s="16"/>
      <c r="FZ237" s="16"/>
      <c r="GA237" s="16"/>
      <c r="GB237" s="16"/>
      <c r="GC237" s="16"/>
      <c r="GD237" s="17"/>
      <c r="GH237" s="24"/>
      <c r="GI237" s="60"/>
      <c r="GJ237" s="16"/>
      <c r="GK237" s="16"/>
      <c r="GL237" s="16"/>
      <c r="GM237" s="16"/>
      <c r="GN237" s="16"/>
      <c r="GO237" s="17"/>
      <c r="GS237" s="24"/>
      <c r="GT237" s="60"/>
      <c r="GU237" s="16"/>
      <c r="GV237" s="16"/>
      <c r="GW237" s="16"/>
      <c r="GX237" s="16"/>
      <c r="GY237" s="16"/>
      <c r="GZ237" s="17"/>
      <c r="HD237" s="24"/>
      <c r="HE237" s="60"/>
      <c r="HF237" s="16"/>
      <c r="HG237" s="16"/>
      <c r="HH237" s="16"/>
      <c r="HI237" s="16"/>
      <c r="HJ237" s="16"/>
      <c r="HK237" s="17"/>
      <c r="HO237" s="24"/>
      <c r="HP237" s="60"/>
      <c r="HQ237" s="16"/>
      <c r="HR237" s="16"/>
      <c r="HS237" s="16"/>
      <c r="HT237" s="16"/>
      <c r="HU237" s="16"/>
      <c r="HV237" s="17"/>
      <c r="HZ237" s="24"/>
      <c r="IA237" s="60"/>
      <c r="IB237" s="16"/>
      <c r="IC237" s="16"/>
      <c r="ID237" s="16"/>
      <c r="IE237" s="16"/>
      <c r="IF237" s="16"/>
      <c r="IG237" s="17"/>
      <c r="IK237" s="24"/>
      <c r="IL237" s="60"/>
      <c r="IM237" s="16"/>
      <c r="IN237" s="16"/>
      <c r="IO237" s="16"/>
      <c r="IP237" s="16"/>
      <c r="IQ237" s="16"/>
      <c r="IR237" s="17"/>
      <c r="IV237" s="24"/>
      <c r="IW237" s="60"/>
      <c r="IX237" s="16"/>
      <c r="IY237" s="16"/>
      <c r="IZ237" s="16"/>
      <c r="JA237" s="16"/>
      <c r="JB237" s="16"/>
      <c r="JC237" s="17"/>
      <c r="JG237" s="24"/>
      <c r="JH237" s="60"/>
      <c r="JI237" s="16"/>
      <c r="JJ237" s="16"/>
      <c r="JK237" s="16"/>
      <c r="JL237" s="16"/>
      <c r="JM237" s="16"/>
      <c r="JN237" s="17"/>
      <c r="JR237" s="24"/>
      <c r="JS237" s="60"/>
      <c r="JT237" s="16"/>
      <c r="JU237" s="16"/>
      <c r="JV237" s="16"/>
      <c r="JW237" s="16"/>
      <c r="JX237" s="16"/>
      <c r="JY237" s="17"/>
      <c r="KC237" s="24"/>
      <c r="KD237" s="60"/>
      <c r="KE237" s="16"/>
      <c r="KF237" s="16"/>
      <c r="KG237" s="16"/>
      <c r="KH237" s="16"/>
      <c r="KI237" s="16"/>
      <c r="KJ237" s="17"/>
      <c r="KN237" s="24"/>
      <c r="KO237" s="60"/>
      <c r="KP237" s="16"/>
      <c r="KQ237" s="16"/>
      <c r="KR237" s="16"/>
      <c r="KS237" s="16"/>
      <c r="KT237" s="16"/>
      <c r="KU237" s="17"/>
      <c r="KY237" s="24"/>
      <c r="KZ237" s="60"/>
      <c r="LA237" s="16"/>
      <c r="LB237" s="16"/>
      <c r="LC237" s="16"/>
      <c r="LD237" s="16"/>
      <c r="LE237" s="16"/>
      <c r="LF237" s="17"/>
      <c r="LJ237" s="24"/>
      <c r="LK237" s="60"/>
      <c r="LL237" s="16"/>
      <c r="LM237" s="16"/>
      <c r="LN237" s="16"/>
      <c r="LO237" s="16"/>
      <c r="LP237" s="16"/>
      <c r="LQ237" s="17"/>
    </row>
    <row r="238">
      <c r="C238" s="31"/>
      <c r="D238" s="61"/>
      <c r="E238" s="16"/>
      <c r="F238" s="16"/>
      <c r="G238" s="21"/>
      <c r="H238" s="16"/>
      <c r="I238" s="16"/>
      <c r="J238" s="17"/>
      <c r="N238" s="17"/>
      <c r="O238" s="61"/>
      <c r="P238" s="16"/>
      <c r="Q238" s="16"/>
      <c r="R238" s="16"/>
      <c r="S238" s="16"/>
      <c r="T238" s="16"/>
      <c r="U238" s="17"/>
      <c r="Y238" s="24"/>
      <c r="Z238" s="61"/>
      <c r="AA238" s="16"/>
      <c r="AB238" s="16"/>
      <c r="AC238" s="16"/>
      <c r="AD238" s="16"/>
      <c r="AE238" s="16"/>
      <c r="AF238" s="17"/>
      <c r="AJ238" s="24"/>
      <c r="AK238" s="61"/>
      <c r="AL238" s="16"/>
      <c r="AM238" s="16"/>
      <c r="AN238" s="16"/>
      <c r="AO238" s="16"/>
      <c r="AP238" s="16"/>
      <c r="AQ238" s="17"/>
      <c r="AU238" s="24"/>
      <c r="AV238" s="61"/>
      <c r="AW238" s="16"/>
      <c r="AX238" s="16"/>
      <c r="AY238" s="16"/>
      <c r="AZ238" s="16"/>
      <c r="BA238" s="16"/>
      <c r="BB238" s="17"/>
      <c r="BF238" s="24"/>
      <c r="BG238" s="61"/>
      <c r="BH238" s="16"/>
      <c r="BI238" s="16"/>
      <c r="BJ238" s="16"/>
      <c r="BK238" s="16"/>
      <c r="BL238" s="16"/>
      <c r="BM238" s="17"/>
      <c r="BQ238" s="24"/>
      <c r="BR238" s="61"/>
      <c r="BS238" s="16"/>
      <c r="BT238" s="16"/>
      <c r="BU238" s="16"/>
      <c r="BV238" s="16"/>
      <c r="BW238" s="16"/>
      <c r="BX238" s="17"/>
      <c r="CB238" s="24"/>
      <c r="CC238" s="61"/>
      <c r="CD238" s="16"/>
      <c r="CE238" s="16"/>
      <c r="CF238" s="16"/>
      <c r="CG238" s="16"/>
      <c r="CH238" s="16"/>
      <c r="CI238" s="17"/>
      <c r="CM238" s="24"/>
      <c r="CN238" s="61"/>
      <c r="CO238" s="16"/>
      <c r="CP238" s="16"/>
      <c r="CQ238" s="16"/>
      <c r="CR238" s="16"/>
      <c r="CS238" s="16"/>
      <c r="CT238" s="17"/>
      <c r="CX238" s="24"/>
      <c r="CY238" s="60"/>
      <c r="CZ238" s="16"/>
      <c r="DA238" s="16"/>
      <c r="DB238" s="16"/>
      <c r="DC238" s="16"/>
      <c r="DD238" s="16"/>
      <c r="DE238" s="17"/>
      <c r="DI238" s="24"/>
      <c r="DJ238" s="60"/>
      <c r="DK238" s="16"/>
      <c r="DL238" s="16"/>
      <c r="DM238" s="16"/>
      <c r="DN238" s="16"/>
      <c r="DO238" s="16"/>
      <c r="DP238" s="17"/>
      <c r="DT238" s="24"/>
      <c r="DU238" s="60"/>
      <c r="DV238" s="16"/>
      <c r="DW238" s="16"/>
      <c r="DX238" s="16"/>
      <c r="DY238" s="16"/>
      <c r="DZ238" s="16"/>
      <c r="EA238" s="17"/>
      <c r="EE238" s="24"/>
      <c r="EF238" s="60"/>
      <c r="EG238" s="16"/>
      <c r="EH238" s="16"/>
      <c r="EI238" s="16"/>
      <c r="EJ238" s="16"/>
      <c r="EK238" s="16"/>
      <c r="EL238" s="17"/>
      <c r="EP238" s="24"/>
      <c r="EQ238" s="60"/>
      <c r="ER238" s="16"/>
      <c r="ES238" s="16"/>
      <c r="ET238" s="16"/>
      <c r="EU238" s="16"/>
      <c r="EV238" s="16"/>
      <c r="EW238" s="17"/>
      <c r="FA238" s="24"/>
      <c r="FB238" s="60"/>
      <c r="FC238" s="16"/>
      <c r="FD238" s="16"/>
      <c r="FE238" s="16"/>
      <c r="FF238" s="16"/>
      <c r="FG238" s="16"/>
      <c r="FH238" s="17"/>
      <c r="FL238" s="24"/>
      <c r="FM238" s="60"/>
      <c r="FN238" s="16"/>
      <c r="FO238" s="16"/>
      <c r="FP238" s="16"/>
      <c r="FQ238" s="16"/>
      <c r="FR238" s="16"/>
      <c r="FS238" s="17"/>
      <c r="FW238" s="24"/>
      <c r="FX238" s="60"/>
      <c r="FY238" s="16"/>
      <c r="FZ238" s="16"/>
      <c r="GA238" s="16"/>
      <c r="GB238" s="16"/>
      <c r="GC238" s="16"/>
      <c r="GD238" s="17"/>
      <c r="GH238" s="24"/>
      <c r="GI238" s="60"/>
      <c r="GJ238" s="16"/>
      <c r="GK238" s="16"/>
      <c r="GL238" s="16"/>
      <c r="GM238" s="16"/>
      <c r="GN238" s="16"/>
      <c r="GO238" s="17"/>
      <c r="GS238" s="24"/>
      <c r="GT238" s="60"/>
      <c r="GU238" s="16"/>
      <c r="GV238" s="16"/>
      <c r="GW238" s="16"/>
      <c r="GX238" s="16"/>
      <c r="GY238" s="16"/>
      <c r="GZ238" s="17"/>
      <c r="HD238" s="24"/>
      <c r="HE238" s="60"/>
      <c r="HF238" s="16"/>
      <c r="HG238" s="16"/>
      <c r="HH238" s="16"/>
      <c r="HI238" s="16"/>
      <c r="HJ238" s="16"/>
      <c r="HK238" s="17"/>
      <c r="HO238" s="24"/>
      <c r="HP238" s="60"/>
      <c r="HQ238" s="16"/>
      <c r="HR238" s="16"/>
      <c r="HS238" s="16"/>
      <c r="HT238" s="16"/>
      <c r="HU238" s="16"/>
      <c r="HV238" s="17"/>
      <c r="HZ238" s="24"/>
      <c r="IA238" s="60"/>
      <c r="IB238" s="16"/>
      <c r="IC238" s="16"/>
      <c r="ID238" s="16"/>
      <c r="IE238" s="16"/>
      <c r="IF238" s="16"/>
      <c r="IG238" s="17"/>
      <c r="IK238" s="24"/>
      <c r="IL238" s="60"/>
      <c r="IM238" s="16"/>
      <c r="IN238" s="16"/>
      <c r="IO238" s="16"/>
      <c r="IP238" s="16"/>
      <c r="IQ238" s="16"/>
      <c r="IR238" s="17"/>
      <c r="IV238" s="24"/>
      <c r="IW238" s="60"/>
      <c r="IX238" s="16"/>
      <c r="IY238" s="16"/>
      <c r="IZ238" s="16"/>
      <c r="JA238" s="16"/>
      <c r="JB238" s="16"/>
      <c r="JC238" s="17"/>
      <c r="JG238" s="24"/>
      <c r="JH238" s="60"/>
      <c r="JI238" s="16"/>
      <c r="JJ238" s="16"/>
      <c r="JK238" s="16"/>
      <c r="JL238" s="16"/>
      <c r="JM238" s="16"/>
      <c r="JN238" s="17"/>
      <c r="JR238" s="24"/>
      <c r="JS238" s="60"/>
      <c r="JT238" s="16"/>
      <c r="JU238" s="16"/>
      <c r="JV238" s="16"/>
      <c r="JW238" s="16"/>
      <c r="JX238" s="16"/>
      <c r="JY238" s="17"/>
      <c r="KC238" s="24"/>
      <c r="KD238" s="60"/>
      <c r="KE238" s="16"/>
      <c r="KF238" s="16"/>
      <c r="KG238" s="16"/>
      <c r="KH238" s="16"/>
      <c r="KI238" s="16"/>
      <c r="KJ238" s="17"/>
      <c r="KN238" s="24"/>
      <c r="KO238" s="60"/>
      <c r="KP238" s="16"/>
      <c r="KQ238" s="16"/>
      <c r="KR238" s="16"/>
      <c r="KS238" s="16"/>
      <c r="KT238" s="16"/>
      <c r="KU238" s="17"/>
      <c r="KY238" s="24"/>
      <c r="KZ238" s="60"/>
      <c r="LA238" s="16"/>
      <c r="LB238" s="16"/>
      <c r="LC238" s="16"/>
      <c r="LD238" s="16"/>
      <c r="LE238" s="16"/>
      <c r="LF238" s="17"/>
      <c r="LJ238" s="24"/>
      <c r="LK238" s="60"/>
      <c r="LL238" s="16"/>
      <c r="LM238" s="16"/>
      <c r="LN238" s="16"/>
      <c r="LO238" s="16"/>
      <c r="LP238" s="16"/>
      <c r="LQ238" s="17"/>
    </row>
    <row r="239">
      <c r="C239" s="31"/>
      <c r="D239" s="61"/>
      <c r="E239" s="16"/>
      <c r="F239" s="16"/>
      <c r="G239" s="21"/>
      <c r="H239" s="16"/>
      <c r="I239" s="16"/>
      <c r="J239" s="17"/>
      <c r="N239" s="17"/>
      <c r="O239" s="61"/>
      <c r="P239" s="16"/>
      <c r="Q239" s="16"/>
      <c r="R239" s="16"/>
      <c r="S239" s="16"/>
      <c r="T239" s="16"/>
      <c r="U239" s="17"/>
      <c r="Y239" s="24"/>
      <c r="Z239" s="61"/>
      <c r="AA239" s="16"/>
      <c r="AB239" s="16"/>
      <c r="AC239" s="16"/>
      <c r="AD239" s="16"/>
      <c r="AE239" s="16"/>
      <c r="AF239" s="17"/>
      <c r="AJ239" s="24"/>
      <c r="AK239" s="61"/>
      <c r="AL239" s="16"/>
      <c r="AM239" s="16"/>
      <c r="AN239" s="16"/>
      <c r="AO239" s="16"/>
      <c r="AP239" s="16"/>
      <c r="AQ239" s="17"/>
      <c r="AU239" s="24"/>
      <c r="AV239" s="61"/>
      <c r="AW239" s="16"/>
      <c r="AX239" s="16"/>
      <c r="AY239" s="16"/>
      <c r="AZ239" s="16"/>
      <c r="BA239" s="16"/>
      <c r="BB239" s="17"/>
      <c r="BF239" s="24"/>
      <c r="BG239" s="61"/>
      <c r="BH239" s="16"/>
      <c r="BI239" s="16"/>
      <c r="BJ239" s="16"/>
      <c r="BK239" s="16"/>
      <c r="BL239" s="16"/>
      <c r="BM239" s="17"/>
      <c r="BQ239" s="24"/>
      <c r="BR239" s="61"/>
      <c r="BS239" s="16"/>
      <c r="BT239" s="16"/>
      <c r="BU239" s="16"/>
      <c r="BV239" s="16"/>
      <c r="BW239" s="16"/>
      <c r="BX239" s="17"/>
      <c r="CB239" s="24"/>
      <c r="CC239" s="61"/>
      <c r="CD239" s="16"/>
      <c r="CE239" s="16"/>
      <c r="CF239" s="16"/>
      <c r="CG239" s="16"/>
      <c r="CH239" s="16"/>
      <c r="CI239" s="17"/>
      <c r="CM239" s="24"/>
      <c r="CN239" s="61"/>
      <c r="CO239" s="16"/>
      <c r="CP239" s="16"/>
      <c r="CQ239" s="16"/>
      <c r="CR239" s="16"/>
      <c r="CS239" s="16"/>
      <c r="CT239" s="17"/>
      <c r="CX239" s="24"/>
      <c r="CY239" s="60"/>
      <c r="CZ239" s="16"/>
      <c r="DA239" s="16"/>
      <c r="DB239" s="16"/>
      <c r="DC239" s="16"/>
      <c r="DD239" s="16"/>
      <c r="DE239" s="17"/>
      <c r="DI239" s="24"/>
      <c r="DJ239" s="60"/>
      <c r="DK239" s="16"/>
      <c r="DL239" s="16"/>
      <c r="DM239" s="16"/>
      <c r="DN239" s="16"/>
      <c r="DO239" s="16"/>
      <c r="DP239" s="17"/>
      <c r="DT239" s="24"/>
      <c r="DU239" s="60"/>
      <c r="DV239" s="16"/>
      <c r="DW239" s="16"/>
      <c r="DX239" s="16"/>
      <c r="DY239" s="16"/>
      <c r="DZ239" s="16"/>
      <c r="EA239" s="17"/>
      <c r="EE239" s="24"/>
      <c r="EF239" s="60"/>
      <c r="EG239" s="16"/>
      <c r="EH239" s="16"/>
      <c r="EI239" s="16"/>
      <c r="EJ239" s="16"/>
      <c r="EK239" s="16"/>
      <c r="EL239" s="17"/>
      <c r="EP239" s="24"/>
      <c r="EQ239" s="60"/>
      <c r="ER239" s="16"/>
      <c r="ES239" s="16"/>
      <c r="ET239" s="16"/>
      <c r="EU239" s="16"/>
      <c r="EV239" s="16"/>
      <c r="EW239" s="17"/>
      <c r="FA239" s="24"/>
      <c r="FB239" s="60"/>
      <c r="FC239" s="16"/>
      <c r="FD239" s="16"/>
      <c r="FE239" s="16"/>
      <c r="FF239" s="16"/>
      <c r="FG239" s="16"/>
      <c r="FH239" s="17"/>
      <c r="FL239" s="24"/>
      <c r="FM239" s="60"/>
      <c r="FN239" s="16"/>
      <c r="FO239" s="16"/>
      <c r="FP239" s="16"/>
      <c r="FQ239" s="16"/>
      <c r="FR239" s="16"/>
      <c r="FS239" s="17"/>
      <c r="FW239" s="24"/>
      <c r="FX239" s="60"/>
      <c r="FY239" s="16"/>
      <c r="FZ239" s="16"/>
      <c r="GA239" s="16"/>
      <c r="GB239" s="16"/>
      <c r="GC239" s="16"/>
      <c r="GD239" s="17"/>
      <c r="GH239" s="24"/>
      <c r="GI239" s="60"/>
      <c r="GJ239" s="16"/>
      <c r="GK239" s="16"/>
      <c r="GL239" s="16"/>
      <c r="GM239" s="16"/>
      <c r="GN239" s="16"/>
      <c r="GO239" s="17"/>
      <c r="GS239" s="24"/>
      <c r="GT239" s="60"/>
      <c r="GU239" s="16"/>
      <c r="GV239" s="16"/>
      <c r="GW239" s="16"/>
      <c r="GX239" s="16"/>
      <c r="GY239" s="16"/>
      <c r="GZ239" s="17"/>
      <c r="HD239" s="24"/>
      <c r="HE239" s="60"/>
      <c r="HF239" s="16"/>
      <c r="HG239" s="16"/>
      <c r="HH239" s="16"/>
      <c r="HI239" s="16"/>
      <c r="HJ239" s="16"/>
      <c r="HK239" s="17"/>
      <c r="HO239" s="24"/>
      <c r="HP239" s="60"/>
      <c r="HQ239" s="16"/>
      <c r="HR239" s="16"/>
      <c r="HS239" s="16"/>
      <c r="HT239" s="16"/>
      <c r="HU239" s="16"/>
      <c r="HV239" s="17"/>
      <c r="HZ239" s="24"/>
      <c r="IA239" s="60"/>
      <c r="IB239" s="16"/>
      <c r="IC239" s="16"/>
      <c r="ID239" s="16"/>
      <c r="IE239" s="16"/>
      <c r="IF239" s="16"/>
      <c r="IG239" s="17"/>
      <c r="IK239" s="24"/>
      <c r="IL239" s="60"/>
      <c r="IM239" s="16"/>
      <c r="IN239" s="16"/>
      <c r="IO239" s="16"/>
      <c r="IP239" s="16"/>
      <c r="IQ239" s="16"/>
      <c r="IR239" s="17"/>
      <c r="IV239" s="24"/>
      <c r="IW239" s="60"/>
      <c r="IX239" s="16"/>
      <c r="IY239" s="16"/>
      <c r="IZ239" s="16"/>
      <c r="JA239" s="16"/>
      <c r="JB239" s="16"/>
      <c r="JC239" s="17"/>
      <c r="JG239" s="24"/>
      <c r="JH239" s="60"/>
      <c r="JI239" s="16"/>
      <c r="JJ239" s="16"/>
      <c r="JK239" s="16"/>
      <c r="JL239" s="16"/>
      <c r="JM239" s="16"/>
      <c r="JN239" s="17"/>
      <c r="JR239" s="24"/>
      <c r="JS239" s="60"/>
      <c r="JT239" s="16"/>
      <c r="JU239" s="16"/>
      <c r="JV239" s="16"/>
      <c r="JW239" s="16"/>
      <c r="JX239" s="16"/>
      <c r="JY239" s="17"/>
      <c r="KC239" s="24"/>
      <c r="KD239" s="60"/>
      <c r="KE239" s="16"/>
      <c r="KF239" s="16"/>
      <c r="KG239" s="16"/>
      <c r="KH239" s="16"/>
      <c r="KI239" s="16"/>
      <c r="KJ239" s="17"/>
      <c r="KN239" s="24"/>
      <c r="KO239" s="60"/>
      <c r="KP239" s="16"/>
      <c r="KQ239" s="16"/>
      <c r="KR239" s="16"/>
      <c r="KS239" s="16"/>
      <c r="KT239" s="16"/>
      <c r="KU239" s="17"/>
      <c r="KY239" s="24"/>
      <c r="KZ239" s="60"/>
      <c r="LA239" s="16"/>
      <c r="LB239" s="16"/>
      <c r="LC239" s="16"/>
      <c r="LD239" s="16"/>
      <c r="LE239" s="16"/>
      <c r="LF239" s="17"/>
      <c r="LJ239" s="24"/>
      <c r="LK239" s="60"/>
      <c r="LL239" s="16"/>
      <c r="LM239" s="16"/>
      <c r="LN239" s="16"/>
      <c r="LO239" s="16"/>
      <c r="LP239" s="16"/>
      <c r="LQ239" s="17"/>
    </row>
    <row r="240">
      <c r="C240" s="31"/>
      <c r="D240" s="61"/>
      <c r="E240" s="16"/>
      <c r="F240" s="16"/>
      <c r="G240" s="21"/>
      <c r="H240" s="16"/>
      <c r="I240" s="16"/>
      <c r="J240" s="17"/>
      <c r="N240" s="17"/>
      <c r="O240" s="61"/>
      <c r="P240" s="16"/>
      <c r="Q240" s="16"/>
      <c r="R240" s="16"/>
      <c r="S240" s="16"/>
      <c r="T240" s="16"/>
      <c r="U240" s="17"/>
      <c r="Y240" s="24"/>
      <c r="Z240" s="61"/>
      <c r="AA240" s="16"/>
      <c r="AB240" s="16"/>
      <c r="AC240" s="16"/>
      <c r="AD240" s="16"/>
      <c r="AE240" s="16"/>
      <c r="AF240" s="17"/>
      <c r="AJ240" s="24"/>
      <c r="AK240" s="61"/>
      <c r="AL240" s="16"/>
      <c r="AM240" s="16"/>
      <c r="AN240" s="16"/>
      <c r="AO240" s="16"/>
      <c r="AP240" s="16"/>
      <c r="AQ240" s="17"/>
      <c r="AU240" s="24"/>
      <c r="AV240" s="61"/>
      <c r="AW240" s="16"/>
      <c r="AX240" s="16"/>
      <c r="AY240" s="16"/>
      <c r="AZ240" s="16"/>
      <c r="BA240" s="16"/>
      <c r="BB240" s="17"/>
      <c r="BF240" s="24"/>
      <c r="BG240" s="61"/>
      <c r="BH240" s="16"/>
      <c r="BI240" s="16"/>
      <c r="BJ240" s="16"/>
      <c r="BK240" s="16"/>
      <c r="BL240" s="16"/>
      <c r="BM240" s="17"/>
      <c r="BQ240" s="24"/>
      <c r="BR240" s="61"/>
      <c r="BS240" s="16"/>
      <c r="BT240" s="16"/>
      <c r="BU240" s="16"/>
      <c r="BV240" s="16"/>
      <c r="BW240" s="16"/>
      <c r="BX240" s="17"/>
      <c r="CB240" s="24"/>
      <c r="CC240" s="61"/>
      <c r="CD240" s="16"/>
      <c r="CE240" s="16"/>
      <c r="CF240" s="16"/>
      <c r="CG240" s="16"/>
      <c r="CH240" s="16"/>
      <c r="CI240" s="17"/>
      <c r="CM240" s="24"/>
      <c r="CN240" s="61"/>
      <c r="CO240" s="16"/>
      <c r="CP240" s="16"/>
      <c r="CQ240" s="16"/>
      <c r="CR240" s="16"/>
      <c r="CS240" s="16"/>
      <c r="CT240" s="17"/>
      <c r="CX240" s="24"/>
      <c r="CY240" s="60"/>
      <c r="CZ240" s="16"/>
      <c r="DA240" s="16"/>
      <c r="DB240" s="16"/>
      <c r="DC240" s="16"/>
      <c r="DD240" s="16"/>
      <c r="DE240" s="17"/>
      <c r="DI240" s="24"/>
      <c r="DJ240" s="60"/>
      <c r="DK240" s="16"/>
      <c r="DL240" s="16"/>
      <c r="DM240" s="16"/>
      <c r="DN240" s="16"/>
      <c r="DO240" s="16"/>
      <c r="DP240" s="17"/>
      <c r="DT240" s="24"/>
      <c r="DU240" s="60"/>
      <c r="DV240" s="16"/>
      <c r="DW240" s="16"/>
      <c r="DX240" s="16"/>
      <c r="DY240" s="16"/>
      <c r="DZ240" s="16"/>
      <c r="EA240" s="17"/>
      <c r="EE240" s="24"/>
      <c r="EF240" s="60"/>
      <c r="EG240" s="16"/>
      <c r="EH240" s="16"/>
      <c r="EI240" s="16"/>
      <c r="EJ240" s="16"/>
      <c r="EK240" s="16"/>
      <c r="EL240" s="17"/>
      <c r="EP240" s="24"/>
      <c r="EQ240" s="60"/>
      <c r="ER240" s="16"/>
      <c r="ES240" s="16"/>
      <c r="ET240" s="16"/>
      <c r="EU240" s="16"/>
      <c r="EV240" s="16"/>
      <c r="EW240" s="17"/>
      <c r="FA240" s="24"/>
      <c r="FB240" s="60"/>
      <c r="FC240" s="16"/>
      <c r="FD240" s="16"/>
      <c r="FE240" s="16"/>
      <c r="FF240" s="16"/>
      <c r="FG240" s="16"/>
      <c r="FH240" s="17"/>
      <c r="FL240" s="24"/>
      <c r="FM240" s="60"/>
      <c r="FN240" s="16"/>
      <c r="FO240" s="16"/>
      <c r="FP240" s="16"/>
      <c r="FQ240" s="16"/>
      <c r="FR240" s="16"/>
      <c r="FS240" s="17"/>
      <c r="FW240" s="24"/>
      <c r="FX240" s="60"/>
      <c r="FY240" s="16"/>
      <c r="FZ240" s="16"/>
      <c r="GA240" s="16"/>
      <c r="GB240" s="16"/>
      <c r="GC240" s="16"/>
      <c r="GD240" s="17"/>
      <c r="GH240" s="24"/>
      <c r="GI240" s="60"/>
      <c r="GJ240" s="16"/>
      <c r="GK240" s="16"/>
      <c r="GL240" s="16"/>
      <c r="GM240" s="16"/>
      <c r="GN240" s="16"/>
      <c r="GO240" s="17"/>
      <c r="GS240" s="24"/>
      <c r="GT240" s="60"/>
      <c r="GU240" s="16"/>
      <c r="GV240" s="16"/>
      <c r="GW240" s="16"/>
      <c r="GX240" s="16"/>
      <c r="GY240" s="16"/>
      <c r="GZ240" s="17"/>
      <c r="HD240" s="24"/>
      <c r="HE240" s="60"/>
      <c r="HF240" s="16"/>
      <c r="HG240" s="16"/>
      <c r="HH240" s="16"/>
      <c r="HI240" s="16"/>
      <c r="HJ240" s="16"/>
      <c r="HK240" s="17"/>
      <c r="HO240" s="24"/>
      <c r="HP240" s="60"/>
      <c r="HQ240" s="16"/>
      <c r="HR240" s="16"/>
      <c r="HS240" s="16"/>
      <c r="HT240" s="16"/>
      <c r="HU240" s="16"/>
      <c r="HV240" s="17"/>
      <c r="HZ240" s="24"/>
      <c r="IA240" s="60"/>
      <c r="IB240" s="16"/>
      <c r="IC240" s="16"/>
      <c r="ID240" s="16"/>
      <c r="IE240" s="16"/>
      <c r="IF240" s="16"/>
      <c r="IG240" s="17"/>
      <c r="IK240" s="24"/>
      <c r="IL240" s="60"/>
      <c r="IM240" s="16"/>
      <c r="IN240" s="16"/>
      <c r="IO240" s="16"/>
      <c r="IP240" s="16"/>
      <c r="IQ240" s="16"/>
      <c r="IR240" s="17"/>
      <c r="IV240" s="24"/>
      <c r="IW240" s="60"/>
      <c r="IX240" s="16"/>
      <c r="IY240" s="16"/>
      <c r="IZ240" s="16"/>
      <c r="JA240" s="16"/>
      <c r="JB240" s="16"/>
      <c r="JC240" s="17"/>
      <c r="JG240" s="24"/>
      <c r="JH240" s="60"/>
      <c r="JI240" s="16"/>
      <c r="JJ240" s="16"/>
      <c r="JK240" s="16"/>
      <c r="JL240" s="16"/>
      <c r="JM240" s="16"/>
      <c r="JN240" s="17"/>
      <c r="JR240" s="24"/>
      <c r="JS240" s="60"/>
      <c r="JT240" s="16"/>
      <c r="JU240" s="16"/>
      <c r="JV240" s="16"/>
      <c r="JW240" s="16"/>
      <c r="JX240" s="16"/>
      <c r="JY240" s="17"/>
      <c r="KC240" s="24"/>
      <c r="KD240" s="60"/>
      <c r="KE240" s="16"/>
      <c r="KF240" s="16"/>
      <c r="KG240" s="16"/>
      <c r="KH240" s="16"/>
      <c r="KI240" s="16"/>
      <c r="KJ240" s="17"/>
      <c r="KN240" s="24"/>
      <c r="KO240" s="60"/>
      <c r="KP240" s="16"/>
      <c r="KQ240" s="16"/>
      <c r="KR240" s="16"/>
      <c r="KS240" s="16"/>
      <c r="KT240" s="16"/>
      <c r="KU240" s="17"/>
      <c r="KY240" s="24"/>
      <c r="KZ240" s="60"/>
      <c r="LA240" s="16"/>
      <c r="LB240" s="16"/>
      <c r="LC240" s="16"/>
      <c r="LD240" s="16"/>
      <c r="LE240" s="16"/>
      <c r="LF240" s="17"/>
      <c r="LJ240" s="24"/>
      <c r="LK240" s="60"/>
      <c r="LL240" s="16"/>
      <c r="LM240" s="16"/>
      <c r="LN240" s="16"/>
      <c r="LO240" s="16"/>
      <c r="LP240" s="16"/>
      <c r="LQ240" s="17"/>
    </row>
    <row r="241">
      <c r="C241" s="31"/>
      <c r="D241" s="61"/>
      <c r="E241" s="16"/>
      <c r="F241" s="16"/>
      <c r="G241" s="21"/>
      <c r="H241" s="16"/>
      <c r="I241" s="16"/>
      <c r="J241" s="17"/>
      <c r="N241" s="17"/>
      <c r="O241" s="61"/>
      <c r="P241" s="16"/>
      <c r="Q241" s="16"/>
      <c r="R241" s="16"/>
      <c r="S241" s="16"/>
      <c r="T241" s="16"/>
      <c r="U241" s="17"/>
      <c r="Y241" s="24"/>
      <c r="Z241" s="61"/>
      <c r="AA241" s="16"/>
      <c r="AB241" s="16"/>
      <c r="AC241" s="16"/>
      <c r="AD241" s="16"/>
      <c r="AE241" s="16"/>
      <c r="AF241" s="17"/>
      <c r="AJ241" s="24"/>
      <c r="AK241" s="61"/>
      <c r="AL241" s="16"/>
      <c r="AM241" s="16"/>
      <c r="AN241" s="16"/>
      <c r="AO241" s="16"/>
      <c r="AP241" s="16"/>
      <c r="AQ241" s="17"/>
      <c r="AU241" s="24"/>
      <c r="AV241" s="61"/>
      <c r="AW241" s="16"/>
      <c r="AX241" s="16"/>
      <c r="AY241" s="16"/>
      <c r="AZ241" s="16"/>
      <c r="BA241" s="16"/>
      <c r="BB241" s="17"/>
      <c r="BF241" s="24"/>
      <c r="BG241" s="61"/>
      <c r="BH241" s="16"/>
      <c r="BI241" s="16"/>
      <c r="BJ241" s="16"/>
      <c r="BK241" s="16"/>
      <c r="BL241" s="16"/>
      <c r="BM241" s="17"/>
      <c r="BQ241" s="24"/>
      <c r="BR241" s="61"/>
      <c r="BS241" s="16"/>
      <c r="BT241" s="16"/>
      <c r="BU241" s="16"/>
      <c r="BV241" s="16"/>
      <c r="BW241" s="16"/>
      <c r="BX241" s="17"/>
      <c r="CB241" s="24"/>
      <c r="CC241" s="61"/>
      <c r="CD241" s="16"/>
      <c r="CE241" s="16"/>
      <c r="CF241" s="16"/>
      <c r="CG241" s="16"/>
      <c r="CH241" s="16"/>
      <c r="CI241" s="17"/>
      <c r="CM241" s="24"/>
      <c r="CN241" s="61"/>
      <c r="CO241" s="16"/>
      <c r="CP241" s="16"/>
      <c r="CQ241" s="16"/>
      <c r="CR241" s="16"/>
      <c r="CS241" s="16"/>
      <c r="CT241" s="17"/>
      <c r="CX241" s="24"/>
      <c r="CY241" s="60"/>
      <c r="CZ241" s="16"/>
      <c r="DA241" s="16"/>
      <c r="DB241" s="16"/>
      <c r="DC241" s="16"/>
      <c r="DD241" s="16"/>
      <c r="DE241" s="17"/>
      <c r="DI241" s="24"/>
      <c r="DJ241" s="60"/>
      <c r="DK241" s="16"/>
      <c r="DL241" s="16"/>
      <c r="DM241" s="16"/>
      <c r="DN241" s="16"/>
      <c r="DO241" s="16"/>
      <c r="DP241" s="17"/>
      <c r="DT241" s="24"/>
      <c r="DU241" s="60"/>
      <c r="DV241" s="16"/>
      <c r="DW241" s="16"/>
      <c r="DX241" s="16"/>
      <c r="DY241" s="16"/>
      <c r="DZ241" s="16"/>
      <c r="EA241" s="17"/>
      <c r="EE241" s="24"/>
      <c r="EF241" s="60"/>
      <c r="EG241" s="16"/>
      <c r="EH241" s="16"/>
      <c r="EI241" s="16"/>
      <c r="EJ241" s="16"/>
      <c r="EK241" s="16"/>
      <c r="EL241" s="17"/>
      <c r="EP241" s="24"/>
      <c r="EQ241" s="60"/>
      <c r="ER241" s="16"/>
      <c r="ES241" s="16"/>
      <c r="ET241" s="16"/>
      <c r="EU241" s="16"/>
      <c r="EV241" s="16"/>
      <c r="EW241" s="17"/>
      <c r="FA241" s="24"/>
      <c r="FB241" s="60"/>
      <c r="FC241" s="16"/>
      <c r="FD241" s="16"/>
      <c r="FE241" s="16"/>
      <c r="FF241" s="16"/>
      <c r="FG241" s="16"/>
      <c r="FH241" s="17"/>
      <c r="FL241" s="24"/>
      <c r="FM241" s="60"/>
      <c r="FN241" s="16"/>
      <c r="FO241" s="16"/>
      <c r="FP241" s="16"/>
      <c r="FQ241" s="16"/>
      <c r="FR241" s="16"/>
      <c r="FS241" s="17"/>
      <c r="FW241" s="24"/>
      <c r="FX241" s="60"/>
      <c r="FY241" s="16"/>
      <c r="FZ241" s="16"/>
      <c r="GA241" s="16"/>
      <c r="GB241" s="16"/>
      <c r="GC241" s="16"/>
      <c r="GD241" s="17"/>
      <c r="GH241" s="24"/>
      <c r="GI241" s="60"/>
      <c r="GJ241" s="16"/>
      <c r="GK241" s="16"/>
      <c r="GL241" s="16"/>
      <c r="GM241" s="16"/>
      <c r="GN241" s="16"/>
      <c r="GO241" s="17"/>
      <c r="GS241" s="24"/>
      <c r="GT241" s="60"/>
      <c r="GU241" s="16"/>
      <c r="GV241" s="16"/>
      <c r="GW241" s="16"/>
      <c r="GX241" s="16"/>
      <c r="GY241" s="16"/>
      <c r="GZ241" s="17"/>
      <c r="HD241" s="24"/>
      <c r="HE241" s="60"/>
      <c r="HF241" s="16"/>
      <c r="HG241" s="16"/>
      <c r="HH241" s="16"/>
      <c r="HI241" s="16"/>
      <c r="HJ241" s="16"/>
      <c r="HK241" s="17"/>
      <c r="HO241" s="24"/>
      <c r="HP241" s="60"/>
      <c r="HQ241" s="16"/>
      <c r="HR241" s="16"/>
      <c r="HS241" s="16"/>
      <c r="HT241" s="16"/>
      <c r="HU241" s="16"/>
      <c r="HV241" s="17"/>
      <c r="HZ241" s="24"/>
      <c r="IA241" s="60"/>
      <c r="IB241" s="16"/>
      <c r="IC241" s="16"/>
      <c r="ID241" s="16"/>
      <c r="IE241" s="16"/>
      <c r="IF241" s="16"/>
      <c r="IG241" s="17"/>
      <c r="IK241" s="24"/>
      <c r="IL241" s="60"/>
      <c r="IM241" s="16"/>
      <c r="IN241" s="16"/>
      <c r="IO241" s="16"/>
      <c r="IP241" s="16"/>
      <c r="IQ241" s="16"/>
      <c r="IR241" s="17"/>
      <c r="IV241" s="24"/>
      <c r="IW241" s="60"/>
      <c r="IX241" s="16"/>
      <c r="IY241" s="16"/>
      <c r="IZ241" s="16"/>
      <c r="JA241" s="16"/>
      <c r="JB241" s="16"/>
      <c r="JC241" s="17"/>
      <c r="JG241" s="24"/>
      <c r="JH241" s="60"/>
      <c r="JI241" s="16"/>
      <c r="JJ241" s="16"/>
      <c r="JK241" s="16"/>
      <c r="JL241" s="16"/>
      <c r="JM241" s="16"/>
      <c r="JN241" s="17"/>
      <c r="JR241" s="24"/>
      <c r="JS241" s="60"/>
      <c r="JT241" s="16"/>
      <c r="JU241" s="16"/>
      <c r="JV241" s="16"/>
      <c r="JW241" s="16"/>
      <c r="JX241" s="16"/>
      <c r="JY241" s="17"/>
      <c r="KC241" s="24"/>
      <c r="KD241" s="60"/>
      <c r="KE241" s="16"/>
      <c r="KF241" s="16"/>
      <c r="KG241" s="16"/>
      <c r="KH241" s="16"/>
      <c r="KI241" s="16"/>
      <c r="KJ241" s="17"/>
      <c r="KN241" s="24"/>
      <c r="KO241" s="60"/>
      <c r="KP241" s="16"/>
      <c r="KQ241" s="16"/>
      <c r="KR241" s="16"/>
      <c r="KS241" s="16"/>
      <c r="KT241" s="16"/>
      <c r="KU241" s="17"/>
      <c r="KY241" s="24"/>
      <c r="KZ241" s="60"/>
      <c r="LA241" s="16"/>
      <c r="LB241" s="16"/>
      <c r="LC241" s="16"/>
      <c r="LD241" s="16"/>
      <c r="LE241" s="16"/>
      <c r="LF241" s="17"/>
      <c r="LJ241" s="24"/>
      <c r="LK241" s="60"/>
      <c r="LL241" s="16"/>
      <c r="LM241" s="16"/>
      <c r="LN241" s="16"/>
      <c r="LO241" s="16"/>
      <c r="LP241" s="16"/>
      <c r="LQ241" s="17"/>
    </row>
    <row r="242">
      <c r="C242" s="31"/>
      <c r="D242" s="61"/>
      <c r="E242" s="16"/>
      <c r="F242" s="16"/>
      <c r="G242" s="21"/>
      <c r="H242" s="16"/>
      <c r="I242" s="16"/>
      <c r="J242" s="17"/>
      <c r="N242" s="17"/>
      <c r="O242" s="61"/>
      <c r="P242" s="16"/>
      <c r="Q242" s="16"/>
      <c r="R242" s="16"/>
      <c r="S242" s="16"/>
      <c r="T242" s="16"/>
      <c r="U242" s="17"/>
      <c r="Y242" s="24"/>
      <c r="Z242" s="61"/>
      <c r="AA242" s="16"/>
      <c r="AB242" s="16"/>
      <c r="AC242" s="16"/>
      <c r="AD242" s="16"/>
      <c r="AE242" s="16"/>
      <c r="AF242" s="17"/>
      <c r="AJ242" s="24"/>
      <c r="AK242" s="61"/>
      <c r="AL242" s="16"/>
      <c r="AM242" s="16"/>
      <c r="AN242" s="16"/>
      <c r="AO242" s="16"/>
      <c r="AP242" s="16"/>
      <c r="AQ242" s="17"/>
      <c r="AU242" s="24"/>
      <c r="AV242" s="61"/>
      <c r="AW242" s="16"/>
      <c r="AX242" s="16"/>
      <c r="AY242" s="16"/>
      <c r="AZ242" s="16"/>
      <c r="BA242" s="16"/>
      <c r="BB242" s="17"/>
      <c r="BF242" s="24"/>
      <c r="BG242" s="61"/>
      <c r="BH242" s="16"/>
      <c r="BI242" s="16"/>
      <c r="BJ242" s="16"/>
      <c r="BK242" s="16"/>
      <c r="BL242" s="16"/>
      <c r="BM242" s="17"/>
      <c r="BQ242" s="24"/>
      <c r="BR242" s="61"/>
      <c r="BS242" s="16"/>
      <c r="BT242" s="16"/>
      <c r="BU242" s="16"/>
      <c r="BV242" s="16"/>
      <c r="BW242" s="16"/>
      <c r="BX242" s="17"/>
      <c r="CB242" s="24"/>
      <c r="CC242" s="61"/>
      <c r="CD242" s="16"/>
      <c r="CE242" s="16"/>
      <c r="CF242" s="16"/>
      <c r="CG242" s="16"/>
      <c r="CH242" s="16"/>
      <c r="CI242" s="17"/>
      <c r="CM242" s="24"/>
      <c r="CN242" s="61"/>
      <c r="CO242" s="16"/>
      <c r="CP242" s="16"/>
      <c r="CQ242" s="16"/>
      <c r="CR242" s="16"/>
      <c r="CS242" s="16"/>
      <c r="CT242" s="17"/>
      <c r="CX242" s="24"/>
      <c r="CY242" s="60"/>
      <c r="CZ242" s="16"/>
      <c r="DA242" s="16"/>
      <c r="DB242" s="16"/>
      <c r="DC242" s="16"/>
      <c r="DD242" s="16"/>
      <c r="DE242" s="17"/>
      <c r="DI242" s="24"/>
      <c r="DJ242" s="60"/>
      <c r="DK242" s="16"/>
      <c r="DL242" s="16"/>
      <c r="DM242" s="16"/>
      <c r="DN242" s="16"/>
      <c r="DO242" s="16"/>
      <c r="DP242" s="17"/>
      <c r="DT242" s="24"/>
      <c r="DU242" s="60"/>
      <c r="DV242" s="16"/>
      <c r="DW242" s="16"/>
      <c r="DX242" s="16"/>
      <c r="DY242" s="16"/>
      <c r="DZ242" s="16"/>
      <c r="EA242" s="17"/>
      <c r="EE242" s="24"/>
      <c r="EF242" s="60"/>
      <c r="EG242" s="16"/>
      <c r="EH242" s="16"/>
      <c r="EI242" s="16"/>
      <c r="EJ242" s="16"/>
      <c r="EK242" s="16"/>
      <c r="EL242" s="17"/>
      <c r="EP242" s="24"/>
      <c r="EQ242" s="60"/>
      <c r="ER242" s="16"/>
      <c r="ES242" s="16"/>
      <c r="ET242" s="16"/>
      <c r="EU242" s="16"/>
      <c r="EV242" s="16"/>
      <c r="EW242" s="17"/>
      <c r="FA242" s="24"/>
      <c r="FB242" s="60"/>
      <c r="FC242" s="16"/>
      <c r="FD242" s="16"/>
      <c r="FE242" s="16"/>
      <c r="FF242" s="16"/>
      <c r="FG242" s="16"/>
      <c r="FH242" s="17"/>
      <c r="FL242" s="24"/>
      <c r="FM242" s="60"/>
      <c r="FN242" s="16"/>
      <c r="FO242" s="16"/>
      <c r="FP242" s="16"/>
      <c r="FQ242" s="16"/>
      <c r="FR242" s="16"/>
      <c r="FS242" s="17"/>
      <c r="FW242" s="24"/>
      <c r="FX242" s="60"/>
      <c r="FY242" s="16"/>
      <c r="FZ242" s="16"/>
      <c r="GA242" s="16"/>
      <c r="GB242" s="16"/>
      <c r="GC242" s="16"/>
      <c r="GD242" s="17"/>
      <c r="GH242" s="24"/>
      <c r="GI242" s="60"/>
      <c r="GJ242" s="16"/>
      <c r="GK242" s="16"/>
      <c r="GL242" s="16"/>
      <c r="GM242" s="16"/>
      <c r="GN242" s="16"/>
      <c r="GO242" s="17"/>
      <c r="GS242" s="24"/>
      <c r="GT242" s="60"/>
      <c r="GU242" s="16"/>
      <c r="GV242" s="16"/>
      <c r="GW242" s="16"/>
      <c r="GX242" s="16"/>
      <c r="GY242" s="16"/>
      <c r="GZ242" s="17"/>
      <c r="HD242" s="24"/>
      <c r="HE242" s="60"/>
      <c r="HF242" s="16"/>
      <c r="HG242" s="16"/>
      <c r="HH242" s="16"/>
      <c r="HI242" s="16"/>
      <c r="HJ242" s="16"/>
      <c r="HK242" s="17"/>
      <c r="HO242" s="24"/>
      <c r="HP242" s="60"/>
      <c r="HQ242" s="16"/>
      <c r="HR242" s="16"/>
      <c r="HS242" s="16"/>
      <c r="HT242" s="16"/>
      <c r="HU242" s="16"/>
      <c r="HV242" s="17"/>
      <c r="HZ242" s="24"/>
      <c r="IA242" s="60"/>
      <c r="IB242" s="16"/>
      <c r="IC242" s="16"/>
      <c r="ID242" s="16"/>
      <c r="IE242" s="16"/>
      <c r="IF242" s="16"/>
      <c r="IG242" s="17"/>
      <c r="IK242" s="24"/>
      <c r="IL242" s="60"/>
      <c r="IM242" s="16"/>
      <c r="IN242" s="16"/>
      <c r="IO242" s="16"/>
      <c r="IP242" s="16"/>
      <c r="IQ242" s="16"/>
      <c r="IR242" s="17"/>
      <c r="IV242" s="24"/>
      <c r="IW242" s="60"/>
      <c r="IX242" s="16"/>
      <c r="IY242" s="16"/>
      <c r="IZ242" s="16"/>
      <c r="JA242" s="16"/>
      <c r="JB242" s="16"/>
      <c r="JC242" s="17"/>
      <c r="JG242" s="24"/>
      <c r="JH242" s="60"/>
      <c r="JI242" s="16"/>
      <c r="JJ242" s="16"/>
      <c r="JK242" s="16"/>
      <c r="JL242" s="16"/>
      <c r="JM242" s="16"/>
      <c r="JN242" s="17"/>
      <c r="JR242" s="24"/>
      <c r="JS242" s="60"/>
      <c r="JT242" s="16"/>
      <c r="JU242" s="16"/>
      <c r="JV242" s="16"/>
      <c r="JW242" s="16"/>
      <c r="JX242" s="16"/>
      <c r="JY242" s="17"/>
      <c r="KC242" s="24"/>
      <c r="KD242" s="60"/>
      <c r="KE242" s="16"/>
      <c r="KF242" s="16"/>
      <c r="KG242" s="16"/>
      <c r="KH242" s="16"/>
      <c r="KI242" s="16"/>
      <c r="KJ242" s="17"/>
      <c r="KN242" s="24"/>
      <c r="KO242" s="60"/>
      <c r="KP242" s="16"/>
      <c r="KQ242" s="16"/>
      <c r="KR242" s="16"/>
      <c r="KS242" s="16"/>
      <c r="KT242" s="16"/>
      <c r="KU242" s="17"/>
      <c r="KY242" s="24"/>
      <c r="KZ242" s="60"/>
      <c r="LA242" s="16"/>
      <c r="LB242" s="16"/>
      <c r="LC242" s="16"/>
      <c r="LD242" s="16"/>
      <c r="LE242" s="16"/>
      <c r="LF242" s="17"/>
      <c r="LJ242" s="24"/>
      <c r="LK242" s="60"/>
      <c r="LL242" s="16"/>
      <c r="LM242" s="16"/>
      <c r="LN242" s="16"/>
      <c r="LO242" s="16"/>
      <c r="LP242" s="16"/>
      <c r="LQ242" s="17"/>
    </row>
    <row r="243">
      <c r="C243" s="31"/>
      <c r="D243" s="61"/>
      <c r="E243" s="16"/>
      <c r="F243" s="16"/>
      <c r="G243" s="21"/>
      <c r="H243" s="16"/>
      <c r="I243" s="16"/>
      <c r="J243" s="17"/>
      <c r="N243" s="17"/>
      <c r="O243" s="61"/>
      <c r="P243" s="16"/>
      <c r="Q243" s="16"/>
      <c r="R243" s="16"/>
      <c r="S243" s="16"/>
      <c r="T243" s="16"/>
      <c r="U243" s="17"/>
      <c r="Y243" s="24"/>
      <c r="Z243" s="61"/>
      <c r="AA243" s="16"/>
      <c r="AB243" s="16"/>
      <c r="AC243" s="16"/>
      <c r="AD243" s="16"/>
      <c r="AE243" s="16"/>
      <c r="AF243" s="17"/>
      <c r="AJ243" s="24"/>
      <c r="AK243" s="61"/>
      <c r="AL243" s="16"/>
      <c r="AM243" s="16"/>
      <c r="AN243" s="16"/>
      <c r="AO243" s="16"/>
      <c r="AP243" s="16"/>
      <c r="AQ243" s="17"/>
      <c r="AU243" s="24"/>
      <c r="AV243" s="61"/>
      <c r="AW243" s="16"/>
      <c r="AX243" s="16"/>
      <c r="AY243" s="16"/>
      <c r="AZ243" s="16"/>
      <c r="BA243" s="16"/>
      <c r="BB243" s="17"/>
      <c r="BF243" s="24"/>
      <c r="BG243" s="61"/>
      <c r="BH243" s="16"/>
      <c r="BI243" s="16"/>
      <c r="BJ243" s="16"/>
      <c r="BK243" s="16"/>
      <c r="BL243" s="16"/>
      <c r="BM243" s="17"/>
      <c r="BQ243" s="24"/>
      <c r="BR243" s="61"/>
      <c r="BS243" s="16"/>
      <c r="BT243" s="16"/>
      <c r="BU243" s="16"/>
      <c r="BV243" s="16"/>
      <c r="BW243" s="16"/>
      <c r="BX243" s="17"/>
      <c r="CB243" s="24"/>
      <c r="CC243" s="61"/>
      <c r="CD243" s="16"/>
      <c r="CE243" s="16"/>
      <c r="CF243" s="16"/>
      <c r="CG243" s="16"/>
      <c r="CH243" s="16"/>
      <c r="CI243" s="17"/>
      <c r="CM243" s="24"/>
      <c r="CN243" s="61"/>
      <c r="CO243" s="16"/>
      <c r="CP243" s="16"/>
      <c r="CQ243" s="16"/>
      <c r="CR243" s="16"/>
      <c r="CS243" s="16"/>
      <c r="CT243" s="17"/>
      <c r="CX243" s="24"/>
      <c r="CY243" s="60"/>
      <c r="CZ243" s="16"/>
      <c r="DA243" s="16"/>
      <c r="DB243" s="16"/>
      <c r="DC243" s="16"/>
      <c r="DD243" s="16"/>
      <c r="DE243" s="17"/>
      <c r="DI243" s="24"/>
      <c r="DJ243" s="60"/>
      <c r="DK243" s="16"/>
      <c r="DL243" s="16"/>
      <c r="DM243" s="16"/>
      <c r="DN243" s="16"/>
      <c r="DO243" s="16"/>
      <c r="DP243" s="17"/>
      <c r="DT243" s="24"/>
      <c r="DU243" s="60"/>
      <c r="DV243" s="16"/>
      <c r="DW243" s="16"/>
      <c r="DX243" s="16"/>
      <c r="DY243" s="16"/>
      <c r="DZ243" s="16"/>
      <c r="EA243" s="17"/>
      <c r="EE243" s="24"/>
      <c r="EF243" s="60"/>
      <c r="EG243" s="16"/>
      <c r="EH243" s="16"/>
      <c r="EI243" s="16"/>
      <c r="EJ243" s="16"/>
      <c r="EK243" s="16"/>
      <c r="EL243" s="17"/>
      <c r="EP243" s="24"/>
      <c r="EQ243" s="60"/>
      <c r="ER243" s="16"/>
      <c r="ES243" s="16"/>
      <c r="ET243" s="16"/>
      <c r="EU243" s="16"/>
      <c r="EV243" s="16"/>
      <c r="EW243" s="17"/>
      <c r="FA243" s="24"/>
      <c r="FB243" s="60"/>
      <c r="FC243" s="16"/>
      <c r="FD243" s="16"/>
      <c r="FE243" s="16"/>
      <c r="FF243" s="16"/>
      <c r="FG243" s="16"/>
      <c r="FH243" s="17"/>
      <c r="FL243" s="24"/>
      <c r="FM243" s="60"/>
      <c r="FN243" s="16"/>
      <c r="FO243" s="16"/>
      <c r="FP243" s="16"/>
      <c r="FQ243" s="16"/>
      <c r="FR243" s="16"/>
      <c r="FS243" s="17"/>
      <c r="FW243" s="24"/>
      <c r="FX243" s="60"/>
      <c r="FY243" s="16"/>
      <c r="FZ243" s="16"/>
      <c r="GA243" s="16"/>
      <c r="GB243" s="16"/>
      <c r="GC243" s="16"/>
      <c r="GD243" s="17"/>
      <c r="GH243" s="24"/>
      <c r="GI243" s="60"/>
      <c r="GJ243" s="16"/>
      <c r="GK243" s="16"/>
      <c r="GL243" s="16"/>
      <c r="GM243" s="16"/>
      <c r="GN243" s="16"/>
      <c r="GO243" s="17"/>
      <c r="GS243" s="24"/>
      <c r="GT243" s="60"/>
      <c r="GU243" s="16"/>
      <c r="GV243" s="16"/>
      <c r="GW243" s="16"/>
      <c r="GX243" s="16"/>
      <c r="GY243" s="16"/>
      <c r="GZ243" s="17"/>
      <c r="HD243" s="24"/>
      <c r="HE243" s="60"/>
      <c r="HF243" s="16"/>
      <c r="HG243" s="16"/>
      <c r="HH243" s="16"/>
      <c r="HI243" s="16"/>
      <c r="HJ243" s="16"/>
      <c r="HK243" s="17"/>
      <c r="HO243" s="24"/>
      <c r="HP243" s="60"/>
      <c r="HQ243" s="16"/>
      <c r="HR243" s="16"/>
      <c r="HS243" s="16"/>
      <c r="HT243" s="16"/>
      <c r="HU243" s="16"/>
      <c r="HV243" s="17"/>
      <c r="HZ243" s="24"/>
      <c r="IA243" s="60"/>
      <c r="IB243" s="16"/>
      <c r="IC243" s="16"/>
      <c r="ID243" s="16"/>
      <c r="IE243" s="16"/>
      <c r="IF243" s="16"/>
      <c r="IG243" s="17"/>
      <c r="IK243" s="24"/>
      <c r="IL243" s="60"/>
      <c r="IM243" s="16"/>
      <c r="IN243" s="16"/>
      <c r="IO243" s="16"/>
      <c r="IP243" s="16"/>
      <c r="IQ243" s="16"/>
      <c r="IR243" s="17"/>
      <c r="IV243" s="24"/>
      <c r="IW243" s="60"/>
      <c r="IX243" s="16"/>
      <c r="IY243" s="16"/>
      <c r="IZ243" s="16"/>
      <c r="JA243" s="16"/>
      <c r="JB243" s="16"/>
      <c r="JC243" s="17"/>
      <c r="JG243" s="24"/>
      <c r="JH243" s="60"/>
      <c r="JI243" s="16"/>
      <c r="JJ243" s="16"/>
      <c r="JK243" s="16"/>
      <c r="JL243" s="16"/>
      <c r="JM243" s="16"/>
      <c r="JN243" s="17"/>
      <c r="JR243" s="24"/>
      <c r="JS243" s="60"/>
      <c r="JT243" s="16"/>
      <c r="JU243" s="16"/>
      <c r="JV243" s="16"/>
      <c r="JW243" s="16"/>
      <c r="JX243" s="16"/>
      <c r="JY243" s="17"/>
      <c r="KC243" s="24"/>
      <c r="KD243" s="60"/>
      <c r="KE243" s="16"/>
      <c r="KF243" s="16"/>
      <c r="KG243" s="16"/>
      <c r="KH243" s="16"/>
      <c r="KI243" s="16"/>
      <c r="KJ243" s="17"/>
      <c r="KN243" s="24"/>
      <c r="KO243" s="60"/>
      <c r="KP243" s="16"/>
      <c r="KQ243" s="16"/>
      <c r="KR243" s="16"/>
      <c r="KS243" s="16"/>
      <c r="KT243" s="16"/>
      <c r="KU243" s="17"/>
      <c r="KY243" s="24"/>
      <c r="KZ243" s="60"/>
      <c r="LA243" s="16"/>
      <c r="LB243" s="16"/>
      <c r="LC243" s="16"/>
      <c r="LD243" s="16"/>
      <c r="LE243" s="16"/>
      <c r="LF243" s="17"/>
      <c r="LJ243" s="24"/>
      <c r="LK243" s="60"/>
      <c r="LL243" s="16"/>
      <c r="LM243" s="16"/>
      <c r="LN243" s="16"/>
      <c r="LO243" s="16"/>
      <c r="LP243" s="16"/>
      <c r="LQ243" s="17"/>
    </row>
    <row r="244">
      <c r="C244" s="31"/>
      <c r="D244" s="61"/>
      <c r="E244" s="16"/>
      <c r="F244" s="16"/>
      <c r="G244" s="21"/>
      <c r="H244" s="16"/>
      <c r="I244" s="16"/>
      <c r="J244" s="17"/>
      <c r="N244" s="17"/>
      <c r="O244" s="61"/>
      <c r="P244" s="16"/>
      <c r="Q244" s="16"/>
      <c r="R244" s="16"/>
      <c r="S244" s="16"/>
      <c r="T244" s="16"/>
      <c r="U244" s="17"/>
      <c r="Y244" s="24"/>
      <c r="Z244" s="61"/>
      <c r="AA244" s="16"/>
      <c r="AB244" s="16"/>
      <c r="AC244" s="16"/>
      <c r="AD244" s="16"/>
      <c r="AE244" s="16"/>
      <c r="AF244" s="17"/>
      <c r="AJ244" s="24"/>
      <c r="AK244" s="61"/>
      <c r="AL244" s="16"/>
      <c r="AM244" s="16"/>
      <c r="AN244" s="16"/>
      <c r="AO244" s="16"/>
      <c r="AP244" s="16"/>
      <c r="AQ244" s="17"/>
      <c r="AU244" s="24"/>
      <c r="AV244" s="61"/>
      <c r="AW244" s="16"/>
      <c r="AX244" s="16"/>
      <c r="AY244" s="16"/>
      <c r="AZ244" s="16"/>
      <c r="BA244" s="16"/>
      <c r="BB244" s="17"/>
      <c r="BF244" s="24"/>
      <c r="BG244" s="61"/>
      <c r="BH244" s="16"/>
      <c r="BI244" s="16"/>
      <c r="BJ244" s="16"/>
      <c r="BK244" s="16"/>
      <c r="BL244" s="16"/>
      <c r="BM244" s="17"/>
      <c r="BQ244" s="24"/>
      <c r="BR244" s="61"/>
      <c r="BS244" s="16"/>
      <c r="BT244" s="16"/>
      <c r="BU244" s="16"/>
      <c r="BV244" s="16"/>
      <c r="BW244" s="16"/>
      <c r="BX244" s="17"/>
      <c r="CB244" s="24"/>
      <c r="CC244" s="61"/>
      <c r="CD244" s="16"/>
      <c r="CE244" s="16"/>
      <c r="CF244" s="16"/>
      <c r="CG244" s="16"/>
      <c r="CH244" s="16"/>
      <c r="CI244" s="17"/>
      <c r="CM244" s="24"/>
      <c r="CN244" s="61"/>
      <c r="CO244" s="16"/>
      <c r="CP244" s="16"/>
      <c r="CQ244" s="16"/>
      <c r="CR244" s="16"/>
      <c r="CS244" s="16"/>
      <c r="CT244" s="17"/>
      <c r="CX244" s="24"/>
      <c r="CY244" s="60"/>
      <c r="CZ244" s="16"/>
      <c r="DA244" s="16"/>
      <c r="DB244" s="16"/>
      <c r="DC244" s="16"/>
      <c r="DD244" s="16"/>
      <c r="DE244" s="17"/>
      <c r="DI244" s="24"/>
      <c r="DJ244" s="60"/>
      <c r="DK244" s="16"/>
      <c r="DL244" s="16"/>
      <c r="DM244" s="16"/>
      <c r="DN244" s="16"/>
      <c r="DO244" s="16"/>
      <c r="DP244" s="17"/>
      <c r="DT244" s="24"/>
      <c r="DU244" s="60"/>
      <c r="DV244" s="16"/>
      <c r="DW244" s="16"/>
      <c r="DX244" s="16"/>
      <c r="DY244" s="16"/>
      <c r="DZ244" s="16"/>
      <c r="EA244" s="17"/>
      <c r="EE244" s="24"/>
      <c r="EF244" s="60"/>
      <c r="EG244" s="16"/>
      <c r="EH244" s="16"/>
      <c r="EI244" s="16"/>
      <c r="EJ244" s="16"/>
      <c r="EK244" s="16"/>
      <c r="EL244" s="17"/>
      <c r="EP244" s="24"/>
      <c r="EQ244" s="60"/>
      <c r="ER244" s="16"/>
      <c r="ES244" s="16"/>
      <c r="ET244" s="16"/>
      <c r="EU244" s="16"/>
      <c r="EV244" s="16"/>
      <c r="EW244" s="17"/>
      <c r="FA244" s="24"/>
      <c r="FB244" s="60"/>
      <c r="FC244" s="16"/>
      <c r="FD244" s="16"/>
      <c r="FE244" s="16"/>
      <c r="FF244" s="16"/>
      <c r="FG244" s="16"/>
      <c r="FH244" s="17"/>
      <c r="FL244" s="24"/>
      <c r="FM244" s="60"/>
      <c r="FN244" s="16"/>
      <c r="FO244" s="16"/>
      <c r="FP244" s="16"/>
      <c r="FQ244" s="16"/>
      <c r="FR244" s="16"/>
      <c r="FS244" s="17"/>
      <c r="FW244" s="24"/>
      <c r="FX244" s="60"/>
      <c r="FY244" s="16"/>
      <c r="FZ244" s="16"/>
      <c r="GA244" s="16"/>
      <c r="GB244" s="16"/>
      <c r="GC244" s="16"/>
      <c r="GD244" s="17"/>
      <c r="GH244" s="24"/>
      <c r="GI244" s="60"/>
      <c r="GJ244" s="16"/>
      <c r="GK244" s="16"/>
      <c r="GL244" s="16"/>
      <c r="GM244" s="16"/>
      <c r="GN244" s="16"/>
      <c r="GO244" s="17"/>
      <c r="GS244" s="24"/>
      <c r="GT244" s="60"/>
      <c r="GU244" s="16"/>
      <c r="GV244" s="16"/>
      <c r="GW244" s="16"/>
      <c r="GX244" s="16"/>
      <c r="GY244" s="16"/>
      <c r="GZ244" s="17"/>
      <c r="HD244" s="24"/>
      <c r="HE244" s="60"/>
      <c r="HF244" s="16"/>
      <c r="HG244" s="16"/>
      <c r="HH244" s="16"/>
      <c r="HI244" s="16"/>
      <c r="HJ244" s="16"/>
      <c r="HK244" s="17"/>
      <c r="HO244" s="24"/>
      <c r="HP244" s="60"/>
      <c r="HQ244" s="16"/>
      <c r="HR244" s="16"/>
      <c r="HS244" s="16"/>
      <c r="HT244" s="16"/>
      <c r="HU244" s="16"/>
      <c r="HV244" s="17"/>
      <c r="HZ244" s="24"/>
      <c r="IA244" s="60"/>
      <c r="IB244" s="16"/>
      <c r="IC244" s="16"/>
      <c r="ID244" s="16"/>
      <c r="IE244" s="16"/>
      <c r="IF244" s="16"/>
      <c r="IG244" s="17"/>
      <c r="IK244" s="24"/>
      <c r="IL244" s="60"/>
      <c r="IM244" s="16"/>
      <c r="IN244" s="16"/>
      <c r="IO244" s="16"/>
      <c r="IP244" s="16"/>
      <c r="IQ244" s="16"/>
      <c r="IR244" s="17"/>
      <c r="IV244" s="24"/>
      <c r="IW244" s="60"/>
      <c r="IX244" s="16"/>
      <c r="IY244" s="16"/>
      <c r="IZ244" s="16"/>
      <c r="JA244" s="16"/>
      <c r="JB244" s="16"/>
      <c r="JC244" s="17"/>
      <c r="JG244" s="24"/>
      <c r="JH244" s="60"/>
      <c r="JI244" s="16"/>
      <c r="JJ244" s="16"/>
      <c r="JK244" s="16"/>
      <c r="JL244" s="16"/>
      <c r="JM244" s="16"/>
      <c r="JN244" s="17"/>
      <c r="JR244" s="24"/>
      <c r="JS244" s="60"/>
      <c r="JT244" s="16"/>
      <c r="JU244" s="16"/>
      <c r="JV244" s="16"/>
      <c r="JW244" s="16"/>
      <c r="JX244" s="16"/>
      <c r="JY244" s="17"/>
      <c r="KC244" s="24"/>
      <c r="KD244" s="60"/>
      <c r="KE244" s="16"/>
      <c r="KF244" s="16"/>
      <c r="KG244" s="16"/>
      <c r="KH244" s="16"/>
      <c r="KI244" s="16"/>
      <c r="KJ244" s="17"/>
      <c r="KN244" s="24"/>
      <c r="KO244" s="60"/>
      <c r="KP244" s="16"/>
      <c r="KQ244" s="16"/>
      <c r="KR244" s="16"/>
      <c r="KS244" s="16"/>
      <c r="KT244" s="16"/>
      <c r="KU244" s="17"/>
      <c r="KY244" s="24"/>
      <c r="KZ244" s="60"/>
      <c r="LA244" s="16"/>
      <c r="LB244" s="16"/>
      <c r="LC244" s="16"/>
      <c r="LD244" s="16"/>
      <c r="LE244" s="16"/>
      <c r="LF244" s="17"/>
      <c r="LJ244" s="24"/>
      <c r="LK244" s="60"/>
      <c r="LL244" s="16"/>
      <c r="LM244" s="16"/>
      <c r="LN244" s="16"/>
      <c r="LO244" s="16"/>
      <c r="LP244" s="16"/>
      <c r="LQ244" s="17"/>
    </row>
    <row r="245">
      <c r="C245" s="31"/>
      <c r="D245" s="61"/>
      <c r="E245" s="16"/>
      <c r="F245" s="16"/>
      <c r="G245" s="21"/>
      <c r="H245" s="16"/>
      <c r="I245" s="16"/>
      <c r="J245" s="17"/>
      <c r="N245" s="17"/>
      <c r="O245" s="61"/>
      <c r="P245" s="16"/>
      <c r="Q245" s="16"/>
      <c r="R245" s="16"/>
      <c r="S245" s="16"/>
      <c r="T245" s="16"/>
      <c r="U245" s="17"/>
      <c r="Y245" s="24"/>
      <c r="Z245" s="61"/>
      <c r="AA245" s="16"/>
      <c r="AB245" s="16"/>
      <c r="AC245" s="16"/>
      <c r="AD245" s="16"/>
      <c r="AE245" s="16"/>
      <c r="AF245" s="17"/>
      <c r="AJ245" s="24"/>
      <c r="AK245" s="61"/>
      <c r="AL245" s="16"/>
      <c r="AM245" s="16"/>
      <c r="AN245" s="16"/>
      <c r="AO245" s="16"/>
      <c r="AP245" s="16"/>
      <c r="AQ245" s="17"/>
      <c r="AU245" s="24"/>
      <c r="AV245" s="61"/>
      <c r="AW245" s="16"/>
      <c r="AX245" s="16"/>
      <c r="AY245" s="16"/>
      <c r="AZ245" s="16"/>
      <c r="BA245" s="16"/>
      <c r="BB245" s="17"/>
      <c r="BF245" s="24"/>
      <c r="BG245" s="61"/>
      <c r="BH245" s="16"/>
      <c r="BI245" s="16"/>
      <c r="BJ245" s="16"/>
      <c r="BK245" s="16"/>
      <c r="BL245" s="16"/>
      <c r="BM245" s="17"/>
      <c r="BQ245" s="24"/>
      <c r="BR245" s="61"/>
      <c r="BS245" s="16"/>
      <c r="BT245" s="16"/>
      <c r="BU245" s="16"/>
      <c r="BV245" s="16"/>
      <c r="BW245" s="16"/>
      <c r="BX245" s="17"/>
      <c r="CB245" s="24"/>
      <c r="CC245" s="61"/>
      <c r="CD245" s="16"/>
      <c r="CE245" s="16"/>
      <c r="CF245" s="16"/>
      <c r="CG245" s="16"/>
      <c r="CH245" s="16"/>
      <c r="CI245" s="17"/>
      <c r="CM245" s="24"/>
      <c r="CN245" s="61"/>
      <c r="CO245" s="16"/>
      <c r="CP245" s="16"/>
      <c r="CQ245" s="16"/>
      <c r="CR245" s="16"/>
      <c r="CS245" s="16"/>
      <c r="CT245" s="17"/>
      <c r="CX245" s="24"/>
      <c r="CY245" s="60"/>
      <c r="CZ245" s="16"/>
      <c r="DA245" s="16"/>
      <c r="DB245" s="16"/>
      <c r="DC245" s="16"/>
      <c r="DD245" s="16"/>
      <c r="DE245" s="17"/>
      <c r="DI245" s="24"/>
      <c r="DJ245" s="60"/>
      <c r="DK245" s="16"/>
      <c r="DL245" s="16"/>
      <c r="DM245" s="16"/>
      <c r="DN245" s="16"/>
      <c r="DO245" s="16"/>
      <c r="DP245" s="17"/>
      <c r="DT245" s="24"/>
      <c r="DU245" s="60"/>
      <c r="DV245" s="16"/>
      <c r="DW245" s="16"/>
      <c r="DX245" s="16"/>
      <c r="DY245" s="16"/>
      <c r="DZ245" s="16"/>
      <c r="EA245" s="17"/>
      <c r="EE245" s="24"/>
      <c r="EF245" s="60"/>
      <c r="EG245" s="16"/>
      <c r="EH245" s="16"/>
      <c r="EI245" s="16"/>
      <c r="EJ245" s="16"/>
      <c r="EK245" s="16"/>
      <c r="EL245" s="17"/>
      <c r="EP245" s="24"/>
      <c r="EQ245" s="60"/>
      <c r="ER245" s="16"/>
      <c r="ES245" s="16"/>
      <c r="ET245" s="16"/>
      <c r="EU245" s="16"/>
      <c r="EV245" s="16"/>
      <c r="EW245" s="17"/>
      <c r="FA245" s="24"/>
      <c r="FB245" s="60"/>
      <c r="FC245" s="16"/>
      <c r="FD245" s="16"/>
      <c r="FE245" s="16"/>
      <c r="FF245" s="16"/>
      <c r="FG245" s="16"/>
      <c r="FH245" s="17"/>
      <c r="FL245" s="24"/>
      <c r="FM245" s="60"/>
      <c r="FN245" s="16"/>
      <c r="FO245" s="16"/>
      <c r="FP245" s="16"/>
      <c r="FQ245" s="16"/>
      <c r="FR245" s="16"/>
      <c r="FS245" s="17"/>
      <c r="FW245" s="24"/>
      <c r="FX245" s="60"/>
      <c r="FY245" s="16"/>
      <c r="FZ245" s="16"/>
      <c r="GA245" s="16"/>
      <c r="GB245" s="16"/>
      <c r="GC245" s="16"/>
      <c r="GD245" s="17"/>
      <c r="GH245" s="24"/>
      <c r="GI245" s="60"/>
      <c r="GJ245" s="16"/>
      <c r="GK245" s="16"/>
      <c r="GL245" s="16"/>
      <c r="GM245" s="16"/>
      <c r="GN245" s="16"/>
      <c r="GO245" s="17"/>
      <c r="GS245" s="24"/>
      <c r="GT245" s="60"/>
      <c r="GU245" s="16"/>
      <c r="GV245" s="16"/>
      <c r="GW245" s="16"/>
      <c r="GX245" s="16"/>
      <c r="GY245" s="16"/>
      <c r="GZ245" s="17"/>
      <c r="HD245" s="24"/>
      <c r="HE245" s="60"/>
      <c r="HF245" s="16"/>
      <c r="HG245" s="16"/>
      <c r="HH245" s="16"/>
      <c r="HI245" s="16"/>
      <c r="HJ245" s="16"/>
      <c r="HK245" s="17"/>
      <c r="HO245" s="24"/>
      <c r="HP245" s="60"/>
      <c r="HQ245" s="16"/>
      <c r="HR245" s="16"/>
      <c r="HS245" s="16"/>
      <c r="HT245" s="16"/>
      <c r="HU245" s="16"/>
      <c r="HV245" s="17"/>
      <c r="HZ245" s="24"/>
      <c r="IA245" s="60"/>
      <c r="IB245" s="16"/>
      <c r="IC245" s="16"/>
      <c r="ID245" s="16"/>
      <c r="IE245" s="16"/>
      <c r="IF245" s="16"/>
      <c r="IG245" s="17"/>
      <c r="IK245" s="24"/>
      <c r="IL245" s="60"/>
      <c r="IM245" s="16"/>
      <c r="IN245" s="16"/>
      <c r="IO245" s="16"/>
      <c r="IP245" s="16"/>
      <c r="IQ245" s="16"/>
      <c r="IR245" s="17"/>
      <c r="IV245" s="24"/>
      <c r="IW245" s="60"/>
      <c r="IX245" s="16"/>
      <c r="IY245" s="16"/>
      <c r="IZ245" s="16"/>
      <c r="JA245" s="16"/>
      <c r="JB245" s="16"/>
      <c r="JC245" s="17"/>
      <c r="JG245" s="24"/>
      <c r="JH245" s="60"/>
      <c r="JI245" s="16"/>
      <c r="JJ245" s="16"/>
      <c r="JK245" s="16"/>
      <c r="JL245" s="16"/>
      <c r="JM245" s="16"/>
      <c r="JN245" s="17"/>
      <c r="JR245" s="24"/>
      <c r="JS245" s="60"/>
      <c r="JT245" s="16"/>
      <c r="JU245" s="16"/>
      <c r="JV245" s="16"/>
      <c r="JW245" s="16"/>
      <c r="JX245" s="16"/>
      <c r="JY245" s="17"/>
      <c r="KC245" s="24"/>
      <c r="KD245" s="60"/>
      <c r="KE245" s="16"/>
      <c r="KF245" s="16"/>
      <c r="KG245" s="16"/>
      <c r="KH245" s="16"/>
      <c r="KI245" s="16"/>
      <c r="KJ245" s="17"/>
      <c r="KN245" s="24"/>
      <c r="KO245" s="60"/>
      <c r="KP245" s="16"/>
      <c r="KQ245" s="16"/>
      <c r="KR245" s="16"/>
      <c r="KS245" s="16"/>
      <c r="KT245" s="16"/>
      <c r="KU245" s="17"/>
      <c r="KY245" s="24"/>
      <c r="KZ245" s="60"/>
      <c r="LA245" s="16"/>
      <c r="LB245" s="16"/>
      <c r="LC245" s="16"/>
      <c r="LD245" s="16"/>
      <c r="LE245" s="16"/>
      <c r="LF245" s="17"/>
      <c r="LJ245" s="24"/>
      <c r="LK245" s="60"/>
      <c r="LL245" s="16"/>
      <c r="LM245" s="16"/>
      <c r="LN245" s="16"/>
      <c r="LO245" s="16"/>
      <c r="LP245" s="16"/>
      <c r="LQ245" s="17"/>
    </row>
    <row r="246">
      <c r="C246" s="31"/>
      <c r="D246" s="61"/>
      <c r="E246" s="16"/>
      <c r="F246" s="16"/>
      <c r="G246" s="21"/>
      <c r="H246" s="16"/>
      <c r="I246" s="16"/>
      <c r="J246" s="17"/>
      <c r="N246" s="17"/>
      <c r="O246" s="61"/>
      <c r="P246" s="16"/>
      <c r="Q246" s="16"/>
      <c r="R246" s="16"/>
      <c r="S246" s="16"/>
      <c r="T246" s="16"/>
      <c r="U246" s="17"/>
      <c r="Y246" s="24"/>
      <c r="Z246" s="61"/>
      <c r="AA246" s="16"/>
      <c r="AB246" s="16"/>
      <c r="AC246" s="16"/>
      <c r="AD246" s="16"/>
      <c r="AE246" s="16"/>
      <c r="AF246" s="17"/>
      <c r="AJ246" s="24"/>
      <c r="AK246" s="61"/>
      <c r="AL246" s="16"/>
      <c r="AM246" s="16"/>
      <c r="AN246" s="16"/>
      <c r="AO246" s="16"/>
      <c r="AP246" s="16"/>
      <c r="AQ246" s="17"/>
      <c r="AU246" s="24"/>
      <c r="AV246" s="61"/>
      <c r="AW246" s="16"/>
      <c r="AX246" s="16"/>
      <c r="AY246" s="16"/>
      <c r="AZ246" s="16"/>
      <c r="BA246" s="16"/>
      <c r="BB246" s="17"/>
      <c r="BF246" s="24"/>
      <c r="BG246" s="61"/>
      <c r="BH246" s="16"/>
      <c r="BI246" s="16"/>
      <c r="BJ246" s="16"/>
      <c r="BK246" s="16"/>
      <c r="BL246" s="16"/>
      <c r="BM246" s="17"/>
      <c r="BQ246" s="24"/>
      <c r="BR246" s="61"/>
      <c r="BS246" s="16"/>
      <c r="BT246" s="16"/>
      <c r="BU246" s="16"/>
      <c r="BV246" s="16"/>
      <c r="BW246" s="16"/>
      <c r="BX246" s="17"/>
      <c r="CB246" s="24"/>
      <c r="CC246" s="61"/>
      <c r="CD246" s="16"/>
      <c r="CE246" s="16"/>
      <c r="CF246" s="16"/>
      <c r="CG246" s="16"/>
      <c r="CH246" s="16"/>
      <c r="CI246" s="17"/>
      <c r="CM246" s="24"/>
      <c r="CN246" s="61"/>
      <c r="CO246" s="16"/>
      <c r="CP246" s="16"/>
      <c r="CQ246" s="16"/>
      <c r="CR246" s="16"/>
      <c r="CS246" s="16"/>
      <c r="CT246" s="17"/>
      <c r="CX246" s="24"/>
      <c r="CY246" s="60"/>
      <c r="CZ246" s="16"/>
      <c r="DA246" s="16"/>
      <c r="DB246" s="16"/>
      <c r="DC246" s="16"/>
      <c r="DD246" s="16"/>
      <c r="DE246" s="17"/>
      <c r="DI246" s="24"/>
      <c r="DJ246" s="60"/>
      <c r="DK246" s="16"/>
      <c r="DL246" s="16"/>
      <c r="DM246" s="16"/>
      <c r="DN246" s="16"/>
      <c r="DO246" s="16"/>
      <c r="DP246" s="17"/>
      <c r="DT246" s="24"/>
      <c r="DU246" s="60"/>
      <c r="DV246" s="16"/>
      <c r="DW246" s="16"/>
      <c r="DX246" s="16"/>
      <c r="DY246" s="16"/>
      <c r="DZ246" s="16"/>
      <c r="EA246" s="17"/>
      <c r="EE246" s="24"/>
      <c r="EF246" s="60"/>
      <c r="EG246" s="16"/>
      <c r="EH246" s="16"/>
      <c r="EI246" s="16"/>
      <c r="EJ246" s="16"/>
      <c r="EK246" s="16"/>
      <c r="EL246" s="17"/>
      <c r="EP246" s="24"/>
      <c r="EQ246" s="60"/>
      <c r="ER246" s="16"/>
      <c r="ES246" s="16"/>
      <c r="ET246" s="16"/>
      <c r="EU246" s="16"/>
      <c r="EV246" s="16"/>
      <c r="EW246" s="17"/>
      <c r="FA246" s="24"/>
      <c r="FB246" s="60"/>
      <c r="FC246" s="16"/>
      <c r="FD246" s="16"/>
      <c r="FE246" s="16"/>
      <c r="FF246" s="16"/>
      <c r="FG246" s="16"/>
      <c r="FH246" s="17"/>
      <c r="FL246" s="24"/>
      <c r="FM246" s="60"/>
      <c r="FN246" s="16"/>
      <c r="FO246" s="16"/>
      <c r="FP246" s="16"/>
      <c r="FQ246" s="16"/>
      <c r="FR246" s="16"/>
      <c r="FS246" s="17"/>
      <c r="FW246" s="24"/>
      <c r="FX246" s="60"/>
      <c r="FY246" s="16"/>
      <c r="FZ246" s="16"/>
      <c r="GA246" s="16"/>
      <c r="GB246" s="16"/>
      <c r="GC246" s="16"/>
      <c r="GD246" s="17"/>
      <c r="GH246" s="24"/>
      <c r="GI246" s="60"/>
      <c r="GJ246" s="16"/>
      <c r="GK246" s="16"/>
      <c r="GL246" s="16"/>
      <c r="GM246" s="16"/>
      <c r="GN246" s="16"/>
      <c r="GO246" s="17"/>
      <c r="GS246" s="24"/>
      <c r="GT246" s="60"/>
      <c r="GU246" s="16"/>
      <c r="GV246" s="16"/>
      <c r="GW246" s="16"/>
      <c r="GX246" s="16"/>
      <c r="GY246" s="16"/>
      <c r="GZ246" s="17"/>
      <c r="HD246" s="24"/>
      <c r="HE246" s="60"/>
      <c r="HF246" s="16"/>
      <c r="HG246" s="16"/>
      <c r="HH246" s="16"/>
      <c r="HI246" s="16"/>
      <c r="HJ246" s="16"/>
      <c r="HK246" s="17"/>
      <c r="HO246" s="24"/>
      <c r="HP246" s="60"/>
      <c r="HQ246" s="16"/>
      <c r="HR246" s="16"/>
      <c r="HS246" s="16"/>
      <c r="HT246" s="16"/>
      <c r="HU246" s="16"/>
      <c r="HV246" s="17"/>
      <c r="HZ246" s="24"/>
      <c r="IA246" s="60"/>
      <c r="IB246" s="16"/>
      <c r="IC246" s="16"/>
      <c r="ID246" s="16"/>
      <c r="IE246" s="16"/>
      <c r="IF246" s="16"/>
      <c r="IG246" s="17"/>
      <c r="IK246" s="24"/>
      <c r="IL246" s="60"/>
      <c r="IM246" s="16"/>
      <c r="IN246" s="16"/>
      <c r="IO246" s="16"/>
      <c r="IP246" s="16"/>
      <c r="IQ246" s="16"/>
      <c r="IR246" s="17"/>
      <c r="IV246" s="24"/>
      <c r="IW246" s="60"/>
      <c r="IX246" s="16"/>
      <c r="IY246" s="16"/>
      <c r="IZ246" s="16"/>
      <c r="JA246" s="16"/>
      <c r="JB246" s="16"/>
      <c r="JC246" s="17"/>
      <c r="JG246" s="24"/>
      <c r="JH246" s="60"/>
      <c r="JI246" s="16"/>
      <c r="JJ246" s="16"/>
      <c r="JK246" s="16"/>
      <c r="JL246" s="16"/>
      <c r="JM246" s="16"/>
      <c r="JN246" s="17"/>
      <c r="JR246" s="24"/>
      <c r="JS246" s="60"/>
      <c r="JT246" s="16"/>
      <c r="JU246" s="16"/>
      <c r="JV246" s="16"/>
      <c r="JW246" s="16"/>
      <c r="JX246" s="16"/>
      <c r="JY246" s="17"/>
      <c r="KC246" s="24"/>
      <c r="KD246" s="60"/>
      <c r="KE246" s="16"/>
      <c r="KF246" s="16"/>
      <c r="KG246" s="16"/>
      <c r="KH246" s="16"/>
      <c r="KI246" s="16"/>
      <c r="KJ246" s="17"/>
      <c r="KN246" s="24"/>
      <c r="KO246" s="60"/>
      <c r="KP246" s="16"/>
      <c r="KQ246" s="16"/>
      <c r="KR246" s="16"/>
      <c r="KS246" s="16"/>
      <c r="KT246" s="16"/>
      <c r="KU246" s="17"/>
      <c r="KY246" s="24"/>
      <c r="KZ246" s="60"/>
      <c r="LA246" s="16"/>
      <c r="LB246" s="16"/>
      <c r="LC246" s="16"/>
      <c r="LD246" s="16"/>
      <c r="LE246" s="16"/>
      <c r="LF246" s="17"/>
      <c r="LJ246" s="24"/>
      <c r="LK246" s="60"/>
      <c r="LL246" s="16"/>
      <c r="LM246" s="16"/>
      <c r="LN246" s="16"/>
      <c r="LO246" s="16"/>
      <c r="LP246" s="16"/>
      <c r="LQ246" s="17"/>
    </row>
    <row r="247">
      <c r="C247" s="31"/>
      <c r="D247" s="61"/>
      <c r="E247" s="16"/>
      <c r="F247" s="16"/>
      <c r="G247" s="21"/>
      <c r="H247" s="16"/>
      <c r="I247" s="16"/>
      <c r="J247" s="17"/>
      <c r="N247" s="17"/>
      <c r="O247" s="61"/>
      <c r="P247" s="16"/>
      <c r="Q247" s="16"/>
      <c r="R247" s="16"/>
      <c r="S247" s="16"/>
      <c r="T247" s="16"/>
      <c r="U247" s="17"/>
      <c r="Y247" s="24"/>
      <c r="Z247" s="61"/>
      <c r="AA247" s="16"/>
      <c r="AB247" s="16"/>
      <c r="AC247" s="16"/>
      <c r="AD247" s="16"/>
      <c r="AE247" s="16"/>
      <c r="AF247" s="17"/>
      <c r="AJ247" s="24"/>
      <c r="AK247" s="61"/>
      <c r="AL247" s="16"/>
      <c r="AM247" s="16"/>
      <c r="AN247" s="16"/>
      <c r="AO247" s="16"/>
      <c r="AP247" s="16"/>
      <c r="AQ247" s="17"/>
      <c r="AU247" s="24"/>
      <c r="AV247" s="61"/>
      <c r="AW247" s="16"/>
      <c r="AX247" s="16"/>
      <c r="AY247" s="16"/>
      <c r="AZ247" s="16"/>
      <c r="BA247" s="16"/>
      <c r="BB247" s="17"/>
      <c r="BF247" s="24"/>
      <c r="BG247" s="61"/>
      <c r="BH247" s="16"/>
      <c r="BI247" s="16"/>
      <c r="BJ247" s="16"/>
      <c r="BK247" s="16"/>
      <c r="BL247" s="16"/>
      <c r="BM247" s="17"/>
      <c r="BQ247" s="24"/>
      <c r="BR247" s="61"/>
      <c r="BS247" s="16"/>
      <c r="BT247" s="16"/>
      <c r="BU247" s="16"/>
      <c r="BV247" s="16"/>
      <c r="BW247" s="16"/>
      <c r="BX247" s="17"/>
      <c r="CB247" s="24"/>
      <c r="CC247" s="61"/>
      <c r="CD247" s="16"/>
      <c r="CE247" s="16"/>
      <c r="CF247" s="16"/>
      <c r="CG247" s="16"/>
      <c r="CH247" s="16"/>
      <c r="CI247" s="17"/>
      <c r="CM247" s="24"/>
      <c r="CN247" s="61"/>
      <c r="CO247" s="16"/>
      <c r="CP247" s="16"/>
      <c r="CQ247" s="16"/>
      <c r="CR247" s="16"/>
      <c r="CS247" s="16"/>
      <c r="CT247" s="17"/>
      <c r="CX247" s="24"/>
      <c r="CY247" s="60"/>
      <c r="CZ247" s="16"/>
      <c r="DA247" s="16"/>
      <c r="DB247" s="16"/>
      <c r="DC247" s="16"/>
      <c r="DD247" s="16"/>
      <c r="DE247" s="17"/>
      <c r="DI247" s="24"/>
      <c r="DJ247" s="60"/>
      <c r="DK247" s="16"/>
      <c r="DL247" s="16"/>
      <c r="DM247" s="16"/>
      <c r="DN247" s="16"/>
      <c r="DO247" s="16"/>
      <c r="DP247" s="17"/>
      <c r="DT247" s="24"/>
      <c r="DU247" s="60"/>
      <c r="DV247" s="16"/>
      <c r="DW247" s="16"/>
      <c r="DX247" s="16"/>
      <c r="DY247" s="16"/>
      <c r="DZ247" s="16"/>
      <c r="EA247" s="17"/>
      <c r="EE247" s="24"/>
      <c r="EF247" s="60"/>
      <c r="EG247" s="16"/>
      <c r="EH247" s="16"/>
      <c r="EI247" s="16"/>
      <c r="EJ247" s="16"/>
      <c r="EK247" s="16"/>
      <c r="EL247" s="17"/>
      <c r="EP247" s="24"/>
      <c r="EQ247" s="60"/>
      <c r="ER247" s="16"/>
      <c r="ES247" s="16"/>
      <c r="ET247" s="16"/>
      <c r="EU247" s="16"/>
      <c r="EV247" s="16"/>
      <c r="EW247" s="17"/>
      <c r="FA247" s="24"/>
      <c r="FB247" s="60"/>
      <c r="FC247" s="16"/>
      <c r="FD247" s="16"/>
      <c r="FE247" s="16"/>
      <c r="FF247" s="16"/>
      <c r="FG247" s="16"/>
      <c r="FH247" s="17"/>
      <c r="FL247" s="24"/>
      <c r="FM247" s="60"/>
      <c r="FN247" s="16"/>
      <c r="FO247" s="16"/>
      <c r="FP247" s="16"/>
      <c r="FQ247" s="16"/>
      <c r="FR247" s="16"/>
      <c r="FS247" s="17"/>
      <c r="FW247" s="24"/>
      <c r="FX247" s="60"/>
      <c r="FY247" s="16"/>
      <c r="FZ247" s="16"/>
      <c r="GA247" s="16"/>
      <c r="GB247" s="16"/>
      <c r="GC247" s="16"/>
      <c r="GD247" s="17"/>
      <c r="GH247" s="24"/>
      <c r="GI247" s="60"/>
      <c r="GJ247" s="16"/>
      <c r="GK247" s="16"/>
      <c r="GL247" s="16"/>
      <c r="GM247" s="16"/>
      <c r="GN247" s="16"/>
      <c r="GO247" s="17"/>
      <c r="GS247" s="24"/>
      <c r="GT247" s="60"/>
      <c r="GU247" s="16"/>
      <c r="GV247" s="16"/>
      <c r="GW247" s="16"/>
      <c r="GX247" s="16"/>
      <c r="GY247" s="16"/>
      <c r="GZ247" s="17"/>
      <c r="HD247" s="24"/>
      <c r="HE247" s="60"/>
      <c r="HF247" s="16"/>
      <c r="HG247" s="16"/>
      <c r="HH247" s="16"/>
      <c r="HI247" s="16"/>
      <c r="HJ247" s="16"/>
      <c r="HK247" s="17"/>
      <c r="HO247" s="24"/>
      <c r="HP247" s="60"/>
      <c r="HQ247" s="16"/>
      <c r="HR247" s="16"/>
      <c r="HS247" s="16"/>
      <c r="HT247" s="16"/>
      <c r="HU247" s="16"/>
      <c r="HV247" s="17"/>
      <c r="HZ247" s="24"/>
      <c r="IA247" s="60"/>
      <c r="IB247" s="16"/>
      <c r="IC247" s="16"/>
      <c r="ID247" s="16"/>
      <c r="IE247" s="16"/>
      <c r="IF247" s="16"/>
      <c r="IG247" s="17"/>
      <c r="IK247" s="24"/>
      <c r="IL247" s="60"/>
      <c r="IM247" s="16"/>
      <c r="IN247" s="16"/>
      <c r="IO247" s="16"/>
      <c r="IP247" s="16"/>
      <c r="IQ247" s="16"/>
      <c r="IR247" s="17"/>
      <c r="IV247" s="24"/>
      <c r="IW247" s="60"/>
      <c r="IX247" s="16"/>
      <c r="IY247" s="16"/>
      <c r="IZ247" s="16"/>
      <c r="JA247" s="16"/>
      <c r="JB247" s="16"/>
      <c r="JC247" s="17"/>
      <c r="JG247" s="24"/>
      <c r="JH247" s="60"/>
      <c r="JI247" s="16"/>
      <c r="JJ247" s="16"/>
      <c r="JK247" s="16"/>
      <c r="JL247" s="16"/>
      <c r="JM247" s="16"/>
      <c r="JN247" s="17"/>
      <c r="JR247" s="24"/>
      <c r="JS247" s="60"/>
      <c r="JT247" s="16"/>
      <c r="JU247" s="16"/>
      <c r="JV247" s="16"/>
      <c r="JW247" s="16"/>
      <c r="JX247" s="16"/>
      <c r="JY247" s="17"/>
      <c r="KC247" s="24"/>
      <c r="KD247" s="60"/>
      <c r="KE247" s="16"/>
      <c r="KF247" s="16"/>
      <c r="KG247" s="16"/>
      <c r="KH247" s="16"/>
      <c r="KI247" s="16"/>
      <c r="KJ247" s="17"/>
      <c r="KN247" s="24"/>
      <c r="KO247" s="60"/>
      <c r="KP247" s="16"/>
      <c r="KQ247" s="16"/>
      <c r="KR247" s="16"/>
      <c r="KS247" s="16"/>
      <c r="KT247" s="16"/>
      <c r="KU247" s="17"/>
      <c r="KY247" s="24"/>
      <c r="KZ247" s="60"/>
      <c r="LA247" s="16"/>
      <c r="LB247" s="16"/>
      <c r="LC247" s="16"/>
      <c r="LD247" s="16"/>
      <c r="LE247" s="16"/>
      <c r="LF247" s="17"/>
      <c r="LJ247" s="24"/>
      <c r="LK247" s="60"/>
      <c r="LL247" s="16"/>
      <c r="LM247" s="16"/>
      <c r="LN247" s="16"/>
      <c r="LO247" s="16"/>
      <c r="LP247" s="16"/>
      <c r="LQ247" s="17"/>
    </row>
    <row r="248">
      <c r="C248" s="31"/>
      <c r="D248" s="61"/>
      <c r="E248" s="16"/>
      <c r="F248" s="16"/>
      <c r="G248" s="21"/>
      <c r="H248" s="16"/>
      <c r="I248" s="16"/>
      <c r="J248" s="17"/>
      <c r="N248" s="17"/>
      <c r="O248" s="61"/>
      <c r="P248" s="16"/>
      <c r="Q248" s="16"/>
      <c r="R248" s="16"/>
      <c r="S248" s="16"/>
      <c r="T248" s="16"/>
      <c r="U248" s="17"/>
      <c r="Y248" s="24"/>
      <c r="Z248" s="61"/>
      <c r="AA248" s="16"/>
      <c r="AB248" s="16"/>
      <c r="AC248" s="16"/>
      <c r="AD248" s="16"/>
      <c r="AE248" s="16"/>
      <c r="AF248" s="17"/>
      <c r="AJ248" s="24"/>
      <c r="AK248" s="61"/>
      <c r="AL248" s="16"/>
      <c r="AM248" s="16"/>
      <c r="AN248" s="16"/>
      <c r="AO248" s="16"/>
      <c r="AP248" s="16"/>
      <c r="AQ248" s="17"/>
      <c r="AU248" s="24"/>
      <c r="AV248" s="61"/>
      <c r="AW248" s="16"/>
      <c r="AX248" s="16"/>
      <c r="AY248" s="16"/>
      <c r="AZ248" s="16"/>
      <c r="BA248" s="16"/>
      <c r="BB248" s="17"/>
      <c r="BF248" s="24"/>
      <c r="BG248" s="61"/>
      <c r="BH248" s="16"/>
      <c r="BI248" s="16"/>
      <c r="BJ248" s="16"/>
      <c r="BK248" s="16"/>
      <c r="BL248" s="16"/>
      <c r="BM248" s="17"/>
      <c r="BQ248" s="24"/>
      <c r="BR248" s="61"/>
      <c r="BS248" s="16"/>
      <c r="BT248" s="16"/>
      <c r="BU248" s="16"/>
      <c r="BV248" s="16"/>
      <c r="BW248" s="16"/>
      <c r="BX248" s="17"/>
      <c r="CB248" s="24"/>
      <c r="CC248" s="61"/>
      <c r="CD248" s="16"/>
      <c r="CE248" s="16"/>
      <c r="CF248" s="16"/>
      <c r="CG248" s="16"/>
      <c r="CH248" s="16"/>
      <c r="CI248" s="17"/>
      <c r="CM248" s="24"/>
      <c r="CN248" s="61"/>
      <c r="CO248" s="16"/>
      <c r="CP248" s="16"/>
      <c r="CQ248" s="16"/>
      <c r="CR248" s="16"/>
      <c r="CS248" s="16"/>
      <c r="CT248" s="17"/>
      <c r="CX248" s="24"/>
      <c r="CY248" s="60"/>
      <c r="CZ248" s="16"/>
      <c r="DA248" s="16"/>
      <c r="DB248" s="16"/>
      <c r="DC248" s="16"/>
      <c r="DD248" s="16"/>
      <c r="DE248" s="17"/>
      <c r="DI248" s="24"/>
      <c r="DJ248" s="60"/>
      <c r="DK248" s="16"/>
      <c r="DL248" s="16"/>
      <c r="DM248" s="16"/>
      <c r="DN248" s="16"/>
      <c r="DO248" s="16"/>
      <c r="DP248" s="17"/>
      <c r="DT248" s="24"/>
      <c r="DU248" s="60"/>
      <c r="DV248" s="16"/>
      <c r="DW248" s="16"/>
      <c r="DX248" s="16"/>
      <c r="DY248" s="16"/>
      <c r="DZ248" s="16"/>
      <c r="EA248" s="17"/>
      <c r="EE248" s="24"/>
      <c r="EF248" s="60"/>
      <c r="EG248" s="16"/>
      <c r="EH248" s="16"/>
      <c r="EI248" s="16"/>
      <c r="EJ248" s="16"/>
      <c r="EK248" s="16"/>
      <c r="EL248" s="17"/>
      <c r="EP248" s="24"/>
      <c r="EQ248" s="60"/>
      <c r="ER248" s="16"/>
      <c r="ES248" s="16"/>
      <c r="ET248" s="16"/>
      <c r="EU248" s="16"/>
      <c r="EV248" s="16"/>
      <c r="EW248" s="17"/>
      <c r="FA248" s="24"/>
      <c r="FB248" s="60"/>
      <c r="FC248" s="16"/>
      <c r="FD248" s="16"/>
      <c r="FE248" s="16"/>
      <c r="FF248" s="16"/>
      <c r="FG248" s="16"/>
      <c r="FH248" s="17"/>
      <c r="FL248" s="24"/>
      <c r="FM248" s="60"/>
      <c r="FN248" s="16"/>
      <c r="FO248" s="16"/>
      <c r="FP248" s="16"/>
      <c r="FQ248" s="16"/>
      <c r="FR248" s="16"/>
      <c r="FS248" s="17"/>
      <c r="FW248" s="24"/>
      <c r="FX248" s="60"/>
      <c r="FY248" s="16"/>
      <c r="FZ248" s="16"/>
      <c r="GA248" s="16"/>
      <c r="GB248" s="16"/>
      <c r="GC248" s="16"/>
      <c r="GD248" s="17"/>
      <c r="GH248" s="24"/>
      <c r="GI248" s="60"/>
      <c r="GJ248" s="16"/>
      <c r="GK248" s="16"/>
      <c r="GL248" s="16"/>
      <c r="GM248" s="16"/>
      <c r="GN248" s="16"/>
      <c r="GO248" s="17"/>
      <c r="GS248" s="24"/>
      <c r="GT248" s="60"/>
      <c r="GU248" s="16"/>
      <c r="GV248" s="16"/>
      <c r="GW248" s="16"/>
      <c r="GX248" s="16"/>
      <c r="GY248" s="16"/>
      <c r="GZ248" s="17"/>
      <c r="HD248" s="24"/>
      <c r="HE248" s="60"/>
      <c r="HF248" s="16"/>
      <c r="HG248" s="16"/>
      <c r="HH248" s="16"/>
      <c r="HI248" s="16"/>
      <c r="HJ248" s="16"/>
      <c r="HK248" s="17"/>
      <c r="HO248" s="24"/>
      <c r="HP248" s="60"/>
      <c r="HQ248" s="16"/>
      <c r="HR248" s="16"/>
      <c r="HS248" s="16"/>
      <c r="HT248" s="16"/>
      <c r="HU248" s="16"/>
      <c r="HV248" s="17"/>
      <c r="HZ248" s="24"/>
      <c r="IA248" s="60"/>
      <c r="IB248" s="16"/>
      <c r="IC248" s="16"/>
      <c r="ID248" s="16"/>
      <c r="IE248" s="16"/>
      <c r="IF248" s="16"/>
      <c r="IG248" s="17"/>
      <c r="IK248" s="24"/>
      <c r="IL248" s="60"/>
      <c r="IM248" s="16"/>
      <c r="IN248" s="16"/>
      <c r="IO248" s="16"/>
      <c r="IP248" s="16"/>
      <c r="IQ248" s="16"/>
      <c r="IR248" s="17"/>
      <c r="IV248" s="24"/>
      <c r="IW248" s="60"/>
      <c r="IX248" s="16"/>
      <c r="IY248" s="16"/>
      <c r="IZ248" s="16"/>
      <c r="JA248" s="16"/>
      <c r="JB248" s="16"/>
      <c r="JC248" s="17"/>
      <c r="JG248" s="24"/>
      <c r="JH248" s="60"/>
      <c r="JI248" s="16"/>
      <c r="JJ248" s="16"/>
      <c r="JK248" s="16"/>
      <c r="JL248" s="16"/>
      <c r="JM248" s="16"/>
      <c r="JN248" s="17"/>
      <c r="JR248" s="24"/>
      <c r="JS248" s="60"/>
      <c r="JT248" s="16"/>
      <c r="JU248" s="16"/>
      <c r="JV248" s="16"/>
      <c r="JW248" s="16"/>
      <c r="JX248" s="16"/>
      <c r="JY248" s="17"/>
      <c r="KC248" s="24"/>
      <c r="KD248" s="60"/>
      <c r="KE248" s="16"/>
      <c r="KF248" s="16"/>
      <c r="KG248" s="16"/>
      <c r="KH248" s="16"/>
      <c r="KI248" s="16"/>
      <c r="KJ248" s="17"/>
      <c r="KN248" s="24"/>
      <c r="KO248" s="60"/>
      <c r="KP248" s="16"/>
      <c r="KQ248" s="16"/>
      <c r="KR248" s="16"/>
      <c r="KS248" s="16"/>
      <c r="KT248" s="16"/>
      <c r="KU248" s="17"/>
      <c r="KY248" s="24"/>
      <c r="KZ248" s="60"/>
      <c r="LA248" s="16"/>
      <c r="LB248" s="16"/>
      <c r="LC248" s="16"/>
      <c r="LD248" s="16"/>
      <c r="LE248" s="16"/>
      <c r="LF248" s="17"/>
      <c r="LJ248" s="24"/>
      <c r="LK248" s="60"/>
      <c r="LL248" s="16"/>
      <c r="LM248" s="16"/>
      <c r="LN248" s="16"/>
      <c r="LO248" s="16"/>
      <c r="LP248" s="16"/>
      <c r="LQ248" s="17"/>
    </row>
    <row r="249">
      <c r="C249" s="31"/>
      <c r="D249" s="61"/>
      <c r="E249" s="16"/>
      <c r="F249" s="16"/>
      <c r="G249" s="21"/>
      <c r="H249" s="16"/>
      <c r="I249" s="16"/>
      <c r="J249" s="17"/>
      <c r="N249" s="17"/>
      <c r="O249" s="61"/>
      <c r="P249" s="16"/>
      <c r="Q249" s="16"/>
      <c r="R249" s="16"/>
      <c r="S249" s="16"/>
      <c r="T249" s="16"/>
      <c r="U249" s="17"/>
      <c r="Y249" s="24"/>
      <c r="Z249" s="61"/>
      <c r="AA249" s="16"/>
      <c r="AB249" s="16"/>
      <c r="AC249" s="16"/>
      <c r="AD249" s="16"/>
      <c r="AE249" s="16"/>
      <c r="AF249" s="17"/>
      <c r="AJ249" s="24"/>
      <c r="AK249" s="61"/>
      <c r="AL249" s="16"/>
      <c r="AM249" s="16"/>
      <c r="AN249" s="16"/>
      <c r="AO249" s="16"/>
      <c r="AP249" s="16"/>
      <c r="AQ249" s="17"/>
      <c r="AU249" s="24"/>
      <c r="AV249" s="61"/>
      <c r="AW249" s="16"/>
      <c r="AX249" s="16"/>
      <c r="AY249" s="16"/>
      <c r="AZ249" s="16"/>
      <c r="BA249" s="16"/>
      <c r="BB249" s="17"/>
      <c r="BF249" s="24"/>
      <c r="BG249" s="61"/>
      <c r="BH249" s="16"/>
      <c r="BI249" s="16"/>
      <c r="BJ249" s="16"/>
      <c r="BK249" s="16"/>
      <c r="BL249" s="16"/>
      <c r="BM249" s="17"/>
      <c r="BQ249" s="24"/>
      <c r="BR249" s="61"/>
      <c r="BS249" s="16"/>
      <c r="BT249" s="16"/>
      <c r="BU249" s="16"/>
      <c r="BV249" s="16"/>
      <c r="BW249" s="16"/>
      <c r="BX249" s="17"/>
      <c r="CB249" s="24"/>
      <c r="CC249" s="61"/>
      <c r="CD249" s="16"/>
      <c r="CE249" s="16"/>
      <c r="CF249" s="16"/>
      <c r="CG249" s="16"/>
      <c r="CH249" s="16"/>
      <c r="CI249" s="17"/>
      <c r="CM249" s="24"/>
      <c r="CN249" s="61"/>
      <c r="CO249" s="16"/>
      <c r="CP249" s="16"/>
      <c r="CQ249" s="16"/>
      <c r="CR249" s="16"/>
      <c r="CS249" s="16"/>
      <c r="CT249" s="17"/>
      <c r="CX249" s="24"/>
      <c r="CY249" s="60"/>
      <c r="CZ249" s="16"/>
      <c r="DA249" s="16"/>
      <c r="DB249" s="16"/>
      <c r="DC249" s="16"/>
      <c r="DD249" s="16"/>
      <c r="DE249" s="17"/>
      <c r="DI249" s="24"/>
      <c r="DJ249" s="60"/>
      <c r="DK249" s="16"/>
      <c r="DL249" s="16"/>
      <c r="DM249" s="16"/>
      <c r="DN249" s="16"/>
      <c r="DO249" s="16"/>
      <c r="DP249" s="17"/>
      <c r="DT249" s="24"/>
      <c r="DU249" s="60"/>
      <c r="DV249" s="16"/>
      <c r="DW249" s="16"/>
      <c r="DX249" s="16"/>
      <c r="DY249" s="16"/>
      <c r="DZ249" s="16"/>
      <c r="EA249" s="17"/>
      <c r="EE249" s="24"/>
      <c r="EF249" s="60"/>
      <c r="EG249" s="16"/>
      <c r="EH249" s="16"/>
      <c r="EI249" s="16"/>
      <c r="EJ249" s="16"/>
      <c r="EK249" s="16"/>
      <c r="EL249" s="17"/>
      <c r="EP249" s="24"/>
      <c r="EQ249" s="60"/>
      <c r="ER249" s="16"/>
      <c r="ES249" s="16"/>
      <c r="ET249" s="16"/>
      <c r="EU249" s="16"/>
      <c r="EV249" s="16"/>
      <c r="EW249" s="17"/>
      <c r="FA249" s="24"/>
      <c r="FB249" s="60"/>
      <c r="FC249" s="16"/>
      <c r="FD249" s="16"/>
      <c r="FE249" s="16"/>
      <c r="FF249" s="16"/>
      <c r="FG249" s="16"/>
      <c r="FH249" s="17"/>
      <c r="FL249" s="24"/>
      <c r="FM249" s="60"/>
      <c r="FN249" s="16"/>
      <c r="FO249" s="16"/>
      <c r="FP249" s="16"/>
      <c r="FQ249" s="16"/>
      <c r="FR249" s="16"/>
      <c r="FS249" s="17"/>
      <c r="FW249" s="24"/>
      <c r="FX249" s="60"/>
      <c r="FY249" s="16"/>
      <c r="FZ249" s="16"/>
      <c r="GA249" s="16"/>
      <c r="GB249" s="16"/>
      <c r="GC249" s="16"/>
      <c r="GD249" s="17"/>
      <c r="GH249" s="24"/>
      <c r="GI249" s="60"/>
      <c r="GJ249" s="16"/>
      <c r="GK249" s="16"/>
      <c r="GL249" s="16"/>
      <c r="GM249" s="16"/>
      <c r="GN249" s="16"/>
      <c r="GO249" s="17"/>
      <c r="GS249" s="24"/>
      <c r="GT249" s="60"/>
      <c r="GU249" s="16"/>
      <c r="GV249" s="16"/>
      <c r="GW249" s="16"/>
      <c r="GX249" s="16"/>
      <c r="GY249" s="16"/>
      <c r="GZ249" s="17"/>
      <c r="HD249" s="24"/>
      <c r="HE249" s="60"/>
      <c r="HF249" s="16"/>
      <c r="HG249" s="16"/>
      <c r="HH249" s="16"/>
      <c r="HI249" s="16"/>
      <c r="HJ249" s="16"/>
      <c r="HK249" s="17"/>
      <c r="HO249" s="24"/>
      <c r="HP249" s="60"/>
      <c r="HQ249" s="16"/>
      <c r="HR249" s="16"/>
      <c r="HS249" s="16"/>
      <c r="HT249" s="16"/>
      <c r="HU249" s="16"/>
      <c r="HV249" s="17"/>
      <c r="HZ249" s="24"/>
      <c r="IA249" s="60"/>
      <c r="IB249" s="16"/>
      <c r="IC249" s="16"/>
      <c r="ID249" s="16"/>
      <c r="IE249" s="16"/>
      <c r="IF249" s="16"/>
      <c r="IG249" s="17"/>
      <c r="IK249" s="24"/>
      <c r="IL249" s="60"/>
      <c r="IM249" s="16"/>
      <c r="IN249" s="16"/>
      <c r="IO249" s="16"/>
      <c r="IP249" s="16"/>
      <c r="IQ249" s="16"/>
      <c r="IR249" s="17"/>
      <c r="IV249" s="24"/>
      <c r="IW249" s="60"/>
      <c r="IX249" s="16"/>
      <c r="IY249" s="16"/>
      <c r="IZ249" s="16"/>
      <c r="JA249" s="16"/>
      <c r="JB249" s="16"/>
      <c r="JC249" s="17"/>
      <c r="JG249" s="24"/>
      <c r="JH249" s="60"/>
      <c r="JI249" s="16"/>
      <c r="JJ249" s="16"/>
      <c r="JK249" s="16"/>
      <c r="JL249" s="16"/>
      <c r="JM249" s="16"/>
      <c r="JN249" s="17"/>
      <c r="JR249" s="24"/>
      <c r="JS249" s="60"/>
      <c r="JT249" s="16"/>
      <c r="JU249" s="16"/>
      <c r="JV249" s="16"/>
      <c r="JW249" s="16"/>
      <c r="JX249" s="16"/>
      <c r="JY249" s="17"/>
      <c r="KC249" s="24"/>
      <c r="KD249" s="60"/>
      <c r="KE249" s="16"/>
      <c r="KF249" s="16"/>
      <c r="KG249" s="16"/>
      <c r="KH249" s="16"/>
      <c r="KI249" s="16"/>
      <c r="KJ249" s="17"/>
      <c r="KN249" s="24"/>
      <c r="KO249" s="60"/>
      <c r="KP249" s="16"/>
      <c r="KQ249" s="16"/>
      <c r="KR249" s="16"/>
      <c r="KS249" s="16"/>
      <c r="KT249" s="16"/>
      <c r="KU249" s="17"/>
      <c r="KY249" s="24"/>
      <c r="KZ249" s="60"/>
      <c r="LA249" s="16"/>
      <c r="LB249" s="16"/>
      <c r="LC249" s="16"/>
      <c r="LD249" s="16"/>
      <c r="LE249" s="16"/>
      <c r="LF249" s="17"/>
      <c r="LJ249" s="24"/>
      <c r="LK249" s="60"/>
      <c r="LL249" s="16"/>
      <c r="LM249" s="16"/>
      <c r="LN249" s="16"/>
      <c r="LO249" s="16"/>
      <c r="LP249" s="16"/>
      <c r="LQ249" s="17"/>
    </row>
    <row r="250">
      <c r="C250" s="31"/>
      <c r="D250" s="61"/>
      <c r="E250" s="16"/>
      <c r="F250" s="16"/>
      <c r="G250" s="21"/>
      <c r="H250" s="16"/>
      <c r="I250" s="16"/>
      <c r="J250" s="17"/>
      <c r="N250" s="17"/>
      <c r="O250" s="61"/>
      <c r="P250" s="16"/>
      <c r="Q250" s="16"/>
      <c r="R250" s="16"/>
      <c r="S250" s="16"/>
      <c r="T250" s="16"/>
      <c r="U250" s="17"/>
      <c r="Y250" s="24"/>
      <c r="Z250" s="61"/>
      <c r="AA250" s="16"/>
      <c r="AB250" s="16"/>
      <c r="AC250" s="16"/>
      <c r="AD250" s="16"/>
      <c r="AE250" s="16"/>
      <c r="AF250" s="17"/>
      <c r="AJ250" s="24"/>
      <c r="AK250" s="61"/>
      <c r="AL250" s="16"/>
      <c r="AM250" s="16"/>
      <c r="AN250" s="16"/>
      <c r="AO250" s="16"/>
      <c r="AP250" s="16"/>
      <c r="AQ250" s="17"/>
      <c r="AU250" s="24"/>
      <c r="AV250" s="61"/>
      <c r="AW250" s="16"/>
      <c r="AX250" s="16"/>
      <c r="AY250" s="16"/>
      <c r="AZ250" s="16"/>
      <c r="BA250" s="16"/>
      <c r="BB250" s="17"/>
      <c r="BF250" s="24"/>
      <c r="BG250" s="61"/>
      <c r="BH250" s="16"/>
      <c r="BI250" s="16"/>
      <c r="BJ250" s="16"/>
      <c r="BK250" s="16"/>
      <c r="BL250" s="16"/>
      <c r="BM250" s="17"/>
      <c r="BQ250" s="24"/>
      <c r="BR250" s="61"/>
      <c r="BS250" s="16"/>
      <c r="BT250" s="16"/>
      <c r="BU250" s="16"/>
      <c r="BV250" s="16"/>
      <c r="BW250" s="16"/>
      <c r="BX250" s="17"/>
      <c r="CB250" s="24"/>
      <c r="CC250" s="61"/>
      <c r="CD250" s="16"/>
      <c r="CE250" s="16"/>
      <c r="CF250" s="16"/>
      <c r="CG250" s="16"/>
      <c r="CH250" s="16"/>
      <c r="CI250" s="17"/>
      <c r="CM250" s="24"/>
      <c r="CN250" s="61"/>
      <c r="CO250" s="16"/>
      <c r="CP250" s="16"/>
      <c r="CQ250" s="16"/>
      <c r="CR250" s="16"/>
      <c r="CS250" s="16"/>
      <c r="CT250" s="17"/>
      <c r="CX250" s="24"/>
      <c r="CY250" s="60"/>
      <c r="CZ250" s="16"/>
      <c r="DA250" s="16"/>
      <c r="DB250" s="16"/>
      <c r="DC250" s="16"/>
      <c r="DD250" s="16"/>
      <c r="DE250" s="17"/>
      <c r="DI250" s="24"/>
      <c r="DJ250" s="60"/>
      <c r="DK250" s="16"/>
      <c r="DL250" s="16"/>
      <c r="DM250" s="16"/>
      <c r="DN250" s="16"/>
      <c r="DO250" s="16"/>
      <c r="DP250" s="17"/>
      <c r="DT250" s="24"/>
      <c r="DU250" s="60"/>
      <c r="DV250" s="16"/>
      <c r="DW250" s="16"/>
      <c r="DX250" s="16"/>
      <c r="DY250" s="16"/>
      <c r="DZ250" s="16"/>
      <c r="EA250" s="17"/>
      <c r="EE250" s="24"/>
      <c r="EF250" s="60"/>
      <c r="EG250" s="16"/>
      <c r="EH250" s="16"/>
      <c r="EI250" s="16"/>
      <c r="EJ250" s="16"/>
      <c r="EK250" s="16"/>
      <c r="EL250" s="17"/>
      <c r="EP250" s="24"/>
      <c r="EQ250" s="60"/>
      <c r="ER250" s="16"/>
      <c r="ES250" s="16"/>
      <c r="ET250" s="16"/>
      <c r="EU250" s="16"/>
      <c r="EV250" s="16"/>
      <c r="EW250" s="17"/>
      <c r="FA250" s="24"/>
      <c r="FB250" s="60"/>
      <c r="FC250" s="16"/>
      <c r="FD250" s="16"/>
      <c r="FE250" s="16"/>
      <c r="FF250" s="16"/>
      <c r="FG250" s="16"/>
      <c r="FH250" s="17"/>
      <c r="FL250" s="24"/>
      <c r="FM250" s="60"/>
      <c r="FN250" s="16"/>
      <c r="FO250" s="16"/>
      <c r="FP250" s="16"/>
      <c r="FQ250" s="16"/>
      <c r="FR250" s="16"/>
      <c r="FS250" s="17"/>
      <c r="FW250" s="24"/>
      <c r="FX250" s="60"/>
      <c r="FY250" s="16"/>
      <c r="FZ250" s="16"/>
      <c r="GA250" s="16"/>
      <c r="GB250" s="16"/>
      <c r="GC250" s="16"/>
      <c r="GD250" s="17"/>
      <c r="GH250" s="24"/>
      <c r="GI250" s="60"/>
      <c r="GJ250" s="16"/>
      <c r="GK250" s="16"/>
      <c r="GL250" s="16"/>
      <c r="GM250" s="16"/>
      <c r="GN250" s="16"/>
      <c r="GO250" s="17"/>
      <c r="GS250" s="24"/>
      <c r="GT250" s="60"/>
      <c r="GU250" s="16"/>
      <c r="GV250" s="16"/>
      <c r="GW250" s="16"/>
      <c r="GX250" s="16"/>
      <c r="GY250" s="16"/>
      <c r="GZ250" s="17"/>
      <c r="HD250" s="24"/>
      <c r="HE250" s="60"/>
      <c r="HF250" s="16"/>
      <c r="HG250" s="16"/>
      <c r="HH250" s="16"/>
      <c r="HI250" s="16"/>
      <c r="HJ250" s="16"/>
      <c r="HK250" s="17"/>
      <c r="HO250" s="24"/>
      <c r="HP250" s="60"/>
      <c r="HQ250" s="16"/>
      <c r="HR250" s="16"/>
      <c r="HS250" s="16"/>
      <c r="HT250" s="16"/>
      <c r="HU250" s="16"/>
      <c r="HV250" s="17"/>
      <c r="HZ250" s="24"/>
      <c r="IA250" s="60"/>
      <c r="IB250" s="16"/>
      <c r="IC250" s="16"/>
      <c r="ID250" s="16"/>
      <c r="IE250" s="16"/>
      <c r="IF250" s="16"/>
      <c r="IG250" s="17"/>
      <c r="IK250" s="24"/>
      <c r="IL250" s="60"/>
      <c r="IM250" s="16"/>
      <c r="IN250" s="16"/>
      <c r="IO250" s="16"/>
      <c r="IP250" s="16"/>
      <c r="IQ250" s="16"/>
      <c r="IR250" s="17"/>
      <c r="IV250" s="24"/>
      <c r="IW250" s="60"/>
      <c r="IX250" s="16"/>
      <c r="IY250" s="16"/>
      <c r="IZ250" s="16"/>
      <c r="JA250" s="16"/>
      <c r="JB250" s="16"/>
      <c r="JC250" s="17"/>
      <c r="JG250" s="24"/>
      <c r="JH250" s="60"/>
      <c r="JI250" s="16"/>
      <c r="JJ250" s="16"/>
      <c r="JK250" s="16"/>
      <c r="JL250" s="16"/>
      <c r="JM250" s="16"/>
      <c r="JN250" s="17"/>
      <c r="JR250" s="24"/>
      <c r="JS250" s="60"/>
      <c r="JT250" s="16"/>
      <c r="JU250" s="16"/>
      <c r="JV250" s="16"/>
      <c r="JW250" s="16"/>
      <c r="JX250" s="16"/>
      <c r="JY250" s="17"/>
      <c r="KC250" s="24"/>
      <c r="KD250" s="60"/>
      <c r="KE250" s="16"/>
      <c r="KF250" s="16"/>
      <c r="KG250" s="16"/>
      <c r="KH250" s="16"/>
      <c r="KI250" s="16"/>
      <c r="KJ250" s="17"/>
      <c r="KN250" s="24"/>
      <c r="KO250" s="60"/>
      <c r="KP250" s="16"/>
      <c r="KQ250" s="16"/>
      <c r="KR250" s="16"/>
      <c r="KS250" s="16"/>
      <c r="KT250" s="16"/>
      <c r="KU250" s="17"/>
      <c r="KY250" s="24"/>
      <c r="KZ250" s="60"/>
      <c r="LA250" s="16"/>
      <c r="LB250" s="16"/>
      <c r="LC250" s="16"/>
      <c r="LD250" s="16"/>
      <c r="LE250" s="16"/>
      <c r="LF250" s="17"/>
      <c r="LJ250" s="24"/>
      <c r="LK250" s="60"/>
      <c r="LL250" s="16"/>
      <c r="LM250" s="16"/>
      <c r="LN250" s="16"/>
      <c r="LO250" s="16"/>
      <c r="LP250" s="16"/>
      <c r="LQ250" s="17"/>
    </row>
    <row r="251">
      <c r="C251" s="31"/>
      <c r="D251" s="61"/>
      <c r="E251" s="16"/>
      <c r="F251" s="16"/>
      <c r="G251" s="21"/>
      <c r="H251" s="16"/>
      <c r="I251" s="16"/>
      <c r="J251" s="17"/>
      <c r="N251" s="17"/>
      <c r="O251" s="61"/>
      <c r="P251" s="16"/>
      <c r="Q251" s="16"/>
      <c r="R251" s="16"/>
      <c r="S251" s="16"/>
      <c r="T251" s="16"/>
      <c r="U251" s="17"/>
      <c r="Y251" s="24"/>
      <c r="Z251" s="61"/>
      <c r="AA251" s="16"/>
      <c r="AB251" s="16"/>
      <c r="AC251" s="16"/>
      <c r="AD251" s="16"/>
      <c r="AE251" s="16"/>
      <c r="AF251" s="17"/>
      <c r="AJ251" s="24"/>
      <c r="AK251" s="61"/>
      <c r="AL251" s="16"/>
      <c r="AM251" s="16"/>
      <c r="AN251" s="16"/>
      <c r="AO251" s="16"/>
      <c r="AP251" s="16"/>
      <c r="AQ251" s="17"/>
      <c r="AU251" s="24"/>
      <c r="AV251" s="61"/>
      <c r="AW251" s="16"/>
      <c r="AX251" s="16"/>
      <c r="AY251" s="16"/>
      <c r="AZ251" s="16"/>
      <c r="BA251" s="16"/>
      <c r="BB251" s="17"/>
      <c r="BF251" s="24"/>
      <c r="BG251" s="61"/>
      <c r="BH251" s="16"/>
      <c r="BI251" s="16"/>
      <c r="BJ251" s="16"/>
      <c r="BK251" s="16"/>
      <c r="BL251" s="16"/>
      <c r="BM251" s="17"/>
      <c r="BQ251" s="24"/>
      <c r="BR251" s="61"/>
      <c r="BS251" s="16"/>
      <c r="BT251" s="16"/>
      <c r="BU251" s="16"/>
      <c r="BV251" s="16"/>
      <c r="BW251" s="16"/>
      <c r="BX251" s="17"/>
      <c r="CB251" s="24"/>
      <c r="CC251" s="61"/>
      <c r="CD251" s="16"/>
      <c r="CE251" s="16"/>
      <c r="CF251" s="16"/>
      <c r="CG251" s="16"/>
      <c r="CH251" s="16"/>
      <c r="CI251" s="17"/>
      <c r="CM251" s="24"/>
      <c r="CN251" s="61"/>
      <c r="CO251" s="16"/>
      <c r="CP251" s="16"/>
      <c r="CQ251" s="16"/>
      <c r="CR251" s="16"/>
      <c r="CS251" s="16"/>
      <c r="CT251" s="17"/>
      <c r="CX251" s="24"/>
      <c r="CY251" s="60"/>
      <c r="CZ251" s="16"/>
      <c r="DA251" s="16"/>
      <c r="DB251" s="16"/>
      <c r="DC251" s="16"/>
      <c r="DD251" s="16"/>
      <c r="DE251" s="17"/>
      <c r="DI251" s="24"/>
      <c r="DJ251" s="60"/>
      <c r="DK251" s="16"/>
      <c r="DL251" s="16"/>
      <c r="DM251" s="16"/>
      <c r="DN251" s="16"/>
      <c r="DO251" s="16"/>
      <c r="DP251" s="17"/>
      <c r="DT251" s="24"/>
      <c r="DU251" s="60"/>
      <c r="DV251" s="16"/>
      <c r="DW251" s="16"/>
      <c r="DX251" s="16"/>
      <c r="DY251" s="16"/>
      <c r="DZ251" s="16"/>
      <c r="EA251" s="17"/>
      <c r="EE251" s="24"/>
      <c r="EF251" s="60"/>
      <c r="EG251" s="16"/>
      <c r="EH251" s="16"/>
      <c r="EI251" s="16"/>
      <c r="EJ251" s="16"/>
      <c r="EK251" s="16"/>
      <c r="EL251" s="17"/>
      <c r="EP251" s="24"/>
      <c r="EQ251" s="60"/>
      <c r="ER251" s="16"/>
      <c r="ES251" s="16"/>
      <c r="ET251" s="16"/>
      <c r="EU251" s="16"/>
      <c r="EV251" s="16"/>
      <c r="EW251" s="17"/>
      <c r="FA251" s="24"/>
      <c r="FB251" s="60"/>
      <c r="FC251" s="16"/>
      <c r="FD251" s="16"/>
      <c r="FE251" s="16"/>
      <c r="FF251" s="16"/>
      <c r="FG251" s="16"/>
      <c r="FH251" s="17"/>
      <c r="FL251" s="24"/>
      <c r="FM251" s="60"/>
      <c r="FN251" s="16"/>
      <c r="FO251" s="16"/>
      <c r="FP251" s="16"/>
      <c r="FQ251" s="16"/>
      <c r="FR251" s="16"/>
      <c r="FS251" s="17"/>
      <c r="FW251" s="24"/>
      <c r="FX251" s="60"/>
      <c r="FY251" s="16"/>
      <c r="FZ251" s="16"/>
      <c r="GA251" s="16"/>
      <c r="GB251" s="16"/>
      <c r="GC251" s="16"/>
      <c r="GD251" s="17"/>
      <c r="GH251" s="24"/>
      <c r="GI251" s="60"/>
      <c r="GJ251" s="16"/>
      <c r="GK251" s="16"/>
      <c r="GL251" s="16"/>
      <c r="GM251" s="16"/>
      <c r="GN251" s="16"/>
      <c r="GO251" s="17"/>
      <c r="GS251" s="24"/>
      <c r="GT251" s="60"/>
      <c r="GU251" s="16"/>
      <c r="GV251" s="16"/>
      <c r="GW251" s="16"/>
      <c r="GX251" s="16"/>
      <c r="GY251" s="16"/>
      <c r="GZ251" s="17"/>
      <c r="HD251" s="24"/>
      <c r="HE251" s="60"/>
      <c r="HF251" s="16"/>
      <c r="HG251" s="16"/>
      <c r="HH251" s="16"/>
      <c r="HI251" s="16"/>
      <c r="HJ251" s="16"/>
      <c r="HK251" s="17"/>
      <c r="HO251" s="24"/>
      <c r="HP251" s="60"/>
      <c r="HQ251" s="16"/>
      <c r="HR251" s="16"/>
      <c r="HS251" s="16"/>
      <c r="HT251" s="16"/>
      <c r="HU251" s="16"/>
      <c r="HV251" s="17"/>
      <c r="HZ251" s="24"/>
      <c r="IA251" s="60"/>
      <c r="IB251" s="16"/>
      <c r="IC251" s="16"/>
      <c r="ID251" s="16"/>
      <c r="IE251" s="16"/>
      <c r="IF251" s="16"/>
      <c r="IG251" s="17"/>
      <c r="IK251" s="24"/>
      <c r="IL251" s="60"/>
      <c r="IM251" s="16"/>
      <c r="IN251" s="16"/>
      <c r="IO251" s="16"/>
      <c r="IP251" s="16"/>
      <c r="IQ251" s="16"/>
      <c r="IR251" s="17"/>
      <c r="IV251" s="24"/>
      <c r="IW251" s="60"/>
      <c r="IX251" s="16"/>
      <c r="IY251" s="16"/>
      <c r="IZ251" s="16"/>
      <c r="JA251" s="16"/>
      <c r="JB251" s="16"/>
      <c r="JC251" s="17"/>
      <c r="JG251" s="24"/>
      <c r="JH251" s="60"/>
      <c r="JI251" s="16"/>
      <c r="JJ251" s="16"/>
      <c r="JK251" s="16"/>
      <c r="JL251" s="16"/>
      <c r="JM251" s="16"/>
      <c r="JN251" s="17"/>
      <c r="JR251" s="24"/>
      <c r="JS251" s="60"/>
      <c r="JT251" s="16"/>
      <c r="JU251" s="16"/>
      <c r="JV251" s="16"/>
      <c r="JW251" s="16"/>
      <c r="JX251" s="16"/>
      <c r="JY251" s="17"/>
      <c r="KC251" s="24"/>
      <c r="KD251" s="60"/>
      <c r="KE251" s="16"/>
      <c r="KF251" s="16"/>
      <c r="KG251" s="16"/>
      <c r="KH251" s="16"/>
      <c r="KI251" s="16"/>
      <c r="KJ251" s="17"/>
      <c r="KN251" s="24"/>
      <c r="KO251" s="60"/>
      <c r="KP251" s="16"/>
      <c r="KQ251" s="16"/>
      <c r="KR251" s="16"/>
      <c r="KS251" s="16"/>
      <c r="KT251" s="16"/>
      <c r="KU251" s="17"/>
      <c r="KY251" s="24"/>
      <c r="KZ251" s="60"/>
      <c r="LA251" s="16"/>
      <c r="LB251" s="16"/>
      <c r="LC251" s="16"/>
      <c r="LD251" s="16"/>
      <c r="LE251" s="16"/>
      <c r="LF251" s="17"/>
      <c r="LJ251" s="24"/>
      <c r="LK251" s="60"/>
      <c r="LL251" s="16"/>
      <c r="LM251" s="16"/>
      <c r="LN251" s="16"/>
      <c r="LO251" s="16"/>
      <c r="LP251" s="16"/>
      <c r="LQ251" s="17"/>
    </row>
    <row r="252">
      <c r="C252" s="31"/>
      <c r="D252" s="61"/>
      <c r="E252" s="16"/>
      <c r="F252" s="16"/>
      <c r="G252" s="21"/>
      <c r="H252" s="16"/>
      <c r="I252" s="16"/>
      <c r="J252" s="17"/>
      <c r="N252" s="17"/>
      <c r="O252" s="61"/>
      <c r="P252" s="16"/>
      <c r="Q252" s="16"/>
      <c r="R252" s="16"/>
      <c r="S252" s="16"/>
      <c r="T252" s="16"/>
      <c r="U252" s="17"/>
      <c r="Y252" s="24"/>
      <c r="Z252" s="61"/>
      <c r="AA252" s="16"/>
      <c r="AB252" s="16"/>
      <c r="AC252" s="16"/>
      <c r="AD252" s="16"/>
      <c r="AE252" s="16"/>
      <c r="AF252" s="17"/>
      <c r="AJ252" s="24"/>
      <c r="AK252" s="61"/>
      <c r="AL252" s="16"/>
      <c r="AM252" s="16"/>
      <c r="AN252" s="16"/>
      <c r="AO252" s="16"/>
      <c r="AP252" s="16"/>
      <c r="AQ252" s="17"/>
      <c r="AU252" s="24"/>
      <c r="AV252" s="61"/>
      <c r="AW252" s="16"/>
      <c r="AX252" s="16"/>
      <c r="AY252" s="16"/>
      <c r="AZ252" s="16"/>
      <c r="BA252" s="16"/>
      <c r="BB252" s="17"/>
      <c r="BF252" s="24"/>
      <c r="BG252" s="61"/>
      <c r="BH252" s="16"/>
      <c r="BI252" s="16"/>
      <c r="BJ252" s="16"/>
      <c r="BK252" s="16"/>
      <c r="BL252" s="16"/>
      <c r="BM252" s="17"/>
      <c r="BQ252" s="24"/>
      <c r="BR252" s="61"/>
      <c r="BS252" s="16"/>
      <c r="BT252" s="16"/>
      <c r="BU252" s="16"/>
      <c r="BV252" s="16"/>
      <c r="BW252" s="16"/>
      <c r="BX252" s="17"/>
      <c r="CB252" s="24"/>
      <c r="CC252" s="61"/>
      <c r="CD252" s="16"/>
      <c r="CE252" s="16"/>
      <c r="CF252" s="16"/>
      <c r="CG252" s="16"/>
      <c r="CH252" s="16"/>
      <c r="CI252" s="17"/>
      <c r="CM252" s="24"/>
      <c r="CN252" s="61"/>
      <c r="CO252" s="16"/>
      <c r="CP252" s="16"/>
      <c r="CQ252" s="16"/>
      <c r="CR252" s="16"/>
      <c r="CS252" s="16"/>
      <c r="CT252" s="17"/>
      <c r="CX252" s="24"/>
      <c r="CY252" s="60"/>
      <c r="CZ252" s="16"/>
      <c r="DA252" s="16"/>
      <c r="DB252" s="16"/>
      <c r="DC252" s="16"/>
      <c r="DD252" s="16"/>
      <c r="DE252" s="17"/>
      <c r="DI252" s="24"/>
      <c r="DJ252" s="60"/>
      <c r="DK252" s="16"/>
      <c r="DL252" s="16"/>
      <c r="DM252" s="16"/>
      <c r="DN252" s="16"/>
      <c r="DO252" s="16"/>
      <c r="DP252" s="17"/>
      <c r="DT252" s="24"/>
      <c r="DU252" s="60"/>
      <c r="DV252" s="16"/>
      <c r="DW252" s="16"/>
      <c r="DX252" s="16"/>
      <c r="DY252" s="16"/>
      <c r="DZ252" s="16"/>
      <c r="EA252" s="17"/>
      <c r="EE252" s="24"/>
      <c r="EF252" s="60"/>
      <c r="EG252" s="16"/>
      <c r="EH252" s="16"/>
      <c r="EI252" s="16"/>
      <c r="EJ252" s="16"/>
      <c r="EK252" s="16"/>
      <c r="EL252" s="17"/>
      <c r="EP252" s="24"/>
      <c r="EQ252" s="60"/>
      <c r="ER252" s="16"/>
      <c r="ES252" s="16"/>
      <c r="ET252" s="16"/>
      <c r="EU252" s="16"/>
      <c r="EV252" s="16"/>
      <c r="EW252" s="17"/>
      <c r="FA252" s="24"/>
      <c r="FB252" s="60"/>
      <c r="FC252" s="16"/>
      <c r="FD252" s="16"/>
      <c r="FE252" s="16"/>
      <c r="FF252" s="16"/>
      <c r="FG252" s="16"/>
      <c r="FH252" s="17"/>
      <c r="FL252" s="24"/>
      <c r="FM252" s="60"/>
      <c r="FN252" s="16"/>
      <c r="FO252" s="16"/>
      <c r="FP252" s="16"/>
      <c r="FQ252" s="16"/>
      <c r="FR252" s="16"/>
      <c r="FS252" s="17"/>
      <c r="FW252" s="24"/>
      <c r="FX252" s="60"/>
      <c r="FY252" s="16"/>
      <c r="FZ252" s="16"/>
      <c r="GA252" s="16"/>
      <c r="GB252" s="16"/>
      <c r="GC252" s="16"/>
      <c r="GD252" s="17"/>
      <c r="GH252" s="24"/>
      <c r="GI252" s="60"/>
      <c r="GJ252" s="16"/>
      <c r="GK252" s="16"/>
      <c r="GL252" s="16"/>
      <c r="GM252" s="16"/>
      <c r="GN252" s="16"/>
      <c r="GO252" s="17"/>
      <c r="GS252" s="24"/>
      <c r="GT252" s="60"/>
      <c r="GU252" s="16"/>
      <c r="GV252" s="16"/>
      <c r="GW252" s="16"/>
      <c r="GX252" s="16"/>
      <c r="GY252" s="16"/>
      <c r="GZ252" s="17"/>
      <c r="HD252" s="24"/>
      <c r="HE252" s="60"/>
      <c r="HF252" s="16"/>
      <c r="HG252" s="16"/>
      <c r="HH252" s="16"/>
      <c r="HI252" s="16"/>
      <c r="HJ252" s="16"/>
      <c r="HK252" s="17"/>
      <c r="HO252" s="24"/>
      <c r="HP252" s="60"/>
      <c r="HQ252" s="16"/>
      <c r="HR252" s="16"/>
      <c r="HS252" s="16"/>
      <c r="HT252" s="16"/>
      <c r="HU252" s="16"/>
      <c r="HV252" s="17"/>
      <c r="HZ252" s="24"/>
      <c r="IA252" s="60"/>
      <c r="IB252" s="16"/>
      <c r="IC252" s="16"/>
      <c r="ID252" s="16"/>
      <c r="IE252" s="16"/>
      <c r="IF252" s="16"/>
      <c r="IG252" s="17"/>
      <c r="IK252" s="24"/>
      <c r="IL252" s="60"/>
      <c r="IM252" s="16"/>
      <c r="IN252" s="16"/>
      <c r="IO252" s="16"/>
      <c r="IP252" s="16"/>
      <c r="IQ252" s="16"/>
      <c r="IR252" s="17"/>
      <c r="IV252" s="24"/>
      <c r="IW252" s="60"/>
      <c r="IX252" s="16"/>
      <c r="IY252" s="16"/>
      <c r="IZ252" s="16"/>
      <c r="JA252" s="16"/>
      <c r="JB252" s="16"/>
      <c r="JC252" s="17"/>
      <c r="JG252" s="24"/>
      <c r="JH252" s="60"/>
      <c r="JI252" s="16"/>
      <c r="JJ252" s="16"/>
      <c r="JK252" s="16"/>
      <c r="JL252" s="16"/>
      <c r="JM252" s="16"/>
      <c r="JN252" s="17"/>
      <c r="JR252" s="24"/>
      <c r="JS252" s="60"/>
      <c r="JT252" s="16"/>
      <c r="JU252" s="16"/>
      <c r="JV252" s="16"/>
      <c r="JW252" s="16"/>
      <c r="JX252" s="16"/>
      <c r="JY252" s="17"/>
      <c r="KC252" s="24"/>
      <c r="KD252" s="60"/>
      <c r="KE252" s="16"/>
      <c r="KF252" s="16"/>
      <c r="KG252" s="16"/>
      <c r="KH252" s="16"/>
      <c r="KI252" s="16"/>
      <c r="KJ252" s="17"/>
      <c r="KN252" s="24"/>
      <c r="KO252" s="60"/>
      <c r="KP252" s="16"/>
      <c r="KQ252" s="16"/>
      <c r="KR252" s="16"/>
      <c r="KS252" s="16"/>
      <c r="KT252" s="16"/>
      <c r="KU252" s="17"/>
      <c r="KY252" s="24"/>
      <c r="KZ252" s="60"/>
      <c r="LA252" s="16"/>
      <c r="LB252" s="16"/>
      <c r="LC252" s="16"/>
      <c r="LD252" s="16"/>
      <c r="LE252" s="16"/>
      <c r="LF252" s="17"/>
      <c r="LJ252" s="24"/>
      <c r="LK252" s="60"/>
      <c r="LL252" s="16"/>
      <c r="LM252" s="16"/>
      <c r="LN252" s="16"/>
      <c r="LO252" s="16"/>
      <c r="LP252" s="16"/>
      <c r="LQ252" s="17"/>
    </row>
    <row r="253">
      <c r="C253" s="31"/>
      <c r="D253" s="61"/>
      <c r="E253" s="16"/>
      <c r="F253" s="16"/>
      <c r="G253" s="21"/>
      <c r="H253" s="16"/>
      <c r="I253" s="16"/>
      <c r="J253" s="17"/>
      <c r="N253" s="17"/>
      <c r="O253" s="61"/>
      <c r="P253" s="16"/>
      <c r="Q253" s="16"/>
      <c r="R253" s="16"/>
      <c r="S253" s="16"/>
      <c r="T253" s="16"/>
      <c r="U253" s="17"/>
      <c r="Y253" s="24"/>
      <c r="Z253" s="61"/>
      <c r="AA253" s="16"/>
      <c r="AB253" s="16"/>
      <c r="AC253" s="16"/>
      <c r="AD253" s="16"/>
      <c r="AE253" s="16"/>
      <c r="AF253" s="17"/>
      <c r="AJ253" s="24"/>
      <c r="AK253" s="61"/>
      <c r="AL253" s="16"/>
      <c r="AM253" s="16"/>
      <c r="AN253" s="16"/>
      <c r="AO253" s="16"/>
      <c r="AP253" s="16"/>
      <c r="AQ253" s="17"/>
      <c r="AU253" s="24"/>
      <c r="AV253" s="61"/>
      <c r="AW253" s="16"/>
      <c r="AX253" s="16"/>
      <c r="AY253" s="16"/>
      <c r="AZ253" s="16"/>
      <c r="BA253" s="16"/>
      <c r="BB253" s="17"/>
      <c r="BF253" s="24"/>
      <c r="BG253" s="61"/>
      <c r="BH253" s="16"/>
      <c r="BI253" s="16"/>
      <c r="BJ253" s="16"/>
      <c r="BK253" s="16"/>
      <c r="BL253" s="16"/>
      <c r="BM253" s="17"/>
      <c r="BQ253" s="24"/>
      <c r="BR253" s="61"/>
      <c r="BS253" s="16"/>
      <c r="BT253" s="16"/>
      <c r="BU253" s="16"/>
      <c r="BV253" s="16"/>
      <c r="BW253" s="16"/>
      <c r="BX253" s="17"/>
      <c r="CB253" s="24"/>
      <c r="CC253" s="61"/>
      <c r="CD253" s="16"/>
      <c r="CE253" s="16"/>
      <c r="CF253" s="16"/>
      <c r="CG253" s="16"/>
      <c r="CH253" s="16"/>
      <c r="CI253" s="17"/>
      <c r="CM253" s="24"/>
      <c r="CN253" s="61"/>
      <c r="CO253" s="16"/>
      <c r="CP253" s="16"/>
      <c r="CQ253" s="16"/>
      <c r="CR253" s="16"/>
      <c r="CS253" s="16"/>
      <c r="CT253" s="17"/>
      <c r="CX253" s="24"/>
      <c r="CY253" s="60"/>
      <c r="CZ253" s="16"/>
      <c r="DA253" s="16"/>
      <c r="DB253" s="16"/>
      <c r="DC253" s="16"/>
      <c r="DD253" s="16"/>
      <c r="DE253" s="17"/>
      <c r="DI253" s="24"/>
      <c r="DJ253" s="60"/>
      <c r="DK253" s="16"/>
      <c r="DL253" s="16"/>
      <c r="DM253" s="16"/>
      <c r="DN253" s="16"/>
      <c r="DO253" s="16"/>
      <c r="DP253" s="17"/>
      <c r="DT253" s="24"/>
      <c r="DU253" s="60"/>
      <c r="DV253" s="16"/>
      <c r="DW253" s="16"/>
      <c r="DX253" s="16"/>
      <c r="DY253" s="16"/>
      <c r="DZ253" s="16"/>
      <c r="EA253" s="17"/>
      <c r="EE253" s="24"/>
      <c r="EF253" s="60"/>
      <c r="EG253" s="16"/>
      <c r="EH253" s="16"/>
      <c r="EI253" s="16"/>
      <c r="EJ253" s="16"/>
      <c r="EK253" s="16"/>
      <c r="EL253" s="17"/>
      <c r="EP253" s="24"/>
      <c r="EQ253" s="60"/>
      <c r="ER253" s="16"/>
      <c r="ES253" s="16"/>
      <c r="ET253" s="16"/>
      <c r="EU253" s="16"/>
      <c r="EV253" s="16"/>
      <c r="EW253" s="17"/>
      <c r="FA253" s="24"/>
      <c r="FB253" s="60"/>
      <c r="FC253" s="16"/>
      <c r="FD253" s="16"/>
      <c r="FE253" s="16"/>
      <c r="FF253" s="16"/>
      <c r="FG253" s="16"/>
      <c r="FH253" s="17"/>
      <c r="FL253" s="24"/>
      <c r="FM253" s="60"/>
      <c r="FN253" s="16"/>
      <c r="FO253" s="16"/>
      <c r="FP253" s="16"/>
      <c r="FQ253" s="16"/>
      <c r="FR253" s="16"/>
      <c r="FS253" s="17"/>
      <c r="FW253" s="24"/>
      <c r="FX253" s="60"/>
      <c r="FY253" s="16"/>
      <c r="FZ253" s="16"/>
      <c r="GA253" s="16"/>
      <c r="GB253" s="16"/>
      <c r="GC253" s="16"/>
      <c r="GD253" s="17"/>
      <c r="GH253" s="24"/>
      <c r="GI253" s="60"/>
      <c r="GJ253" s="16"/>
      <c r="GK253" s="16"/>
      <c r="GL253" s="16"/>
      <c r="GM253" s="16"/>
      <c r="GN253" s="16"/>
      <c r="GO253" s="17"/>
      <c r="GS253" s="24"/>
      <c r="GT253" s="60"/>
      <c r="GU253" s="16"/>
      <c r="GV253" s="16"/>
      <c r="GW253" s="16"/>
      <c r="GX253" s="16"/>
      <c r="GY253" s="16"/>
      <c r="GZ253" s="17"/>
      <c r="HD253" s="24"/>
      <c r="HE253" s="60"/>
      <c r="HF253" s="16"/>
      <c r="HG253" s="16"/>
      <c r="HH253" s="16"/>
      <c r="HI253" s="16"/>
      <c r="HJ253" s="16"/>
      <c r="HK253" s="17"/>
      <c r="HO253" s="24"/>
      <c r="HP253" s="60"/>
      <c r="HQ253" s="16"/>
      <c r="HR253" s="16"/>
      <c r="HS253" s="16"/>
      <c r="HT253" s="16"/>
      <c r="HU253" s="16"/>
      <c r="HV253" s="17"/>
      <c r="HZ253" s="24"/>
      <c r="IA253" s="60"/>
      <c r="IB253" s="16"/>
      <c r="IC253" s="16"/>
      <c r="ID253" s="16"/>
      <c r="IE253" s="16"/>
      <c r="IF253" s="16"/>
      <c r="IG253" s="17"/>
      <c r="IK253" s="24"/>
      <c r="IL253" s="60"/>
      <c r="IM253" s="16"/>
      <c r="IN253" s="16"/>
      <c r="IO253" s="16"/>
      <c r="IP253" s="16"/>
      <c r="IQ253" s="16"/>
      <c r="IR253" s="17"/>
      <c r="IV253" s="24"/>
      <c r="IW253" s="60"/>
      <c r="IX253" s="16"/>
      <c r="IY253" s="16"/>
      <c r="IZ253" s="16"/>
      <c r="JA253" s="16"/>
      <c r="JB253" s="16"/>
      <c r="JC253" s="17"/>
      <c r="JG253" s="24"/>
      <c r="JH253" s="60"/>
      <c r="JI253" s="16"/>
      <c r="JJ253" s="16"/>
      <c r="JK253" s="16"/>
      <c r="JL253" s="16"/>
      <c r="JM253" s="16"/>
      <c r="JN253" s="17"/>
      <c r="JR253" s="24"/>
      <c r="JS253" s="60"/>
      <c r="JT253" s="16"/>
      <c r="JU253" s="16"/>
      <c r="JV253" s="16"/>
      <c r="JW253" s="16"/>
      <c r="JX253" s="16"/>
      <c r="JY253" s="17"/>
      <c r="KC253" s="24"/>
      <c r="KD253" s="60"/>
      <c r="KE253" s="16"/>
      <c r="KF253" s="16"/>
      <c r="KG253" s="16"/>
      <c r="KH253" s="16"/>
      <c r="KI253" s="16"/>
      <c r="KJ253" s="17"/>
      <c r="KN253" s="24"/>
      <c r="KO253" s="60"/>
      <c r="KP253" s="16"/>
      <c r="KQ253" s="16"/>
      <c r="KR253" s="16"/>
      <c r="KS253" s="16"/>
      <c r="KT253" s="16"/>
      <c r="KU253" s="17"/>
      <c r="KY253" s="24"/>
      <c r="KZ253" s="60"/>
      <c r="LA253" s="16"/>
      <c r="LB253" s="16"/>
      <c r="LC253" s="16"/>
      <c r="LD253" s="16"/>
      <c r="LE253" s="16"/>
      <c r="LF253" s="17"/>
      <c r="LJ253" s="24"/>
      <c r="LK253" s="60"/>
      <c r="LL253" s="16"/>
      <c r="LM253" s="16"/>
      <c r="LN253" s="16"/>
      <c r="LO253" s="16"/>
      <c r="LP253" s="16"/>
      <c r="LQ253" s="17"/>
    </row>
    <row r="254">
      <c r="C254" s="31"/>
      <c r="D254" s="61"/>
      <c r="E254" s="16"/>
      <c r="F254" s="16"/>
      <c r="G254" s="21"/>
      <c r="H254" s="16"/>
      <c r="I254" s="16"/>
      <c r="J254" s="17"/>
      <c r="N254" s="17"/>
      <c r="O254" s="61"/>
      <c r="P254" s="16"/>
      <c r="Q254" s="16"/>
      <c r="R254" s="16"/>
      <c r="S254" s="16"/>
      <c r="T254" s="16"/>
      <c r="U254" s="17"/>
      <c r="Y254" s="24"/>
      <c r="Z254" s="61"/>
      <c r="AA254" s="16"/>
      <c r="AB254" s="16"/>
      <c r="AC254" s="16"/>
      <c r="AD254" s="16"/>
      <c r="AE254" s="16"/>
      <c r="AF254" s="17"/>
      <c r="AJ254" s="24"/>
      <c r="AK254" s="61"/>
      <c r="AL254" s="16"/>
      <c r="AM254" s="16"/>
      <c r="AN254" s="16"/>
      <c r="AO254" s="16"/>
      <c r="AP254" s="16"/>
      <c r="AQ254" s="17"/>
      <c r="AU254" s="24"/>
      <c r="AV254" s="61"/>
      <c r="AW254" s="16"/>
      <c r="AX254" s="16"/>
      <c r="AY254" s="16"/>
      <c r="AZ254" s="16"/>
      <c r="BA254" s="16"/>
      <c r="BB254" s="17"/>
      <c r="BF254" s="24"/>
      <c r="BG254" s="61"/>
      <c r="BH254" s="16"/>
      <c r="BI254" s="16"/>
      <c r="BJ254" s="16"/>
      <c r="BK254" s="16"/>
      <c r="BL254" s="16"/>
      <c r="BM254" s="17"/>
      <c r="BQ254" s="24"/>
      <c r="BR254" s="61"/>
      <c r="BS254" s="16"/>
      <c r="BT254" s="16"/>
      <c r="BU254" s="16"/>
      <c r="BV254" s="16"/>
      <c r="BW254" s="16"/>
      <c r="BX254" s="17"/>
      <c r="CB254" s="24"/>
      <c r="CC254" s="61"/>
      <c r="CD254" s="16"/>
      <c r="CE254" s="16"/>
      <c r="CF254" s="16"/>
      <c r="CG254" s="16"/>
      <c r="CH254" s="16"/>
      <c r="CI254" s="17"/>
      <c r="CM254" s="24"/>
      <c r="CN254" s="61"/>
      <c r="CO254" s="16"/>
      <c r="CP254" s="16"/>
      <c r="CQ254" s="16"/>
      <c r="CR254" s="16"/>
      <c r="CS254" s="16"/>
      <c r="CT254" s="17"/>
      <c r="CX254" s="24"/>
      <c r="CY254" s="60"/>
      <c r="CZ254" s="16"/>
      <c r="DA254" s="16"/>
      <c r="DB254" s="16"/>
      <c r="DC254" s="16"/>
      <c r="DD254" s="16"/>
      <c r="DE254" s="17"/>
      <c r="DI254" s="24"/>
      <c r="DJ254" s="60"/>
      <c r="DK254" s="16"/>
      <c r="DL254" s="16"/>
      <c r="DM254" s="16"/>
      <c r="DN254" s="16"/>
      <c r="DO254" s="16"/>
      <c r="DP254" s="17"/>
      <c r="DT254" s="24"/>
      <c r="DU254" s="60"/>
      <c r="DV254" s="16"/>
      <c r="DW254" s="16"/>
      <c r="DX254" s="16"/>
      <c r="DY254" s="16"/>
      <c r="DZ254" s="16"/>
      <c r="EA254" s="17"/>
      <c r="EE254" s="24"/>
      <c r="EF254" s="60"/>
      <c r="EG254" s="16"/>
      <c r="EH254" s="16"/>
      <c r="EI254" s="16"/>
      <c r="EJ254" s="16"/>
      <c r="EK254" s="16"/>
      <c r="EL254" s="17"/>
      <c r="EP254" s="24"/>
      <c r="EQ254" s="60"/>
      <c r="ER254" s="16"/>
      <c r="ES254" s="16"/>
      <c r="ET254" s="16"/>
      <c r="EU254" s="16"/>
      <c r="EV254" s="16"/>
      <c r="EW254" s="17"/>
      <c r="FA254" s="24"/>
      <c r="FB254" s="60"/>
      <c r="FC254" s="16"/>
      <c r="FD254" s="16"/>
      <c r="FE254" s="16"/>
      <c r="FF254" s="16"/>
      <c r="FG254" s="16"/>
      <c r="FH254" s="17"/>
      <c r="FL254" s="24"/>
      <c r="FM254" s="60"/>
      <c r="FN254" s="16"/>
      <c r="FO254" s="16"/>
      <c r="FP254" s="16"/>
      <c r="FQ254" s="16"/>
      <c r="FR254" s="16"/>
      <c r="FS254" s="17"/>
      <c r="FW254" s="24"/>
      <c r="FX254" s="60"/>
      <c r="FY254" s="16"/>
      <c r="FZ254" s="16"/>
      <c r="GA254" s="16"/>
      <c r="GB254" s="16"/>
      <c r="GC254" s="16"/>
      <c r="GD254" s="17"/>
      <c r="GH254" s="24"/>
      <c r="GI254" s="60"/>
      <c r="GJ254" s="16"/>
      <c r="GK254" s="16"/>
      <c r="GL254" s="16"/>
      <c r="GM254" s="16"/>
      <c r="GN254" s="16"/>
      <c r="GO254" s="17"/>
      <c r="GS254" s="24"/>
      <c r="GT254" s="60"/>
      <c r="GU254" s="16"/>
      <c r="GV254" s="16"/>
      <c r="GW254" s="16"/>
      <c r="GX254" s="16"/>
      <c r="GY254" s="16"/>
      <c r="GZ254" s="17"/>
      <c r="HD254" s="24"/>
      <c r="HE254" s="60"/>
      <c r="HF254" s="16"/>
      <c r="HG254" s="16"/>
      <c r="HH254" s="16"/>
      <c r="HI254" s="16"/>
      <c r="HJ254" s="16"/>
      <c r="HK254" s="17"/>
      <c r="HO254" s="24"/>
      <c r="HP254" s="60"/>
      <c r="HQ254" s="16"/>
      <c r="HR254" s="16"/>
      <c r="HS254" s="16"/>
      <c r="HT254" s="16"/>
      <c r="HU254" s="16"/>
      <c r="HV254" s="17"/>
      <c r="HZ254" s="24"/>
      <c r="IA254" s="60"/>
      <c r="IB254" s="16"/>
      <c r="IC254" s="16"/>
      <c r="ID254" s="16"/>
      <c r="IE254" s="16"/>
      <c r="IF254" s="16"/>
      <c r="IG254" s="17"/>
      <c r="IK254" s="24"/>
      <c r="IL254" s="60"/>
      <c r="IM254" s="16"/>
      <c r="IN254" s="16"/>
      <c r="IO254" s="16"/>
      <c r="IP254" s="16"/>
      <c r="IQ254" s="16"/>
      <c r="IR254" s="17"/>
      <c r="IV254" s="24"/>
      <c r="IW254" s="60"/>
      <c r="IX254" s="16"/>
      <c r="IY254" s="16"/>
      <c r="IZ254" s="16"/>
      <c r="JA254" s="16"/>
      <c r="JB254" s="16"/>
      <c r="JC254" s="17"/>
      <c r="JG254" s="24"/>
      <c r="JH254" s="60"/>
      <c r="JI254" s="16"/>
      <c r="JJ254" s="16"/>
      <c r="JK254" s="16"/>
      <c r="JL254" s="16"/>
      <c r="JM254" s="16"/>
      <c r="JN254" s="17"/>
      <c r="JR254" s="24"/>
      <c r="JS254" s="60"/>
      <c r="JT254" s="16"/>
      <c r="JU254" s="16"/>
      <c r="JV254" s="16"/>
      <c r="JW254" s="16"/>
      <c r="JX254" s="16"/>
      <c r="JY254" s="17"/>
      <c r="KC254" s="24"/>
      <c r="KD254" s="60"/>
      <c r="KE254" s="16"/>
      <c r="KF254" s="16"/>
      <c r="KG254" s="16"/>
      <c r="KH254" s="16"/>
      <c r="KI254" s="16"/>
      <c r="KJ254" s="17"/>
      <c r="KN254" s="24"/>
      <c r="KO254" s="60"/>
      <c r="KP254" s="16"/>
      <c r="KQ254" s="16"/>
      <c r="KR254" s="16"/>
      <c r="KS254" s="16"/>
      <c r="KT254" s="16"/>
      <c r="KU254" s="17"/>
      <c r="KY254" s="24"/>
      <c r="KZ254" s="60"/>
      <c r="LA254" s="16"/>
      <c r="LB254" s="16"/>
      <c r="LC254" s="16"/>
      <c r="LD254" s="16"/>
      <c r="LE254" s="16"/>
      <c r="LF254" s="17"/>
      <c r="LJ254" s="24"/>
      <c r="LK254" s="60"/>
      <c r="LL254" s="16"/>
      <c r="LM254" s="16"/>
      <c r="LN254" s="16"/>
      <c r="LO254" s="16"/>
      <c r="LP254" s="16"/>
      <c r="LQ254" s="17"/>
    </row>
    <row r="255">
      <c r="C255" s="31"/>
      <c r="D255" s="61"/>
      <c r="E255" s="16"/>
      <c r="F255" s="16"/>
      <c r="G255" s="21"/>
      <c r="H255" s="16"/>
      <c r="I255" s="16"/>
      <c r="J255" s="17"/>
      <c r="N255" s="17"/>
      <c r="O255" s="61"/>
      <c r="P255" s="16"/>
      <c r="Q255" s="16"/>
      <c r="R255" s="16"/>
      <c r="S255" s="16"/>
      <c r="T255" s="16"/>
      <c r="U255" s="17"/>
      <c r="Y255" s="24"/>
      <c r="Z255" s="61"/>
      <c r="AA255" s="16"/>
      <c r="AB255" s="16"/>
      <c r="AC255" s="16"/>
      <c r="AD255" s="16"/>
      <c r="AE255" s="16"/>
      <c r="AF255" s="17"/>
      <c r="AJ255" s="24"/>
      <c r="AK255" s="61"/>
      <c r="AL255" s="16"/>
      <c r="AM255" s="16"/>
      <c r="AN255" s="16"/>
      <c r="AO255" s="16"/>
      <c r="AP255" s="16"/>
      <c r="AQ255" s="17"/>
      <c r="AU255" s="24"/>
      <c r="AV255" s="61"/>
      <c r="AW255" s="16"/>
      <c r="AX255" s="16"/>
      <c r="AY255" s="16"/>
      <c r="AZ255" s="16"/>
      <c r="BA255" s="16"/>
      <c r="BB255" s="17"/>
      <c r="BF255" s="24"/>
      <c r="BG255" s="61"/>
      <c r="BH255" s="16"/>
      <c r="BI255" s="16"/>
      <c r="BJ255" s="16"/>
      <c r="BK255" s="16"/>
      <c r="BL255" s="16"/>
      <c r="BM255" s="17"/>
      <c r="BQ255" s="24"/>
      <c r="BR255" s="61"/>
      <c r="BS255" s="16"/>
      <c r="BT255" s="16"/>
      <c r="BU255" s="16"/>
      <c r="BV255" s="16"/>
      <c r="BW255" s="16"/>
      <c r="BX255" s="17"/>
      <c r="CB255" s="24"/>
      <c r="CC255" s="61"/>
      <c r="CD255" s="16"/>
      <c r="CE255" s="16"/>
      <c r="CF255" s="16"/>
      <c r="CG255" s="16"/>
      <c r="CH255" s="16"/>
      <c r="CI255" s="17"/>
      <c r="CM255" s="24"/>
      <c r="CN255" s="61"/>
      <c r="CO255" s="16"/>
      <c r="CP255" s="16"/>
      <c r="CQ255" s="16"/>
      <c r="CR255" s="16"/>
      <c r="CS255" s="16"/>
      <c r="CT255" s="17"/>
      <c r="CX255" s="24"/>
      <c r="CY255" s="60"/>
      <c r="CZ255" s="16"/>
      <c r="DA255" s="16"/>
      <c r="DB255" s="16"/>
      <c r="DC255" s="16"/>
      <c r="DD255" s="16"/>
      <c r="DE255" s="17"/>
      <c r="DI255" s="24"/>
      <c r="DJ255" s="60"/>
      <c r="DK255" s="16"/>
      <c r="DL255" s="16"/>
      <c r="DM255" s="16"/>
      <c r="DN255" s="16"/>
      <c r="DO255" s="16"/>
      <c r="DP255" s="17"/>
      <c r="DT255" s="24"/>
      <c r="DU255" s="60"/>
      <c r="DV255" s="16"/>
      <c r="DW255" s="16"/>
      <c r="DX255" s="16"/>
      <c r="DY255" s="16"/>
      <c r="DZ255" s="16"/>
      <c r="EA255" s="17"/>
      <c r="EE255" s="24"/>
      <c r="EF255" s="60"/>
      <c r="EG255" s="16"/>
      <c r="EH255" s="16"/>
      <c r="EI255" s="16"/>
      <c r="EJ255" s="16"/>
      <c r="EK255" s="16"/>
      <c r="EL255" s="17"/>
      <c r="EP255" s="24"/>
      <c r="EQ255" s="60"/>
      <c r="ER255" s="16"/>
      <c r="ES255" s="16"/>
      <c r="ET255" s="16"/>
      <c r="EU255" s="16"/>
      <c r="EV255" s="16"/>
      <c r="EW255" s="17"/>
      <c r="FA255" s="24"/>
      <c r="FB255" s="60"/>
      <c r="FC255" s="16"/>
      <c r="FD255" s="16"/>
      <c r="FE255" s="16"/>
      <c r="FF255" s="16"/>
      <c r="FG255" s="16"/>
      <c r="FH255" s="17"/>
      <c r="FL255" s="24"/>
      <c r="FM255" s="60"/>
      <c r="FN255" s="16"/>
      <c r="FO255" s="16"/>
      <c r="FP255" s="16"/>
      <c r="FQ255" s="16"/>
      <c r="FR255" s="16"/>
      <c r="FS255" s="17"/>
      <c r="FW255" s="24"/>
      <c r="FX255" s="60"/>
      <c r="FY255" s="16"/>
      <c r="FZ255" s="16"/>
      <c r="GA255" s="16"/>
      <c r="GB255" s="16"/>
      <c r="GC255" s="16"/>
      <c r="GD255" s="17"/>
      <c r="GH255" s="24"/>
      <c r="GI255" s="60"/>
      <c r="GJ255" s="16"/>
      <c r="GK255" s="16"/>
      <c r="GL255" s="16"/>
      <c r="GM255" s="16"/>
      <c r="GN255" s="16"/>
      <c r="GO255" s="17"/>
      <c r="GS255" s="24"/>
      <c r="GT255" s="60"/>
      <c r="GU255" s="16"/>
      <c r="GV255" s="16"/>
      <c r="GW255" s="16"/>
      <c r="GX255" s="16"/>
      <c r="GY255" s="16"/>
      <c r="GZ255" s="17"/>
      <c r="HD255" s="24"/>
      <c r="HE255" s="60"/>
      <c r="HF255" s="16"/>
      <c r="HG255" s="16"/>
      <c r="HH255" s="16"/>
      <c r="HI255" s="16"/>
      <c r="HJ255" s="16"/>
      <c r="HK255" s="17"/>
      <c r="HO255" s="24"/>
      <c r="HP255" s="60"/>
      <c r="HQ255" s="16"/>
      <c r="HR255" s="16"/>
      <c r="HS255" s="16"/>
      <c r="HT255" s="16"/>
      <c r="HU255" s="16"/>
      <c r="HV255" s="17"/>
      <c r="HZ255" s="24"/>
      <c r="IA255" s="60"/>
      <c r="IB255" s="16"/>
      <c r="IC255" s="16"/>
      <c r="ID255" s="16"/>
      <c r="IE255" s="16"/>
      <c r="IF255" s="16"/>
      <c r="IG255" s="17"/>
      <c r="IK255" s="24"/>
      <c r="IL255" s="60"/>
      <c r="IM255" s="16"/>
      <c r="IN255" s="16"/>
      <c r="IO255" s="16"/>
      <c r="IP255" s="16"/>
      <c r="IQ255" s="16"/>
      <c r="IR255" s="17"/>
      <c r="IV255" s="24"/>
      <c r="IW255" s="60"/>
      <c r="IX255" s="16"/>
      <c r="IY255" s="16"/>
      <c r="IZ255" s="16"/>
      <c r="JA255" s="16"/>
      <c r="JB255" s="16"/>
      <c r="JC255" s="17"/>
      <c r="JG255" s="24"/>
      <c r="JH255" s="60"/>
      <c r="JI255" s="16"/>
      <c r="JJ255" s="16"/>
      <c r="JK255" s="16"/>
      <c r="JL255" s="16"/>
      <c r="JM255" s="16"/>
      <c r="JN255" s="17"/>
      <c r="JR255" s="24"/>
      <c r="JS255" s="60"/>
      <c r="JT255" s="16"/>
      <c r="JU255" s="16"/>
      <c r="JV255" s="16"/>
      <c r="JW255" s="16"/>
      <c r="JX255" s="16"/>
      <c r="JY255" s="17"/>
      <c r="KC255" s="24"/>
      <c r="KD255" s="60"/>
      <c r="KE255" s="16"/>
      <c r="KF255" s="16"/>
      <c r="KG255" s="16"/>
      <c r="KH255" s="16"/>
      <c r="KI255" s="16"/>
      <c r="KJ255" s="17"/>
      <c r="KN255" s="24"/>
      <c r="KO255" s="60"/>
      <c r="KP255" s="16"/>
      <c r="KQ255" s="16"/>
      <c r="KR255" s="16"/>
      <c r="KS255" s="16"/>
      <c r="KT255" s="16"/>
      <c r="KU255" s="17"/>
      <c r="KY255" s="24"/>
      <c r="KZ255" s="60"/>
      <c r="LA255" s="16"/>
      <c r="LB255" s="16"/>
      <c r="LC255" s="16"/>
      <c r="LD255" s="16"/>
      <c r="LE255" s="16"/>
      <c r="LF255" s="17"/>
      <c r="LJ255" s="24"/>
      <c r="LK255" s="60"/>
      <c r="LL255" s="16"/>
      <c r="LM255" s="16"/>
      <c r="LN255" s="16"/>
      <c r="LO255" s="16"/>
      <c r="LP255" s="16"/>
      <c r="LQ255" s="17"/>
    </row>
    <row r="256">
      <c r="C256" s="31"/>
      <c r="D256" s="61"/>
      <c r="E256" s="16"/>
      <c r="F256" s="16"/>
      <c r="G256" s="21"/>
      <c r="H256" s="16"/>
      <c r="I256" s="16"/>
      <c r="J256" s="17"/>
      <c r="N256" s="17"/>
      <c r="O256" s="61"/>
      <c r="P256" s="16"/>
      <c r="Q256" s="16"/>
      <c r="R256" s="16"/>
      <c r="S256" s="16"/>
      <c r="T256" s="16"/>
      <c r="U256" s="17"/>
      <c r="Y256" s="24"/>
      <c r="Z256" s="61"/>
      <c r="AA256" s="16"/>
      <c r="AB256" s="16"/>
      <c r="AC256" s="16"/>
      <c r="AD256" s="16"/>
      <c r="AE256" s="16"/>
      <c r="AF256" s="17"/>
      <c r="AJ256" s="24"/>
      <c r="AK256" s="61"/>
      <c r="AL256" s="16"/>
      <c r="AM256" s="16"/>
      <c r="AN256" s="16"/>
      <c r="AO256" s="16"/>
      <c r="AP256" s="16"/>
      <c r="AQ256" s="17"/>
      <c r="AU256" s="24"/>
      <c r="AV256" s="61"/>
      <c r="AW256" s="16"/>
      <c r="AX256" s="16"/>
      <c r="AY256" s="16"/>
      <c r="AZ256" s="16"/>
      <c r="BA256" s="16"/>
      <c r="BB256" s="17"/>
      <c r="BF256" s="24"/>
      <c r="BG256" s="61"/>
      <c r="BH256" s="16"/>
      <c r="BI256" s="16"/>
      <c r="BJ256" s="16"/>
      <c r="BK256" s="16"/>
      <c r="BL256" s="16"/>
      <c r="BM256" s="17"/>
      <c r="BQ256" s="24"/>
      <c r="BR256" s="61"/>
      <c r="BS256" s="16"/>
      <c r="BT256" s="16"/>
      <c r="BU256" s="16"/>
      <c r="BV256" s="16"/>
      <c r="BW256" s="16"/>
      <c r="BX256" s="17"/>
      <c r="CB256" s="24"/>
      <c r="CC256" s="61"/>
      <c r="CD256" s="16"/>
      <c r="CE256" s="16"/>
      <c r="CF256" s="16"/>
      <c r="CG256" s="16"/>
      <c r="CH256" s="16"/>
      <c r="CI256" s="17"/>
      <c r="CM256" s="24"/>
      <c r="CN256" s="61"/>
      <c r="CO256" s="16"/>
      <c r="CP256" s="16"/>
      <c r="CQ256" s="16"/>
      <c r="CR256" s="16"/>
      <c r="CS256" s="16"/>
      <c r="CT256" s="17"/>
      <c r="CX256" s="24"/>
      <c r="CY256" s="60"/>
      <c r="CZ256" s="16"/>
      <c r="DA256" s="16"/>
      <c r="DB256" s="16"/>
      <c r="DC256" s="16"/>
      <c r="DD256" s="16"/>
      <c r="DE256" s="17"/>
      <c r="DI256" s="24"/>
      <c r="DJ256" s="60"/>
      <c r="DK256" s="16"/>
      <c r="DL256" s="16"/>
      <c r="DM256" s="16"/>
      <c r="DN256" s="16"/>
      <c r="DO256" s="16"/>
      <c r="DP256" s="17"/>
      <c r="DT256" s="24"/>
      <c r="DU256" s="60"/>
      <c r="DV256" s="16"/>
      <c r="DW256" s="16"/>
      <c r="DX256" s="16"/>
      <c r="DY256" s="16"/>
      <c r="DZ256" s="16"/>
      <c r="EA256" s="17"/>
      <c r="EE256" s="24"/>
      <c r="EF256" s="60"/>
      <c r="EG256" s="16"/>
      <c r="EH256" s="16"/>
      <c r="EI256" s="16"/>
      <c r="EJ256" s="16"/>
      <c r="EK256" s="16"/>
      <c r="EL256" s="17"/>
      <c r="EP256" s="24"/>
      <c r="EQ256" s="60"/>
      <c r="ER256" s="16"/>
      <c r="ES256" s="16"/>
      <c r="ET256" s="16"/>
      <c r="EU256" s="16"/>
      <c r="EV256" s="16"/>
      <c r="EW256" s="17"/>
      <c r="FA256" s="24"/>
      <c r="FB256" s="60"/>
      <c r="FC256" s="16"/>
      <c r="FD256" s="16"/>
      <c r="FE256" s="16"/>
      <c r="FF256" s="16"/>
      <c r="FG256" s="16"/>
      <c r="FH256" s="17"/>
      <c r="FL256" s="24"/>
      <c r="FM256" s="60"/>
      <c r="FN256" s="16"/>
      <c r="FO256" s="16"/>
      <c r="FP256" s="16"/>
      <c r="FQ256" s="16"/>
      <c r="FR256" s="16"/>
      <c r="FS256" s="17"/>
      <c r="FW256" s="24"/>
      <c r="FX256" s="60"/>
      <c r="FY256" s="16"/>
      <c r="FZ256" s="16"/>
      <c r="GA256" s="16"/>
      <c r="GB256" s="16"/>
      <c r="GC256" s="16"/>
      <c r="GD256" s="17"/>
      <c r="GH256" s="24"/>
      <c r="GI256" s="60"/>
      <c r="GJ256" s="16"/>
      <c r="GK256" s="16"/>
      <c r="GL256" s="16"/>
      <c r="GM256" s="16"/>
      <c r="GN256" s="16"/>
      <c r="GO256" s="17"/>
      <c r="GS256" s="24"/>
      <c r="GT256" s="60"/>
      <c r="GU256" s="16"/>
      <c r="GV256" s="16"/>
      <c r="GW256" s="16"/>
      <c r="GX256" s="16"/>
      <c r="GY256" s="16"/>
      <c r="GZ256" s="17"/>
      <c r="HD256" s="24"/>
      <c r="HE256" s="60"/>
      <c r="HF256" s="16"/>
      <c r="HG256" s="16"/>
      <c r="HH256" s="16"/>
      <c r="HI256" s="16"/>
      <c r="HJ256" s="16"/>
      <c r="HK256" s="17"/>
      <c r="HO256" s="24"/>
      <c r="HP256" s="60"/>
      <c r="HQ256" s="16"/>
      <c r="HR256" s="16"/>
      <c r="HS256" s="16"/>
      <c r="HT256" s="16"/>
      <c r="HU256" s="16"/>
      <c r="HV256" s="17"/>
      <c r="HZ256" s="24"/>
      <c r="IA256" s="60"/>
      <c r="IB256" s="16"/>
      <c r="IC256" s="16"/>
      <c r="ID256" s="16"/>
      <c r="IE256" s="16"/>
      <c r="IF256" s="16"/>
      <c r="IG256" s="17"/>
      <c r="IK256" s="24"/>
      <c r="IL256" s="60"/>
      <c r="IM256" s="16"/>
      <c r="IN256" s="16"/>
      <c r="IO256" s="16"/>
      <c r="IP256" s="16"/>
      <c r="IQ256" s="16"/>
      <c r="IR256" s="17"/>
      <c r="IV256" s="24"/>
      <c r="IW256" s="60"/>
      <c r="IX256" s="16"/>
      <c r="IY256" s="16"/>
      <c r="IZ256" s="16"/>
      <c r="JA256" s="16"/>
      <c r="JB256" s="16"/>
      <c r="JC256" s="17"/>
      <c r="JG256" s="24"/>
      <c r="JH256" s="60"/>
      <c r="JI256" s="16"/>
      <c r="JJ256" s="16"/>
      <c r="JK256" s="16"/>
      <c r="JL256" s="16"/>
      <c r="JM256" s="16"/>
      <c r="JN256" s="17"/>
      <c r="JR256" s="24"/>
      <c r="JS256" s="60"/>
      <c r="JT256" s="16"/>
      <c r="JU256" s="16"/>
      <c r="JV256" s="16"/>
      <c r="JW256" s="16"/>
      <c r="JX256" s="16"/>
      <c r="JY256" s="17"/>
      <c r="KC256" s="24"/>
      <c r="KD256" s="60"/>
      <c r="KE256" s="16"/>
      <c r="KF256" s="16"/>
      <c r="KG256" s="16"/>
      <c r="KH256" s="16"/>
      <c r="KI256" s="16"/>
      <c r="KJ256" s="17"/>
      <c r="KN256" s="24"/>
      <c r="KO256" s="60"/>
      <c r="KP256" s="16"/>
      <c r="KQ256" s="16"/>
      <c r="KR256" s="16"/>
      <c r="KS256" s="16"/>
      <c r="KT256" s="16"/>
      <c r="KU256" s="17"/>
      <c r="KY256" s="24"/>
      <c r="KZ256" s="60"/>
      <c r="LA256" s="16"/>
      <c r="LB256" s="16"/>
      <c r="LC256" s="16"/>
      <c r="LD256" s="16"/>
      <c r="LE256" s="16"/>
      <c r="LF256" s="17"/>
      <c r="LJ256" s="24"/>
      <c r="LK256" s="60"/>
      <c r="LL256" s="16"/>
      <c r="LM256" s="16"/>
      <c r="LN256" s="16"/>
      <c r="LO256" s="16"/>
      <c r="LP256" s="16"/>
      <c r="LQ256" s="17"/>
    </row>
    <row r="257">
      <c r="C257" s="31"/>
      <c r="D257" s="61"/>
      <c r="E257" s="16"/>
      <c r="F257" s="16"/>
      <c r="G257" s="21"/>
      <c r="H257" s="16"/>
      <c r="I257" s="16"/>
      <c r="J257" s="17"/>
      <c r="N257" s="17"/>
      <c r="O257" s="61"/>
      <c r="P257" s="16"/>
      <c r="Q257" s="16"/>
      <c r="R257" s="16"/>
      <c r="S257" s="16"/>
      <c r="T257" s="16"/>
      <c r="U257" s="17"/>
      <c r="Y257" s="24"/>
      <c r="Z257" s="61"/>
      <c r="AA257" s="16"/>
      <c r="AB257" s="16"/>
      <c r="AC257" s="16"/>
      <c r="AD257" s="16"/>
      <c r="AE257" s="16"/>
      <c r="AF257" s="17"/>
      <c r="AJ257" s="24"/>
      <c r="AK257" s="61"/>
      <c r="AL257" s="16"/>
      <c r="AM257" s="16"/>
      <c r="AN257" s="16"/>
      <c r="AO257" s="16"/>
      <c r="AP257" s="16"/>
      <c r="AQ257" s="17"/>
      <c r="AU257" s="24"/>
      <c r="AV257" s="61"/>
      <c r="AW257" s="16"/>
      <c r="AX257" s="16"/>
      <c r="AY257" s="16"/>
      <c r="AZ257" s="16"/>
      <c r="BA257" s="16"/>
      <c r="BB257" s="17"/>
      <c r="BF257" s="24"/>
      <c r="BG257" s="61"/>
      <c r="BH257" s="16"/>
      <c r="BI257" s="16"/>
      <c r="BJ257" s="16"/>
      <c r="BK257" s="16"/>
      <c r="BL257" s="16"/>
      <c r="BM257" s="17"/>
      <c r="BQ257" s="24"/>
      <c r="BR257" s="61"/>
      <c r="BS257" s="16"/>
      <c r="BT257" s="16"/>
      <c r="BU257" s="16"/>
      <c r="BV257" s="16"/>
      <c r="BW257" s="16"/>
      <c r="BX257" s="17"/>
      <c r="CB257" s="24"/>
      <c r="CC257" s="61"/>
      <c r="CD257" s="16"/>
      <c r="CE257" s="16"/>
      <c r="CF257" s="16"/>
      <c r="CG257" s="16"/>
      <c r="CH257" s="16"/>
      <c r="CI257" s="17"/>
      <c r="CM257" s="24"/>
      <c r="CN257" s="61"/>
      <c r="CO257" s="16"/>
      <c r="CP257" s="16"/>
      <c r="CQ257" s="16"/>
      <c r="CR257" s="16"/>
      <c r="CS257" s="16"/>
      <c r="CT257" s="17"/>
      <c r="CX257" s="24"/>
      <c r="CY257" s="60"/>
      <c r="CZ257" s="16"/>
      <c r="DA257" s="16"/>
      <c r="DB257" s="16"/>
      <c r="DC257" s="16"/>
      <c r="DD257" s="16"/>
      <c r="DE257" s="17"/>
      <c r="DI257" s="24"/>
      <c r="DJ257" s="60"/>
      <c r="DK257" s="16"/>
      <c r="DL257" s="16"/>
      <c r="DM257" s="16"/>
      <c r="DN257" s="16"/>
      <c r="DO257" s="16"/>
      <c r="DP257" s="17"/>
      <c r="DT257" s="24"/>
      <c r="DU257" s="60"/>
      <c r="DV257" s="16"/>
      <c r="DW257" s="16"/>
      <c r="DX257" s="16"/>
      <c r="DY257" s="16"/>
      <c r="DZ257" s="16"/>
      <c r="EA257" s="17"/>
      <c r="EE257" s="24"/>
      <c r="EF257" s="60"/>
      <c r="EG257" s="16"/>
      <c r="EH257" s="16"/>
      <c r="EI257" s="16"/>
      <c r="EJ257" s="16"/>
      <c r="EK257" s="16"/>
      <c r="EL257" s="17"/>
      <c r="EP257" s="24"/>
      <c r="EQ257" s="60"/>
      <c r="ER257" s="16"/>
      <c r="ES257" s="16"/>
      <c r="ET257" s="16"/>
      <c r="EU257" s="16"/>
      <c r="EV257" s="16"/>
      <c r="EW257" s="17"/>
      <c r="FA257" s="24"/>
      <c r="FB257" s="60"/>
      <c r="FC257" s="16"/>
      <c r="FD257" s="16"/>
      <c r="FE257" s="16"/>
      <c r="FF257" s="16"/>
      <c r="FG257" s="16"/>
      <c r="FH257" s="17"/>
      <c r="FL257" s="24"/>
      <c r="FM257" s="60"/>
      <c r="FN257" s="16"/>
      <c r="FO257" s="16"/>
      <c r="FP257" s="16"/>
      <c r="FQ257" s="16"/>
      <c r="FR257" s="16"/>
      <c r="FS257" s="17"/>
      <c r="FW257" s="24"/>
      <c r="FX257" s="60"/>
      <c r="FY257" s="16"/>
      <c r="FZ257" s="16"/>
      <c r="GA257" s="16"/>
      <c r="GB257" s="16"/>
      <c r="GC257" s="16"/>
      <c r="GD257" s="17"/>
      <c r="GH257" s="24"/>
      <c r="GI257" s="60"/>
      <c r="GJ257" s="16"/>
      <c r="GK257" s="16"/>
      <c r="GL257" s="16"/>
      <c r="GM257" s="16"/>
      <c r="GN257" s="16"/>
      <c r="GO257" s="17"/>
      <c r="GS257" s="24"/>
      <c r="GT257" s="60"/>
      <c r="GU257" s="16"/>
      <c r="GV257" s="16"/>
      <c r="GW257" s="16"/>
      <c r="GX257" s="16"/>
      <c r="GY257" s="16"/>
      <c r="GZ257" s="17"/>
      <c r="HD257" s="24"/>
      <c r="HE257" s="60"/>
      <c r="HF257" s="16"/>
      <c r="HG257" s="16"/>
      <c r="HH257" s="16"/>
      <c r="HI257" s="16"/>
      <c r="HJ257" s="16"/>
      <c r="HK257" s="17"/>
      <c r="HO257" s="24"/>
      <c r="HP257" s="60"/>
      <c r="HQ257" s="16"/>
      <c r="HR257" s="16"/>
      <c r="HS257" s="16"/>
      <c r="HT257" s="16"/>
      <c r="HU257" s="16"/>
      <c r="HV257" s="17"/>
      <c r="HZ257" s="24"/>
      <c r="IA257" s="60"/>
      <c r="IB257" s="16"/>
      <c r="IC257" s="16"/>
      <c r="ID257" s="16"/>
      <c r="IE257" s="16"/>
      <c r="IF257" s="16"/>
      <c r="IG257" s="17"/>
      <c r="IK257" s="24"/>
      <c r="IL257" s="60"/>
      <c r="IM257" s="16"/>
      <c r="IN257" s="16"/>
      <c r="IO257" s="16"/>
      <c r="IP257" s="16"/>
      <c r="IQ257" s="16"/>
      <c r="IR257" s="17"/>
      <c r="IV257" s="24"/>
      <c r="IW257" s="60"/>
      <c r="IX257" s="16"/>
      <c r="IY257" s="16"/>
      <c r="IZ257" s="16"/>
      <c r="JA257" s="16"/>
      <c r="JB257" s="16"/>
      <c r="JC257" s="17"/>
      <c r="JG257" s="24"/>
      <c r="JH257" s="60"/>
      <c r="JI257" s="16"/>
      <c r="JJ257" s="16"/>
      <c r="JK257" s="16"/>
      <c r="JL257" s="16"/>
      <c r="JM257" s="16"/>
      <c r="JN257" s="17"/>
      <c r="JR257" s="24"/>
      <c r="JS257" s="60"/>
      <c r="JT257" s="16"/>
      <c r="JU257" s="16"/>
      <c r="JV257" s="16"/>
      <c r="JW257" s="16"/>
      <c r="JX257" s="16"/>
      <c r="JY257" s="17"/>
      <c r="KC257" s="24"/>
      <c r="KD257" s="60"/>
      <c r="KE257" s="16"/>
      <c r="KF257" s="16"/>
      <c r="KG257" s="16"/>
      <c r="KH257" s="16"/>
      <c r="KI257" s="16"/>
      <c r="KJ257" s="17"/>
      <c r="KN257" s="24"/>
      <c r="KO257" s="60"/>
      <c r="KP257" s="16"/>
      <c r="KQ257" s="16"/>
      <c r="KR257" s="16"/>
      <c r="KS257" s="16"/>
      <c r="KT257" s="16"/>
      <c r="KU257" s="17"/>
      <c r="KY257" s="24"/>
      <c r="KZ257" s="60"/>
      <c r="LA257" s="16"/>
      <c r="LB257" s="16"/>
      <c r="LC257" s="16"/>
      <c r="LD257" s="16"/>
      <c r="LE257" s="16"/>
      <c r="LF257" s="17"/>
      <c r="LJ257" s="24"/>
      <c r="LK257" s="60"/>
      <c r="LL257" s="16"/>
      <c r="LM257" s="16"/>
      <c r="LN257" s="16"/>
      <c r="LO257" s="16"/>
      <c r="LP257" s="16"/>
      <c r="LQ257" s="17"/>
    </row>
    <row r="258">
      <c r="C258" s="31"/>
      <c r="D258" s="61"/>
      <c r="E258" s="16"/>
      <c r="F258" s="16"/>
      <c r="G258" s="21"/>
      <c r="H258" s="16"/>
      <c r="I258" s="16"/>
      <c r="J258" s="17"/>
      <c r="N258" s="17"/>
      <c r="O258" s="61"/>
      <c r="P258" s="16"/>
      <c r="Q258" s="16"/>
      <c r="R258" s="16"/>
      <c r="S258" s="16"/>
      <c r="T258" s="16"/>
      <c r="U258" s="17"/>
      <c r="Y258" s="24"/>
      <c r="Z258" s="61"/>
      <c r="AA258" s="16"/>
      <c r="AB258" s="16"/>
      <c r="AC258" s="16"/>
      <c r="AD258" s="16"/>
      <c r="AE258" s="16"/>
      <c r="AF258" s="17"/>
      <c r="AJ258" s="24"/>
      <c r="AK258" s="61"/>
      <c r="AL258" s="16"/>
      <c r="AM258" s="16"/>
      <c r="AN258" s="16"/>
      <c r="AO258" s="16"/>
      <c r="AP258" s="16"/>
      <c r="AQ258" s="17"/>
      <c r="AU258" s="24"/>
      <c r="AV258" s="61"/>
      <c r="AW258" s="16"/>
      <c r="AX258" s="16"/>
      <c r="AY258" s="16"/>
      <c r="AZ258" s="16"/>
      <c r="BA258" s="16"/>
      <c r="BB258" s="17"/>
      <c r="BF258" s="24"/>
      <c r="BG258" s="61"/>
      <c r="BH258" s="16"/>
      <c r="BI258" s="16"/>
      <c r="BJ258" s="16"/>
      <c r="BK258" s="16"/>
      <c r="BL258" s="16"/>
      <c r="BM258" s="17"/>
      <c r="BQ258" s="24"/>
      <c r="BR258" s="61"/>
      <c r="BS258" s="16"/>
      <c r="BT258" s="16"/>
      <c r="BU258" s="16"/>
      <c r="BV258" s="16"/>
      <c r="BW258" s="16"/>
      <c r="BX258" s="17"/>
      <c r="CB258" s="24"/>
      <c r="CC258" s="61"/>
      <c r="CD258" s="16"/>
      <c r="CE258" s="16"/>
      <c r="CF258" s="16"/>
      <c r="CG258" s="16"/>
      <c r="CH258" s="16"/>
      <c r="CI258" s="17"/>
      <c r="CM258" s="24"/>
      <c r="CN258" s="61"/>
      <c r="CO258" s="16"/>
      <c r="CP258" s="16"/>
      <c r="CQ258" s="16"/>
      <c r="CR258" s="16"/>
      <c r="CS258" s="16"/>
      <c r="CT258" s="17"/>
      <c r="CX258" s="24"/>
      <c r="CY258" s="60"/>
      <c r="CZ258" s="16"/>
      <c r="DA258" s="16"/>
      <c r="DB258" s="16"/>
      <c r="DC258" s="16"/>
      <c r="DD258" s="16"/>
      <c r="DE258" s="17"/>
      <c r="DI258" s="24"/>
      <c r="DJ258" s="60"/>
      <c r="DK258" s="16"/>
      <c r="DL258" s="16"/>
      <c r="DM258" s="16"/>
      <c r="DN258" s="16"/>
      <c r="DO258" s="16"/>
      <c r="DP258" s="17"/>
      <c r="DT258" s="24"/>
      <c r="DU258" s="60"/>
      <c r="DV258" s="16"/>
      <c r="DW258" s="16"/>
      <c r="DX258" s="16"/>
      <c r="DY258" s="16"/>
      <c r="DZ258" s="16"/>
      <c r="EA258" s="17"/>
      <c r="EE258" s="24"/>
      <c r="EF258" s="60"/>
      <c r="EG258" s="16"/>
      <c r="EH258" s="16"/>
      <c r="EI258" s="16"/>
      <c r="EJ258" s="16"/>
      <c r="EK258" s="16"/>
      <c r="EL258" s="17"/>
      <c r="EP258" s="24"/>
      <c r="EQ258" s="60"/>
      <c r="ER258" s="16"/>
      <c r="ES258" s="16"/>
      <c r="ET258" s="16"/>
      <c r="EU258" s="16"/>
      <c r="EV258" s="16"/>
      <c r="EW258" s="17"/>
      <c r="FA258" s="24"/>
      <c r="FB258" s="60"/>
      <c r="FC258" s="16"/>
      <c r="FD258" s="16"/>
      <c r="FE258" s="16"/>
      <c r="FF258" s="16"/>
      <c r="FG258" s="16"/>
      <c r="FH258" s="17"/>
      <c r="FL258" s="24"/>
      <c r="FM258" s="60"/>
      <c r="FN258" s="16"/>
      <c r="FO258" s="16"/>
      <c r="FP258" s="16"/>
      <c r="FQ258" s="16"/>
      <c r="FR258" s="16"/>
      <c r="FS258" s="17"/>
      <c r="FW258" s="24"/>
      <c r="FX258" s="60"/>
      <c r="FY258" s="16"/>
      <c r="FZ258" s="16"/>
      <c r="GA258" s="16"/>
      <c r="GB258" s="16"/>
      <c r="GC258" s="16"/>
      <c r="GD258" s="17"/>
      <c r="GH258" s="24"/>
      <c r="GI258" s="60"/>
      <c r="GJ258" s="16"/>
      <c r="GK258" s="16"/>
      <c r="GL258" s="16"/>
      <c r="GM258" s="16"/>
      <c r="GN258" s="16"/>
      <c r="GO258" s="17"/>
      <c r="GS258" s="24"/>
      <c r="GT258" s="60"/>
      <c r="GU258" s="16"/>
      <c r="GV258" s="16"/>
      <c r="GW258" s="16"/>
      <c r="GX258" s="16"/>
      <c r="GY258" s="16"/>
      <c r="GZ258" s="17"/>
      <c r="HD258" s="24"/>
      <c r="HE258" s="60"/>
      <c r="HF258" s="16"/>
      <c r="HG258" s="16"/>
      <c r="HH258" s="16"/>
      <c r="HI258" s="16"/>
      <c r="HJ258" s="16"/>
      <c r="HK258" s="17"/>
      <c r="HO258" s="24"/>
      <c r="HP258" s="60"/>
      <c r="HQ258" s="16"/>
      <c r="HR258" s="16"/>
      <c r="HS258" s="16"/>
      <c r="HT258" s="16"/>
      <c r="HU258" s="16"/>
      <c r="HV258" s="17"/>
      <c r="HZ258" s="24"/>
      <c r="IA258" s="60"/>
      <c r="IB258" s="16"/>
      <c r="IC258" s="16"/>
      <c r="ID258" s="16"/>
      <c r="IE258" s="16"/>
      <c r="IF258" s="16"/>
      <c r="IG258" s="17"/>
      <c r="IK258" s="24"/>
      <c r="IL258" s="60"/>
      <c r="IM258" s="16"/>
      <c r="IN258" s="16"/>
      <c r="IO258" s="16"/>
      <c r="IP258" s="16"/>
      <c r="IQ258" s="16"/>
      <c r="IR258" s="17"/>
      <c r="IV258" s="24"/>
      <c r="IW258" s="60"/>
      <c r="IX258" s="16"/>
      <c r="IY258" s="16"/>
      <c r="IZ258" s="16"/>
      <c r="JA258" s="16"/>
      <c r="JB258" s="16"/>
      <c r="JC258" s="17"/>
      <c r="JG258" s="24"/>
      <c r="JH258" s="60"/>
      <c r="JI258" s="16"/>
      <c r="JJ258" s="16"/>
      <c r="JK258" s="16"/>
      <c r="JL258" s="16"/>
      <c r="JM258" s="16"/>
      <c r="JN258" s="17"/>
      <c r="JR258" s="24"/>
      <c r="JS258" s="60"/>
      <c r="JT258" s="16"/>
      <c r="JU258" s="16"/>
      <c r="JV258" s="16"/>
      <c r="JW258" s="16"/>
      <c r="JX258" s="16"/>
      <c r="JY258" s="17"/>
      <c r="KC258" s="24"/>
      <c r="KD258" s="60"/>
      <c r="KE258" s="16"/>
      <c r="KF258" s="16"/>
      <c r="KG258" s="16"/>
      <c r="KH258" s="16"/>
      <c r="KI258" s="16"/>
      <c r="KJ258" s="17"/>
      <c r="KN258" s="24"/>
      <c r="KO258" s="60"/>
      <c r="KP258" s="16"/>
      <c r="KQ258" s="16"/>
      <c r="KR258" s="16"/>
      <c r="KS258" s="16"/>
      <c r="KT258" s="16"/>
      <c r="KU258" s="17"/>
      <c r="KY258" s="24"/>
      <c r="KZ258" s="60"/>
      <c r="LA258" s="16"/>
      <c r="LB258" s="16"/>
      <c r="LC258" s="16"/>
      <c r="LD258" s="16"/>
      <c r="LE258" s="16"/>
      <c r="LF258" s="17"/>
      <c r="LJ258" s="24"/>
      <c r="LK258" s="60"/>
      <c r="LL258" s="16"/>
      <c r="LM258" s="16"/>
      <c r="LN258" s="16"/>
      <c r="LO258" s="16"/>
      <c r="LP258" s="16"/>
      <c r="LQ258" s="17"/>
    </row>
    <row r="259">
      <c r="C259" s="31"/>
      <c r="D259" s="61"/>
      <c r="E259" s="16"/>
      <c r="F259" s="16"/>
      <c r="G259" s="21"/>
      <c r="H259" s="16"/>
      <c r="I259" s="16"/>
      <c r="J259" s="17"/>
      <c r="N259" s="17"/>
      <c r="O259" s="61"/>
      <c r="P259" s="16"/>
      <c r="Q259" s="16"/>
      <c r="R259" s="16"/>
      <c r="S259" s="16"/>
      <c r="T259" s="16"/>
      <c r="U259" s="17"/>
      <c r="Y259" s="24"/>
      <c r="Z259" s="61"/>
      <c r="AA259" s="16"/>
      <c r="AB259" s="16"/>
      <c r="AC259" s="16"/>
      <c r="AD259" s="16"/>
      <c r="AE259" s="16"/>
      <c r="AF259" s="17"/>
      <c r="AJ259" s="24"/>
      <c r="AK259" s="61"/>
      <c r="AL259" s="16"/>
      <c r="AM259" s="16"/>
      <c r="AN259" s="16"/>
      <c r="AO259" s="16"/>
      <c r="AP259" s="16"/>
      <c r="AQ259" s="17"/>
      <c r="AU259" s="24"/>
      <c r="AV259" s="61"/>
      <c r="AW259" s="16"/>
      <c r="AX259" s="16"/>
      <c r="AY259" s="16"/>
      <c r="AZ259" s="16"/>
      <c r="BA259" s="16"/>
      <c r="BB259" s="17"/>
      <c r="BF259" s="24"/>
      <c r="BG259" s="61"/>
      <c r="BH259" s="16"/>
      <c r="BI259" s="16"/>
      <c r="BJ259" s="16"/>
      <c r="BK259" s="16"/>
      <c r="BL259" s="16"/>
      <c r="BM259" s="17"/>
      <c r="BQ259" s="24"/>
      <c r="BR259" s="61"/>
      <c r="BS259" s="16"/>
      <c r="BT259" s="16"/>
      <c r="BU259" s="16"/>
      <c r="BV259" s="16"/>
      <c r="BW259" s="16"/>
      <c r="BX259" s="17"/>
      <c r="CB259" s="24"/>
      <c r="CC259" s="61"/>
      <c r="CD259" s="16"/>
      <c r="CE259" s="16"/>
      <c r="CF259" s="16"/>
      <c r="CG259" s="16"/>
      <c r="CH259" s="16"/>
      <c r="CI259" s="17"/>
      <c r="CM259" s="24"/>
      <c r="CN259" s="61"/>
      <c r="CO259" s="16"/>
      <c r="CP259" s="16"/>
      <c r="CQ259" s="16"/>
      <c r="CR259" s="16"/>
      <c r="CS259" s="16"/>
      <c r="CT259" s="17"/>
      <c r="CX259" s="24"/>
      <c r="CY259" s="60"/>
      <c r="CZ259" s="16"/>
      <c r="DA259" s="16"/>
      <c r="DB259" s="16"/>
      <c r="DC259" s="16"/>
      <c r="DD259" s="16"/>
      <c r="DE259" s="17"/>
      <c r="DI259" s="24"/>
      <c r="DJ259" s="60"/>
      <c r="DK259" s="16"/>
      <c r="DL259" s="16"/>
      <c r="DM259" s="16"/>
      <c r="DN259" s="16"/>
      <c r="DO259" s="16"/>
      <c r="DP259" s="17"/>
      <c r="DT259" s="24"/>
      <c r="DU259" s="60"/>
      <c r="DV259" s="16"/>
      <c r="DW259" s="16"/>
      <c r="DX259" s="16"/>
      <c r="DY259" s="16"/>
      <c r="DZ259" s="16"/>
      <c r="EA259" s="17"/>
      <c r="EE259" s="24"/>
      <c r="EF259" s="60"/>
      <c r="EG259" s="16"/>
      <c r="EH259" s="16"/>
      <c r="EI259" s="16"/>
      <c r="EJ259" s="16"/>
      <c r="EK259" s="16"/>
      <c r="EL259" s="17"/>
      <c r="EP259" s="24"/>
      <c r="EQ259" s="60"/>
      <c r="ER259" s="16"/>
      <c r="ES259" s="16"/>
      <c r="ET259" s="16"/>
      <c r="EU259" s="16"/>
      <c r="EV259" s="16"/>
      <c r="EW259" s="17"/>
      <c r="FA259" s="24"/>
      <c r="FB259" s="60"/>
      <c r="FC259" s="16"/>
      <c r="FD259" s="16"/>
      <c r="FE259" s="16"/>
      <c r="FF259" s="16"/>
      <c r="FG259" s="16"/>
      <c r="FH259" s="17"/>
      <c r="FL259" s="24"/>
      <c r="FM259" s="60"/>
      <c r="FN259" s="16"/>
      <c r="FO259" s="16"/>
      <c r="FP259" s="16"/>
      <c r="FQ259" s="16"/>
      <c r="FR259" s="16"/>
      <c r="FS259" s="17"/>
      <c r="FW259" s="24"/>
      <c r="FX259" s="60"/>
      <c r="FY259" s="16"/>
      <c r="FZ259" s="16"/>
      <c r="GA259" s="16"/>
      <c r="GB259" s="16"/>
      <c r="GC259" s="16"/>
      <c r="GD259" s="17"/>
      <c r="GH259" s="24"/>
      <c r="GI259" s="60"/>
      <c r="GJ259" s="16"/>
      <c r="GK259" s="16"/>
      <c r="GL259" s="16"/>
      <c r="GM259" s="16"/>
      <c r="GN259" s="16"/>
      <c r="GO259" s="17"/>
      <c r="GS259" s="24"/>
      <c r="GT259" s="60"/>
      <c r="GU259" s="16"/>
      <c r="GV259" s="16"/>
      <c r="GW259" s="16"/>
      <c r="GX259" s="16"/>
      <c r="GY259" s="16"/>
      <c r="GZ259" s="17"/>
      <c r="HD259" s="24"/>
      <c r="HE259" s="60"/>
      <c r="HF259" s="16"/>
      <c r="HG259" s="16"/>
      <c r="HH259" s="16"/>
      <c r="HI259" s="16"/>
      <c r="HJ259" s="16"/>
      <c r="HK259" s="17"/>
      <c r="HO259" s="24"/>
      <c r="HP259" s="60"/>
      <c r="HQ259" s="16"/>
      <c r="HR259" s="16"/>
      <c r="HS259" s="16"/>
      <c r="HT259" s="16"/>
      <c r="HU259" s="16"/>
      <c r="HV259" s="17"/>
      <c r="HZ259" s="24"/>
      <c r="IA259" s="60"/>
      <c r="IB259" s="16"/>
      <c r="IC259" s="16"/>
      <c r="ID259" s="16"/>
      <c r="IE259" s="16"/>
      <c r="IF259" s="16"/>
      <c r="IG259" s="17"/>
      <c r="IK259" s="24"/>
      <c r="IL259" s="60"/>
      <c r="IM259" s="16"/>
      <c r="IN259" s="16"/>
      <c r="IO259" s="16"/>
      <c r="IP259" s="16"/>
      <c r="IQ259" s="16"/>
      <c r="IR259" s="17"/>
      <c r="IV259" s="24"/>
      <c r="IW259" s="60"/>
      <c r="IX259" s="16"/>
      <c r="IY259" s="16"/>
      <c r="IZ259" s="16"/>
      <c r="JA259" s="16"/>
      <c r="JB259" s="16"/>
      <c r="JC259" s="17"/>
      <c r="JG259" s="24"/>
      <c r="JH259" s="60"/>
      <c r="JI259" s="16"/>
      <c r="JJ259" s="16"/>
      <c r="JK259" s="16"/>
      <c r="JL259" s="16"/>
      <c r="JM259" s="16"/>
      <c r="JN259" s="17"/>
      <c r="JR259" s="24"/>
      <c r="JS259" s="60"/>
      <c r="JT259" s="16"/>
      <c r="JU259" s="16"/>
      <c r="JV259" s="16"/>
      <c r="JW259" s="16"/>
      <c r="JX259" s="16"/>
      <c r="JY259" s="17"/>
      <c r="KC259" s="24"/>
      <c r="KD259" s="60"/>
      <c r="KE259" s="16"/>
      <c r="KF259" s="16"/>
      <c r="KG259" s="16"/>
      <c r="KH259" s="16"/>
      <c r="KI259" s="16"/>
      <c r="KJ259" s="17"/>
      <c r="KN259" s="24"/>
      <c r="KO259" s="60"/>
      <c r="KP259" s="16"/>
      <c r="KQ259" s="16"/>
      <c r="KR259" s="16"/>
      <c r="KS259" s="16"/>
      <c r="KT259" s="16"/>
      <c r="KU259" s="17"/>
      <c r="KY259" s="24"/>
      <c r="KZ259" s="60"/>
      <c r="LA259" s="16"/>
      <c r="LB259" s="16"/>
      <c r="LC259" s="16"/>
      <c r="LD259" s="16"/>
      <c r="LE259" s="16"/>
      <c r="LF259" s="17"/>
      <c r="LJ259" s="24"/>
      <c r="LK259" s="60"/>
      <c r="LL259" s="16"/>
      <c r="LM259" s="16"/>
      <c r="LN259" s="16"/>
      <c r="LO259" s="16"/>
      <c r="LP259" s="16"/>
      <c r="LQ259" s="17"/>
    </row>
    <row r="260">
      <c r="C260" s="31"/>
      <c r="D260" s="61"/>
      <c r="E260" s="16"/>
      <c r="F260" s="16"/>
      <c r="G260" s="21"/>
      <c r="H260" s="16"/>
      <c r="I260" s="16"/>
      <c r="J260" s="17"/>
      <c r="N260" s="17"/>
      <c r="O260" s="61"/>
      <c r="P260" s="16"/>
      <c r="Q260" s="16"/>
      <c r="R260" s="16"/>
      <c r="S260" s="16"/>
      <c r="T260" s="16"/>
      <c r="U260" s="17"/>
      <c r="Y260" s="24"/>
      <c r="Z260" s="61"/>
      <c r="AA260" s="16"/>
      <c r="AB260" s="16"/>
      <c r="AC260" s="16"/>
      <c r="AD260" s="16"/>
      <c r="AE260" s="16"/>
      <c r="AF260" s="17"/>
      <c r="AJ260" s="24"/>
      <c r="AK260" s="61"/>
      <c r="AL260" s="16"/>
      <c r="AM260" s="16"/>
      <c r="AN260" s="16"/>
      <c r="AO260" s="16"/>
      <c r="AP260" s="16"/>
      <c r="AQ260" s="17"/>
      <c r="AU260" s="24"/>
      <c r="AV260" s="61"/>
      <c r="AW260" s="16"/>
      <c r="AX260" s="16"/>
      <c r="AY260" s="16"/>
      <c r="AZ260" s="16"/>
      <c r="BA260" s="16"/>
      <c r="BB260" s="17"/>
      <c r="BF260" s="24"/>
      <c r="BG260" s="61"/>
      <c r="BH260" s="16"/>
      <c r="BI260" s="16"/>
      <c r="BJ260" s="16"/>
      <c r="BK260" s="16"/>
      <c r="BL260" s="16"/>
      <c r="BM260" s="17"/>
      <c r="BQ260" s="24"/>
      <c r="BR260" s="61"/>
      <c r="BS260" s="16"/>
      <c r="BT260" s="16"/>
      <c r="BU260" s="16"/>
      <c r="BV260" s="16"/>
      <c r="BW260" s="16"/>
      <c r="BX260" s="17"/>
      <c r="CB260" s="24"/>
      <c r="CC260" s="61"/>
      <c r="CD260" s="16"/>
      <c r="CE260" s="16"/>
      <c r="CF260" s="16"/>
      <c r="CG260" s="16"/>
      <c r="CH260" s="16"/>
      <c r="CI260" s="17"/>
      <c r="CM260" s="24"/>
      <c r="CN260" s="61"/>
      <c r="CO260" s="16"/>
      <c r="CP260" s="16"/>
      <c r="CQ260" s="16"/>
      <c r="CR260" s="16"/>
      <c r="CS260" s="16"/>
      <c r="CT260" s="17"/>
      <c r="CX260" s="24"/>
      <c r="CY260" s="60"/>
      <c r="CZ260" s="16"/>
      <c r="DA260" s="16"/>
      <c r="DB260" s="16"/>
      <c r="DC260" s="16"/>
      <c r="DD260" s="16"/>
      <c r="DE260" s="17"/>
      <c r="DI260" s="24"/>
      <c r="DJ260" s="60"/>
      <c r="DK260" s="16"/>
      <c r="DL260" s="16"/>
      <c r="DM260" s="16"/>
      <c r="DN260" s="16"/>
      <c r="DO260" s="16"/>
      <c r="DP260" s="17"/>
      <c r="DT260" s="24"/>
      <c r="DU260" s="60"/>
      <c r="DV260" s="16"/>
      <c r="DW260" s="16"/>
      <c r="DX260" s="16"/>
      <c r="DY260" s="16"/>
      <c r="DZ260" s="16"/>
      <c r="EA260" s="17"/>
      <c r="EE260" s="24"/>
      <c r="EF260" s="60"/>
      <c r="EG260" s="16"/>
      <c r="EH260" s="16"/>
      <c r="EI260" s="16"/>
      <c r="EJ260" s="16"/>
      <c r="EK260" s="16"/>
      <c r="EL260" s="17"/>
      <c r="EP260" s="24"/>
      <c r="EQ260" s="60"/>
      <c r="ER260" s="16"/>
      <c r="ES260" s="16"/>
      <c r="ET260" s="16"/>
      <c r="EU260" s="16"/>
      <c r="EV260" s="16"/>
      <c r="EW260" s="17"/>
      <c r="FA260" s="24"/>
      <c r="FB260" s="60"/>
      <c r="FC260" s="16"/>
      <c r="FD260" s="16"/>
      <c r="FE260" s="16"/>
      <c r="FF260" s="16"/>
      <c r="FG260" s="16"/>
      <c r="FH260" s="17"/>
      <c r="FL260" s="24"/>
      <c r="FM260" s="60"/>
      <c r="FN260" s="16"/>
      <c r="FO260" s="16"/>
      <c r="FP260" s="16"/>
      <c r="FQ260" s="16"/>
      <c r="FR260" s="16"/>
      <c r="FS260" s="17"/>
      <c r="FW260" s="24"/>
      <c r="FX260" s="60"/>
      <c r="FY260" s="16"/>
      <c r="FZ260" s="16"/>
      <c r="GA260" s="16"/>
      <c r="GB260" s="16"/>
      <c r="GC260" s="16"/>
      <c r="GD260" s="17"/>
      <c r="GH260" s="24"/>
      <c r="GI260" s="60"/>
      <c r="GJ260" s="16"/>
      <c r="GK260" s="16"/>
      <c r="GL260" s="16"/>
      <c r="GM260" s="16"/>
      <c r="GN260" s="16"/>
      <c r="GO260" s="17"/>
      <c r="GS260" s="24"/>
      <c r="GT260" s="60"/>
      <c r="GU260" s="16"/>
      <c r="GV260" s="16"/>
      <c r="GW260" s="16"/>
      <c r="GX260" s="16"/>
      <c r="GY260" s="16"/>
      <c r="GZ260" s="17"/>
      <c r="HD260" s="24"/>
      <c r="HE260" s="60"/>
      <c r="HF260" s="16"/>
      <c r="HG260" s="16"/>
      <c r="HH260" s="16"/>
      <c r="HI260" s="16"/>
      <c r="HJ260" s="16"/>
      <c r="HK260" s="17"/>
      <c r="HO260" s="24"/>
      <c r="HP260" s="60"/>
      <c r="HQ260" s="16"/>
      <c r="HR260" s="16"/>
      <c r="HS260" s="16"/>
      <c r="HT260" s="16"/>
      <c r="HU260" s="16"/>
      <c r="HV260" s="17"/>
      <c r="HZ260" s="24"/>
      <c r="IA260" s="60"/>
      <c r="IB260" s="16"/>
      <c r="IC260" s="16"/>
      <c r="ID260" s="16"/>
      <c r="IE260" s="16"/>
      <c r="IF260" s="16"/>
      <c r="IG260" s="17"/>
      <c r="IK260" s="24"/>
      <c r="IL260" s="60"/>
      <c r="IM260" s="16"/>
      <c r="IN260" s="16"/>
      <c r="IO260" s="16"/>
      <c r="IP260" s="16"/>
      <c r="IQ260" s="16"/>
      <c r="IR260" s="17"/>
      <c r="IV260" s="24"/>
      <c r="IW260" s="60"/>
      <c r="IX260" s="16"/>
      <c r="IY260" s="16"/>
      <c r="IZ260" s="16"/>
      <c r="JA260" s="16"/>
      <c r="JB260" s="16"/>
      <c r="JC260" s="17"/>
      <c r="JG260" s="24"/>
      <c r="JH260" s="60"/>
      <c r="JI260" s="16"/>
      <c r="JJ260" s="16"/>
      <c r="JK260" s="16"/>
      <c r="JL260" s="16"/>
      <c r="JM260" s="16"/>
      <c r="JN260" s="17"/>
      <c r="JR260" s="24"/>
      <c r="JS260" s="60"/>
      <c r="JT260" s="16"/>
      <c r="JU260" s="16"/>
      <c r="JV260" s="16"/>
      <c r="JW260" s="16"/>
      <c r="JX260" s="16"/>
      <c r="JY260" s="17"/>
      <c r="KC260" s="24"/>
      <c r="KD260" s="60"/>
      <c r="KE260" s="16"/>
      <c r="KF260" s="16"/>
      <c r="KG260" s="16"/>
      <c r="KH260" s="16"/>
      <c r="KI260" s="16"/>
      <c r="KJ260" s="17"/>
      <c r="KN260" s="24"/>
      <c r="KO260" s="60"/>
      <c r="KP260" s="16"/>
      <c r="KQ260" s="16"/>
      <c r="KR260" s="16"/>
      <c r="KS260" s="16"/>
      <c r="KT260" s="16"/>
      <c r="KU260" s="17"/>
      <c r="KY260" s="24"/>
      <c r="KZ260" s="60"/>
      <c r="LA260" s="16"/>
      <c r="LB260" s="16"/>
      <c r="LC260" s="16"/>
      <c r="LD260" s="16"/>
      <c r="LE260" s="16"/>
      <c r="LF260" s="17"/>
      <c r="LJ260" s="24"/>
      <c r="LK260" s="60"/>
      <c r="LL260" s="16"/>
      <c r="LM260" s="16"/>
      <c r="LN260" s="16"/>
      <c r="LO260" s="16"/>
      <c r="LP260" s="16"/>
      <c r="LQ260" s="17"/>
    </row>
    <row r="261">
      <c r="C261" s="31"/>
      <c r="D261" s="61"/>
      <c r="E261" s="16"/>
      <c r="F261" s="16"/>
      <c r="G261" s="21"/>
      <c r="H261" s="16"/>
      <c r="I261" s="16"/>
      <c r="J261" s="17"/>
      <c r="N261" s="17"/>
      <c r="O261" s="61"/>
      <c r="P261" s="16"/>
      <c r="Q261" s="16"/>
      <c r="R261" s="16"/>
      <c r="S261" s="16"/>
      <c r="T261" s="16"/>
      <c r="U261" s="17"/>
      <c r="Y261" s="24"/>
      <c r="Z261" s="61"/>
      <c r="AA261" s="16"/>
      <c r="AB261" s="16"/>
      <c r="AC261" s="16"/>
      <c r="AD261" s="16"/>
      <c r="AE261" s="16"/>
      <c r="AF261" s="17"/>
      <c r="AJ261" s="24"/>
      <c r="AK261" s="61"/>
      <c r="AL261" s="16"/>
      <c r="AM261" s="16"/>
      <c r="AN261" s="16"/>
      <c r="AO261" s="16"/>
      <c r="AP261" s="16"/>
      <c r="AQ261" s="17"/>
      <c r="AU261" s="24"/>
      <c r="AV261" s="61"/>
      <c r="AW261" s="16"/>
      <c r="AX261" s="16"/>
      <c r="AY261" s="16"/>
      <c r="AZ261" s="16"/>
      <c r="BA261" s="16"/>
      <c r="BB261" s="17"/>
      <c r="BF261" s="24"/>
      <c r="BG261" s="61"/>
      <c r="BH261" s="16"/>
      <c r="BI261" s="16"/>
      <c r="BJ261" s="16"/>
      <c r="BK261" s="16"/>
      <c r="BL261" s="16"/>
      <c r="BM261" s="17"/>
      <c r="BQ261" s="24"/>
      <c r="BR261" s="61"/>
      <c r="BS261" s="16"/>
      <c r="BT261" s="16"/>
      <c r="BU261" s="16"/>
      <c r="BV261" s="16"/>
      <c r="BW261" s="16"/>
      <c r="BX261" s="17"/>
      <c r="CB261" s="24"/>
      <c r="CC261" s="61"/>
      <c r="CD261" s="16"/>
      <c r="CE261" s="16"/>
      <c r="CF261" s="16"/>
      <c r="CG261" s="16"/>
      <c r="CH261" s="16"/>
      <c r="CI261" s="17"/>
      <c r="CM261" s="24"/>
      <c r="CN261" s="61"/>
      <c r="CO261" s="16"/>
      <c r="CP261" s="16"/>
      <c r="CQ261" s="16"/>
      <c r="CR261" s="16"/>
      <c r="CS261" s="16"/>
      <c r="CT261" s="17"/>
      <c r="CX261" s="24"/>
      <c r="CY261" s="60"/>
      <c r="CZ261" s="16"/>
      <c r="DA261" s="16"/>
      <c r="DB261" s="16"/>
      <c r="DC261" s="16"/>
      <c r="DD261" s="16"/>
      <c r="DE261" s="17"/>
      <c r="DI261" s="24"/>
      <c r="DJ261" s="60"/>
      <c r="DK261" s="16"/>
      <c r="DL261" s="16"/>
      <c r="DM261" s="16"/>
      <c r="DN261" s="16"/>
      <c r="DO261" s="16"/>
      <c r="DP261" s="17"/>
      <c r="DT261" s="24"/>
      <c r="DU261" s="60"/>
      <c r="DV261" s="16"/>
      <c r="DW261" s="16"/>
      <c r="DX261" s="16"/>
      <c r="DY261" s="16"/>
      <c r="DZ261" s="16"/>
      <c r="EA261" s="17"/>
      <c r="EE261" s="24"/>
      <c r="EF261" s="60"/>
      <c r="EG261" s="16"/>
      <c r="EH261" s="16"/>
      <c r="EI261" s="16"/>
      <c r="EJ261" s="16"/>
      <c r="EK261" s="16"/>
      <c r="EL261" s="17"/>
      <c r="EP261" s="24"/>
      <c r="EQ261" s="60"/>
      <c r="ER261" s="16"/>
      <c r="ES261" s="16"/>
      <c r="ET261" s="16"/>
      <c r="EU261" s="16"/>
      <c r="EV261" s="16"/>
      <c r="EW261" s="17"/>
      <c r="FA261" s="24"/>
      <c r="FB261" s="60"/>
      <c r="FC261" s="16"/>
      <c r="FD261" s="16"/>
      <c r="FE261" s="16"/>
      <c r="FF261" s="16"/>
      <c r="FG261" s="16"/>
      <c r="FH261" s="17"/>
      <c r="FL261" s="24"/>
      <c r="FM261" s="60"/>
      <c r="FN261" s="16"/>
      <c r="FO261" s="16"/>
      <c r="FP261" s="16"/>
      <c r="FQ261" s="16"/>
      <c r="FR261" s="16"/>
      <c r="FS261" s="17"/>
      <c r="FW261" s="24"/>
      <c r="FX261" s="60"/>
      <c r="FY261" s="16"/>
      <c r="FZ261" s="16"/>
      <c r="GA261" s="16"/>
      <c r="GB261" s="16"/>
      <c r="GC261" s="16"/>
      <c r="GD261" s="17"/>
      <c r="GH261" s="24"/>
      <c r="GI261" s="60"/>
      <c r="GJ261" s="16"/>
      <c r="GK261" s="16"/>
      <c r="GL261" s="16"/>
      <c r="GM261" s="16"/>
      <c r="GN261" s="16"/>
      <c r="GO261" s="17"/>
      <c r="GS261" s="24"/>
      <c r="GT261" s="60"/>
      <c r="GU261" s="16"/>
      <c r="GV261" s="16"/>
      <c r="GW261" s="16"/>
      <c r="GX261" s="16"/>
      <c r="GY261" s="16"/>
      <c r="GZ261" s="17"/>
      <c r="HD261" s="24"/>
      <c r="HE261" s="60"/>
      <c r="HF261" s="16"/>
      <c r="HG261" s="16"/>
      <c r="HH261" s="16"/>
      <c r="HI261" s="16"/>
      <c r="HJ261" s="16"/>
      <c r="HK261" s="17"/>
      <c r="HO261" s="24"/>
      <c r="HP261" s="60"/>
      <c r="HQ261" s="16"/>
      <c r="HR261" s="16"/>
      <c r="HS261" s="16"/>
      <c r="HT261" s="16"/>
      <c r="HU261" s="16"/>
      <c r="HV261" s="17"/>
      <c r="HZ261" s="24"/>
      <c r="IA261" s="60"/>
      <c r="IB261" s="16"/>
      <c r="IC261" s="16"/>
      <c r="ID261" s="16"/>
      <c r="IE261" s="16"/>
      <c r="IF261" s="16"/>
      <c r="IG261" s="17"/>
      <c r="IK261" s="24"/>
      <c r="IL261" s="60"/>
      <c r="IM261" s="16"/>
      <c r="IN261" s="16"/>
      <c r="IO261" s="16"/>
      <c r="IP261" s="16"/>
      <c r="IQ261" s="16"/>
      <c r="IR261" s="17"/>
      <c r="IV261" s="24"/>
      <c r="IW261" s="60"/>
      <c r="IX261" s="16"/>
      <c r="IY261" s="16"/>
      <c r="IZ261" s="16"/>
      <c r="JA261" s="16"/>
      <c r="JB261" s="16"/>
      <c r="JC261" s="17"/>
      <c r="JG261" s="24"/>
      <c r="JH261" s="60"/>
      <c r="JI261" s="16"/>
      <c r="JJ261" s="16"/>
      <c r="JK261" s="16"/>
      <c r="JL261" s="16"/>
      <c r="JM261" s="16"/>
      <c r="JN261" s="17"/>
      <c r="JR261" s="24"/>
      <c r="JS261" s="60"/>
      <c r="JT261" s="16"/>
      <c r="JU261" s="16"/>
      <c r="JV261" s="16"/>
      <c r="JW261" s="16"/>
      <c r="JX261" s="16"/>
      <c r="JY261" s="17"/>
      <c r="KC261" s="24"/>
      <c r="KD261" s="60"/>
      <c r="KE261" s="16"/>
      <c r="KF261" s="16"/>
      <c r="KG261" s="16"/>
      <c r="KH261" s="16"/>
      <c r="KI261" s="16"/>
      <c r="KJ261" s="17"/>
      <c r="KN261" s="24"/>
      <c r="KO261" s="60"/>
      <c r="KP261" s="16"/>
      <c r="KQ261" s="16"/>
      <c r="KR261" s="16"/>
      <c r="KS261" s="16"/>
      <c r="KT261" s="16"/>
      <c r="KU261" s="17"/>
      <c r="KY261" s="24"/>
      <c r="KZ261" s="60"/>
      <c r="LA261" s="16"/>
      <c r="LB261" s="16"/>
      <c r="LC261" s="16"/>
      <c r="LD261" s="16"/>
      <c r="LE261" s="16"/>
      <c r="LF261" s="17"/>
      <c r="LJ261" s="24"/>
      <c r="LK261" s="60"/>
      <c r="LL261" s="16"/>
      <c r="LM261" s="16"/>
      <c r="LN261" s="16"/>
      <c r="LO261" s="16"/>
      <c r="LP261" s="16"/>
      <c r="LQ261" s="17"/>
    </row>
    <row r="262">
      <c r="C262" s="31"/>
      <c r="D262" s="61"/>
      <c r="E262" s="16"/>
      <c r="F262" s="16"/>
      <c r="G262" s="21"/>
      <c r="H262" s="16"/>
      <c r="I262" s="16"/>
      <c r="J262" s="17"/>
      <c r="N262" s="17"/>
      <c r="O262" s="61"/>
      <c r="P262" s="16"/>
      <c r="Q262" s="16"/>
      <c r="R262" s="16"/>
      <c r="S262" s="16"/>
      <c r="T262" s="16"/>
      <c r="U262" s="17"/>
      <c r="Y262" s="24"/>
      <c r="Z262" s="61"/>
      <c r="AA262" s="16"/>
      <c r="AB262" s="16"/>
      <c r="AC262" s="16"/>
      <c r="AD262" s="16"/>
      <c r="AE262" s="16"/>
      <c r="AF262" s="17"/>
      <c r="AJ262" s="24"/>
      <c r="AK262" s="61"/>
      <c r="AL262" s="16"/>
      <c r="AM262" s="16"/>
      <c r="AN262" s="16"/>
      <c r="AO262" s="16"/>
      <c r="AP262" s="16"/>
      <c r="AQ262" s="17"/>
      <c r="AU262" s="24"/>
      <c r="AV262" s="61"/>
      <c r="AW262" s="16"/>
      <c r="AX262" s="16"/>
      <c r="AY262" s="16"/>
      <c r="AZ262" s="16"/>
      <c r="BA262" s="16"/>
      <c r="BB262" s="17"/>
      <c r="BF262" s="24"/>
      <c r="BG262" s="61"/>
      <c r="BH262" s="16"/>
      <c r="BI262" s="16"/>
      <c r="BJ262" s="16"/>
      <c r="BK262" s="16"/>
      <c r="BL262" s="16"/>
      <c r="BM262" s="17"/>
      <c r="BQ262" s="24"/>
      <c r="BR262" s="61"/>
      <c r="BS262" s="16"/>
      <c r="BT262" s="16"/>
      <c r="BU262" s="16"/>
      <c r="BV262" s="16"/>
      <c r="BW262" s="16"/>
      <c r="BX262" s="17"/>
      <c r="CB262" s="24"/>
      <c r="CC262" s="61"/>
      <c r="CD262" s="16"/>
      <c r="CE262" s="16"/>
      <c r="CF262" s="16"/>
      <c r="CG262" s="16"/>
      <c r="CH262" s="16"/>
      <c r="CI262" s="17"/>
      <c r="CM262" s="24"/>
      <c r="CN262" s="61"/>
      <c r="CO262" s="16"/>
      <c r="CP262" s="16"/>
      <c r="CQ262" s="16"/>
      <c r="CR262" s="16"/>
      <c r="CS262" s="16"/>
      <c r="CT262" s="17"/>
      <c r="CX262" s="24"/>
      <c r="CY262" s="60"/>
      <c r="CZ262" s="16"/>
      <c r="DA262" s="16"/>
      <c r="DB262" s="16"/>
      <c r="DC262" s="16"/>
      <c r="DD262" s="16"/>
      <c r="DE262" s="17"/>
      <c r="DI262" s="24"/>
      <c r="DJ262" s="60"/>
      <c r="DK262" s="16"/>
      <c r="DL262" s="16"/>
      <c r="DM262" s="16"/>
      <c r="DN262" s="16"/>
      <c r="DO262" s="16"/>
      <c r="DP262" s="17"/>
      <c r="DT262" s="24"/>
      <c r="DU262" s="60"/>
      <c r="DV262" s="16"/>
      <c r="DW262" s="16"/>
      <c r="DX262" s="16"/>
      <c r="DY262" s="16"/>
      <c r="DZ262" s="16"/>
      <c r="EA262" s="17"/>
      <c r="EE262" s="24"/>
      <c r="EF262" s="60"/>
      <c r="EG262" s="16"/>
      <c r="EH262" s="16"/>
      <c r="EI262" s="16"/>
      <c r="EJ262" s="16"/>
      <c r="EK262" s="16"/>
      <c r="EL262" s="17"/>
      <c r="EP262" s="24"/>
      <c r="EQ262" s="60"/>
      <c r="ER262" s="16"/>
      <c r="ES262" s="16"/>
      <c r="ET262" s="16"/>
      <c r="EU262" s="16"/>
      <c r="EV262" s="16"/>
      <c r="EW262" s="17"/>
      <c r="FA262" s="24"/>
      <c r="FB262" s="60"/>
      <c r="FC262" s="16"/>
      <c r="FD262" s="16"/>
      <c r="FE262" s="16"/>
      <c r="FF262" s="16"/>
      <c r="FG262" s="16"/>
      <c r="FH262" s="17"/>
      <c r="FL262" s="24"/>
      <c r="FM262" s="60"/>
      <c r="FN262" s="16"/>
      <c r="FO262" s="16"/>
      <c r="FP262" s="16"/>
      <c r="FQ262" s="16"/>
      <c r="FR262" s="16"/>
      <c r="FS262" s="17"/>
      <c r="FW262" s="24"/>
      <c r="FX262" s="60"/>
      <c r="FY262" s="16"/>
      <c r="FZ262" s="16"/>
      <c r="GA262" s="16"/>
      <c r="GB262" s="16"/>
      <c r="GC262" s="16"/>
      <c r="GD262" s="17"/>
      <c r="GH262" s="24"/>
      <c r="GI262" s="60"/>
      <c r="GJ262" s="16"/>
      <c r="GK262" s="16"/>
      <c r="GL262" s="16"/>
      <c r="GM262" s="16"/>
      <c r="GN262" s="16"/>
      <c r="GO262" s="17"/>
      <c r="GS262" s="24"/>
      <c r="GT262" s="60"/>
      <c r="GU262" s="16"/>
      <c r="GV262" s="16"/>
      <c r="GW262" s="16"/>
      <c r="GX262" s="16"/>
      <c r="GY262" s="16"/>
      <c r="GZ262" s="17"/>
      <c r="HD262" s="24"/>
      <c r="HE262" s="60"/>
      <c r="HF262" s="16"/>
      <c r="HG262" s="16"/>
      <c r="HH262" s="16"/>
      <c r="HI262" s="16"/>
      <c r="HJ262" s="16"/>
      <c r="HK262" s="17"/>
      <c r="HO262" s="24"/>
      <c r="HP262" s="60"/>
      <c r="HQ262" s="16"/>
      <c r="HR262" s="16"/>
      <c r="HS262" s="16"/>
      <c r="HT262" s="16"/>
      <c r="HU262" s="16"/>
      <c r="HV262" s="17"/>
      <c r="HZ262" s="24"/>
      <c r="IA262" s="60"/>
      <c r="IB262" s="16"/>
      <c r="IC262" s="16"/>
      <c r="ID262" s="16"/>
      <c r="IE262" s="16"/>
      <c r="IF262" s="16"/>
      <c r="IG262" s="17"/>
      <c r="IK262" s="24"/>
      <c r="IL262" s="60"/>
      <c r="IM262" s="16"/>
      <c r="IN262" s="16"/>
      <c r="IO262" s="16"/>
      <c r="IP262" s="16"/>
      <c r="IQ262" s="16"/>
      <c r="IR262" s="17"/>
      <c r="IV262" s="24"/>
      <c r="IW262" s="60"/>
      <c r="IX262" s="16"/>
      <c r="IY262" s="16"/>
      <c r="IZ262" s="16"/>
      <c r="JA262" s="16"/>
      <c r="JB262" s="16"/>
      <c r="JC262" s="17"/>
      <c r="JG262" s="24"/>
      <c r="JH262" s="60"/>
      <c r="JI262" s="16"/>
      <c r="JJ262" s="16"/>
      <c r="JK262" s="16"/>
      <c r="JL262" s="16"/>
      <c r="JM262" s="16"/>
      <c r="JN262" s="17"/>
      <c r="JR262" s="24"/>
      <c r="JS262" s="60"/>
      <c r="JT262" s="16"/>
      <c r="JU262" s="16"/>
      <c r="JV262" s="16"/>
      <c r="JW262" s="16"/>
      <c r="JX262" s="16"/>
      <c r="JY262" s="17"/>
      <c r="KC262" s="24"/>
      <c r="KD262" s="60"/>
      <c r="KE262" s="16"/>
      <c r="KF262" s="16"/>
      <c r="KG262" s="16"/>
      <c r="KH262" s="16"/>
      <c r="KI262" s="16"/>
      <c r="KJ262" s="17"/>
      <c r="KN262" s="24"/>
      <c r="KO262" s="60"/>
      <c r="KP262" s="16"/>
      <c r="KQ262" s="16"/>
      <c r="KR262" s="16"/>
      <c r="KS262" s="16"/>
      <c r="KT262" s="16"/>
      <c r="KU262" s="17"/>
      <c r="KY262" s="24"/>
      <c r="KZ262" s="60"/>
      <c r="LA262" s="16"/>
      <c r="LB262" s="16"/>
      <c r="LC262" s="16"/>
      <c r="LD262" s="16"/>
      <c r="LE262" s="16"/>
      <c r="LF262" s="17"/>
      <c r="LJ262" s="24"/>
      <c r="LK262" s="60"/>
      <c r="LL262" s="16"/>
      <c r="LM262" s="16"/>
      <c r="LN262" s="16"/>
      <c r="LO262" s="16"/>
      <c r="LP262" s="16"/>
      <c r="LQ262" s="17"/>
    </row>
    <row r="263">
      <c r="C263" s="31"/>
      <c r="D263" s="61"/>
      <c r="E263" s="16"/>
      <c r="F263" s="16"/>
      <c r="G263" s="21"/>
      <c r="H263" s="16"/>
      <c r="I263" s="16"/>
      <c r="J263" s="17"/>
      <c r="N263" s="17"/>
      <c r="O263" s="61"/>
      <c r="P263" s="16"/>
      <c r="Q263" s="16"/>
      <c r="R263" s="16"/>
      <c r="S263" s="16"/>
      <c r="T263" s="16"/>
      <c r="U263" s="17"/>
      <c r="Y263" s="24"/>
      <c r="Z263" s="61"/>
      <c r="AA263" s="16"/>
      <c r="AB263" s="16"/>
      <c r="AC263" s="16"/>
      <c r="AD263" s="16"/>
      <c r="AE263" s="16"/>
      <c r="AF263" s="17"/>
      <c r="AJ263" s="24"/>
      <c r="AK263" s="61"/>
      <c r="AL263" s="16"/>
      <c r="AM263" s="16"/>
      <c r="AN263" s="16"/>
      <c r="AO263" s="16"/>
      <c r="AP263" s="16"/>
      <c r="AQ263" s="17"/>
      <c r="AU263" s="24"/>
      <c r="AV263" s="61"/>
      <c r="AW263" s="16"/>
      <c r="AX263" s="16"/>
      <c r="AY263" s="16"/>
      <c r="AZ263" s="16"/>
      <c r="BA263" s="16"/>
      <c r="BB263" s="17"/>
      <c r="BF263" s="24"/>
      <c r="BG263" s="61"/>
      <c r="BH263" s="16"/>
      <c r="BI263" s="16"/>
      <c r="BJ263" s="16"/>
      <c r="BK263" s="16"/>
      <c r="BL263" s="16"/>
      <c r="BM263" s="17"/>
      <c r="BQ263" s="24"/>
      <c r="BR263" s="61"/>
      <c r="BS263" s="16"/>
      <c r="BT263" s="16"/>
      <c r="BU263" s="16"/>
      <c r="BV263" s="16"/>
      <c r="BW263" s="16"/>
      <c r="BX263" s="17"/>
      <c r="CB263" s="24"/>
      <c r="CC263" s="61"/>
      <c r="CD263" s="16"/>
      <c r="CE263" s="16"/>
      <c r="CF263" s="16"/>
      <c r="CG263" s="16"/>
      <c r="CH263" s="16"/>
      <c r="CI263" s="17"/>
      <c r="CM263" s="24"/>
      <c r="CN263" s="61"/>
      <c r="CO263" s="16"/>
      <c r="CP263" s="16"/>
      <c r="CQ263" s="16"/>
      <c r="CR263" s="16"/>
      <c r="CS263" s="16"/>
      <c r="CT263" s="17"/>
      <c r="CX263" s="24"/>
      <c r="CY263" s="60"/>
      <c r="CZ263" s="16"/>
      <c r="DA263" s="16"/>
      <c r="DB263" s="16"/>
      <c r="DC263" s="16"/>
      <c r="DD263" s="16"/>
      <c r="DE263" s="17"/>
      <c r="DI263" s="24"/>
      <c r="DJ263" s="60"/>
      <c r="DK263" s="16"/>
      <c r="DL263" s="16"/>
      <c r="DM263" s="16"/>
      <c r="DN263" s="16"/>
      <c r="DO263" s="16"/>
      <c r="DP263" s="17"/>
      <c r="DT263" s="24"/>
      <c r="DU263" s="60"/>
      <c r="DV263" s="16"/>
      <c r="DW263" s="16"/>
      <c r="DX263" s="16"/>
      <c r="DY263" s="16"/>
      <c r="DZ263" s="16"/>
      <c r="EA263" s="17"/>
      <c r="EE263" s="24"/>
      <c r="EF263" s="60"/>
      <c r="EG263" s="16"/>
      <c r="EH263" s="16"/>
      <c r="EI263" s="16"/>
      <c r="EJ263" s="16"/>
      <c r="EK263" s="16"/>
      <c r="EL263" s="17"/>
      <c r="EP263" s="24"/>
      <c r="EQ263" s="60"/>
      <c r="ER263" s="16"/>
      <c r="ES263" s="16"/>
      <c r="ET263" s="16"/>
      <c r="EU263" s="16"/>
      <c r="EV263" s="16"/>
      <c r="EW263" s="17"/>
      <c r="FA263" s="24"/>
      <c r="FB263" s="60"/>
      <c r="FC263" s="16"/>
      <c r="FD263" s="16"/>
      <c r="FE263" s="16"/>
      <c r="FF263" s="16"/>
      <c r="FG263" s="16"/>
      <c r="FH263" s="17"/>
      <c r="FL263" s="24"/>
      <c r="FM263" s="60"/>
      <c r="FN263" s="16"/>
      <c r="FO263" s="16"/>
      <c r="FP263" s="16"/>
      <c r="FQ263" s="16"/>
      <c r="FR263" s="16"/>
      <c r="FS263" s="17"/>
      <c r="FW263" s="24"/>
      <c r="FX263" s="60"/>
      <c r="FY263" s="16"/>
      <c r="FZ263" s="16"/>
      <c r="GA263" s="16"/>
      <c r="GB263" s="16"/>
      <c r="GC263" s="16"/>
      <c r="GD263" s="17"/>
      <c r="GH263" s="24"/>
      <c r="GI263" s="60"/>
      <c r="GJ263" s="16"/>
      <c r="GK263" s="16"/>
      <c r="GL263" s="16"/>
      <c r="GM263" s="16"/>
      <c r="GN263" s="16"/>
      <c r="GO263" s="17"/>
      <c r="GS263" s="24"/>
      <c r="GT263" s="60"/>
      <c r="GU263" s="16"/>
      <c r="GV263" s="16"/>
      <c r="GW263" s="16"/>
      <c r="GX263" s="16"/>
      <c r="GY263" s="16"/>
      <c r="GZ263" s="17"/>
      <c r="HD263" s="24"/>
      <c r="HE263" s="60"/>
      <c r="HF263" s="16"/>
      <c r="HG263" s="16"/>
      <c r="HH263" s="16"/>
      <c r="HI263" s="16"/>
      <c r="HJ263" s="16"/>
      <c r="HK263" s="17"/>
      <c r="HO263" s="24"/>
      <c r="HP263" s="60"/>
      <c r="HQ263" s="16"/>
      <c r="HR263" s="16"/>
      <c r="HS263" s="16"/>
      <c r="HT263" s="16"/>
      <c r="HU263" s="16"/>
      <c r="HV263" s="17"/>
      <c r="HZ263" s="24"/>
      <c r="IA263" s="60"/>
      <c r="IB263" s="16"/>
      <c r="IC263" s="16"/>
      <c r="ID263" s="16"/>
      <c r="IE263" s="16"/>
      <c r="IF263" s="16"/>
      <c r="IG263" s="17"/>
      <c r="IK263" s="24"/>
      <c r="IL263" s="60"/>
      <c r="IM263" s="16"/>
      <c r="IN263" s="16"/>
      <c r="IO263" s="16"/>
      <c r="IP263" s="16"/>
      <c r="IQ263" s="16"/>
      <c r="IR263" s="17"/>
      <c r="IV263" s="24"/>
      <c r="IW263" s="60"/>
      <c r="IX263" s="16"/>
      <c r="IY263" s="16"/>
      <c r="IZ263" s="16"/>
      <c r="JA263" s="16"/>
      <c r="JB263" s="16"/>
      <c r="JC263" s="17"/>
      <c r="JG263" s="24"/>
      <c r="JH263" s="60"/>
      <c r="JI263" s="16"/>
      <c r="JJ263" s="16"/>
      <c r="JK263" s="16"/>
      <c r="JL263" s="16"/>
      <c r="JM263" s="16"/>
      <c r="JN263" s="17"/>
      <c r="JR263" s="24"/>
      <c r="JS263" s="60"/>
      <c r="JT263" s="16"/>
      <c r="JU263" s="16"/>
      <c r="JV263" s="16"/>
      <c r="JW263" s="16"/>
      <c r="JX263" s="16"/>
      <c r="JY263" s="17"/>
      <c r="KC263" s="24"/>
      <c r="KD263" s="60"/>
      <c r="KE263" s="16"/>
      <c r="KF263" s="16"/>
      <c r="KG263" s="16"/>
      <c r="KH263" s="16"/>
      <c r="KI263" s="16"/>
      <c r="KJ263" s="17"/>
      <c r="KN263" s="24"/>
      <c r="KO263" s="60"/>
      <c r="KP263" s="16"/>
      <c r="KQ263" s="16"/>
      <c r="KR263" s="16"/>
      <c r="KS263" s="16"/>
      <c r="KT263" s="16"/>
      <c r="KU263" s="17"/>
      <c r="KY263" s="24"/>
      <c r="KZ263" s="60"/>
      <c r="LA263" s="16"/>
      <c r="LB263" s="16"/>
      <c r="LC263" s="16"/>
      <c r="LD263" s="16"/>
      <c r="LE263" s="16"/>
      <c r="LF263" s="17"/>
      <c r="LJ263" s="24"/>
      <c r="LK263" s="60"/>
      <c r="LL263" s="16"/>
      <c r="LM263" s="16"/>
      <c r="LN263" s="16"/>
      <c r="LO263" s="16"/>
      <c r="LP263" s="16"/>
      <c r="LQ263" s="17"/>
    </row>
    <row r="264">
      <c r="C264" s="31"/>
      <c r="D264" s="61"/>
      <c r="E264" s="16"/>
      <c r="F264" s="16"/>
      <c r="G264" s="21"/>
      <c r="H264" s="16"/>
      <c r="I264" s="16"/>
      <c r="J264" s="17"/>
      <c r="N264" s="17"/>
      <c r="O264" s="61"/>
      <c r="P264" s="16"/>
      <c r="Q264" s="16"/>
      <c r="R264" s="16"/>
      <c r="S264" s="16"/>
      <c r="T264" s="16"/>
      <c r="U264" s="17"/>
      <c r="Y264" s="24"/>
      <c r="Z264" s="61"/>
      <c r="AA264" s="16"/>
      <c r="AB264" s="16"/>
      <c r="AC264" s="16"/>
      <c r="AD264" s="16"/>
      <c r="AE264" s="16"/>
      <c r="AF264" s="17"/>
      <c r="AJ264" s="24"/>
      <c r="AK264" s="61"/>
      <c r="AL264" s="16"/>
      <c r="AM264" s="16"/>
      <c r="AN264" s="16"/>
      <c r="AO264" s="16"/>
      <c r="AP264" s="16"/>
      <c r="AQ264" s="17"/>
      <c r="AU264" s="24"/>
      <c r="AV264" s="61"/>
      <c r="AW264" s="16"/>
      <c r="AX264" s="16"/>
      <c r="AY264" s="16"/>
      <c r="AZ264" s="16"/>
      <c r="BA264" s="16"/>
      <c r="BB264" s="17"/>
      <c r="BF264" s="24"/>
      <c r="BG264" s="61"/>
      <c r="BH264" s="16"/>
      <c r="BI264" s="16"/>
      <c r="BJ264" s="16"/>
      <c r="BK264" s="16"/>
      <c r="BL264" s="16"/>
      <c r="BM264" s="17"/>
      <c r="BQ264" s="24"/>
      <c r="BR264" s="61"/>
      <c r="BS264" s="16"/>
      <c r="BT264" s="16"/>
      <c r="BU264" s="16"/>
      <c r="BV264" s="16"/>
      <c r="BW264" s="16"/>
      <c r="BX264" s="17"/>
      <c r="CB264" s="24"/>
      <c r="CC264" s="61"/>
      <c r="CD264" s="16"/>
      <c r="CE264" s="16"/>
      <c r="CF264" s="16"/>
      <c r="CG264" s="16"/>
      <c r="CH264" s="16"/>
      <c r="CI264" s="17"/>
      <c r="CM264" s="24"/>
      <c r="CN264" s="61"/>
      <c r="CO264" s="16"/>
      <c r="CP264" s="16"/>
      <c r="CQ264" s="16"/>
      <c r="CR264" s="16"/>
      <c r="CS264" s="16"/>
      <c r="CT264" s="17"/>
      <c r="CX264" s="24"/>
      <c r="CY264" s="60"/>
      <c r="CZ264" s="16"/>
      <c r="DA264" s="16"/>
      <c r="DB264" s="16"/>
      <c r="DC264" s="16"/>
      <c r="DD264" s="16"/>
      <c r="DE264" s="17"/>
      <c r="DI264" s="24"/>
      <c r="DJ264" s="60"/>
      <c r="DK264" s="16"/>
      <c r="DL264" s="16"/>
      <c r="DM264" s="16"/>
      <c r="DN264" s="16"/>
      <c r="DO264" s="16"/>
      <c r="DP264" s="17"/>
      <c r="DT264" s="24"/>
      <c r="DU264" s="60"/>
      <c r="DV264" s="16"/>
      <c r="DW264" s="16"/>
      <c r="DX264" s="16"/>
      <c r="DY264" s="16"/>
      <c r="DZ264" s="16"/>
      <c r="EA264" s="17"/>
      <c r="EE264" s="24"/>
      <c r="EF264" s="60"/>
      <c r="EG264" s="16"/>
      <c r="EH264" s="16"/>
      <c r="EI264" s="16"/>
      <c r="EJ264" s="16"/>
      <c r="EK264" s="16"/>
      <c r="EL264" s="17"/>
      <c r="EP264" s="24"/>
      <c r="EQ264" s="60"/>
      <c r="ER264" s="16"/>
      <c r="ES264" s="16"/>
      <c r="ET264" s="16"/>
      <c r="EU264" s="16"/>
      <c r="EV264" s="16"/>
      <c r="EW264" s="17"/>
      <c r="FA264" s="24"/>
      <c r="FB264" s="60"/>
      <c r="FC264" s="16"/>
      <c r="FD264" s="16"/>
      <c r="FE264" s="16"/>
      <c r="FF264" s="16"/>
      <c r="FG264" s="16"/>
      <c r="FH264" s="17"/>
      <c r="FL264" s="24"/>
      <c r="FM264" s="60"/>
      <c r="FN264" s="16"/>
      <c r="FO264" s="16"/>
      <c r="FP264" s="16"/>
      <c r="FQ264" s="16"/>
      <c r="FR264" s="16"/>
      <c r="FS264" s="17"/>
      <c r="FW264" s="24"/>
      <c r="FX264" s="60"/>
      <c r="FY264" s="16"/>
      <c r="FZ264" s="16"/>
      <c r="GA264" s="16"/>
      <c r="GB264" s="16"/>
      <c r="GC264" s="16"/>
      <c r="GD264" s="17"/>
      <c r="GH264" s="24"/>
      <c r="GI264" s="60"/>
      <c r="GJ264" s="16"/>
      <c r="GK264" s="16"/>
      <c r="GL264" s="16"/>
      <c r="GM264" s="16"/>
      <c r="GN264" s="16"/>
      <c r="GO264" s="17"/>
      <c r="GS264" s="24"/>
      <c r="GT264" s="60"/>
      <c r="GU264" s="16"/>
      <c r="GV264" s="16"/>
      <c r="GW264" s="16"/>
      <c r="GX264" s="16"/>
      <c r="GY264" s="16"/>
      <c r="GZ264" s="17"/>
      <c r="HD264" s="24"/>
      <c r="HE264" s="60"/>
      <c r="HF264" s="16"/>
      <c r="HG264" s="16"/>
      <c r="HH264" s="16"/>
      <c r="HI264" s="16"/>
      <c r="HJ264" s="16"/>
      <c r="HK264" s="17"/>
      <c r="HO264" s="24"/>
      <c r="HP264" s="60"/>
      <c r="HQ264" s="16"/>
      <c r="HR264" s="16"/>
      <c r="HS264" s="16"/>
      <c r="HT264" s="16"/>
      <c r="HU264" s="16"/>
      <c r="HV264" s="17"/>
      <c r="HZ264" s="24"/>
      <c r="IA264" s="60"/>
      <c r="IB264" s="16"/>
      <c r="IC264" s="16"/>
      <c r="ID264" s="16"/>
      <c r="IE264" s="16"/>
      <c r="IF264" s="16"/>
      <c r="IG264" s="17"/>
      <c r="IK264" s="24"/>
      <c r="IL264" s="60"/>
      <c r="IM264" s="16"/>
      <c r="IN264" s="16"/>
      <c r="IO264" s="16"/>
      <c r="IP264" s="16"/>
      <c r="IQ264" s="16"/>
      <c r="IR264" s="17"/>
      <c r="IV264" s="24"/>
      <c r="IW264" s="60"/>
      <c r="IX264" s="16"/>
      <c r="IY264" s="16"/>
      <c r="IZ264" s="16"/>
      <c r="JA264" s="16"/>
      <c r="JB264" s="16"/>
      <c r="JC264" s="17"/>
      <c r="JG264" s="24"/>
      <c r="JH264" s="60"/>
      <c r="JI264" s="16"/>
      <c r="JJ264" s="16"/>
      <c r="JK264" s="16"/>
      <c r="JL264" s="16"/>
      <c r="JM264" s="16"/>
      <c r="JN264" s="17"/>
      <c r="JR264" s="24"/>
      <c r="JS264" s="60"/>
      <c r="JT264" s="16"/>
      <c r="JU264" s="16"/>
      <c r="JV264" s="16"/>
      <c r="JW264" s="16"/>
      <c r="JX264" s="16"/>
      <c r="JY264" s="17"/>
      <c r="KC264" s="24"/>
      <c r="KD264" s="60"/>
      <c r="KE264" s="16"/>
      <c r="KF264" s="16"/>
      <c r="KG264" s="16"/>
      <c r="KH264" s="16"/>
      <c r="KI264" s="16"/>
      <c r="KJ264" s="17"/>
      <c r="KN264" s="24"/>
      <c r="KO264" s="60"/>
      <c r="KP264" s="16"/>
      <c r="KQ264" s="16"/>
      <c r="KR264" s="16"/>
      <c r="KS264" s="16"/>
      <c r="KT264" s="16"/>
      <c r="KU264" s="17"/>
      <c r="KY264" s="24"/>
      <c r="KZ264" s="60"/>
      <c r="LA264" s="16"/>
      <c r="LB264" s="16"/>
      <c r="LC264" s="16"/>
      <c r="LD264" s="16"/>
      <c r="LE264" s="16"/>
      <c r="LF264" s="17"/>
      <c r="LJ264" s="24"/>
      <c r="LK264" s="60"/>
      <c r="LL264" s="16"/>
      <c r="LM264" s="16"/>
      <c r="LN264" s="16"/>
      <c r="LO264" s="16"/>
      <c r="LP264" s="16"/>
      <c r="LQ264" s="17"/>
    </row>
    <row r="265">
      <c r="C265" s="31"/>
      <c r="D265" s="61"/>
      <c r="E265" s="16"/>
      <c r="F265" s="16"/>
      <c r="G265" s="21"/>
      <c r="H265" s="16"/>
      <c r="I265" s="16"/>
      <c r="J265" s="17"/>
      <c r="N265" s="17"/>
      <c r="O265" s="61"/>
      <c r="P265" s="16"/>
      <c r="Q265" s="16"/>
      <c r="R265" s="16"/>
      <c r="S265" s="16"/>
      <c r="T265" s="16"/>
      <c r="U265" s="17"/>
      <c r="Y265" s="24"/>
      <c r="Z265" s="61"/>
      <c r="AA265" s="16"/>
      <c r="AB265" s="16"/>
      <c r="AC265" s="16"/>
      <c r="AD265" s="16"/>
      <c r="AE265" s="16"/>
      <c r="AF265" s="17"/>
      <c r="AJ265" s="24"/>
      <c r="AK265" s="61"/>
      <c r="AL265" s="16"/>
      <c r="AM265" s="16"/>
      <c r="AN265" s="16"/>
      <c r="AO265" s="16"/>
      <c r="AP265" s="16"/>
      <c r="AQ265" s="17"/>
      <c r="AU265" s="24"/>
      <c r="AV265" s="61"/>
      <c r="AW265" s="16"/>
      <c r="AX265" s="16"/>
      <c r="AY265" s="16"/>
      <c r="AZ265" s="16"/>
      <c r="BA265" s="16"/>
      <c r="BB265" s="17"/>
      <c r="BF265" s="24"/>
      <c r="BG265" s="61"/>
      <c r="BH265" s="16"/>
      <c r="BI265" s="16"/>
      <c r="BJ265" s="16"/>
      <c r="BK265" s="16"/>
      <c r="BL265" s="16"/>
      <c r="BM265" s="17"/>
      <c r="BQ265" s="24"/>
      <c r="BR265" s="61"/>
      <c r="BS265" s="16"/>
      <c r="BT265" s="16"/>
      <c r="BU265" s="16"/>
      <c r="BV265" s="16"/>
      <c r="BW265" s="16"/>
      <c r="BX265" s="17"/>
      <c r="CB265" s="24"/>
      <c r="CC265" s="61"/>
      <c r="CD265" s="16"/>
      <c r="CE265" s="16"/>
      <c r="CF265" s="16"/>
      <c r="CG265" s="16"/>
      <c r="CH265" s="16"/>
      <c r="CI265" s="17"/>
      <c r="CM265" s="24"/>
      <c r="CN265" s="61"/>
      <c r="CO265" s="16"/>
      <c r="CP265" s="16"/>
      <c r="CQ265" s="16"/>
      <c r="CR265" s="16"/>
      <c r="CS265" s="16"/>
      <c r="CT265" s="17"/>
      <c r="CX265" s="24"/>
      <c r="CY265" s="60"/>
      <c r="CZ265" s="16"/>
      <c r="DA265" s="16"/>
      <c r="DB265" s="16"/>
      <c r="DC265" s="16"/>
      <c r="DD265" s="16"/>
      <c r="DE265" s="17"/>
      <c r="DI265" s="24"/>
      <c r="DJ265" s="60"/>
      <c r="DK265" s="16"/>
      <c r="DL265" s="16"/>
      <c r="DM265" s="16"/>
      <c r="DN265" s="16"/>
      <c r="DO265" s="16"/>
      <c r="DP265" s="17"/>
      <c r="DT265" s="24"/>
      <c r="DU265" s="60"/>
      <c r="DV265" s="16"/>
      <c r="DW265" s="16"/>
      <c r="DX265" s="16"/>
      <c r="DY265" s="16"/>
      <c r="DZ265" s="16"/>
      <c r="EA265" s="17"/>
      <c r="EE265" s="24"/>
      <c r="EF265" s="60"/>
      <c r="EG265" s="16"/>
      <c r="EH265" s="16"/>
      <c r="EI265" s="16"/>
      <c r="EJ265" s="16"/>
      <c r="EK265" s="16"/>
      <c r="EL265" s="17"/>
      <c r="EP265" s="24"/>
      <c r="EQ265" s="60"/>
      <c r="ER265" s="16"/>
      <c r="ES265" s="16"/>
      <c r="ET265" s="16"/>
      <c r="EU265" s="16"/>
      <c r="EV265" s="16"/>
      <c r="EW265" s="17"/>
      <c r="FA265" s="24"/>
      <c r="FB265" s="60"/>
      <c r="FC265" s="16"/>
      <c r="FD265" s="16"/>
      <c r="FE265" s="16"/>
      <c r="FF265" s="16"/>
      <c r="FG265" s="16"/>
      <c r="FH265" s="17"/>
      <c r="FL265" s="24"/>
      <c r="FM265" s="60"/>
      <c r="FN265" s="16"/>
      <c r="FO265" s="16"/>
      <c r="FP265" s="16"/>
      <c r="FQ265" s="16"/>
      <c r="FR265" s="16"/>
      <c r="FS265" s="17"/>
      <c r="FW265" s="24"/>
      <c r="FX265" s="60"/>
      <c r="FY265" s="16"/>
      <c r="FZ265" s="16"/>
      <c r="GA265" s="16"/>
      <c r="GB265" s="16"/>
      <c r="GC265" s="16"/>
      <c r="GD265" s="17"/>
      <c r="GH265" s="24"/>
      <c r="GI265" s="60"/>
      <c r="GJ265" s="16"/>
      <c r="GK265" s="16"/>
      <c r="GL265" s="16"/>
      <c r="GM265" s="16"/>
      <c r="GN265" s="16"/>
      <c r="GO265" s="17"/>
      <c r="GS265" s="24"/>
      <c r="GT265" s="60"/>
      <c r="GU265" s="16"/>
      <c r="GV265" s="16"/>
      <c r="GW265" s="16"/>
      <c r="GX265" s="16"/>
      <c r="GY265" s="16"/>
      <c r="GZ265" s="17"/>
      <c r="HD265" s="24"/>
      <c r="HE265" s="60"/>
      <c r="HF265" s="16"/>
      <c r="HG265" s="16"/>
      <c r="HH265" s="16"/>
      <c r="HI265" s="16"/>
      <c r="HJ265" s="16"/>
      <c r="HK265" s="17"/>
      <c r="HO265" s="24"/>
      <c r="HP265" s="60"/>
      <c r="HQ265" s="16"/>
      <c r="HR265" s="16"/>
      <c r="HS265" s="16"/>
      <c r="HT265" s="16"/>
      <c r="HU265" s="16"/>
      <c r="HV265" s="17"/>
      <c r="HZ265" s="24"/>
      <c r="IA265" s="60"/>
      <c r="IB265" s="16"/>
      <c r="IC265" s="16"/>
      <c r="ID265" s="16"/>
      <c r="IE265" s="16"/>
      <c r="IF265" s="16"/>
      <c r="IG265" s="17"/>
      <c r="IK265" s="24"/>
      <c r="IL265" s="60"/>
      <c r="IM265" s="16"/>
      <c r="IN265" s="16"/>
      <c r="IO265" s="16"/>
      <c r="IP265" s="16"/>
      <c r="IQ265" s="16"/>
      <c r="IR265" s="17"/>
      <c r="IV265" s="24"/>
      <c r="IW265" s="60"/>
      <c r="IX265" s="16"/>
      <c r="IY265" s="16"/>
      <c r="IZ265" s="16"/>
      <c r="JA265" s="16"/>
      <c r="JB265" s="16"/>
      <c r="JC265" s="17"/>
      <c r="JG265" s="24"/>
      <c r="JH265" s="60"/>
      <c r="JI265" s="16"/>
      <c r="JJ265" s="16"/>
      <c r="JK265" s="16"/>
      <c r="JL265" s="16"/>
      <c r="JM265" s="16"/>
      <c r="JN265" s="17"/>
      <c r="JR265" s="24"/>
      <c r="JS265" s="60"/>
      <c r="JT265" s="16"/>
      <c r="JU265" s="16"/>
      <c r="JV265" s="16"/>
      <c r="JW265" s="16"/>
      <c r="JX265" s="16"/>
      <c r="JY265" s="17"/>
      <c r="KC265" s="24"/>
      <c r="KD265" s="60"/>
      <c r="KE265" s="16"/>
      <c r="KF265" s="16"/>
      <c r="KG265" s="16"/>
      <c r="KH265" s="16"/>
      <c r="KI265" s="16"/>
      <c r="KJ265" s="17"/>
      <c r="KN265" s="24"/>
      <c r="KO265" s="60"/>
      <c r="KP265" s="16"/>
      <c r="KQ265" s="16"/>
      <c r="KR265" s="16"/>
      <c r="KS265" s="16"/>
      <c r="KT265" s="16"/>
      <c r="KU265" s="17"/>
      <c r="KY265" s="24"/>
      <c r="KZ265" s="60"/>
      <c r="LA265" s="16"/>
      <c r="LB265" s="16"/>
      <c r="LC265" s="16"/>
      <c r="LD265" s="16"/>
      <c r="LE265" s="16"/>
      <c r="LF265" s="17"/>
      <c r="LJ265" s="24"/>
      <c r="LK265" s="60"/>
      <c r="LL265" s="16"/>
      <c r="LM265" s="16"/>
      <c r="LN265" s="16"/>
      <c r="LO265" s="16"/>
      <c r="LP265" s="16"/>
      <c r="LQ265" s="17"/>
    </row>
    <row r="266">
      <c r="C266" s="31"/>
      <c r="D266" s="61"/>
      <c r="E266" s="16"/>
      <c r="F266" s="16"/>
      <c r="G266" s="21"/>
      <c r="H266" s="16"/>
      <c r="I266" s="16"/>
      <c r="J266" s="17"/>
      <c r="N266" s="17"/>
      <c r="O266" s="61"/>
      <c r="P266" s="16"/>
      <c r="Q266" s="16"/>
      <c r="R266" s="16"/>
      <c r="S266" s="16"/>
      <c r="T266" s="16"/>
      <c r="U266" s="17"/>
      <c r="Y266" s="24"/>
      <c r="Z266" s="61"/>
      <c r="AA266" s="16"/>
      <c r="AB266" s="16"/>
      <c r="AC266" s="16"/>
      <c r="AD266" s="16"/>
      <c r="AE266" s="16"/>
      <c r="AF266" s="17"/>
      <c r="AJ266" s="24"/>
      <c r="AK266" s="61"/>
      <c r="AL266" s="16"/>
      <c r="AM266" s="16"/>
      <c r="AN266" s="16"/>
      <c r="AO266" s="16"/>
      <c r="AP266" s="16"/>
      <c r="AQ266" s="17"/>
      <c r="AU266" s="24"/>
      <c r="AV266" s="61"/>
      <c r="AW266" s="16"/>
      <c r="AX266" s="16"/>
      <c r="AY266" s="16"/>
      <c r="AZ266" s="16"/>
      <c r="BA266" s="16"/>
      <c r="BB266" s="17"/>
      <c r="BF266" s="24"/>
      <c r="BG266" s="61"/>
      <c r="BH266" s="16"/>
      <c r="BI266" s="16"/>
      <c r="BJ266" s="16"/>
      <c r="BK266" s="16"/>
      <c r="BL266" s="16"/>
      <c r="BM266" s="17"/>
      <c r="BQ266" s="24"/>
      <c r="BR266" s="61"/>
      <c r="BS266" s="16"/>
      <c r="BT266" s="16"/>
      <c r="BU266" s="16"/>
      <c r="BV266" s="16"/>
      <c r="BW266" s="16"/>
      <c r="BX266" s="17"/>
      <c r="CB266" s="24"/>
      <c r="CC266" s="61"/>
      <c r="CD266" s="16"/>
      <c r="CE266" s="16"/>
      <c r="CF266" s="16"/>
      <c r="CG266" s="16"/>
      <c r="CH266" s="16"/>
      <c r="CI266" s="17"/>
      <c r="CM266" s="24"/>
      <c r="CN266" s="61"/>
      <c r="CO266" s="16"/>
      <c r="CP266" s="16"/>
      <c r="CQ266" s="16"/>
      <c r="CR266" s="16"/>
      <c r="CS266" s="16"/>
      <c r="CT266" s="17"/>
      <c r="CX266" s="24"/>
      <c r="CY266" s="60"/>
      <c r="CZ266" s="16"/>
      <c r="DA266" s="16"/>
      <c r="DB266" s="16"/>
      <c r="DC266" s="16"/>
      <c r="DD266" s="16"/>
      <c r="DE266" s="17"/>
      <c r="DI266" s="24"/>
      <c r="DJ266" s="60"/>
      <c r="DK266" s="16"/>
      <c r="DL266" s="16"/>
      <c r="DM266" s="16"/>
      <c r="DN266" s="16"/>
      <c r="DO266" s="16"/>
      <c r="DP266" s="17"/>
      <c r="DT266" s="24"/>
      <c r="DU266" s="60"/>
      <c r="DV266" s="16"/>
      <c r="DW266" s="16"/>
      <c r="DX266" s="16"/>
      <c r="DY266" s="16"/>
      <c r="DZ266" s="16"/>
      <c r="EA266" s="17"/>
      <c r="EE266" s="24"/>
      <c r="EF266" s="60"/>
      <c r="EG266" s="16"/>
      <c r="EH266" s="16"/>
      <c r="EI266" s="16"/>
      <c r="EJ266" s="16"/>
      <c r="EK266" s="16"/>
      <c r="EL266" s="17"/>
      <c r="EP266" s="24"/>
      <c r="EQ266" s="60"/>
      <c r="ER266" s="16"/>
      <c r="ES266" s="16"/>
      <c r="ET266" s="16"/>
      <c r="EU266" s="16"/>
      <c r="EV266" s="16"/>
      <c r="EW266" s="17"/>
      <c r="FA266" s="24"/>
      <c r="FB266" s="60"/>
      <c r="FC266" s="16"/>
      <c r="FD266" s="16"/>
      <c r="FE266" s="16"/>
      <c r="FF266" s="16"/>
      <c r="FG266" s="16"/>
      <c r="FH266" s="17"/>
      <c r="FL266" s="24"/>
      <c r="FM266" s="60"/>
      <c r="FN266" s="16"/>
      <c r="FO266" s="16"/>
      <c r="FP266" s="16"/>
      <c r="FQ266" s="16"/>
      <c r="FR266" s="16"/>
      <c r="FS266" s="17"/>
      <c r="FW266" s="24"/>
      <c r="FX266" s="60"/>
      <c r="FY266" s="16"/>
      <c r="FZ266" s="16"/>
      <c r="GA266" s="16"/>
      <c r="GB266" s="16"/>
      <c r="GC266" s="16"/>
      <c r="GD266" s="17"/>
      <c r="GH266" s="24"/>
      <c r="GI266" s="60"/>
      <c r="GJ266" s="16"/>
      <c r="GK266" s="16"/>
      <c r="GL266" s="16"/>
      <c r="GM266" s="16"/>
      <c r="GN266" s="16"/>
      <c r="GO266" s="17"/>
      <c r="GS266" s="24"/>
      <c r="GT266" s="60"/>
      <c r="GU266" s="16"/>
      <c r="GV266" s="16"/>
      <c r="GW266" s="16"/>
      <c r="GX266" s="16"/>
      <c r="GY266" s="16"/>
      <c r="GZ266" s="17"/>
      <c r="HD266" s="24"/>
      <c r="HE266" s="60"/>
      <c r="HF266" s="16"/>
      <c r="HG266" s="16"/>
      <c r="HH266" s="16"/>
      <c r="HI266" s="16"/>
      <c r="HJ266" s="16"/>
      <c r="HK266" s="17"/>
      <c r="HO266" s="24"/>
      <c r="HP266" s="60"/>
      <c r="HQ266" s="16"/>
      <c r="HR266" s="16"/>
      <c r="HS266" s="16"/>
      <c r="HT266" s="16"/>
      <c r="HU266" s="16"/>
      <c r="HV266" s="17"/>
      <c r="HZ266" s="24"/>
      <c r="IA266" s="60"/>
      <c r="IB266" s="16"/>
      <c r="IC266" s="16"/>
      <c r="ID266" s="16"/>
      <c r="IE266" s="16"/>
      <c r="IF266" s="16"/>
      <c r="IG266" s="17"/>
      <c r="IK266" s="24"/>
      <c r="IL266" s="60"/>
      <c r="IM266" s="16"/>
      <c r="IN266" s="16"/>
      <c r="IO266" s="16"/>
      <c r="IP266" s="16"/>
      <c r="IQ266" s="16"/>
      <c r="IR266" s="17"/>
      <c r="IV266" s="24"/>
      <c r="IW266" s="60"/>
      <c r="IX266" s="16"/>
      <c r="IY266" s="16"/>
      <c r="IZ266" s="16"/>
      <c r="JA266" s="16"/>
      <c r="JB266" s="16"/>
      <c r="JC266" s="17"/>
      <c r="JG266" s="24"/>
      <c r="JH266" s="60"/>
      <c r="JI266" s="16"/>
      <c r="JJ266" s="16"/>
      <c r="JK266" s="16"/>
      <c r="JL266" s="16"/>
      <c r="JM266" s="16"/>
      <c r="JN266" s="17"/>
      <c r="JR266" s="24"/>
      <c r="JS266" s="60"/>
      <c r="JT266" s="16"/>
      <c r="JU266" s="16"/>
      <c r="JV266" s="16"/>
      <c r="JW266" s="16"/>
      <c r="JX266" s="16"/>
      <c r="JY266" s="17"/>
      <c r="KC266" s="24"/>
      <c r="KD266" s="60"/>
      <c r="KE266" s="16"/>
      <c r="KF266" s="16"/>
      <c r="KG266" s="16"/>
      <c r="KH266" s="16"/>
      <c r="KI266" s="16"/>
      <c r="KJ266" s="17"/>
      <c r="KN266" s="24"/>
      <c r="KO266" s="60"/>
      <c r="KP266" s="16"/>
      <c r="KQ266" s="16"/>
      <c r="KR266" s="16"/>
      <c r="KS266" s="16"/>
      <c r="KT266" s="16"/>
      <c r="KU266" s="17"/>
      <c r="KY266" s="24"/>
      <c r="KZ266" s="60"/>
      <c r="LA266" s="16"/>
      <c r="LB266" s="16"/>
      <c r="LC266" s="16"/>
      <c r="LD266" s="16"/>
      <c r="LE266" s="16"/>
      <c r="LF266" s="17"/>
      <c r="LJ266" s="24"/>
      <c r="LK266" s="60"/>
      <c r="LL266" s="16"/>
      <c r="LM266" s="16"/>
      <c r="LN266" s="16"/>
      <c r="LO266" s="16"/>
      <c r="LP266" s="16"/>
      <c r="LQ266" s="17"/>
    </row>
    <row r="267">
      <c r="C267" s="31"/>
      <c r="D267" s="61"/>
      <c r="E267" s="16"/>
      <c r="F267" s="16"/>
      <c r="G267" s="21"/>
      <c r="H267" s="16"/>
      <c r="I267" s="16"/>
      <c r="J267" s="17"/>
      <c r="N267" s="17"/>
      <c r="O267" s="61"/>
      <c r="P267" s="16"/>
      <c r="Q267" s="16"/>
      <c r="R267" s="16"/>
      <c r="S267" s="16"/>
      <c r="T267" s="16"/>
      <c r="U267" s="17"/>
      <c r="Y267" s="24"/>
      <c r="Z267" s="61"/>
      <c r="AA267" s="16"/>
      <c r="AB267" s="16"/>
      <c r="AC267" s="16"/>
      <c r="AD267" s="16"/>
      <c r="AE267" s="16"/>
      <c r="AF267" s="17"/>
      <c r="AJ267" s="24"/>
      <c r="AK267" s="61"/>
      <c r="AL267" s="16"/>
      <c r="AM267" s="16"/>
      <c r="AN267" s="16"/>
      <c r="AO267" s="16"/>
      <c r="AP267" s="16"/>
      <c r="AQ267" s="17"/>
      <c r="AU267" s="24"/>
      <c r="AV267" s="61"/>
      <c r="AW267" s="16"/>
      <c r="AX267" s="16"/>
      <c r="AY267" s="16"/>
      <c r="AZ267" s="16"/>
      <c r="BA267" s="16"/>
      <c r="BB267" s="17"/>
      <c r="BF267" s="24"/>
      <c r="BG267" s="61"/>
      <c r="BH267" s="16"/>
      <c r="BI267" s="16"/>
      <c r="BJ267" s="16"/>
      <c r="BK267" s="16"/>
      <c r="BL267" s="16"/>
      <c r="BM267" s="17"/>
      <c r="BQ267" s="24"/>
      <c r="BR267" s="61"/>
      <c r="BS267" s="16"/>
      <c r="BT267" s="16"/>
      <c r="BU267" s="16"/>
      <c r="BV267" s="16"/>
      <c r="BW267" s="16"/>
      <c r="BX267" s="17"/>
      <c r="CB267" s="24"/>
      <c r="CC267" s="61"/>
      <c r="CD267" s="16"/>
      <c r="CE267" s="16"/>
      <c r="CF267" s="16"/>
      <c r="CG267" s="16"/>
      <c r="CH267" s="16"/>
      <c r="CI267" s="17"/>
      <c r="CM267" s="24"/>
      <c r="CN267" s="61"/>
      <c r="CO267" s="16"/>
      <c r="CP267" s="16"/>
      <c r="CQ267" s="16"/>
      <c r="CR267" s="16"/>
      <c r="CS267" s="16"/>
      <c r="CT267" s="17"/>
      <c r="CX267" s="24"/>
      <c r="CY267" s="60"/>
      <c r="CZ267" s="16"/>
      <c r="DA267" s="16"/>
      <c r="DB267" s="16"/>
      <c r="DC267" s="16"/>
      <c r="DD267" s="16"/>
      <c r="DE267" s="17"/>
      <c r="DI267" s="24"/>
      <c r="DJ267" s="60"/>
      <c r="DK267" s="16"/>
      <c r="DL267" s="16"/>
      <c r="DM267" s="16"/>
      <c r="DN267" s="16"/>
      <c r="DO267" s="16"/>
      <c r="DP267" s="17"/>
      <c r="DT267" s="24"/>
      <c r="DU267" s="60"/>
      <c r="DV267" s="16"/>
      <c r="DW267" s="16"/>
      <c r="DX267" s="16"/>
      <c r="DY267" s="16"/>
      <c r="DZ267" s="16"/>
      <c r="EA267" s="17"/>
      <c r="EE267" s="24"/>
      <c r="EF267" s="60"/>
      <c r="EG267" s="16"/>
      <c r="EH267" s="16"/>
      <c r="EI267" s="16"/>
      <c r="EJ267" s="16"/>
      <c r="EK267" s="16"/>
      <c r="EL267" s="17"/>
      <c r="EP267" s="24"/>
      <c r="EQ267" s="60"/>
      <c r="ER267" s="16"/>
      <c r="ES267" s="16"/>
      <c r="ET267" s="16"/>
      <c r="EU267" s="16"/>
      <c r="EV267" s="16"/>
      <c r="EW267" s="17"/>
      <c r="FA267" s="24"/>
      <c r="FB267" s="60"/>
      <c r="FC267" s="16"/>
      <c r="FD267" s="16"/>
      <c r="FE267" s="16"/>
      <c r="FF267" s="16"/>
      <c r="FG267" s="16"/>
      <c r="FH267" s="17"/>
      <c r="FL267" s="24"/>
      <c r="FM267" s="60"/>
      <c r="FN267" s="16"/>
      <c r="FO267" s="16"/>
      <c r="FP267" s="16"/>
      <c r="FQ267" s="16"/>
      <c r="FR267" s="16"/>
      <c r="FS267" s="17"/>
      <c r="FW267" s="24"/>
      <c r="FX267" s="60"/>
      <c r="FY267" s="16"/>
      <c r="FZ267" s="16"/>
      <c r="GA267" s="16"/>
      <c r="GB267" s="16"/>
      <c r="GC267" s="16"/>
      <c r="GD267" s="17"/>
      <c r="GH267" s="24"/>
      <c r="GI267" s="60"/>
      <c r="GJ267" s="16"/>
      <c r="GK267" s="16"/>
      <c r="GL267" s="16"/>
      <c r="GM267" s="16"/>
      <c r="GN267" s="16"/>
      <c r="GO267" s="17"/>
      <c r="GS267" s="24"/>
      <c r="GT267" s="60"/>
      <c r="GU267" s="16"/>
      <c r="GV267" s="16"/>
      <c r="GW267" s="16"/>
      <c r="GX267" s="16"/>
      <c r="GY267" s="16"/>
      <c r="GZ267" s="17"/>
      <c r="HD267" s="24"/>
      <c r="HE267" s="60"/>
      <c r="HF267" s="16"/>
      <c r="HG267" s="16"/>
      <c r="HH267" s="16"/>
      <c r="HI267" s="16"/>
      <c r="HJ267" s="16"/>
      <c r="HK267" s="17"/>
      <c r="HO267" s="24"/>
      <c r="HP267" s="60"/>
      <c r="HQ267" s="16"/>
      <c r="HR267" s="16"/>
      <c r="HS267" s="16"/>
      <c r="HT267" s="16"/>
      <c r="HU267" s="16"/>
      <c r="HV267" s="17"/>
      <c r="HZ267" s="24"/>
      <c r="IA267" s="60"/>
      <c r="IB267" s="16"/>
      <c r="IC267" s="16"/>
      <c r="ID267" s="16"/>
      <c r="IE267" s="16"/>
      <c r="IF267" s="16"/>
      <c r="IG267" s="17"/>
      <c r="IK267" s="24"/>
      <c r="IL267" s="60"/>
      <c r="IM267" s="16"/>
      <c r="IN267" s="16"/>
      <c r="IO267" s="16"/>
      <c r="IP267" s="16"/>
      <c r="IQ267" s="16"/>
      <c r="IR267" s="17"/>
      <c r="IV267" s="24"/>
      <c r="IW267" s="60"/>
      <c r="IX267" s="16"/>
      <c r="IY267" s="16"/>
      <c r="IZ267" s="16"/>
      <c r="JA267" s="16"/>
      <c r="JB267" s="16"/>
      <c r="JC267" s="17"/>
      <c r="JG267" s="24"/>
      <c r="JH267" s="60"/>
      <c r="JI267" s="16"/>
      <c r="JJ267" s="16"/>
      <c r="JK267" s="16"/>
      <c r="JL267" s="16"/>
      <c r="JM267" s="16"/>
      <c r="JN267" s="17"/>
      <c r="JR267" s="24"/>
      <c r="JS267" s="60"/>
      <c r="JT267" s="16"/>
      <c r="JU267" s="16"/>
      <c r="JV267" s="16"/>
      <c r="JW267" s="16"/>
      <c r="JX267" s="16"/>
      <c r="JY267" s="17"/>
      <c r="KC267" s="24"/>
      <c r="KD267" s="60"/>
      <c r="KE267" s="16"/>
      <c r="KF267" s="16"/>
      <c r="KG267" s="16"/>
      <c r="KH267" s="16"/>
      <c r="KI267" s="16"/>
      <c r="KJ267" s="17"/>
      <c r="KN267" s="24"/>
      <c r="KO267" s="60"/>
      <c r="KP267" s="16"/>
      <c r="KQ267" s="16"/>
      <c r="KR267" s="16"/>
      <c r="KS267" s="16"/>
      <c r="KT267" s="16"/>
      <c r="KU267" s="17"/>
      <c r="KY267" s="24"/>
      <c r="KZ267" s="60"/>
      <c r="LA267" s="16"/>
      <c r="LB267" s="16"/>
      <c r="LC267" s="16"/>
      <c r="LD267" s="16"/>
      <c r="LE267" s="16"/>
      <c r="LF267" s="17"/>
      <c r="LJ267" s="24"/>
      <c r="LK267" s="60"/>
      <c r="LL267" s="16"/>
      <c r="LM267" s="16"/>
      <c r="LN267" s="16"/>
      <c r="LO267" s="16"/>
      <c r="LP267" s="16"/>
      <c r="LQ267" s="17"/>
    </row>
    <row r="268">
      <c r="C268" s="31"/>
      <c r="D268" s="61"/>
      <c r="E268" s="16"/>
      <c r="F268" s="16"/>
      <c r="G268" s="21"/>
      <c r="H268" s="16"/>
      <c r="I268" s="16"/>
      <c r="J268" s="17"/>
      <c r="N268" s="17"/>
      <c r="O268" s="61"/>
      <c r="P268" s="16"/>
      <c r="Q268" s="16"/>
      <c r="R268" s="16"/>
      <c r="S268" s="16"/>
      <c r="T268" s="16"/>
      <c r="U268" s="17"/>
      <c r="Y268" s="24"/>
      <c r="Z268" s="61"/>
      <c r="AA268" s="16"/>
      <c r="AB268" s="16"/>
      <c r="AC268" s="16"/>
      <c r="AD268" s="16"/>
      <c r="AE268" s="16"/>
      <c r="AF268" s="17"/>
      <c r="AJ268" s="24"/>
      <c r="AK268" s="61"/>
      <c r="AL268" s="16"/>
      <c r="AM268" s="16"/>
      <c r="AN268" s="16"/>
      <c r="AO268" s="16"/>
      <c r="AP268" s="16"/>
      <c r="AQ268" s="17"/>
      <c r="AU268" s="24"/>
      <c r="AV268" s="61"/>
      <c r="AW268" s="16"/>
      <c r="AX268" s="16"/>
      <c r="AY268" s="16"/>
      <c r="AZ268" s="16"/>
      <c r="BA268" s="16"/>
      <c r="BB268" s="17"/>
      <c r="BF268" s="24"/>
      <c r="BG268" s="61"/>
      <c r="BH268" s="16"/>
      <c r="BI268" s="16"/>
      <c r="BJ268" s="16"/>
      <c r="BK268" s="16"/>
      <c r="BL268" s="16"/>
      <c r="BM268" s="17"/>
      <c r="BQ268" s="24"/>
      <c r="BR268" s="61"/>
      <c r="BS268" s="16"/>
      <c r="BT268" s="16"/>
      <c r="BU268" s="16"/>
      <c r="BV268" s="16"/>
      <c r="BW268" s="16"/>
      <c r="BX268" s="17"/>
      <c r="CB268" s="24"/>
      <c r="CC268" s="61"/>
      <c r="CD268" s="16"/>
      <c r="CE268" s="16"/>
      <c r="CF268" s="16"/>
      <c r="CG268" s="16"/>
      <c r="CH268" s="16"/>
      <c r="CI268" s="17"/>
      <c r="CM268" s="24"/>
      <c r="CN268" s="61"/>
      <c r="CO268" s="16"/>
      <c r="CP268" s="16"/>
      <c r="CQ268" s="16"/>
      <c r="CR268" s="16"/>
      <c r="CS268" s="16"/>
      <c r="CT268" s="17"/>
      <c r="CX268" s="24"/>
      <c r="CY268" s="60"/>
      <c r="CZ268" s="16"/>
      <c r="DA268" s="16"/>
      <c r="DB268" s="16"/>
      <c r="DC268" s="16"/>
      <c r="DD268" s="16"/>
      <c r="DE268" s="17"/>
      <c r="DI268" s="24"/>
      <c r="DJ268" s="60"/>
      <c r="DK268" s="16"/>
      <c r="DL268" s="16"/>
      <c r="DM268" s="16"/>
      <c r="DN268" s="16"/>
      <c r="DO268" s="16"/>
      <c r="DP268" s="17"/>
      <c r="DT268" s="24"/>
      <c r="DU268" s="60"/>
      <c r="DV268" s="16"/>
      <c r="DW268" s="16"/>
      <c r="DX268" s="16"/>
      <c r="DY268" s="16"/>
      <c r="DZ268" s="16"/>
      <c r="EA268" s="17"/>
      <c r="EE268" s="24"/>
      <c r="EF268" s="60"/>
      <c r="EG268" s="16"/>
      <c r="EH268" s="16"/>
      <c r="EI268" s="16"/>
      <c r="EJ268" s="16"/>
      <c r="EK268" s="16"/>
      <c r="EL268" s="17"/>
      <c r="EP268" s="24"/>
      <c r="EQ268" s="60"/>
      <c r="ER268" s="16"/>
      <c r="ES268" s="16"/>
      <c r="ET268" s="16"/>
      <c r="EU268" s="16"/>
      <c r="EV268" s="16"/>
      <c r="EW268" s="17"/>
      <c r="FA268" s="24"/>
      <c r="FB268" s="60"/>
      <c r="FC268" s="16"/>
      <c r="FD268" s="16"/>
      <c r="FE268" s="16"/>
      <c r="FF268" s="16"/>
      <c r="FG268" s="16"/>
      <c r="FH268" s="17"/>
      <c r="FL268" s="24"/>
      <c r="FM268" s="60"/>
      <c r="FN268" s="16"/>
      <c r="FO268" s="16"/>
      <c r="FP268" s="16"/>
      <c r="FQ268" s="16"/>
      <c r="FR268" s="16"/>
      <c r="FS268" s="17"/>
      <c r="FW268" s="24"/>
      <c r="FX268" s="60"/>
      <c r="FY268" s="16"/>
      <c r="FZ268" s="16"/>
      <c r="GA268" s="16"/>
      <c r="GB268" s="16"/>
      <c r="GC268" s="16"/>
      <c r="GD268" s="17"/>
      <c r="GH268" s="24"/>
      <c r="GI268" s="60"/>
      <c r="GJ268" s="16"/>
      <c r="GK268" s="16"/>
      <c r="GL268" s="16"/>
      <c r="GM268" s="16"/>
      <c r="GN268" s="16"/>
      <c r="GO268" s="17"/>
      <c r="GS268" s="24"/>
      <c r="GT268" s="60"/>
      <c r="GU268" s="16"/>
      <c r="GV268" s="16"/>
      <c r="GW268" s="16"/>
      <c r="GX268" s="16"/>
      <c r="GY268" s="16"/>
      <c r="GZ268" s="17"/>
      <c r="HD268" s="24"/>
      <c r="HE268" s="60"/>
      <c r="HF268" s="16"/>
      <c r="HG268" s="16"/>
      <c r="HH268" s="16"/>
      <c r="HI268" s="16"/>
      <c r="HJ268" s="16"/>
      <c r="HK268" s="17"/>
      <c r="HO268" s="24"/>
      <c r="HP268" s="60"/>
      <c r="HQ268" s="16"/>
      <c r="HR268" s="16"/>
      <c r="HS268" s="16"/>
      <c r="HT268" s="16"/>
      <c r="HU268" s="16"/>
      <c r="HV268" s="17"/>
      <c r="HZ268" s="24"/>
      <c r="IA268" s="60"/>
      <c r="IB268" s="16"/>
      <c r="IC268" s="16"/>
      <c r="ID268" s="16"/>
      <c r="IE268" s="16"/>
      <c r="IF268" s="16"/>
      <c r="IG268" s="17"/>
      <c r="IK268" s="24"/>
      <c r="IL268" s="60"/>
      <c r="IM268" s="16"/>
      <c r="IN268" s="16"/>
      <c r="IO268" s="16"/>
      <c r="IP268" s="16"/>
      <c r="IQ268" s="16"/>
      <c r="IR268" s="17"/>
      <c r="IV268" s="24"/>
      <c r="IW268" s="60"/>
      <c r="IX268" s="16"/>
      <c r="IY268" s="16"/>
      <c r="IZ268" s="16"/>
      <c r="JA268" s="16"/>
      <c r="JB268" s="16"/>
      <c r="JC268" s="17"/>
      <c r="JG268" s="24"/>
      <c r="JH268" s="60"/>
      <c r="JI268" s="16"/>
      <c r="JJ268" s="16"/>
      <c r="JK268" s="16"/>
      <c r="JL268" s="16"/>
      <c r="JM268" s="16"/>
      <c r="JN268" s="17"/>
      <c r="JR268" s="24"/>
      <c r="JS268" s="60"/>
      <c r="JT268" s="16"/>
      <c r="JU268" s="16"/>
      <c r="JV268" s="16"/>
      <c r="JW268" s="16"/>
      <c r="JX268" s="16"/>
      <c r="JY268" s="17"/>
      <c r="KC268" s="24"/>
      <c r="KD268" s="60"/>
      <c r="KE268" s="16"/>
      <c r="KF268" s="16"/>
      <c r="KG268" s="16"/>
      <c r="KH268" s="16"/>
      <c r="KI268" s="16"/>
      <c r="KJ268" s="17"/>
      <c r="KN268" s="24"/>
      <c r="KO268" s="60"/>
      <c r="KP268" s="16"/>
      <c r="KQ268" s="16"/>
      <c r="KR268" s="16"/>
      <c r="KS268" s="16"/>
      <c r="KT268" s="16"/>
      <c r="KU268" s="17"/>
      <c r="KY268" s="24"/>
      <c r="KZ268" s="60"/>
      <c r="LA268" s="16"/>
      <c r="LB268" s="16"/>
      <c r="LC268" s="16"/>
      <c r="LD268" s="16"/>
      <c r="LE268" s="16"/>
      <c r="LF268" s="17"/>
      <c r="LJ268" s="24"/>
      <c r="LK268" s="60"/>
      <c r="LL268" s="16"/>
      <c r="LM268" s="16"/>
      <c r="LN268" s="16"/>
      <c r="LO268" s="16"/>
      <c r="LP268" s="16"/>
      <c r="LQ268" s="17"/>
    </row>
    <row r="269">
      <c r="C269" s="31"/>
      <c r="D269" s="61"/>
      <c r="E269" s="16"/>
      <c r="F269" s="16"/>
      <c r="G269" s="21"/>
      <c r="H269" s="16"/>
      <c r="I269" s="16"/>
      <c r="J269" s="17"/>
      <c r="N269" s="17"/>
      <c r="O269" s="61"/>
      <c r="P269" s="16"/>
      <c r="Q269" s="16"/>
      <c r="R269" s="16"/>
      <c r="S269" s="16"/>
      <c r="T269" s="16"/>
      <c r="U269" s="17"/>
      <c r="Y269" s="24"/>
      <c r="Z269" s="61"/>
      <c r="AA269" s="16"/>
      <c r="AB269" s="16"/>
      <c r="AC269" s="16"/>
      <c r="AD269" s="16"/>
      <c r="AE269" s="16"/>
      <c r="AF269" s="17"/>
      <c r="AJ269" s="24"/>
      <c r="AK269" s="61"/>
      <c r="AL269" s="16"/>
      <c r="AM269" s="16"/>
      <c r="AN269" s="16"/>
      <c r="AO269" s="16"/>
      <c r="AP269" s="16"/>
      <c r="AQ269" s="17"/>
      <c r="AU269" s="24"/>
      <c r="AV269" s="61"/>
      <c r="AW269" s="16"/>
      <c r="AX269" s="16"/>
      <c r="AY269" s="16"/>
      <c r="AZ269" s="16"/>
      <c r="BA269" s="16"/>
      <c r="BB269" s="17"/>
      <c r="BF269" s="24"/>
      <c r="BG269" s="61"/>
      <c r="BH269" s="16"/>
      <c r="BI269" s="16"/>
      <c r="BJ269" s="16"/>
      <c r="BK269" s="16"/>
      <c r="BL269" s="16"/>
      <c r="BM269" s="17"/>
      <c r="BQ269" s="24"/>
      <c r="BR269" s="61"/>
      <c r="BS269" s="16"/>
      <c r="BT269" s="16"/>
      <c r="BU269" s="16"/>
      <c r="BV269" s="16"/>
      <c r="BW269" s="16"/>
      <c r="BX269" s="17"/>
      <c r="CB269" s="24"/>
      <c r="CC269" s="61"/>
      <c r="CD269" s="16"/>
      <c r="CE269" s="16"/>
      <c r="CF269" s="16"/>
      <c r="CG269" s="16"/>
      <c r="CH269" s="16"/>
      <c r="CI269" s="17"/>
      <c r="CM269" s="24"/>
      <c r="CN269" s="61"/>
      <c r="CO269" s="16"/>
      <c r="CP269" s="16"/>
      <c r="CQ269" s="16"/>
      <c r="CR269" s="16"/>
      <c r="CS269" s="16"/>
      <c r="CT269" s="17"/>
      <c r="CX269" s="24"/>
      <c r="CY269" s="60"/>
      <c r="CZ269" s="16"/>
      <c r="DA269" s="16"/>
      <c r="DB269" s="16"/>
      <c r="DC269" s="16"/>
      <c r="DD269" s="16"/>
      <c r="DE269" s="17"/>
      <c r="DI269" s="24"/>
      <c r="DJ269" s="60"/>
      <c r="DK269" s="16"/>
      <c r="DL269" s="16"/>
      <c r="DM269" s="16"/>
      <c r="DN269" s="16"/>
      <c r="DO269" s="16"/>
      <c r="DP269" s="17"/>
      <c r="DT269" s="24"/>
      <c r="DU269" s="60"/>
      <c r="DV269" s="16"/>
      <c r="DW269" s="16"/>
      <c r="DX269" s="16"/>
      <c r="DY269" s="16"/>
      <c r="DZ269" s="16"/>
      <c r="EA269" s="17"/>
      <c r="EE269" s="24"/>
      <c r="EF269" s="60"/>
      <c r="EG269" s="16"/>
      <c r="EH269" s="16"/>
      <c r="EI269" s="16"/>
      <c r="EJ269" s="16"/>
      <c r="EK269" s="16"/>
      <c r="EL269" s="17"/>
      <c r="EP269" s="24"/>
      <c r="EQ269" s="60"/>
      <c r="ER269" s="16"/>
      <c r="ES269" s="16"/>
      <c r="ET269" s="16"/>
      <c r="EU269" s="16"/>
      <c r="EV269" s="16"/>
      <c r="EW269" s="17"/>
      <c r="FA269" s="24"/>
      <c r="FB269" s="60"/>
      <c r="FC269" s="16"/>
      <c r="FD269" s="16"/>
      <c r="FE269" s="16"/>
      <c r="FF269" s="16"/>
      <c r="FG269" s="16"/>
      <c r="FH269" s="17"/>
      <c r="FL269" s="24"/>
      <c r="FM269" s="60"/>
      <c r="FN269" s="16"/>
      <c r="FO269" s="16"/>
      <c r="FP269" s="16"/>
      <c r="FQ269" s="16"/>
      <c r="FR269" s="16"/>
      <c r="FS269" s="17"/>
      <c r="FW269" s="24"/>
      <c r="FX269" s="60"/>
      <c r="FY269" s="16"/>
      <c r="FZ269" s="16"/>
      <c r="GA269" s="16"/>
      <c r="GB269" s="16"/>
      <c r="GC269" s="16"/>
      <c r="GD269" s="17"/>
      <c r="GH269" s="24"/>
      <c r="GI269" s="60"/>
      <c r="GJ269" s="16"/>
      <c r="GK269" s="16"/>
      <c r="GL269" s="16"/>
      <c r="GM269" s="16"/>
      <c r="GN269" s="16"/>
      <c r="GO269" s="17"/>
      <c r="GS269" s="24"/>
      <c r="GT269" s="60"/>
      <c r="GU269" s="16"/>
      <c r="GV269" s="16"/>
      <c r="GW269" s="16"/>
      <c r="GX269" s="16"/>
      <c r="GY269" s="16"/>
      <c r="GZ269" s="17"/>
      <c r="HD269" s="24"/>
      <c r="HE269" s="60"/>
      <c r="HF269" s="16"/>
      <c r="HG269" s="16"/>
      <c r="HH269" s="16"/>
      <c r="HI269" s="16"/>
      <c r="HJ269" s="16"/>
      <c r="HK269" s="17"/>
      <c r="HO269" s="24"/>
      <c r="HP269" s="60"/>
      <c r="HQ269" s="16"/>
      <c r="HR269" s="16"/>
      <c r="HS269" s="16"/>
      <c r="HT269" s="16"/>
      <c r="HU269" s="16"/>
      <c r="HV269" s="17"/>
      <c r="HZ269" s="24"/>
      <c r="IA269" s="60"/>
      <c r="IB269" s="16"/>
      <c r="IC269" s="16"/>
      <c r="ID269" s="16"/>
      <c r="IE269" s="16"/>
      <c r="IF269" s="16"/>
      <c r="IG269" s="17"/>
      <c r="IK269" s="24"/>
      <c r="IL269" s="60"/>
      <c r="IM269" s="16"/>
      <c r="IN269" s="16"/>
      <c r="IO269" s="16"/>
      <c r="IP269" s="16"/>
      <c r="IQ269" s="16"/>
      <c r="IR269" s="17"/>
      <c r="IV269" s="24"/>
      <c r="IW269" s="60"/>
      <c r="IX269" s="16"/>
      <c r="IY269" s="16"/>
      <c r="IZ269" s="16"/>
      <c r="JA269" s="16"/>
      <c r="JB269" s="16"/>
      <c r="JC269" s="17"/>
      <c r="JG269" s="24"/>
      <c r="JH269" s="60"/>
      <c r="JI269" s="16"/>
      <c r="JJ269" s="16"/>
      <c r="JK269" s="16"/>
      <c r="JL269" s="16"/>
      <c r="JM269" s="16"/>
      <c r="JN269" s="17"/>
      <c r="JR269" s="24"/>
      <c r="JS269" s="60"/>
      <c r="JT269" s="16"/>
      <c r="JU269" s="16"/>
      <c r="JV269" s="16"/>
      <c r="JW269" s="16"/>
      <c r="JX269" s="16"/>
      <c r="JY269" s="17"/>
      <c r="KC269" s="24"/>
      <c r="KD269" s="60"/>
      <c r="KE269" s="16"/>
      <c r="KF269" s="16"/>
      <c r="KG269" s="16"/>
      <c r="KH269" s="16"/>
      <c r="KI269" s="16"/>
      <c r="KJ269" s="17"/>
      <c r="KN269" s="24"/>
      <c r="KO269" s="60"/>
      <c r="KP269" s="16"/>
      <c r="KQ269" s="16"/>
      <c r="KR269" s="16"/>
      <c r="KS269" s="16"/>
      <c r="KT269" s="16"/>
      <c r="KU269" s="17"/>
      <c r="KY269" s="24"/>
      <c r="KZ269" s="60"/>
      <c r="LA269" s="16"/>
      <c r="LB269" s="16"/>
      <c r="LC269" s="16"/>
      <c r="LD269" s="16"/>
      <c r="LE269" s="16"/>
      <c r="LF269" s="17"/>
      <c r="LJ269" s="24"/>
      <c r="LK269" s="60"/>
      <c r="LL269" s="16"/>
      <c r="LM269" s="16"/>
      <c r="LN269" s="16"/>
      <c r="LO269" s="16"/>
      <c r="LP269" s="16"/>
      <c r="LQ269" s="17"/>
    </row>
    <row r="270">
      <c r="C270" s="31"/>
      <c r="D270" s="61"/>
      <c r="E270" s="16"/>
      <c r="F270" s="16"/>
      <c r="G270" s="21"/>
      <c r="H270" s="16"/>
      <c r="I270" s="16"/>
      <c r="J270" s="17"/>
      <c r="N270" s="17"/>
      <c r="O270" s="61"/>
      <c r="P270" s="16"/>
      <c r="Q270" s="16"/>
      <c r="R270" s="16"/>
      <c r="S270" s="16"/>
      <c r="T270" s="16"/>
      <c r="U270" s="17"/>
      <c r="Y270" s="24"/>
      <c r="Z270" s="61"/>
      <c r="AA270" s="16"/>
      <c r="AB270" s="16"/>
      <c r="AC270" s="16"/>
      <c r="AD270" s="16"/>
      <c r="AE270" s="16"/>
      <c r="AF270" s="17"/>
      <c r="AJ270" s="24"/>
      <c r="AK270" s="61"/>
      <c r="AL270" s="16"/>
      <c r="AM270" s="16"/>
      <c r="AN270" s="16"/>
      <c r="AO270" s="16"/>
      <c r="AP270" s="16"/>
      <c r="AQ270" s="17"/>
      <c r="AU270" s="24"/>
      <c r="AV270" s="61"/>
      <c r="AW270" s="16"/>
      <c r="AX270" s="16"/>
      <c r="AY270" s="16"/>
      <c r="AZ270" s="16"/>
      <c r="BA270" s="16"/>
      <c r="BB270" s="17"/>
      <c r="BF270" s="24"/>
      <c r="BG270" s="61"/>
      <c r="BH270" s="16"/>
      <c r="BI270" s="16"/>
      <c r="BJ270" s="16"/>
      <c r="BK270" s="16"/>
      <c r="BL270" s="16"/>
      <c r="BM270" s="17"/>
      <c r="BQ270" s="24"/>
      <c r="BR270" s="61"/>
      <c r="BS270" s="16"/>
      <c r="BT270" s="16"/>
      <c r="BU270" s="16"/>
      <c r="BV270" s="16"/>
      <c r="BW270" s="16"/>
      <c r="BX270" s="17"/>
      <c r="CB270" s="24"/>
      <c r="CC270" s="61"/>
      <c r="CD270" s="16"/>
      <c r="CE270" s="16"/>
      <c r="CF270" s="16"/>
      <c r="CG270" s="16"/>
      <c r="CH270" s="16"/>
      <c r="CI270" s="17"/>
      <c r="CM270" s="24"/>
      <c r="CN270" s="61"/>
      <c r="CO270" s="16"/>
      <c r="CP270" s="16"/>
      <c r="CQ270" s="16"/>
      <c r="CR270" s="16"/>
      <c r="CS270" s="16"/>
      <c r="CT270" s="17"/>
      <c r="CX270" s="24"/>
      <c r="CY270" s="60"/>
      <c r="CZ270" s="16"/>
      <c r="DA270" s="16"/>
      <c r="DB270" s="16"/>
      <c r="DC270" s="16"/>
      <c r="DD270" s="16"/>
      <c r="DE270" s="17"/>
      <c r="DI270" s="24"/>
      <c r="DJ270" s="60"/>
      <c r="DK270" s="16"/>
      <c r="DL270" s="16"/>
      <c r="DM270" s="16"/>
      <c r="DN270" s="16"/>
      <c r="DO270" s="16"/>
      <c r="DP270" s="17"/>
      <c r="DT270" s="24"/>
      <c r="DU270" s="60"/>
      <c r="DV270" s="16"/>
      <c r="DW270" s="16"/>
      <c r="DX270" s="16"/>
      <c r="DY270" s="16"/>
      <c r="DZ270" s="16"/>
      <c r="EA270" s="17"/>
      <c r="EE270" s="24"/>
      <c r="EF270" s="60"/>
      <c r="EG270" s="16"/>
      <c r="EH270" s="16"/>
      <c r="EI270" s="16"/>
      <c r="EJ270" s="16"/>
      <c r="EK270" s="16"/>
      <c r="EL270" s="17"/>
      <c r="EP270" s="24"/>
      <c r="EQ270" s="60"/>
      <c r="ER270" s="16"/>
      <c r="ES270" s="16"/>
      <c r="ET270" s="16"/>
      <c r="EU270" s="16"/>
      <c r="EV270" s="16"/>
      <c r="EW270" s="17"/>
      <c r="FA270" s="24"/>
      <c r="FB270" s="60"/>
      <c r="FC270" s="16"/>
      <c r="FD270" s="16"/>
      <c r="FE270" s="16"/>
      <c r="FF270" s="16"/>
      <c r="FG270" s="16"/>
      <c r="FH270" s="17"/>
      <c r="FL270" s="24"/>
      <c r="FM270" s="60"/>
      <c r="FN270" s="16"/>
      <c r="FO270" s="16"/>
      <c r="FP270" s="16"/>
      <c r="FQ270" s="16"/>
      <c r="FR270" s="16"/>
      <c r="FS270" s="17"/>
      <c r="FW270" s="24"/>
      <c r="FX270" s="60"/>
      <c r="FY270" s="16"/>
      <c r="FZ270" s="16"/>
      <c r="GA270" s="16"/>
      <c r="GB270" s="16"/>
      <c r="GC270" s="16"/>
      <c r="GD270" s="17"/>
      <c r="GH270" s="24"/>
      <c r="GI270" s="60"/>
      <c r="GJ270" s="16"/>
      <c r="GK270" s="16"/>
      <c r="GL270" s="16"/>
      <c r="GM270" s="16"/>
      <c r="GN270" s="16"/>
      <c r="GO270" s="17"/>
      <c r="GS270" s="24"/>
      <c r="GT270" s="60"/>
      <c r="GU270" s="16"/>
      <c r="GV270" s="16"/>
      <c r="GW270" s="16"/>
      <c r="GX270" s="16"/>
      <c r="GY270" s="16"/>
      <c r="GZ270" s="17"/>
      <c r="HD270" s="24"/>
      <c r="HE270" s="60"/>
      <c r="HF270" s="16"/>
      <c r="HG270" s="16"/>
      <c r="HH270" s="16"/>
      <c r="HI270" s="16"/>
      <c r="HJ270" s="16"/>
      <c r="HK270" s="17"/>
      <c r="HO270" s="24"/>
      <c r="HP270" s="60"/>
      <c r="HQ270" s="16"/>
      <c r="HR270" s="16"/>
      <c r="HS270" s="16"/>
      <c r="HT270" s="16"/>
      <c r="HU270" s="16"/>
      <c r="HV270" s="17"/>
      <c r="HZ270" s="24"/>
      <c r="IA270" s="60"/>
      <c r="IB270" s="16"/>
      <c r="IC270" s="16"/>
      <c r="ID270" s="16"/>
      <c r="IE270" s="16"/>
      <c r="IF270" s="16"/>
      <c r="IG270" s="17"/>
      <c r="IK270" s="24"/>
      <c r="IL270" s="60"/>
      <c r="IM270" s="16"/>
      <c r="IN270" s="16"/>
      <c r="IO270" s="16"/>
      <c r="IP270" s="16"/>
      <c r="IQ270" s="16"/>
      <c r="IR270" s="17"/>
      <c r="IV270" s="24"/>
      <c r="IW270" s="60"/>
      <c r="IX270" s="16"/>
      <c r="IY270" s="16"/>
      <c r="IZ270" s="16"/>
      <c r="JA270" s="16"/>
      <c r="JB270" s="16"/>
      <c r="JC270" s="17"/>
      <c r="JG270" s="24"/>
      <c r="JH270" s="60"/>
      <c r="JI270" s="16"/>
      <c r="JJ270" s="16"/>
      <c r="JK270" s="16"/>
      <c r="JL270" s="16"/>
      <c r="JM270" s="16"/>
      <c r="JN270" s="17"/>
      <c r="JR270" s="24"/>
      <c r="JS270" s="60"/>
      <c r="JT270" s="16"/>
      <c r="JU270" s="16"/>
      <c r="JV270" s="16"/>
      <c r="JW270" s="16"/>
      <c r="JX270" s="16"/>
      <c r="JY270" s="17"/>
      <c r="KC270" s="24"/>
      <c r="KD270" s="60"/>
      <c r="KE270" s="16"/>
      <c r="KF270" s="16"/>
      <c r="KG270" s="16"/>
      <c r="KH270" s="16"/>
      <c r="KI270" s="16"/>
      <c r="KJ270" s="17"/>
      <c r="KN270" s="24"/>
      <c r="KO270" s="60"/>
      <c r="KP270" s="16"/>
      <c r="KQ270" s="16"/>
      <c r="KR270" s="16"/>
      <c r="KS270" s="16"/>
      <c r="KT270" s="16"/>
      <c r="KU270" s="17"/>
      <c r="KY270" s="24"/>
      <c r="KZ270" s="60"/>
      <c r="LA270" s="16"/>
      <c r="LB270" s="16"/>
      <c r="LC270" s="16"/>
      <c r="LD270" s="16"/>
      <c r="LE270" s="16"/>
      <c r="LF270" s="17"/>
      <c r="LJ270" s="24"/>
      <c r="LK270" s="60"/>
      <c r="LL270" s="16"/>
      <c r="LM270" s="16"/>
      <c r="LN270" s="16"/>
      <c r="LO270" s="16"/>
      <c r="LP270" s="16"/>
      <c r="LQ270" s="17"/>
    </row>
    <row r="271">
      <c r="C271" s="31"/>
      <c r="D271" s="61"/>
      <c r="E271" s="16"/>
      <c r="F271" s="16"/>
      <c r="G271" s="21"/>
      <c r="H271" s="16"/>
      <c r="I271" s="16"/>
      <c r="J271" s="17"/>
      <c r="N271" s="17"/>
      <c r="O271" s="61"/>
      <c r="P271" s="16"/>
      <c r="Q271" s="16"/>
      <c r="R271" s="16"/>
      <c r="S271" s="16"/>
      <c r="T271" s="16"/>
      <c r="U271" s="17"/>
      <c r="Y271" s="24"/>
      <c r="Z271" s="61"/>
      <c r="AA271" s="16"/>
      <c r="AB271" s="16"/>
      <c r="AC271" s="16"/>
      <c r="AD271" s="16"/>
      <c r="AE271" s="16"/>
      <c r="AF271" s="17"/>
      <c r="AJ271" s="24"/>
      <c r="AK271" s="61"/>
      <c r="AL271" s="16"/>
      <c r="AM271" s="16"/>
      <c r="AN271" s="16"/>
      <c r="AO271" s="16"/>
      <c r="AP271" s="16"/>
      <c r="AQ271" s="17"/>
      <c r="AU271" s="24"/>
      <c r="AV271" s="61"/>
      <c r="AW271" s="16"/>
      <c r="AX271" s="16"/>
      <c r="AY271" s="16"/>
      <c r="AZ271" s="16"/>
      <c r="BA271" s="16"/>
      <c r="BB271" s="17"/>
      <c r="BF271" s="24"/>
      <c r="BG271" s="61"/>
      <c r="BH271" s="16"/>
      <c r="BI271" s="16"/>
      <c r="BJ271" s="16"/>
      <c r="BK271" s="16"/>
      <c r="BL271" s="16"/>
      <c r="BM271" s="17"/>
      <c r="BQ271" s="24"/>
      <c r="BR271" s="61"/>
      <c r="BS271" s="16"/>
      <c r="BT271" s="16"/>
      <c r="BU271" s="16"/>
      <c r="BV271" s="16"/>
      <c r="BW271" s="16"/>
      <c r="BX271" s="17"/>
      <c r="CB271" s="24"/>
      <c r="CC271" s="61"/>
      <c r="CD271" s="16"/>
      <c r="CE271" s="16"/>
      <c r="CF271" s="16"/>
      <c r="CG271" s="16"/>
      <c r="CH271" s="16"/>
      <c r="CI271" s="17"/>
      <c r="CM271" s="24"/>
      <c r="CN271" s="61"/>
      <c r="CO271" s="16"/>
      <c r="CP271" s="16"/>
      <c r="CQ271" s="16"/>
      <c r="CR271" s="16"/>
      <c r="CS271" s="16"/>
      <c r="CT271" s="17"/>
      <c r="CX271" s="24"/>
      <c r="CY271" s="60"/>
      <c r="CZ271" s="16"/>
      <c r="DA271" s="16"/>
      <c r="DB271" s="16"/>
      <c r="DC271" s="16"/>
      <c r="DD271" s="16"/>
      <c r="DE271" s="17"/>
      <c r="DI271" s="24"/>
      <c r="DJ271" s="60"/>
      <c r="DK271" s="16"/>
      <c r="DL271" s="16"/>
      <c r="DM271" s="16"/>
      <c r="DN271" s="16"/>
      <c r="DO271" s="16"/>
      <c r="DP271" s="17"/>
      <c r="DT271" s="24"/>
      <c r="DU271" s="60"/>
      <c r="DV271" s="16"/>
      <c r="DW271" s="16"/>
      <c r="DX271" s="16"/>
      <c r="DY271" s="16"/>
      <c r="DZ271" s="16"/>
      <c r="EA271" s="17"/>
      <c r="EE271" s="24"/>
      <c r="EF271" s="60"/>
      <c r="EG271" s="16"/>
      <c r="EH271" s="16"/>
      <c r="EI271" s="16"/>
      <c r="EJ271" s="16"/>
      <c r="EK271" s="16"/>
      <c r="EL271" s="17"/>
      <c r="EP271" s="24"/>
      <c r="EQ271" s="60"/>
      <c r="ER271" s="16"/>
      <c r="ES271" s="16"/>
      <c r="ET271" s="16"/>
      <c r="EU271" s="16"/>
      <c r="EV271" s="16"/>
      <c r="EW271" s="17"/>
      <c r="FA271" s="24"/>
      <c r="FB271" s="60"/>
      <c r="FC271" s="16"/>
      <c r="FD271" s="16"/>
      <c r="FE271" s="16"/>
      <c r="FF271" s="16"/>
      <c r="FG271" s="16"/>
      <c r="FH271" s="17"/>
      <c r="FL271" s="24"/>
      <c r="FM271" s="60"/>
      <c r="FN271" s="16"/>
      <c r="FO271" s="16"/>
      <c r="FP271" s="16"/>
      <c r="FQ271" s="16"/>
      <c r="FR271" s="16"/>
      <c r="FS271" s="17"/>
      <c r="FW271" s="24"/>
      <c r="FX271" s="60"/>
      <c r="FY271" s="16"/>
      <c r="FZ271" s="16"/>
      <c r="GA271" s="16"/>
      <c r="GB271" s="16"/>
      <c r="GC271" s="16"/>
      <c r="GD271" s="17"/>
      <c r="GH271" s="24"/>
      <c r="GI271" s="60"/>
      <c r="GJ271" s="16"/>
      <c r="GK271" s="16"/>
      <c r="GL271" s="16"/>
      <c r="GM271" s="16"/>
      <c r="GN271" s="16"/>
      <c r="GO271" s="17"/>
      <c r="GS271" s="24"/>
      <c r="GT271" s="60"/>
      <c r="GU271" s="16"/>
      <c r="GV271" s="16"/>
      <c r="GW271" s="16"/>
      <c r="GX271" s="16"/>
      <c r="GY271" s="16"/>
      <c r="GZ271" s="17"/>
      <c r="HD271" s="24"/>
      <c r="HE271" s="60"/>
      <c r="HF271" s="16"/>
      <c r="HG271" s="16"/>
      <c r="HH271" s="16"/>
      <c r="HI271" s="16"/>
      <c r="HJ271" s="16"/>
      <c r="HK271" s="17"/>
      <c r="HO271" s="24"/>
      <c r="HP271" s="60"/>
      <c r="HQ271" s="16"/>
      <c r="HR271" s="16"/>
      <c r="HS271" s="16"/>
      <c r="HT271" s="16"/>
      <c r="HU271" s="16"/>
      <c r="HV271" s="17"/>
      <c r="HZ271" s="24"/>
      <c r="IA271" s="60"/>
      <c r="IB271" s="16"/>
      <c r="IC271" s="16"/>
      <c r="ID271" s="16"/>
      <c r="IE271" s="16"/>
      <c r="IF271" s="16"/>
      <c r="IG271" s="17"/>
      <c r="IK271" s="24"/>
      <c r="IL271" s="60"/>
      <c r="IM271" s="16"/>
      <c r="IN271" s="16"/>
      <c r="IO271" s="16"/>
      <c r="IP271" s="16"/>
      <c r="IQ271" s="16"/>
      <c r="IR271" s="17"/>
      <c r="IV271" s="24"/>
      <c r="IW271" s="60"/>
      <c r="IX271" s="16"/>
      <c r="IY271" s="16"/>
      <c r="IZ271" s="16"/>
      <c r="JA271" s="16"/>
      <c r="JB271" s="16"/>
      <c r="JC271" s="17"/>
      <c r="JG271" s="24"/>
      <c r="JH271" s="60"/>
      <c r="JI271" s="16"/>
      <c r="JJ271" s="16"/>
      <c r="JK271" s="16"/>
      <c r="JL271" s="16"/>
      <c r="JM271" s="16"/>
      <c r="JN271" s="17"/>
      <c r="JR271" s="24"/>
      <c r="JS271" s="60"/>
      <c r="JT271" s="16"/>
      <c r="JU271" s="16"/>
      <c r="JV271" s="16"/>
      <c r="JW271" s="16"/>
      <c r="JX271" s="16"/>
      <c r="JY271" s="17"/>
      <c r="KC271" s="24"/>
      <c r="KD271" s="60"/>
      <c r="KE271" s="16"/>
      <c r="KF271" s="16"/>
      <c r="KG271" s="16"/>
      <c r="KH271" s="16"/>
      <c r="KI271" s="16"/>
      <c r="KJ271" s="17"/>
      <c r="KN271" s="24"/>
      <c r="KO271" s="60"/>
      <c r="KP271" s="16"/>
      <c r="KQ271" s="16"/>
      <c r="KR271" s="16"/>
      <c r="KS271" s="16"/>
      <c r="KT271" s="16"/>
      <c r="KU271" s="17"/>
      <c r="KY271" s="24"/>
      <c r="KZ271" s="60"/>
      <c r="LA271" s="16"/>
      <c r="LB271" s="16"/>
      <c r="LC271" s="16"/>
      <c r="LD271" s="16"/>
      <c r="LE271" s="16"/>
      <c r="LF271" s="17"/>
      <c r="LJ271" s="24"/>
      <c r="LK271" s="60"/>
      <c r="LL271" s="16"/>
      <c r="LM271" s="16"/>
      <c r="LN271" s="16"/>
      <c r="LO271" s="16"/>
      <c r="LP271" s="16"/>
      <c r="LQ271" s="17"/>
    </row>
    <row r="272">
      <c r="C272" s="31"/>
      <c r="D272" s="61"/>
      <c r="E272" s="16"/>
      <c r="F272" s="16"/>
      <c r="G272" s="21"/>
      <c r="H272" s="16"/>
      <c r="I272" s="16"/>
      <c r="J272" s="17"/>
      <c r="N272" s="17"/>
      <c r="O272" s="61"/>
      <c r="P272" s="16"/>
      <c r="Q272" s="16"/>
      <c r="R272" s="16"/>
      <c r="S272" s="16"/>
      <c r="T272" s="16"/>
      <c r="U272" s="17"/>
      <c r="Y272" s="24"/>
      <c r="Z272" s="61"/>
      <c r="AA272" s="16"/>
      <c r="AB272" s="16"/>
      <c r="AC272" s="16"/>
      <c r="AD272" s="16"/>
      <c r="AE272" s="16"/>
      <c r="AF272" s="17"/>
      <c r="AJ272" s="24"/>
      <c r="AK272" s="61"/>
      <c r="AL272" s="16"/>
      <c r="AM272" s="16"/>
      <c r="AN272" s="16"/>
      <c r="AO272" s="16"/>
      <c r="AP272" s="16"/>
      <c r="AQ272" s="17"/>
      <c r="AU272" s="24"/>
      <c r="AV272" s="61"/>
      <c r="AW272" s="16"/>
      <c r="AX272" s="16"/>
      <c r="AY272" s="16"/>
      <c r="AZ272" s="16"/>
      <c r="BA272" s="16"/>
      <c r="BB272" s="17"/>
      <c r="BF272" s="24"/>
      <c r="BG272" s="61"/>
      <c r="BH272" s="16"/>
      <c r="BI272" s="16"/>
      <c r="BJ272" s="16"/>
      <c r="BK272" s="16"/>
      <c r="BL272" s="16"/>
      <c r="BM272" s="17"/>
      <c r="BQ272" s="24"/>
      <c r="BR272" s="61"/>
      <c r="BS272" s="16"/>
      <c r="BT272" s="16"/>
      <c r="BU272" s="16"/>
      <c r="BV272" s="16"/>
      <c r="BW272" s="16"/>
      <c r="BX272" s="17"/>
      <c r="CB272" s="24"/>
      <c r="CC272" s="61"/>
      <c r="CD272" s="16"/>
      <c r="CE272" s="16"/>
      <c r="CF272" s="16"/>
      <c r="CG272" s="16"/>
      <c r="CH272" s="16"/>
      <c r="CI272" s="17"/>
      <c r="CM272" s="24"/>
      <c r="CN272" s="61"/>
      <c r="CO272" s="16"/>
      <c r="CP272" s="16"/>
      <c r="CQ272" s="16"/>
      <c r="CR272" s="16"/>
      <c r="CS272" s="16"/>
      <c r="CT272" s="17"/>
      <c r="CX272" s="24"/>
      <c r="CY272" s="60"/>
      <c r="CZ272" s="16"/>
      <c r="DA272" s="16"/>
      <c r="DB272" s="16"/>
      <c r="DC272" s="16"/>
      <c r="DD272" s="16"/>
      <c r="DE272" s="17"/>
      <c r="DI272" s="24"/>
      <c r="DJ272" s="60"/>
      <c r="DK272" s="16"/>
      <c r="DL272" s="16"/>
      <c r="DM272" s="16"/>
      <c r="DN272" s="16"/>
      <c r="DO272" s="16"/>
      <c r="DP272" s="17"/>
      <c r="DT272" s="24"/>
      <c r="DU272" s="60"/>
      <c r="DV272" s="16"/>
      <c r="DW272" s="16"/>
      <c r="DX272" s="16"/>
      <c r="DY272" s="16"/>
      <c r="DZ272" s="16"/>
      <c r="EA272" s="17"/>
      <c r="EE272" s="24"/>
      <c r="EF272" s="60"/>
      <c r="EG272" s="16"/>
      <c r="EH272" s="16"/>
      <c r="EI272" s="16"/>
      <c r="EJ272" s="16"/>
      <c r="EK272" s="16"/>
      <c r="EL272" s="17"/>
      <c r="EP272" s="24"/>
      <c r="EQ272" s="60"/>
      <c r="ER272" s="16"/>
      <c r="ES272" s="16"/>
      <c r="ET272" s="16"/>
      <c r="EU272" s="16"/>
      <c r="EV272" s="16"/>
      <c r="EW272" s="17"/>
      <c r="FA272" s="24"/>
      <c r="FB272" s="60"/>
      <c r="FC272" s="16"/>
      <c r="FD272" s="16"/>
      <c r="FE272" s="16"/>
      <c r="FF272" s="16"/>
      <c r="FG272" s="16"/>
      <c r="FH272" s="17"/>
      <c r="FL272" s="24"/>
      <c r="FM272" s="60"/>
      <c r="FN272" s="16"/>
      <c r="FO272" s="16"/>
      <c r="FP272" s="16"/>
      <c r="FQ272" s="16"/>
      <c r="FR272" s="16"/>
      <c r="FS272" s="17"/>
      <c r="FW272" s="24"/>
      <c r="FX272" s="60"/>
      <c r="FY272" s="16"/>
      <c r="FZ272" s="16"/>
      <c r="GA272" s="16"/>
      <c r="GB272" s="16"/>
      <c r="GC272" s="16"/>
      <c r="GD272" s="17"/>
      <c r="GH272" s="24"/>
      <c r="GI272" s="60"/>
      <c r="GJ272" s="16"/>
      <c r="GK272" s="16"/>
      <c r="GL272" s="16"/>
      <c r="GM272" s="16"/>
      <c r="GN272" s="16"/>
      <c r="GO272" s="17"/>
      <c r="GS272" s="24"/>
      <c r="GT272" s="60"/>
      <c r="GU272" s="16"/>
      <c r="GV272" s="16"/>
      <c r="GW272" s="16"/>
      <c r="GX272" s="16"/>
      <c r="GY272" s="16"/>
      <c r="GZ272" s="17"/>
      <c r="HD272" s="24"/>
      <c r="HE272" s="60"/>
      <c r="HF272" s="16"/>
      <c r="HG272" s="16"/>
      <c r="HH272" s="16"/>
      <c r="HI272" s="16"/>
      <c r="HJ272" s="16"/>
      <c r="HK272" s="17"/>
      <c r="HO272" s="24"/>
      <c r="HP272" s="60"/>
      <c r="HQ272" s="16"/>
      <c r="HR272" s="16"/>
      <c r="HS272" s="16"/>
      <c r="HT272" s="16"/>
      <c r="HU272" s="16"/>
      <c r="HV272" s="17"/>
      <c r="HZ272" s="24"/>
      <c r="IA272" s="60"/>
      <c r="IB272" s="16"/>
      <c r="IC272" s="16"/>
      <c r="ID272" s="16"/>
      <c r="IE272" s="16"/>
      <c r="IF272" s="16"/>
      <c r="IG272" s="17"/>
      <c r="IK272" s="24"/>
      <c r="IL272" s="60"/>
      <c r="IM272" s="16"/>
      <c r="IN272" s="16"/>
      <c r="IO272" s="16"/>
      <c r="IP272" s="16"/>
      <c r="IQ272" s="16"/>
      <c r="IR272" s="17"/>
      <c r="IV272" s="24"/>
      <c r="IW272" s="60"/>
      <c r="IX272" s="16"/>
      <c r="IY272" s="16"/>
      <c r="IZ272" s="16"/>
      <c r="JA272" s="16"/>
      <c r="JB272" s="16"/>
      <c r="JC272" s="17"/>
      <c r="JG272" s="24"/>
      <c r="JH272" s="60"/>
      <c r="JI272" s="16"/>
      <c r="JJ272" s="16"/>
      <c r="JK272" s="16"/>
      <c r="JL272" s="16"/>
      <c r="JM272" s="16"/>
      <c r="JN272" s="17"/>
      <c r="JR272" s="24"/>
      <c r="JS272" s="60"/>
      <c r="JT272" s="16"/>
      <c r="JU272" s="16"/>
      <c r="JV272" s="16"/>
      <c r="JW272" s="16"/>
      <c r="JX272" s="16"/>
      <c r="JY272" s="17"/>
      <c r="KC272" s="24"/>
      <c r="KD272" s="60"/>
      <c r="KE272" s="16"/>
      <c r="KF272" s="16"/>
      <c r="KG272" s="16"/>
      <c r="KH272" s="16"/>
      <c r="KI272" s="16"/>
      <c r="KJ272" s="17"/>
      <c r="KN272" s="24"/>
      <c r="KO272" s="60"/>
      <c r="KP272" s="16"/>
      <c r="KQ272" s="16"/>
      <c r="KR272" s="16"/>
      <c r="KS272" s="16"/>
      <c r="KT272" s="16"/>
      <c r="KU272" s="17"/>
      <c r="KY272" s="24"/>
      <c r="KZ272" s="60"/>
      <c r="LA272" s="16"/>
      <c r="LB272" s="16"/>
      <c r="LC272" s="16"/>
      <c r="LD272" s="16"/>
      <c r="LE272" s="16"/>
      <c r="LF272" s="17"/>
      <c r="LJ272" s="24"/>
      <c r="LK272" s="60"/>
      <c r="LL272" s="16"/>
      <c r="LM272" s="16"/>
      <c r="LN272" s="16"/>
      <c r="LO272" s="16"/>
      <c r="LP272" s="16"/>
      <c r="LQ272" s="17"/>
    </row>
    <row r="273">
      <c r="C273" s="31"/>
      <c r="D273" s="61"/>
      <c r="E273" s="16"/>
      <c r="F273" s="16"/>
      <c r="G273" s="21"/>
      <c r="H273" s="16"/>
      <c r="I273" s="16"/>
      <c r="J273" s="17"/>
      <c r="N273" s="17"/>
      <c r="O273" s="61"/>
      <c r="P273" s="16"/>
      <c r="Q273" s="16"/>
      <c r="R273" s="16"/>
      <c r="S273" s="16"/>
      <c r="T273" s="16"/>
      <c r="U273" s="17"/>
      <c r="Y273" s="24"/>
      <c r="Z273" s="61"/>
      <c r="AA273" s="16"/>
      <c r="AB273" s="16"/>
      <c r="AC273" s="16"/>
      <c r="AD273" s="16"/>
      <c r="AE273" s="16"/>
      <c r="AF273" s="17"/>
      <c r="AJ273" s="24"/>
      <c r="AK273" s="61"/>
      <c r="AL273" s="16"/>
      <c r="AM273" s="16"/>
      <c r="AN273" s="16"/>
      <c r="AO273" s="16"/>
      <c r="AP273" s="16"/>
      <c r="AQ273" s="17"/>
      <c r="AU273" s="24"/>
      <c r="AV273" s="61"/>
      <c r="AW273" s="16"/>
      <c r="AX273" s="16"/>
      <c r="AY273" s="16"/>
      <c r="AZ273" s="16"/>
      <c r="BA273" s="16"/>
      <c r="BB273" s="17"/>
      <c r="BF273" s="24"/>
      <c r="BG273" s="61"/>
      <c r="BH273" s="16"/>
      <c r="BI273" s="16"/>
      <c r="BJ273" s="16"/>
      <c r="BK273" s="16"/>
      <c r="BL273" s="16"/>
      <c r="BM273" s="17"/>
      <c r="BQ273" s="24"/>
      <c r="BR273" s="61"/>
      <c r="BS273" s="16"/>
      <c r="BT273" s="16"/>
      <c r="BU273" s="16"/>
      <c r="BV273" s="16"/>
      <c r="BW273" s="16"/>
      <c r="BX273" s="17"/>
      <c r="CB273" s="24"/>
      <c r="CC273" s="61"/>
      <c r="CD273" s="16"/>
      <c r="CE273" s="16"/>
      <c r="CF273" s="16"/>
      <c r="CG273" s="16"/>
      <c r="CH273" s="16"/>
      <c r="CI273" s="17"/>
      <c r="CM273" s="24"/>
      <c r="CN273" s="61"/>
      <c r="CO273" s="16"/>
      <c r="CP273" s="16"/>
      <c r="CQ273" s="16"/>
      <c r="CR273" s="16"/>
      <c r="CS273" s="16"/>
      <c r="CT273" s="17"/>
      <c r="CX273" s="24"/>
      <c r="CY273" s="60"/>
      <c r="CZ273" s="16"/>
      <c r="DA273" s="16"/>
      <c r="DB273" s="16"/>
      <c r="DC273" s="16"/>
      <c r="DD273" s="16"/>
      <c r="DE273" s="17"/>
      <c r="DI273" s="24"/>
      <c r="DJ273" s="60"/>
      <c r="DK273" s="16"/>
      <c r="DL273" s="16"/>
      <c r="DM273" s="16"/>
      <c r="DN273" s="16"/>
      <c r="DO273" s="16"/>
      <c r="DP273" s="17"/>
      <c r="DT273" s="24"/>
      <c r="DU273" s="60"/>
      <c r="DV273" s="16"/>
      <c r="DW273" s="16"/>
      <c r="DX273" s="16"/>
      <c r="DY273" s="16"/>
      <c r="DZ273" s="16"/>
      <c r="EA273" s="17"/>
      <c r="EE273" s="24"/>
      <c r="EF273" s="60"/>
      <c r="EG273" s="16"/>
      <c r="EH273" s="16"/>
      <c r="EI273" s="16"/>
      <c r="EJ273" s="16"/>
      <c r="EK273" s="16"/>
      <c r="EL273" s="17"/>
      <c r="EP273" s="24"/>
      <c r="EQ273" s="60"/>
      <c r="ER273" s="16"/>
      <c r="ES273" s="16"/>
      <c r="ET273" s="16"/>
      <c r="EU273" s="16"/>
      <c r="EV273" s="16"/>
      <c r="EW273" s="17"/>
      <c r="FA273" s="24"/>
      <c r="FB273" s="60"/>
      <c r="FC273" s="16"/>
      <c r="FD273" s="16"/>
      <c r="FE273" s="16"/>
      <c r="FF273" s="16"/>
      <c r="FG273" s="16"/>
      <c r="FH273" s="17"/>
      <c r="FL273" s="24"/>
      <c r="FM273" s="60"/>
      <c r="FN273" s="16"/>
      <c r="FO273" s="16"/>
      <c r="FP273" s="16"/>
      <c r="FQ273" s="16"/>
      <c r="FR273" s="16"/>
      <c r="FS273" s="17"/>
      <c r="FW273" s="24"/>
      <c r="FX273" s="60"/>
      <c r="FY273" s="16"/>
      <c r="FZ273" s="16"/>
      <c r="GA273" s="16"/>
      <c r="GB273" s="16"/>
      <c r="GC273" s="16"/>
      <c r="GD273" s="17"/>
      <c r="GH273" s="24"/>
      <c r="GI273" s="60"/>
      <c r="GJ273" s="16"/>
      <c r="GK273" s="16"/>
      <c r="GL273" s="16"/>
      <c r="GM273" s="16"/>
      <c r="GN273" s="16"/>
      <c r="GO273" s="17"/>
      <c r="GS273" s="24"/>
      <c r="GT273" s="60"/>
      <c r="GU273" s="16"/>
      <c r="GV273" s="16"/>
      <c r="GW273" s="16"/>
      <c r="GX273" s="16"/>
      <c r="GY273" s="16"/>
      <c r="GZ273" s="17"/>
      <c r="HD273" s="24"/>
      <c r="HE273" s="60"/>
      <c r="HF273" s="16"/>
      <c r="HG273" s="16"/>
      <c r="HH273" s="16"/>
      <c r="HI273" s="16"/>
      <c r="HJ273" s="16"/>
      <c r="HK273" s="17"/>
      <c r="HO273" s="24"/>
      <c r="HP273" s="60"/>
      <c r="HQ273" s="16"/>
      <c r="HR273" s="16"/>
      <c r="HS273" s="16"/>
      <c r="HT273" s="16"/>
      <c r="HU273" s="16"/>
      <c r="HV273" s="17"/>
      <c r="HZ273" s="24"/>
      <c r="IA273" s="60"/>
      <c r="IB273" s="16"/>
      <c r="IC273" s="16"/>
      <c r="ID273" s="16"/>
      <c r="IE273" s="16"/>
      <c r="IF273" s="16"/>
      <c r="IG273" s="17"/>
      <c r="IK273" s="24"/>
      <c r="IL273" s="60"/>
      <c r="IM273" s="16"/>
      <c r="IN273" s="16"/>
      <c r="IO273" s="16"/>
      <c r="IP273" s="16"/>
      <c r="IQ273" s="16"/>
      <c r="IR273" s="17"/>
      <c r="IV273" s="24"/>
      <c r="IW273" s="60"/>
      <c r="IX273" s="16"/>
      <c r="IY273" s="16"/>
      <c r="IZ273" s="16"/>
      <c r="JA273" s="16"/>
      <c r="JB273" s="16"/>
      <c r="JC273" s="17"/>
      <c r="JG273" s="24"/>
      <c r="JH273" s="60"/>
      <c r="JI273" s="16"/>
      <c r="JJ273" s="16"/>
      <c r="JK273" s="16"/>
      <c r="JL273" s="16"/>
      <c r="JM273" s="16"/>
      <c r="JN273" s="17"/>
      <c r="JR273" s="24"/>
      <c r="JS273" s="60"/>
      <c r="JT273" s="16"/>
      <c r="JU273" s="16"/>
      <c r="JV273" s="16"/>
      <c r="JW273" s="16"/>
      <c r="JX273" s="16"/>
      <c r="JY273" s="17"/>
      <c r="KC273" s="24"/>
      <c r="KD273" s="60"/>
      <c r="KE273" s="16"/>
      <c r="KF273" s="16"/>
      <c r="KG273" s="16"/>
      <c r="KH273" s="16"/>
      <c r="KI273" s="16"/>
      <c r="KJ273" s="17"/>
      <c r="KN273" s="24"/>
      <c r="KO273" s="60"/>
      <c r="KP273" s="16"/>
      <c r="KQ273" s="16"/>
      <c r="KR273" s="16"/>
      <c r="KS273" s="16"/>
      <c r="KT273" s="16"/>
      <c r="KU273" s="17"/>
      <c r="KY273" s="24"/>
      <c r="KZ273" s="60"/>
      <c r="LA273" s="16"/>
      <c r="LB273" s="16"/>
      <c r="LC273" s="16"/>
      <c r="LD273" s="16"/>
      <c r="LE273" s="16"/>
      <c r="LF273" s="17"/>
      <c r="LJ273" s="24"/>
      <c r="LK273" s="60"/>
      <c r="LL273" s="16"/>
      <c r="LM273" s="16"/>
      <c r="LN273" s="16"/>
      <c r="LO273" s="16"/>
      <c r="LP273" s="16"/>
      <c r="LQ273" s="17"/>
    </row>
    <row r="274">
      <c r="C274" s="31"/>
      <c r="D274" s="61"/>
      <c r="E274" s="16"/>
      <c r="F274" s="16"/>
      <c r="G274" s="21"/>
      <c r="H274" s="16"/>
      <c r="I274" s="16"/>
      <c r="J274" s="17"/>
      <c r="N274" s="17"/>
      <c r="O274" s="61"/>
      <c r="P274" s="16"/>
      <c r="Q274" s="16"/>
      <c r="R274" s="16"/>
      <c r="S274" s="16"/>
      <c r="T274" s="16"/>
      <c r="U274" s="17"/>
      <c r="Y274" s="24"/>
      <c r="Z274" s="61"/>
      <c r="AA274" s="16"/>
      <c r="AB274" s="16"/>
      <c r="AC274" s="16"/>
      <c r="AD274" s="16"/>
      <c r="AE274" s="16"/>
      <c r="AF274" s="17"/>
      <c r="AJ274" s="24"/>
      <c r="AK274" s="61"/>
      <c r="AL274" s="16"/>
      <c r="AM274" s="16"/>
      <c r="AN274" s="16"/>
      <c r="AO274" s="16"/>
      <c r="AP274" s="16"/>
      <c r="AQ274" s="17"/>
      <c r="AU274" s="24"/>
      <c r="AV274" s="61"/>
      <c r="AW274" s="16"/>
      <c r="AX274" s="16"/>
      <c r="AY274" s="16"/>
      <c r="AZ274" s="16"/>
      <c r="BA274" s="16"/>
      <c r="BB274" s="17"/>
      <c r="BF274" s="24"/>
      <c r="BG274" s="61"/>
      <c r="BH274" s="16"/>
      <c r="BI274" s="16"/>
      <c r="BJ274" s="16"/>
      <c r="BK274" s="16"/>
      <c r="BL274" s="16"/>
      <c r="BM274" s="17"/>
      <c r="BQ274" s="24"/>
      <c r="BR274" s="61"/>
      <c r="BS274" s="16"/>
      <c r="BT274" s="16"/>
      <c r="BU274" s="16"/>
      <c r="BV274" s="16"/>
      <c r="BW274" s="16"/>
      <c r="BX274" s="17"/>
      <c r="CB274" s="24"/>
      <c r="CC274" s="61"/>
      <c r="CD274" s="16"/>
      <c r="CE274" s="16"/>
      <c r="CF274" s="16"/>
      <c r="CG274" s="16"/>
      <c r="CH274" s="16"/>
      <c r="CI274" s="17"/>
      <c r="CM274" s="24"/>
      <c r="CN274" s="61"/>
      <c r="CO274" s="16"/>
      <c r="CP274" s="16"/>
      <c r="CQ274" s="16"/>
      <c r="CR274" s="16"/>
      <c r="CS274" s="16"/>
      <c r="CT274" s="17"/>
      <c r="CX274" s="24"/>
      <c r="CY274" s="60"/>
      <c r="CZ274" s="16"/>
      <c r="DA274" s="16"/>
      <c r="DB274" s="16"/>
      <c r="DC274" s="16"/>
      <c r="DD274" s="16"/>
      <c r="DE274" s="17"/>
      <c r="DI274" s="24"/>
      <c r="DJ274" s="60"/>
      <c r="DK274" s="16"/>
      <c r="DL274" s="16"/>
      <c r="DM274" s="16"/>
      <c r="DN274" s="16"/>
      <c r="DO274" s="16"/>
      <c r="DP274" s="17"/>
      <c r="DT274" s="24"/>
      <c r="DU274" s="60"/>
      <c r="DV274" s="16"/>
      <c r="DW274" s="16"/>
      <c r="DX274" s="16"/>
      <c r="DY274" s="16"/>
      <c r="DZ274" s="16"/>
      <c r="EA274" s="17"/>
      <c r="EE274" s="24"/>
      <c r="EF274" s="60"/>
      <c r="EG274" s="16"/>
      <c r="EH274" s="16"/>
      <c r="EI274" s="16"/>
      <c r="EJ274" s="16"/>
      <c r="EK274" s="16"/>
      <c r="EL274" s="17"/>
      <c r="EP274" s="24"/>
      <c r="EQ274" s="60"/>
      <c r="ER274" s="16"/>
      <c r="ES274" s="16"/>
      <c r="ET274" s="16"/>
      <c r="EU274" s="16"/>
      <c r="EV274" s="16"/>
      <c r="EW274" s="17"/>
      <c r="FA274" s="24"/>
      <c r="FB274" s="60"/>
      <c r="FC274" s="16"/>
      <c r="FD274" s="16"/>
      <c r="FE274" s="16"/>
      <c r="FF274" s="16"/>
      <c r="FG274" s="16"/>
      <c r="FH274" s="17"/>
      <c r="FL274" s="24"/>
      <c r="FM274" s="60"/>
      <c r="FN274" s="16"/>
      <c r="FO274" s="16"/>
      <c r="FP274" s="16"/>
      <c r="FQ274" s="16"/>
      <c r="FR274" s="16"/>
      <c r="FS274" s="17"/>
      <c r="FW274" s="24"/>
      <c r="FX274" s="60"/>
      <c r="FY274" s="16"/>
      <c r="FZ274" s="16"/>
      <c r="GA274" s="16"/>
      <c r="GB274" s="16"/>
      <c r="GC274" s="16"/>
      <c r="GD274" s="17"/>
      <c r="GH274" s="24"/>
      <c r="GI274" s="60"/>
      <c r="GJ274" s="16"/>
      <c r="GK274" s="16"/>
      <c r="GL274" s="16"/>
      <c r="GM274" s="16"/>
      <c r="GN274" s="16"/>
      <c r="GO274" s="17"/>
      <c r="GS274" s="24"/>
      <c r="GT274" s="60"/>
      <c r="GU274" s="16"/>
      <c r="GV274" s="16"/>
      <c r="GW274" s="16"/>
      <c r="GX274" s="16"/>
      <c r="GY274" s="16"/>
      <c r="GZ274" s="17"/>
      <c r="HD274" s="24"/>
      <c r="HE274" s="60"/>
      <c r="HF274" s="16"/>
      <c r="HG274" s="16"/>
      <c r="HH274" s="16"/>
      <c r="HI274" s="16"/>
      <c r="HJ274" s="16"/>
      <c r="HK274" s="17"/>
      <c r="HO274" s="24"/>
      <c r="HP274" s="60"/>
      <c r="HQ274" s="16"/>
      <c r="HR274" s="16"/>
      <c r="HS274" s="16"/>
      <c r="HT274" s="16"/>
      <c r="HU274" s="16"/>
      <c r="HV274" s="17"/>
      <c r="HZ274" s="24"/>
      <c r="IA274" s="60"/>
      <c r="IB274" s="16"/>
      <c r="IC274" s="16"/>
      <c r="ID274" s="16"/>
      <c r="IE274" s="16"/>
      <c r="IF274" s="16"/>
      <c r="IG274" s="17"/>
      <c r="IK274" s="24"/>
      <c r="IL274" s="60"/>
      <c r="IM274" s="16"/>
      <c r="IN274" s="16"/>
      <c r="IO274" s="16"/>
      <c r="IP274" s="16"/>
      <c r="IQ274" s="16"/>
      <c r="IR274" s="17"/>
      <c r="IV274" s="24"/>
      <c r="IW274" s="60"/>
      <c r="IX274" s="16"/>
      <c r="IY274" s="16"/>
      <c r="IZ274" s="16"/>
      <c r="JA274" s="16"/>
      <c r="JB274" s="16"/>
      <c r="JC274" s="17"/>
      <c r="JG274" s="24"/>
      <c r="JH274" s="60"/>
      <c r="JI274" s="16"/>
      <c r="JJ274" s="16"/>
      <c r="JK274" s="16"/>
      <c r="JL274" s="16"/>
      <c r="JM274" s="16"/>
      <c r="JN274" s="17"/>
      <c r="JR274" s="24"/>
      <c r="JS274" s="60"/>
      <c r="JT274" s="16"/>
      <c r="JU274" s="16"/>
      <c r="JV274" s="16"/>
      <c r="JW274" s="16"/>
      <c r="JX274" s="16"/>
      <c r="JY274" s="17"/>
      <c r="KC274" s="24"/>
      <c r="KD274" s="60"/>
      <c r="KE274" s="16"/>
      <c r="KF274" s="16"/>
      <c r="KG274" s="16"/>
      <c r="KH274" s="16"/>
      <c r="KI274" s="16"/>
      <c r="KJ274" s="17"/>
      <c r="KN274" s="24"/>
      <c r="KO274" s="60"/>
      <c r="KP274" s="16"/>
      <c r="KQ274" s="16"/>
      <c r="KR274" s="16"/>
      <c r="KS274" s="16"/>
      <c r="KT274" s="16"/>
      <c r="KU274" s="17"/>
      <c r="KY274" s="24"/>
      <c r="KZ274" s="60"/>
      <c r="LA274" s="16"/>
      <c r="LB274" s="16"/>
      <c r="LC274" s="16"/>
      <c r="LD274" s="16"/>
      <c r="LE274" s="16"/>
      <c r="LF274" s="17"/>
      <c r="LJ274" s="24"/>
      <c r="LK274" s="60"/>
      <c r="LL274" s="16"/>
      <c r="LM274" s="16"/>
      <c r="LN274" s="16"/>
      <c r="LO274" s="16"/>
      <c r="LP274" s="16"/>
      <c r="LQ274" s="17"/>
    </row>
    <row r="275">
      <c r="C275" s="31"/>
      <c r="D275" s="61"/>
      <c r="E275" s="16"/>
      <c r="F275" s="16"/>
      <c r="G275" s="21"/>
      <c r="H275" s="16"/>
      <c r="I275" s="16"/>
      <c r="J275" s="17"/>
      <c r="N275" s="17"/>
      <c r="O275" s="61"/>
      <c r="P275" s="16"/>
      <c r="Q275" s="16"/>
      <c r="R275" s="16"/>
      <c r="S275" s="16"/>
      <c r="T275" s="16"/>
      <c r="U275" s="17"/>
      <c r="Y275" s="24"/>
      <c r="Z275" s="61"/>
      <c r="AA275" s="16"/>
      <c r="AB275" s="16"/>
      <c r="AC275" s="16"/>
      <c r="AD275" s="16"/>
      <c r="AE275" s="16"/>
      <c r="AF275" s="17"/>
      <c r="AJ275" s="24"/>
      <c r="AK275" s="61"/>
      <c r="AL275" s="16"/>
      <c r="AM275" s="16"/>
      <c r="AN275" s="16"/>
      <c r="AO275" s="16"/>
      <c r="AP275" s="16"/>
      <c r="AQ275" s="17"/>
      <c r="AU275" s="24"/>
      <c r="AV275" s="61"/>
      <c r="AW275" s="16"/>
      <c r="AX275" s="16"/>
      <c r="AY275" s="16"/>
      <c r="AZ275" s="16"/>
      <c r="BA275" s="16"/>
      <c r="BB275" s="17"/>
      <c r="BF275" s="24"/>
      <c r="BG275" s="61"/>
      <c r="BH275" s="16"/>
      <c r="BI275" s="16"/>
      <c r="BJ275" s="16"/>
      <c r="BK275" s="16"/>
      <c r="BL275" s="16"/>
      <c r="BM275" s="17"/>
      <c r="BQ275" s="24"/>
      <c r="BR275" s="61"/>
      <c r="BS275" s="16"/>
      <c r="BT275" s="16"/>
      <c r="BU275" s="16"/>
      <c r="BV275" s="16"/>
      <c r="BW275" s="16"/>
      <c r="BX275" s="17"/>
      <c r="CB275" s="24"/>
      <c r="CC275" s="61"/>
      <c r="CD275" s="16"/>
      <c r="CE275" s="16"/>
      <c r="CF275" s="16"/>
      <c r="CG275" s="16"/>
      <c r="CH275" s="16"/>
      <c r="CI275" s="17"/>
      <c r="CM275" s="24"/>
      <c r="CN275" s="61"/>
      <c r="CO275" s="16"/>
      <c r="CP275" s="16"/>
      <c r="CQ275" s="16"/>
      <c r="CR275" s="16"/>
      <c r="CS275" s="16"/>
      <c r="CT275" s="17"/>
      <c r="CX275" s="24"/>
      <c r="CY275" s="60"/>
      <c r="CZ275" s="16"/>
      <c r="DA275" s="16"/>
      <c r="DB275" s="16"/>
      <c r="DC275" s="16"/>
      <c r="DD275" s="16"/>
      <c r="DE275" s="17"/>
      <c r="DI275" s="24"/>
      <c r="DJ275" s="60"/>
      <c r="DK275" s="16"/>
      <c r="DL275" s="16"/>
      <c r="DM275" s="16"/>
      <c r="DN275" s="16"/>
      <c r="DO275" s="16"/>
      <c r="DP275" s="17"/>
      <c r="DT275" s="24"/>
      <c r="DU275" s="60"/>
      <c r="DV275" s="16"/>
      <c r="DW275" s="16"/>
      <c r="DX275" s="16"/>
      <c r="DY275" s="16"/>
      <c r="DZ275" s="16"/>
      <c r="EA275" s="17"/>
      <c r="EE275" s="24"/>
      <c r="EF275" s="60"/>
      <c r="EG275" s="16"/>
      <c r="EH275" s="16"/>
      <c r="EI275" s="16"/>
      <c r="EJ275" s="16"/>
      <c r="EK275" s="16"/>
      <c r="EL275" s="17"/>
      <c r="EP275" s="24"/>
      <c r="EQ275" s="60"/>
      <c r="ER275" s="16"/>
      <c r="ES275" s="16"/>
      <c r="ET275" s="16"/>
      <c r="EU275" s="16"/>
      <c r="EV275" s="16"/>
      <c r="EW275" s="17"/>
      <c r="FA275" s="24"/>
      <c r="FB275" s="60"/>
      <c r="FC275" s="16"/>
      <c r="FD275" s="16"/>
      <c r="FE275" s="16"/>
      <c r="FF275" s="16"/>
      <c r="FG275" s="16"/>
      <c r="FH275" s="17"/>
      <c r="FL275" s="24"/>
      <c r="FM275" s="60"/>
      <c r="FN275" s="16"/>
      <c r="FO275" s="16"/>
      <c r="FP275" s="16"/>
      <c r="FQ275" s="16"/>
      <c r="FR275" s="16"/>
      <c r="FS275" s="17"/>
      <c r="FW275" s="24"/>
      <c r="FX275" s="60"/>
      <c r="FY275" s="16"/>
      <c r="FZ275" s="16"/>
      <c r="GA275" s="16"/>
      <c r="GB275" s="16"/>
      <c r="GC275" s="16"/>
      <c r="GD275" s="17"/>
      <c r="GH275" s="24"/>
      <c r="GI275" s="60"/>
      <c r="GJ275" s="16"/>
      <c r="GK275" s="16"/>
      <c r="GL275" s="16"/>
      <c r="GM275" s="16"/>
      <c r="GN275" s="16"/>
      <c r="GO275" s="17"/>
      <c r="GS275" s="24"/>
      <c r="GT275" s="60"/>
      <c r="GU275" s="16"/>
      <c r="GV275" s="16"/>
      <c r="GW275" s="16"/>
      <c r="GX275" s="16"/>
      <c r="GY275" s="16"/>
      <c r="GZ275" s="17"/>
      <c r="HD275" s="24"/>
      <c r="HE275" s="60"/>
      <c r="HF275" s="16"/>
      <c r="HG275" s="16"/>
      <c r="HH275" s="16"/>
      <c r="HI275" s="16"/>
      <c r="HJ275" s="16"/>
      <c r="HK275" s="17"/>
      <c r="HO275" s="24"/>
      <c r="HP275" s="60"/>
      <c r="HQ275" s="16"/>
      <c r="HR275" s="16"/>
      <c r="HS275" s="16"/>
      <c r="HT275" s="16"/>
      <c r="HU275" s="16"/>
      <c r="HV275" s="17"/>
      <c r="HZ275" s="24"/>
      <c r="IA275" s="60"/>
      <c r="IB275" s="16"/>
      <c r="IC275" s="16"/>
      <c r="ID275" s="16"/>
      <c r="IE275" s="16"/>
      <c r="IF275" s="16"/>
      <c r="IG275" s="17"/>
      <c r="IK275" s="24"/>
      <c r="IL275" s="60"/>
      <c r="IM275" s="16"/>
      <c r="IN275" s="16"/>
      <c r="IO275" s="16"/>
      <c r="IP275" s="16"/>
      <c r="IQ275" s="16"/>
      <c r="IR275" s="17"/>
      <c r="IV275" s="24"/>
      <c r="IW275" s="60"/>
      <c r="IX275" s="16"/>
      <c r="IY275" s="16"/>
      <c r="IZ275" s="16"/>
      <c r="JA275" s="16"/>
      <c r="JB275" s="16"/>
      <c r="JC275" s="17"/>
      <c r="JG275" s="24"/>
      <c r="JH275" s="60"/>
      <c r="JI275" s="16"/>
      <c r="JJ275" s="16"/>
      <c r="JK275" s="16"/>
      <c r="JL275" s="16"/>
      <c r="JM275" s="16"/>
      <c r="JN275" s="17"/>
      <c r="JR275" s="24"/>
      <c r="JS275" s="60"/>
      <c r="JT275" s="16"/>
      <c r="JU275" s="16"/>
      <c r="JV275" s="16"/>
      <c r="JW275" s="16"/>
      <c r="JX275" s="16"/>
      <c r="JY275" s="17"/>
      <c r="KC275" s="24"/>
      <c r="KD275" s="60"/>
      <c r="KE275" s="16"/>
      <c r="KF275" s="16"/>
      <c r="KG275" s="16"/>
      <c r="KH275" s="16"/>
      <c r="KI275" s="16"/>
      <c r="KJ275" s="17"/>
      <c r="KN275" s="24"/>
      <c r="KO275" s="60"/>
      <c r="KP275" s="16"/>
      <c r="KQ275" s="16"/>
      <c r="KR275" s="16"/>
      <c r="KS275" s="16"/>
      <c r="KT275" s="16"/>
      <c r="KU275" s="17"/>
      <c r="KY275" s="24"/>
      <c r="KZ275" s="60"/>
      <c r="LA275" s="16"/>
      <c r="LB275" s="16"/>
      <c r="LC275" s="16"/>
      <c r="LD275" s="16"/>
      <c r="LE275" s="16"/>
      <c r="LF275" s="17"/>
      <c r="LJ275" s="24"/>
      <c r="LK275" s="60"/>
      <c r="LL275" s="16"/>
      <c r="LM275" s="16"/>
      <c r="LN275" s="16"/>
      <c r="LO275" s="16"/>
      <c r="LP275" s="16"/>
      <c r="LQ275" s="17"/>
    </row>
    <row r="276">
      <c r="C276" s="31"/>
      <c r="D276" s="61"/>
      <c r="E276" s="16"/>
      <c r="F276" s="16"/>
      <c r="G276" s="21"/>
      <c r="H276" s="16"/>
      <c r="I276" s="16"/>
      <c r="J276" s="17"/>
      <c r="N276" s="17"/>
      <c r="O276" s="61"/>
      <c r="P276" s="16"/>
      <c r="Q276" s="16"/>
      <c r="R276" s="16"/>
      <c r="S276" s="16"/>
      <c r="T276" s="16"/>
      <c r="U276" s="17"/>
      <c r="Y276" s="24"/>
      <c r="Z276" s="61"/>
      <c r="AA276" s="16"/>
      <c r="AB276" s="16"/>
      <c r="AC276" s="16"/>
      <c r="AD276" s="16"/>
      <c r="AE276" s="16"/>
      <c r="AF276" s="17"/>
      <c r="AJ276" s="24"/>
      <c r="AK276" s="61"/>
      <c r="AL276" s="16"/>
      <c r="AM276" s="16"/>
      <c r="AN276" s="16"/>
      <c r="AO276" s="16"/>
      <c r="AP276" s="16"/>
      <c r="AQ276" s="17"/>
      <c r="AU276" s="24"/>
      <c r="AV276" s="61"/>
      <c r="AW276" s="16"/>
      <c r="AX276" s="16"/>
      <c r="AY276" s="16"/>
      <c r="AZ276" s="16"/>
      <c r="BA276" s="16"/>
      <c r="BB276" s="17"/>
      <c r="BF276" s="24"/>
      <c r="BG276" s="61"/>
      <c r="BH276" s="16"/>
      <c r="BI276" s="16"/>
      <c r="BJ276" s="16"/>
      <c r="BK276" s="16"/>
      <c r="BL276" s="16"/>
      <c r="BM276" s="17"/>
      <c r="BQ276" s="24"/>
      <c r="BR276" s="61"/>
      <c r="BS276" s="16"/>
      <c r="BT276" s="16"/>
      <c r="BU276" s="16"/>
      <c r="BV276" s="16"/>
      <c r="BW276" s="16"/>
      <c r="BX276" s="17"/>
      <c r="CB276" s="24"/>
      <c r="CC276" s="61"/>
      <c r="CD276" s="16"/>
      <c r="CE276" s="16"/>
      <c r="CF276" s="16"/>
      <c r="CG276" s="16"/>
      <c r="CH276" s="16"/>
      <c r="CI276" s="17"/>
      <c r="CM276" s="24"/>
      <c r="CN276" s="61"/>
      <c r="CO276" s="16"/>
      <c r="CP276" s="16"/>
      <c r="CQ276" s="16"/>
      <c r="CR276" s="16"/>
      <c r="CS276" s="16"/>
      <c r="CT276" s="17"/>
      <c r="CX276" s="24"/>
      <c r="CY276" s="60"/>
      <c r="CZ276" s="16"/>
      <c r="DA276" s="16"/>
      <c r="DB276" s="16"/>
      <c r="DC276" s="16"/>
      <c r="DD276" s="16"/>
      <c r="DE276" s="17"/>
      <c r="DI276" s="24"/>
      <c r="DJ276" s="60"/>
      <c r="DK276" s="16"/>
      <c r="DL276" s="16"/>
      <c r="DM276" s="16"/>
      <c r="DN276" s="16"/>
      <c r="DO276" s="16"/>
      <c r="DP276" s="17"/>
      <c r="DT276" s="24"/>
      <c r="DU276" s="60"/>
      <c r="DV276" s="16"/>
      <c r="DW276" s="16"/>
      <c r="DX276" s="16"/>
      <c r="DY276" s="16"/>
      <c r="DZ276" s="16"/>
      <c r="EA276" s="17"/>
      <c r="EE276" s="24"/>
      <c r="EF276" s="60"/>
      <c r="EG276" s="16"/>
      <c r="EH276" s="16"/>
      <c r="EI276" s="16"/>
      <c r="EJ276" s="16"/>
      <c r="EK276" s="16"/>
      <c r="EL276" s="17"/>
      <c r="EP276" s="24"/>
      <c r="EQ276" s="60"/>
      <c r="ER276" s="16"/>
      <c r="ES276" s="16"/>
      <c r="ET276" s="16"/>
      <c r="EU276" s="16"/>
      <c r="EV276" s="16"/>
      <c r="EW276" s="17"/>
      <c r="FA276" s="24"/>
      <c r="FB276" s="60"/>
      <c r="FC276" s="16"/>
      <c r="FD276" s="16"/>
      <c r="FE276" s="16"/>
      <c r="FF276" s="16"/>
      <c r="FG276" s="16"/>
      <c r="FH276" s="17"/>
      <c r="FL276" s="24"/>
      <c r="FM276" s="60"/>
      <c r="FN276" s="16"/>
      <c r="FO276" s="16"/>
      <c r="FP276" s="16"/>
      <c r="FQ276" s="16"/>
      <c r="FR276" s="16"/>
      <c r="FS276" s="17"/>
      <c r="FW276" s="24"/>
      <c r="FX276" s="60"/>
      <c r="FY276" s="16"/>
      <c r="FZ276" s="16"/>
      <c r="GA276" s="16"/>
      <c r="GB276" s="16"/>
      <c r="GC276" s="16"/>
      <c r="GD276" s="17"/>
      <c r="GH276" s="24"/>
      <c r="GI276" s="60"/>
      <c r="GJ276" s="16"/>
      <c r="GK276" s="16"/>
      <c r="GL276" s="16"/>
      <c r="GM276" s="16"/>
      <c r="GN276" s="16"/>
      <c r="GO276" s="17"/>
      <c r="GS276" s="24"/>
      <c r="GT276" s="60"/>
      <c r="GU276" s="16"/>
      <c r="GV276" s="16"/>
      <c r="GW276" s="16"/>
      <c r="GX276" s="16"/>
      <c r="GY276" s="16"/>
      <c r="GZ276" s="17"/>
      <c r="HD276" s="24"/>
      <c r="HE276" s="60"/>
      <c r="HF276" s="16"/>
      <c r="HG276" s="16"/>
      <c r="HH276" s="16"/>
      <c r="HI276" s="16"/>
      <c r="HJ276" s="16"/>
      <c r="HK276" s="17"/>
      <c r="HO276" s="24"/>
      <c r="HP276" s="60"/>
      <c r="HQ276" s="16"/>
      <c r="HR276" s="16"/>
      <c r="HS276" s="16"/>
      <c r="HT276" s="16"/>
      <c r="HU276" s="16"/>
      <c r="HV276" s="17"/>
      <c r="HZ276" s="24"/>
      <c r="IA276" s="60"/>
      <c r="IB276" s="16"/>
      <c r="IC276" s="16"/>
      <c r="ID276" s="16"/>
      <c r="IE276" s="16"/>
      <c r="IF276" s="16"/>
      <c r="IG276" s="17"/>
      <c r="IK276" s="24"/>
      <c r="IL276" s="60"/>
      <c r="IM276" s="16"/>
      <c r="IN276" s="16"/>
      <c r="IO276" s="16"/>
      <c r="IP276" s="16"/>
      <c r="IQ276" s="16"/>
      <c r="IR276" s="17"/>
      <c r="IV276" s="24"/>
      <c r="IW276" s="60"/>
      <c r="IX276" s="16"/>
      <c r="IY276" s="16"/>
      <c r="IZ276" s="16"/>
      <c r="JA276" s="16"/>
      <c r="JB276" s="16"/>
      <c r="JC276" s="17"/>
      <c r="JG276" s="24"/>
      <c r="JH276" s="60"/>
      <c r="JI276" s="16"/>
      <c r="JJ276" s="16"/>
      <c r="JK276" s="16"/>
      <c r="JL276" s="16"/>
      <c r="JM276" s="16"/>
      <c r="JN276" s="17"/>
      <c r="JR276" s="24"/>
      <c r="JS276" s="60"/>
      <c r="JT276" s="16"/>
      <c r="JU276" s="16"/>
      <c r="JV276" s="16"/>
      <c r="JW276" s="16"/>
      <c r="JX276" s="16"/>
      <c r="JY276" s="17"/>
      <c r="KC276" s="24"/>
      <c r="KD276" s="60"/>
      <c r="KE276" s="16"/>
      <c r="KF276" s="16"/>
      <c r="KG276" s="16"/>
      <c r="KH276" s="16"/>
      <c r="KI276" s="16"/>
      <c r="KJ276" s="17"/>
      <c r="KN276" s="24"/>
      <c r="KO276" s="60"/>
      <c r="KP276" s="16"/>
      <c r="KQ276" s="16"/>
      <c r="KR276" s="16"/>
      <c r="KS276" s="16"/>
      <c r="KT276" s="16"/>
      <c r="KU276" s="17"/>
      <c r="KY276" s="24"/>
      <c r="KZ276" s="60"/>
      <c r="LA276" s="16"/>
      <c r="LB276" s="16"/>
      <c r="LC276" s="16"/>
      <c r="LD276" s="16"/>
      <c r="LE276" s="16"/>
      <c r="LF276" s="17"/>
      <c r="LJ276" s="24"/>
      <c r="LK276" s="60"/>
      <c r="LL276" s="16"/>
      <c r="LM276" s="16"/>
      <c r="LN276" s="16"/>
      <c r="LO276" s="16"/>
      <c r="LP276" s="16"/>
      <c r="LQ276" s="17"/>
    </row>
    <row r="277">
      <c r="C277" s="31"/>
      <c r="D277" s="61"/>
      <c r="E277" s="16"/>
      <c r="F277" s="16"/>
      <c r="G277" s="21"/>
      <c r="H277" s="16"/>
      <c r="I277" s="16"/>
      <c r="J277" s="17"/>
      <c r="N277" s="17"/>
      <c r="O277" s="61"/>
      <c r="P277" s="16"/>
      <c r="Q277" s="16"/>
      <c r="R277" s="16"/>
      <c r="S277" s="16"/>
      <c r="T277" s="16"/>
      <c r="U277" s="17"/>
      <c r="Y277" s="24"/>
      <c r="Z277" s="61"/>
      <c r="AA277" s="16"/>
      <c r="AB277" s="16"/>
      <c r="AC277" s="16"/>
      <c r="AD277" s="16"/>
      <c r="AE277" s="16"/>
      <c r="AF277" s="17"/>
      <c r="AJ277" s="24"/>
      <c r="AK277" s="61"/>
      <c r="AL277" s="16"/>
      <c r="AM277" s="16"/>
      <c r="AN277" s="16"/>
      <c r="AO277" s="16"/>
      <c r="AP277" s="16"/>
      <c r="AQ277" s="17"/>
      <c r="AU277" s="24"/>
      <c r="AV277" s="61"/>
      <c r="AW277" s="16"/>
      <c r="AX277" s="16"/>
      <c r="AY277" s="16"/>
      <c r="AZ277" s="16"/>
      <c r="BA277" s="16"/>
      <c r="BB277" s="17"/>
      <c r="BF277" s="24"/>
      <c r="BG277" s="61"/>
      <c r="BH277" s="16"/>
      <c r="BI277" s="16"/>
      <c r="BJ277" s="16"/>
      <c r="BK277" s="16"/>
      <c r="BL277" s="16"/>
      <c r="BM277" s="17"/>
      <c r="BQ277" s="24"/>
      <c r="BR277" s="61"/>
      <c r="BS277" s="16"/>
      <c r="BT277" s="16"/>
      <c r="BU277" s="16"/>
      <c r="BV277" s="16"/>
      <c r="BW277" s="16"/>
      <c r="BX277" s="17"/>
      <c r="CB277" s="24"/>
      <c r="CC277" s="61"/>
      <c r="CD277" s="16"/>
      <c r="CE277" s="16"/>
      <c r="CF277" s="16"/>
      <c r="CG277" s="16"/>
      <c r="CH277" s="16"/>
      <c r="CI277" s="17"/>
      <c r="CM277" s="24"/>
      <c r="CN277" s="61"/>
      <c r="CO277" s="16"/>
      <c r="CP277" s="16"/>
      <c r="CQ277" s="16"/>
      <c r="CR277" s="16"/>
      <c r="CS277" s="16"/>
      <c r="CT277" s="17"/>
      <c r="CX277" s="24"/>
      <c r="CY277" s="60"/>
      <c r="CZ277" s="16"/>
      <c r="DA277" s="16"/>
      <c r="DB277" s="16"/>
      <c r="DC277" s="16"/>
      <c r="DD277" s="16"/>
      <c r="DE277" s="17"/>
      <c r="DI277" s="24"/>
      <c r="DJ277" s="60"/>
      <c r="DK277" s="16"/>
      <c r="DL277" s="16"/>
      <c r="DM277" s="16"/>
      <c r="DN277" s="16"/>
      <c r="DO277" s="16"/>
      <c r="DP277" s="17"/>
      <c r="DT277" s="24"/>
      <c r="DU277" s="60"/>
      <c r="DV277" s="16"/>
      <c r="DW277" s="16"/>
      <c r="DX277" s="16"/>
      <c r="DY277" s="16"/>
      <c r="DZ277" s="16"/>
      <c r="EA277" s="17"/>
      <c r="EE277" s="24"/>
      <c r="EF277" s="60"/>
      <c r="EG277" s="16"/>
      <c r="EH277" s="16"/>
      <c r="EI277" s="16"/>
      <c r="EJ277" s="16"/>
      <c r="EK277" s="16"/>
      <c r="EL277" s="17"/>
      <c r="EP277" s="24"/>
      <c r="EQ277" s="60"/>
      <c r="ER277" s="16"/>
      <c r="ES277" s="16"/>
      <c r="ET277" s="16"/>
      <c r="EU277" s="16"/>
      <c r="EV277" s="16"/>
      <c r="EW277" s="17"/>
      <c r="FA277" s="24"/>
      <c r="FB277" s="60"/>
      <c r="FC277" s="16"/>
      <c r="FD277" s="16"/>
      <c r="FE277" s="16"/>
      <c r="FF277" s="16"/>
      <c r="FG277" s="16"/>
      <c r="FH277" s="17"/>
      <c r="FL277" s="24"/>
      <c r="FM277" s="60"/>
      <c r="FN277" s="16"/>
      <c r="FO277" s="16"/>
      <c r="FP277" s="16"/>
      <c r="FQ277" s="16"/>
      <c r="FR277" s="16"/>
      <c r="FS277" s="17"/>
      <c r="FW277" s="24"/>
      <c r="FX277" s="60"/>
      <c r="FY277" s="16"/>
      <c r="FZ277" s="16"/>
      <c r="GA277" s="16"/>
      <c r="GB277" s="16"/>
      <c r="GC277" s="16"/>
      <c r="GD277" s="17"/>
      <c r="GH277" s="24"/>
      <c r="GI277" s="60"/>
      <c r="GJ277" s="16"/>
      <c r="GK277" s="16"/>
      <c r="GL277" s="16"/>
      <c r="GM277" s="16"/>
      <c r="GN277" s="16"/>
      <c r="GO277" s="17"/>
      <c r="GS277" s="24"/>
      <c r="GT277" s="60"/>
      <c r="GU277" s="16"/>
      <c r="GV277" s="16"/>
      <c r="GW277" s="16"/>
      <c r="GX277" s="16"/>
      <c r="GY277" s="16"/>
      <c r="GZ277" s="17"/>
      <c r="HD277" s="24"/>
      <c r="HE277" s="60"/>
      <c r="HF277" s="16"/>
      <c r="HG277" s="16"/>
      <c r="HH277" s="16"/>
      <c r="HI277" s="16"/>
      <c r="HJ277" s="16"/>
      <c r="HK277" s="17"/>
      <c r="HO277" s="24"/>
      <c r="HP277" s="60"/>
      <c r="HQ277" s="16"/>
      <c r="HR277" s="16"/>
      <c r="HS277" s="16"/>
      <c r="HT277" s="16"/>
      <c r="HU277" s="16"/>
      <c r="HV277" s="17"/>
      <c r="HZ277" s="24"/>
      <c r="IA277" s="60"/>
      <c r="IB277" s="16"/>
      <c r="IC277" s="16"/>
      <c r="ID277" s="16"/>
      <c r="IE277" s="16"/>
      <c r="IF277" s="16"/>
      <c r="IG277" s="17"/>
      <c r="IK277" s="24"/>
      <c r="IL277" s="60"/>
      <c r="IM277" s="16"/>
      <c r="IN277" s="16"/>
      <c r="IO277" s="16"/>
      <c r="IP277" s="16"/>
      <c r="IQ277" s="16"/>
      <c r="IR277" s="17"/>
      <c r="IV277" s="24"/>
      <c r="IW277" s="60"/>
      <c r="IX277" s="16"/>
      <c r="IY277" s="16"/>
      <c r="IZ277" s="16"/>
      <c r="JA277" s="16"/>
      <c r="JB277" s="16"/>
      <c r="JC277" s="17"/>
      <c r="JG277" s="24"/>
      <c r="JH277" s="60"/>
      <c r="JI277" s="16"/>
      <c r="JJ277" s="16"/>
      <c r="JK277" s="16"/>
      <c r="JL277" s="16"/>
      <c r="JM277" s="16"/>
      <c r="JN277" s="17"/>
      <c r="JR277" s="24"/>
      <c r="JS277" s="60"/>
      <c r="JT277" s="16"/>
      <c r="JU277" s="16"/>
      <c r="JV277" s="16"/>
      <c r="JW277" s="16"/>
      <c r="JX277" s="16"/>
      <c r="JY277" s="17"/>
      <c r="KC277" s="24"/>
      <c r="KD277" s="60"/>
      <c r="KE277" s="16"/>
      <c r="KF277" s="16"/>
      <c r="KG277" s="16"/>
      <c r="KH277" s="16"/>
      <c r="KI277" s="16"/>
      <c r="KJ277" s="17"/>
      <c r="KN277" s="24"/>
      <c r="KO277" s="60"/>
      <c r="KP277" s="16"/>
      <c r="KQ277" s="16"/>
      <c r="KR277" s="16"/>
      <c r="KS277" s="16"/>
      <c r="KT277" s="16"/>
      <c r="KU277" s="17"/>
      <c r="KY277" s="24"/>
      <c r="KZ277" s="60"/>
      <c r="LA277" s="16"/>
      <c r="LB277" s="16"/>
      <c r="LC277" s="16"/>
      <c r="LD277" s="16"/>
      <c r="LE277" s="16"/>
      <c r="LF277" s="17"/>
      <c r="LJ277" s="24"/>
      <c r="LK277" s="60"/>
      <c r="LL277" s="16"/>
      <c r="LM277" s="16"/>
      <c r="LN277" s="16"/>
      <c r="LO277" s="16"/>
      <c r="LP277" s="16"/>
      <c r="LQ277" s="17"/>
    </row>
    <row r="278">
      <c r="C278" s="31"/>
      <c r="D278" s="61"/>
      <c r="E278" s="16"/>
      <c r="F278" s="16"/>
      <c r="G278" s="21"/>
      <c r="H278" s="16"/>
      <c r="I278" s="16"/>
      <c r="J278" s="17"/>
      <c r="N278" s="17"/>
      <c r="O278" s="61"/>
      <c r="P278" s="16"/>
      <c r="Q278" s="16"/>
      <c r="R278" s="16"/>
      <c r="S278" s="16"/>
      <c r="T278" s="16"/>
      <c r="U278" s="17"/>
      <c r="Y278" s="24"/>
      <c r="Z278" s="61"/>
      <c r="AA278" s="16"/>
      <c r="AB278" s="16"/>
      <c r="AC278" s="16"/>
      <c r="AD278" s="16"/>
      <c r="AE278" s="16"/>
      <c r="AF278" s="17"/>
      <c r="AJ278" s="24"/>
      <c r="AK278" s="61"/>
      <c r="AL278" s="16"/>
      <c r="AM278" s="16"/>
      <c r="AN278" s="16"/>
      <c r="AO278" s="16"/>
      <c r="AP278" s="16"/>
      <c r="AQ278" s="17"/>
      <c r="AU278" s="24"/>
      <c r="AV278" s="61"/>
      <c r="AW278" s="16"/>
      <c r="AX278" s="16"/>
      <c r="AY278" s="16"/>
      <c r="AZ278" s="16"/>
      <c r="BA278" s="16"/>
      <c r="BB278" s="17"/>
      <c r="BF278" s="24"/>
      <c r="BG278" s="61"/>
      <c r="BH278" s="16"/>
      <c r="BI278" s="16"/>
      <c r="BJ278" s="16"/>
      <c r="BK278" s="16"/>
      <c r="BL278" s="16"/>
      <c r="BM278" s="17"/>
      <c r="BQ278" s="24"/>
      <c r="BR278" s="61"/>
      <c r="BS278" s="16"/>
      <c r="BT278" s="16"/>
      <c r="BU278" s="16"/>
      <c r="BV278" s="16"/>
      <c r="BW278" s="16"/>
      <c r="BX278" s="17"/>
      <c r="CB278" s="24"/>
      <c r="CC278" s="61"/>
      <c r="CD278" s="16"/>
      <c r="CE278" s="16"/>
      <c r="CF278" s="16"/>
      <c r="CG278" s="16"/>
      <c r="CH278" s="16"/>
      <c r="CI278" s="17"/>
      <c r="CM278" s="24"/>
      <c r="CN278" s="61"/>
      <c r="CO278" s="16"/>
      <c r="CP278" s="16"/>
      <c r="CQ278" s="16"/>
      <c r="CR278" s="16"/>
      <c r="CS278" s="16"/>
      <c r="CT278" s="17"/>
      <c r="CX278" s="24"/>
      <c r="CY278" s="60"/>
      <c r="CZ278" s="16"/>
      <c r="DA278" s="16"/>
      <c r="DB278" s="16"/>
      <c r="DC278" s="16"/>
      <c r="DD278" s="16"/>
      <c r="DE278" s="17"/>
      <c r="DI278" s="24"/>
      <c r="DJ278" s="60"/>
      <c r="DK278" s="16"/>
      <c r="DL278" s="16"/>
      <c r="DM278" s="16"/>
      <c r="DN278" s="16"/>
      <c r="DO278" s="16"/>
      <c r="DP278" s="17"/>
      <c r="DT278" s="24"/>
      <c r="DU278" s="60"/>
      <c r="DV278" s="16"/>
      <c r="DW278" s="16"/>
      <c r="DX278" s="16"/>
      <c r="DY278" s="16"/>
      <c r="DZ278" s="16"/>
      <c r="EA278" s="17"/>
      <c r="EE278" s="24"/>
      <c r="EF278" s="60"/>
      <c r="EG278" s="16"/>
      <c r="EH278" s="16"/>
      <c r="EI278" s="16"/>
      <c r="EJ278" s="16"/>
      <c r="EK278" s="16"/>
      <c r="EL278" s="17"/>
      <c r="EP278" s="24"/>
      <c r="EQ278" s="60"/>
      <c r="ER278" s="16"/>
      <c r="ES278" s="16"/>
      <c r="ET278" s="16"/>
      <c r="EU278" s="16"/>
      <c r="EV278" s="16"/>
      <c r="EW278" s="17"/>
      <c r="FA278" s="24"/>
      <c r="FB278" s="60"/>
      <c r="FC278" s="16"/>
      <c r="FD278" s="16"/>
      <c r="FE278" s="16"/>
      <c r="FF278" s="16"/>
      <c r="FG278" s="16"/>
      <c r="FH278" s="17"/>
      <c r="FL278" s="24"/>
      <c r="FM278" s="60"/>
      <c r="FN278" s="16"/>
      <c r="FO278" s="16"/>
      <c r="FP278" s="16"/>
      <c r="FQ278" s="16"/>
      <c r="FR278" s="16"/>
      <c r="FS278" s="17"/>
      <c r="FW278" s="24"/>
      <c r="FX278" s="60"/>
      <c r="FY278" s="16"/>
      <c r="FZ278" s="16"/>
      <c r="GA278" s="16"/>
      <c r="GB278" s="16"/>
      <c r="GC278" s="16"/>
      <c r="GD278" s="17"/>
      <c r="GH278" s="24"/>
      <c r="GI278" s="60"/>
      <c r="GJ278" s="16"/>
      <c r="GK278" s="16"/>
      <c r="GL278" s="16"/>
      <c r="GM278" s="16"/>
      <c r="GN278" s="16"/>
      <c r="GO278" s="17"/>
      <c r="GS278" s="24"/>
      <c r="GT278" s="60"/>
      <c r="GU278" s="16"/>
      <c r="GV278" s="16"/>
      <c r="GW278" s="16"/>
      <c r="GX278" s="16"/>
      <c r="GY278" s="16"/>
      <c r="GZ278" s="17"/>
      <c r="HD278" s="24"/>
      <c r="HE278" s="60"/>
      <c r="HF278" s="16"/>
      <c r="HG278" s="16"/>
      <c r="HH278" s="16"/>
      <c r="HI278" s="16"/>
      <c r="HJ278" s="16"/>
      <c r="HK278" s="17"/>
      <c r="HO278" s="24"/>
      <c r="HP278" s="60"/>
      <c r="HQ278" s="16"/>
      <c r="HR278" s="16"/>
      <c r="HS278" s="16"/>
      <c r="HT278" s="16"/>
      <c r="HU278" s="16"/>
      <c r="HV278" s="17"/>
      <c r="HZ278" s="24"/>
      <c r="IA278" s="60"/>
      <c r="IB278" s="16"/>
      <c r="IC278" s="16"/>
      <c r="ID278" s="16"/>
      <c r="IE278" s="16"/>
      <c r="IF278" s="16"/>
      <c r="IG278" s="17"/>
      <c r="IK278" s="24"/>
      <c r="IL278" s="60"/>
      <c r="IM278" s="16"/>
      <c r="IN278" s="16"/>
      <c r="IO278" s="16"/>
      <c r="IP278" s="16"/>
      <c r="IQ278" s="16"/>
      <c r="IR278" s="17"/>
      <c r="IV278" s="24"/>
      <c r="IW278" s="60"/>
      <c r="IX278" s="16"/>
      <c r="IY278" s="16"/>
      <c r="IZ278" s="16"/>
      <c r="JA278" s="16"/>
      <c r="JB278" s="16"/>
      <c r="JC278" s="17"/>
      <c r="JG278" s="24"/>
      <c r="JH278" s="60"/>
      <c r="JI278" s="16"/>
      <c r="JJ278" s="16"/>
      <c r="JK278" s="16"/>
      <c r="JL278" s="16"/>
      <c r="JM278" s="16"/>
      <c r="JN278" s="17"/>
      <c r="JR278" s="24"/>
      <c r="JS278" s="60"/>
      <c r="JT278" s="16"/>
      <c r="JU278" s="16"/>
      <c r="JV278" s="16"/>
      <c r="JW278" s="16"/>
      <c r="JX278" s="16"/>
      <c r="JY278" s="17"/>
      <c r="KC278" s="24"/>
      <c r="KD278" s="60"/>
      <c r="KE278" s="16"/>
      <c r="KF278" s="16"/>
      <c r="KG278" s="16"/>
      <c r="KH278" s="16"/>
      <c r="KI278" s="16"/>
      <c r="KJ278" s="17"/>
      <c r="KN278" s="24"/>
      <c r="KO278" s="60"/>
      <c r="KP278" s="16"/>
      <c r="KQ278" s="16"/>
      <c r="KR278" s="16"/>
      <c r="KS278" s="16"/>
      <c r="KT278" s="16"/>
      <c r="KU278" s="17"/>
      <c r="KY278" s="24"/>
      <c r="KZ278" s="60"/>
      <c r="LA278" s="16"/>
      <c r="LB278" s="16"/>
      <c r="LC278" s="16"/>
      <c r="LD278" s="16"/>
      <c r="LE278" s="16"/>
      <c r="LF278" s="17"/>
      <c r="LJ278" s="24"/>
      <c r="LK278" s="60"/>
      <c r="LL278" s="16"/>
      <c r="LM278" s="16"/>
      <c r="LN278" s="16"/>
      <c r="LO278" s="16"/>
      <c r="LP278" s="16"/>
      <c r="LQ278" s="17"/>
    </row>
    <row r="279">
      <c r="C279" s="31"/>
      <c r="D279" s="61"/>
      <c r="E279" s="16"/>
      <c r="F279" s="16"/>
      <c r="G279" s="21"/>
      <c r="H279" s="16"/>
      <c r="I279" s="16"/>
      <c r="J279" s="17"/>
      <c r="N279" s="17"/>
      <c r="O279" s="61"/>
      <c r="P279" s="16"/>
      <c r="Q279" s="16"/>
      <c r="R279" s="16"/>
      <c r="S279" s="16"/>
      <c r="T279" s="16"/>
      <c r="U279" s="17"/>
      <c r="Y279" s="24"/>
      <c r="Z279" s="61"/>
      <c r="AA279" s="16"/>
      <c r="AB279" s="16"/>
      <c r="AC279" s="16"/>
      <c r="AD279" s="16"/>
      <c r="AE279" s="16"/>
      <c r="AF279" s="17"/>
      <c r="AJ279" s="24"/>
      <c r="AK279" s="61"/>
      <c r="AL279" s="16"/>
      <c r="AM279" s="16"/>
      <c r="AN279" s="16"/>
      <c r="AO279" s="16"/>
      <c r="AP279" s="16"/>
      <c r="AQ279" s="17"/>
      <c r="AU279" s="24"/>
      <c r="AV279" s="61"/>
      <c r="AW279" s="16"/>
      <c r="AX279" s="16"/>
      <c r="AY279" s="16"/>
      <c r="AZ279" s="16"/>
      <c r="BA279" s="16"/>
      <c r="BB279" s="17"/>
      <c r="BF279" s="24"/>
      <c r="BG279" s="61"/>
      <c r="BH279" s="16"/>
      <c r="BI279" s="16"/>
      <c r="BJ279" s="16"/>
      <c r="BK279" s="16"/>
      <c r="BL279" s="16"/>
      <c r="BM279" s="17"/>
      <c r="BQ279" s="24"/>
      <c r="BR279" s="61"/>
      <c r="BS279" s="16"/>
      <c r="BT279" s="16"/>
      <c r="BU279" s="16"/>
      <c r="BV279" s="16"/>
      <c r="BW279" s="16"/>
      <c r="BX279" s="17"/>
      <c r="CB279" s="24"/>
      <c r="CC279" s="61"/>
      <c r="CD279" s="16"/>
      <c r="CE279" s="16"/>
      <c r="CF279" s="16"/>
      <c r="CG279" s="16"/>
      <c r="CH279" s="16"/>
      <c r="CI279" s="17"/>
      <c r="CM279" s="24"/>
      <c r="CN279" s="61"/>
      <c r="CO279" s="16"/>
      <c r="CP279" s="16"/>
      <c r="CQ279" s="16"/>
      <c r="CR279" s="16"/>
      <c r="CS279" s="16"/>
      <c r="CT279" s="17"/>
      <c r="CX279" s="24"/>
      <c r="CY279" s="60"/>
      <c r="CZ279" s="16"/>
      <c r="DA279" s="16"/>
      <c r="DB279" s="16"/>
      <c r="DC279" s="16"/>
      <c r="DD279" s="16"/>
      <c r="DE279" s="17"/>
      <c r="DI279" s="24"/>
      <c r="DJ279" s="60"/>
      <c r="DK279" s="16"/>
      <c r="DL279" s="16"/>
      <c r="DM279" s="16"/>
      <c r="DN279" s="16"/>
      <c r="DO279" s="16"/>
      <c r="DP279" s="17"/>
      <c r="DT279" s="24"/>
      <c r="DU279" s="60"/>
      <c r="DV279" s="16"/>
      <c r="DW279" s="16"/>
      <c r="DX279" s="16"/>
      <c r="DY279" s="16"/>
      <c r="DZ279" s="16"/>
      <c r="EA279" s="17"/>
      <c r="EE279" s="24"/>
      <c r="EF279" s="60"/>
      <c r="EG279" s="16"/>
      <c r="EH279" s="16"/>
      <c r="EI279" s="16"/>
      <c r="EJ279" s="16"/>
      <c r="EK279" s="16"/>
      <c r="EL279" s="17"/>
      <c r="EP279" s="24"/>
      <c r="EQ279" s="60"/>
      <c r="ER279" s="16"/>
      <c r="ES279" s="16"/>
      <c r="ET279" s="16"/>
      <c r="EU279" s="16"/>
      <c r="EV279" s="16"/>
      <c r="EW279" s="17"/>
      <c r="FA279" s="24"/>
      <c r="FB279" s="60"/>
      <c r="FC279" s="16"/>
      <c r="FD279" s="16"/>
      <c r="FE279" s="16"/>
      <c r="FF279" s="16"/>
      <c r="FG279" s="16"/>
      <c r="FH279" s="17"/>
      <c r="FL279" s="24"/>
      <c r="FM279" s="60"/>
      <c r="FN279" s="16"/>
      <c r="FO279" s="16"/>
      <c r="FP279" s="16"/>
      <c r="FQ279" s="16"/>
      <c r="FR279" s="16"/>
      <c r="FS279" s="17"/>
      <c r="FW279" s="24"/>
      <c r="FX279" s="60"/>
      <c r="FY279" s="16"/>
      <c r="FZ279" s="16"/>
      <c r="GA279" s="16"/>
      <c r="GB279" s="16"/>
      <c r="GC279" s="16"/>
      <c r="GD279" s="17"/>
      <c r="GH279" s="24"/>
      <c r="GI279" s="60"/>
      <c r="GJ279" s="16"/>
      <c r="GK279" s="16"/>
      <c r="GL279" s="16"/>
      <c r="GM279" s="16"/>
      <c r="GN279" s="16"/>
      <c r="GO279" s="17"/>
      <c r="GS279" s="24"/>
      <c r="GT279" s="60"/>
      <c r="GU279" s="16"/>
      <c r="GV279" s="16"/>
      <c r="GW279" s="16"/>
      <c r="GX279" s="16"/>
      <c r="GY279" s="16"/>
      <c r="GZ279" s="17"/>
      <c r="HD279" s="24"/>
      <c r="HE279" s="60"/>
      <c r="HF279" s="16"/>
      <c r="HG279" s="16"/>
      <c r="HH279" s="16"/>
      <c r="HI279" s="16"/>
      <c r="HJ279" s="16"/>
      <c r="HK279" s="17"/>
      <c r="HO279" s="24"/>
      <c r="HP279" s="60"/>
      <c r="HQ279" s="16"/>
      <c r="HR279" s="16"/>
      <c r="HS279" s="16"/>
      <c r="HT279" s="16"/>
      <c r="HU279" s="16"/>
      <c r="HV279" s="17"/>
      <c r="HZ279" s="24"/>
      <c r="IA279" s="60"/>
      <c r="IB279" s="16"/>
      <c r="IC279" s="16"/>
      <c r="ID279" s="16"/>
      <c r="IE279" s="16"/>
      <c r="IF279" s="16"/>
      <c r="IG279" s="17"/>
      <c r="IK279" s="24"/>
      <c r="IL279" s="60"/>
      <c r="IM279" s="16"/>
      <c r="IN279" s="16"/>
      <c r="IO279" s="16"/>
      <c r="IP279" s="16"/>
      <c r="IQ279" s="16"/>
      <c r="IR279" s="17"/>
      <c r="IV279" s="24"/>
      <c r="IW279" s="60"/>
      <c r="IX279" s="16"/>
      <c r="IY279" s="16"/>
      <c r="IZ279" s="16"/>
      <c r="JA279" s="16"/>
      <c r="JB279" s="16"/>
      <c r="JC279" s="17"/>
      <c r="JG279" s="24"/>
      <c r="JH279" s="60"/>
      <c r="JI279" s="16"/>
      <c r="JJ279" s="16"/>
      <c r="JK279" s="16"/>
      <c r="JL279" s="16"/>
      <c r="JM279" s="16"/>
      <c r="JN279" s="17"/>
      <c r="JR279" s="24"/>
      <c r="JS279" s="60"/>
      <c r="JT279" s="16"/>
      <c r="JU279" s="16"/>
      <c r="JV279" s="16"/>
      <c r="JW279" s="16"/>
      <c r="JX279" s="16"/>
      <c r="JY279" s="17"/>
      <c r="KC279" s="24"/>
      <c r="KD279" s="60"/>
      <c r="KE279" s="16"/>
      <c r="KF279" s="16"/>
      <c r="KG279" s="16"/>
      <c r="KH279" s="16"/>
      <c r="KI279" s="16"/>
      <c r="KJ279" s="17"/>
      <c r="KN279" s="24"/>
      <c r="KO279" s="60"/>
      <c r="KP279" s="16"/>
      <c r="KQ279" s="16"/>
      <c r="KR279" s="16"/>
      <c r="KS279" s="16"/>
      <c r="KT279" s="16"/>
      <c r="KU279" s="17"/>
      <c r="KY279" s="24"/>
      <c r="KZ279" s="60"/>
      <c r="LA279" s="16"/>
      <c r="LB279" s="16"/>
      <c r="LC279" s="16"/>
      <c r="LD279" s="16"/>
      <c r="LE279" s="16"/>
      <c r="LF279" s="17"/>
      <c r="LJ279" s="24"/>
      <c r="LK279" s="60"/>
      <c r="LL279" s="16"/>
      <c r="LM279" s="16"/>
      <c r="LN279" s="16"/>
      <c r="LO279" s="16"/>
      <c r="LP279" s="16"/>
      <c r="LQ279" s="17"/>
    </row>
    <row r="280">
      <c r="C280" s="31"/>
      <c r="D280" s="61"/>
      <c r="E280" s="16"/>
      <c r="F280" s="16"/>
      <c r="G280" s="21"/>
      <c r="H280" s="16"/>
      <c r="I280" s="16"/>
      <c r="J280" s="17"/>
      <c r="N280" s="17"/>
      <c r="O280" s="61"/>
      <c r="P280" s="16"/>
      <c r="Q280" s="16"/>
      <c r="R280" s="16"/>
      <c r="S280" s="16"/>
      <c r="T280" s="16"/>
      <c r="U280" s="17"/>
      <c r="Y280" s="24"/>
      <c r="Z280" s="61"/>
      <c r="AA280" s="16"/>
      <c r="AB280" s="16"/>
      <c r="AC280" s="16"/>
      <c r="AD280" s="16"/>
      <c r="AE280" s="16"/>
      <c r="AF280" s="17"/>
      <c r="AJ280" s="24"/>
      <c r="AK280" s="61"/>
      <c r="AL280" s="16"/>
      <c r="AM280" s="16"/>
      <c r="AN280" s="16"/>
      <c r="AO280" s="16"/>
      <c r="AP280" s="16"/>
      <c r="AQ280" s="17"/>
      <c r="AU280" s="24"/>
      <c r="AV280" s="61"/>
      <c r="AW280" s="16"/>
      <c r="AX280" s="16"/>
      <c r="AY280" s="16"/>
      <c r="AZ280" s="16"/>
      <c r="BA280" s="16"/>
      <c r="BB280" s="17"/>
      <c r="BF280" s="24"/>
      <c r="BG280" s="61"/>
      <c r="BH280" s="16"/>
      <c r="BI280" s="16"/>
      <c r="BJ280" s="16"/>
      <c r="BK280" s="16"/>
      <c r="BL280" s="16"/>
      <c r="BM280" s="17"/>
      <c r="BQ280" s="24"/>
      <c r="BR280" s="61"/>
      <c r="BS280" s="16"/>
      <c r="BT280" s="16"/>
      <c r="BU280" s="16"/>
      <c r="BV280" s="16"/>
      <c r="BW280" s="16"/>
      <c r="BX280" s="17"/>
      <c r="CB280" s="24"/>
      <c r="CC280" s="61"/>
      <c r="CD280" s="16"/>
      <c r="CE280" s="16"/>
      <c r="CF280" s="16"/>
      <c r="CG280" s="16"/>
      <c r="CH280" s="16"/>
      <c r="CI280" s="17"/>
      <c r="CM280" s="24"/>
      <c r="CN280" s="61"/>
      <c r="CO280" s="16"/>
      <c r="CP280" s="16"/>
      <c r="CQ280" s="16"/>
      <c r="CR280" s="16"/>
      <c r="CS280" s="16"/>
      <c r="CT280" s="17"/>
      <c r="CX280" s="24"/>
      <c r="CY280" s="60"/>
      <c r="CZ280" s="16"/>
      <c r="DA280" s="16"/>
      <c r="DB280" s="16"/>
      <c r="DC280" s="16"/>
      <c r="DD280" s="16"/>
      <c r="DE280" s="17"/>
      <c r="DI280" s="24"/>
      <c r="DJ280" s="60"/>
      <c r="DK280" s="16"/>
      <c r="DL280" s="16"/>
      <c r="DM280" s="16"/>
      <c r="DN280" s="16"/>
      <c r="DO280" s="16"/>
      <c r="DP280" s="17"/>
      <c r="DT280" s="24"/>
      <c r="DU280" s="60"/>
      <c r="DV280" s="16"/>
      <c r="DW280" s="16"/>
      <c r="DX280" s="16"/>
      <c r="DY280" s="16"/>
      <c r="DZ280" s="16"/>
      <c r="EA280" s="17"/>
      <c r="EE280" s="24"/>
      <c r="EF280" s="60"/>
      <c r="EG280" s="16"/>
      <c r="EH280" s="16"/>
      <c r="EI280" s="16"/>
      <c r="EJ280" s="16"/>
      <c r="EK280" s="16"/>
      <c r="EL280" s="17"/>
      <c r="EP280" s="24"/>
      <c r="EQ280" s="60"/>
      <c r="ER280" s="16"/>
      <c r="ES280" s="16"/>
      <c r="ET280" s="16"/>
      <c r="EU280" s="16"/>
      <c r="EV280" s="16"/>
      <c r="EW280" s="17"/>
      <c r="FA280" s="24"/>
      <c r="FB280" s="60"/>
      <c r="FC280" s="16"/>
      <c r="FD280" s="16"/>
      <c r="FE280" s="16"/>
      <c r="FF280" s="16"/>
      <c r="FG280" s="16"/>
      <c r="FH280" s="17"/>
      <c r="FL280" s="24"/>
      <c r="FM280" s="60"/>
      <c r="FN280" s="16"/>
      <c r="FO280" s="16"/>
      <c r="FP280" s="16"/>
      <c r="FQ280" s="16"/>
      <c r="FR280" s="16"/>
      <c r="FS280" s="17"/>
      <c r="FW280" s="24"/>
      <c r="FX280" s="60"/>
      <c r="FY280" s="16"/>
      <c r="FZ280" s="16"/>
      <c r="GA280" s="16"/>
      <c r="GB280" s="16"/>
      <c r="GC280" s="16"/>
      <c r="GD280" s="17"/>
      <c r="GH280" s="24"/>
      <c r="GI280" s="60"/>
      <c r="GJ280" s="16"/>
      <c r="GK280" s="16"/>
      <c r="GL280" s="16"/>
      <c r="GM280" s="16"/>
      <c r="GN280" s="16"/>
      <c r="GO280" s="17"/>
      <c r="GS280" s="24"/>
      <c r="GT280" s="60"/>
      <c r="GU280" s="16"/>
      <c r="GV280" s="16"/>
      <c r="GW280" s="16"/>
      <c r="GX280" s="16"/>
      <c r="GY280" s="16"/>
      <c r="GZ280" s="17"/>
      <c r="HD280" s="24"/>
      <c r="HE280" s="60"/>
      <c r="HF280" s="16"/>
      <c r="HG280" s="16"/>
      <c r="HH280" s="16"/>
      <c r="HI280" s="16"/>
      <c r="HJ280" s="16"/>
      <c r="HK280" s="17"/>
      <c r="HO280" s="24"/>
      <c r="HP280" s="60"/>
      <c r="HQ280" s="16"/>
      <c r="HR280" s="16"/>
      <c r="HS280" s="16"/>
      <c r="HT280" s="16"/>
      <c r="HU280" s="16"/>
      <c r="HV280" s="17"/>
      <c r="HZ280" s="24"/>
      <c r="IA280" s="60"/>
      <c r="IB280" s="16"/>
      <c r="IC280" s="16"/>
      <c r="ID280" s="16"/>
      <c r="IE280" s="16"/>
      <c r="IF280" s="16"/>
      <c r="IG280" s="17"/>
      <c r="IK280" s="24"/>
      <c r="IL280" s="60"/>
      <c r="IM280" s="16"/>
      <c r="IN280" s="16"/>
      <c r="IO280" s="16"/>
      <c r="IP280" s="16"/>
      <c r="IQ280" s="16"/>
      <c r="IR280" s="17"/>
      <c r="IV280" s="24"/>
      <c r="IW280" s="60"/>
      <c r="IX280" s="16"/>
      <c r="IY280" s="16"/>
      <c r="IZ280" s="16"/>
      <c r="JA280" s="16"/>
      <c r="JB280" s="16"/>
      <c r="JC280" s="17"/>
      <c r="JG280" s="24"/>
      <c r="JH280" s="60"/>
      <c r="JI280" s="16"/>
      <c r="JJ280" s="16"/>
      <c r="JK280" s="16"/>
      <c r="JL280" s="16"/>
      <c r="JM280" s="16"/>
      <c r="JN280" s="17"/>
      <c r="JR280" s="24"/>
      <c r="JS280" s="60"/>
      <c r="JT280" s="16"/>
      <c r="JU280" s="16"/>
      <c r="JV280" s="16"/>
      <c r="JW280" s="16"/>
      <c r="JX280" s="16"/>
      <c r="JY280" s="17"/>
      <c r="KC280" s="24"/>
      <c r="KD280" s="60"/>
      <c r="KE280" s="16"/>
      <c r="KF280" s="16"/>
      <c r="KG280" s="16"/>
      <c r="KH280" s="16"/>
      <c r="KI280" s="16"/>
      <c r="KJ280" s="17"/>
      <c r="KN280" s="24"/>
      <c r="KO280" s="60"/>
      <c r="KP280" s="16"/>
      <c r="KQ280" s="16"/>
      <c r="KR280" s="16"/>
      <c r="KS280" s="16"/>
      <c r="KT280" s="16"/>
      <c r="KU280" s="17"/>
      <c r="KY280" s="24"/>
      <c r="KZ280" s="60"/>
      <c r="LA280" s="16"/>
      <c r="LB280" s="16"/>
      <c r="LC280" s="16"/>
      <c r="LD280" s="16"/>
      <c r="LE280" s="16"/>
      <c r="LF280" s="17"/>
      <c r="LJ280" s="24"/>
      <c r="LK280" s="60"/>
      <c r="LL280" s="16"/>
      <c r="LM280" s="16"/>
      <c r="LN280" s="16"/>
      <c r="LO280" s="16"/>
      <c r="LP280" s="16"/>
      <c r="LQ280" s="17"/>
    </row>
    <row r="281">
      <c r="C281" s="31"/>
      <c r="D281" s="61"/>
      <c r="E281" s="16"/>
      <c r="F281" s="16"/>
      <c r="G281" s="21"/>
      <c r="H281" s="16"/>
      <c r="I281" s="16"/>
      <c r="J281" s="17"/>
      <c r="N281" s="17"/>
      <c r="O281" s="61"/>
      <c r="P281" s="16"/>
      <c r="Q281" s="16"/>
      <c r="R281" s="16"/>
      <c r="S281" s="16"/>
      <c r="T281" s="16"/>
      <c r="U281" s="17"/>
      <c r="Y281" s="24"/>
      <c r="Z281" s="61"/>
      <c r="AA281" s="16"/>
      <c r="AB281" s="16"/>
      <c r="AC281" s="16"/>
      <c r="AD281" s="16"/>
      <c r="AE281" s="16"/>
      <c r="AF281" s="17"/>
      <c r="AJ281" s="24"/>
      <c r="AK281" s="61"/>
      <c r="AL281" s="16"/>
      <c r="AM281" s="16"/>
      <c r="AN281" s="16"/>
      <c r="AO281" s="16"/>
      <c r="AP281" s="16"/>
      <c r="AQ281" s="17"/>
      <c r="AU281" s="24"/>
      <c r="AV281" s="61"/>
      <c r="AW281" s="16"/>
      <c r="AX281" s="16"/>
      <c r="AY281" s="16"/>
      <c r="AZ281" s="16"/>
      <c r="BA281" s="16"/>
      <c r="BB281" s="17"/>
      <c r="BF281" s="24"/>
      <c r="BG281" s="61"/>
      <c r="BH281" s="16"/>
      <c r="BI281" s="16"/>
      <c r="BJ281" s="16"/>
      <c r="BK281" s="16"/>
      <c r="BL281" s="16"/>
      <c r="BM281" s="17"/>
      <c r="BQ281" s="24"/>
      <c r="BR281" s="61"/>
      <c r="BS281" s="16"/>
      <c r="BT281" s="16"/>
      <c r="BU281" s="16"/>
      <c r="BV281" s="16"/>
      <c r="BW281" s="16"/>
      <c r="BX281" s="17"/>
      <c r="CB281" s="24"/>
      <c r="CC281" s="61"/>
      <c r="CD281" s="16"/>
      <c r="CE281" s="16"/>
      <c r="CF281" s="16"/>
      <c r="CG281" s="16"/>
      <c r="CH281" s="16"/>
      <c r="CI281" s="17"/>
      <c r="CM281" s="24"/>
      <c r="CN281" s="61"/>
      <c r="CO281" s="16"/>
      <c r="CP281" s="16"/>
      <c r="CQ281" s="16"/>
      <c r="CR281" s="16"/>
      <c r="CS281" s="16"/>
      <c r="CT281" s="17"/>
      <c r="CX281" s="24"/>
      <c r="CY281" s="60"/>
      <c r="CZ281" s="16"/>
      <c r="DA281" s="16"/>
      <c r="DB281" s="16"/>
      <c r="DC281" s="16"/>
      <c r="DD281" s="16"/>
      <c r="DE281" s="17"/>
      <c r="DI281" s="24"/>
      <c r="DJ281" s="60"/>
      <c r="DK281" s="16"/>
      <c r="DL281" s="16"/>
      <c r="DM281" s="16"/>
      <c r="DN281" s="16"/>
      <c r="DO281" s="16"/>
      <c r="DP281" s="17"/>
      <c r="DT281" s="24"/>
      <c r="DU281" s="60"/>
      <c r="DV281" s="16"/>
      <c r="DW281" s="16"/>
      <c r="DX281" s="16"/>
      <c r="DY281" s="16"/>
      <c r="DZ281" s="16"/>
      <c r="EA281" s="17"/>
      <c r="EE281" s="24"/>
      <c r="EF281" s="60"/>
      <c r="EG281" s="16"/>
      <c r="EH281" s="16"/>
      <c r="EI281" s="16"/>
      <c r="EJ281" s="16"/>
      <c r="EK281" s="16"/>
      <c r="EL281" s="17"/>
      <c r="EP281" s="24"/>
      <c r="EQ281" s="60"/>
      <c r="ER281" s="16"/>
      <c r="ES281" s="16"/>
      <c r="ET281" s="16"/>
      <c r="EU281" s="16"/>
      <c r="EV281" s="16"/>
      <c r="EW281" s="17"/>
      <c r="FA281" s="24"/>
      <c r="FB281" s="60"/>
      <c r="FC281" s="16"/>
      <c r="FD281" s="16"/>
      <c r="FE281" s="16"/>
      <c r="FF281" s="16"/>
      <c r="FG281" s="16"/>
      <c r="FH281" s="17"/>
      <c r="FL281" s="24"/>
      <c r="FM281" s="60"/>
      <c r="FN281" s="16"/>
      <c r="FO281" s="16"/>
      <c r="FP281" s="16"/>
      <c r="FQ281" s="16"/>
      <c r="FR281" s="16"/>
      <c r="FS281" s="17"/>
      <c r="FW281" s="24"/>
      <c r="FX281" s="60"/>
      <c r="FY281" s="16"/>
      <c r="FZ281" s="16"/>
      <c r="GA281" s="16"/>
      <c r="GB281" s="16"/>
      <c r="GC281" s="16"/>
      <c r="GD281" s="17"/>
      <c r="GH281" s="24"/>
      <c r="GI281" s="60"/>
      <c r="GJ281" s="16"/>
      <c r="GK281" s="16"/>
      <c r="GL281" s="16"/>
      <c r="GM281" s="16"/>
      <c r="GN281" s="16"/>
      <c r="GO281" s="17"/>
      <c r="GS281" s="24"/>
      <c r="GT281" s="60"/>
      <c r="GU281" s="16"/>
      <c r="GV281" s="16"/>
      <c r="GW281" s="16"/>
      <c r="GX281" s="16"/>
      <c r="GY281" s="16"/>
      <c r="GZ281" s="17"/>
      <c r="HD281" s="24"/>
      <c r="HE281" s="60"/>
      <c r="HF281" s="16"/>
      <c r="HG281" s="16"/>
      <c r="HH281" s="16"/>
      <c r="HI281" s="16"/>
      <c r="HJ281" s="16"/>
      <c r="HK281" s="17"/>
      <c r="HO281" s="24"/>
      <c r="HP281" s="60"/>
      <c r="HQ281" s="16"/>
      <c r="HR281" s="16"/>
      <c r="HS281" s="16"/>
      <c r="HT281" s="16"/>
      <c r="HU281" s="16"/>
      <c r="HV281" s="17"/>
      <c r="HZ281" s="24"/>
      <c r="IA281" s="60"/>
      <c r="IB281" s="16"/>
      <c r="IC281" s="16"/>
      <c r="ID281" s="16"/>
      <c r="IE281" s="16"/>
      <c r="IF281" s="16"/>
      <c r="IG281" s="17"/>
      <c r="IK281" s="24"/>
      <c r="IL281" s="60"/>
      <c r="IM281" s="16"/>
      <c r="IN281" s="16"/>
      <c r="IO281" s="16"/>
      <c r="IP281" s="16"/>
      <c r="IQ281" s="16"/>
      <c r="IR281" s="17"/>
      <c r="IV281" s="24"/>
      <c r="IW281" s="60"/>
      <c r="IX281" s="16"/>
      <c r="IY281" s="16"/>
      <c r="IZ281" s="16"/>
      <c r="JA281" s="16"/>
      <c r="JB281" s="16"/>
      <c r="JC281" s="17"/>
      <c r="JG281" s="24"/>
      <c r="JH281" s="60"/>
      <c r="JI281" s="16"/>
      <c r="JJ281" s="16"/>
      <c r="JK281" s="16"/>
      <c r="JL281" s="16"/>
      <c r="JM281" s="16"/>
      <c r="JN281" s="17"/>
      <c r="JR281" s="24"/>
      <c r="JS281" s="60"/>
      <c r="JT281" s="16"/>
      <c r="JU281" s="16"/>
      <c r="JV281" s="16"/>
      <c r="JW281" s="16"/>
      <c r="JX281" s="16"/>
      <c r="JY281" s="17"/>
      <c r="KC281" s="24"/>
      <c r="KD281" s="60"/>
      <c r="KE281" s="16"/>
      <c r="KF281" s="16"/>
      <c r="KG281" s="16"/>
      <c r="KH281" s="16"/>
      <c r="KI281" s="16"/>
      <c r="KJ281" s="17"/>
      <c r="KN281" s="24"/>
      <c r="KO281" s="60"/>
      <c r="KP281" s="16"/>
      <c r="KQ281" s="16"/>
      <c r="KR281" s="16"/>
      <c r="KS281" s="16"/>
      <c r="KT281" s="16"/>
      <c r="KU281" s="17"/>
      <c r="KY281" s="24"/>
      <c r="KZ281" s="60"/>
      <c r="LA281" s="16"/>
      <c r="LB281" s="16"/>
      <c r="LC281" s="16"/>
      <c r="LD281" s="16"/>
      <c r="LE281" s="16"/>
      <c r="LF281" s="17"/>
      <c r="LJ281" s="24"/>
      <c r="LK281" s="60"/>
      <c r="LL281" s="16"/>
      <c r="LM281" s="16"/>
      <c r="LN281" s="16"/>
      <c r="LO281" s="16"/>
      <c r="LP281" s="16"/>
      <c r="LQ281" s="17"/>
    </row>
    <row r="282">
      <c r="C282" s="31"/>
      <c r="D282" s="61"/>
      <c r="E282" s="16"/>
      <c r="F282" s="16"/>
      <c r="G282" s="21"/>
      <c r="H282" s="16"/>
      <c r="I282" s="16"/>
      <c r="J282" s="17"/>
      <c r="N282" s="17"/>
      <c r="O282" s="61"/>
      <c r="P282" s="16"/>
      <c r="Q282" s="16"/>
      <c r="R282" s="16"/>
      <c r="S282" s="16"/>
      <c r="T282" s="16"/>
      <c r="U282" s="17"/>
      <c r="Y282" s="24"/>
      <c r="Z282" s="61"/>
      <c r="AA282" s="16"/>
      <c r="AB282" s="16"/>
      <c r="AC282" s="16"/>
      <c r="AD282" s="16"/>
      <c r="AE282" s="16"/>
      <c r="AF282" s="17"/>
      <c r="AJ282" s="24"/>
      <c r="AK282" s="61"/>
      <c r="AL282" s="16"/>
      <c r="AM282" s="16"/>
      <c r="AN282" s="16"/>
      <c r="AO282" s="16"/>
      <c r="AP282" s="16"/>
      <c r="AQ282" s="17"/>
      <c r="AU282" s="24"/>
      <c r="AV282" s="61"/>
      <c r="AW282" s="16"/>
      <c r="AX282" s="16"/>
      <c r="AY282" s="16"/>
      <c r="AZ282" s="16"/>
      <c r="BA282" s="16"/>
      <c r="BB282" s="17"/>
      <c r="BF282" s="24"/>
      <c r="BG282" s="61"/>
      <c r="BH282" s="16"/>
      <c r="BI282" s="16"/>
      <c r="BJ282" s="16"/>
      <c r="BK282" s="16"/>
      <c r="BL282" s="16"/>
      <c r="BM282" s="17"/>
      <c r="BQ282" s="24"/>
      <c r="BR282" s="61"/>
      <c r="BS282" s="16"/>
      <c r="BT282" s="16"/>
      <c r="BU282" s="16"/>
      <c r="BV282" s="16"/>
      <c r="BW282" s="16"/>
      <c r="BX282" s="17"/>
      <c r="CB282" s="24"/>
      <c r="CC282" s="61"/>
      <c r="CD282" s="16"/>
      <c r="CE282" s="16"/>
      <c r="CF282" s="16"/>
      <c r="CG282" s="16"/>
      <c r="CH282" s="16"/>
      <c r="CI282" s="17"/>
      <c r="CM282" s="24"/>
      <c r="CN282" s="61"/>
      <c r="CO282" s="16"/>
      <c r="CP282" s="16"/>
      <c r="CQ282" s="16"/>
      <c r="CR282" s="16"/>
      <c r="CS282" s="16"/>
      <c r="CT282" s="17"/>
      <c r="CX282" s="24"/>
      <c r="CY282" s="60"/>
      <c r="CZ282" s="16"/>
      <c r="DA282" s="16"/>
      <c r="DB282" s="16"/>
      <c r="DC282" s="16"/>
      <c r="DD282" s="16"/>
      <c r="DE282" s="17"/>
      <c r="DI282" s="24"/>
      <c r="DJ282" s="60"/>
      <c r="DK282" s="16"/>
      <c r="DL282" s="16"/>
      <c r="DM282" s="16"/>
      <c r="DN282" s="16"/>
      <c r="DO282" s="16"/>
      <c r="DP282" s="17"/>
      <c r="DT282" s="24"/>
      <c r="DU282" s="60"/>
      <c r="DV282" s="16"/>
      <c r="DW282" s="16"/>
      <c r="DX282" s="16"/>
      <c r="DY282" s="16"/>
      <c r="DZ282" s="16"/>
      <c r="EA282" s="17"/>
      <c r="EE282" s="24"/>
      <c r="EF282" s="60"/>
      <c r="EG282" s="16"/>
      <c r="EH282" s="16"/>
      <c r="EI282" s="16"/>
      <c r="EJ282" s="16"/>
      <c r="EK282" s="16"/>
      <c r="EL282" s="17"/>
      <c r="EP282" s="24"/>
      <c r="EQ282" s="60"/>
      <c r="ER282" s="16"/>
      <c r="ES282" s="16"/>
      <c r="ET282" s="16"/>
      <c r="EU282" s="16"/>
      <c r="EV282" s="16"/>
      <c r="EW282" s="17"/>
      <c r="FA282" s="24"/>
      <c r="FB282" s="60"/>
      <c r="FC282" s="16"/>
      <c r="FD282" s="16"/>
      <c r="FE282" s="16"/>
      <c r="FF282" s="16"/>
      <c r="FG282" s="16"/>
      <c r="FH282" s="17"/>
      <c r="FL282" s="24"/>
      <c r="FM282" s="60"/>
      <c r="FN282" s="16"/>
      <c r="FO282" s="16"/>
      <c r="FP282" s="16"/>
      <c r="FQ282" s="16"/>
      <c r="FR282" s="16"/>
      <c r="FS282" s="17"/>
      <c r="FW282" s="24"/>
      <c r="FX282" s="60"/>
      <c r="FY282" s="16"/>
      <c r="FZ282" s="16"/>
      <c r="GA282" s="16"/>
      <c r="GB282" s="16"/>
      <c r="GC282" s="16"/>
      <c r="GD282" s="17"/>
      <c r="GH282" s="24"/>
      <c r="GI282" s="60"/>
      <c r="GJ282" s="16"/>
      <c r="GK282" s="16"/>
      <c r="GL282" s="16"/>
      <c r="GM282" s="16"/>
      <c r="GN282" s="16"/>
      <c r="GO282" s="17"/>
      <c r="GS282" s="24"/>
      <c r="GT282" s="60"/>
      <c r="GU282" s="16"/>
      <c r="GV282" s="16"/>
      <c r="GW282" s="16"/>
      <c r="GX282" s="16"/>
      <c r="GY282" s="16"/>
      <c r="GZ282" s="17"/>
      <c r="HD282" s="24"/>
      <c r="HE282" s="60"/>
      <c r="HF282" s="16"/>
      <c r="HG282" s="16"/>
      <c r="HH282" s="16"/>
      <c r="HI282" s="16"/>
      <c r="HJ282" s="16"/>
      <c r="HK282" s="17"/>
      <c r="HO282" s="24"/>
      <c r="HP282" s="60"/>
      <c r="HQ282" s="16"/>
      <c r="HR282" s="16"/>
      <c r="HS282" s="16"/>
      <c r="HT282" s="16"/>
      <c r="HU282" s="16"/>
      <c r="HV282" s="17"/>
      <c r="HZ282" s="24"/>
      <c r="IA282" s="60"/>
      <c r="IB282" s="16"/>
      <c r="IC282" s="16"/>
      <c r="ID282" s="16"/>
      <c r="IE282" s="16"/>
      <c r="IF282" s="16"/>
      <c r="IG282" s="17"/>
      <c r="IK282" s="24"/>
      <c r="IL282" s="60"/>
      <c r="IM282" s="16"/>
      <c r="IN282" s="16"/>
      <c r="IO282" s="16"/>
      <c r="IP282" s="16"/>
      <c r="IQ282" s="16"/>
      <c r="IR282" s="17"/>
      <c r="IV282" s="24"/>
      <c r="IW282" s="60"/>
      <c r="IX282" s="16"/>
      <c r="IY282" s="16"/>
      <c r="IZ282" s="16"/>
      <c r="JA282" s="16"/>
      <c r="JB282" s="16"/>
      <c r="JC282" s="17"/>
      <c r="JG282" s="24"/>
      <c r="JH282" s="60"/>
      <c r="JI282" s="16"/>
      <c r="JJ282" s="16"/>
      <c r="JK282" s="16"/>
      <c r="JL282" s="16"/>
      <c r="JM282" s="16"/>
      <c r="JN282" s="17"/>
      <c r="JR282" s="24"/>
      <c r="JS282" s="60"/>
      <c r="JT282" s="16"/>
      <c r="JU282" s="16"/>
      <c r="JV282" s="16"/>
      <c r="JW282" s="16"/>
      <c r="JX282" s="16"/>
      <c r="JY282" s="17"/>
      <c r="KC282" s="24"/>
      <c r="KD282" s="60"/>
      <c r="KE282" s="16"/>
      <c r="KF282" s="16"/>
      <c r="KG282" s="16"/>
      <c r="KH282" s="16"/>
      <c r="KI282" s="16"/>
      <c r="KJ282" s="17"/>
      <c r="KN282" s="24"/>
      <c r="KO282" s="60"/>
      <c r="KP282" s="16"/>
      <c r="KQ282" s="16"/>
      <c r="KR282" s="16"/>
      <c r="KS282" s="16"/>
      <c r="KT282" s="16"/>
      <c r="KU282" s="17"/>
      <c r="KY282" s="24"/>
      <c r="KZ282" s="60"/>
      <c r="LA282" s="16"/>
      <c r="LB282" s="16"/>
      <c r="LC282" s="16"/>
      <c r="LD282" s="16"/>
      <c r="LE282" s="16"/>
      <c r="LF282" s="17"/>
      <c r="LJ282" s="24"/>
      <c r="LK282" s="60"/>
      <c r="LL282" s="16"/>
      <c r="LM282" s="16"/>
      <c r="LN282" s="16"/>
      <c r="LO282" s="16"/>
      <c r="LP282" s="16"/>
      <c r="LQ282" s="17"/>
    </row>
    <row r="283">
      <c r="C283" s="31"/>
      <c r="D283" s="61"/>
      <c r="E283" s="16"/>
      <c r="F283" s="16"/>
      <c r="G283" s="21"/>
      <c r="H283" s="16"/>
      <c r="I283" s="16"/>
      <c r="J283" s="17"/>
      <c r="N283" s="17"/>
      <c r="O283" s="61"/>
      <c r="P283" s="16"/>
      <c r="Q283" s="16"/>
      <c r="R283" s="16"/>
      <c r="S283" s="16"/>
      <c r="T283" s="16"/>
      <c r="U283" s="17"/>
      <c r="Y283" s="24"/>
      <c r="Z283" s="61"/>
      <c r="AA283" s="16"/>
      <c r="AB283" s="16"/>
      <c r="AC283" s="16"/>
      <c r="AD283" s="16"/>
      <c r="AE283" s="16"/>
      <c r="AF283" s="17"/>
      <c r="AJ283" s="24"/>
      <c r="AK283" s="61"/>
      <c r="AL283" s="16"/>
      <c r="AM283" s="16"/>
      <c r="AN283" s="16"/>
      <c r="AO283" s="16"/>
      <c r="AP283" s="16"/>
      <c r="AQ283" s="17"/>
      <c r="AU283" s="24"/>
      <c r="AV283" s="61"/>
      <c r="AW283" s="16"/>
      <c r="AX283" s="16"/>
      <c r="AY283" s="16"/>
      <c r="AZ283" s="16"/>
      <c r="BA283" s="16"/>
      <c r="BB283" s="17"/>
      <c r="BF283" s="24"/>
      <c r="BG283" s="61"/>
      <c r="BH283" s="16"/>
      <c r="BI283" s="16"/>
      <c r="BJ283" s="16"/>
      <c r="BK283" s="16"/>
      <c r="BL283" s="16"/>
      <c r="BM283" s="17"/>
      <c r="BQ283" s="24"/>
      <c r="BR283" s="61"/>
      <c r="BS283" s="16"/>
      <c r="BT283" s="16"/>
      <c r="BU283" s="16"/>
      <c r="BV283" s="16"/>
      <c r="BW283" s="16"/>
      <c r="BX283" s="17"/>
      <c r="CB283" s="24"/>
      <c r="CC283" s="61"/>
      <c r="CD283" s="16"/>
      <c r="CE283" s="16"/>
      <c r="CF283" s="16"/>
      <c r="CG283" s="16"/>
      <c r="CH283" s="16"/>
      <c r="CI283" s="17"/>
      <c r="CM283" s="24"/>
      <c r="CN283" s="61"/>
      <c r="CO283" s="16"/>
      <c r="CP283" s="16"/>
      <c r="CQ283" s="16"/>
      <c r="CR283" s="16"/>
      <c r="CS283" s="16"/>
      <c r="CT283" s="17"/>
      <c r="CX283" s="24"/>
      <c r="CY283" s="60"/>
      <c r="CZ283" s="16"/>
      <c r="DA283" s="16"/>
      <c r="DB283" s="16"/>
      <c r="DC283" s="16"/>
      <c r="DD283" s="16"/>
      <c r="DE283" s="17"/>
      <c r="DI283" s="24"/>
      <c r="DJ283" s="60"/>
      <c r="DK283" s="16"/>
      <c r="DL283" s="16"/>
      <c r="DM283" s="16"/>
      <c r="DN283" s="16"/>
      <c r="DO283" s="16"/>
      <c r="DP283" s="17"/>
      <c r="DT283" s="24"/>
      <c r="DU283" s="60"/>
      <c r="DV283" s="16"/>
      <c r="DW283" s="16"/>
      <c r="DX283" s="16"/>
      <c r="DY283" s="16"/>
      <c r="DZ283" s="16"/>
      <c r="EA283" s="17"/>
      <c r="EE283" s="24"/>
      <c r="EF283" s="60"/>
      <c r="EG283" s="16"/>
      <c r="EH283" s="16"/>
      <c r="EI283" s="16"/>
      <c r="EJ283" s="16"/>
      <c r="EK283" s="16"/>
      <c r="EL283" s="17"/>
      <c r="EP283" s="24"/>
      <c r="EQ283" s="60"/>
      <c r="ER283" s="16"/>
      <c r="ES283" s="16"/>
      <c r="ET283" s="16"/>
      <c r="EU283" s="16"/>
      <c r="EV283" s="16"/>
      <c r="EW283" s="17"/>
      <c r="FA283" s="24"/>
      <c r="FB283" s="60"/>
      <c r="FC283" s="16"/>
      <c r="FD283" s="16"/>
      <c r="FE283" s="16"/>
      <c r="FF283" s="16"/>
      <c r="FG283" s="16"/>
      <c r="FH283" s="17"/>
      <c r="FL283" s="24"/>
      <c r="FM283" s="60"/>
      <c r="FN283" s="16"/>
      <c r="FO283" s="16"/>
      <c r="FP283" s="16"/>
      <c r="FQ283" s="16"/>
      <c r="FR283" s="16"/>
      <c r="FS283" s="17"/>
      <c r="FW283" s="24"/>
      <c r="FX283" s="60"/>
      <c r="FY283" s="16"/>
      <c r="FZ283" s="16"/>
      <c r="GA283" s="16"/>
      <c r="GB283" s="16"/>
      <c r="GC283" s="16"/>
      <c r="GD283" s="17"/>
      <c r="GH283" s="24"/>
      <c r="GI283" s="60"/>
      <c r="GJ283" s="16"/>
      <c r="GK283" s="16"/>
      <c r="GL283" s="16"/>
      <c r="GM283" s="16"/>
      <c r="GN283" s="16"/>
      <c r="GO283" s="17"/>
      <c r="GS283" s="24"/>
      <c r="GT283" s="60"/>
      <c r="GU283" s="16"/>
      <c r="GV283" s="16"/>
      <c r="GW283" s="16"/>
      <c r="GX283" s="16"/>
      <c r="GY283" s="16"/>
      <c r="GZ283" s="17"/>
      <c r="HD283" s="24"/>
      <c r="HE283" s="60"/>
      <c r="HF283" s="16"/>
      <c r="HG283" s="16"/>
      <c r="HH283" s="16"/>
      <c r="HI283" s="16"/>
      <c r="HJ283" s="16"/>
      <c r="HK283" s="17"/>
      <c r="HO283" s="24"/>
      <c r="HP283" s="60"/>
      <c r="HQ283" s="16"/>
      <c r="HR283" s="16"/>
      <c r="HS283" s="16"/>
      <c r="HT283" s="16"/>
      <c r="HU283" s="16"/>
      <c r="HV283" s="17"/>
      <c r="HZ283" s="24"/>
      <c r="IA283" s="60"/>
      <c r="IB283" s="16"/>
      <c r="IC283" s="16"/>
      <c r="ID283" s="16"/>
      <c r="IE283" s="16"/>
      <c r="IF283" s="16"/>
      <c r="IG283" s="17"/>
      <c r="IK283" s="24"/>
      <c r="IL283" s="60"/>
      <c r="IM283" s="16"/>
      <c r="IN283" s="16"/>
      <c r="IO283" s="16"/>
      <c r="IP283" s="16"/>
      <c r="IQ283" s="16"/>
      <c r="IR283" s="17"/>
      <c r="IV283" s="24"/>
      <c r="IW283" s="60"/>
      <c r="IX283" s="16"/>
      <c r="IY283" s="16"/>
      <c r="IZ283" s="16"/>
      <c r="JA283" s="16"/>
      <c r="JB283" s="16"/>
      <c r="JC283" s="17"/>
      <c r="JG283" s="24"/>
      <c r="JH283" s="60"/>
      <c r="JI283" s="16"/>
      <c r="JJ283" s="16"/>
      <c r="JK283" s="16"/>
      <c r="JL283" s="16"/>
      <c r="JM283" s="16"/>
      <c r="JN283" s="17"/>
      <c r="JR283" s="24"/>
      <c r="JS283" s="60"/>
      <c r="JT283" s="16"/>
      <c r="JU283" s="16"/>
      <c r="JV283" s="16"/>
      <c r="JW283" s="16"/>
      <c r="JX283" s="16"/>
      <c r="JY283" s="17"/>
      <c r="KC283" s="24"/>
      <c r="KD283" s="60"/>
      <c r="KE283" s="16"/>
      <c r="KF283" s="16"/>
      <c r="KG283" s="16"/>
      <c r="KH283" s="16"/>
      <c r="KI283" s="16"/>
      <c r="KJ283" s="17"/>
      <c r="KN283" s="24"/>
      <c r="KO283" s="60"/>
      <c r="KP283" s="16"/>
      <c r="KQ283" s="16"/>
      <c r="KR283" s="16"/>
      <c r="KS283" s="16"/>
      <c r="KT283" s="16"/>
      <c r="KU283" s="17"/>
      <c r="KY283" s="24"/>
      <c r="KZ283" s="60"/>
      <c r="LA283" s="16"/>
      <c r="LB283" s="16"/>
      <c r="LC283" s="16"/>
      <c r="LD283" s="16"/>
      <c r="LE283" s="16"/>
      <c r="LF283" s="17"/>
      <c r="LJ283" s="24"/>
      <c r="LK283" s="60"/>
      <c r="LL283" s="16"/>
      <c r="LM283" s="16"/>
      <c r="LN283" s="16"/>
      <c r="LO283" s="16"/>
      <c r="LP283" s="16"/>
      <c r="LQ283" s="17"/>
    </row>
    <row r="284">
      <c r="C284" s="31"/>
      <c r="D284" s="61"/>
      <c r="E284" s="16"/>
      <c r="F284" s="16"/>
      <c r="G284" s="21"/>
      <c r="H284" s="16"/>
      <c r="I284" s="16"/>
      <c r="J284" s="17"/>
      <c r="N284" s="17"/>
      <c r="O284" s="61"/>
      <c r="P284" s="16"/>
      <c r="Q284" s="16"/>
      <c r="R284" s="16"/>
      <c r="S284" s="16"/>
      <c r="T284" s="16"/>
      <c r="U284" s="17"/>
      <c r="Y284" s="24"/>
      <c r="Z284" s="61"/>
      <c r="AA284" s="16"/>
      <c r="AB284" s="16"/>
      <c r="AC284" s="16"/>
      <c r="AD284" s="16"/>
      <c r="AE284" s="16"/>
      <c r="AF284" s="17"/>
      <c r="AJ284" s="24"/>
      <c r="AK284" s="61"/>
      <c r="AL284" s="16"/>
      <c r="AM284" s="16"/>
      <c r="AN284" s="16"/>
      <c r="AO284" s="16"/>
      <c r="AP284" s="16"/>
      <c r="AQ284" s="17"/>
      <c r="AU284" s="24"/>
      <c r="AV284" s="61"/>
      <c r="AW284" s="16"/>
      <c r="AX284" s="16"/>
      <c r="AY284" s="16"/>
      <c r="AZ284" s="16"/>
      <c r="BA284" s="16"/>
      <c r="BB284" s="17"/>
      <c r="BF284" s="24"/>
      <c r="BG284" s="61"/>
      <c r="BH284" s="16"/>
      <c r="BI284" s="16"/>
      <c r="BJ284" s="16"/>
      <c r="BK284" s="16"/>
      <c r="BL284" s="16"/>
      <c r="BM284" s="17"/>
      <c r="BQ284" s="24"/>
      <c r="BR284" s="61"/>
      <c r="BS284" s="16"/>
      <c r="BT284" s="16"/>
      <c r="BU284" s="16"/>
      <c r="BV284" s="16"/>
      <c r="BW284" s="16"/>
      <c r="BX284" s="17"/>
      <c r="CB284" s="24"/>
      <c r="CC284" s="61"/>
      <c r="CD284" s="16"/>
      <c r="CE284" s="16"/>
      <c r="CF284" s="16"/>
      <c r="CG284" s="16"/>
      <c r="CH284" s="16"/>
      <c r="CI284" s="17"/>
      <c r="CM284" s="24"/>
      <c r="CN284" s="61"/>
      <c r="CO284" s="16"/>
      <c r="CP284" s="16"/>
      <c r="CQ284" s="16"/>
      <c r="CR284" s="16"/>
      <c r="CS284" s="16"/>
      <c r="CT284" s="17"/>
      <c r="CX284" s="24"/>
      <c r="CY284" s="60"/>
      <c r="CZ284" s="16"/>
      <c r="DA284" s="16"/>
      <c r="DB284" s="16"/>
      <c r="DC284" s="16"/>
      <c r="DD284" s="16"/>
      <c r="DE284" s="17"/>
      <c r="DI284" s="24"/>
      <c r="DJ284" s="60"/>
      <c r="DK284" s="16"/>
      <c r="DL284" s="16"/>
      <c r="DM284" s="16"/>
      <c r="DN284" s="16"/>
      <c r="DO284" s="16"/>
      <c r="DP284" s="17"/>
      <c r="DT284" s="24"/>
      <c r="DU284" s="60"/>
      <c r="DV284" s="16"/>
      <c r="DW284" s="16"/>
      <c r="DX284" s="16"/>
      <c r="DY284" s="16"/>
      <c r="DZ284" s="16"/>
      <c r="EA284" s="17"/>
      <c r="EE284" s="24"/>
      <c r="EF284" s="60"/>
      <c r="EG284" s="16"/>
      <c r="EH284" s="16"/>
      <c r="EI284" s="16"/>
      <c r="EJ284" s="16"/>
      <c r="EK284" s="16"/>
      <c r="EL284" s="17"/>
      <c r="EP284" s="24"/>
      <c r="EQ284" s="60"/>
      <c r="ER284" s="16"/>
      <c r="ES284" s="16"/>
      <c r="ET284" s="16"/>
      <c r="EU284" s="16"/>
      <c r="EV284" s="16"/>
      <c r="EW284" s="17"/>
      <c r="FA284" s="24"/>
      <c r="FB284" s="60"/>
      <c r="FC284" s="16"/>
      <c r="FD284" s="16"/>
      <c r="FE284" s="16"/>
      <c r="FF284" s="16"/>
      <c r="FG284" s="16"/>
      <c r="FH284" s="17"/>
      <c r="FL284" s="24"/>
      <c r="FM284" s="60"/>
      <c r="FN284" s="16"/>
      <c r="FO284" s="16"/>
      <c r="FP284" s="16"/>
      <c r="FQ284" s="16"/>
      <c r="FR284" s="16"/>
      <c r="FS284" s="17"/>
      <c r="FW284" s="24"/>
      <c r="FX284" s="60"/>
      <c r="FY284" s="16"/>
      <c r="FZ284" s="16"/>
      <c r="GA284" s="16"/>
      <c r="GB284" s="16"/>
      <c r="GC284" s="16"/>
      <c r="GD284" s="17"/>
      <c r="GH284" s="24"/>
      <c r="GI284" s="60"/>
      <c r="GJ284" s="16"/>
      <c r="GK284" s="16"/>
      <c r="GL284" s="16"/>
      <c r="GM284" s="16"/>
      <c r="GN284" s="16"/>
      <c r="GO284" s="17"/>
      <c r="GS284" s="24"/>
      <c r="GT284" s="60"/>
      <c r="GU284" s="16"/>
      <c r="GV284" s="16"/>
      <c r="GW284" s="16"/>
      <c r="GX284" s="16"/>
      <c r="GY284" s="16"/>
      <c r="GZ284" s="17"/>
      <c r="HD284" s="24"/>
      <c r="HE284" s="60"/>
      <c r="HF284" s="16"/>
      <c r="HG284" s="16"/>
      <c r="HH284" s="16"/>
      <c r="HI284" s="16"/>
      <c r="HJ284" s="16"/>
      <c r="HK284" s="17"/>
      <c r="HO284" s="24"/>
      <c r="HP284" s="60"/>
      <c r="HQ284" s="16"/>
      <c r="HR284" s="16"/>
      <c r="HS284" s="16"/>
      <c r="HT284" s="16"/>
      <c r="HU284" s="16"/>
      <c r="HV284" s="17"/>
      <c r="HZ284" s="24"/>
      <c r="IA284" s="60"/>
      <c r="IB284" s="16"/>
      <c r="IC284" s="16"/>
      <c r="ID284" s="16"/>
      <c r="IE284" s="16"/>
      <c r="IF284" s="16"/>
      <c r="IG284" s="17"/>
      <c r="IK284" s="24"/>
      <c r="IL284" s="60"/>
      <c r="IM284" s="16"/>
      <c r="IN284" s="16"/>
      <c r="IO284" s="16"/>
      <c r="IP284" s="16"/>
      <c r="IQ284" s="16"/>
      <c r="IR284" s="17"/>
      <c r="IV284" s="24"/>
      <c r="IW284" s="60"/>
      <c r="IX284" s="16"/>
      <c r="IY284" s="16"/>
      <c r="IZ284" s="16"/>
      <c r="JA284" s="16"/>
      <c r="JB284" s="16"/>
      <c r="JC284" s="17"/>
      <c r="JG284" s="24"/>
      <c r="JH284" s="60"/>
      <c r="JI284" s="16"/>
      <c r="JJ284" s="16"/>
      <c r="JK284" s="16"/>
      <c r="JL284" s="16"/>
      <c r="JM284" s="16"/>
      <c r="JN284" s="17"/>
      <c r="JR284" s="24"/>
      <c r="JS284" s="60"/>
      <c r="JT284" s="16"/>
      <c r="JU284" s="16"/>
      <c r="JV284" s="16"/>
      <c r="JW284" s="16"/>
      <c r="JX284" s="16"/>
      <c r="JY284" s="17"/>
      <c r="KC284" s="24"/>
      <c r="KD284" s="60"/>
      <c r="KE284" s="16"/>
      <c r="KF284" s="16"/>
      <c r="KG284" s="16"/>
      <c r="KH284" s="16"/>
      <c r="KI284" s="16"/>
      <c r="KJ284" s="17"/>
      <c r="KN284" s="24"/>
      <c r="KO284" s="60"/>
      <c r="KP284" s="16"/>
      <c r="KQ284" s="16"/>
      <c r="KR284" s="16"/>
      <c r="KS284" s="16"/>
      <c r="KT284" s="16"/>
      <c r="KU284" s="17"/>
      <c r="KY284" s="24"/>
      <c r="KZ284" s="60"/>
      <c r="LA284" s="16"/>
      <c r="LB284" s="16"/>
      <c r="LC284" s="16"/>
      <c r="LD284" s="16"/>
      <c r="LE284" s="16"/>
      <c r="LF284" s="17"/>
      <c r="LJ284" s="24"/>
      <c r="LK284" s="60"/>
      <c r="LL284" s="16"/>
      <c r="LM284" s="16"/>
      <c r="LN284" s="16"/>
      <c r="LO284" s="16"/>
      <c r="LP284" s="16"/>
      <c r="LQ284" s="17"/>
    </row>
    <row r="285">
      <c r="C285" s="31"/>
      <c r="D285" s="61"/>
      <c r="E285" s="16"/>
      <c r="F285" s="16"/>
      <c r="G285" s="21"/>
      <c r="H285" s="16"/>
      <c r="I285" s="16"/>
      <c r="J285" s="17"/>
      <c r="N285" s="17"/>
      <c r="O285" s="61"/>
      <c r="P285" s="16"/>
      <c r="Q285" s="16"/>
      <c r="R285" s="16"/>
      <c r="S285" s="16"/>
      <c r="T285" s="16"/>
      <c r="U285" s="17"/>
      <c r="Y285" s="24"/>
      <c r="Z285" s="61"/>
      <c r="AA285" s="16"/>
      <c r="AB285" s="16"/>
      <c r="AC285" s="16"/>
      <c r="AD285" s="16"/>
      <c r="AE285" s="16"/>
      <c r="AF285" s="17"/>
      <c r="AJ285" s="24"/>
      <c r="AK285" s="61"/>
      <c r="AL285" s="16"/>
      <c r="AM285" s="16"/>
      <c r="AN285" s="16"/>
      <c r="AO285" s="16"/>
      <c r="AP285" s="16"/>
      <c r="AQ285" s="17"/>
      <c r="AU285" s="24"/>
      <c r="AV285" s="61"/>
      <c r="AW285" s="16"/>
      <c r="AX285" s="16"/>
      <c r="AY285" s="16"/>
      <c r="AZ285" s="16"/>
      <c r="BA285" s="16"/>
      <c r="BB285" s="17"/>
      <c r="BF285" s="24"/>
      <c r="BG285" s="61"/>
      <c r="BH285" s="16"/>
      <c r="BI285" s="16"/>
      <c r="BJ285" s="16"/>
      <c r="BK285" s="16"/>
      <c r="BL285" s="16"/>
      <c r="BM285" s="17"/>
      <c r="BQ285" s="24"/>
      <c r="BR285" s="61"/>
      <c r="BS285" s="16"/>
      <c r="BT285" s="16"/>
      <c r="BU285" s="16"/>
      <c r="BV285" s="16"/>
      <c r="BW285" s="16"/>
      <c r="BX285" s="17"/>
      <c r="CB285" s="24"/>
      <c r="CC285" s="61"/>
      <c r="CD285" s="16"/>
      <c r="CE285" s="16"/>
      <c r="CF285" s="16"/>
      <c r="CG285" s="16"/>
      <c r="CH285" s="16"/>
      <c r="CI285" s="17"/>
      <c r="CM285" s="24"/>
      <c r="CN285" s="61"/>
      <c r="CO285" s="16"/>
      <c r="CP285" s="16"/>
      <c r="CQ285" s="16"/>
      <c r="CR285" s="16"/>
      <c r="CS285" s="16"/>
      <c r="CT285" s="17"/>
      <c r="CX285" s="24"/>
      <c r="CY285" s="60"/>
      <c r="CZ285" s="16"/>
      <c r="DA285" s="16"/>
      <c r="DB285" s="16"/>
      <c r="DC285" s="16"/>
      <c r="DD285" s="16"/>
      <c r="DE285" s="17"/>
      <c r="DI285" s="24"/>
      <c r="DJ285" s="60"/>
      <c r="DK285" s="16"/>
      <c r="DL285" s="16"/>
      <c r="DM285" s="16"/>
      <c r="DN285" s="16"/>
      <c r="DO285" s="16"/>
      <c r="DP285" s="17"/>
      <c r="DT285" s="24"/>
      <c r="DU285" s="60"/>
      <c r="DV285" s="16"/>
      <c r="DW285" s="16"/>
      <c r="DX285" s="16"/>
      <c r="DY285" s="16"/>
      <c r="DZ285" s="16"/>
      <c r="EA285" s="17"/>
      <c r="EE285" s="24"/>
      <c r="EF285" s="60"/>
      <c r="EG285" s="16"/>
      <c r="EH285" s="16"/>
      <c r="EI285" s="16"/>
      <c r="EJ285" s="16"/>
      <c r="EK285" s="16"/>
      <c r="EL285" s="17"/>
      <c r="EP285" s="24"/>
      <c r="EQ285" s="60"/>
      <c r="ER285" s="16"/>
      <c r="ES285" s="16"/>
      <c r="ET285" s="16"/>
      <c r="EU285" s="16"/>
      <c r="EV285" s="16"/>
      <c r="EW285" s="17"/>
      <c r="FA285" s="24"/>
      <c r="FB285" s="60"/>
      <c r="FC285" s="16"/>
      <c r="FD285" s="16"/>
      <c r="FE285" s="16"/>
      <c r="FF285" s="16"/>
      <c r="FG285" s="16"/>
      <c r="FH285" s="17"/>
      <c r="FL285" s="24"/>
      <c r="FM285" s="60"/>
      <c r="FN285" s="16"/>
      <c r="FO285" s="16"/>
      <c r="FP285" s="16"/>
      <c r="FQ285" s="16"/>
      <c r="FR285" s="16"/>
      <c r="FS285" s="17"/>
      <c r="FW285" s="24"/>
      <c r="FX285" s="60"/>
      <c r="FY285" s="16"/>
      <c r="FZ285" s="16"/>
      <c r="GA285" s="16"/>
      <c r="GB285" s="16"/>
      <c r="GC285" s="16"/>
      <c r="GD285" s="17"/>
      <c r="GH285" s="24"/>
      <c r="GI285" s="60"/>
      <c r="GJ285" s="16"/>
      <c r="GK285" s="16"/>
      <c r="GL285" s="16"/>
      <c r="GM285" s="16"/>
      <c r="GN285" s="16"/>
      <c r="GO285" s="17"/>
      <c r="GS285" s="24"/>
      <c r="GT285" s="60"/>
      <c r="GU285" s="16"/>
      <c r="GV285" s="16"/>
      <c r="GW285" s="16"/>
      <c r="GX285" s="16"/>
      <c r="GY285" s="16"/>
      <c r="GZ285" s="17"/>
      <c r="HD285" s="24"/>
      <c r="HE285" s="60"/>
      <c r="HF285" s="16"/>
      <c r="HG285" s="16"/>
      <c r="HH285" s="16"/>
      <c r="HI285" s="16"/>
      <c r="HJ285" s="16"/>
      <c r="HK285" s="17"/>
      <c r="HO285" s="24"/>
      <c r="HP285" s="60"/>
      <c r="HQ285" s="16"/>
      <c r="HR285" s="16"/>
      <c r="HS285" s="16"/>
      <c r="HT285" s="16"/>
      <c r="HU285" s="16"/>
      <c r="HV285" s="17"/>
      <c r="HZ285" s="24"/>
      <c r="IA285" s="60"/>
      <c r="IB285" s="16"/>
      <c r="IC285" s="16"/>
      <c r="ID285" s="16"/>
      <c r="IE285" s="16"/>
      <c r="IF285" s="16"/>
      <c r="IG285" s="17"/>
      <c r="IK285" s="24"/>
      <c r="IL285" s="60"/>
      <c r="IM285" s="16"/>
      <c r="IN285" s="16"/>
      <c r="IO285" s="16"/>
      <c r="IP285" s="16"/>
      <c r="IQ285" s="16"/>
      <c r="IR285" s="17"/>
      <c r="IV285" s="24"/>
      <c r="IW285" s="60"/>
      <c r="IX285" s="16"/>
      <c r="IY285" s="16"/>
      <c r="IZ285" s="16"/>
      <c r="JA285" s="16"/>
      <c r="JB285" s="16"/>
      <c r="JC285" s="17"/>
      <c r="JG285" s="24"/>
      <c r="JH285" s="60"/>
      <c r="JI285" s="16"/>
      <c r="JJ285" s="16"/>
      <c r="JK285" s="16"/>
      <c r="JL285" s="16"/>
      <c r="JM285" s="16"/>
      <c r="JN285" s="17"/>
      <c r="JR285" s="24"/>
      <c r="JS285" s="60"/>
      <c r="JT285" s="16"/>
      <c r="JU285" s="16"/>
      <c r="JV285" s="16"/>
      <c r="JW285" s="16"/>
      <c r="JX285" s="16"/>
      <c r="JY285" s="17"/>
      <c r="KC285" s="24"/>
      <c r="KD285" s="60"/>
      <c r="KE285" s="16"/>
      <c r="KF285" s="16"/>
      <c r="KG285" s="16"/>
      <c r="KH285" s="16"/>
      <c r="KI285" s="16"/>
      <c r="KJ285" s="17"/>
      <c r="KN285" s="24"/>
      <c r="KO285" s="60"/>
      <c r="KP285" s="16"/>
      <c r="KQ285" s="16"/>
      <c r="KR285" s="16"/>
      <c r="KS285" s="16"/>
      <c r="KT285" s="16"/>
      <c r="KU285" s="17"/>
      <c r="KY285" s="24"/>
      <c r="KZ285" s="60"/>
      <c r="LA285" s="16"/>
      <c r="LB285" s="16"/>
      <c r="LC285" s="16"/>
      <c r="LD285" s="16"/>
      <c r="LE285" s="16"/>
      <c r="LF285" s="17"/>
      <c r="LJ285" s="24"/>
      <c r="LK285" s="60"/>
      <c r="LL285" s="16"/>
      <c r="LM285" s="16"/>
      <c r="LN285" s="16"/>
      <c r="LO285" s="16"/>
      <c r="LP285" s="16"/>
      <c r="LQ285" s="17"/>
    </row>
    <row r="286">
      <c r="C286" s="31"/>
      <c r="D286" s="61"/>
      <c r="E286" s="16"/>
      <c r="F286" s="16"/>
      <c r="G286" s="21"/>
      <c r="H286" s="16"/>
      <c r="I286" s="16"/>
      <c r="J286" s="17"/>
      <c r="N286" s="17"/>
      <c r="O286" s="61"/>
      <c r="P286" s="16"/>
      <c r="Q286" s="16"/>
      <c r="R286" s="16"/>
      <c r="S286" s="16"/>
      <c r="T286" s="16"/>
      <c r="U286" s="17"/>
      <c r="Y286" s="24"/>
      <c r="Z286" s="61"/>
      <c r="AA286" s="16"/>
      <c r="AB286" s="16"/>
      <c r="AC286" s="16"/>
      <c r="AD286" s="16"/>
      <c r="AE286" s="16"/>
      <c r="AF286" s="17"/>
      <c r="AJ286" s="24"/>
      <c r="AK286" s="61"/>
      <c r="AL286" s="16"/>
      <c r="AM286" s="16"/>
      <c r="AN286" s="16"/>
      <c r="AO286" s="16"/>
      <c r="AP286" s="16"/>
      <c r="AQ286" s="17"/>
      <c r="AU286" s="24"/>
      <c r="AV286" s="61"/>
      <c r="AW286" s="16"/>
      <c r="AX286" s="16"/>
      <c r="AY286" s="16"/>
      <c r="AZ286" s="16"/>
      <c r="BA286" s="16"/>
      <c r="BB286" s="17"/>
      <c r="BF286" s="24"/>
      <c r="BG286" s="61"/>
      <c r="BH286" s="16"/>
      <c r="BI286" s="16"/>
      <c r="BJ286" s="16"/>
      <c r="BK286" s="16"/>
      <c r="BL286" s="16"/>
      <c r="BM286" s="17"/>
      <c r="BQ286" s="24"/>
      <c r="BR286" s="61"/>
      <c r="BS286" s="16"/>
      <c r="BT286" s="16"/>
      <c r="BU286" s="16"/>
      <c r="BV286" s="16"/>
      <c r="BW286" s="16"/>
      <c r="BX286" s="17"/>
      <c r="CB286" s="24"/>
      <c r="CC286" s="61"/>
      <c r="CD286" s="16"/>
      <c r="CE286" s="16"/>
      <c r="CF286" s="16"/>
      <c r="CG286" s="16"/>
      <c r="CH286" s="16"/>
      <c r="CI286" s="17"/>
      <c r="CM286" s="24"/>
      <c r="CN286" s="61"/>
      <c r="CO286" s="16"/>
      <c r="CP286" s="16"/>
      <c r="CQ286" s="16"/>
      <c r="CR286" s="16"/>
      <c r="CS286" s="16"/>
      <c r="CT286" s="17"/>
      <c r="CX286" s="24"/>
      <c r="CY286" s="60"/>
      <c r="CZ286" s="16"/>
      <c r="DA286" s="16"/>
      <c r="DB286" s="16"/>
      <c r="DC286" s="16"/>
      <c r="DD286" s="16"/>
      <c r="DE286" s="17"/>
      <c r="DI286" s="24"/>
      <c r="DJ286" s="60"/>
      <c r="DK286" s="16"/>
      <c r="DL286" s="16"/>
      <c r="DM286" s="16"/>
      <c r="DN286" s="16"/>
      <c r="DO286" s="16"/>
      <c r="DP286" s="17"/>
      <c r="DT286" s="24"/>
      <c r="DU286" s="60"/>
      <c r="DV286" s="16"/>
      <c r="DW286" s="16"/>
      <c r="DX286" s="16"/>
      <c r="DY286" s="16"/>
      <c r="DZ286" s="16"/>
      <c r="EA286" s="17"/>
      <c r="EE286" s="24"/>
      <c r="EF286" s="60"/>
      <c r="EG286" s="16"/>
      <c r="EH286" s="16"/>
      <c r="EI286" s="16"/>
      <c r="EJ286" s="16"/>
      <c r="EK286" s="16"/>
      <c r="EL286" s="17"/>
      <c r="EP286" s="24"/>
      <c r="EQ286" s="60"/>
      <c r="ER286" s="16"/>
      <c r="ES286" s="16"/>
      <c r="ET286" s="16"/>
      <c r="EU286" s="16"/>
      <c r="EV286" s="16"/>
      <c r="EW286" s="17"/>
      <c r="FA286" s="24"/>
      <c r="FB286" s="60"/>
      <c r="FC286" s="16"/>
      <c r="FD286" s="16"/>
      <c r="FE286" s="16"/>
      <c r="FF286" s="16"/>
      <c r="FG286" s="16"/>
      <c r="FH286" s="17"/>
      <c r="FL286" s="24"/>
      <c r="FM286" s="60"/>
      <c r="FN286" s="16"/>
      <c r="FO286" s="16"/>
      <c r="FP286" s="16"/>
      <c r="FQ286" s="16"/>
      <c r="FR286" s="16"/>
      <c r="FS286" s="17"/>
      <c r="FW286" s="24"/>
      <c r="FX286" s="60"/>
      <c r="FY286" s="16"/>
      <c r="FZ286" s="16"/>
      <c r="GA286" s="16"/>
      <c r="GB286" s="16"/>
      <c r="GC286" s="16"/>
      <c r="GD286" s="17"/>
      <c r="GH286" s="24"/>
      <c r="GI286" s="60"/>
      <c r="GJ286" s="16"/>
      <c r="GK286" s="16"/>
      <c r="GL286" s="16"/>
      <c r="GM286" s="16"/>
      <c r="GN286" s="16"/>
      <c r="GO286" s="17"/>
      <c r="GS286" s="24"/>
      <c r="GT286" s="60"/>
      <c r="GU286" s="16"/>
      <c r="GV286" s="16"/>
      <c r="GW286" s="16"/>
      <c r="GX286" s="16"/>
      <c r="GY286" s="16"/>
      <c r="GZ286" s="17"/>
      <c r="HD286" s="24"/>
      <c r="HE286" s="60"/>
      <c r="HF286" s="16"/>
      <c r="HG286" s="16"/>
      <c r="HH286" s="16"/>
      <c r="HI286" s="16"/>
      <c r="HJ286" s="16"/>
      <c r="HK286" s="17"/>
      <c r="HO286" s="24"/>
      <c r="HP286" s="60"/>
      <c r="HQ286" s="16"/>
      <c r="HR286" s="16"/>
      <c r="HS286" s="16"/>
      <c r="HT286" s="16"/>
      <c r="HU286" s="16"/>
      <c r="HV286" s="17"/>
      <c r="HZ286" s="24"/>
      <c r="IA286" s="60"/>
      <c r="IB286" s="16"/>
      <c r="IC286" s="16"/>
      <c r="ID286" s="16"/>
      <c r="IE286" s="16"/>
      <c r="IF286" s="16"/>
      <c r="IG286" s="17"/>
      <c r="IK286" s="24"/>
      <c r="IL286" s="60"/>
      <c r="IM286" s="16"/>
      <c r="IN286" s="16"/>
      <c r="IO286" s="16"/>
      <c r="IP286" s="16"/>
      <c r="IQ286" s="16"/>
      <c r="IR286" s="17"/>
      <c r="IV286" s="24"/>
      <c r="IW286" s="60"/>
      <c r="IX286" s="16"/>
      <c r="IY286" s="16"/>
      <c r="IZ286" s="16"/>
      <c r="JA286" s="16"/>
      <c r="JB286" s="16"/>
      <c r="JC286" s="17"/>
      <c r="JG286" s="24"/>
      <c r="JH286" s="60"/>
      <c r="JI286" s="16"/>
      <c r="JJ286" s="16"/>
      <c r="JK286" s="16"/>
      <c r="JL286" s="16"/>
      <c r="JM286" s="16"/>
      <c r="JN286" s="17"/>
      <c r="JR286" s="24"/>
      <c r="JS286" s="60"/>
      <c r="JT286" s="16"/>
      <c r="JU286" s="16"/>
      <c r="JV286" s="16"/>
      <c r="JW286" s="16"/>
      <c r="JX286" s="16"/>
      <c r="JY286" s="17"/>
      <c r="KC286" s="24"/>
      <c r="KD286" s="60"/>
      <c r="KE286" s="16"/>
      <c r="KF286" s="16"/>
      <c r="KG286" s="16"/>
      <c r="KH286" s="16"/>
      <c r="KI286" s="16"/>
      <c r="KJ286" s="17"/>
      <c r="KN286" s="24"/>
      <c r="KO286" s="60"/>
      <c r="KP286" s="16"/>
      <c r="KQ286" s="16"/>
      <c r="KR286" s="16"/>
      <c r="KS286" s="16"/>
      <c r="KT286" s="16"/>
      <c r="KU286" s="17"/>
      <c r="KY286" s="24"/>
      <c r="KZ286" s="60"/>
      <c r="LA286" s="16"/>
      <c r="LB286" s="16"/>
      <c r="LC286" s="16"/>
      <c r="LD286" s="16"/>
      <c r="LE286" s="16"/>
      <c r="LF286" s="17"/>
      <c r="LJ286" s="24"/>
      <c r="LK286" s="60"/>
      <c r="LL286" s="16"/>
      <c r="LM286" s="16"/>
      <c r="LN286" s="16"/>
      <c r="LO286" s="16"/>
      <c r="LP286" s="16"/>
      <c r="LQ286" s="17"/>
    </row>
    <row r="287">
      <c r="C287" s="31"/>
      <c r="D287" s="61"/>
      <c r="E287" s="16"/>
      <c r="F287" s="16"/>
      <c r="G287" s="21"/>
      <c r="H287" s="16"/>
      <c r="I287" s="16"/>
      <c r="J287" s="17"/>
      <c r="N287" s="17"/>
      <c r="O287" s="61"/>
      <c r="P287" s="16"/>
      <c r="Q287" s="16"/>
      <c r="R287" s="16"/>
      <c r="S287" s="16"/>
      <c r="T287" s="16"/>
      <c r="U287" s="17"/>
      <c r="Y287" s="24"/>
      <c r="Z287" s="61"/>
      <c r="AA287" s="16"/>
      <c r="AB287" s="16"/>
      <c r="AC287" s="16"/>
      <c r="AD287" s="16"/>
      <c r="AE287" s="16"/>
      <c r="AF287" s="17"/>
      <c r="AJ287" s="24"/>
      <c r="AK287" s="61"/>
      <c r="AL287" s="16"/>
      <c r="AM287" s="16"/>
      <c r="AN287" s="16"/>
      <c r="AO287" s="16"/>
      <c r="AP287" s="16"/>
      <c r="AQ287" s="17"/>
      <c r="AU287" s="24"/>
      <c r="AV287" s="61"/>
      <c r="AW287" s="16"/>
      <c r="AX287" s="16"/>
      <c r="AY287" s="16"/>
      <c r="AZ287" s="16"/>
      <c r="BA287" s="16"/>
      <c r="BB287" s="17"/>
      <c r="BF287" s="24"/>
      <c r="BG287" s="61"/>
      <c r="BH287" s="16"/>
      <c r="BI287" s="16"/>
      <c r="BJ287" s="16"/>
      <c r="BK287" s="16"/>
      <c r="BL287" s="16"/>
      <c r="BM287" s="17"/>
      <c r="BQ287" s="24"/>
      <c r="BR287" s="61"/>
      <c r="BS287" s="16"/>
      <c r="BT287" s="16"/>
      <c r="BU287" s="16"/>
      <c r="BV287" s="16"/>
      <c r="BW287" s="16"/>
      <c r="BX287" s="17"/>
      <c r="CB287" s="24"/>
      <c r="CC287" s="61"/>
      <c r="CD287" s="16"/>
      <c r="CE287" s="16"/>
      <c r="CF287" s="16"/>
      <c r="CG287" s="16"/>
      <c r="CH287" s="16"/>
      <c r="CI287" s="17"/>
      <c r="CM287" s="24"/>
      <c r="CN287" s="61"/>
      <c r="CO287" s="16"/>
      <c r="CP287" s="16"/>
      <c r="CQ287" s="16"/>
      <c r="CR287" s="16"/>
      <c r="CS287" s="16"/>
      <c r="CT287" s="17"/>
      <c r="CX287" s="24"/>
      <c r="CY287" s="60"/>
      <c r="CZ287" s="16"/>
      <c r="DA287" s="16"/>
      <c r="DB287" s="16"/>
      <c r="DC287" s="16"/>
      <c r="DD287" s="16"/>
      <c r="DE287" s="17"/>
      <c r="DI287" s="24"/>
      <c r="DJ287" s="60"/>
      <c r="DK287" s="16"/>
      <c r="DL287" s="16"/>
      <c r="DM287" s="16"/>
      <c r="DN287" s="16"/>
      <c r="DO287" s="16"/>
      <c r="DP287" s="17"/>
      <c r="DT287" s="24"/>
      <c r="DU287" s="60"/>
      <c r="DV287" s="16"/>
      <c r="DW287" s="16"/>
      <c r="DX287" s="16"/>
      <c r="DY287" s="16"/>
      <c r="DZ287" s="16"/>
      <c r="EA287" s="17"/>
      <c r="EE287" s="24"/>
      <c r="EF287" s="60"/>
      <c r="EG287" s="16"/>
      <c r="EH287" s="16"/>
      <c r="EI287" s="16"/>
      <c r="EJ287" s="16"/>
      <c r="EK287" s="16"/>
      <c r="EL287" s="17"/>
      <c r="EP287" s="24"/>
      <c r="EQ287" s="60"/>
      <c r="ER287" s="16"/>
      <c r="ES287" s="16"/>
      <c r="ET287" s="16"/>
      <c r="EU287" s="16"/>
      <c r="EV287" s="16"/>
      <c r="EW287" s="17"/>
      <c r="FA287" s="24"/>
      <c r="FB287" s="60"/>
      <c r="FC287" s="16"/>
      <c r="FD287" s="16"/>
      <c r="FE287" s="16"/>
      <c r="FF287" s="16"/>
      <c r="FG287" s="16"/>
      <c r="FH287" s="17"/>
      <c r="FL287" s="24"/>
      <c r="FM287" s="60"/>
      <c r="FN287" s="16"/>
      <c r="FO287" s="16"/>
      <c r="FP287" s="16"/>
      <c r="FQ287" s="16"/>
      <c r="FR287" s="16"/>
      <c r="FS287" s="17"/>
      <c r="FW287" s="24"/>
      <c r="FX287" s="60"/>
      <c r="FY287" s="16"/>
      <c r="FZ287" s="16"/>
      <c r="GA287" s="16"/>
      <c r="GB287" s="16"/>
      <c r="GC287" s="16"/>
      <c r="GD287" s="17"/>
      <c r="GH287" s="24"/>
      <c r="GI287" s="60"/>
      <c r="GJ287" s="16"/>
      <c r="GK287" s="16"/>
      <c r="GL287" s="16"/>
      <c r="GM287" s="16"/>
      <c r="GN287" s="16"/>
      <c r="GO287" s="17"/>
      <c r="GS287" s="24"/>
      <c r="GT287" s="60"/>
      <c r="GU287" s="16"/>
      <c r="GV287" s="16"/>
      <c r="GW287" s="16"/>
      <c r="GX287" s="16"/>
      <c r="GY287" s="16"/>
      <c r="GZ287" s="17"/>
      <c r="HD287" s="24"/>
      <c r="HE287" s="60"/>
      <c r="HF287" s="16"/>
      <c r="HG287" s="16"/>
      <c r="HH287" s="16"/>
      <c r="HI287" s="16"/>
      <c r="HJ287" s="16"/>
      <c r="HK287" s="17"/>
      <c r="HO287" s="24"/>
      <c r="HP287" s="60"/>
      <c r="HQ287" s="16"/>
      <c r="HR287" s="16"/>
      <c r="HS287" s="16"/>
      <c r="HT287" s="16"/>
      <c r="HU287" s="16"/>
      <c r="HV287" s="17"/>
      <c r="HZ287" s="24"/>
      <c r="IA287" s="60"/>
      <c r="IB287" s="16"/>
      <c r="IC287" s="16"/>
      <c r="ID287" s="16"/>
      <c r="IE287" s="16"/>
      <c r="IF287" s="16"/>
      <c r="IG287" s="17"/>
      <c r="IK287" s="24"/>
      <c r="IL287" s="60"/>
      <c r="IM287" s="16"/>
      <c r="IN287" s="16"/>
      <c r="IO287" s="16"/>
      <c r="IP287" s="16"/>
      <c r="IQ287" s="16"/>
      <c r="IR287" s="17"/>
      <c r="IV287" s="24"/>
      <c r="IW287" s="60"/>
      <c r="IX287" s="16"/>
      <c r="IY287" s="16"/>
      <c r="IZ287" s="16"/>
      <c r="JA287" s="16"/>
      <c r="JB287" s="16"/>
      <c r="JC287" s="17"/>
      <c r="JG287" s="24"/>
      <c r="JH287" s="60"/>
      <c r="JI287" s="16"/>
      <c r="JJ287" s="16"/>
      <c r="JK287" s="16"/>
      <c r="JL287" s="16"/>
      <c r="JM287" s="16"/>
      <c r="JN287" s="17"/>
      <c r="JR287" s="24"/>
      <c r="JS287" s="60"/>
      <c r="JT287" s="16"/>
      <c r="JU287" s="16"/>
      <c r="JV287" s="16"/>
      <c r="JW287" s="16"/>
      <c r="JX287" s="16"/>
      <c r="JY287" s="17"/>
      <c r="KC287" s="24"/>
      <c r="KD287" s="60"/>
      <c r="KE287" s="16"/>
      <c r="KF287" s="16"/>
      <c r="KG287" s="16"/>
      <c r="KH287" s="16"/>
      <c r="KI287" s="16"/>
      <c r="KJ287" s="17"/>
      <c r="KN287" s="24"/>
      <c r="KO287" s="60"/>
      <c r="KP287" s="16"/>
      <c r="KQ287" s="16"/>
      <c r="KR287" s="16"/>
      <c r="KS287" s="16"/>
      <c r="KT287" s="16"/>
      <c r="KU287" s="17"/>
      <c r="KY287" s="24"/>
      <c r="KZ287" s="60"/>
      <c r="LA287" s="16"/>
      <c r="LB287" s="16"/>
      <c r="LC287" s="16"/>
      <c r="LD287" s="16"/>
      <c r="LE287" s="16"/>
      <c r="LF287" s="17"/>
      <c r="LJ287" s="24"/>
      <c r="LK287" s="60"/>
      <c r="LL287" s="16"/>
      <c r="LM287" s="16"/>
      <c r="LN287" s="16"/>
      <c r="LO287" s="16"/>
      <c r="LP287" s="16"/>
      <c r="LQ287" s="17"/>
    </row>
    <row r="288">
      <c r="C288" s="31"/>
      <c r="D288" s="61"/>
      <c r="E288" s="16"/>
      <c r="F288" s="16"/>
      <c r="G288" s="21"/>
      <c r="H288" s="16"/>
      <c r="I288" s="16"/>
      <c r="J288" s="17"/>
      <c r="N288" s="17"/>
      <c r="O288" s="61"/>
      <c r="P288" s="16"/>
      <c r="Q288" s="16"/>
      <c r="R288" s="16"/>
      <c r="S288" s="16"/>
      <c r="T288" s="16"/>
      <c r="U288" s="17"/>
      <c r="Y288" s="24"/>
      <c r="Z288" s="61"/>
      <c r="AA288" s="16"/>
      <c r="AB288" s="16"/>
      <c r="AC288" s="16"/>
      <c r="AD288" s="16"/>
      <c r="AE288" s="16"/>
      <c r="AF288" s="17"/>
      <c r="AJ288" s="24"/>
      <c r="AK288" s="61"/>
      <c r="AL288" s="16"/>
      <c r="AM288" s="16"/>
      <c r="AN288" s="16"/>
      <c r="AO288" s="16"/>
      <c r="AP288" s="16"/>
      <c r="AQ288" s="17"/>
      <c r="AU288" s="24"/>
      <c r="AV288" s="61"/>
      <c r="AW288" s="16"/>
      <c r="AX288" s="16"/>
      <c r="AY288" s="16"/>
      <c r="AZ288" s="16"/>
      <c r="BA288" s="16"/>
      <c r="BB288" s="17"/>
      <c r="BF288" s="24"/>
      <c r="BG288" s="61"/>
      <c r="BH288" s="16"/>
      <c r="BI288" s="16"/>
      <c r="BJ288" s="16"/>
      <c r="BK288" s="16"/>
      <c r="BL288" s="16"/>
      <c r="BM288" s="17"/>
      <c r="BQ288" s="24"/>
      <c r="BR288" s="61"/>
      <c r="BS288" s="16"/>
      <c r="BT288" s="16"/>
      <c r="BU288" s="16"/>
      <c r="BV288" s="16"/>
      <c r="BW288" s="16"/>
      <c r="BX288" s="17"/>
      <c r="CB288" s="24"/>
      <c r="CC288" s="61"/>
      <c r="CD288" s="16"/>
      <c r="CE288" s="16"/>
      <c r="CF288" s="16"/>
      <c r="CG288" s="16"/>
      <c r="CH288" s="16"/>
      <c r="CI288" s="17"/>
      <c r="CM288" s="24"/>
      <c r="CN288" s="61"/>
      <c r="CO288" s="16"/>
      <c r="CP288" s="16"/>
      <c r="CQ288" s="16"/>
      <c r="CR288" s="16"/>
      <c r="CS288" s="16"/>
      <c r="CT288" s="17"/>
      <c r="CX288" s="24"/>
      <c r="CY288" s="60"/>
      <c r="CZ288" s="16"/>
      <c r="DA288" s="16"/>
      <c r="DB288" s="16"/>
      <c r="DC288" s="16"/>
      <c r="DD288" s="16"/>
      <c r="DE288" s="17"/>
      <c r="DI288" s="24"/>
      <c r="DJ288" s="60"/>
      <c r="DK288" s="16"/>
      <c r="DL288" s="16"/>
      <c r="DM288" s="16"/>
      <c r="DN288" s="16"/>
      <c r="DO288" s="16"/>
      <c r="DP288" s="17"/>
      <c r="DT288" s="24"/>
      <c r="DU288" s="60"/>
      <c r="DV288" s="16"/>
      <c r="DW288" s="16"/>
      <c r="DX288" s="16"/>
      <c r="DY288" s="16"/>
      <c r="DZ288" s="16"/>
      <c r="EA288" s="17"/>
      <c r="EE288" s="24"/>
      <c r="EF288" s="60"/>
      <c r="EG288" s="16"/>
      <c r="EH288" s="16"/>
      <c r="EI288" s="16"/>
      <c r="EJ288" s="16"/>
      <c r="EK288" s="16"/>
      <c r="EL288" s="17"/>
      <c r="EP288" s="24"/>
      <c r="EQ288" s="60"/>
      <c r="ER288" s="16"/>
      <c r="ES288" s="16"/>
      <c r="ET288" s="16"/>
      <c r="EU288" s="16"/>
      <c r="EV288" s="16"/>
      <c r="EW288" s="17"/>
      <c r="FA288" s="24"/>
      <c r="FB288" s="60"/>
      <c r="FC288" s="16"/>
      <c r="FD288" s="16"/>
      <c r="FE288" s="16"/>
      <c r="FF288" s="16"/>
      <c r="FG288" s="16"/>
      <c r="FH288" s="17"/>
      <c r="FL288" s="24"/>
      <c r="FM288" s="60"/>
      <c r="FN288" s="16"/>
      <c r="FO288" s="16"/>
      <c r="FP288" s="16"/>
      <c r="FQ288" s="16"/>
      <c r="FR288" s="16"/>
      <c r="FS288" s="17"/>
      <c r="FW288" s="24"/>
      <c r="FX288" s="60"/>
      <c r="FY288" s="16"/>
      <c r="FZ288" s="16"/>
      <c r="GA288" s="16"/>
      <c r="GB288" s="16"/>
      <c r="GC288" s="16"/>
      <c r="GD288" s="17"/>
      <c r="GH288" s="24"/>
      <c r="GI288" s="60"/>
      <c r="GJ288" s="16"/>
      <c r="GK288" s="16"/>
      <c r="GL288" s="16"/>
      <c r="GM288" s="16"/>
      <c r="GN288" s="16"/>
      <c r="GO288" s="17"/>
      <c r="GS288" s="24"/>
      <c r="GT288" s="60"/>
      <c r="GU288" s="16"/>
      <c r="GV288" s="16"/>
      <c r="GW288" s="16"/>
      <c r="GX288" s="16"/>
      <c r="GY288" s="16"/>
      <c r="GZ288" s="17"/>
      <c r="HD288" s="24"/>
      <c r="HE288" s="60"/>
      <c r="HF288" s="16"/>
      <c r="HG288" s="16"/>
      <c r="HH288" s="16"/>
      <c r="HI288" s="16"/>
      <c r="HJ288" s="16"/>
      <c r="HK288" s="17"/>
      <c r="HO288" s="24"/>
      <c r="HP288" s="60"/>
      <c r="HQ288" s="16"/>
      <c r="HR288" s="16"/>
      <c r="HS288" s="16"/>
      <c r="HT288" s="16"/>
      <c r="HU288" s="16"/>
      <c r="HV288" s="17"/>
      <c r="HZ288" s="24"/>
      <c r="IA288" s="60"/>
      <c r="IB288" s="16"/>
      <c r="IC288" s="16"/>
      <c r="ID288" s="16"/>
      <c r="IE288" s="16"/>
      <c r="IF288" s="16"/>
      <c r="IG288" s="17"/>
      <c r="IK288" s="24"/>
      <c r="IL288" s="60"/>
      <c r="IM288" s="16"/>
      <c r="IN288" s="16"/>
      <c r="IO288" s="16"/>
      <c r="IP288" s="16"/>
      <c r="IQ288" s="16"/>
      <c r="IR288" s="17"/>
      <c r="IV288" s="24"/>
      <c r="IW288" s="60"/>
      <c r="IX288" s="16"/>
      <c r="IY288" s="16"/>
      <c r="IZ288" s="16"/>
      <c r="JA288" s="16"/>
      <c r="JB288" s="16"/>
      <c r="JC288" s="17"/>
      <c r="JG288" s="24"/>
      <c r="JH288" s="60"/>
      <c r="JI288" s="16"/>
      <c r="JJ288" s="16"/>
      <c r="JK288" s="16"/>
      <c r="JL288" s="16"/>
      <c r="JM288" s="16"/>
      <c r="JN288" s="17"/>
      <c r="JR288" s="24"/>
      <c r="JS288" s="60"/>
      <c r="JT288" s="16"/>
      <c r="JU288" s="16"/>
      <c r="JV288" s="16"/>
      <c r="JW288" s="16"/>
      <c r="JX288" s="16"/>
      <c r="JY288" s="17"/>
      <c r="KC288" s="24"/>
      <c r="KD288" s="60"/>
      <c r="KE288" s="16"/>
      <c r="KF288" s="16"/>
      <c r="KG288" s="16"/>
      <c r="KH288" s="16"/>
      <c r="KI288" s="16"/>
      <c r="KJ288" s="17"/>
      <c r="KN288" s="24"/>
      <c r="KO288" s="60"/>
      <c r="KP288" s="16"/>
      <c r="KQ288" s="16"/>
      <c r="KR288" s="16"/>
      <c r="KS288" s="16"/>
      <c r="KT288" s="16"/>
      <c r="KU288" s="17"/>
      <c r="KY288" s="24"/>
      <c r="KZ288" s="60"/>
      <c r="LA288" s="16"/>
      <c r="LB288" s="16"/>
      <c r="LC288" s="16"/>
      <c r="LD288" s="16"/>
      <c r="LE288" s="16"/>
      <c r="LF288" s="17"/>
      <c r="LJ288" s="24"/>
      <c r="LK288" s="60"/>
      <c r="LL288" s="16"/>
      <c r="LM288" s="16"/>
      <c r="LN288" s="16"/>
      <c r="LO288" s="16"/>
      <c r="LP288" s="16"/>
      <c r="LQ288" s="17"/>
    </row>
    <row r="289">
      <c r="C289" s="31"/>
      <c r="D289" s="61"/>
      <c r="E289" s="16"/>
      <c r="F289" s="16"/>
      <c r="G289" s="21"/>
      <c r="H289" s="16"/>
      <c r="I289" s="16"/>
      <c r="J289" s="17"/>
      <c r="N289" s="17"/>
      <c r="O289" s="61"/>
      <c r="P289" s="16"/>
      <c r="Q289" s="16"/>
      <c r="R289" s="16"/>
      <c r="S289" s="16"/>
      <c r="T289" s="16"/>
      <c r="U289" s="17"/>
      <c r="Y289" s="24"/>
      <c r="Z289" s="61"/>
      <c r="AA289" s="16"/>
      <c r="AB289" s="16"/>
      <c r="AC289" s="16"/>
      <c r="AD289" s="16"/>
      <c r="AE289" s="16"/>
      <c r="AF289" s="17"/>
      <c r="AJ289" s="24"/>
      <c r="AK289" s="61"/>
      <c r="AL289" s="16"/>
      <c r="AM289" s="16"/>
      <c r="AN289" s="16"/>
      <c r="AO289" s="16"/>
      <c r="AP289" s="16"/>
      <c r="AQ289" s="17"/>
      <c r="AU289" s="24"/>
      <c r="AV289" s="61"/>
      <c r="AW289" s="16"/>
      <c r="AX289" s="16"/>
      <c r="AY289" s="16"/>
      <c r="AZ289" s="16"/>
      <c r="BA289" s="16"/>
      <c r="BB289" s="17"/>
      <c r="BF289" s="24"/>
      <c r="BG289" s="61"/>
      <c r="BH289" s="16"/>
      <c r="BI289" s="16"/>
      <c r="BJ289" s="16"/>
      <c r="BK289" s="16"/>
      <c r="BL289" s="16"/>
      <c r="BM289" s="17"/>
      <c r="BQ289" s="24"/>
      <c r="BR289" s="61"/>
      <c r="BS289" s="16"/>
      <c r="BT289" s="16"/>
      <c r="BU289" s="16"/>
      <c r="BV289" s="16"/>
      <c r="BW289" s="16"/>
      <c r="BX289" s="17"/>
      <c r="CB289" s="24"/>
      <c r="CC289" s="61"/>
      <c r="CD289" s="16"/>
      <c r="CE289" s="16"/>
      <c r="CF289" s="16"/>
      <c r="CG289" s="16"/>
      <c r="CH289" s="16"/>
      <c r="CI289" s="17"/>
      <c r="CM289" s="24"/>
      <c r="CN289" s="61"/>
      <c r="CO289" s="16"/>
      <c r="CP289" s="16"/>
      <c r="CQ289" s="16"/>
      <c r="CR289" s="16"/>
      <c r="CS289" s="16"/>
      <c r="CT289" s="17"/>
      <c r="CX289" s="24"/>
      <c r="CY289" s="60"/>
      <c r="CZ289" s="16"/>
      <c r="DA289" s="16"/>
      <c r="DB289" s="16"/>
      <c r="DC289" s="16"/>
      <c r="DD289" s="16"/>
      <c r="DE289" s="17"/>
      <c r="DI289" s="24"/>
      <c r="DJ289" s="60"/>
      <c r="DK289" s="16"/>
      <c r="DL289" s="16"/>
      <c r="DM289" s="16"/>
      <c r="DN289" s="16"/>
      <c r="DO289" s="16"/>
      <c r="DP289" s="17"/>
      <c r="DT289" s="24"/>
      <c r="DU289" s="60"/>
      <c r="DV289" s="16"/>
      <c r="DW289" s="16"/>
      <c r="DX289" s="16"/>
      <c r="DY289" s="16"/>
      <c r="DZ289" s="16"/>
      <c r="EA289" s="17"/>
      <c r="EE289" s="24"/>
      <c r="EF289" s="60"/>
      <c r="EG289" s="16"/>
      <c r="EH289" s="16"/>
      <c r="EI289" s="16"/>
      <c r="EJ289" s="16"/>
      <c r="EK289" s="16"/>
      <c r="EL289" s="17"/>
      <c r="EP289" s="24"/>
      <c r="EQ289" s="60"/>
      <c r="ER289" s="16"/>
      <c r="ES289" s="16"/>
      <c r="ET289" s="16"/>
      <c r="EU289" s="16"/>
      <c r="EV289" s="16"/>
      <c r="EW289" s="17"/>
      <c r="FA289" s="24"/>
      <c r="FB289" s="60"/>
      <c r="FC289" s="16"/>
      <c r="FD289" s="16"/>
      <c r="FE289" s="16"/>
      <c r="FF289" s="16"/>
      <c r="FG289" s="16"/>
      <c r="FH289" s="17"/>
      <c r="FL289" s="24"/>
      <c r="FM289" s="60"/>
      <c r="FN289" s="16"/>
      <c r="FO289" s="16"/>
      <c r="FP289" s="16"/>
      <c r="FQ289" s="16"/>
      <c r="FR289" s="16"/>
      <c r="FS289" s="17"/>
      <c r="FW289" s="24"/>
      <c r="FX289" s="60"/>
      <c r="FY289" s="16"/>
      <c r="FZ289" s="16"/>
      <c r="GA289" s="16"/>
      <c r="GB289" s="16"/>
      <c r="GC289" s="16"/>
      <c r="GD289" s="17"/>
      <c r="GH289" s="24"/>
      <c r="GI289" s="60"/>
      <c r="GJ289" s="16"/>
      <c r="GK289" s="16"/>
      <c r="GL289" s="16"/>
      <c r="GM289" s="16"/>
      <c r="GN289" s="16"/>
      <c r="GO289" s="17"/>
      <c r="GS289" s="24"/>
      <c r="GT289" s="60"/>
      <c r="GU289" s="16"/>
      <c r="GV289" s="16"/>
      <c r="GW289" s="16"/>
      <c r="GX289" s="16"/>
      <c r="GY289" s="16"/>
      <c r="GZ289" s="17"/>
      <c r="HD289" s="24"/>
      <c r="HE289" s="60"/>
      <c r="HF289" s="16"/>
      <c r="HG289" s="16"/>
      <c r="HH289" s="16"/>
      <c r="HI289" s="16"/>
      <c r="HJ289" s="16"/>
      <c r="HK289" s="17"/>
      <c r="HO289" s="24"/>
      <c r="HP289" s="60"/>
      <c r="HQ289" s="16"/>
      <c r="HR289" s="16"/>
      <c r="HS289" s="16"/>
      <c r="HT289" s="16"/>
      <c r="HU289" s="16"/>
      <c r="HV289" s="17"/>
      <c r="HZ289" s="24"/>
      <c r="IA289" s="60"/>
      <c r="IB289" s="16"/>
      <c r="IC289" s="16"/>
      <c r="ID289" s="16"/>
      <c r="IE289" s="16"/>
      <c r="IF289" s="16"/>
      <c r="IG289" s="17"/>
      <c r="IK289" s="24"/>
      <c r="IL289" s="60"/>
      <c r="IM289" s="16"/>
      <c r="IN289" s="16"/>
      <c r="IO289" s="16"/>
      <c r="IP289" s="16"/>
      <c r="IQ289" s="16"/>
      <c r="IR289" s="17"/>
      <c r="IV289" s="24"/>
      <c r="IW289" s="60"/>
      <c r="IX289" s="16"/>
      <c r="IY289" s="16"/>
      <c r="IZ289" s="16"/>
      <c r="JA289" s="16"/>
      <c r="JB289" s="16"/>
      <c r="JC289" s="17"/>
      <c r="JG289" s="24"/>
      <c r="JH289" s="60"/>
      <c r="JI289" s="16"/>
      <c r="JJ289" s="16"/>
      <c r="JK289" s="16"/>
      <c r="JL289" s="16"/>
      <c r="JM289" s="16"/>
      <c r="JN289" s="17"/>
      <c r="JR289" s="24"/>
      <c r="JS289" s="60"/>
      <c r="JT289" s="16"/>
      <c r="JU289" s="16"/>
      <c r="JV289" s="16"/>
      <c r="JW289" s="16"/>
      <c r="JX289" s="16"/>
      <c r="JY289" s="17"/>
      <c r="KC289" s="24"/>
      <c r="KD289" s="60"/>
      <c r="KE289" s="16"/>
      <c r="KF289" s="16"/>
      <c r="KG289" s="16"/>
      <c r="KH289" s="16"/>
      <c r="KI289" s="16"/>
      <c r="KJ289" s="17"/>
      <c r="KN289" s="24"/>
      <c r="KO289" s="60"/>
      <c r="KP289" s="16"/>
      <c r="KQ289" s="16"/>
      <c r="KR289" s="16"/>
      <c r="KS289" s="16"/>
      <c r="KT289" s="16"/>
      <c r="KU289" s="17"/>
      <c r="KY289" s="24"/>
      <c r="KZ289" s="60"/>
      <c r="LA289" s="16"/>
      <c r="LB289" s="16"/>
      <c r="LC289" s="16"/>
      <c r="LD289" s="16"/>
      <c r="LE289" s="16"/>
      <c r="LF289" s="17"/>
      <c r="LJ289" s="24"/>
      <c r="LK289" s="60"/>
      <c r="LL289" s="16"/>
      <c r="LM289" s="16"/>
      <c r="LN289" s="16"/>
      <c r="LO289" s="16"/>
      <c r="LP289" s="16"/>
      <c r="LQ289" s="17"/>
    </row>
    <row r="290">
      <c r="C290" s="31"/>
      <c r="D290" s="61"/>
      <c r="E290" s="16"/>
      <c r="F290" s="16"/>
      <c r="G290" s="21"/>
      <c r="H290" s="16"/>
      <c r="I290" s="16"/>
      <c r="J290" s="17"/>
      <c r="N290" s="17"/>
      <c r="O290" s="61"/>
      <c r="P290" s="16"/>
      <c r="Q290" s="16"/>
      <c r="R290" s="16"/>
      <c r="S290" s="16"/>
      <c r="T290" s="16"/>
      <c r="U290" s="17"/>
      <c r="Y290" s="24"/>
      <c r="Z290" s="61"/>
      <c r="AA290" s="16"/>
      <c r="AB290" s="16"/>
      <c r="AC290" s="16"/>
      <c r="AD290" s="16"/>
      <c r="AE290" s="16"/>
      <c r="AF290" s="17"/>
      <c r="AJ290" s="24"/>
      <c r="AK290" s="61"/>
      <c r="AL290" s="16"/>
      <c r="AM290" s="16"/>
      <c r="AN290" s="16"/>
      <c r="AO290" s="16"/>
      <c r="AP290" s="16"/>
      <c r="AQ290" s="17"/>
      <c r="AU290" s="24"/>
      <c r="AV290" s="61"/>
      <c r="AW290" s="16"/>
      <c r="AX290" s="16"/>
      <c r="AY290" s="16"/>
      <c r="AZ290" s="16"/>
      <c r="BA290" s="16"/>
      <c r="BB290" s="17"/>
      <c r="BF290" s="24"/>
      <c r="BG290" s="61"/>
      <c r="BH290" s="16"/>
      <c r="BI290" s="16"/>
      <c r="BJ290" s="16"/>
      <c r="BK290" s="16"/>
      <c r="BL290" s="16"/>
      <c r="BM290" s="17"/>
      <c r="BQ290" s="24"/>
      <c r="BR290" s="61"/>
      <c r="BS290" s="16"/>
      <c r="BT290" s="16"/>
      <c r="BU290" s="16"/>
      <c r="BV290" s="16"/>
      <c r="BW290" s="16"/>
      <c r="BX290" s="17"/>
      <c r="CB290" s="24"/>
      <c r="CC290" s="61"/>
      <c r="CD290" s="16"/>
      <c r="CE290" s="16"/>
      <c r="CF290" s="16"/>
      <c r="CG290" s="16"/>
      <c r="CH290" s="16"/>
      <c r="CI290" s="17"/>
      <c r="CM290" s="24"/>
      <c r="CN290" s="61"/>
      <c r="CO290" s="16"/>
      <c r="CP290" s="16"/>
      <c r="CQ290" s="16"/>
      <c r="CR290" s="16"/>
      <c r="CS290" s="16"/>
      <c r="CT290" s="17"/>
      <c r="CX290" s="24"/>
      <c r="CY290" s="60"/>
      <c r="CZ290" s="16"/>
      <c r="DA290" s="16"/>
      <c r="DB290" s="16"/>
      <c r="DC290" s="16"/>
      <c r="DD290" s="16"/>
      <c r="DE290" s="17"/>
      <c r="DI290" s="24"/>
      <c r="DJ290" s="60"/>
      <c r="DK290" s="16"/>
      <c r="DL290" s="16"/>
      <c r="DM290" s="16"/>
      <c r="DN290" s="16"/>
      <c r="DO290" s="16"/>
      <c r="DP290" s="17"/>
      <c r="DT290" s="24"/>
      <c r="DU290" s="60"/>
      <c r="DV290" s="16"/>
      <c r="DW290" s="16"/>
      <c r="DX290" s="16"/>
      <c r="DY290" s="16"/>
      <c r="DZ290" s="16"/>
      <c r="EA290" s="17"/>
      <c r="EE290" s="24"/>
      <c r="EF290" s="60"/>
      <c r="EG290" s="16"/>
      <c r="EH290" s="16"/>
      <c r="EI290" s="16"/>
      <c r="EJ290" s="16"/>
      <c r="EK290" s="16"/>
      <c r="EL290" s="17"/>
      <c r="EP290" s="24"/>
      <c r="EQ290" s="60"/>
      <c r="ER290" s="16"/>
      <c r="ES290" s="16"/>
      <c r="ET290" s="16"/>
      <c r="EU290" s="16"/>
      <c r="EV290" s="16"/>
      <c r="EW290" s="17"/>
      <c r="FA290" s="24"/>
      <c r="FB290" s="60"/>
      <c r="FC290" s="16"/>
      <c r="FD290" s="16"/>
      <c r="FE290" s="16"/>
      <c r="FF290" s="16"/>
      <c r="FG290" s="16"/>
      <c r="FH290" s="17"/>
      <c r="FL290" s="24"/>
      <c r="FM290" s="60"/>
      <c r="FN290" s="16"/>
      <c r="FO290" s="16"/>
      <c r="FP290" s="16"/>
      <c r="FQ290" s="16"/>
      <c r="FR290" s="16"/>
      <c r="FS290" s="17"/>
      <c r="FW290" s="24"/>
      <c r="FX290" s="60"/>
      <c r="FY290" s="16"/>
      <c r="FZ290" s="16"/>
      <c r="GA290" s="16"/>
      <c r="GB290" s="16"/>
      <c r="GC290" s="16"/>
      <c r="GD290" s="17"/>
      <c r="GH290" s="24"/>
      <c r="GI290" s="60"/>
      <c r="GJ290" s="16"/>
      <c r="GK290" s="16"/>
      <c r="GL290" s="16"/>
      <c r="GM290" s="16"/>
      <c r="GN290" s="16"/>
      <c r="GO290" s="17"/>
      <c r="GS290" s="24"/>
      <c r="GT290" s="60"/>
      <c r="GU290" s="16"/>
      <c r="GV290" s="16"/>
      <c r="GW290" s="16"/>
      <c r="GX290" s="16"/>
      <c r="GY290" s="16"/>
      <c r="GZ290" s="17"/>
      <c r="HD290" s="24"/>
      <c r="HE290" s="60"/>
      <c r="HF290" s="16"/>
      <c r="HG290" s="16"/>
      <c r="HH290" s="16"/>
      <c r="HI290" s="16"/>
      <c r="HJ290" s="16"/>
      <c r="HK290" s="17"/>
      <c r="HO290" s="24"/>
      <c r="HP290" s="60"/>
      <c r="HQ290" s="16"/>
      <c r="HR290" s="16"/>
      <c r="HS290" s="16"/>
      <c r="HT290" s="16"/>
      <c r="HU290" s="16"/>
      <c r="HV290" s="17"/>
      <c r="HZ290" s="24"/>
      <c r="IA290" s="60"/>
      <c r="IB290" s="16"/>
      <c r="IC290" s="16"/>
      <c r="ID290" s="16"/>
      <c r="IE290" s="16"/>
      <c r="IF290" s="16"/>
      <c r="IG290" s="17"/>
      <c r="IK290" s="24"/>
      <c r="IL290" s="60"/>
      <c r="IM290" s="16"/>
      <c r="IN290" s="16"/>
      <c r="IO290" s="16"/>
      <c r="IP290" s="16"/>
      <c r="IQ290" s="16"/>
      <c r="IR290" s="17"/>
      <c r="IV290" s="24"/>
      <c r="IW290" s="60"/>
      <c r="IX290" s="16"/>
      <c r="IY290" s="16"/>
      <c r="IZ290" s="16"/>
      <c r="JA290" s="16"/>
      <c r="JB290" s="16"/>
      <c r="JC290" s="17"/>
      <c r="JG290" s="24"/>
      <c r="JH290" s="60"/>
      <c r="JI290" s="16"/>
      <c r="JJ290" s="16"/>
      <c r="JK290" s="16"/>
      <c r="JL290" s="16"/>
      <c r="JM290" s="16"/>
      <c r="JN290" s="17"/>
      <c r="JR290" s="24"/>
      <c r="JS290" s="60"/>
      <c r="JT290" s="16"/>
      <c r="JU290" s="16"/>
      <c r="JV290" s="16"/>
      <c r="JW290" s="16"/>
      <c r="JX290" s="16"/>
      <c r="JY290" s="17"/>
      <c r="KC290" s="24"/>
      <c r="KD290" s="60"/>
      <c r="KE290" s="16"/>
      <c r="KF290" s="16"/>
      <c r="KG290" s="16"/>
      <c r="KH290" s="16"/>
      <c r="KI290" s="16"/>
      <c r="KJ290" s="17"/>
      <c r="KN290" s="24"/>
      <c r="KO290" s="60"/>
      <c r="KP290" s="16"/>
      <c r="KQ290" s="16"/>
      <c r="KR290" s="16"/>
      <c r="KS290" s="16"/>
      <c r="KT290" s="16"/>
      <c r="KU290" s="17"/>
      <c r="KY290" s="24"/>
      <c r="KZ290" s="60"/>
      <c r="LA290" s="16"/>
      <c r="LB290" s="16"/>
      <c r="LC290" s="16"/>
      <c r="LD290" s="16"/>
      <c r="LE290" s="16"/>
      <c r="LF290" s="17"/>
      <c r="LJ290" s="24"/>
      <c r="LK290" s="60"/>
      <c r="LL290" s="16"/>
      <c r="LM290" s="16"/>
      <c r="LN290" s="16"/>
      <c r="LO290" s="16"/>
      <c r="LP290" s="16"/>
      <c r="LQ290" s="17"/>
    </row>
    <row r="291">
      <c r="C291" s="31"/>
      <c r="D291" s="61"/>
      <c r="E291" s="16"/>
      <c r="F291" s="16"/>
      <c r="G291" s="21"/>
      <c r="H291" s="16"/>
      <c r="I291" s="16"/>
      <c r="J291" s="17"/>
      <c r="N291" s="17"/>
      <c r="O291" s="61"/>
      <c r="P291" s="16"/>
      <c r="Q291" s="16"/>
      <c r="R291" s="16"/>
      <c r="S291" s="16"/>
      <c r="T291" s="16"/>
      <c r="U291" s="17"/>
      <c r="Y291" s="24"/>
      <c r="Z291" s="61"/>
      <c r="AA291" s="16"/>
      <c r="AB291" s="16"/>
      <c r="AC291" s="16"/>
      <c r="AD291" s="16"/>
      <c r="AE291" s="16"/>
      <c r="AF291" s="17"/>
      <c r="AJ291" s="24"/>
      <c r="AK291" s="61"/>
      <c r="AL291" s="16"/>
      <c r="AM291" s="16"/>
      <c r="AN291" s="16"/>
      <c r="AO291" s="16"/>
      <c r="AP291" s="16"/>
      <c r="AQ291" s="17"/>
      <c r="AU291" s="24"/>
      <c r="AV291" s="61"/>
      <c r="AW291" s="16"/>
      <c r="AX291" s="16"/>
      <c r="AY291" s="16"/>
      <c r="AZ291" s="16"/>
      <c r="BA291" s="16"/>
      <c r="BB291" s="17"/>
      <c r="BF291" s="24"/>
      <c r="BG291" s="61"/>
      <c r="BH291" s="16"/>
      <c r="BI291" s="16"/>
      <c r="BJ291" s="16"/>
      <c r="BK291" s="16"/>
      <c r="BL291" s="16"/>
      <c r="BM291" s="17"/>
      <c r="BQ291" s="24"/>
      <c r="BR291" s="61"/>
      <c r="BS291" s="16"/>
      <c r="BT291" s="16"/>
      <c r="BU291" s="16"/>
      <c r="BV291" s="16"/>
      <c r="BW291" s="16"/>
      <c r="BX291" s="17"/>
      <c r="CB291" s="24"/>
      <c r="CC291" s="61"/>
      <c r="CD291" s="16"/>
      <c r="CE291" s="16"/>
      <c r="CF291" s="16"/>
      <c r="CG291" s="16"/>
      <c r="CH291" s="16"/>
      <c r="CI291" s="17"/>
      <c r="CM291" s="24"/>
      <c r="CN291" s="61"/>
      <c r="CO291" s="16"/>
      <c r="CP291" s="16"/>
      <c r="CQ291" s="16"/>
      <c r="CR291" s="16"/>
      <c r="CS291" s="16"/>
      <c r="CT291" s="17"/>
      <c r="CX291" s="24"/>
      <c r="CY291" s="60"/>
      <c r="CZ291" s="16"/>
      <c r="DA291" s="16"/>
      <c r="DB291" s="16"/>
      <c r="DC291" s="16"/>
      <c r="DD291" s="16"/>
      <c r="DE291" s="17"/>
      <c r="DI291" s="24"/>
      <c r="DJ291" s="60"/>
      <c r="DK291" s="16"/>
      <c r="DL291" s="16"/>
      <c r="DM291" s="16"/>
      <c r="DN291" s="16"/>
      <c r="DO291" s="16"/>
      <c r="DP291" s="17"/>
      <c r="DT291" s="24"/>
      <c r="DU291" s="60"/>
      <c r="DV291" s="16"/>
      <c r="DW291" s="16"/>
      <c r="DX291" s="16"/>
      <c r="DY291" s="16"/>
      <c r="DZ291" s="16"/>
      <c r="EA291" s="17"/>
      <c r="EE291" s="24"/>
      <c r="EF291" s="60"/>
      <c r="EG291" s="16"/>
      <c r="EH291" s="16"/>
      <c r="EI291" s="16"/>
      <c r="EJ291" s="16"/>
      <c r="EK291" s="16"/>
      <c r="EL291" s="17"/>
      <c r="EP291" s="24"/>
      <c r="EQ291" s="60"/>
      <c r="ER291" s="16"/>
      <c r="ES291" s="16"/>
      <c r="ET291" s="16"/>
      <c r="EU291" s="16"/>
      <c r="EV291" s="16"/>
      <c r="EW291" s="17"/>
      <c r="FA291" s="24"/>
      <c r="FB291" s="60"/>
      <c r="FC291" s="16"/>
      <c r="FD291" s="16"/>
      <c r="FE291" s="16"/>
      <c r="FF291" s="16"/>
      <c r="FG291" s="16"/>
      <c r="FH291" s="17"/>
      <c r="FL291" s="24"/>
      <c r="FM291" s="60"/>
      <c r="FN291" s="16"/>
      <c r="FO291" s="16"/>
      <c r="FP291" s="16"/>
      <c r="FQ291" s="16"/>
      <c r="FR291" s="16"/>
      <c r="FS291" s="17"/>
      <c r="FW291" s="24"/>
      <c r="FX291" s="60"/>
      <c r="FY291" s="16"/>
      <c r="FZ291" s="16"/>
      <c r="GA291" s="16"/>
      <c r="GB291" s="16"/>
      <c r="GC291" s="16"/>
      <c r="GD291" s="17"/>
      <c r="GH291" s="24"/>
      <c r="GI291" s="60"/>
      <c r="GJ291" s="16"/>
      <c r="GK291" s="16"/>
      <c r="GL291" s="16"/>
      <c r="GM291" s="16"/>
      <c r="GN291" s="16"/>
      <c r="GO291" s="17"/>
      <c r="GS291" s="24"/>
      <c r="GT291" s="60"/>
      <c r="GU291" s="16"/>
      <c r="GV291" s="16"/>
      <c r="GW291" s="16"/>
      <c r="GX291" s="16"/>
      <c r="GY291" s="16"/>
      <c r="GZ291" s="17"/>
      <c r="HD291" s="24"/>
      <c r="HE291" s="60"/>
      <c r="HF291" s="16"/>
      <c r="HG291" s="16"/>
      <c r="HH291" s="16"/>
      <c r="HI291" s="16"/>
      <c r="HJ291" s="16"/>
      <c r="HK291" s="17"/>
      <c r="HO291" s="24"/>
      <c r="HP291" s="60"/>
      <c r="HQ291" s="16"/>
      <c r="HR291" s="16"/>
      <c r="HS291" s="16"/>
      <c r="HT291" s="16"/>
      <c r="HU291" s="16"/>
      <c r="HV291" s="17"/>
      <c r="HZ291" s="24"/>
      <c r="IA291" s="60"/>
      <c r="IB291" s="16"/>
      <c r="IC291" s="16"/>
      <c r="ID291" s="16"/>
      <c r="IE291" s="16"/>
      <c r="IF291" s="16"/>
      <c r="IG291" s="17"/>
      <c r="IK291" s="24"/>
      <c r="IL291" s="60"/>
      <c r="IM291" s="16"/>
      <c r="IN291" s="16"/>
      <c r="IO291" s="16"/>
      <c r="IP291" s="16"/>
      <c r="IQ291" s="16"/>
      <c r="IR291" s="17"/>
      <c r="IV291" s="24"/>
      <c r="IW291" s="60"/>
      <c r="IX291" s="16"/>
      <c r="IY291" s="16"/>
      <c r="IZ291" s="16"/>
      <c r="JA291" s="16"/>
      <c r="JB291" s="16"/>
      <c r="JC291" s="17"/>
      <c r="JG291" s="24"/>
      <c r="JH291" s="60"/>
      <c r="JI291" s="16"/>
      <c r="JJ291" s="16"/>
      <c r="JK291" s="16"/>
      <c r="JL291" s="16"/>
      <c r="JM291" s="16"/>
      <c r="JN291" s="17"/>
      <c r="JR291" s="24"/>
      <c r="JS291" s="60"/>
      <c r="JT291" s="16"/>
      <c r="JU291" s="16"/>
      <c r="JV291" s="16"/>
      <c r="JW291" s="16"/>
      <c r="JX291" s="16"/>
      <c r="JY291" s="17"/>
      <c r="KC291" s="24"/>
      <c r="KD291" s="60"/>
      <c r="KE291" s="16"/>
      <c r="KF291" s="16"/>
      <c r="KG291" s="16"/>
      <c r="KH291" s="16"/>
      <c r="KI291" s="16"/>
      <c r="KJ291" s="17"/>
      <c r="KN291" s="24"/>
      <c r="KO291" s="60"/>
      <c r="KP291" s="16"/>
      <c r="KQ291" s="16"/>
      <c r="KR291" s="16"/>
      <c r="KS291" s="16"/>
      <c r="KT291" s="16"/>
      <c r="KU291" s="17"/>
      <c r="KY291" s="24"/>
      <c r="KZ291" s="60"/>
      <c r="LA291" s="16"/>
      <c r="LB291" s="16"/>
      <c r="LC291" s="16"/>
      <c r="LD291" s="16"/>
      <c r="LE291" s="16"/>
      <c r="LF291" s="17"/>
      <c r="LJ291" s="24"/>
      <c r="LK291" s="60"/>
      <c r="LL291" s="16"/>
      <c r="LM291" s="16"/>
      <c r="LN291" s="16"/>
      <c r="LO291" s="16"/>
      <c r="LP291" s="16"/>
      <c r="LQ291" s="17"/>
    </row>
    <row r="292">
      <c r="C292" s="31"/>
      <c r="D292" s="61"/>
      <c r="E292" s="16"/>
      <c r="F292" s="16"/>
      <c r="G292" s="21"/>
      <c r="H292" s="16"/>
      <c r="I292" s="16"/>
      <c r="J292" s="17"/>
      <c r="N292" s="17"/>
      <c r="O292" s="61"/>
      <c r="P292" s="16"/>
      <c r="Q292" s="16"/>
      <c r="R292" s="16"/>
      <c r="S292" s="16"/>
      <c r="T292" s="16"/>
      <c r="U292" s="17"/>
      <c r="Y292" s="24"/>
      <c r="Z292" s="61"/>
      <c r="AA292" s="16"/>
      <c r="AB292" s="16"/>
      <c r="AC292" s="16"/>
      <c r="AD292" s="16"/>
      <c r="AE292" s="16"/>
      <c r="AF292" s="17"/>
      <c r="AJ292" s="24"/>
      <c r="AK292" s="61"/>
      <c r="AL292" s="16"/>
      <c r="AM292" s="16"/>
      <c r="AN292" s="16"/>
      <c r="AO292" s="16"/>
      <c r="AP292" s="16"/>
      <c r="AQ292" s="17"/>
      <c r="AU292" s="24"/>
      <c r="AV292" s="61"/>
      <c r="AW292" s="16"/>
      <c r="AX292" s="16"/>
      <c r="AY292" s="16"/>
      <c r="AZ292" s="16"/>
      <c r="BA292" s="16"/>
      <c r="BB292" s="17"/>
      <c r="BF292" s="24"/>
      <c r="BG292" s="61"/>
      <c r="BH292" s="16"/>
      <c r="BI292" s="16"/>
      <c r="BJ292" s="16"/>
      <c r="BK292" s="16"/>
      <c r="BL292" s="16"/>
      <c r="BM292" s="17"/>
      <c r="BQ292" s="24"/>
      <c r="BR292" s="61"/>
      <c r="BS292" s="16"/>
      <c r="BT292" s="16"/>
      <c r="BU292" s="16"/>
      <c r="BV292" s="16"/>
      <c r="BW292" s="16"/>
      <c r="BX292" s="17"/>
      <c r="CB292" s="24"/>
      <c r="CC292" s="61"/>
      <c r="CD292" s="16"/>
      <c r="CE292" s="16"/>
      <c r="CF292" s="16"/>
      <c r="CG292" s="16"/>
      <c r="CH292" s="16"/>
      <c r="CI292" s="17"/>
      <c r="CM292" s="24"/>
      <c r="CN292" s="61"/>
      <c r="CO292" s="16"/>
      <c r="CP292" s="16"/>
      <c r="CQ292" s="16"/>
      <c r="CR292" s="16"/>
      <c r="CS292" s="16"/>
      <c r="CT292" s="17"/>
      <c r="CX292" s="24"/>
      <c r="CY292" s="60"/>
      <c r="CZ292" s="16"/>
      <c r="DA292" s="16"/>
      <c r="DB292" s="16"/>
      <c r="DC292" s="16"/>
      <c r="DD292" s="16"/>
      <c r="DE292" s="17"/>
      <c r="DI292" s="24"/>
      <c r="DJ292" s="60"/>
      <c r="DK292" s="16"/>
      <c r="DL292" s="16"/>
      <c r="DM292" s="16"/>
      <c r="DN292" s="16"/>
      <c r="DO292" s="16"/>
      <c r="DP292" s="17"/>
      <c r="DT292" s="24"/>
      <c r="DU292" s="60"/>
      <c r="DV292" s="16"/>
      <c r="DW292" s="16"/>
      <c r="DX292" s="16"/>
      <c r="DY292" s="16"/>
      <c r="DZ292" s="16"/>
      <c r="EA292" s="17"/>
      <c r="EE292" s="24"/>
      <c r="EF292" s="60"/>
      <c r="EG292" s="16"/>
      <c r="EH292" s="16"/>
      <c r="EI292" s="16"/>
      <c r="EJ292" s="16"/>
      <c r="EK292" s="16"/>
      <c r="EL292" s="17"/>
      <c r="EP292" s="24"/>
      <c r="EQ292" s="60"/>
      <c r="ER292" s="16"/>
      <c r="ES292" s="16"/>
      <c r="ET292" s="16"/>
      <c r="EU292" s="16"/>
      <c r="EV292" s="16"/>
      <c r="EW292" s="17"/>
      <c r="FA292" s="24"/>
      <c r="FB292" s="60"/>
      <c r="FC292" s="16"/>
      <c r="FD292" s="16"/>
      <c r="FE292" s="16"/>
      <c r="FF292" s="16"/>
      <c r="FG292" s="16"/>
      <c r="FH292" s="17"/>
      <c r="FL292" s="24"/>
      <c r="FM292" s="60"/>
      <c r="FN292" s="16"/>
      <c r="FO292" s="16"/>
      <c r="FP292" s="16"/>
      <c r="FQ292" s="16"/>
      <c r="FR292" s="16"/>
      <c r="FS292" s="17"/>
      <c r="FW292" s="24"/>
      <c r="FX292" s="60"/>
      <c r="FY292" s="16"/>
      <c r="FZ292" s="16"/>
      <c r="GA292" s="16"/>
      <c r="GB292" s="16"/>
      <c r="GC292" s="16"/>
      <c r="GD292" s="17"/>
      <c r="GH292" s="24"/>
      <c r="GI292" s="60"/>
      <c r="GJ292" s="16"/>
      <c r="GK292" s="16"/>
      <c r="GL292" s="16"/>
      <c r="GM292" s="16"/>
      <c r="GN292" s="16"/>
      <c r="GO292" s="17"/>
      <c r="GS292" s="24"/>
      <c r="GT292" s="60"/>
      <c r="GU292" s="16"/>
      <c r="GV292" s="16"/>
      <c r="GW292" s="16"/>
      <c r="GX292" s="16"/>
      <c r="GY292" s="16"/>
      <c r="GZ292" s="17"/>
      <c r="HD292" s="24"/>
      <c r="HE292" s="60"/>
      <c r="HF292" s="16"/>
      <c r="HG292" s="16"/>
      <c r="HH292" s="16"/>
      <c r="HI292" s="16"/>
      <c r="HJ292" s="16"/>
      <c r="HK292" s="17"/>
      <c r="HO292" s="24"/>
      <c r="HP292" s="60"/>
      <c r="HQ292" s="16"/>
      <c r="HR292" s="16"/>
      <c r="HS292" s="16"/>
      <c r="HT292" s="16"/>
      <c r="HU292" s="16"/>
      <c r="HV292" s="17"/>
      <c r="HZ292" s="24"/>
      <c r="IA292" s="60"/>
      <c r="IB292" s="16"/>
      <c r="IC292" s="16"/>
      <c r="ID292" s="16"/>
      <c r="IE292" s="16"/>
      <c r="IF292" s="16"/>
      <c r="IG292" s="17"/>
      <c r="IK292" s="24"/>
      <c r="IL292" s="60"/>
      <c r="IM292" s="16"/>
      <c r="IN292" s="16"/>
      <c r="IO292" s="16"/>
      <c r="IP292" s="16"/>
      <c r="IQ292" s="16"/>
      <c r="IR292" s="17"/>
      <c r="IV292" s="24"/>
      <c r="IW292" s="60"/>
      <c r="IX292" s="16"/>
      <c r="IY292" s="16"/>
      <c r="IZ292" s="16"/>
      <c r="JA292" s="16"/>
      <c r="JB292" s="16"/>
      <c r="JC292" s="17"/>
      <c r="JG292" s="24"/>
      <c r="JH292" s="60"/>
      <c r="JI292" s="16"/>
      <c r="JJ292" s="16"/>
      <c r="JK292" s="16"/>
      <c r="JL292" s="16"/>
      <c r="JM292" s="16"/>
      <c r="JN292" s="17"/>
      <c r="JR292" s="24"/>
      <c r="JS292" s="60"/>
      <c r="JT292" s="16"/>
      <c r="JU292" s="16"/>
      <c r="JV292" s="16"/>
      <c r="JW292" s="16"/>
      <c r="JX292" s="16"/>
      <c r="JY292" s="17"/>
      <c r="KC292" s="24"/>
      <c r="KD292" s="60"/>
      <c r="KE292" s="16"/>
      <c r="KF292" s="16"/>
      <c r="KG292" s="16"/>
      <c r="KH292" s="16"/>
      <c r="KI292" s="16"/>
      <c r="KJ292" s="17"/>
      <c r="KN292" s="24"/>
      <c r="KO292" s="60"/>
      <c r="KP292" s="16"/>
      <c r="KQ292" s="16"/>
      <c r="KR292" s="16"/>
      <c r="KS292" s="16"/>
      <c r="KT292" s="16"/>
      <c r="KU292" s="17"/>
      <c r="KY292" s="24"/>
      <c r="KZ292" s="60"/>
      <c r="LA292" s="16"/>
      <c r="LB292" s="16"/>
      <c r="LC292" s="16"/>
      <c r="LD292" s="16"/>
      <c r="LE292" s="16"/>
      <c r="LF292" s="17"/>
      <c r="LJ292" s="24"/>
      <c r="LK292" s="60"/>
      <c r="LL292" s="16"/>
      <c r="LM292" s="16"/>
      <c r="LN292" s="16"/>
      <c r="LO292" s="16"/>
      <c r="LP292" s="16"/>
      <c r="LQ292" s="17"/>
    </row>
    <row r="293">
      <c r="C293" s="31"/>
      <c r="D293" s="61"/>
      <c r="E293" s="16"/>
      <c r="F293" s="16"/>
      <c r="G293" s="21"/>
      <c r="H293" s="16"/>
      <c r="I293" s="16"/>
      <c r="J293" s="17"/>
      <c r="N293" s="17"/>
      <c r="O293" s="61"/>
      <c r="P293" s="16"/>
      <c r="Q293" s="16"/>
      <c r="R293" s="16"/>
      <c r="S293" s="16"/>
      <c r="T293" s="16"/>
      <c r="U293" s="17"/>
      <c r="Y293" s="24"/>
      <c r="Z293" s="61"/>
      <c r="AA293" s="16"/>
      <c r="AB293" s="16"/>
      <c r="AC293" s="16"/>
      <c r="AD293" s="16"/>
      <c r="AE293" s="16"/>
      <c r="AF293" s="17"/>
      <c r="AJ293" s="24"/>
      <c r="AK293" s="61"/>
      <c r="AL293" s="16"/>
      <c r="AM293" s="16"/>
      <c r="AN293" s="16"/>
      <c r="AO293" s="16"/>
      <c r="AP293" s="16"/>
      <c r="AQ293" s="17"/>
      <c r="AU293" s="24"/>
      <c r="AV293" s="61"/>
      <c r="AW293" s="16"/>
      <c r="AX293" s="16"/>
      <c r="AY293" s="16"/>
      <c r="AZ293" s="16"/>
      <c r="BA293" s="16"/>
      <c r="BB293" s="17"/>
      <c r="BF293" s="24"/>
      <c r="BG293" s="61"/>
      <c r="BH293" s="16"/>
      <c r="BI293" s="16"/>
      <c r="BJ293" s="16"/>
      <c r="BK293" s="16"/>
      <c r="BL293" s="16"/>
      <c r="BM293" s="17"/>
      <c r="BQ293" s="24"/>
      <c r="BR293" s="61"/>
      <c r="BS293" s="16"/>
      <c r="BT293" s="16"/>
      <c r="BU293" s="16"/>
      <c r="BV293" s="16"/>
      <c r="BW293" s="16"/>
      <c r="BX293" s="17"/>
      <c r="CB293" s="24"/>
      <c r="CC293" s="61"/>
      <c r="CD293" s="16"/>
      <c r="CE293" s="16"/>
      <c r="CF293" s="16"/>
      <c r="CG293" s="16"/>
      <c r="CH293" s="16"/>
      <c r="CI293" s="17"/>
      <c r="CM293" s="24"/>
      <c r="CN293" s="61"/>
      <c r="CO293" s="16"/>
      <c r="CP293" s="16"/>
      <c r="CQ293" s="16"/>
      <c r="CR293" s="16"/>
      <c r="CS293" s="16"/>
      <c r="CT293" s="17"/>
      <c r="CX293" s="24"/>
      <c r="CY293" s="60"/>
      <c r="CZ293" s="16"/>
      <c r="DA293" s="16"/>
      <c r="DB293" s="16"/>
      <c r="DC293" s="16"/>
      <c r="DD293" s="16"/>
      <c r="DE293" s="17"/>
      <c r="DI293" s="24"/>
      <c r="DJ293" s="60"/>
      <c r="DK293" s="16"/>
      <c r="DL293" s="16"/>
      <c r="DM293" s="16"/>
      <c r="DN293" s="16"/>
      <c r="DO293" s="16"/>
      <c r="DP293" s="17"/>
      <c r="DT293" s="24"/>
      <c r="DU293" s="60"/>
      <c r="DV293" s="16"/>
      <c r="DW293" s="16"/>
      <c r="DX293" s="16"/>
      <c r="DY293" s="16"/>
      <c r="DZ293" s="16"/>
      <c r="EA293" s="17"/>
      <c r="EE293" s="24"/>
      <c r="EF293" s="60"/>
      <c r="EG293" s="16"/>
      <c r="EH293" s="16"/>
      <c r="EI293" s="16"/>
      <c r="EJ293" s="16"/>
      <c r="EK293" s="16"/>
      <c r="EL293" s="17"/>
      <c r="EP293" s="24"/>
      <c r="EQ293" s="60"/>
      <c r="ER293" s="16"/>
      <c r="ES293" s="16"/>
      <c r="ET293" s="16"/>
      <c r="EU293" s="16"/>
      <c r="EV293" s="16"/>
      <c r="EW293" s="17"/>
      <c r="FA293" s="24"/>
      <c r="FB293" s="60"/>
      <c r="FC293" s="16"/>
      <c r="FD293" s="16"/>
      <c r="FE293" s="16"/>
      <c r="FF293" s="16"/>
      <c r="FG293" s="16"/>
      <c r="FH293" s="17"/>
      <c r="FL293" s="24"/>
      <c r="FM293" s="60"/>
      <c r="FN293" s="16"/>
      <c r="FO293" s="16"/>
      <c r="FP293" s="16"/>
      <c r="FQ293" s="16"/>
      <c r="FR293" s="16"/>
      <c r="FS293" s="17"/>
      <c r="FW293" s="24"/>
      <c r="FX293" s="60"/>
      <c r="FY293" s="16"/>
      <c r="FZ293" s="16"/>
      <c r="GA293" s="16"/>
      <c r="GB293" s="16"/>
      <c r="GC293" s="16"/>
      <c r="GD293" s="17"/>
      <c r="GH293" s="24"/>
      <c r="GI293" s="60"/>
      <c r="GJ293" s="16"/>
      <c r="GK293" s="16"/>
      <c r="GL293" s="16"/>
      <c r="GM293" s="16"/>
      <c r="GN293" s="16"/>
      <c r="GO293" s="17"/>
      <c r="GS293" s="24"/>
      <c r="GT293" s="60"/>
      <c r="GU293" s="16"/>
      <c r="GV293" s="16"/>
      <c r="GW293" s="16"/>
      <c r="GX293" s="16"/>
      <c r="GY293" s="16"/>
      <c r="GZ293" s="17"/>
      <c r="HD293" s="24"/>
      <c r="HE293" s="60"/>
      <c r="HF293" s="16"/>
      <c r="HG293" s="16"/>
      <c r="HH293" s="16"/>
      <c r="HI293" s="16"/>
      <c r="HJ293" s="16"/>
      <c r="HK293" s="17"/>
      <c r="HO293" s="24"/>
      <c r="HP293" s="60"/>
      <c r="HQ293" s="16"/>
      <c r="HR293" s="16"/>
      <c r="HS293" s="16"/>
      <c r="HT293" s="16"/>
      <c r="HU293" s="16"/>
      <c r="HV293" s="17"/>
      <c r="HZ293" s="24"/>
      <c r="IA293" s="60"/>
      <c r="IB293" s="16"/>
      <c r="IC293" s="16"/>
      <c r="ID293" s="16"/>
      <c r="IE293" s="16"/>
      <c r="IF293" s="16"/>
      <c r="IG293" s="17"/>
      <c r="IK293" s="24"/>
      <c r="IL293" s="60"/>
      <c r="IM293" s="16"/>
      <c r="IN293" s="16"/>
      <c r="IO293" s="16"/>
      <c r="IP293" s="16"/>
      <c r="IQ293" s="16"/>
      <c r="IR293" s="17"/>
      <c r="IV293" s="24"/>
      <c r="IW293" s="60"/>
      <c r="IX293" s="16"/>
      <c r="IY293" s="16"/>
      <c r="IZ293" s="16"/>
      <c r="JA293" s="16"/>
      <c r="JB293" s="16"/>
      <c r="JC293" s="17"/>
      <c r="JG293" s="24"/>
      <c r="JH293" s="60"/>
      <c r="JI293" s="16"/>
      <c r="JJ293" s="16"/>
      <c r="JK293" s="16"/>
      <c r="JL293" s="16"/>
      <c r="JM293" s="16"/>
      <c r="JN293" s="17"/>
      <c r="JR293" s="24"/>
      <c r="JS293" s="60"/>
      <c r="JT293" s="16"/>
      <c r="JU293" s="16"/>
      <c r="JV293" s="16"/>
      <c r="JW293" s="16"/>
      <c r="JX293" s="16"/>
      <c r="JY293" s="17"/>
      <c r="KC293" s="24"/>
      <c r="KD293" s="60"/>
      <c r="KE293" s="16"/>
      <c r="KF293" s="16"/>
      <c r="KG293" s="16"/>
      <c r="KH293" s="16"/>
      <c r="KI293" s="16"/>
      <c r="KJ293" s="17"/>
      <c r="KN293" s="24"/>
      <c r="KO293" s="60"/>
      <c r="KP293" s="16"/>
      <c r="KQ293" s="16"/>
      <c r="KR293" s="16"/>
      <c r="KS293" s="16"/>
      <c r="KT293" s="16"/>
      <c r="KU293" s="17"/>
      <c r="KY293" s="24"/>
      <c r="KZ293" s="60"/>
      <c r="LA293" s="16"/>
      <c r="LB293" s="16"/>
      <c r="LC293" s="16"/>
      <c r="LD293" s="16"/>
      <c r="LE293" s="16"/>
      <c r="LF293" s="17"/>
      <c r="LJ293" s="24"/>
      <c r="LK293" s="60"/>
      <c r="LL293" s="16"/>
      <c r="LM293" s="16"/>
      <c r="LN293" s="16"/>
      <c r="LO293" s="16"/>
      <c r="LP293" s="16"/>
      <c r="LQ293" s="17"/>
    </row>
    <row r="294">
      <c r="C294" s="31"/>
      <c r="D294" s="61"/>
      <c r="E294" s="16"/>
      <c r="F294" s="16"/>
      <c r="G294" s="21"/>
      <c r="H294" s="16"/>
      <c r="I294" s="16"/>
      <c r="J294" s="17"/>
      <c r="N294" s="17"/>
      <c r="O294" s="61"/>
      <c r="P294" s="16"/>
      <c r="Q294" s="16"/>
      <c r="R294" s="16"/>
      <c r="S294" s="16"/>
      <c r="T294" s="16"/>
      <c r="U294" s="17"/>
      <c r="Y294" s="24"/>
      <c r="Z294" s="61"/>
      <c r="AA294" s="16"/>
      <c r="AB294" s="16"/>
      <c r="AC294" s="16"/>
      <c r="AD294" s="16"/>
      <c r="AE294" s="16"/>
      <c r="AF294" s="17"/>
      <c r="AJ294" s="24"/>
      <c r="AK294" s="61"/>
      <c r="AL294" s="16"/>
      <c r="AM294" s="16"/>
      <c r="AN294" s="16"/>
      <c r="AO294" s="16"/>
      <c r="AP294" s="16"/>
      <c r="AQ294" s="17"/>
      <c r="AU294" s="24"/>
      <c r="AV294" s="61"/>
      <c r="AW294" s="16"/>
      <c r="AX294" s="16"/>
      <c r="AY294" s="16"/>
      <c r="AZ294" s="16"/>
      <c r="BA294" s="16"/>
      <c r="BB294" s="17"/>
      <c r="BF294" s="24"/>
      <c r="BG294" s="61"/>
      <c r="BH294" s="16"/>
      <c r="BI294" s="16"/>
      <c r="BJ294" s="16"/>
      <c r="BK294" s="16"/>
      <c r="BL294" s="16"/>
      <c r="BM294" s="17"/>
      <c r="BQ294" s="24"/>
      <c r="BR294" s="61"/>
      <c r="BS294" s="16"/>
      <c r="BT294" s="16"/>
      <c r="BU294" s="16"/>
      <c r="BV294" s="16"/>
      <c r="BW294" s="16"/>
      <c r="BX294" s="17"/>
      <c r="CB294" s="24"/>
      <c r="CC294" s="61"/>
      <c r="CD294" s="16"/>
      <c r="CE294" s="16"/>
      <c r="CF294" s="16"/>
      <c r="CG294" s="16"/>
      <c r="CH294" s="16"/>
      <c r="CI294" s="17"/>
      <c r="CM294" s="24"/>
      <c r="CN294" s="61"/>
      <c r="CO294" s="16"/>
      <c r="CP294" s="16"/>
      <c r="CQ294" s="16"/>
      <c r="CR294" s="16"/>
      <c r="CS294" s="16"/>
      <c r="CT294" s="17"/>
      <c r="CX294" s="24"/>
      <c r="CY294" s="60"/>
      <c r="CZ294" s="16"/>
      <c r="DA294" s="16"/>
      <c r="DB294" s="16"/>
      <c r="DC294" s="16"/>
      <c r="DD294" s="16"/>
      <c r="DE294" s="17"/>
      <c r="DI294" s="24"/>
      <c r="DJ294" s="60"/>
      <c r="DK294" s="16"/>
      <c r="DL294" s="16"/>
      <c r="DM294" s="16"/>
      <c r="DN294" s="16"/>
      <c r="DO294" s="16"/>
      <c r="DP294" s="17"/>
      <c r="DT294" s="24"/>
      <c r="DU294" s="60"/>
      <c r="DV294" s="16"/>
      <c r="DW294" s="16"/>
      <c r="DX294" s="16"/>
      <c r="DY294" s="16"/>
      <c r="DZ294" s="16"/>
      <c r="EA294" s="17"/>
      <c r="EE294" s="24"/>
      <c r="EF294" s="60"/>
      <c r="EG294" s="16"/>
      <c r="EH294" s="16"/>
      <c r="EI294" s="16"/>
      <c r="EJ294" s="16"/>
      <c r="EK294" s="16"/>
      <c r="EL294" s="17"/>
      <c r="EP294" s="24"/>
      <c r="EQ294" s="60"/>
      <c r="ER294" s="16"/>
      <c r="ES294" s="16"/>
      <c r="ET294" s="16"/>
      <c r="EU294" s="16"/>
      <c r="EV294" s="16"/>
      <c r="EW294" s="17"/>
      <c r="FA294" s="24"/>
      <c r="FB294" s="60"/>
      <c r="FC294" s="16"/>
      <c r="FD294" s="16"/>
      <c r="FE294" s="16"/>
      <c r="FF294" s="16"/>
      <c r="FG294" s="16"/>
      <c r="FH294" s="17"/>
      <c r="FL294" s="24"/>
      <c r="FM294" s="60"/>
      <c r="FN294" s="16"/>
      <c r="FO294" s="16"/>
      <c r="FP294" s="16"/>
      <c r="FQ294" s="16"/>
      <c r="FR294" s="16"/>
      <c r="FS294" s="17"/>
      <c r="FW294" s="24"/>
      <c r="FX294" s="60"/>
      <c r="FY294" s="16"/>
      <c r="FZ294" s="16"/>
      <c r="GA294" s="16"/>
      <c r="GB294" s="16"/>
      <c r="GC294" s="16"/>
      <c r="GD294" s="17"/>
      <c r="GH294" s="24"/>
      <c r="GI294" s="60"/>
      <c r="GJ294" s="16"/>
      <c r="GK294" s="16"/>
      <c r="GL294" s="16"/>
      <c r="GM294" s="16"/>
      <c r="GN294" s="16"/>
      <c r="GO294" s="17"/>
      <c r="GS294" s="24"/>
      <c r="GT294" s="60"/>
      <c r="GU294" s="16"/>
      <c r="GV294" s="16"/>
      <c r="GW294" s="16"/>
      <c r="GX294" s="16"/>
      <c r="GY294" s="16"/>
      <c r="GZ294" s="17"/>
      <c r="HD294" s="24"/>
      <c r="HE294" s="60"/>
      <c r="HF294" s="16"/>
      <c r="HG294" s="16"/>
      <c r="HH294" s="16"/>
      <c r="HI294" s="16"/>
      <c r="HJ294" s="16"/>
      <c r="HK294" s="17"/>
      <c r="HO294" s="24"/>
      <c r="HP294" s="60"/>
      <c r="HQ294" s="16"/>
      <c r="HR294" s="16"/>
      <c r="HS294" s="16"/>
      <c r="HT294" s="16"/>
      <c r="HU294" s="16"/>
      <c r="HV294" s="17"/>
      <c r="HZ294" s="24"/>
      <c r="IA294" s="60"/>
      <c r="IB294" s="16"/>
      <c r="IC294" s="16"/>
      <c r="ID294" s="16"/>
      <c r="IE294" s="16"/>
      <c r="IF294" s="16"/>
      <c r="IG294" s="17"/>
      <c r="IK294" s="24"/>
      <c r="IL294" s="60"/>
      <c r="IM294" s="16"/>
      <c r="IN294" s="16"/>
      <c r="IO294" s="16"/>
      <c r="IP294" s="16"/>
      <c r="IQ294" s="16"/>
      <c r="IR294" s="17"/>
      <c r="IV294" s="24"/>
      <c r="IW294" s="60"/>
      <c r="IX294" s="16"/>
      <c r="IY294" s="16"/>
      <c r="IZ294" s="16"/>
      <c r="JA294" s="16"/>
      <c r="JB294" s="16"/>
      <c r="JC294" s="17"/>
      <c r="JG294" s="24"/>
      <c r="JH294" s="60"/>
      <c r="JI294" s="16"/>
      <c r="JJ294" s="16"/>
      <c r="JK294" s="16"/>
      <c r="JL294" s="16"/>
      <c r="JM294" s="16"/>
      <c r="JN294" s="17"/>
      <c r="JR294" s="24"/>
      <c r="JS294" s="60"/>
      <c r="JT294" s="16"/>
      <c r="JU294" s="16"/>
      <c r="JV294" s="16"/>
      <c r="JW294" s="16"/>
      <c r="JX294" s="16"/>
      <c r="JY294" s="17"/>
      <c r="KC294" s="24"/>
      <c r="KD294" s="60"/>
      <c r="KE294" s="16"/>
      <c r="KF294" s="16"/>
      <c r="KG294" s="16"/>
      <c r="KH294" s="16"/>
      <c r="KI294" s="16"/>
      <c r="KJ294" s="17"/>
      <c r="KN294" s="24"/>
      <c r="KO294" s="60"/>
      <c r="KP294" s="16"/>
      <c r="KQ294" s="16"/>
      <c r="KR294" s="16"/>
      <c r="KS294" s="16"/>
      <c r="KT294" s="16"/>
      <c r="KU294" s="17"/>
      <c r="KY294" s="24"/>
      <c r="KZ294" s="60"/>
      <c r="LA294" s="16"/>
      <c r="LB294" s="16"/>
      <c r="LC294" s="16"/>
      <c r="LD294" s="16"/>
      <c r="LE294" s="16"/>
      <c r="LF294" s="17"/>
      <c r="LJ294" s="24"/>
      <c r="LK294" s="60"/>
      <c r="LL294" s="16"/>
      <c r="LM294" s="16"/>
      <c r="LN294" s="16"/>
      <c r="LO294" s="16"/>
      <c r="LP294" s="16"/>
      <c r="LQ294" s="17"/>
    </row>
    <row r="295">
      <c r="C295" s="31"/>
      <c r="D295" s="61"/>
      <c r="E295" s="16"/>
      <c r="F295" s="16"/>
      <c r="G295" s="21"/>
      <c r="H295" s="16"/>
      <c r="I295" s="16"/>
      <c r="J295" s="17"/>
      <c r="N295" s="17"/>
      <c r="O295" s="61"/>
      <c r="P295" s="16"/>
      <c r="Q295" s="16"/>
      <c r="R295" s="16"/>
      <c r="S295" s="16"/>
      <c r="T295" s="16"/>
      <c r="U295" s="17"/>
      <c r="Y295" s="24"/>
      <c r="Z295" s="61"/>
      <c r="AA295" s="16"/>
      <c r="AB295" s="16"/>
      <c r="AC295" s="16"/>
      <c r="AD295" s="16"/>
      <c r="AE295" s="16"/>
      <c r="AF295" s="17"/>
      <c r="AJ295" s="24"/>
      <c r="AK295" s="61"/>
      <c r="AL295" s="16"/>
      <c r="AM295" s="16"/>
      <c r="AN295" s="16"/>
      <c r="AO295" s="16"/>
      <c r="AP295" s="16"/>
      <c r="AQ295" s="17"/>
      <c r="AU295" s="24"/>
      <c r="AV295" s="61"/>
      <c r="AW295" s="16"/>
      <c r="AX295" s="16"/>
      <c r="AY295" s="16"/>
      <c r="AZ295" s="16"/>
      <c r="BA295" s="16"/>
      <c r="BB295" s="17"/>
      <c r="BF295" s="24"/>
      <c r="BG295" s="61"/>
      <c r="BH295" s="16"/>
      <c r="BI295" s="16"/>
      <c r="BJ295" s="16"/>
      <c r="BK295" s="16"/>
      <c r="BL295" s="16"/>
      <c r="BM295" s="17"/>
      <c r="BQ295" s="24"/>
      <c r="BR295" s="61"/>
      <c r="BS295" s="16"/>
      <c r="BT295" s="16"/>
      <c r="BU295" s="16"/>
      <c r="BV295" s="16"/>
      <c r="BW295" s="16"/>
      <c r="BX295" s="17"/>
      <c r="CB295" s="24"/>
      <c r="CC295" s="61"/>
      <c r="CD295" s="16"/>
      <c r="CE295" s="16"/>
      <c r="CF295" s="16"/>
      <c r="CG295" s="16"/>
      <c r="CH295" s="16"/>
      <c r="CI295" s="17"/>
      <c r="CM295" s="24"/>
      <c r="CN295" s="61"/>
      <c r="CO295" s="16"/>
      <c r="CP295" s="16"/>
      <c r="CQ295" s="16"/>
      <c r="CR295" s="16"/>
      <c r="CS295" s="16"/>
      <c r="CT295" s="17"/>
      <c r="CX295" s="24"/>
      <c r="CY295" s="60"/>
      <c r="CZ295" s="16"/>
      <c r="DA295" s="16"/>
      <c r="DB295" s="16"/>
      <c r="DC295" s="16"/>
      <c r="DD295" s="16"/>
      <c r="DE295" s="17"/>
      <c r="DI295" s="24"/>
      <c r="DJ295" s="60"/>
      <c r="DK295" s="16"/>
      <c r="DL295" s="16"/>
      <c r="DM295" s="16"/>
      <c r="DN295" s="16"/>
      <c r="DO295" s="16"/>
      <c r="DP295" s="17"/>
      <c r="DT295" s="24"/>
      <c r="DU295" s="60"/>
      <c r="DV295" s="16"/>
      <c r="DW295" s="16"/>
      <c r="DX295" s="16"/>
      <c r="DY295" s="16"/>
      <c r="DZ295" s="16"/>
      <c r="EA295" s="17"/>
      <c r="EE295" s="24"/>
      <c r="EF295" s="60"/>
      <c r="EG295" s="16"/>
      <c r="EH295" s="16"/>
      <c r="EI295" s="16"/>
      <c r="EJ295" s="16"/>
      <c r="EK295" s="16"/>
      <c r="EL295" s="17"/>
      <c r="EP295" s="24"/>
      <c r="EQ295" s="60"/>
      <c r="ER295" s="16"/>
      <c r="ES295" s="16"/>
      <c r="ET295" s="16"/>
      <c r="EU295" s="16"/>
      <c r="EV295" s="16"/>
      <c r="EW295" s="17"/>
      <c r="FA295" s="24"/>
      <c r="FB295" s="60"/>
      <c r="FC295" s="16"/>
      <c r="FD295" s="16"/>
      <c r="FE295" s="16"/>
      <c r="FF295" s="16"/>
      <c r="FG295" s="16"/>
      <c r="FH295" s="17"/>
      <c r="FL295" s="24"/>
      <c r="FM295" s="60"/>
      <c r="FN295" s="16"/>
      <c r="FO295" s="16"/>
      <c r="FP295" s="16"/>
      <c r="FQ295" s="16"/>
      <c r="FR295" s="16"/>
      <c r="FS295" s="17"/>
      <c r="FW295" s="24"/>
      <c r="FX295" s="60"/>
      <c r="FY295" s="16"/>
      <c r="FZ295" s="16"/>
      <c r="GA295" s="16"/>
      <c r="GB295" s="16"/>
      <c r="GC295" s="16"/>
      <c r="GD295" s="17"/>
      <c r="GH295" s="24"/>
      <c r="GI295" s="60"/>
      <c r="GJ295" s="16"/>
      <c r="GK295" s="16"/>
      <c r="GL295" s="16"/>
      <c r="GM295" s="16"/>
      <c r="GN295" s="16"/>
      <c r="GO295" s="17"/>
      <c r="GS295" s="24"/>
      <c r="GT295" s="60"/>
      <c r="GU295" s="16"/>
      <c r="GV295" s="16"/>
      <c r="GW295" s="16"/>
      <c r="GX295" s="16"/>
      <c r="GY295" s="16"/>
      <c r="GZ295" s="17"/>
      <c r="HD295" s="24"/>
      <c r="HE295" s="60"/>
      <c r="HF295" s="16"/>
      <c r="HG295" s="16"/>
      <c r="HH295" s="16"/>
      <c r="HI295" s="16"/>
      <c r="HJ295" s="16"/>
      <c r="HK295" s="17"/>
      <c r="HO295" s="24"/>
      <c r="HP295" s="60"/>
      <c r="HQ295" s="16"/>
      <c r="HR295" s="16"/>
      <c r="HS295" s="16"/>
      <c r="HT295" s="16"/>
      <c r="HU295" s="16"/>
      <c r="HV295" s="17"/>
      <c r="HZ295" s="24"/>
      <c r="IA295" s="60"/>
      <c r="IB295" s="16"/>
      <c r="IC295" s="16"/>
      <c r="ID295" s="16"/>
      <c r="IE295" s="16"/>
      <c r="IF295" s="16"/>
      <c r="IG295" s="17"/>
      <c r="IK295" s="24"/>
      <c r="IL295" s="60"/>
      <c r="IM295" s="16"/>
      <c r="IN295" s="16"/>
      <c r="IO295" s="16"/>
      <c r="IP295" s="16"/>
      <c r="IQ295" s="16"/>
      <c r="IR295" s="17"/>
      <c r="IV295" s="24"/>
      <c r="IW295" s="60"/>
      <c r="IX295" s="16"/>
      <c r="IY295" s="16"/>
      <c r="IZ295" s="16"/>
      <c r="JA295" s="16"/>
      <c r="JB295" s="16"/>
      <c r="JC295" s="17"/>
      <c r="JG295" s="24"/>
      <c r="JH295" s="60"/>
      <c r="JI295" s="16"/>
      <c r="JJ295" s="16"/>
      <c r="JK295" s="16"/>
      <c r="JL295" s="16"/>
      <c r="JM295" s="16"/>
      <c r="JN295" s="17"/>
      <c r="JR295" s="24"/>
      <c r="JS295" s="60"/>
      <c r="JT295" s="16"/>
      <c r="JU295" s="16"/>
      <c r="JV295" s="16"/>
      <c r="JW295" s="16"/>
      <c r="JX295" s="16"/>
      <c r="JY295" s="17"/>
      <c r="KC295" s="24"/>
      <c r="KD295" s="60"/>
      <c r="KE295" s="16"/>
      <c r="KF295" s="16"/>
      <c r="KG295" s="16"/>
      <c r="KH295" s="16"/>
      <c r="KI295" s="16"/>
      <c r="KJ295" s="17"/>
      <c r="KN295" s="24"/>
      <c r="KO295" s="60"/>
      <c r="KP295" s="16"/>
      <c r="KQ295" s="16"/>
      <c r="KR295" s="16"/>
      <c r="KS295" s="16"/>
      <c r="KT295" s="16"/>
      <c r="KU295" s="17"/>
      <c r="KY295" s="24"/>
      <c r="KZ295" s="60"/>
      <c r="LA295" s="16"/>
      <c r="LB295" s="16"/>
      <c r="LC295" s="16"/>
      <c r="LD295" s="16"/>
      <c r="LE295" s="16"/>
      <c r="LF295" s="17"/>
      <c r="LJ295" s="24"/>
      <c r="LK295" s="60"/>
      <c r="LL295" s="16"/>
      <c r="LM295" s="16"/>
      <c r="LN295" s="16"/>
      <c r="LO295" s="16"/>
      <c r="LP295" s="16"/>
      <c r="LQ295" s="17"/>
    </row>
    <row r="296">
      <c r="C296" s="31"/>
      <c r="D296" s="61"/>
      <c r="E296" s="16"/>
      <c r="F296" s="16"/>
      <c r="G296" s="21"/>
      <c r="H296" s="16"/>
      <c r="I296" s="16"/>
      <c r="J296" s="17"/>
      <c r="N296" s="17"/>
      <c r="O296" s="61"/>
      <c r="P296" s="16"/>
      <c r="Q296" s="16"/>
      <c r="R296" s="16"/>
      <c r="S296" s="16"/>
      <c r="T296" s="16"/>
      <c r="U296" s="17"/>
      <c r="Y296" s="24"/>
      <c r="Z296" s="61"/>
      <c r="AA296" s="16"/>
      <c r="AB296" s="16"/>
      <c r="AC296" s="16"/>
      <c r="AD296" s="16"/>
      <c r="AE296" s="16"/>
      <c r="AF296" s="17"/>
      <c r="AJ296" s="24"/>
      <c r="AK296" s="61"/>
      <c r="AL296" s="16"/>
      <c r="AM296" s="16"/>
      <c r="AN296" s="16"/>
      <c r="AO296" s="16"/>
      <c r="AP296" s="16"/>
      <c r="AQ296" s="17"/>
      <c r="AU296" s="24"/>
      <c r="AV296" s="61"/>
      <c r="AW296" s="16"/>
      <c r="AX296" s="16"/>
      <c r="AY296" s="16"/>
      <c r="AZ296" s="16"/>
      <c r="BA296" s="16"/>
      <c r="BB296" s="17"/>
      <c r="BF296" s="24"/>
      <c r="BG296" s="61"/>
      <c r="BH296" s="16"/>
      <c r="BI296" s="16"/>
      <c r="BJ296" s="16"/>
      <c r="BK296" s="16"/>
      <c r="BL296" s="16"/>
      <c r="BM296" s="17"/>
      <c r="BQ296" s="24"/>
      <c r="BR296" s="61"/>
      <c r="BS296" s="16"/>
      <c r="BT296" s="16"/>
      <c r="BU296" s="16"/>
      <c r="BV296" s="16"/>
      <c r="BW296" s="16"/>
      <c r="BX296" s="17"/>
      <c r="CB296" s="24"/>
      <c r="CC296" s="61"/>
      <c r="CD296" s="16"/>
      <c r="CE296" s="16"/>
      <c r="CF296" s="16"/>
      <c r="CG296" s="16"/>
      <c r="CH296" s="16"/>
      <c r="CI296" s="17"/>
      <c r="CM296" s="24"/>
      <c r="CN296" s="61"/>
      <c r="CO296" s="16"/>
      <c r="CP296" s="16"/>
      <c r="CQ296" s="16"/>
      <c r="CR296" s="16"/>
      <c r="CS296" s="16"/>
      <c r="CT296" s="17"/>
      <c r="CX296" s="24"/>
      <c r="CY296" s="60"/>
      <c r="CZ296" s="16"/>
      <c r="DA296" s="16"/>
      <c r="DB296" s="16"/>
      <c r="DC296" s="16"/>
      <c r="DD296" s="16"/>
      <c r="DE296" s="17"/>
      <c r="DI296" s="24"/>
      <c r="DJ296" s="60"/>
      <c r="DK296" s="16"/>
      <c r="DL296" s="16"/>
      <c r="DM296" s="16"/>
      <c r="DN296" s="16"/>
      <c r="DO296" s="16"/>
      <c r="DP296" s="17"/>
      <c r="DT296" s="24"/>
      <c r="DU296" s="60"/>
      <c r="DV296" s="16"/>
      <c r="DW296" s="16"/>
      <c r="DX296" s="16"/>
      <c r="DY296" s="16"/>
      <c r="DZ296" s="16"/>
      <c r="EA296" s="17"/>
      <c r="EE296" s="24"/>
      <c r="EF296" s="60"/>
      <c r="EG296" s="16"/>
      <c r="EH296" s="16"/>
      <c r="EI296" s="16"/>
      <c r="EJ296" s="16"/>
      <c r="EK296" s="16"/>
      <c r="EL296" s="17"/>
      <c r="EP296" s="24"/>
      <c r="EQ296" s="60"/>
      <c r="ER296" s="16"/>
      <c r="ES296" s="16"/>
      <c r="ET296" s="16"/>
      <c r="EU296" s="16"/>
      <c r="EV296" s="16"/>
      <c r="EW296" s="17"/>
      <c r="FA296" s="24"/>
      <c r="FB296" s="60"/>
      <c r="FC296" s="16"/>
      <c r="FD296" s="16"/>
      <c r="FE296" s="16"/>
      <c r="FF296" s="16"/>
      <c r="FG296" s="16"/>
      <c r="FH296" s="17"/>
      <c r="FL296" s="24"/>
      <c r="FM296" s="60"/>
      <c r="FN296" s="16"/>
      <c r="FO296" s="16"/>
      <c r="FP296" s="16"/>
      <c r="FQ296" s="16"/>
      <c r="FR296" s="16"/>
      <c r="FS296" s="17"/>
      <c r="FW296" s="24"/>
      <c r="FX296" s="60"/>
      <c r="FY296" s="16"/>
      <c r="FZ296" s="16"/>
      <c r="GA296" s="16"/>
      <c r="GB296" s="16"/>
      <c r="GC296" s="16"/>
      <c r="GD296" s="17"/>
      <c r="GH296" s="24"/>
      <c r="GI296" s="60"/>
      <c r="GJ296" s="16"/>
      <c r="GK296" s="16"/>
      <c r="GL296" s="16"/>
      <c r="GM296" s="16"/>
      <c r="GN296" s="16"/>
      <c r="GO296" s="17"/>
      <c r="GS296" s="24"/>
      <c r="GT296" s="60"/>
      <c r="GU296" s="16"/>
      <c r="GV296" s="16"/>
      <c r="GW296" s="16"/>
      <c r="GX296" s="16"/>
      <c r="GY296" s="16"/>
      <c r="GZ296" s="17"/>
      <c r="HD296" s="24"/>
      <c r="HE296" s="60"/>
      <c r="HF296" s="16"/>
      <c r="HG296" s="16"/>
      <c r="HH296" s="16"/>
      <c r="HI296" s="16"/>
      <c r="HJ296" s="16"/>
      <c r="HK296" s="17"/>
      <c r="HO296" s="24"/>
      <c r="HP296" s="60"/>
      <c r="HQ296" s="16"/>
      <c r="HR296" s="16"/>
      <c r="HS296" s="16"/>
      <c r="HT296" s="16"/>
      <c r="HU296" s="16"/>
      <c r="HV296" s="17"/>
      <c r="HZ296" s="24"/>
      <c r="IA296" s="60"/>
      <c r="IB296" s="16"/>
      <c r="IC296" s="16"/>
      <c r="ID296" s="16"/>
      <c r="IE296" s="16"/>
      <c r="IF296" s="16"/>
      <c r="IG296" s="17"/>
      <c r="IK296" s="24"/>
      <c r="IL296" s="60"/>
      <c r="IM296" s="16"/>
      <c r="IN296" s="16"/>
      <c r="IO296" s="16"/>
      <c r="IP296" s="16"/>
      <c r="IQ296" s="16"/>
      <c r="IR296" s="17"/>
      <c r="IV296" s="24"/>
      <c r="IW296" s="60"/>
      <c r="IX296" s="16"/>
      <c r="IY296" s="16"/>
      <c r="IZ296" s="16"/>
      <c r="JA296" s="16"/>
      <c r="JB296" s="16"/>
      <c r="JC296" s="17"/>
      <c r="JG296" s="24"/>
      <c r="JH296" s="60"/>
      <c r="JI296" s="16"/>
      <c r="JJ296" s="16"/>
      <c r="JK296" s="16"/>
      <c r="JL296" s="16"/>
      <c r="JM296" s="16"/>
      <c r="JN296" s="17"/>
      <c r="JR296" s="24"/>
      <c r="JS296" s="60"/>
      <c r="JT296" s="16"/>
      <c r="JU296" s="16"/>
      <c r="JV296" s="16"/>
      <c r="JW296" s="16"/>
      <c r="JX296" s="16"/>
      <c r="JY296" s="17"/>
      <c r="KC296" s="24"/>
      <c r="KD296" s="60"/>
      <c r="KE296" s="16"/>
      <c r="KF296" s="16"/>
      <c r="KG296" s="16"/>
      <c r="KH296" s="16"/>
      <c r="KI296" s="16"/>
      <c r="KJ296" s="17"/>
      <c r="KN296" s="24"/>
      <c r="KO296" s="60"/>
      <c r="KP296" s="16"/>
      <c r="KQ296" s="16"/>
      <c r="KR296" s="16"/>
      <c r="KS296" s="16"/>
      <c r="KT296" s="16"/>
      <c r="KU296" s="17"/>
      <c r="KY296" s="24"/>
      <c r="KZ296" s="60"/>
      <c r="LA296" s="16"/>
      <c r="LB296" s="16"/>
      <c r="LC296" s="16"/>
      <c r="LD296" s="16"/>
      <c r="LE296" s="16"/>
      <c r="LF296" s="17"/>
      <c r="LJ296" s="24"/>
      <c r="LK296" s="60"/>
      <c r="LL296" s="16"/>
      <c r="LM296" s="16"/>
      <c r="LN296" s="16"/>
      <c r="LO296" s="16"/>
      <c r="LP296" s="16"/>
      <c r="LQ296" s="17"/>
    </row>
    <row r="297">
      <c r="C297" s="31"/>
      <c r="D297" s="61"/>
      <c r="E297" s="16"/>
      <c r="F297" s="16"/>
      <c r="G297" s="21"/>
      <c r="H297" s="16"/>
      <c r="I297" s="16"/>
      <c r="J297" s="17"/>
      <c r="N297" s="17"/>
      <c r="O297" s="61"/>
      <c r="P297" s="16"/>
      <c r="Q297" s="16"/>
      <c r="R297" s="16"/>
      <c r="S297" s="16"/>
      <c r="T297" s="16"/>
      <c r="U297" s="17"/>
      <c r="Y297" s="24"/>
      <c r="Z297" s="61"/>
      <c r="AA297" s="16"/>
      <c r="AB297" s="16"/>
      <c r="AC297" s="16"/>
      <c r="AD297" s="16"/>
      <c r="AE297" s="16"/>
      <c r="AF297" s="17"/>
      <c r="AJ297" s="24"/>
      <c r="AK297" s="61"/>
      <c r="AL297" s="16"/>
      <c r="AM297" s="16"/>
      <c r="AN297" s="16"/>
      <c r="AO297" s="16"/>
      <c r="AP297" s="16"/>
      <c r="AQ297" s="17"/>
      <c r="AU297" s="24"/>
      <c r="AV297" s="61"/>
      <c r="AW297" s="16"/>
      <c r="AX297" s="16"/>
      <c r="AY297" s="16"/>
      <c r="AZ297" s="16"/>
      <c r="BA297" s="16"/>
      <c r="BB297" s="17"/>
      <c r="BF297" s="24"/>
      <c r="BG297" s="61"/>
      <c r="BH297" s="16"/>
      <c r="BI297" s="16"/>
      <c r="BJ297" s="16"/>
      <c r="BK297" s="16"/>
      <c r="BL297" s="16"/>
      <c r="BM297" s="17"/>
      <c r="BQ297" s="24"/>
      <c r="BR297" s="61"/>
      <c r="BS297" s="16"/>
      <c r="BT297" s="16"/>
      <c r="BU297" s="16"/>
      <c r="BV297" s="16"/>
      <c r="BW297" s="16"/>
      <c r="BX297" s="17"/>
      <c r="CB297" s="24"/>
      <c r="CC297" s="61"/>
      <c r="CD297" s="16"/>
      <c r="CE297" s="16"/>
      <c r="CF297" s="16"/>
      <c r="CG297" s="16"/>
      <c r="CH297" s="16"/>
      <c r="CI297" s="17"/>
      <c r="CM297" s="24"/>
      <c r="CN297" s="61"/>
      <c r="CO297" s="16"/>
      <c r="CP297" s="16"/>
      <c r="CQ297" s="16"/>
      <c r="CR297" s="16"/>
      <c r="CS297" s="16"/>
      <c r="CT297" s="17"/>
      <c r="CX297" s="24"/>
      <c r="CY297" s="60"/>
      <c r="CZ297" s="16"/>
      <c r="DA297" s="16"/>
      <c r="DB297" s="16"/>
      <c r="DC297" s="16"/>
      <c r="DD297" s="16"/>
      <c r="DE297" s="17"/>
      <c r="DI297" s="24"/>
      <c r="DJ297" s="60"/>
      <c r="DK297" s="16"/>
      <c r="DL297" s="16"/>
      <c r="DM297" s="16"/>
      <c r="DN297" s="16"/>
      <c r="DO297" s="16"/>
      <c r="DP297" s="17"/>
      <c r="DT297" s="24"/>
      <c r="DU297" s="60"/>
      <c r="DV297" s="16"/>
      <c r="DW297" s="16"/>
      <c r="DX297" s="16"/>
      <c r="DY297" s="16"/>
      <c r="DZ297" s="16"/>
      <c r="EA297" s="17"/>
      <c r="EE297" s="24"/>
      <c r="EF297" s="60"/>
      <c r="EG297" s="16"/>
      <c r="EH297" s="16"/>
      <c r="EI297" s="16"/>
      <c r="EJ297" s="16"/>
      <c r="EK297" s="16"/>
      <c r="EL297" s="17"/>
      <c r="EP297" s="24"/>
      <c r="EQ297" s="60"/>
      <c r="ER297" s="16"/>
      <c r="ES297" s="16"/>
      <c r="ET297" s="16"/>
      <c r="EU297" s="16"/>
      <c r="EV297" s="16"/>
      <c r="EW297" s="17"/>
      <c r="FA297" s="24"/>
      <c r="FB297" s="60"/>
      <c r="FC297" s="16"/>
      <c r="FD297" s="16"/>
      <c r="FE297" s="16"/>
      <c r="FF297" s="16"/>
      <c r="FG297" s="16"/>
      <c r="FH297" s="17"/>
      <c r="FL297" s="24"/>
      <c r="FM297" s="60"/>
      <c r="FN297" s="16"/>
      <c r="FO297" s="16"/>
      <c r="FP297" s="16"/>
      <c r="FQ297" s="16"/>
      <c r="FR297" s="16"/>
      <c r="FS297" s="17"/>
      <c r="FW297" s="24"/>
      <c r="FX297" s="60"/>
      <c r="FY297" s="16"/>
      <c r="FZ297" s="16"/>
      <c r="GA297" s="16"/>
      <c r="GB297" s="16"/>
      <c r="GC297" s="16"/>
      <c r="GD297" s="17"/>
      <c r="GH297" s="24"/>
      <c r="GI297" s="60"/>
      <c r="GJ297" s="16"/>
      <c r="GK297" s="16"/>
      <c r="GL297" s="16"/>
      <c r="GM297" s="16"/>
      <c r="GN297" s="16"/>
      <c r="GO297" s="17"/>
      <c r="GS297" s="24"/>
      <c r="GT297" s="60"/>
      <c r="GU297" s="16"/>
      <c r="GV297" s="16"/>
      <c r="GW297" s="16"/>
      <c r="GX297" s="16"/>
      <c r="GY297" s="16"/>
      <c r="GZ297" s="17"/>
      <c r="HD297" s="24"/>
      <c r="HE297" s="60"/>
      <c r="HF297" s="16"/>
      <c r="HG297" s="16"/>
      <c r="HH297" s="16"/>
      <c r="HI297" s="16"/>
      <c r="HJ297" s="16"/>
      <c r="HK297" s="17"/>
      <c r="HO297" s="24"/>
      <c r="HP297" s="60"/>
      <c r="HQ297" s="16"/>
      <c r="HR297" s="16"/>
      <c r="HS297" s="16"/>
      <c r="HT297" s="16"/>
      <c r="HU297" s="16"/>
      <c r="HV297" s="17"/>
      <c r="HZ297" s="24"/>
      <c r="IA297" s="60"/>
      <c r="IB297" s="16"/>
      <c r="IC297" s="16"/>
      <c r="ID297" s="16"/>
      <c r="IE297" s="16"/>
      <c r="IF297" s="16"/>
      <c r="IG297" s="17"/>
      <c r="IK297" s="24"/>
      <c r="IL297" s="60"/>
      <c r="IM297" s="16"/>
      <c r="IN297" s="16"/>
      <c r="IO297" s="16"/>
      <c r="IP297" s="16"/>
      <c r="IQ297" s="16"/>
      <c r="IR297" s="17"/>
      <c r="IV297" s="24"/>
      <c r="IW297" s="60"/>
      <c r="IX297" s="16"/>
      <c r="IY297" s="16"/>
      <c r="IZ297" s="16"/>
      <c r="JA297" s="16"/>
      <c r="JB297" s="16"/>
      <c r="JC297" s="17"/>
      <c r="JG297" s="24"/>
      <c r="JH297" s="60"/>
      <c r="JI297" s="16"/>
      <c r="JJ297" s="16"/>
      <c r="JK297" s="16"/>
      <c r="JL297" s="16"/>
      <c r="JM297" s="16"/>
      <c r="JN297" s="17"/>
      <c r="JR297" s="24"/>
      <c r="JS297" s="60"/>
      <c r="JT297" s="16"/>
      <c r="JU297" s="16"/>
      <c r="JV297" s="16"/>
      <c r="JW297" s="16"/>
      <c r="JX297" s="16"/>
      <c r="JY297" s="17"/>
      <c r="KC297" s="24"/>
      <c r="KD297" s="60"/>
      <c r="KE297" s="16"/>
      <c r="KF297" s="16"/>
      <c r="KG297" s="16"/>
      <c r="KH297" s="16"/>
      <c r="KI297" s="16"/>
      <c r="KJ297" s="17"/>
      <c r="KN297" s="24"/>
      <c r="KO297" s="60"/>
      <c r="KP297" s="16"/>
      <c r="KQ297" s="16"/>
      <c r="KR297" s="16"/>
      <c r="KS297" s="16"/>
      <c r="KT297" s="16"/>
      <c r="KU297" s="17"/>
      <c r="KY297" s="24"/>
      <c r="KZ297" s="60"/>
      <c r="LA297" s="16"/>
      <c r="LB297" s="16"/>
      <c r="LC297" s="16"/>
      <c r="LD297" s="16"/>
      <c r="LE297" s="16"/>
      <c r="LF297" s="17"/>
      <c r="LJ297" s="24"/>
      <c r="LK297" s="60"/>
      <c r="LL297" s="16"/>
      <c r="LM297" s="16"/>
      <c r="LN297" s="16"/>
      <c r="LO297" s="16"/>
      <c r="LP297" s="16"/>
      <c r="LQ297" s="17"/>
    </row>
    <row r="298">
      <c r="C298" s="31"/>
      <c r="D298" s="61"/>
      <c r="E298" s="16"/>
      <c r="F298" s="16"/>
      <c r="G298" s="21"/>
      <c r="H298" s="16"/>
      <c r="I298" s="16"/>
      <c r="J298" s="17"/>
      <c r="N298" s="17"/>
      <c r="O298" s="61"/>
      <c r="P298" s="16"/>
      <c r="Q298" s="16"/>
      <c r="R298" s="16"/>
      <c r="S298" s="16"/>
      <c r="T298" s="16"/>
      <c r="U298" s="17"/>
      <c r="Y298" s="24"/>
      <c r="Z298" s="61"/>
      <c r="AA298" s="16"/>
      <c r="AB298" s="16"/>
      <c r="AC298" s="16"/>
      <c r="AD298" s="16"/>
      <c r="AE298" s="16"/>
      <c r="AF298" s="17"/>
      <c r="AJ298" s="24"/>
      <c r="AK298" s="61"/>
      <c r="AL298" s="16"/>
      <c r="AM298" s="16"/>
      <c r="AN298" s="16"/>
      <c r="AO298" s="16"/>
      <c r="AP298" s="16"/>
      <c r="AQ298" s="17"/>
      <c r="AU298" s="24"/>
      <c r="AV298" s="61"/>
      <c r="AW298" s="16"/>
      <c r="AX298" s="16"/>
      <c r="AY298" s="16"/>
      <c r="AZ298" s="16"/>
      <c r="BA298" s="16"/>
      <c r="BB298" s="17"/>
      <c r="BF298" s="24"/>
      <c r="BG298" s="61"/>
      <c r="BH298" s="16"/>
      <c r="BI298" s="16"/>
      <c r="BJ298" s="16"/>
      <c r="BK298" s="16"/>
      <c r="BL298" s="16"/>
      <c r="BM298" s="17"/>
      <c r="BQ298" s="24"/>
      <c r="BR298" s="61"/>
      <c r="BS298" s="16"/>
      <c r="BT298" s="16"/>
      <c r="BU298" s="16"/>
      <c r="BV298" s="16"/>
      <c r="BW298" s="16"/>
      <c r="BX298" s="17"/>
      <c r="CB298" s="24"/>
      <c r="CC298" s="61"/>
      <c r="CD298" s="16"/>
      <c r="CE298" s="16"/>
      <c r="CF298" s="16"/>
      <c r="CG298" s="16"/>
      <c r="CH298" s="16"/>
      <c r="CI298" s="17"/>
      <c r="CM298" s="24"/>
      <c r="CN298" s="61"/>
      <c r="CO298" s="16"/>
      <c r="CP298" s="16"/>
      <c r="CQ298" s="16"/>
      <c r="CR298" s="16"/>
      <c r="CS298" s="16"/>
      <c r="CT298" s="17"/>
      <c r="CX298" s="24"/>
      <c r="CY298" s="60"/>
      <c r="CZ298" s="16"/>
      <c r="DA298" s="16"/>
      <c r="DB298" s="16"/>
      <c r="DC298" s="16"/>
      <c r="DD298" s="16"/>
      <c r="DE298" s="17"/>
      <c r="DI298" s="24"/>
      <c r="DJ298" s="60"/>
      <c r="DK298" s="16"/>
      <c r="DL298" s="16"/>
      <c r="DM298" s="16"/>
      <c r="DN298" s="16"/>
      <c r="DO298" s="16"/>
      <c r="DP298" s="17"/>
      <c r="DT298" s="24"/>
      <c r="DU298" s="60"/>
      <c r="DV298" s="16"/>
      <c r="DW298" s="16"/>
      <c r="DX298" s="16"/>
      <c r="DY298" s="16"/>
      <c r="DZ298" s="16"/>
      <c r="EA298" s="17"/>
      <c r="EE298" s="24"/>
      <c r="EF298" s="60"/>
      <c r="EG298" s="16"/>
      <c r="EH298" s="16"/>
      <c r="EI298" s="16"/>
      <c r="EJ298" s="16"/>
      <c r="EK298" s="16"/>
      <c r="EL298" s="17"/>
      <c r="EP298" s="24"/>
      <c r="EQ298" s="60"/>
      <c r="ER298" s="16"/>
      <c r="ES298" s="16"/>
      <c r="ET298" s="16"/>
      <c r="EU298" s="16"/>
      <c r="EV298" s="16"/>
      <c r="EW298" s="17"/>
      <c r="FA298" s="24"/>
      <c r="FB298" s="60"/>
      <c r="FC298" s="16"/>
      <c r="FD298" s="16"/>
      <c r="FE298" s="16"/>
      <c r="FF298" s="16"/>
      <c r="FG298" s="16"/>
      <c r="FH298" s="17"/>
      <c r="FL298" s="24"/>
      <c r="FM298" s="60"/>
      <c r="FN298" s="16"/>
      <c r="FO298" s="16"/>
      <c r="FP298" s="16"/>
      <c r="FQ298" s="16"/>
      <c r="FR298" s="16"/>
      <c r="FS298" s="17"/>
      <c r="FW298" s="24"/>
      <c r="FX298" s="60"/>
      <c r="FY298" s="16"/>
      <c r="FZ298" s="16"/>
      <c r="GA298" s="16"/>
      <c r="GB298" s="16"/>
      <c r="GC298" s="16"/>
      <c r="GD298" s="17"/>
      <c r="GH298" s="24"/>
      <c r="GI298" s="60"/>
      <c r="GJ298" s="16"/>
      <c r="GK298" s="16"/>
      <c r="GL298" s="16"/>
      <c r="GM298" s="16"/>
      <c r="GN298" s="16"/>
      <c r="GO298" s="17"/>
      <c r="GS298" s="24"/>
      <c r="GT298" s="60"/>
      <c r="GU298" s="16"/>
      <c r="GV298" s="16"/>
      <c r="GW298" s="16"/>
      <c r="GX298" s="16"/>
      <c r="GY298" s="16"/>
      <c r="GZ298" s="17"/>
      <c r="HD298" s="24"/>
      <c r="HE298" s="60"/>
      <c r="HF298" s="16"/>
      <c r="HG298" s="16"/>
      <c r="HH298" s="16"/>
      <c r="HI298" s="16"/>
      <c r="HJ298" s="16"/>
      <c r="HK298" s="17"/>
      <c r="HO298" s="24"/>
      <c r="HP298" s="60"/>
      <c r="HQ298" s="16"/>
      <c r="HR298" s="16"/>
      <c r="HS298" s="16"/>
      <c r="HT298" s="16"/>
      <c r="HU298" s="16"/>
      <c r="HV298" s="17"/>
      <c r="HZ298" s="24"/>
      <c r="IA298" s="60"/>
      <c r="IB298" s="16"/>
      <c r="IC298" s="16"/>
      <c r="ID298" s="16"/>
      <c r="IE298" s="16"/>
      <c r="IF298" s="16"/>
      <c r="IG298" s="17"/>
      <c r="IK298" s="24"/>
      <c r="IL298" s="60"/>
      <c r="IM298" s="16"/>
      <c r="IN298" s="16"/>
      <c r="IO298" s="16"/>
      <c r="IP298" s="16"/>
      <c r="IQ298" s="16"/>
      <c r="IR298" s="17"/>
      <c r="IV298" s="24"/>
      <c r="IW298" s="60"/>
      <c r="IX298" s="16"/>
      <c r="IY298" s="16"/>
      <c r="IZ298" s="16"/>
      <c r="JA298" s="16"/>
      <c r="JB298" s="16"/>
      <c r="JC298" s="17"/>
      <c r="JG298" s="24"/>
      <c r="JH298" s="60"/>
      <c r="JI298" s="16"/>
      <c r="JJ298" s="16"/>
      <c r="JK298" s="16"/>
      <c r="JL298" s="16"/>
      <c r="JM298" s="16"/>
      <c r="JN298" s="17"/>
      <c r="JR298" s="24"/>
      <c r="JS298" s="60"/>
      <c r="JT298" s="16"/>
      <c r="JU298" s="16"/>
      <c r="JV298" s="16"/>
      <c r="JW298" s="16"/>
      <c r="JX298" s="16"/>
      <c r="JY298" s="17"/>
      <c r="KC298" s="24"/>
      <c r="KD298" s="60"/>
      <c r="KE298" s="16"/>
      <c r="KF298" s="16"/>
      <c r="KG298" s="16"/>
      <c r="KH298" s="16"/>
      <c r="KI298" s="16"/>
      <c r="KJ298" s="17"/>
      <c r="KN298" s="24"/>
      <c r="KO298" s="60"/>
      <c r="KP298" s="16"/>
      <c r="KQ298" s="16"/>
      <c r="KR298" s="16"/>
      <c r="KS298" s="16"/>
      <c r="KT298" s="16"/>
      <c r="KU298" s="17"/>
      <c r="KY298" s="24"/>
      <c r="KZ298" s="60"/>
      <c r="LA298" s="16"/>
      <c r="LB298" s="16"/>
      <c r="LC298" s="16"/>
      <c r="LD298" s="16"/>
      <c r="LE298" s="16"/>
      <c r="LF298" s="17"/>
      <c r="LJ298" s="24"/>
      <c r="LK298" s="60"/>
      <c r="LL298" s="16"/>
      <c r="LM298" s="16"/>
      <c r="LN298" s="16"/>
      <c r="LO298" s="16"/>
      <c r="LP298" s="16"/>
      <c r="LQ298" s="17"/>
    </row>
    <row r="299">
      <c r="C299" s="31"/>
      <c r="D299" s="61"/>
      <c r="E299" s="16"/>
      <c r="F299" s="16"/>
      <c r="G299" s="21"/>
      <c r="H299" s="16"/>
      <c r="I299" s="16"/>
      <c r="J299" s="17"/>
      <c r="N299" s="17"/>
      <c r="O299" s="61"/>
      <c r="P299" s="16"/>
      <c r="Q299" s="16"/>
      <c r="R299" s="16"/>
      <c r="S299" s="16"/>
      <c r="T299" s="16"/>
      <c r="U299" s="17"/>
      <c r="Y299" s="24"/>
      <c r="Z299" s="61"/>
      <c r="AA299" s="16"/>
      <c r="AB299" s="16"/>
      <c r="AC299" s="16"/>
      <c r="AD299" s="16"/>
      <c r="AE299" s="16"/>
      <c r="AF299" s="17"/>
      <c r="AJ299" s="24"/>
      <c r="AK299" s="61"/>
      <c r="AL299" s="16"/>
      <c r="AM299" s="16"/>
      <c r="AN299" s="16"/>
      <c r="AO299" s="16"/>
      <c r="AP299" s="16"/>
      <c r="AQ299" s="17"/>
      <c r="AU299" s="24"/>
      <c r="AV299" s="61"/>
      <c r="AW299" s="16"/>
      <c r="AX299" s="16"/>
      <c r="AY299" s="16"/>
      <c r="AZ299" s="16"/>
      <c r="BA299" s="16"/>
      <c r="BB299" s="17"/>
      <c r="BF299" s="24"/>
      <c r="BG299" s="61"/>
      <c r="BH299" s="16"/>
      <c r="BI299" s="16"/>
      <c r="BJ299" s="16"/>
      <c r="BK299" s="16"/>
      <c r="BL299" s="16"/>
      <c r="BM299" s="17"/>
      <c r="BQ299" s="24"/>
      <c r="BR299" s="61"/>
      <c r="BS299" s="16"/>
      <c r="BT299" s="16"/>
      <c r="BU299" s="16"/>
      <c r="BV299" s="16"/>
      <c r="BW299" s="16"/>
      <c r="BX299" s="17"/>
      <c r="CB299" s="24"/>
      <c r="CC299" s="61"/>
      <c r="CD299" s="16"/>
      <c r="CE299" s="16"/>
      <c r="CF299" s="16"/>
      <c r="CG299" s="16"/>
      <c r="CH299" s="16"/>
      <c r="CI299" s="17"/>
      <c r="CM299" s="24"/>
      <c r="CN299" s="61"/>
      <c r="CO299" s="16"/>
      <c r="CP299" s="16"/>
      <c r="CQ299" s="16"/>
      <c r="CR299" s="16"/>
      <c r="CS299" s="16"/>
      <c r="CT299" s="17"/>
      <c r="CX299" s="24"/>
      <c r="CY299" s="60"/>
      <c r="CZ299" s="16"/>
      <c r="DA299" s="16"/>
      <c r="DB299" s="16"/>
      <c r="DC299" s="16"/>
      <c r="DD299" s="16"/>
      <c r="DE299" s="17"/>
      <c r="DI299" s="24"/>
      <c r="DJ299" s="60"/>
      <c r="DK299" s="16"/>
      <c r="DL299" s="16"/>
      <c r="DM299" s="16"/>
      <c r="DN299" s="16"/>
      <c r="DO299" s="16"/>
      <c r="DP299" s="17"/>
      <c r="DT299" s="24"/>
      <c r="DU299" s="60"/>
      <c r="DV299" s="16"/>
      <c r="DW299" s="16"/>
      <c r="DX299" s="16"/>
      <c r="DY299" s="16"/>
      <c r="DZ299" s="16"/>
      <c r="EA299" s="17"/>
      <c r="EE299" s="24"/>
      <c r="EF299" s="60"/>
      <c r="EG299" s="16"/>
      <c r="EH299" s="16"/>
      <c r="EI299" s="16"/>
      <c r="EJ299" s="16"/>
      <c r="EK299" s="16"/>
      <c r="EL299" s="17"/>
      <c r="EP299" s="24"/>
      <c r="EQ299" s="60"/>
      <c r="ER299" s="16"/>
      <c r="ES299" s="16"/>
      <c r="ET299" s="16"/>
      <c r="EU299" s="16"/>
      <c r="EV299" s="16"/>
      <c r="EW299" s="17"/>
      <c r="FA299" s="24"/>
      <c r="FB299" s="60"/>
      <c r="FC299" s="16"/>
      <c r="FD299" s="16"/>
      <c r="FE299" s="16"/>
      <c r="FF299" s="16"/>
      <c r="FG299" s="16"/>
      <c r="FH299" s="17"/>
      <c r="FL299" s="24"/>
      <c r="FM299" s="60"/>
      <c r="FN299" s="16"/>
      <c r="FO299" s="16"/>
      <c r="FP299" s="16"/>
      <c r="FQ299" s="16"/>
      <c r="FR299" s="16"/>
      <c r="FS299" s="17"/>
      <c r="FW299" s="24"/>
      <c r="FX299" s="60"/>
      <c r="FY299" s="16"/>
      <c r="FZ299" s="16"/>
      <c r="GA299" s="16"/>
      <c r="GB299" s="16"/>
      <c r="GC299" s="16"/>
      <c r="GD299" s="17"/>
      <c r="GH299" s="24"/>
      <c r="GI299" s="60"/>
      <c r="GJ299" s="16"/>
      <c r="GK299" s="16"/>
      <c r="GL299" s="16"/>
      <c r="GM299" s="16"/>
      <c r="GN299" s="16"/>
      <c r="GO299" s="17"/>
      <c r="GS299" s="24"/>
      <c r="GT299" s="60"/>
      <c r="GU299" s="16"/>
      <c r="GV299" s="16"/>
      <c r="GW299" s="16"/>
      <c r="GX299" s="16"/>
      <c r="GY299" s="16"/>
      <c r="GZ299" s="17"/>
      <c r="HD299" s="24"/>
      <c r="HE299" s="60"/>
      <c r="HF299" s="16"/>
      <c r="HG299" s="16"/>
      <c r="HH299" s="16"/>
      <c r="HI299" s="16"/>
      <c r="HJ299" s="16"/>
      <c r="HK299" s="17"/>
      <c r="HO299" s="24"/>
      <c r="HP299" s="60"/>
      <c r="HQ299" s="16"/>
      <c r="HR299" s="16"/>
      <c r="HS299" s="16"/>
      <c r="HT299" s="16"/>
      <c r="HU299" s="16"/>
      <c r="HV299" s="17"/>
      <c r="HZ299" s="24"/>
      <c r="IA299" s="60"/>
      <c r="IB299" s="16"/>
      <c r="IC299" s="16"/>
      <c r="ID299" s="16"/>
      <c r="IE299" s="16"/>
      <c r="IF299" s="16"/>
      <c r="IG299" s="17"/>
      <c r="IK299" s="24"/>
      <c r="IL299" s="60"/>
      <c r="IM299" s="16"/>
      <c r="IN299" s="16"/>
      <c r="IO299" s="16"/>
      <c r="IP299" s="16"/>
      <c r="IQ299" s="16"/>
      <c r="IR299" s="17"/>
      <c r="IV299" s="24"/>
      <c r="IW299" s="60"/>
      <c r="IX299" s="16"/>
      <c r="IY299" s="16"/>
      <c r="IZ299" s="16"/>
      <c r="JA299" s="16"/>
      <c r="JB299" s="16"/>
      <c r="JC299" s="17"/>
      <c r="JG299" s="24"/>
      <c r="JH299" s="60"/>
      <c r="JI299" s="16"/>
      <c r="JJ299" s="16"/>
      <c r="JK299" s="16"/>
      <c r="JL299" s="16"/>
      <c r="JM299" s="16"/>
      <c r="JN299" s="17"/>
      <c r="JR299" s="24"/>
      <c r="JS299" s="60"/>
      <c r="JT299" s="16"/>
      <c r="JU299" s="16"/>
      <c r="JV299" s="16"/>
      <c r="JW299" s="16"/>
      <c r="JX299" s="16"/>
      <c r="JY299" s="17"/>
      <c r="KC299" s="24"/>
      <c r="KD299" s="60"/>
      <c r="KE299" s="16"/>
      <c r="KF299" s="16"/>
      <c r="KG299" s="16"/>
      <c r="KH299" s="16"/>
      <c r="KI299" s="16"/>
      <c r="KJ299" s="17"/>
      <c r="KN299" s="24"/>
      <c r="KO299" s="60"/>
      <c r="KP299" s="16"/>
      <c r="KQ299" s="16"/>
      <c r="KR299" s="16"/>
      <c r="KS299" s="16"/>
      <c r="KT299" s="16"/>
      <c r="KU299" s="17"/>
      <c r="KY299" s="24"/>
      <c r="KZ299" s="60"/>
      <c r="LA299" s="16"/>
      <c r="LB299" s="16"/>
      <c r="LC299" s="16"/>
      <c r="LD299" s="16"/>
      <c r="LE299" s="16"/>
      <c r="LF299" s="17"/>
      <c r="LJ299" s="24"/>
      <c r="LK299" s="60"/>
      <c r="LL299" s="16"/>
      <c r="LM299" s="16"/>
      <c r="LN299" s="16"/>
      <c r="LO299" s="16"/>
      <c r="LP299" s="16"/>
      <c r="LQ299" s="17"/>
    </row>
    <row r="300">
      <c r="C300" s="31"/>
      <c r="D300" s="61"/>
      <c r="E300" s="16"/>
      <c r="F300" s="16"/>
      <c r="G300" s="21"/>
      <c r="H300" s="16"/>
      <c r="I300" s="16"/>
      <c r="J300" s="17"/>
      <c r="N300" s="17"/>
      <c r="O300" s="61"/>
      <c r="P300" s="16"/>
      <c r="Q300" s="16"/>
      <c r="R300" s="16"/>
      <c r="S300" s="16"/>
      <c r="T300" s="16"/>
      <c r="U300" s="17"/>
      <c r="Y300" s="24"/>
      <c r="Z300" s="61"/>
      <c r="AA300" s="16"/>
      <c r="AB300" s="16"/>
      <c r="AC300" s="16"/>
      <c r="AD300" s="16"/>
      <c r="AE300" s="16"/>
      <c r="AF300" s="17"/>
      <c r="AJ300" s="24"/>
      <c r="AK300" s="61"/>
      <c r="AL300" s="16"/>
      <c r="AM300" s="16"/>
      <c r="AN300" s="16"/>
      <c r="AO300" s="16"/>
      <c r="AP300" s="16"/>
      <c r="AQ300" s="17"/>
      <c r="AU300" s="24"/>
      <c r="AV300" s="61"/>
      <c r="AW300" s="16"/>
      <c r="AX300" s="16"/>
      <c r="AY300" s="16"/>
      <c r="AZ300" s="16"/>
      <c r="BA300" s="16"/>
      <c r="BB300" s="17"/>
      <c r="BF300" s="24"/>
      <c r="BG300" s="61"/>
      <c r="BH300" s="16"/>
      <c r="BI300" s="16"/>
      <c r="BJ300" s="16"/>
      <c r="BK300" s="16"/>
      <c r="BL300" s="16"/>
      <c r="BM300" s="17"/>
      <c r="BQ300" s="24"/>
      <c r="BR300" s="61"/>
      <c r="BS300" s="16"/>
      <c r="BT300" s="16"/>
      <c r="BU300" s="16"/>
      <c r="BV300" s="16"/>
      <c r="BW300" s="16"/>
      <c r="BX300" s="17"/>
      <c r="CB300" s="24"/>
      <c r="CC300" s="61"/>
      <c r="CD300" s="16"/>
      <c r="CE300" s="16"/>
      <c r="CF300" s="16"/>
      <c r="CG300" s="16"/>
      <c r="CH300" s="16"/>
      <c r="CI300" s="17"/>
      <c r="CM300" s="24"/>
      <c r="CN300" s="61"/>
      <c r="CO300" s="16"/>
      <c r="CP300" s="16"/>
      <c r="CQ300" s="16"/>
      <c r="CR300" s="16"/>
      <c r="CS300" s="16"/>
      <c r="CT300" s="17"/>
      <c r="CX300" s="24"/>
      <c r="CY300" s="60"/>
      <c r="CZ300" s="16"/>
      <c r="DA300" s="16"/>
      <c r="DB300" s="16"/>
      <c r="DC300" s="16"/>
      <c r="DD300" s="16"/>
      <c r="DE300" s="17"/>
      <c r="DI300" s="24"/>
      <c r="DJ300" s="60"/>
      <c r="DK300" s="16"/>
      <c r="DL300" s="16"/>
      <c r="DM300" s="16"/>
      <c r="DN300" s="16"/>
      <c r="DO300" s="16"/>
      <c r="DP300" s="17"/>
      <c r="DT300" s="24"/>
      <c r="DU300" s="60"/>
      <c r="DV300" s="16"/>
      <c r="DW300" s="16"/>
      <c r="DX300" s="16"/>
      <c r="DY300" s="16"/>
      <c r="DZ300" s="16"/>
      <c r="EA300" s="17"/>
      <c r="EE300" s="24"/>
      <c r="EF300" s="60"/>
      <c r="EG300" s="16"/>
      <c r="EH300" s="16"/>
      <c r="EI300" s="16"/>
      <c r="EJ300" s="16"/>
      <c r="EK300" s="16"/>
      <c r="EL300" s="17"/>
      <c r="EP300" s="24"/>
      <c r="EQ300" s="60"/>
      <c r="ER300" s="16"/>
      <c r="ES300" s="16"/>
      <c r="ET300" s="16"/>
      <c r="EU300" s="16"/>
      <c r="EV300" s="16"/>
      <c r="EW300" s="17"/>
      <c r="FA300" s="24"/>
      <c r="FB300" s="60"/>
      <c r="FC300" s="16"/>
      <c r="FD300" s="16"/>
      <c r="FE300" s="16"/>
      <c r="FF300" s="16"/>
      <c r="FG300" s="16"/>
      <c r="FH300" s="17"/>
      <c r="FL300" s="24"/>
      <c r="FM300" s="60"/>
      <c r="FN300" s="16"/>
      <c r="FO300" s="16"/>
      <c r="FP300" s="16"/>
      <c r="FQ300" s="16"/>
      <c r="FR300" s="16"/>
      <c r="FS300" s="17"/>
      <c r="FW300" s="24"/>
      <c r="FX300" s="60"/>
      <c r="FY300" s="16"/>
      <c r="FZ300" s="16"/>
      <c r="GA300" s="16"/>
      <c r="GB300" s="16"/>
      <c r="GC300" s="16"/>
      <c r="GD300" s="17"/>
      <c r="GH300" s="24"/>
      <c r="GI300" s="60"/>
      <c r="GJ300" s="16"/>
      <c r="GK300" s="16"/>
      <c r="GL300" s="16"/>
      <c r="GM300" s="16"/>
      <c r="GN300" s="16"/>
      <c r="GO300" s="17"/>
      <c r="GS300" s="24"/>
      <c r="GT300" s="60"/>
      <c r="GU300" s="16"/>
      <c r="GV300" s="16"/>
      <c r="GW300" s="16"/>
      <c r="GX300" s="16"/>
      <c r="GY300" s="16"/>
      <c r="GZ300" s="17"/>
      <c r="HD300" s="24"/>
      <c r="HE300" s="60"/>
      <c r="HF300" s="16"/>
      <c r="HG300" s="16"/>
      <c r="HH300" s="16"/>
      <c r="HI300" s="16"/>
      <c r="HJ300" s="16"/>
      <c r="HK300" s="17"/>
      <c r="HO300" s="24"/>
      <c r="HP300" s="60"/>
      <c r="HQ300" s="16"/>
      <c r="HR300" s="16"/>
      <c r="HS300" s="16"/>
      <c r="HT300" s="16"/>
      <c r="HU300" s="16"/>
      <c r="HV300" s="17"/>
      <c r="HZ300" s="24"/>
      <c r="IA300" s="60"/>
      <c r="IB300" s="16"/>
      <c r="IC300" s="16"/>
      <c r="ID300" s="16"/>
      <c r="IE300" s="16"/>
      <c r="IF300" s="16"/>
      <c r="IG300" s="17"/>
      <c r="IK300" s="24"/>
      <c r="IL300" s="60"/>
      <c r="IM300" s="16"/>
      <c r="IN300" s="16"/>
      <c r="IO300" s="16"/>
      <c r="IP300" s="16"/>
      <c r="IQ300" s="16"/>
      <c r="IR300" s="17"/>
      <c r="IV300" s="24"/>
      <c r="IW300" s="60"/>
      <c r="IX300" s="16"/>
      <c r="IY300" s="16"/>
      <c r="IZ300" s="16"/>
      <c r="JA300" s="16"/>
      <c r="JB300" s="16"/>
      <c r="JC300" s="17"/>
      <c r="JG300" s="24"/>
      <c r="JH300" s="60"/>
      <c r="JI300" s="16"/>
      <c r="JJ300" s="16"/>
      <c r="JK300" s="16"/>
      <c r="JL300" s="16"/>
      <c r="JM300" s="16"/>
      <c r="JN300" s="17"/>
      <c r="JR300" s="24"/>
      <c r="JS300" s="60"/>
      <c r="JT300" s="16"/>
      <c r="JU300" s="16"/>
      <c r="JV300" s="16"/>
      <c r="JW300" s="16"/>
      <c r="JX300" s="16"/>
      <c r="JY300" s="17"/>
      <c r="KC300" s="24"/>
      <c r="KD300" s="60"/>
      <c r="KE300" s="16"/>
      <c r="KF300" s="16"/>
      <c r="KG300" s="16"/>
      <c r="KH300" s="16"/>
      <c r="KI300" s="16"/>
      <c r="KJ300" s="17"/>
      <c r="KN300" s="24"/>
      <c r="KO300" s="60"/>
      <c r="KP300" s="16"/>
      <c r="KQ300" s="16"/>
      <c r="KR300" s="16"/>
      <c r="KS300" s="16"/>
      <c r="KT300" s="16"/>
      <c r="KU300" s="17"/>
      <c r="KY300" s="24"/>
      <c r="KZ300" s="60"/>
      <c r="LA300" s="16"/>
      <c r="LB300" s="16"/>
      <c r="LC300" s="16"/>
      <c r="LD300" s="16"/>
      <c r="LE300" s="16"/>
      <c r="LF300" s="17"/>
      <c r="LJ300" s="24"/>
      <c r="LK300" s="60"/>
      <c r="LL300" s="16"/>
      <c r="LM300" s="16"/>
      <c r="LN300" s="16"/>
      <c r="LO300" s="16"/>
      <c r="LP300" s="16"/>
      <c r="LQ300" s="17"/>
    </row>
    <row r="301">
      <c r="C301" s="31"/>
      <c r="D301" s="61"/>
      <c r="E301" s="16"/>
      <c r="F301" s="16"/>
      <c r="G301" s="21"/>
      <c r="H301" s="16"/>
      <c r="I301" s="16"/>
      <c r="J301" s="17"/>
      <c r="N301" s="17"/>
      <c r="O301" s="61"/>
      <c r="P301" s="16"/>
      <c r="Q301" s="16"/>
      <c r="R301" s="16"/>
      <c r="S301" s="16"/>
      <c r="T301" s="16"/>
      <c r="U301" s="17"/>
      <c r="Y301" s="24"/>
      <c r="Z301" s="61"/>
      <c r="AA301" s="16"/>
      <c r="AB301" s="16"/>
      <c r="AC301" s="16"/>
      <c r="AD301" s="16"/>
      <c r="AE301" s="16"/>
      <c r="AF301" s="17"/>
      <c r="AJ301" s="24"/>
      <c r="AK301" s="61"/>
      <c r="AL301" s="16"/>
      <c r="AM301" s="16"/>
      <c r="AN301" s="16"/>
      <c r="AO301" s="16"/>
      <c r="AP301" s="16"/>
      <c r="AQ301" s="17"/>
      <c r="AU301" s="24"/>
      <c r="AV301" s="61"/>
      <c r="AW301" s="16"/>
      <c r="AX301" s="16"/>
      <c r="AY301" s="16"/>
      <c r="AZ301" s="16"/>
      <c r="BA301" s="16"/>
      <c r="BB301" s="17"/>
      <c r="BF301" s="24"/>
      <c r="BG301" s="61"/>
      <c r="BH301" s="16"/>
      <c r="BI301" s="16"/>
      <c r="BJ301" s="16"/>
      <c r="BK301" s="16"/>
      <c r="BL301" s="16"/>
      <c r="BM301" s="17"/>
      <c r="BQ301" s="24"/>
      <c r="BR301" s="61"/>
      <c r="BS301" s="16"/>
      <c r="BT301" s="16"/>
      <c r="BU301" s="16"/>
      <c r="BV301" s="16"/>
      <c r="BW301" s="16"/>
      <c r="BX301" s="17"/>
      <c r="CB301" s="24"/>
      <c r="CC301" s="61"/>
      <c r="CD301" s="16"/>
      <c r="CE301" s="16"/>
      <c r="CF301" s="16"/>
      <c r="CG301" s="16"/>
      <c r="CH301" s="16"/>
      <c r="CI301" s="17"/>
      <c r="CM301" s="24"/>
      <c r="CN301" s="61"/>
      <c r="CO301" s="16"/>
      <c r="CP301" s="16"/>
      <c r="CQ301" s="16"/>
      <c r="CR301" s="16"/>
      <c r="CS301" s="16"/>
      <c r="CT301" s="17"/>
      <c r="CX301" s="24"/>
      <c r="CY301" s="60"/>
      <c r="CZ301" s="16"/>
      <c r="DA301" s="16"/>
      <c r="DB301" s="16"/>
      <c r="DC301" s="16"/>
      <c r="DD301" s="16"/>
      <c r="DE301" s="17"/>
      <c r="DI301" s="24"/>
      <c r="DJ301" s="60"/>
      <c r="DK301" s="16"/>
      <c r="DL301" s="16"/>
      <c r="DM301" s="16"/>
      <c r="DN301" s="16"/>
      <c r="DO301" s="16"/>
      <c r="DP301" s="17"/>
      <c r="DT301" s="24"/>
      <c r="DU301" s="60"/>
      <c r="DV301" s="16"/>
      <c r="DW301" s="16"/>
      <c r="DX301" s="16"/>
      <c r="DY301" s="16"/>
      <c r="DZ301" s="16"/>
      <c r="EA301" s="17"/>
      <c r="EE301" s="24"/>
      <c r="EF301" s="60"/>
      <c r="EG301" s="16"/>
      <c r="EH301" s="16"/>
      <c r="EI301" s="16"/>
      <c r="EJ301" s="16"/>
      <c r="EK301" s="16"/>
      <c r="EL301" s="17"/>
      <c r="EP301" s="24"/>
      <c r="EQ301" s="60"/>
      <c r="ER301" s="16"/>
      <c r="ES301" s="16"/>
      <c r="ET301" s="16"/>
      <c r="EU301" s="16"/>
      <c r="EV301" s="16"/>
      <c r="EW301" s="17"/>
      <c r="FA301" s="24"/>
      <c r="FB301" s="60"/>
      <c r="FC301" s="16"/>
      <c r="FD301" s="16"/>
      <c r="FE301" s="16"/>
      <c r="FF301" s="16"/>
      <c r="FG301" s="16"/>
      <c r="FH301" s="17"/>
      <c r="FL301" s="24"/>
      <c r="FM301" s="60"/>
      <c r="FN301" s="16"/>
      <c r="FO301" s="16"/>
      <c r="FP301" s="16"/>
      <c r="FQ301" s="16"/>
      <c r="FR301" s="16"/>
      <c r="FS301" s="17"/>
      <c r="FW301" s="24"/>
      <c r="FX301" s="60"/>
      <c r="FY301" s="16"/>
      <c r="FZ301" s="16"/>
      <c r="GA301" s="16"/>
      <c r="GB301" s="16"/>
      <c r="GC301" s="16"/>
      <c r="GD301" s="17"/>
      <c r="GH301" s="24"/>
      <c r="GI301" s="60"/>
      <c r="GJ301" s="16"/>
      <c r="GK301" s="16"/>
      <c r="GL301" s="16"/>
      <c r="GM301" s="16"/>
      <c r="GN301" s="16"/>
      <c r="GO301" s="17"/>
      <c r="GS301" s="24"/>
      <c r="GT301" s="60"/>
      <c r="GU301" s="16"/>
      <c r="GV301" s="16"/>
      <c r="GW301" s="16"/>
      <c r="GX301" s="16"/>
      <c r="GY301" s="16"/>
      <c r="GZ301" s="17"/>
      <c r="HD301" s="24"/>
      <c r="HE301" s="60"/>
      <c r="HF301" s="16"/>
      <c r="HG301" s="16"/>
      <c r="HH301" s="16"/>
      <c r="HI301" s="16"/>
      <c r="HJ301" s="16"/>
      <c r="HK301" s="17"/>
      <c r="HO301" s="24"/>
      <c r="HP301" s="60"/>
      <c r="HQ301" s="16"/>
      <c r="HR301" s="16"/>
      <c r="HS301" s="16"/>
      <c r="HT301" s="16"/>
      <c r="HU301" s="16"/>
      <c r="HV301" s="17"/>
      <c r="HZ301" s="24"/>
      <c r="IA301" s="60"/>
      <c r="IB301" s="16"/>
      <c r="IC301" s="16"/>
      <c r="ID301" s="16"/>
      <c r="IE301" s="16"/>
      <c r="IF301" s="16"/>
      <c r="IG301" s="17"/>
      <c r="IK301" s="24"/>
      <c r="IL301" s="60"/>
      <c r="IM301" s="16"/>
      <c r="IN301" s="16"/>
      <c r="IO301" s="16"/>
      <c r="IP301" s="16"/>
      <c r="IQ301" s="16"/>
      <c r="IR301" s="17"/>
      <c r="IV301" s="24"/>
      <c r="IW301" s="60"/>
      <c r="IX301" s="16"/>
      <c r="IY301" s="16"/>
      <c r="IZ301" s="16"/>
      <c r="JA301" s="16"/>
      <c r="JB301" s="16"/>
      <c r="JC301" s="17"/>
      <c r="JG301" s="24"/>
      <c r="JH301" s="60"/>
      <c r="JI301" s="16"/>
      <c r="JJ301" s="16"/>
      <c r="JK301" s="16"/>
      <c r="JL301" s="16"/>
      <c r="JM301" s="16"/>
      <c r="JN301" s="17"/>
      <c r="JR301" s="24"/>
      <c r="JS301" s="60"/>
      <c r="JT301" s="16"/>
      <c r="JU301" s="16"/>
      <c r="JV301" s="16"/>
      <c r="JW301" s="16"/>
      <c r="JX301" s="16"/>
      <c r="JY301" s="17"/>
      <c r="KC301" s="24"/>
      <c r="KD301" s="60"/>
      <c r="KE301" s="16"/>
      <c r="KF301" s="16"/>
      <c r="KG301" s="16"/>
      <c r="KH301" s="16"/>
      <c r="KI301" s="16"/>
      <c r="KJ301" s="17"/>
      <c r="KN301" s="24"/>
      <c r="KO301" s="60"/>
      <c r="KP301" s="16"/>
      <c r="KQ301" s="16"/>
      <c r="KR301" s="16"/>
      <c r="KS301" s="16"/>
      <c r="KT301" s="16"/>
      <c r="KU301" s="17"/>
      <c r="KY301" s="24"/>
      <c r="KZ301" s="60"/>
      <c r="LA301" s="16"/>
      <c r="LB301" s="16"/>
      <c r="LC301" s="16"/>
      <c r="LD301" s="16"/>
      <c r="LE301" s="16"/>
      <c r="LF301" s="17"/>
      <c r="LJ301" s="24"/>
      <c r="LK301" s="60"/>
      <c r="LL301" s="16"/>
      <c r="LM301" s="16"/>
      <c r="LN301" s="16"/>
      <c r="LO301" s="16"/>
      <c r="LP301" s="16"/>
      <c r="LQ301" s="17"/>
    </row>
    <row r="302">
      <c r="C302" s="31"/>
      <c r="D302" s="61"/>
      <c r="E302" s="16"/>
      <c r="F302" s="16"/>
      <c r="G302" s="21"/>
      <c r="H302" s="16"/>
      <c r="I302" s="16"/>
      <c r="J302" s="17"/>
      <c r="N302" s="17"/>
      <c r="O302" s="61"/>
      <c r="P302" s="16"/>
      <c r="Q302" s="16"/>
      <c r="R302" s="16"/>
      <c r="S302" s="16"/>
      <c r="T302" s="16"/>
      <c r="U302" s="17"/>
      <c r="Y302" s="24"/>
      <c r="Z302" s="61"/>
      <c r="AA302" s="16"/>
      <c r="AB302" s="16"/>
      <c r="AC302" s="16"/>
      <c r="AD302" s="16"/>
      <c r="AE302" s="16"/>
      <c r="AF302" s="17"/>
      <c r="AJ302" s="24"/>
      <c r="AK302" s="61"/>
      <c r="AL302" s="16"/>
      <c r="AM302" s="16"/>
      <c r="AN302" s="16"/>
      <c r="AO302" s="16"/>
      <c r="AP302" s="16"/>
      <c r="AQ302" s="17"/>
      <c r="AU302" s="24"/>
      <c r="AV302" s="61"/>
      <c r="AW302" s="16"/>
      <c r="AX302" s="16"/>
      <c r="AY302" s="16"/>
      <c r="AZ302" s="16"/>
      <c r="BA302" s="16"/>
      <c r="BB302" s="17"/>
      <c r="BF302" s="24"/>
      <c r="BG302" s="61"/>
      <c r="BH302" s="16"/>
      <c r="BI302" s="16"/>
      <c r="BJ302" s="16"/>
      <c r="BK302" s="16"/>
      <c r="BL302" s="16"/>
      <c r="BM302" s="17"/>
      <c r="BQ302" s="24"/>
      <c r="BR302" s="61"/>
      <c r="BS302" s="16"/>
      <c r="BT302" s="16"/>
      <c r="BU302" s="16"/>
      <c r="BV302" s="16"/>
      <c r="BW302" s="16"/>
      <c r="BX302" s="17"/>
      <c r="CB302" s="24"/>
      <c r="CC302" s="61"/>
      <c r="CD302" s="16"/>
      <c r="CE302" s="16"/>
      <c r="CF302" s="16"/>
      <c r="CG302" s="16"/>
      <c r="CH302" s="16"/>
      <c r="CI302" s="17"/>
      <c r="CM302" s="24"/>
      <c r="CN302" s="61"/>
      <c r="CO302" s="16"/>
      <c r="CP302" s="16"/>
      <c r="CQ302" s="16"/>
      <c r="CR302" s="16"/>
      <c r="CS302" s="16"/>
      <c r="CT302" s="17"/>
      <c r="CX302" s="24"/>
      <c r="CY302" s="60"/>
      <c r="CZ302" s="16"/>
      <c r="DA302" s="16"/>
      <c r="DB302" s="16"/>
      <c r="DC302" s="16"/>
      <c r="DD302" s="16"/>
      <c r="DE302" s="17"/>
      <c r="DI302" s="24"/>
      <c r="DJ302" s="60"/>
      <c r="DK302" s="16"/>
      <c r="DL302" s="16"/>
      <c r="DM302" s="16"/>
      <c r="DN302" s="16"/>
      <c r="DO302" s="16"/>
      <c r="DP302" s="17"/>
      <c r="DT302" s="24"/>
      <c r="DU302" s="60"/>
      <c r="DV302" s="16"/>
      <c r="DW302" s="16"/>
      <c r="DX302" s="16"/>
      <c r="DY302" s="16"/>
      <c r="DZ302" s="16"/>
      <c r="EA302" s="17"/>
      <c r="EE302" s="24"/>
      <c r="EF302" s="60"/>
      <c r="EG302" s="16"/>
      <c r="EH302" s="16"/>
      <c r="EI302" s="16"/>
      <c r="EJ302" s="16"/>
      <c r="EK302" s="16"/>
      <c r="EL302" s="17"/>
      <c r="EP302" s="24"/>
      <c r="EQ302" s="60"/>
      <c r="ER302" s="16"/>
      <c r="ES302" s="16"/>
      <c r="ET302" s="16"/>
      <c r="EU302" s="16"/>
      <c r="EV302" s="16"/>
      <c r="EW302" s="17"/>
      <c r="FA302" s="24"/>
      <c r="FB302" s="60"/>
      <c r="FC302" s="16"/>
      <c r="FD302" s="16"/>
      <c r="FE302" s="16"/>
      <c r="FF302" s="16"/>
      <c r="FG302" s="16"/>
      <c r="FH302" s="17"/>
      <c r="FL302" s="24"/>
      <c r="FM302" s="60"/>
      <c r="FN302" s="16"/>
      <c r="FO302" s="16"/>
      <c r="FP302" s="16"/>
      <c r="FQ302" s="16"/>
      <c r="FR302" s="16"/>
      <c r="FS302" s="17"/>
      <c r="FW302" s="24"/>
      <c r="FX302" s="60"/>
      <c r="FY302" s="16"/>
      <c r="FZ302" s="16"/>
      <c r="GA302" s="16"/>
      <c r="GB302" s="16"/>
      <c r="GC302" s="16"/>
      <c r="GD302" s="17"/>
      <c r="GH302" s="24"/>
      <c r="GI302" s="60"/>
      <c r="GJ302" s="16"/>
      <c r="GK302" s="16"/>
      <c r="GL302" s="16"/>
      <c r="GM302" s="16"/>
      <c r="GN302" s="16"/>
      <c r="GO302" s="17"/>
      <c r="GS302" s="24"/>
      <c r="GT302" s="60"/>
      <c r="GU302" s="16"/>
      <c r="GV302" s="16"/>
      <c r="GW302" s="16"/>
      <c r="GX302" s="16"/>
      <c r="GY302" s="16"/>
      <c r="GZ302" s="17"/>
      <c r="HD302" s="24"/>
      <c r="HE302" s="60"/>
      <c r="HF302" s="16"/>
      <c r="HG302" s="16"/>
      <c r="HH302" s="16"/>
      <c r="HI302" s="16"/>
      <c r="HJ302" s="16"/>
      <c r="HK302" s="17"/>
      <c r="HO302" s="24"/>
      <c r="HP302" s="60"/>
      <c r="HQ302" s="16"/>
      <c r="HR302" s="16"/>
      <c r="HS302" s="16"/>
      <c r="HT302" s="16"/>
      <c r="HU302" s="16"/>
      <c r="HV302" s="17"/>
      <c r="HZ302" s="24"/>
      <c r="IA302" s="60"/>
      <c r="IB302" s="16"/>
      <c r="IC302" s="16"/>
      <c r="ID302" s="16"/>
      <c r="IE302" s="16"/>
      <c r="IF302" s="16"/>
      <c r="IG302" s="17"/>
      <c r="IK302" s="24"/>
      <c r="IL302" s="60"/>
      <c r="IM302" s="16"/>
      <c r="IN302" s="16"/>
      <c r="IO302" s="16"/>
      <c r="IP302" s="16"/>
      <c r="IQ302" s="16"/>
      <c r="IR302" s="17"/>
      <c r="IV302" s="24"/>
      <c r="IW302" s="60"/>
      <c r="IX302" s="16"/>
      <c r="IY302" s="16"/>
      <c r="IZ302" s="16"/>
      <c r="JA302" s="16"/>
      <c r="JB302" s="16"/>
      <c r="JC302" s="17"/>
      <c r="JG302" s="24"/>
      <c r="JH302" s="60"/>
      <c r="JI302" s="16"/>
      <c r="JJ302" s="16"/>
      <c r="JK302" s="16"/>
      <c r="JL302" s="16"/>
      <c r="JM302" s="16"/>
      <c r="JN302" s="17"/>
      <c r="JR302" s="24"/>
      <c r="JS302" s="60"/>
      <c r="JT302" s="16"/>
      <c r="JU302" s="16"/>
      <c r="JV302" s="16"/>
      <c r="JW302" s="16"/>
      <c r="JX302" s="16"/>
      <c r="JY302" s="17"/>
      <c r="KC302" s="24"/>
      <c r="KD302" s="60"/>
      <c r="KE302" s="16"/>
      <c r="KF302" s="16"/>
      <c r="KG302" s="16"/>
      <c r="KH302" s="16"/>
      <c r="KI302" s="16"/>
      <c r="KJ302" s="17"/>
      <c r="KN302" s="24"/>
      <c r="KO302" s="60"/>
      <c r="KP302" s="16"/>
      <c r="KQ302" s="16"/>
      <c r="KR302" s="16"/>
      <c r="KS302" s="16"/>
      <c r="KT302" s="16"/>
      <c r="KU302" s="17"/>
      <c r="KY302" s="24"/>
      <c r="KZ302" s="60"/>
      <c r="LA302" s="16"/>
      <c r="LB302" s="16"/>
      <c r="LC302" s="16"/>
      <c r="LD302" s="16"/>
      <c r="LE302" s="16"/>
      <c r="LF302" s="17"/>
      <c r="LJ302" s="24"/>
      <c r="LK302" s="60"/>
      <c r="LL302" s="16"/>
      <c r="LM302" s="16"/>
      <c r="LN302" s="16"/>
      <c r="LO302" s="16"/>
      <c r="LP302" s="16"/>
      <c r="LQ302" s="17"/>
    </row>
    <row r="303">
      <c r="C303" s="31"/>
      <c r="D303" s="61"/>
      <c r="E303" s="16"/>
      <c r="F303" s="16"/>
      <c r="G303" s="21"/>
      <c r="H303" s="16"/>
      <c r="I303" s="16"/>
      <c r="J303" s="17"/>
      <c r="N303" s="17"/>
      <c r="O303" s="61"/>
      <c r="P303" s="16"/>
      <c r="Q303" s="16"/>
      <c r="R303" s="16"/>
      <c r="S303" s="16"/>
      <c r="T303" s="16"/>
      <c r="U303" s="17"/>
      <c r="Y303" s="24"/>
      <c r="Z303" s="61"/>
      <c r="AA303" s="16"/>
      <c r="AB303" s="16"/>
      <c r="AC303" s="16"/>
      <c r="AD303" s="16"/>
      <c r="AE303" s="16"/>
      <c r="AF303" s="17"/>
      <c r="AJ303" s="24"/>
      <c r="AK303" s="61"/>
      <c r="AL303" s="16"/>
      <c r="AM303" s="16"/>
      <c r="AN303" s="16"/>
      <c r="AO303" s="16"/>
      <c r="AP303" s="16"/>
      <c r="AQ303" s="17"/>
      <c r="AU303" s="24"/>
      <c r="AV303" s="61"/>
      <c r="AW303" s="16"/>
      <c r="AX303" s="16"/>
      <c r="AY303" s="16"/>
      <c r="AZ303" s="16"/>
      <c r="BA303" s="16"/>
      <c r="BB303" s="17"/>
      <c r="BF303" s="24"/>
      <c r="BG303" s="61"/>
      <c r="BH303" s="16"/>
      <c r="BI303" s="16"/>
      <c r="BJ303" s="16"/>
      <c r="BK303" s="16"/>
      <c r="BL303" s="16"/>
      <c r="BM303" s="17"/>
      <c r="BQ303" s="24"/>
      <c r="BR303" s="61"/>
      <c r="BS303" s="16"/>
      <c r="BT303" s="16"/>
      <c r="BU303" s="16"/>
      <c r="BV303" s="16"/>
      <c r="BW303" s="16"/>
      <c r="BX303" s="17"/>
      <c r="CB303" s="24"/>
      <c r="CC303" s="61"/>
      <c r="CD303" s="16"/>
      <c r="CE303" s="16"/>
      <c r="CF303" s="16"/>
      <c r="CG303" s="16"/>
      <c r="CH303" s="16"/>
      <c r="CI303" s="17"/>
      <c r="CM303" s="24"/>
      <c r="CN303" s="61"/>
      <c r="CO303" s="16"/>
      <c r="CP303" s="16"/>
      <c r="CQ303" s="16"/>
      <c r="CR303" s="16"/>
      <c r="CS303" s="16"/>
      <c r="CT303" s="17"/>
      <c r="CX303" s="24"/>
      <c r="CY303" s="60"/>
      <c r="CZ303" s="16"/>
      <c r="DA303" s="16"/>
      <c r="DB303" s="16"/>
      <c r="DC303" s="16"/>
      <c r="DD303" s="16"/>
      <c r="DE303" s="17"/>
      <c r="DI303" s="24"/>
      <c r="DJ303" s="60"/>
      <c r="DK303" s="16"/>
      <c r="DL303" s="16"/>
      <c r="DM303" s="16"/>
      <c r="DN303" s="16"/>
      <c r="DO303" s="16"/>
      <c r="DP303" s="17"/>
      <c r="DT303" s="24"/>
      <c r="DU303" s="60"/>
      <c r="DV303" s="16"/>
      <c r="DW303" s="16"/>
      <c r="DX303" s="16"/>
      <c r="DY303" s="16"/>
      <c r="DZ303" s="16"/>
      <c r="EA303" s="17"/>
      <c r="EE303" s="24"/>
      <c r="EF303" s="60"/>
      <c r="EG303" s="16"/>
      <c r="EH303" s="16"/>
      <c r="EI303" s="16"/>
      <c r="EJ303" s="16"/>
      <c r="EK303" s="16"/>
      <c r="EL303" s="17"/>
      <c r="EP303" s="24"/>
      <c r="EQ303" s="60"/>
      <c r="ER303" s="16"/>
      <c r="ES303" s="16"/>
      <c r="ET303" s="16"/>
      <c r="EU303" s="16"/>
      <c r="EV303" s="16"/>
      <c r="EW303" s="17"/>
      <c r="FA303" s="24"/>
      <c r="FB303" s="60"/>
      <c r="FC303" s="16"/>
      <c r="FD303" s="16"/>
      <c r="FE303" s="16"/>
      <c r="FF303" s="16"/>
      <c r="FG303" s="16"/>
      <c r="FH303" s="17"/>
      <c r="FL303" s="24"/>
      <c r="FM303" s="60"/>
      <c r="FN303" s="16"/>
      <c r="FO303" s="16"/>
      <c r="FP303" s="16"/>
      <c r="FQ303" s="16"/>
      <c r="FR303" s="16"/>
      <c r="FS303" s="17"/>
      <c r="FW303" s="24"/>
      <c r="FX303" s="60"/>
      <c r="FY303" s="16"/>
      <c r="FZ303" s="16"/>
      <c r="GA303" s="16"/>
      <c r="GB303" s="16"/>
      <c r="GC303" s="16"/>
      <c r="GD303" s="17"/>
      <c r="GH303" s="24"/>
      <c r="GI303" s="60"/>
      <c r="GJ303" s="16"/>
      <c r="GK303" s="16"/>
      <c r="GL303" s="16"/>
      <c r="GM303" s="16"/>
      <c r="GN303" s="16"/>
      <c r="GO303" s="17"/>
      <c r="GS303" s="24"/>
      <c r="GT303" s="60"/>
      <c r="GU303" s="16"/>
      <c r="GV303" s="16"/>
      <c r="GW303" s="16"/>
      <c r="GX303" s="16"/>
      <c r="GY303" s="16"/>
      <c r="GZ303" s="17"/>
      <c r="HD303" s="24"/>
      <c r="HE303" s="60"/>
      <c r="HF303" s="16"/>
      <c r="HG303" s="16"/>
      <c r="HH303" s="16"/>
      <c r="HI303" s="16"/>
      <c r="HJ303" s="16"/>
      <c r="HK303" s="17"/>
      <c r="HO303" s="24"/>
      <c r="HP303" s="60"/>
      <c r="HQ303" s="16"/>
      <c r="HR303" s="16"/>
      <c r="HS303" s="16"/>
      <c r="HT303" s="16"/>
      <c r="HU303" s="16"/>
      <c r="HV303" s="17"/>
      <c r="HZ303" s="24"/>
      <c r="IA303" s="60"/>
      <c r="IB303" s="16"/>
      <c r="IC303" s="16"/>
      <c r="ID303" s="16"/>
      <c r="IE303" s="16"/>
      <c r="IF303" s="16"/>
      <c r="IG303" s="17"/>
      <c r="IK303" s="24"/>
      <c r="IL303" s="60"/>
      <c r="IM303" s="16"/>
      <c r="IN303" s="16"/>
      <c r="IO303" s="16"/>
      <c r="IP303" s="16"/>
      <c r="IQ303" s="16"/>
      <c r="IR303" s="17"/>
      <c r="IV303" s="24"/>
      <c r="IW303" s="60"/>
      <c r="IX303" s="16"/>
      <c r="IY303" s="16"/>
      <c r="IZ303" s="16"/>
      <c r="JA303" s="16"/>
      <c r="JB303" s="16"/>
      <c r="JC303" s="17"/>
      <c r="JG303" s="24"/>
      <c r="JH303" s="60"/>
      <c r="JI303" s="16"/>
      <c r="JJ303" s="16"/>
      <c r="JK303" s="16"/>
      <c r="JL303" s="16"/>
      <c r="JM303" s="16"/>
      <c r="JN303" s="17"/>
      <c r="JR303" s="24"/>
      <c r="JS303" s="60"/>
      <c r="JT303" s="16"/>
      <c r="JU303" s="16"/>
      <c r="JV303" s="16"/>
      <c r="JW303" s="16"/>
      <c r="JX303" s="16"/>
      <c r="JY303" s="17"/>
      <c r="KC303" s="24"/>
      <c r="KD303" s="60"/>
      <c r="KE303" s="16"/>
      <c r="KF303" s="16"/>
      <c r="KG303" s="16"/>
      <c r="KH303" s="16"/>
      <c r="KI303" s="16"/>
      <c r="KJ303" s="17"/>
      <c r="KN303" s="24"/>
      <c r="KO303" s="60"/>
      <c r="KP303" s="16"/>
      <c r="KQ303" s="16"/>
      <c r="KR303" s="16"/>
      <c r="KS303" s="16"/>
      <c r="KT303" s="16"/>
      <c r="KU303" s="17"/>
      <c r="KY303" s="24"/>
      <c r="KZ303" s="60"/>
      <c r="LA303" s="16"/>
      <c r="LB303" s="16"/>
      <c r="LC303" s="16"/>
      <c r="LD303" s="16"/>
      <c r="LE303" s="16"/>
      <c r="LF303" s="17"/>
      <c r="LJ303" s="24"/>
      <c r="LK303" s="60"/>
      <c r="LL303" s="16"/>
      <c r="LM303" s="16"/>
      <c r="LN303" s="16"/>
      <c r="LO303" s="16"/>
      <c r="LP303" s="16"/>
      <c r="LQ303" s="17"/>
    </row>
    <row r="304">
      <c r="C304" s="31"/>
      <c r="D304" s="61"/>
      <c r="E304" s="16"/>
      <c r="F304" s="16"/>
      <c r="G304" s="21"/>
      <c r="H304" s="16"/>
      <c r="I304" s="16"/>
      <c r="J304" s="17"/>
      <c r="N304" s="17"/>
      <c r="O304" s="61"/>
      <c r="P304" s="16"/>
      <c r="Q304" s="16"/>
      <c r="R304" s="16"/>
      <c r="S304" s="16"/>
      <c r="T304" s="16"/>
      <c r="U304" s="17"/>
      <c r="Y304" s="24"/>
      <c r="Z304" s="61"/>
      <c r="AA304" s="16"/>
      <c r="AB304" s="16"/>
      <c r="AC304" s="16"/>
      <c r="AD304" s="16"/>
      <c r="AE304" s="16"/>
      <c r="AF304" s="17"/>
      <c r="AJ304" s="24"/>
      <c r="AK304" s="61"/>
      <c r="AL304" s="16"/>
      <c r="AM304" s="16"/>
      <c r="AN304" s="16"/>
      <c r="AO304" s="16"/>
      <c r="AP304" s="16"/>
      <c r="AQ304" s="17"/>
      <c r="AU304" s="24"/>
      <c r="AV304" s="61"/>
      <c r="AW304" s="16"/>
      <c r="AX304" s="16"/>
      <c r="AY304" s="16"/>
      <c r="AZ304" s="16"/>
      <c r="BA304" s="16"/>
      <c r="BB304" s="17"/>
      <c r="BF304" s="24"/>
      <c r="BG304" s="61"/>
      <c r="BH304" s="16"/>
      <c r="BI304" s="16"/>
      <c r="BJ304" s="16"/>
      <c r="BK304" s="16"/>
      <c r="BL304" s="16"/>
      <c r="BM304" s="17"/>
      <c r="BQ304" s="24"/>
      <c r="BR304" s="61"/>
      <c r="BS304" s="16"/>
      <c r="BT304" s="16"/>
      <c r="BU304" s="16"/>
      <c r="BV304" s="16"/>
      <c r="BW304" s="16"/>
      <c r="BX304" s="17"/>
      <c r="CB304" s="24"/>
      <c r="CC304" s="61"/>
      <c r="CD304" s="16"/>
      <c r="CE304" s="16"/>
      <c r="CF304" s="16"/>
      <c r="CG304" s="16"/>
      <c r="CH304" s="16"/>
      <c r="CI304" s="17"/>
      <c r="CM304" s="24"/>
      <c r="CN304" s="61"/>
      <c r="CO304" s="16"/>
      <c r="CP304" s="16"/>
      <c r="CQ304" s="16"/>
      <c r="CR304" s="16"/>
      <c r="CS304" s="16"/>
      <c r="CT304" s="17"/>
      <c r="CX304" s="24"/>
      <c r="CY304" s="60"/>
      <c r="CZ304" s="16"/>
      <c r="DA304" s="16"/>
      <c r="DB304" s="16"/>
      <c r="DC304" s="16"/>
      <c r="DD304" s="16"/>
      <c r="DE304" s="17"/>
      <c r="DI304" s="24"/>
      <c r="DJ304" s="60"/>
      <c r="DK304" s="16"/>
      <c r="DL304" s="16"/>
      <c r="DM304" s="16"/>
      <c r="DN304" s="16"/>
      <c r="DO304" s="16"/>
      <c r="DP304" s="17"/>
      <c r="DT304" s="24"/>
      <c r="DU304" s="60"/>
      <c r="DV304" s="16"/>
      <c r="DW304" s="16"/>
      <c r="DX304" s="16"/>
      <c r="DY304" s="16"/>
      <c r="DZ304" s="16"/>
      <c r="EA304" s="17"/>
      <c r="EE304" s="24"/>
      <c r="EF304" s="60"/>
      <c r="EG304" s="16"/>
      <c r="EH304" s="16"/>
      <c r="EI304" s="16"/>
      <c r="EJ304" s="16"/>
      <c r="EK304" s="16"/>
      <c r="EL304" s="17"/>
      <c r="EP304" s="24"/>
      <c r="EQ304" s="60"/>
      <c r="ER304" s="16"/>
      <c r="ES304" s="16"/>
      <c r="ET304" s="16"/>
      <c r="EU304" s="16"/>
      <c r="EV304" s="16"/>
      <c r="EW304" s="17"/>
      <c r="FA304" s="24"/>
      <c r="FB304" s="60"/>
      <c r="FC304" s="16"/>
      <c r="FD304" s="16"/>
      <c r="FE304" s="16"/>
      <c r="FF304" s="16"/>
      <c r="FG304" s="16"/>
      <c r="FH304" s="17"/>
      <c r="FL304" s="24"/>
      <c r="FM304" s="60"/>
      <c r="FN304" s="16"/>
      <c r="FO304" s="16"/>
      <c r="FP304" s="16"/>
      <c r="FQ304" s="16"/>
      <c r="FR304" s="16"/>
      <c r="FS304" s="17"/>
      <c r="FW304" s="24"/>
      <c r="FX304" s="60"/>
      <c r="FY304" s="16"/>
      <c r="FZ304" s="16"/>
      <c r="GA304" s="16"/>
      <c r="GB304" s="16"/>
      <c r="GC304" s="16"/>
      <c r="GD304" s="17"/>
      <c r="GH304" s="24"/>
      <c r="GI304" s="60"/>
      <c r="GJ304" s="16"/>
      <c r="GK304" s="16"/>
      <c r="GL304" s="16"/>
      <c r="GM304" s="16"/>
      <c r="GN304" s="16"/>
      <c r="GO304" s="17"/>
      <c r="GS304" s="24"/>
      <c r="GT304" s="60"/>
      <c r="GU304" s="16"/>
      <c r="GV304" s="16"/>
      <c r="GW304" s="16"/>
      <c r="GX304" s="16"/>
      <c r="GY304" s="16"/>
      <c r="GZ304" s="17"/>
      <c r="HD304" s="24"/>
      <c r="HE304" s="60"/>
      <c r="HF304" s="16"/>
      <c r="HG304" s="16"/>
      <c r="HH304" s="16"/>
      <c r="HI304" s="16"/>
      <c r="HJ304" s="16"/>
      <c r="HK304" s="17"/>
      <c r="HO304" s="24"/>
      <c r="HP304" s="60"/>
      <c r="HQ304" s="16"/>
      <c r="HR304" s="16"/>
      <c r="HS304" s="16"/>
      <c r="HT304" s="16"/>
      <c r="HU304" s="16"/>
      <c r="HV304" s="17"/>
      <c r="HZ304" s="24"/>
      <c r="IA304" s="60"/>
      <c r="IB304" s="16"/>
      <c r="IC304" s="16"/>
      <c r="ID304" s="16"/>
      <c r="IE304" s="16"/>
      <c r="IF304" s="16"/>
      <c r="IG304" s="17"/>
      <c r="IK304" s="24"/>
      <c r="IL304" s="60"/>
      <c r="IM304" s="16"/>
      <c r="IN304" s="16"/>
      <c r="IO304" s="16"/>
      <c r="IP304" s="16"/>
      <c r="IQ304" s="16"/>
      <c r="IR304" s="17"/>
      <c r="IV304" s="24"/>
      <c r="IW304" s="60"/>
      <c r="IX304" s="16"/>
      <c r="IY304" s="16"/>
      <c r="IZ304" s="16"/>
      <c r="JA304" s="16"/>
      <c r="JB304" s="16"/>
      <c r="JC304" s="17"/>
      <c r="JG304" s="24"/>
      <c r="JH304" s="60"/>
      <c r="JI304" s="16"/>
      <c r="JJ304" s="16"/>
      <c r="JK304" s="16"/>
      <c r="JL304" s="16"/>
      <c r="JM304" s="16"/>
      <c r="JN304" s="17"/>
      <c r="JR304" s="24"/>
      <c r="JS304" s="60"/>
      <c r="JT304" s="16"/>
      <c r="JU304" s="16"/>
      <c r="JV304" s="16"/>
      <c r="JW304" s="16"/>
      <c r="JX304" s="16"/>
      <c r="JY304" s="17"/>
      <c r="KC304" s="24"/>
      <c r="KD304" s="60"/>
      <c r="KE304" s="16"/>
      <c r="KF304" s="16"/>
      <c r="KG304" s="16"/>
      <c r="KH304" s="16"/>
      <c r="KI304" s="16"/>
      <c r="KJ304" s="17"/>
      <c r="KN304" s="24"/>
      <c r="KO304" s="60"/>
      <c r="KP304" s="16"/>
      <c r="KQ304" s="16"/>
      <c r="KR304" s="16"/>
      <c r="KS304" s="16"/>
      <c r="KT304" s="16"/>
      <c r="KU304" s="17"/>
      <c r="KY304" s="24"/>
      <c r="KZ304" s="60"/>
      <c r="LA304" s="16"/>
      <c r="LB304" s="16"/>
      <c r="LC304" s="16"/>
      <c r="LD304" s="16"/>
      <c r="LE304" s="16"/>
      <c r="LF304" s="17"/>
      <c r="LJ304" s="24"/>
      <c r="LK304" s="60"/>
      <c r="LL304" s="16"/>
      <c r="LM304" s="16"/>
      <c r="LN304" s="16"/>
      <c r="LO304" s="16"/>
      <c r="LP304" s="16"/>
      <c r="LQ304" s="17"/>
    </row>
    <row r="305">
      <c r="C305" s="31"/>
      <c r="D305" s="61"/>
      <c r="E305" s="16"/>
      <c r="F305" s="16"/>
      <c r="G305" s="21"/>
      <c r="H305" s="16"/>
      <c r="I305" s="16"/>
      <c r="J305" s="17"/>
      <c r="N305" s="17"/>
      <c r="O305" s="61"/>
      <c r="P305" s="16"/>
      <c r="Q305" s="16"/>
      <c r="R305" s="16"/>
      <c r="S305" s="16"/>
      <c r="T305" s="16"/>
      <c r="U305" s="17"/>
      <c r="Y305" s="24"/>
      <c r="Z305" s="61"/>
      <c r="AA305" s="16"/>
      <c r="AB305" s="16"/>
      <c r="AC305" s="16"/>
      <c r="AD305" s="16"/>
      <c r="AE305" s="16"/>
      <c r="AF305" s="17"/>
      <c r="AJ305" s="24"/>
      <c r="AK305" s="61"/>
      <c r="AL305" s="16"/>
      <c r="AM305" s="16"/>
      <c r="AN305" s="16"/>
      <c r="AO305" s="16"/>
      <c r="AP305" s="16"/>
      <c r="AQ305" s="17"/>
      <c r="AU305" s="24"/>
      <c r="AV305" s="61"/>
      <c r="AW305" s="16"/>
      <c r="AX305" s="16"/>
      <c r="AY305" s="16"/>
      <c r="AZ305" s="16"/>
      <c r="BA305" s="16"/>
      <c r="BB305" s="17"/>
      <c r="BF305" s="24"/>
      <c r="BG305" s="61"/>
      <c r="BH305" s="16"/>
      <c r="BI305" s="16"/>
      <c r="BJ305" s="16"/>
      <c r="BK305" s="16"/>
      <c r="BL305" s="16"/>
      <c r="BM305" s="17"/>
      <c r="BQ305" s="24"/>
      <c r="BR305" s="61"/>
      <c r="BS305" s="16"/>
      <c r="BT305" s="16"/>
      <c r="BU305" s="16"/>
      <c r="BV305" s="16"/>
      <c r="BW305" s="16"/>
      <c r="BX305" s="17"/>
      <c r="CB305" s="24"/>
      <c r="CC305" s="61"/>
      <c r="CD305" s="16"/>
      <c r="CE305" s="16"/>
      <c r="CF305" s="16"/>
      <c r="CG305" s="16"/>
      <c r="CH305" s="16"/>
      <c r="CI305" s="17"/>
      <c r="CM305" s="24"/>
      <c r="CN305" s="61"/>
      <c r="CO305" s="16"/>
      <c r="CP305" s="16"/>
      <c r="CQ305" s="16"/>
      <c r="CR305" s="16"/>
      <c r="CS305" s="16"/>
      <c r="CT305" s="17"/>
      <c r="CX305" s="24"/>
      <c r="CY305" s="60"/>
      <c r="CZ305" s="16"/>
      <c r="DA305" s="16"/>
      <c r="DB305" s="16"/>
      <c r="DC305" s="16"/>
      <c r="DD305" s="16"/>
      <c r="DE305" s="17"/>
      <c r="DI305" s="24"/>
      <c r="DJ305" s="60"/>
      <c r="DK305" s="16"/>
      <c r="DL305" s="16"/>
      <c r="DM305" s="16"/>
      <c r="DN305" s="16"/>
      <c r="DO305" s="16"/>
      <c r="DP305" s="17"/>
      <c r="DT305" s="24"/>
      <c r="DU305" s="60"/>
      <c r="DV305" s="16"/>
      <c r="DW305" s="16"/>
      <c r="DX305" s="16"/>
      <c r="DY305" s="16"/>
      <c r="DZ305" s="16"/>
      <c r="EA305" s="17"/>
      <c r="EE305" s="24"/>
      <c r="EF305" s="60"/>
      <c r="EG305" s="16"/>
      <c r="EH305" s="16"/>
      <c r="EI305" s="16"/>
      <c r="EJ305" s="16"/>
      <c r="EK305" s="16"/>
      <c r="EL305" s="17"/>
      <c r="EP305" s="24"/>
      <c r="EQ305" s="60"/>
      <c r="ER305" s="16"/>
      <c r="ES305" s="16"/>
      <c r="ET305" s="16"/>
      <c r="EU305" s="16"/>
      <c r="EV305" s="16"/>
      <c r="EW305" s="17"/>
      <c r="FA305" s="24"/>
      <c r="FB305" s="60"/>
      <c r="FC305" s="16"/>
      <c r="FD305" s="16"/>
      <c r="FE305" s="16"/>
      <c r="FF305" s="16"/>
      <c r="FG305" s="16"/>
      <c r="FH305" s="17"/>
      <c r="FL305" s="24"/>
      <c r="FM305" s="60"/>
      <c r="FN305" s="16"/>
      <c r="FO305" s="16"/>
      <c r="FP305" s="16"/>
      <c r="FQ305" s="16"/>
      <c r="FR305" s="16"/>
      <c r="FS305" s="17"/>
      <c r="FW305" s="24"/>
      <c r="FX305" s="60"/>
      <c r="FY305" s="16"/>
      <c r="FZ305" s="16"/>
      <c r="GA305" s="16"/>
      <c r="GB305" s="16"/>
      <c r="GC305" s="16"/>
      <c r="GD305" s="17"/>
      <c r="GH305" s="24"/>
      <c r="GI305" s="60"/>
      <c r="GJ305" s="16"/>
      <c r="GK305" s="16"/>
      <c r="GL305" s="16"/>
      <c r="GM305" s="16"/>
      <c r="GN305" s="16"/>
      <c r="GO305" s="17"/>
      <c r="GS305" s="24"/>
      <c r="GT305" s="60"/>
      <c r="GU305" s="16"/>
      <c r="GV305" s="16"/>
      <c r="GW305" s="16"/>
      <c r="GX305" s="16"/>
      <c r="GY305" s="16"/>
      <c r="GZ305" s="17"/>
      <c r="HD305" s="24"/>
      <c r="HE305" s="60"/>
      <c r="HF305" s="16"/>
      <c r="HG305" s="16"/>
      <c r="HH305" s="16"/>
      <c r="HI305" s="16"/>
      <c r="HJ305" s="16"/>
      <c r="HK305" s="17"/>
      <c r="HO305" s="24"/>
      <c r="HP305" s="60"/>
      <c r="HQ305" s="16"/>
      <c r="HR305" s="16"/>
      <c r="HS305" s="16"/>
      <c r="HT305" s="16"/>
      <c r="HU305" s="16"/>
      <c r="HV305" s="17"/>
      <c r="HZ305" s="24"/>
      <c r="IA305" s="60"/>
      <c r="IB305" s="16"/>
      <c r="IC305" s="16"/>
      <c r="ID305" s="16"/>
      <c r="IE305" s="16"/>
      <c r="IF305" s="16"/>
      <c r="IG305" s="17"/>
      <c r="IK305" s="24"/>
      <c r="IL305" s="60"/>
      <c r="IM305" s="16"/>
      <c r="IN305" s="16"/>
      <c r="IO305" s="16"/>
      <c r="IP305" s="16"/>
      <c r="IQ305" s="16"/>
      <c r="IR305" s="17"/>
      <c r="IV305" s="24"/>
      <c r="IW305" s="60"/>
      <c r="IX305" s="16"/>
      <c r="IY305" s="16"/>
      <c r="IZ305" s="16"/>
      <c r="JA305" s="16"/>
      <c r="JB305" s="16"/>
      <c r="JC305" s="17"/>
      <c r="JG305" s="24"/>
      <c r="JH305" s="60"/>
      <c r="JI305" s="16"/>
      <c r="JJ305" s="16"/>
      <c r="JK305" s="16"/>
      <c r="JL305" s="16"/>
      <c r="JM305" s="16"/>
      <c r="JN305" s="17"/>
      <c r="JR305" s="24"/>
      <c r="JS305" s="60"/>
      <c r="JT305" s="16"/>
      <c r="JU305" s="16"/>
      <c r="JV305" s="16"/>
      <c r="JW305" s="16"/>
      <c r="JX305" s="16"/>
      <c r="JY305" s="17"/>
      <c r="KC305" s="24"/>
      <c r="KD305" s="60"/>
      <c r="KE305" s="16"/>
      <c r="KF305" s="16"/>
      <c r="KG305" s="16"/>
      <c r="KH305" s="16"/>
      <c r="KI305" s="16"/>
      <c r="KJ305" s="17"/>
      <c r="KN305" s="24"/>
      <c r="KO305" s="60"/>
      <c r="KP305" s="16"/>
      <c r="KQ305" s="16"/>
      <c r="KR305" s="16"/>
      <c r="KS305" s="16"/>
      <c r="KT305" s="16"/>
      <c r="KU305" s="17"/>
      <c r="KY305" s="24"/>
      <c r="KZ305" s="60"/>
      <c r="LA305" s="16"/>
      <c r="LB305" s="16"/>
      <c r="LC305" s="16"/>
      <c r="LD305" s="16"/>
      <c r="LE305" s="16"/>
      <c r="LF305" s="17"/>
      <c r="LJ305" s="24"/>
      <c r="LK305" s="60"/>
      <c r="LL305" s="16"/>
      <c r="LM305" s="16"/>
      <c r="LN305" s="16"/>
      <c r="LO305" s="16"/>
      <c r="LP305" s="16"/>
      <c r="LQ305" s="17"/>
    </row>
    <row r="306">
      <c r="C306" s="31"/>
      <c r="D306" s="61"/>
      <c r="E306" s="16"/>
      <c r="F306" s="16"/>
      <c r="G306" s="21"/>
      <c r="H306" s="16"/>
      <c r="I306" s="16"/>
      <c r="J306" s="17"/>
      <c r="N306" s="17"/>
      <c r="O306" s="61"/>
      <c r="P306" s="16"/>
      <c r="Q306" s="16"/>
      <c r="R306" s="16"/>
      <c r="S306" s="16"/>
      <c r="T306" s="16"/>
      <c r="U306" s="17"/>
      <c r="Y306" s="24"/>
      <c r="Z306" s="61"/>
      <c r="AA306" s="16"/>
      <c r="AB306" s="16"/>
      <c r="AC306" s="16"/>
      <c r="AD306" s="16"/>
      <c r="AE306" s="16"/>
      <c r="AF306" s="17"/>
      <c r="AJ306" s="24"/>
      <c r="AK306" s="61"/>
      <c r="AL306" s="16"/>
      <c r="AM306" s="16"/>
      <c r="AN306" s="16"/>
      <c r="AO306" s="16"/>
      <c r="AP306" s="16"/>
      <c r="AQ306" s="17"/>
      <c r="AU306" s="24"/>
      <c r="AV306" s="61"/>
      <c r="AW306" s="16"/>
      <c r="AX306" s="16"/>
      <c r="AY306" s="16"/>
      <c r="AZ306" s="16"/>
      <c r="BA306" s="16"/>
      <c r="BB306" s="17"/>
      <c r="BF306" s="24"/>
      <c r="BG306" s="61"/>
      <c r="BH306" s="16"/>
      <c r="BI306" s="16"/>
      <c r="BJ306" s="16"/>
      <c r="BK306" s="16"/>
      <c r="BL306" s="16"/>
      <c r="BM306" s="17"/>
      <c r="BQ306" s="24"/>
      <c r="BR306" s="61"/>
      <c r="BS306" s="16"/>
      <c r="BT306" s="16"/>
      <c r="BU306" s="16"/>
      <c r="BV306" s="16"/>
      <c r="BW306" s="16"/>
      <c r="BX306" s="17"/>
      <c r="CB306" s="24"/>
      <c r="CC306" s="61"/>
      <c r="CD306" s="16"/>
      <c r="CE306" s="16"/>
      <c r="CF306" s="16"/>
      <c r="CG306" s="16"/>
      <c r="CH306" s="16"/>
      <c r="CI306" s="17"/>
      <c r="CM306" s="24"/>
      <c r="CN306" s="61"/>
      <c r="CO306" s="16"/>
      <c r="CP306" s="16"/>
      <c r="CQ306" s="16"/>
      <c r="CR306" s="16"/>
      <c r="CS306" s="16"/>
      <c r="CT306" s="17"/>
      <c r="CX306" s="24"/>
      <c r="CY306" s="60"/>
      <c r="CZ306" s="16"/>
      <c r="DA306" s="16"/>
      <c r="DB306" s="16"/>
      <c r="DC306" s="16"/>
      <c r="DD306" s="16"/>
      <c r="DE306" s="17"/>
      <c r="DI306" s="24"/>
      <c r="DJ306" s="60"/>
      <c r="DK306" s="16"/>
      <c r="DL306" s="16"/>
      <c r="DM306" s="16"/>
      <c r="DN306" s="16"/>
      <c r="DO306" s="16"/>
      <c r="DP306" s="17"/>
      <c r="DT306" s="24"/>
      <c r="DU306" s="60"/>
      <c r="DV306" s="16"/>
      <c r="DW306" s="16"/>
      <c r="DX306" s="16"/>
      <c r="DY306" s="16"/>
      <c r="DZ306" s="16"/>
      <c r="EA306" s="17"/>
      <c r="EE306" s="24"/>
      <c r="EF306" s="60"/>
      <c r="EG306" s="16"/>
      <c r="EH306" s="16"/>
      <c r="EI306" s="16"/>
      <c r="EJ306" s="16"/>
      <c r="EK306" s="16"/>
      <c r="EL306" s="17"/>
      <c r="EP306" s="24"/>
      <c r="EQ306" s="60"/>
      <c r="ER306" s="16"/>
      <c r="ES306" s="16"/>
      <c r="ET306" s="16"/>
      <c r="EU306" s="16"/>
      <c r="EV306" s="16"/>
      <c r="EW306" s="17"/>
      <c r="FA306" s="24"/>
      <c r="FB306" s="60"/>
      <c r="FC306" s="16"/>
      <c r="FD306" s="16"/>
      <c r="FE306" s="16"/>
      <c r="FF306" s="16"/>
      <c r="FG306" s="16"/>
      <c r="FH306" s="17"/>
      <c r="FL306" s="24"/>
      <c r="FM306" s="60"/>
      <c r="FN306" s="16"/>
      <c r="FO306" s="16"/>
      <c r="FP306" s="16"/>
      <c r="FQ306" s="16"/>
      <c r="FR306" s="16"/>
      <c r="FS306" s="17"/>
      <c r="FW306" s="24"/>
      <c r="FX306" s="60"/>
      <c r="FY306" s="16"/>
      <c r="FZ306" s="16"/>
      <c r="GA306" s="16"/>
      <c r="GB306" s="16"/>
      <c r="GC306" s="16"/>
      <c r="GD306" s="17"/>
      <c r="GH306" s="24"/>
      <c r="GI306" s="60"/>
      <c r="GJ306" s="16"/>
      <c r="GK306" s="16"/>
      <c r="GL306" s="16"/>
      <c r="GM306" s="16"/>
      <c r="GN306" s="16"/>
      <c r="GO306" s="17"/>
      <c r="GS306" s="24"/>
      <c r="GT306" s="60"/>
      <c r="GU306" s="16"/>
      <c r="GV306" s="16"/>
      <c r="GW306" s="16"/>
      <c r="GX306" s="16"/>
      <c r="GY306" s="16"/>
      <c r="GZ306" s="17"/>
      <c r="HD306" s="24"/>
      <c r="HE306" s="60"/>
      <c r="HF306" s="16"/>
      <c r="HG306" s="16"/>
      <c r="HH306" s="16"/>
      <c r="HI306" s="16"/>
      <c r="HJ306" s="16"/>
      <c r="HK306" s="17"/>
      <c r="HO306" s="24"/>
      <c r="HP306" s="60"/>
      <c r="HQ306" s="16"/>
      <c r="HR306" s="16"/>
      <c r="HS306" s="16"/>
      <c r="HT306" s="16"/>
      <c r="HU306" s="16"/>
      <c r="HV306" s="17"/>
      <c r="HZ306" s="24"/>
      <c r="IA306" s="60"/>
      <c r="IB306" s="16"/>
      <c r="IC306" s="16"/>
      <c r="ID306" s="16"/>
      <c r="IE306" s="16"/>
      <c r="IF306" s="16"/>
      <c r="IG306" s="17"/>
      <c r="IK306" s="24"/>
      <c r="IL306" s="60"/>
      <c r="IM306" s="16"/>
      <c r="IN306" s="16"/>
      <c r="IO306" s="16"/>
      <c r="IP306" s="16"/>
      <c r="IQ306" s="16"/>
      <c r="IR306" s="17"/>
      <c r="IV306" s="24"/>
      <c r="IW306" s="60"/>
      <c r="IX306" s="16"/>
      <c r="IY306" s="16"/>
      <c r="IZ306" s="16"/>
      <c r="JA306" s="16"/>
      <c r="JB306" s="16"/>
      <c r="JC306" s="17"/>
      <c r="JG306" s="24"/>
      <c r="JH306" s="60"/>
      <c r="JI306" s="16"/>
      <c r="JJ306" s="16"/>
      <c r="JK306" s="16"/>
      <c r="JL306" s="16"/>
      <c r="JM306" s="16"/>
      <c r="JN306" s="17"/>
      <c r="JR306" s="24"/>
      <c r="JS306" s="60"/>
      <c r="JT306" s="16"/>
      <c r="JU306" s="16"/>
      <c r="JV306" s="16"/>
      <c r="JW306" s="16"/>
      <c r="JX306" s="16"/>
      <c r="JY306" s="17"/>
      <c r="KC306" s="24"/>
      <c r="KD306" s="60"/>
      <c r="KE306" s="16"/>
      <c r="KF306" s="16"/>
      <c r="KG306" s="16"/>
      <c r="KH306" s="16"/>
      <c r="KI306" s="16"/>
      <c r="KJ306" s="17"/>
      <c r="KN306" s="24"/>
      <c r="KO306" s="60"/>
      <c r="KP306" s="16"/>
      <c r="KQ306" s="16"/>
      <c r="KR306" s="16"/>
      <c r="KS306" s="16"/>
      <c r="KT306" s="16"/>
      <c r="KU306" s="17"/>
      <c r="KY306" s="24"/>
      <c r="KZ306" s="60"/>
      <c r="LA306" s="16"/>
      <c r="LB306" s="16"/>
      <c r="LC306" s="16"/>
      <c r="LD306" s="16"/>
      <c r="LE306" s="16"/>
      <c r="LF306" s="17"/>
      <c r="LJ306" s="24"/>
      <c r="LK306" s="60"/>
      <c r="LL306" s="16"/>
      <c r="LM306" s="16"/>
      <c r="LN306" s="16"/>
      <c r="LO306" s="16"/>
      <c r="LP306" s="16"/>
      <c r="LQ306" s="17"/>
    </row>
    <row r="307">
      <c r="C307" s="31"/>
      <c r="D307" s="61"/>
      <c r="E307" s="16"/>
      <c r="F307" s="16"/>
      <c r="G307" s="21"/>
      <c r="H307" s="16"/>
      <c r="I307" s="16"/>
      <c r="J307" s="17"/>
      <c r="N307" s="17"/>
      <c r="O307" s="61"/>
      <c r="P307" s="16"/>
      <c r="Q307" s="16"/>
      <c r="R307" s="16"/>
      <c r="S307" s="16"/>
      <c r="T307" s="16"/>
      <c r="U307" s="17"/>
      <c r="Y307" s="24"/>
      <c r="Z307" s="61"/>
      <c r="AA307" s="16"/>
      <c r="AB307" s="16"/>
      <c r="AC307" s="16"/>
      <c r="AD307" s="16"/>
      <c r="AE307" s="16"/>
      <c r="AF307" s="17"/>
      <c r="AJ307" s="24"/>
      <c r="AK307" s="61"/>
      <c r="AL307" s="16"/>
      <c r="AM307" s="16"/>
      <c r="AN307" s="16"/>
      <c r="AO307" s="16"/>
      <c r="AP307" s="16"/>
      <c r="AQ307" s="17"/>
      <c r="AU307" s="24"/>
      <c r="AV307" s="61"/>
      <c r="AW307" s="16"/>
      <c r="AX307" s="16"/>
      <c r="AY307" s="16"/>
      <c r="AZ307" s="16"/>
      <c r="BA307" s="16"/>
      <c r="BB307" s="17"/>
      <c r="BF307" s="24"/>
      <c r="BG307" s="61"/>
      <c r="BH307" s="16"/>
      <c r="BI307" s="16"/>
      <c r="BJ307" s="16"/>
      <c r="BK307" s="16"/>
      <c r="BL307" s="16"/>
      <c r="BM307" s="17"/>
      <c r="BQ307" s="24"/>
      <c r="BR307" s="61"/>
      <c r="BS307" s="16"/>
      <c r="BT307" s="16"/>
      <c r="BU307" s="16"/>
      <c r="BV307" s="16"/>
      <c r="BW307" s="16"/>
      <c r="BX307" s="17"/>
      <c r="CB307" s="24"/>
      <c r="CC307" s="61"/>
      <c r="CD307" s="16"/>
      <c r="CE307" s="16"/>
      <c r="CF307" s="16"/>
      <c r="CG307" s="16"/>
      <c r="CH307" s="16"/>
      <c r="CI307" s="17"/>
      <c r="CM307" s="24"/>
      <c r="CN307" s="61"/>
      <c r="CO307" s="16"/>
      <c r="CP307" s="16"/>
      <c r="CQ307" s="16"/>
      <c r="CR307" s="16"/>
      <c r="CS307" s="16"/>
      <c r="CT307" s="17"/>
      <c r="CX307" s="24"/>
      <c r="CY307" s="60"/>
      <c r="CZ307" s="16"/>
      <c r="DA307" s="16"/>
      <c r="DB307" s="16"/>
      <c r="DC307" s="16"/>
      <c r="DD307" s="16"/>
      <c r="DE307" s="17"/>
      <c r="DI307" s="24"/>
      <c r="DJ307" s="60"/>
      <c r="DK307" s="16"/>
      <c r="DL307" s="16"/>
      <c r="DM307" s="16"/>
      <c r="DN307" s="16"/>
      <c r="DO307" s="16"/>
      <c r="DP307" s="17"/>
      <c r="DT307" s="24"/>
      <c r="DU307" s="60"/>
      <c r="DV307" s="16"/>
      <c r="DW307" s="16"/>
      <c r="DX307" s="16"/>
      <c r="DY307" s="16"/>
      <c r="DZ307" s="16"/>
      <c r="EA307" s="17"/>
      <c r="EE307" s="24"/>
      <c r="EF307" s="60"/>
      <c r="EG307" s="16"/>
      <c r="EH307" s="16"/>
      <c r="EI307" s="16"/>
      <c r="EJ307" s="16"/>
      <c r="EK307" s="16"/>
      <c r="EL307" s="17"/>
      <c r="EP307" s="24"/>
      <c r="EQ307" s="60"/>
      <c r="ER307" s="16"/>
      <c r="ES307" s="16"/>
      <c r="ET307" s="16"/>
      <c r="EU307" s="16"/>
      <c r="EV307" s="16"/>
      <c r="EW307" s="17"/>
      <c r="FA307" s="24"/>
      <c r="FB307" s="60"/>
      <c r="FC307" s="16"/>
      <c r="FD307" s="16"/>
      <c r="FE307" s="16"/>
      <c r="FF307" s="16"/>
      <c r="FG307" s="16"/>
      <c r="FH307" s="17"/>
      <c r="FL307" s="24"/>
      <c r="FM307" s="60"/>
      <c r="FN307" s="16"/>
      <c r="FO307" s="16"/>
      <c r="FP307" s="16"/>
      <c r="FQ307" s="16"/>
      <c r="FR307" s="16"/>
      <c r="FS307" s="17"/>
      <c r="FW307" s="24"/>
      <c r="FX307" s="60"/>
      <c r="FY307" s="16"/>
      <c r="FZ307" s="16"/>
      <c r="GA307" s="16"/>
      <c r="GB307" s="16"/>
      <c r="GC307" s="16"/>
      <c r="GD307" s="17"/>
      <c r="GH307" s="24"/>
      <c r="GI307" s="60"/>
      <c r="GJ307" s="16"/>
      <c r="GK307" s="16"/>
      <c r="GL307" s="16"/>
      <c r="GM307" s="16"/>
      <c r="GN307" s="16"/>
      <c r="GO307" s="17"/>
      <c r="GS307" s="24"/>
      <c r="GT307" s="60"/>
      <c r="GU307" s="16"/>
      <c r="GV307" s="16"/>
      <c r="GW307" s="16"/>
      <c r="GX307" s="16"/>
      <c r="GY307" s="16"/>
      <c r="GZ307" s="17"/>
      <c r="HD307" s="24"/>
      <c r="HE307" s="60"/>
      <c r="HF307" s="16"/>
      <c r="HG307" s="16"/>
      <c r="HH307" s="16"/>
      <c r="HI307" s="16"/>
      <c r="HJ307" s="16"/>
      <c r="HK307" s="17"/>
      <c r="HO307" s="24"/>
      <c r="HP307" s="60"/>
      <c r="HQ307" s="16"/>
      <c r="HR307" s="16"/>
      <c r="HS307" s="16"/>
      <c r="HT307" s="16"/>
      <c r="HU307" s="16"/>
      <c r="HV307" s="17"/>
      <c r="HZ307" s="24"/>
      <c r="IA307" s="60"/>
      <c r="IB307" s="16"/>
      <c r="IC307" s="16"/>
      <c r="ID307" s="16"/>
      <c r="IE307" s="16"/>
      <c r="IF307" s="16"/>
      <c r="IG307" s="17"/>
      <c r="IK307" s="24"/>
      <c r="IL307" s="60"/>
      <c r="IM307" s="16"/>
      <c r="IN307" s="16"/>
      <c r="IO307" s="16"/>
      <c r="IP307" s="16"/>
      <c r="IQ307" s="16"/>
      <c r="IR307" s="17"/>
      <c r="IV307" s="24"/>
      <c r="IW307" s="60"/>
      <c r="IX307" s="16"/>
      <c r="IY307" s="16"/>
      <c r="IZ307" s="16"/>
      <c r="JA307" s="16"/>
      <c r="JB307" s="16"/>
      <c r="JC307" s="17"/>
      <c r="JG307" s="24"/>
      <c r="JH307" s="60"/>
      <c r="JI307" s="16"/>
      <c r="JJ307" s="16"/>
      <c r="JK307" s="16"/>
      <c r="JL307" s="16"/>
      <c r="JM307" s="16"/>
      <c r="JN307" s="17"/>
      <c r="JR307" s="24"/>
      <c r="JS307" s="60"/>
      <c r="JT307" s="16"/>
      <c r="JU307" s="16"/>
      <c r="JV307" s="16"/>
      <c r="JW307" s="16"/>
      <c r="JX307" s="16"/>
      <c r="JY307" s="17"/>
      <c r="KC307" s="24"/>
      <c r="KD307" s="60"/>
      <c r="KE307" s="16"/>
      <c r="KF307" s="16"/>
      <c r="KG307" s="16"/>
      <c r="KH307" s="16"/>
      <c r="KI307" s="16"/>
      <c r="KJ307" s="17"/>
      <c r="KN307" s="24"/>
      <c r="KO307" s="60"/>
      <c r="KP307" s="16"/>
      <c r="KQ307" s="16"/>
      <c r="KR307" s="16"/>
      <c r="KS307" s="16"/>
      <c r="KT307" s="16"/>
      <c r="KU307" s="17"/>
      <c r="KY307" s="24"/>
      <c r="KZ307" s="60"/>
      <c r="LA307" s="16"/>
      <c r="LB307" s="16"/>
      <c r="LC307" s="16"/>
      <c r="LD307" s="16"/>
      <c r="LE307" s="16"/>
      <c r="LF307" s="17"/>
      <c r="LJ307" s="24"/>
      <c r="LK307" s="60"/>
      <c r="LL307" s="16"/>
      <c r="LM307" s="16"/>
      <c r="LN307" s="16"/>
      <c r="LO307" s="16"/>
      <c r="LP307" s="16"/>
      <c r="LQ307" s="17"/>
    </row>
    <row r="308">
      <c r="C308" s="31"/>
      <c r="D308" s="61"/>
      <c r="E308" s="16"/>
      <c r="F308" s="16"/>
      <c r="G308" s="21"/>
      <c r="H308" s="16"/>
      <c r="I308" s="16"/>
      <c r="J308" s="17"/>
      <c r="N308" s="17"/>
      <c r="O308" s="61"/>
      <c r="P308" s="16"/>
      <c r="Q308" s="16"/>
      <c r="R308" s="16"/>
      <c r="S308" s="16"/>
      <c r="T308" s="16"/>
      <c r="U308" s="17"/>
      <c r="Y308" s="24"/>
      <c r="Z308" s="61"/>
      <c r="AA308" s="16"/>
      <c r="AB308" s="16"/>
      <c r="AC308" s="16"/>
      <c r="AD308" s="16"/>
      <c r="AE308" s="16"/>
      <c r="AF308" s="17"/>
      <c r="AJ308" s="24"/>
      <c r="AK308" s="61"/>
      <c r="AL308" s="16"/>
      <c r="AM308" s="16"/>
      <c r="AN308" s="16"/>
      <c r="AO308" s="16"/>
      <c r="AP308" s="16"/>
      <c r="AQ308" s="17"/>
      <c r="AU308" s="24"/>
      <c r="AV308" s="61"/>
      <c r="AW308" s="16"/>
      <c r="AX308" s="16"/>
      <c r="AY308" s="16"/>
      <c r="AZ308" s="16"/>
      <c r="BA308" s="16"/>
      <c r="BB308" s="17"/>
      <c r="BF308" s="24"/>
      <c r="BG308" s="61"/>
      <c r="BH308" s="16"/>
      <c r="BI308" s="16"/>
      <c r="BJ308" s="16"/>
      <c r="BK308" s="16"/>
      <c r="BL308" s="16"/>
      <c r="BM308" s="17"/>
      <c r="BQ308" s="24"/>
      <c r="BR308" s="61"/>
      <c r="BS308" s="16"/>
      <c r="BT308" s="16"/>
      <c r="BU308" s="16"/>
      <c r="BV308" s="16"/>
      <c r="BW308" s="16"/>
      <c r="BX308" s="17"/>
      <c r="CB308" s="24"/>
      <c r="CC308" s="61"/>
      <c r="CD308" s="16"/>
      <c r="CE308" s="16"/>
      <c r="CF308" s="16"/>
      <c r="CG308" s="16"/>
      <c r="CH308" s="16"/>
      <c r="CI308" s="17"/>
      <c r="CM308" s="24"/>
      <c r="CN308" s="61"/>
      <c r="CO308" s="16"/>
      <c r="CP308" s="16"/>
      <c r="CQ308" s="16"/>
      <c r="CR308" s="16"/>
      <c r="CS308" s="16"/>
      <c r="CT308" s="17"/>
      <c r="CX308" s="24"/>
      <c r="CY308" s="60"/>
      <c r="CZ308" s="16"/>
      <c r="DA308" s="16"/>
      <c r="DB308" s="16"/>
      <c r="DC308" s="16"/>
      <c r="DD308" s="16"/>
      <c r="DE308" s="17"/>
      <c r="DI308" s="24"/>
      <c r="DJ308" s="60"/>
      <c r="DK308" s="16"/>
      <c r="DL308" s="16"/>
      <c r="DM308" s="16"/>
      <c r="DN308" s="16"/>
      <c r="DO308" s="16"/>
      <c r="DP308" s="17"/>
      <c r="DT308" s="24"/>
      <c r="DU308" s="60"/>
      <c r="DV308" s="16"/>
      <c r="DW308" s="16"/>
      <c r="DX308" s="16"/>
      <c r="DY308" s="16"/>
      <c r="DZ308" s="16"/>
      <c r="EA308" s="17"/>
      <c r="EE308" s="24"/>
      <c r="EF308" s="60"/>
      <c r="EG308" s="16"/>
      <c r="EH308" s="16"/>
      <c r="EI308" s="16"/>
      <c r="EJ308" s="16"/>
      <c r="EK308" s="16"/>
      <c r="EL308" s="17"/>
      <c r="EP308" s="24"/>
      <c r="EQ308" s="60"/>
      <c r="ER308" s="16"/>
      <c r="ES308" s="16"/>
      <c r="ET308" s="16"/>
      <c r="EU308" s="16"/>
      <c r="EV308" s="16"/>
      <c r="EW308" s="17"/>
      <c r="FA308" s="24"/>
      <c r="FB308" s="60"/>
      <c r="FC308" s="16"/>
      <c r="FD308" s="16"/>
      <c r="FE308" s="16"/>
      <c r="FF308" s="16"/>
      <c r="FG308" s="16"/>
      <c r="FH308" s="17"/>
      <c r="FL308" s="24"/>
      <c r="FM308" s="60"/>
      <c r="FN308" s="16"/>
      <c r="FO308" s="16"/>
      <c r="FP308" s="16"/>
      <c r="FQ308" s="16"/>
      <c r="FR308" s="16"/>
      <c r="FS308" s="17"/>
      <c r="FW308" s="24"/>
      <c r="FX308" s="60"/>
      <c r="FY308" s="16"/>
      <c r="FZ308" s="16"/>
      <c r="GA308" s="16"/>
      <c r="GB308" s="16"/>
      <c r="GC308" s="16"/>
      <c r="GD308" s="17"/>
      <c r="GH308" s="24"/>
      <c r="GI308" s="60"/>
      <c r="GJ308" s="16"/>
      <c r="GK308" s="16"/>
      <c r="GL308" s="16"/>
      <c r="GM308" s="16"/>
      <c r="GN308" s="16"/>
      <c r="GO308" s="17"/>
      <c r="GS308" s="24"/>
      <c r="GT308" s="60"/>
      <c r="GU308" s="16"/>
      <c r="GV308" s="16"/>
      <c r="GW308" s="16"/>
      <c r="GX308" s="16"/>
      <c r="GY308" s="16"/>
      <c r="GZ308" s="17"/>
      <c r="HD308" s="24"/>
      <c r="HE308" s="60"/>
      <c r="HF308" s="16"/>
      <c r="HG308" s="16"/>
      <c r="HH308" s="16"/>
      <c r="HI308" s="16"/>
      <c r="HJ308" s="16"/>
      <c r="HK308" s="17"/>
      <c r="HO308" s="24"/>
      <c r="HP308" s="60"/>
      <c r="HQ308" s="16"/>
      <c r="HR308" s="16"/>
      <c r="HS308" s="16"/>
      <c r="HT308" s="16"/>
      <c r="HU308" s="16"/>
      <c r="HV308" s="17"/>
      <c r="HZ308" s="24"/>
      <c r="IA308" s="60"/>
      <c r="IB308" s="16"/>
      <c r="IC308" s="16"/>
      <c r="ID308" s="16"/>
      <c r="IE308" s="16"/>
      <c r="IF308" s="16"/>
      <c r="IG308" s="17"/>
      <c r="IK308" s="24"/>
      <c r="IL308" s="60"/>
      <c r="IM308" s="16"/>
      <c r="IN308" s="16"/>
      <c r="IO308" s="16"/>
      <c r="IP308" s="16"/>
      <c r="IQ308" s="16"/>
      <c r="IR308" s="17"/>
      <c r="IV308" s="24"/>
      <c r="IW308" s="60"/>
      <c r="IX308" s="16"/>
      <c r="IY308" s="16"/>
      <c r="IZ308" s="16"/>
      <c r="JA308" s="16"/>
      <c r="JB308" s="16"/>
      <c r="JC308" s="17"/>
      <c r="JG308" s="24"/>
      <c r="JH308" s="60"/>
      <c r="JI308" s="16"/>
      <c r="JJ308" s="16"/>
      <c r="JK308" s="16"/>
      <c r="JL308" s="16"/>
      <c r="JM308" s="16"/>
      <c r="JN308" s="17"/>
      <c r="JR308" s="24"/>
      <c r="JS308" s="60"/>
      <c r="JT308" s="16"/>
      <c r="JU308" s="16"/>
      <c r="JV308" s="16"/>
      <c r="JW308" s="16"/>
      <c r="JX308" s="16"/>
      <c r="JY308" s="17"/>
      <c r="KC308" s="24"/>
      <c r="KD308" s="60"/>
      <c r="KE308" s="16"/>
      <c r="KF308" s="16"/>
      <c r="KG308" s="16"/>
      <c r="KH308" s="16"/>
      <c r="KI308" s="16"/>
      <c r="KJ308" s="17"/>
      <c r="KN308" s="24"/>
      <c r="KO308" s="60"/>
      <c r="KP308" s="16"/>
      <c r="KQ308" s="16"/>
      <c r="KR308" s="16"/>
      <c r="KS308" s="16"/>
      <c r="KT308" s="16"/>
      <c r="KU308" s="17"/>
      <c r="KY308" s="24"/>
      <c r="KZ308" s="60"/>
      <c r="LA308" s="16"/>
      <c r="LB308" s="16"/>
      <c r="LC308" s="16"/>
      <c r="LD308" s="16"/>
      <c r="LE308" s="16"/>
      <c r="LF308" s="17"/>
      <c r="LJ308" s="24"/>
      <c r="LK308" s="60"/>
      <c r="LL308" s="16"/>
      <c r="LM308" s="16"/>
      <c r="LN308" s="16"/>
      <c r="LO308" s="16"/>
      <c r="LP308" s="16"/>
      <c r="LQ308" s="17"/>
    </row>
    <row r="309">
      <c r="C309" s="31"/>
      <c r="D309" s="61"/>
      <c r="E309" s="16"/>
      <c r="F309" s="16"/>
      <c r="G309" s="21"/>
      <c r="H309" s="16"/>
      <c r="I309" s="16"/>
      <c r="J309" s="17"/>
      <c r="N309" s="17"/>
      <c r="O309" s="61"/>
      <c r="P309" s="16"/>
      <c r="Q309" s="16"/>
      <c r="R309" s="16"/>
      <c r="S309" s="16"/>
      <c r="T309" s="16"/>
      <c r="U309" s="17"/>
      <c r="Y309" s="24"/>
      <c r="Z309" s="61"/>
      <c r="AA309" s="16"/>
      <c r="AB309" s="16"/>
      <c r="AC309" s="16"/>
      <c r="AD309" s="16"/>
      <c r="AE309" s="16"/>
      <c r="AF309" s="17"/>
      <c r="AJ309" s="24"/>
      <c r="AK309" s="61"/>
      <c r="AL309" s="16"/>
      <c r="AM309" s="16"/>
      <c r="AN309" s="16"/>
      <c r="AO309" s="16"/>
      <c r="AP309" s="16"/>
      <c r="AQ309" s="17"/>
      <c r="AU309" s="24"/>
      <c r="AV309" s="61"/>
      <c r="AW309" s="16"/>
      <c r="AX309" s="16"/>
      <c r="AY309" s="16"/>
      <c r="AZ309" s="16"/>
      <c r="BA309" s="16"/>
      <c r="BB309" s="17"/>
      <c r="BF309" s="24"/>
      <c r="BG309" s="61"/>
      <c r="BH309" s="16"/>
      <c r="BI309" s="16"/>
      <c r="BJ309" s="16"/>
      <c r="BK309" s="16"/>
      <c r="BL309" s="16"/>
      <c r="BM309" s="17"/>
      <c r="BQ309" s="24"/>
      <c r="BR309" s="61"/>
      <c r="BS309" s="16"/>
      <c r="BT309" s="16"/>
      <c r="BU309" s="16"/>
      <c r="BV309" s="16"/>
      <c r="BW309" s="16"/>
      <c r="BX309" s="17"/>
      <c r="CB309" s="24"/>
      <c r="CC309" s="61"/>
      <c r="CD309" s="16"/>
      <c r="CE309" s="16"/>
      <c r="CF309" s="16"/>
      <c r="CG309" s="16"/>
      <c r="CH309" s="16"/>
      <c r="CI309" s="17"/>
      <c r="CM309" s="24"/>
      <c r="CN309" s="61"/>
      <c r="CO309" s="16"/>
      <c r="CP309" s="16"/>
      <c r="CQ309" s="16"/>
      <c r="CR309" s="16"/>
      <c r="CS309" s="16"/>
      <c r="CT309" s="17"/>
      <c r="CX309" s="24"/>
      <c r="CY309" s="60"/>
      <c r="CZ309" s="16"/>
      <c r="DA309" s="16"/>
      <c r="DB309" s="16"/>
      <c r="DC309" s="16"/>
      <c r="DD309" s="16"/>
      <c r="DE309" s="17"/>
      <c r="DI309" s="24"/>
      <c r="DJ309" s="60"/>
      <c r="DK309" s="16"/>
      <c r="DL309" s="16"/>
      <c r="DM309" s="16"/>
      <c r="DN309" s="16"/>
      <c r="DO309" s="16"/>
      <c r="DP309" s="17"/>
      <c r="DT309" s="24"/>
      <c r="DU309" s="60"/>
      <c r="DV309" s="16"/>
      <c r="DW309" s="16"/>
      <c r="DX309" s="16"/>
      <c r="DY309" s="16"/>
      <c r="DZ309" s="16"/>
      <c r="EA309" s="17"/>
      <c r="EE309" s="24"/>
      <c r="EF309" s="60"/>
      <c r="EG309" s="16"/>
      <c r="EH309" s="16"/>
      <c r="EI309" s="16"/>
      <c r="EJ309" s="16"/>
      <c r="EK309" s="16"/>
      <c r="EL309" s="17"/>
      <c r="EP309" s="24"/>
      <c r="EQ309" s="60"/>
      <c r="ER309" s="16"/>
      <c r="ES309" s="16"/>
      <c r="ET309" s="16"/>
      <c r="EU309" s="16"/>
      <c r="EV309" s="16"/>
      <c r="EW309" s="17"/>
      <c r="FA309" s="24"/>
      <c r="FB309" s="60"/>
      <c r="FC309" s="16"/>
      <c r="FD309" s="16"/>
      <c r="FE309" s="16"/>
      <c r="FF309" s="16"/>
      <c r="FG309" s="16"/>
      <c r="FH309" s="17"/>
      <c r="FL309" s="24"/>
      <c r="FM309" s="60"/>
      <c r="FN309" s="16"/>
      <c r="FO309" s="16"/>
      <c r="FP309" s="16"/>
      <c r="FQ309" s="16"/>
      <c r="FR309" s="16"/>
      <c r="FS309" s="17"/>
      <c r="FW309" s="24"/>
      <c r="FX309" s="60"/>
      <c r="FY309" s="16"/>
      <c r="FZ309" s="16"/>
      <c r="GA309" s="16"/>
      <c r="GB309" s="16"/>
      <c r="GC309" s="16"/>
      <c r="GD309" s="17"/>
      <c r="GH309" s="24"/>
      <c r="GI309" s="60"/>
      <c r="GJ309" s="16"/>
      <c r="GK309" s="16"/>
      <c r="GL309" s="16"/>
      <c r="GM309" s="16"/>
      <c r="GN309" s="16"/>
      <c r="GO309" s="17"/>
      <c r="GS309" s="24"/>
      <c r="GT309" s="60"/>
      <c r="GU309" s="16"/>
      <c r="GV309" s="16"/>
      <c r="GW309" s="16"/>
      <c r="GX309" s="16"/>
      <c r="GY309" s="16"/>
      <c r="GZ309" s="17"/>
      <c r="HD309" s="24"/>
      <c r="HE309" s="60"/>
      <c r="HF309" s="16"/>
      <c r="HG309" s="16"/>
      <c r="HH309" s="16"/>
      <c r="HI309" s="16"/>
      <c r="HJ309" s="16"/>
      <c r="HK309" s="17"/>
      <c r="HO309" s="24"/>
      <c r="HP309" s="60"/>
      <c r="HQ309" s="16"/>
      <c r="HR309" s="16"/>
      <c r="HS309" s="16"/>
      <c r="HT309" s="16"/>
      <c r="HU309" s="16"/>
      <c r="HV309" s="17"/>
      <c r="HZ309" s="24"/>
      <c r="IA309" s="60"/>
      <c r="IB309" s="16"/>
      <c r="IC309" s="16"/>
      <c r="ID309" s="16"/>
      <c r="IE309" s="16"/>
      <c r="IF309" s="16"/>
      <c r="IG309" s="17"/>
      <c r="IK309" s="24"/>
      <c r="IL309" s="60"/>
      <c r="IM309" s="16"/>
      <c r="IN309" s="16"/>
      <c r="IO309" s="16"/>
      <c r="IP309" s="16"/>
      <c r="IQ309" s="16"/>
      <c r="IR309" s="17"/>
      <c r="IV309" s="24"/>
      <c r="IW309" s="60"/>
      <c r="IX309" s="16"/>
      <c r="IY309" s="16"/>
      <c r="IZ309" s="16"/>
      <c r="JA309" s="16"/>
      <c r="JB309" s="16"/>
      <c r="JC309" s="17"/>
      <c r="JG309" s="24"/>
      <c r="JH309" s="60"/>
      <c r="JI309" s="16"/>
      <c r="JJ309" s="16"/>
      <c r="JK309" s="16"/>
      <c r="JL309" s="16"/>
      <c r="JM309" s="16"/>
      <c r="JN309" s="17"/>
      <c r="JR309" s="24"/>
      <c r="JS309" s="60"/>
      <c r="JT309" s="16"/>
      <c r="JU309" s="16"/>
      <c r="JV309" s="16"/>
      <c r="JW309" s="16"/>
      <c r="JX309" s="16"/>
      <c r="JY309" s="17"/>
      <c r="KC309" s="24"/>
      <c r="KD309" s="60"/>
      <c r="KE309" s="16"/>
      <c r="KF309" s="16"/>
      <c r="KG309" s="16"/>
      <c r="KH309" s="16"/>
      <c r="KI309" s="16"/>
      <c r="KJ309" s="17"/>
      <c r="KN309" s="24"/>
      <c r="KO309" s="60"/>
      <c r="KP309" s="16"/>
      <c r="KQ309" s="16"/>
      <c r="KR309" s="16"/>
      <c r="KS309" s="16"/>
      <c r="KT309" s="16"/>
      <c r="KU309" s="17"/>
      <c r="KY309" s="24"/>
      <c r="KZ309" s="60"/>
      <c r="LA309" s="16"/>
      <c r="LB309" s="16"/>
      <c r="LC309" s="16"/>
      <c r="LD309" s="16"/>
      <c r="LE309" s="16"/>
      <c r="LF309" s="17"/>
      <c r="LJ309" s="24"/>
      <c r="LK309" s="60"/>
      <c r="LL309" s="16"/>
      <c r="LM309" s="16"/>
      <c r="LN309" s="16"/>
      <c r="LO309" s="16"/>
      <c r="LP309" s="16"/>
      <c r="LQ309" s="17"/>
    </row>
    <row r="310">
      <c r="C310" s="31"/>
      <c r="D310" s="61"/>
      <c r="E310" s="16"/>
      <c r="F310" s="16"/>
      <c r="G310" s="21"/>
      <c r="H310" s="16"/>
      <c r="I310" s="16"/>
      <c r="J310" s="17"/>
      <c r="N310" s="17"/>
      <c r="O310" s="61"/>
      <c r="P310" s="16"/>
      <c r="Q310" s="16"/>
      <c r="R310" s="16"/>
      <c r="S310" s="16"/>
      <c r="T310" s="16"/>
      <c r="U310" s="17"/>
      <c r="Y310" s="24"/>
      <c r="Z310" s="61"/>
      <c r="AA310" s="16"/>
      <c r="AB310" s="16"/>
      <c r="AC310" s="16"/>
      <c r="AD310" s="16"/>
      <c r="AE310" s="16"/>
      <c r="AF310" s="17"/>
      <c r="AJ310" s="24"/>
      <c r="AK310" s="61"/>
      <c r="AL310" s="16"/>
      <c r="AM310" s="16"/>
      <c r="AN310" s="16"/>
      <c r="AO310" s="16"/>
      <c r="AP310" s="16"/>
      <c r="AQ310" s="17"/>
      <c r="AU310" s="24"/>
      <c r="AV310" s="61"/>
      <c r="AW310" s="16"/>
      <c r="AX310" s="16"/>
      <c r="AY310" s="16"/>
      <c r="AZ310" s="16"/>
      <c r="BA310" s="16"/>
      <c r="BB310" s="17"/>
      <c r="BF310" s="24"/>
      <c r="BG310" s="61"/>
      <c r="BH310" s="16"/>
      <c r="BI310" s="16"/>
      <c r="BJ310" s="16"/>
      <c r="BK310" s="16"/>
      <c r="BL310" s="16"/>
      <c r="BM310" s="17"/>
      <c r="BQ310" s="24"/>
      <c r="BR310" s="61"/>
      <c r="BS310" s="16"/>
      <c r="BT310" s="16"/>
      <c r="BU310" s="16"/>
      <c r="BV310" s="16"/>
      <c r="BW310" s="16"/>
      <c r="BX310" s="17"/>
      <c r="CB310" s="24"/>
      <c r="CC310" s="61"/>
      <c r="CD310" s="16"/>
      <c r="CE310" s="16"/>
      <c r="CF310" s="16"/>
      <c r="CG310" s="16"/>
      <c r="CH310" s="16"/>
      <c r="CI310" s="17"/>
      <c r="CM310" s="24"/>
      <c r="CN310" s="61"/>
      <c r="CO310" s="16"/>
      <c r="CP310" s="16"/>
      <c r="CQ310" s="16"/>
      <c r="CR310" s="16"/>
      <c r="CS310" s="16"/>
      <c r="CT310" s="17"/>
      <c r="CX310" s="24"/>
      <c r="CY310" s="60"/>
      <c r="CZ310" s="16"/>
      <c r="DA310" s="16"/>
      <c r="DB310" s="16"/>
      <c r="DC310" s="16"/>
      <c r="DD310" s="16"/>
      <c r="DE310" s="17"/>
      <c r="DI310" s="24"/>
      <c r="DJ310" s="60"/>
      <c r="DK310" s="16"/>
      <c r="DL310" s="16"/>
      <c r="DM310" s="16"/>
      <c r="DN310" s="16"/>
      <c r="DO310" s="16"/>
      <c r="DP310" s="17"/>
      <c r="DT310" s="24"/>
      <c r="DU310" s="60"/>
      <c r="DV310" s="16"/>
      <c r="DW310" s="16"/>
      <c r="DX310" s="16"/>
      <c r="DY310" s="16"/>
      <c r="DZ310" s="16"/>
      <c r="EA310" s="17"/>
      <c r="EE310" s="24"/>
      <c r="EF310" s="60"/>
      <c r="EG310" s="16"/>
      <c r="EH310" s="16"/>
      <c r="EI310" s="16"/>
      <c r="EJ310" s="16"/>
      <c r="EK310" s="16"/>
      <c r="EL310" s="17"/>
      <c r="EP310" s="24"/>
      <c r="EQ310" s="60"/>
      <c r="ER310" s="16"/>
      <c r="ES310" s="16"/>
      <c r="ET310" s="16"/>
      <c r="EU310" s="16"/>
      <c r="EV310" s="16"/>
      <c r="EW310" s="17"/>
      <c r="FA310" s="24"/>
      <c r="FB310" s="60"/>
      <c r="FC310" s="16"/>
      <c r="FD310" s="16"/>
      <c r="FE310" s="16"/>
      <c r="FF310" s="16"/>
      <c r="FG310" s="16"/>
      <c r="FH310" s="17"/>
      <c r="FL310" s="24"/>
      <c r="FM310" s="60"/>
      <c r="FN310" s="16"/>
      <c r="FO310" s="16"/>
      <c r="FP310" s="16"/>
      <c r="FQ310" s="16"/>
      <c r="FR310" s="16"/>
      <c r="FS310" s="17"/>
      <c r="FW310" s="24"/>
      <c r="FX310" s="60"/>
      <c r="FY310" s="16"/>
      <c r="FZ310" s="16"/>
      <c r="GA310" s="16"/>
      <c r="GB310" s="16"/>
      <c r="GC310" s="16"/>
      <c r="GD310" s="17"/>
      <c r="GH310" s="24"/>
      <c r="GI310" s="60"/>
      <c r="GJ310" s="16"/>
      <c r="GK310" s="16"/>
      <c r="GL310" s="16"/>
      <c r="GM310" s="16"/>
      <c r="GN310" s="16"/>
      <c r="GO310" s="17"/>
      <c r="GS310" s="24"/>
      <c r="GT310" s="60"/>
      <c r="GU310" s="16"/>
      <c r="GV310" s="16"/>
      <c r="GW310" s="16"/>
      <c r="GX310" s="16"/>
      <c r="GY310" s="16"/>
      <c r="GZ310" s="17"/>
      <c r="HD310" s="24"/>
      <c r="HE310" s="60"/>
      <c r="HF310" s="16"/>
      <c r="HG310" s="16"/>
      <c r="HH310" s="16"/>
      <c r="HI310" s="16"/>
      <c r="HJ310" s="16"/>
      <c r="HK310" s="17"/>
      <c r="HO310" s="24"/>
      <c r="HP310" s="60"/>
      <c r="HQ310" s="16"/>
      <c r="HR310" s="16"/>
      <c r="HS310" s="16"/>
      <c r="HT310" s="16"/>
      <c r="HU310" s="16"/>
      <c r="HV310" s="17"/>
      <c r="HZ310" s="24"/>
      <c r="IA310" s="60"/>
      <c r="IB310" s="16"/>
      <c r="IC310" s="16"/>
      <c r="ID310" s="16"/>
      <c r="IE310" s="16"/>
      <c r="IF310" s="16"/>
      <c r="IG310" s="17"/>
      <c r="IK310" s="24"/>
      <c r="IL310" s="60"/>
      <c r="IM310" s="16"/>
      <c r="IN310" s="16"/>
      <c r="IO310" s="16"/>
      <c r="IP310" s="16"/>
      <c r="IQ310" s="16"/>
      <c r="IR310" s="17"/>
      <c r="IV310" s="24"/>
      <c r="IW310" s="60"/>
      <c r="IX310" s="16"/>
      <c r="IY310" s="16"/>
      <c r="IZ310" s="16"/>
      <c r="JA310" s="16"/>
      <c r="JB310" s="16"/>
      <c r="JC310" s="17"/>
      <c r="JG310" s="24"/>
      <c r="JH310" s="60"/>
      <c r="JI310" s="16"/>
      <c r="JJ310" s="16"/>
      <c r="JK310" s="16"/>
      <c r="JL310" s="16"/>
      <c r="JM310" s="16"/>
      <c r="JN310" s="17"/>
      <c r="JR310" s="24"/>
      <c r="JS310" s="60"/>
      <c r="JT310" s="16"/>
      <c r="JU310" s="16"/>
      <c r="JV310" s="16"/>
      <c r="JW310" s="16"/>
      <c r="JX310" s="16"/>
      <c r="JY310" s="17"/>
      <c r="KC310" s="24"/>
      <c r="KD310" s="60"/>
      <c r="KE310" s="16"/>
      <c r="KF310" s="16"/>
      <c r="KG310" s="16"/>
      <c r="KH310" s="16"/>
      <c r="KI310" s="16"/>
      <c r="KJ310" s="17"/>
      <c r="KN310" s="24"/>
      <c r="KO310" s="60"/>
      <c r="KP310" s="16"/>
      <c r="KQ310" s="16"/>
      <c r="KR310" s="16"/>
      <c r="KS310" s="16"/>
      <c r="KT310" s="16"/>
      <c r="KU310" s="17"/>
      <c r="KY310" s="24"/>
      <c r="KZ310" s="60"/>
      <c r="LA310" s="16"/>
      <c r="LB310" s="16"/>
      <c r="LC310" s="16"/>
      <c r="LD310" s="16"/>
      <c r="LE310" s="16"/>
      <c r="LF310" s="17"/>
      <c r="LJ310" s="24"/>
      <c r="LK310" s="60"/>
      <c r="LL310" s="16"/>
      <c r="LM310" s="16"/>
      <c r="LN310" s="16"/>
      <c r="LO310" s="16"/>
      <c r="LP310" s="16"/>
      <c r="LQ310" s="17"/>
    </row>
    <row r="311">
      <c r="C311" s="31"/>
      <c r="D311" s="61"/>
      <c r="E311" s="16"/>
      <c r="F311" s="16"/>
      <c r="G311" s="21"/>
      <c r="H311" s="16"/>
      <c r="I311" s="16"/>
      <c r="J311" s="17"/>
      <c r="N311" s="17"/>
      <c r="O311" s="61"/>
      <c r="P311" s="16"/>
      <c r="Q311" s="16"/>
      <c r="R311" s="16"/>
      <c r="S311" s="16"/>
      <c r="T311" s="16"/>
      <c r="U311" s="17"/>
      <c r="Y311" s="24"/>
      <c r="Z311" s="61"/>
      <c r="AA311" s="16"/>
      <c r="AB311" s="16"/>
      <c r="AC311" s="16"/>
      <c r="AD311" s="16"/>
      <c r="AE311" s="16"/>
      <c r="AF311" s="17"/>
      <c r="AJ311" s="24"/>
      <c r="AK311" s="61"/>
      <c r="AL311" s="16"/>
      <c r="AM311" s="16"/>
      <c r="AN311" s="16"/>
      <c r="AO311" s="16"/>
      <c r="AP311" s="16"/>
      <c r="AQ311" s="17"/>
      <c r="AU311" s="24"/>
      <c r="AV311" s="61"/>
      <c r="AW311" s="16"/>
      <c r="AX311" s="16"/>
      <c r="AY311" s="16"/>
      <c r="AZ311" s="16"/>
      <c r="BA311" s="16"/>
      <c r="BB311" s="17"/>
      <c r="BF311" s="24"/>
      <c r="BG311" s="61"/>
      <c r="BH311" s="16"/>
      <c r="BI311" s="16"/>
      <c r="BJ311" s="16"/>
      <c r="BK311" s="16"/>
      <c r="BL311" s="16"/>
      <c r="BM311" s="17"/>
      <c r="BQ311" s="24"/>
      <c r="BR311" s="61"/>
      <c r="BS311" s="16"/>
      <c r="BT311" s="16"/>
      <c r="BU311" s="16"/>
      <c r="BV311" s="16"/>
      <c r="BW311" s="16"/>
      <c r="BX311" s="17"/>
      <c r="CB311" s="24"/>
      <c r="CC311" s="61"/>
      <c r="CD311" s="16"/>
      <c r="CE311" s="16"/>
      <c r="CF311" s="16"/>
      <c r="CG311" s="16"/>
      <c r="CH311" s="16"/>
      <c r="CI311" s="17"/>
      <c r="CM311" s="24"/>
      <c r="CN311" s="61"/>
      <c r="CO311" s="16"/>
      <c r="CP311" s="16"/>
      <c r="CQ311" s="16"/>
      <c r="CR311" s="16"/>
      <c r="CS311" s="16"/>
      <c r="CT311" s="17"/>
      <c r="CX311" s="24"/>
      <c r="CY311" s="60"/>
      <c r="CZ311" s="16"/>
      <c r="DA311" s="16"/>
      <c r="DB311" s="16"/>
      <c r="DC311" s="16"/>
      <c r="DD311" s="16"/>
      <c r="DE311" s="17"/>
      <c r="DI311" s="24"/>
      <c r="DJ311" s="60"/>
      <c r="DK311" s="16"/>
      <c r="DL311" s="16"/>
      <c r="DM311" s="16"/>
      <c r="DN311" s="16"/>
      <c r="DO311" s="16"/>
      <c r="DP311" s="17"/>
      <c r="DT311" s="24"/>
      <c r="DU311" s="60"/>
      <c r="DV311" s="16"/>
      <c r="DW311" s="16"/>
      <c r="DX311" s="16"/>
      <c r="DY311" s="16"/>
      <c r="DZ311" s="16"/>
      <c r="EA311" s="17"/>
      <c r="EE311" s="24"/>
      <c r="EF311" s="60"/>
      <c r="EG311" s="16"/>
      <c r="EH311" s="16"/>
      <c r="EI311" s="16"/>
      <c r="EJ311" s="16"/>
      <c r="EK311" s="16"/>
      <c r="EL311" s="17"/>
      <c r="EP311" s="24"/>
      <c r="EQ311" s="60"/>
      <c r="ER311" s="16"/>
      <c r="ES311" s="16"/>
      <c r="ET311" s="16"/>
      <c r="EU311" s="16"/>
      <c r="EV311" s="16"/>
      <c r="EW311" s="17"/>
      <c r="FA311" s="24"/>
      <c r="FB311" s="60"/>
      <c r="FC311" s="16"/>
      <c r="FD311" s="16"/>
      <c r="FE311" s="16"/>
      <c r="FF311" s="16"/>
      <c r="FG311" s="16"/>
      <c r="FH311" s="17"/>
      <c r="FL311" s="24"/>
      <c r="FM311" s="60"/>
      <c r="FN311" s="16"/>
      <c r="FO311" s="16"/>
      <c r="FP311" s="16"/>
      <c r="FQ311" s="16"/>
      <c r="FR311" s="16"/>
      <c r="FS311" s="17"/>
      <c r="FW311" s="24"/>
      <c r="FX311" s="60"/>
      <c r="FY311" s="16"/>
      <c r="FZ311" s="16"/>
      <c r="GA311" s="16"/>
      <c r="GB311" s="16"/>
      <c r="GC311" s="16"/>
      <c r="GD311" s="17"/>
      <c r="GH311" s="24"/>
      <c r="GI311" s="60"/>
      <c r="GJ311" s="16"/>
      <c r="GK311" s="16"/>
      <c r="GL311" s="16"/>
      <c r="GM311" s="16"/>
      <c r="GN311" s="16"/>
      <c r="GO311" s="17"/>
      <c r="GS311" s="24"/>
      <c r="GT311" s="60"/>
      <c r="GU311" s="16"/>
      <c r="GV311" s="16"/>
      <c r="GW311" s="16"/>
      <c r="GX311" s="16"/>
      <c r="GY311" s="16"/>
      <c r="GZ311" s="17"/>
      <c r="HD311" s="24"/>
      <c r="HE311" s="60"/>
      <c r="HF311" s="16"/>
      <c r="HG311" s="16"/>
      <c r="HH311" s="16"/>
      <c r="HI311" s="16"/>
      <c r="HJ311" s="16"/>
      <c r="HK311" s="17"/>
      <c r="HO311" s="24"/>
      <c r="HP311" s="60"/>
      <c r="HQ311" s="16"/>
      <c r="HR311" s="16"/>
      <c r="HS311" s="16"/>
      <c r="HT311" s="16"/>
      <c r="HU311" s="16"/>
      <c r="HV311" s="17"/>
      <c r="HZ311" s="24"/>
      <c r="IA311" s="60"/>
      <c r="IB311" s="16"/>
      <c r="IC311" s="16"/>
      <c r="ID311" s="16"/>
      <c r="IE311" s="16"/>
      <c r="IF311" s="16"/>
      <c r="IG311" s="17"/>
      <c r="IK311" s="24"/>
      <c r="IL311" s="60"/>
      <c r="IM311" s="16"/>
      <c r="IN311" s="16"/>
      <c r="IO311" s="16"/>
      <c r="IP311" s="16"/>
      <c r="IQ311" s="16"/>
      <c r="IR311" s="17"/>
      <c r="IV311" s="24"/>
      <c r="IW311" s="60"/>
      <c r="IX311" s="16"/>
      <c r="IY311" s="16"/>
      <c r="IZ311" s="16"/>
      <c r="JA311" s="16"/>
      <c r="JB311" s="16"/>
      <c r="JC311" s="17"/>
      <c r="JG311" s="24"/>
      <c r="JH311" s="60"/>
      <c r="JI311" s="16"/>
      <c r="JJ311" s="16"/>
      <c r="JK311" s="16"/>
      <c r="JL311" s="16"/>
      <c r="JM311" s="16"/>
      <c r="JN311" s="17"/>
      <c r="JR311" s="24"/>
      <c r="JS311" s="60"/>
      <c r="JT311" s="16"/>
      <c r="JU311" s="16"/>
      <c r="JV311" s="16"/>
      <c r="JW311" s="16"/>
      <c r="JX311" s="16"/>
      <c r="JY311" s="17"/>
      <c r="KC311" s="24"/>
      <c r="KD311" s="60"/>
      <c r="KE311" s="16"/>
      <c r="KF311" s="16"/>
      <c r="KG311" s="16"/>
      <c r="KH311" s="16"/>
      <c r="KI311" s="16"/>
      <c r="KJ311" s="17"/>
      <c r="KN311" s="24"/>
      <c r="KO311" s="60"/>
      <c r="KP311" s="16"/>
      <c r="KQ311" s="16"/>
      <c r="KR311" s="16"/>
      <c r="KS311" s="16"/>
      <c r="KT311" s="16"/>
      <c r="KU311" s="17"/>
      <c r="KY311" s="24"/>
      <c r="KZ311" s="60"/>
      <c r="LA311" s="16"/>
      <c r="LB311" s="16"/>
      <c r="LC311" s="16"/>
      <c r="LD311" s="16"/>
      <c r="LE311" s="16"/>
      <c r="LF311" s="17"/>
      <c r="LJ311" s="24"/>
      <c r="LK311" s="60"/>
      <c r="LL311" s="16"/>
      <c r="LM311" s="16"/>
      <c r="LN311" s="16"/>
      <c r="LO311" s="16"/>
      <c r="LP311" s="16"/>
      <c r="LQ311" s="17"/>
    </row>
    <row r="312">
      <c r="C312" s="31"/>
      <c r="D312" s="61"/>
      <c r="E312" s="16"/>
      <c r="F312" s="16"/>
      <c r="G312" s="21"/>
      <c r="H312" s="16"/>
      <c r="I312" s="16"/>
      <c r="J312" s="17"/>
      <c r="N312" s="17"/>
      <c r="O312" s="61"/>
      <c r="P312" s="16"/>
      <c r="Q312" s="16"/>
      <c r="R312" s="16"/>
      <c r="S312" s="16"/>
      <c r="T312" s="16"/>
      <c r="U312" s="17"/>
      <c r="Y312" s="24"/>
      <c r="Z312" s="61"/>
      <c r="AA312" s="16"/>
      <c r="AB312" s="16"/>
      <c r="AC312" s="16"/>
      <c r="AD312" s="16"/>
      <c r="AE312" s="16"/>
      <c r="AF312" s="17"/>
      <c r="AJ312" s="24"/>
      <c r="AK312" s="61"/>
      <c r="AL312" s="16"/>
      <c r="AM312" s="16"/>
      <c r="AN312" s="16"/>
      <c r="AO312" s="16"/>
      <c r="AP312" s="16"/>
      <c r="AQ312" s="17"/>
      <c r="AU312" s="24"/>
      <c r="AV312" s="61"/>
      <c r="AW312" s="16"/>
      <c r="AX312" s="16"/>
      <c r="AY312" s="16"/>
      <c r="AZ312" s="16"/>
      <c r="BA312" s="16"/>
      <c r="BB312" s="17"/>
      <c r="BF312" s="24"/>
      <c r="BG312" s="61"/>
      <c r="BH312" s="16"/>
      <c r="BI312" s="16"/>
      <c r="BJ312" s="16"/>
      <c r="BK312" s="16"/>
      <c r="BL312" s="16"/>
      <c r="BM312" s="17"/>
      <c r="BQ312" s="24"/>
      <c r="BR312" s="61"/>
      <c r="BS312" s="16"/>
      <c r="BT312" s="16"/>
      <c r="BU312" s="16"/>
      <c r="BV312" s="16"/>
      <c r="BW312" s="16"/>
      <c r="BX312" s="17"/>
      <c r="CB312" s="24"/>
      <c r="CC312" s="61"/>
      <c r="CD312" s="16"/>
      <c r="CE312" s="16"/>
      <c r="CF312" s="16"/>
      <c r="CG312" s="16"/>
      <c r="CH312" s="16"/>
      <c r="CI312" s="17"/>
      <c r="CM312" s="24"/>
      <c r="CN312" s="61"/>
      <c r="CO312" s="16"/>
      <c r="CP312" s="16"/>
      <c r="CQ312" s="16"/>
      <c r="CR312" s="16"/>
      <c r="CS312" s="16"/>
      <c r="CT312" s="17"/>
      <c r="CX312" s="24"/>
      <c r="CY312" s="60"/>
      <c r="CZ312" s="16"/>
      <c r="DA312" s="16"/>
      <c r="DB312" s="16"/>
      <c r="DC312" s="16"/>
      <c r="DD312" s="16"/>
      <c r="DE312" s="17"/>
      <c r="DI312" s="24"/>
      <c r="DJ312" s="60"/>
      <c r="DK312" s="16"/>
      <c r="DL312" s="16"/>
      <c r="DM312" s="16"/>
      <c r="DN312" s="16"/>
      <c r="DO312" s="16"/>
      <c r="DP312" s="17"/>
      <c r="DT312" s="24"/>
      <c r="DU312" s="60"/>
      <c r="DV312" s="16"/>
      <c r="DW312" s="16"/>
      <c r="DX312" s="16"/>
      <c r="DY312" s="16"/>
      <c r="DZ312" s="16"/>
      <c r="EA312" s="17"/>
      <c r="EE312" s="24"/>
      <c r="EF312" s="60"/>
      <c r="EG312" s="16"/>
      <c r="EH312" s="16"/>
      <c r="EI312" s="16"/>
      <c r="EJ312" s="16"/>
      <c r="EK312" s="16"/>
      <c r="EL312" s="17"/>
      <c r="EP312" s="24"/>
      <c r="EQ312" s="60"/>
      <c r="ER312" s="16"/>
      <c r="ES312" s="16"/>
      <c r="ET312" s="16"/>
      <c r="EU312" s="16"/>
      <c r="EV312" s="16"/>
      <c r="EW312" s="17"/>
      <c r="FA312" s="24"/>
      <c r="FB312" s="60"/>
      <c r="FC312" s="16"/>
      <c r="FD312" s="16"/>
      <c r="FE312" s="16"/>
      <c r="FF312" s="16"/>
      <c r="FG312" s="16"/>
      <c r="FH312" s="17"/>
      <c r="FL312" s="24"/>
      <c r="FM312" s="60"/>
      <c r="FN312" s="16"/>
      <c r="FO312" s="16"/>
      <c r="FP312" s="16"/>
      <c r="FQ312" s="16"/>
      <c r="FR312" s="16"/>
      <c r="FS312" s="17"/>
      <c r="FW312" s="24"/>
      <c r="FX312" s="60"/>
      <c r="FY312" s="16"/>
      <c r="FZ312" s="16"/>
      <c r="GA312" s="16"/>
      <c r="GB312" s="16"/>
      <c r="GC312" s="16"/>
      <c r="GD312" s="17"/>
      <c r="GH312" s="24"/>
      <c r="GI312" s="60"/>
      <c r="GJ312" s="16"/>
      <c r="GK312" s="16"/>
      <c r="GL312" s="16"/>
      <c r="GM312" s="16"/>
      <c r="GN312" s="16"/>
      <c r="GO312" s="17"/>
      <c r="GS312" s="24"/>
      <c r="GT312" s="60"/>
      <c r="GU312" s="16"/>
      <c r="GV312" s="16"/>
      <c r="GW312" s="16"/>
      <c r="GX312" s="16"/>
      <c r="GY312" s="16"/>
      <c r="GZ312" s="17"/>
      <c r="HD312" s="24"/>
      <c r="HE312" s="60"/>
      <c r="HF312" s="16"/>
      <c r="HG312" s="16"/>
      <c r="HH312" s="16"/>
      <c r="HI312" s="16"/>
      <c r="HJ312" s="16"/>
      <c r="HK312" s="17"/>
      <c r="HO312" s="24"/>
      <c r="HP312" s="60"/>
      <c r="HQ312" s="16"/>
      <c r="HR312" s="16"/>
      <c r="HS312" s="16"/>
      <c r="HT312" s="16"/>
      <c r="HU312" s="16"/>
      <c r="HV312" s="17"/>
      <c r="HZ312" s="24"/>
      <c r="IA312" s="60"/>
      <c r="IB312" s="16"/>
      <c r="IC312" s="16"/>
      <c r="ID312" s="16"/>
      <c r="IE312" s="16"/>
      <c r="IF312" s="16"/>
      <c r="IG312" s="17"/>
      <c r="IK312" s="24"/>
      <c r="IL312" s="60"/>
      <c r="IM312" s="16"/>
      <c r="IN312" s="16"/>
      <c r="IO312" s="16"/>
      <c r="IP312" s="16"/>
      <c r="IQ312" s="16"/>
      <c r="IR312" s="17"/>
      <c r="IV312" s="24"/>
      <c r="IW312" s="60"/>
      <c r="IX312" s="16"/>
      <c r="IY312" s="16"/>
      <c r="IZ312" s="16"/>
      <c r="JA312" s="16"/>
      <c r="JB312" s="16"/>
      <c r="JC312" s="17"/>
      <c r="JG312" s="24"/>
      <c r="JH312" s="60"/>
      <c r="JI312" s="16"/>
      <c r="JJ312" s="16"/>
      <c r="JK312" s="16"/>
      <c r="JL312" s="16"/>
      <c r="JM312" s="16"/>
      <c r="JN312" s="17"/>
      <c r="JR312" s="24"/>
      <c r="JS312" s="60"/>
      <c r="JT312" s="16"/>
      <c r="JU312" s="16"/>
      <c r="JV312" s="16"/>
      <c r="JW312" s="16"/>
      <c r="JX312" s="16"/>
      <c r="JY312" s="17"/>
      <c r="KC312" s="24"/>
      <c r="KD312" s="60"/>
      <c r="KE312" s="16"/>
      <c r="KF312" s="16"/>
      <c r="KG312" s="16"/>
      <c r="KH312" s="16"/>
      <c r="KI312" s="16"/>
      <c r="KJ312" s="17"/>
      <c r="KN312" s="24"/>
      <c r="KO312" s="60"/>
      <c r="KP312" s="16"/>
      <c r="KQ312" s="16"/>
      <c r="KR312" s="16"/>
      <c r="KS312" s="16"/>
      <c r="KT312" s="16"/>
      <c r="KU312" s="17"/>
      <c r="KY312" s="24"/>
      <c r="KZ312" s="60"/>
      <c r="LA312" s="16"/>
      <c r="LB312" s="16"/>
      <c r="LC312" s="16"/>
      <c r="LD312" s="16"/>
      <c r="LE312" s="16"/>
      <c r="LF312" s="17"/>
      <c r="LJ312" s="24"/>
      <c r="LK312" s="60"/>
      <c r="LL312" s="16"/>
      <c r="LM312" s="16"/>
      <c r="LN312" s="16"/>
      <c r="LO312" s="16"/>
      <c r="LP312" s="16"/>
      <c r="LQ312" s="17"/>
    </row>
    <row r="313">
      <c r="C313" s="31"/>
      <c r="D313" s="61"/>
      <c r="E313" s="16"/>
      <c r="F313" s="16"/>
      <c r="G313" s="21"/>
      <c r="H313" s="16"/>
      <c r="I313" s="16"/>
      <c r="J313" s="17"/>
      <c r="N313" s="17"/>
      <c r="O313" s="61"/>
      <c r="P313" s="16"/>
      <c r="Q313" s="16"/>
      <c r="R313" s="16"/>
      <c r="S313" s="16"/>
      <c r="T313" s="16"/>
      <c r="U313" s="17"/>
      <c r="Y313" s="24"/>
      <c r="Z313" s="61"/>
      <c r="AA313" s="16"/>
      <c r="AB313" s="16"/>
      <c r="AC313" s="16"/>
      <c r="AD313" s="16"/>
      <c r="AE313" s="16"/>
      <c r="AF313" s="17"/>
      <c r="AJ313" s="24"/>
      <c r="AK313" s="61"/>
      <c r="AL313" s="16"/>
      <c r="AM313" s="16"/>
      <c r="AN313" s="16"/>
      <c r="AO313" s="16"/>
      <c r="AP313" s="16"/>
      <c r="AQ313" s="17"/>
      <c r="AU313" s="24"/>
      <c r="AV313" s="61"/>
      <c r="AW313" s="16"/>
      <c r="AX313" s="16"/>
      <c r="AY313" s="16"/>
      <c r="AZ313" s="16"/>
      <c r="BA313" s="16"/>
      <c r="BB313" s="17"/>
      <c r="BF313" s="24"/>
      <c r="BG313" s="61"/>
      <c r="BH313" s="16"/>
      <c r="BI313" s="16"/>
      <c r="BJ313" s="16"/>
      <c r="BK313" s="16"/>
      <c r="BL313" s="16"/>
      <c r="BM313" s="17"/>
      <c r="BQ313" s="24"/>
      <c r="BR313" s="61"/>
      <c r="BS313" s="16"/>
      <c r="BT313" s="16"/>
      <c r="BU313" s="16"/>
      <c r="BV313" s="16"/>
      <c r="BW313" s="16"/>
      <c r="BX313" s="17"/>
      <c r="CB313" s="24"/>
      <c r="CC313" s="61"/>
      <c r="CD313" s="16"/>
      <c r="CE313" s="16"/>
      <c r="CF313" s="16"/>
      <c r="CG313" s="16"/>
      <c r="CH313" s="16"/>
      <c r="CI313" s="17"/>
      <c r="CM313" s="24"/>
      <c r="CN313" s="61"/>
      <c r="CO313" s="16"/>
      <c r="CP313" s="16"/>
      <c r="CQ313" s="16"/>
      <c r="CR313" s="16"/>
      <c r="CS313" s="16"/>
      <c r="CT313" s="17"/>
      <c r="CX313" s="24"/>
      <c r="CY313" s="60"/>
      <c r="CZ313" s="16"/>
      <c r="DA313" s="16"/>
      <c r="DB313" s="16"/>
      <c r="DC313" s="16"/>
      <c r="DD313" s="16"/>
      <c r="DE313" s="17"/>
      <c r="DI313" s="24"/>
      <c r="DJ313" s="60"/>
      <c r="DK313" s="16"/>
      <c r="DL313" s="16"/>
      <c r="DM313" s="16"/>
      <c r="DN313" s="16"/>
      <c r="DO313" s="16"/>
      <c r="DP313" s="17"/>
      <c r="DT313" s="24"/>
      <c r="DU313" s="60"/>
      <c r="DV313" s="16"/>
      <c r="DW313" s="16"/>
      <c r="DX313" s="16"/>
      <c r="DY313" s="16"/>
      <c r="DZ313" s="16"/>
      <c r="EA313" s="17"/>
      <c r="EE313" s="24"/>
      <c r="EF313" s="60"/>
      <c r="EG313" s="16"/>
      <c r="EH313" s="16"/>
      <c r="EI313" s="16"/>
      <c r="EJ313" s="16"/>
      <c r="EK313" s="16"/>
      <c r="EL313" s="17"/>
      <c r="EP313" s="24"/>
      <c r="EQ313" s="60"/>
      <c r="ER313" s="16"/>
      <c r="ES313" s="16"/>
      <c r="ET313" s="16"/>
      <c r="EU313" s="16"/>
      <c r="EV313" s="16"/>
      <c r="EW313" s="17"/>
      <c r="FA313" s="24"/>
      <c r="FB313" s="60"/>
      <c r="FC313" s="16"/>
      <c r="FD313" s="16"/>
      <c r="FE313" s="16"/>
      <c r="FF313" s="16"/>
      <c r="FG313" s="16"/>
      <c r="FH313" s="17"/>
      <c r="FL313" s="24"/>
      <c r="FM313" s="60"/>
      <c r="FN313" s="16"/>
      <c r="FO313" s="16"/>
      <c r="FP313" s="16"/>
      <c r="FQ313" s="16"/>
      <c r="FR313" s="16"/>
      <c r="FS313" s="17"/>
      <c r="FW313" s="24"/>
      <c r="FX313" s="60"/>
      <c r="FY313" s="16"/>
      <c r="FZ313" s="16"/>
      <c r="GA313" s="16"/>
      <c r="GB313" s="16"/>
      <c r="GC313" s="16"/>
      <c r="GD313" s="17"/>
      <c r="GH313" s="24"/>
      <c r="GI313" s="60"/>
      <c r="GJ313" s="16"/>
      <c r="GK313" s="16"/>
      <c r="GL313" s="16"/>
      <c r="GM313" s="16"/>
      <c r="GN313" s="16"/>
      <c r="GO313" s="17"/>
      <c r="GS313" s="24"/>
      <c r="GT313" s="60"/>
      <c r="GU313" s="16"/>
      <c r="GV313" s="16"/>
      <c r="GW313" s="16"/>
      <c r="GX313" s="16"/>
      <c r="GY313" s="16"/>
      <c r="GZ313" s="17"/>
      <c r="HD313" s="24"/>
      <c r="HE313" s="60"/>
      <c r="HF313" s="16"/>
      <c r="HG313" s="16"/>
      <c r="HH313" s="16"/>
      <c r="HI313" s="16"/>
      <c r="HJ313" s="16"/>
      <c r="HK313" s="17"/>
      <c r="HO313" s="24"/>
      <c r="HP313" s="60"/>
      <c r="HQ313" s="16"/>
      <c r="HR313" s="16"/>
      <c r="HS313" s="16"/>
      <c r="HT313" s="16"/>
      <c r="HU313" s="16"/>
      <c r="HV313" s="17"/>
      <c r="HZ313" s="24"/>
      <c r="IA313" s="60"/>
      <c r="IB313" s="16"/>
      <c r="IC313" s="16"/>
      <c r="ID313" s="16"/>
      <c r="IE313" s="16"/>
      <c r="IF313" s="16"/>
      <c r="IG313" s="17"/>
      <c r="IK313" s="24"/>
      <c r="IL313" s="60"/>
      <c r="IM313" s="16"/>
      <c r="IN313" s="16"/>
      <c r="IO313" s="16"/>
      <c r="IP313" s="16"/>
      <c r="IQ313" s="16"/>
      <c r="IR313" s="17"/>
      <c r="IV313" s="24"/>
      <c r="IW313" s="60"/>
      <c r="IX313" s="16"/>
      <c r="IY313" s="16"/>
      <c r="IZ313" s="16"/>
      <c r="JA313" s="16"/>
      <c r="JB313" s="16"/>
      <c r="JC313" s="17"/>
      <c r="JG313" s="24"/>
      <c r="JH313" s="60"/>
      <c r="JI313" s="16"/>
      <c r="JJ313" s="16"/>
      <c r="JK313" s="16"/>
      <c r="JL313" s="16"/>
      <c r="JM313" s="16"/>
      <c r="JN313" s="17"/>
      <c r="JR313" s="24"/>
      <c r="JS313" s="60"/>
      <c r="JT313" s="16"/>
      <c r="JU313" s="16"/>
      <c r="JV313" s="16"/>
      <c r="JW313" s="16"/>
      <c r="JX313" s="16"/>
      <c r="JY313" s="17"/>
      <c r="KC313" s="24"/>
      <c r="KD313" s="60"/>
      <c r="KE313" s="16"/>
      <c r="KF313" s="16"/>
      <c r="KG313" s="16"/>
      <c r="KH313" s="16"/>
      <c r="KI313" s="16"/>
      <c r="KJ313" s="17"/>
      <c r="KN313" s="24"/>
      <c r="KO313" s="60"/>
      <c r="KP313" s="16"/>
      <c r="KQ313" s="16"/>
      <c r="KR313" s="16"/>
      <c r="KS313" s="16"/>
      <c r="KT313" s="16"/>
      <c r="KU313" s="17"/>
      <c r="KY313" s="24"/>
      <c r="KZ313" s="60"/>
      <c r="LA313" s="16"/>
      <c r="LB313" s="16"/>
      <c r="LC313" s="16"/>
      <c r="LD313" s="16"/>
      <c r="LE313" s="16"/>
      <c r="LF313" s="17"/>
      <c r="LJ313" s="24"/>
      <c r="LK313" s="60"/>
      <c r="LL313" s="16"/>
      <c r="LM313" s="16"/>
      <c r="LN313" s="16"/>
      <c r="LO313" s="16"/>
      <c r="LP313" s="16"/>
      <c r="LQ313" s="17"/>
    </row>
    <row r="314">
      <c r="C314" s="31"/>
      <c r="D314" s="61"/>
      <c r="E314" s="16"/>
      <c r="F314" s="16"/>
      <c r="G314" s="21"/>
      <c r="H314" s="16"/>
      <c r="I314" s="16"/>
      <c r="J314" s="17"/>
      <c r="N314" s="17"/>
      <c r="O314" s="61"/>
      <c r="P314" s="16"/>
      <c r="Q314" s="16"/>
      <c r="R314" s="16"/>
      <c r="S314" s="16"/>
      <c r="T314" s="16"/>
      <c r="U314" s="17"/>
      <c r="Y314" s="24"/>
      <c r="Z314" s="61"/>
      <c r="AA314" s="16"/>
      <c r="AB314" s="16"/>
      <c r="AC314" s="16"/>
      <c r="AD314" s="16"/>
      <c r="AE314" s="16"/>
      <c r="AF314" s="17"/>
      <c r="AJ314" s="24"/>
      <c r="AK314" s="61"/>
      <c r="AL314" s="16"/>
      <c r="AM314" s="16"/>
      <c r="AN314" s="16"/>
      <c r="AO314" s="16"/>
      <c r="AP314" s="16"/>
      <c r="AQ314" s="17"/>
      <c r="AU314" s="24"/>
      <c r="AV314" s="61"/>
      <c r="AW314" s="16"/>
      <c r="AX314" s="16"/>
      <c r="AY314" s="16"/>
      <c r="AZ314" s="16"/>
      <c r="BA314" s="16"/>
      <c r="BB314" s="17"/>
      <c r="BF314" s="24"/>
      <c r="BG314" s="61"/>
      <c r="BH314" s="16"/>
      <c r="BI314" s="16"/>
      <c r="BJ314" s="16"/>
      <c r="BK314" s="16"/>
      <c r="BL314" s="16"/>
      <c r="BM314" s="17"/>
      <c r="BQ314" s="24"/>
      <c r="BR314" s="61"/>
      <c r="BS314" s="16"/>
      <c r="BT314" s="16"/>
      <c r="BU314" s="16"/>
      <c r="BV314" s="16"/>
      <c r="BW314" s="16"/>
      <c r="BX314" s="17"/>
      <c r="CB314" s="24"/>
      <c r="CC314" s="61"/>
      <c r="CD314" s="16"/>
      <c r="CE314" s="16"/>
      <c r="CF314" s="16"/>
      <c r="CG314" s="16"/>
      <c r="CH314" s="16"/>
      <c r="CI314" s="17"/>
      <c r="CM314" s="24"/>
      <c r="CN314" s="61"/>
      <c r="CO314" s="16"/>
      <c r="CP314" s="16"/>
      <c r="CQ314" s="16"/>
      <c r="CR314" s="16"/>
      <c r="CS314" s="16"/>
      <c r="CT314" s="17"/>
      <c r="CX314" s="24"/>
      <c r="CY314" s="60"/>
      <c r="CZ314" s="16"/>
      <c r="DA314" s="16"/>
      <c r="DB314" s="16"/>
      <c r="DC314" s="16"/>
      <c r="DD314" s="16"/>
      <c r="DE314" s="17"/>
      <c r="DI314" s="24"/>
      <c r="DJ314" s="60"/>
      <c r="DK314" s="16"/>
      <c r="DL314" s="16"/>
      <c r="DM314" s="16"/>
      <c r="DN314" s="16"/>
      <c r="DO314" s="16"/>
      <c r="DP314" s="17"/>
      <c r="DT314" s="24"/>
      <c r="DU314" s="60"/>
      <c r="DV314" s="16"/>
      <c r="DW314" s="16"/>
      <c r="DX314" s="16"/>
      <c r="DY314" s="16"/>
      <c r="DZ314" s="16"/>
      <c r="EA314" s="17"/>
      <c r="EE314" s="24"/>
      <c r="EF314" s="60"/>
      <c r="EG314" s="16"/>
      <c r="EH314" s="16"/>
      <c r="EI314" s="16"/>
      <c r="EJ314" s="16"/>
      <c r="EK314" s="16"/>
      <c r="EL314" s="17"/>
      <c r="EP314" s="24"/>
      <c r="EQ314" s="60"/>
      <c r="ER314" s="16"/>
      <c r="ES314" s="16"/>
      <c r="ET314" s="16"/>
      <c r="EU314" s="16"/>
      <c r="EV314" s="16"/>
      <c r="EW314" s="17"/>
      <c r="FA314" s="24"/>
      <c r="FB314" s="60"/>
      <c r="FC314" s="16"/>
      <c r="FD314" s="16"/>
      <c r="FE314" s="16"/>
      <c r="FF314" s="16"/>
      <c r="FG314" s="16"/>
      <c r="FH314" s="17"/>
      <c r="FL314" s="24"/>
      <c r="FM314" s="60"/>
      <c r="FN314" s="16"/>
      <c r="FO314" s="16"/>
      <c r="FP314" s="16"/>
      <c r="FQ314" s="16"/>
      <c r="FR314" s="16"/>
      <c r="FS314" s="17"/>
      <c r="FW314" s="24"/>
      <c r="FX314" s="60"/>
      <c r="FY314" s="16"/>
      <c r="FZ314" s="16"/>
      <c r="GA314" s="16"/>
      <c r="GB314" s="16"/>
      <c r="GC314" s="16"/>
      <c r="GD314" s="17"/>
      <c r="GH314" s="24"/>
      <c r="GI314" s="60"/>
      <c r="GJ314" s="16"/>
      <c r="GK314" s="16"/>
      <c r="GL314" s="16"/>
      <c r="GM314" s="16"/>
      <c r="GN314" s="16"/>
      <c r="GO314" s="17"/>
      <c r="GS314" s="24"/>
      <c r="GT314" s="60"/>
      <c r="GU314" s="16"/>
      <c r="GV314" s="16"/>
      <c r="GW314" s="16"/>
      <c r="GX314" s="16"/>
      <c r="GY314" s="16"/>
      <c r="GZ314" s="17"/>
      <c r="HD314" s="24"/>
      <c r="HE314" s="60"/>
      <c r="HF314" s="16"/>
      <c r="HG314" s="16"/>
      <c r="HH314" s="16"/>
      <c r="HI314" s="16"/>
      <c r="HJ314" s="16"/>
      <c r="HK314" s="17"/>
      <c r="HO314" s="24"/>
      <c r="HP314" s="60"/>
      <c r="HQ314" s="16"/>
      <c r="HR314" s="16"/>
      <c r="HS314" s="16"/>
      <c r="HT314" s="16"/>
      <c r="HU314" s="16"/>
      <c r="HV314" s="17"/>
      <c r="HZ314" s="24"/>
      <c r="IA314" s="60"/>
      <c r="IB314" s="16"/>
      <c r="IC314" s="16"/>
      <c r="ID314" s="16"/>
      <c r="IE314" s="16"/>
      <c r="IF314" s="16"/>
      <c r="IG314" s="17"/>
      <c r="IK314" s="24"/>
      <c r="IL314" s="60"/>
      <c r="IM314" s="16"/>
      <c r="IN314" s="16"/>
      <c r="IO314" s="16"/>
      <c r="IP314" s="16"/>
      <c r="IQ314" s="16"/>
      <c r="IR314" s="17"/>
      <c r="IV314" s="24"/>
      <c r="IW314" s="60"/>
      <c r="IX314" s="16"/>
      <c r="IY314" s="16"/>
      <c r="IZ314" s="16"/>
      <c r="JA314" s="16"/>
      <c r="JB314" s="16"/>
      <c r="JC314" s="17"/>
      <c r="JG314" s="24"/>
      <c r="JH314" s="60"/>
      <c r="JI314" s="16"/>
      <c r="JJ314" s="16"/>
      <c r="JK314" s="16"/>
      <c r="JL314" s="16"/>
      <c r="JM314" s="16"/>
      <c r="JN314" s="17"/>
      <c r="JR314" s="24"/>
      <c r="JS314" s="60"/>
      <c r="JT314" s="16"/>
      <c r="JU314" s="16"/>
      <c r="JV314" s="16"/>
      <c r="JW314" s="16"/>
      <c r="JX314" s="16"/>
      <c r="JY314" s="17"/>
      <c r="KC314" s="24"/>
      <c r="KD314" s="60"/>
      <c r="KE314" s="16"/>
      <c r="KF314" s="16"/>
      <c r="KG314" s="16"/>
      <c r="KH314" s="16"/>
      <c r="KI314" s="16"/>
      <c r="KJ314" s="17"/>
      <c r="KN314" s="24"/>
      <c r="KO314" s="60"/>
      <c r="KP314" s="16"/>
      <c r="KQ314" s="16"/>
      <c r="KR314" s="16"/>
      <c r="KS314" s="16"/>
      <c r="KT314" s="16"/>
      <c r="KU314" s="17"/>
      <c r="KY314" s="24"/>
      <c r="KZ314" s="60"/>
      <c r="LA314" s="16"/>
      <c r="LB314" s="16"/>
      <c r="LC314" s="16"/>
      <c r="LD314" s="16"/>
      <c r="LE314" s="16"/>
      <c r="LF314" s="17"/>
      <c r="LJ314" s="24"/>
      <c r="LK314" s="60"/>
      <c r="LL314" s="16"/>
      <c r="LM314" s="16"/>
      <c r="LN314" s="16"/>
      <c r="LO314" s="16"/>
      <c r="LP314" s="16"/>
      <c r="LQ314" s="17"/>
    </row>
    <row r="315">
      <c r="C315" s="31"/>
      <c r="D315" s="61"/>
      <c r="E315" s="16"/>
      <c r="F315" s="16"/>
      <c r="G315" s="21"/>
      <c r="H315" s="16"/>
      <c r="I315" s="16"/>
      <c r="J315" s="17"/>
      <c r="N315" s="17"/>
      <c r="O315" s="61"/>
      <c r="P315" s="16"/>
      <c r="Q315" s="16"/>
      <c r="R315" s="16"/>
      <c r="S315" s="16"/>
      <c r="T315" s="16"/>
      <c r="U315" s="17"/>
      <c r="Y315" s="24"/>
      <c r="Z315" s="61"/>
      <c r="AA315" s="16"/>
      <c r="AB315" s="16"/>
      <c r="AC315" s="16"/>
      <c r="AD315" s="16"/>
      <c r="AE315" s="16"/>
      <c r="AF315" s="17"/>
      <c r="AJ315" s="24"/>
      <c r="AK315" s="61"/>
      <c r="AL315" s="16"/>
      <c r="AM315" s="16"/>
      <c r="AN315" s="16"/>
      <c r="AO315" s="16"/>
      <c r="AP315" s="16"/>
      <c r="AQ315" s="17"/>
      <c r="AU315" s="24"/>
      <c r="AV315" s="61"/>
      <c r="AW315" s="16"/>
      <c r="AX315" s="16"/>
      <c r="AY315" s="16"/>
      <c r="AZ315" s="16"/>
      <c r="BA315" s="16"/>
      <c r="BB315" s="17"/>
      <c r="BF315" s="24"/>
      <c r="BG315" s="61"/>
      <c r="BH315" s="16"/>
      <c r="BI315" s="16"/>
      <c r="BJ315" s="16"/>
      <c r="BK315" s="16"/>
      <c r="BL315" s="16"/>
      <c r="BM315" s="17"/>
      <c r="BQ315" s="24"/>
      <c r="BR315" s="61"/>
      <c r="BS315" s="16"/>
      <c r="BT315" s="16"/>
      <c r="BU315" s="16"/>
      <c r="BV315" s="16"/>
      <c r="BW315" s="16"/>
      <c r="BX315" s="17"/>
      <c r="CB315" s="24"/>
      <c r="CC315" s="61"/>
      <c r="CD315" s="16"/>
      <c r="CE315" s="16"/>
      <c r="CF315" s="16"/>
      <c r="CG315" s="16"/>
      <c r="CH315" s="16"/>
      <c r="CI315" s="17"/>
      <c r="CM315" s="24"/>
      <c r="CN315" s="61"/>
      <c r="CO315" s="16"/>
      <c r="CP315" s="16"/>
      <c r="CQ315" s="16"/>
      <c r="CR315" s="16"/>
      <c r="CS315" s="16"/>
      <c r="CT315" s="17"/>
      <c r="CX315" s="24"/>
      <c r="CY315" s="60"/>
      <c r="CZ315" s="16"/>
      <c r="DA315" s="16"/>
      <c r="DB315" s="16"/>
      <c r="DC315" s="16"/>
      <c r="DD315" s="16"/>
      <c r="DE315" s="17"/>
      <c r="DI315" s="24"/>
      <c r="DJ315" s="60"/>
      <c r="DK315" s="16"/>
      <c r="DL315" s="16"/>
      <c r="DM315" s="16"/>
      <c r="DN315" s="16"/>
      <c r="DO315" s="16"/>
      <c r="DP315" s="17"/>
      <c r="DT315" s="24"/>
      <c r="DU315" s="60"/>
      <c r="DV315" s="16"/>
      <c r="DW315" s="16"/>
      <c r="DX315" s="16"/>
      <c r="DY315" s="16"/>
      <c r="DZ315" s="16"/>
      <c r="EA315" s="17"/>
      <c r="EE315" s="24"/>
      <c r="EF315" s="60"/>
      <c r="EG315" s="16"/>
      <c r="EH315" s="16"/>
      <c r="EI315" s="16"/>
      <c r="EJ315" s="16"/>
      <c r="EK315" s="16"/>
      <c r="EL315" s="17"/>
      <c r="EP315" s="24"/>
      <c r="EQ315" s="60"/>
      <c r="ER315" s="16"/>
      <c r="ES315" s="16"/>
      <c r="ET315" s="16"/>
      <c r="EU315" s="16"/>
      <c r="EV315" s="16"/>
      <c r="EW315" s="17"/>
      <c r="FA315" s="24"/>
      <c r="FB315" s="60"/>
      <c r="FC315" s="16"/>
      <c r="FD315" s="16"/>
      <c r="FE315" s="16"/>
      <c r="FF315" s="16"/>
      <c r="FG315" s="16"/>
      <c r="FH315" s="17"/>
      <c r="FL315" s="24"/>
      <c r="FM315" s="60"/>
      <c r="FN315" s="16"/>
      <c r="FO315" s="16"/>
      <c r="FP315" s="16"/>
      <c r="FQ315" s="16"/>
      <c r="FR315" s="16"/>
      <c r="FS315" s="17"/>
      <c r="FW315" s="24"/>
      <c r="FX315" s="60"/>
      <c r="FY315" s="16"/>
      <c r="FZ315" s="16"/>
      <c r="GA315" s="16"/>
      <c r="GB315" s="16"/>
      <c r="GC315" s="16"/>
      <c r="GD315" s="17"/>
      <c r="GH315" s="24"/>
      <c r="GI315" s="60"/>
      <c r="GJ315" s="16"/>
      <c r="GK315" s="16"/>
      <c r="GL315" s="16"/>
      <c r="GM315" s="16"/>
      <c r="GN315" s="16"/>
      <c r="GO315" s="17"/>
      <c r="GS315" s="24"/>
      <c r="GT315" s="60"/>
      <c r="GU315" s="16"/>
      <c r="GV315" s="16"/>
      <c r="GW315" s="16"/>
      <c r="GX315" s="16"/>
      <c r="GY315" s="16"/>
      <c r="GZ315" s="17"/>
      <c r="HD315" s="24"/>
      <c r="HE315" s="60"/>
      <c r="HF315" s="16"/>
      <c r="HG315" s="16"/>
      <c r="HH315" s="16"/>
      <c r="HI315" s="16"/>
      <c r="HJ315" s="16"/>
      <c r="HK315" s="17"/>
      <c r="HO315" s="24"/>
      <c r="HP315" s="60"/>
      <c r="HQ315" s="16"/>
      <c r="HR315" s="16"/>
      <c r="HS315" s="16"/>
      <c r="HT315" s="16"/>
      <c r="HU315" s="16"/>
      <c r="HV315" s="17"/>
      <c r="HZ315" s="24"/>
      <c r="IA315" s="60"/>
      <c r="IB315" s="16"/>
      <c r="IC315" s="16"/>
      <c r="ID315" s="16"/>
      <c r="IE315" s="16"/>
      <c r="IF315" s="16"/>
      <c r="IG315" s="17"/>
      <c r="IK315" s="24"/>
      <c r="IL315" s="60"/>
      <c r="IM315" s="16"/>
      <c r="IN315" s="16"/>
      <c r="IO315" s="16"/>
      <c r="IP315" s="16"/>
      <c r="IQ315" s="16"/>
      <c r="IR315" s="17"/>
      <c r="IV315" s="24"/>
      <c r="IW315" s="60"/>
      <c r="IX315" s="16"/>
      <c r="IY315" s="16"/>
      <c r="IZ315" s="16"/>
      <c r="JA315" s="16"/>
      <c r="JB315" s="16"/>
      <c r="JC315" s="17"/>
      <c r="JG315" s="24"/>
      <c r="JH315" s="60"/>
      <c r="JI315" s="16"/>
      <c r="JJ315" s="16"/>
      <c r="JK315" s="16"/>
      <c r="JL315" s="16"/>
      <c r="JM315" s="16"/>
      <c r="JN315" s="17"/>
      <c r="JR315" s="24"/>
      <c r="JS315" s="60"/>
      <c r="JT315" s="16"/>
      <c r="JU315" s="16"/>
      <c r="JV315" s="16"/>
      <c r="JW315" s="16"/>
      <c r="JX315" s="16"/>
      <c r="JY315" s="17"/>
      <c r="KC315" s="24"/>
      <c r="KD315" s="60"/>
      <c r="KE315" s="16"/>
      <c r="KF315" s="16"/>
      <c r="KG315" s="16"/>
      <c r="KH315" s="16"/>
      <c r="KI315" s="16"/>
      <c r="KJ315" s="17"/>
      <c r="KN315" s="24"/>
      <c r="KO315" s="60"/>
      <c r="KP315" s="16"/>
      <c r="KQ315" s="16"/>
      <c r="KR315" s="16"/>
      <c r="KS315" s="16"/>
      <c r="KT315" s="16"/>
      <c r="KU315" s="17"/>
      <c r="KY315" s="24"/>
      <c r="KZ315" s="60"/>
      <c r="LA315" s="16"/>
      <c r="LB315" s="16"/>
      <c r="LC315" s="16"/>
      <c r="LD315" s="16"/>
      <c r="LE315" s="16"/>
      <c r="LF315" s="17"/>
      <c r="LJ315" s="24"/>
      <c r="LK315" s="60"/>
      <c r="LL315" s="16"/>
      <c r="LM315" s="16"/>
      <c r="LN315" s="16"/>
      <c r="LO315" s="16"/>
      <c r="LP315" s="16"/>
      <c r="LQ315" s="17"/>
    </row>
    <row r="316">
      <c r="C316" s="31"/>
      <c r="D316" s="61"/>
      <c r="E316" s="16"/>
      <c r="F316" s="16"/>
      <c r="G316" s="21"/>
      <c r="H316" s="16"/>
      <c r="I316" s="16"/>
      <c r="J316" s="17"/>
      <c r="N316" s="17"/>
      <c r="O316" s="61"/>
      <c r="P316" s="16"/>
      <c r="Q316" s="16"/>
      <c r="R316" s="16"/>
      <c r="S316" s="16"/>
      <c r="T316" s="16"/>
      <c r="U316" s="17"/>
      <c r="Y316" s="24"/>
      <c r="Z316" s="61"/>
      <c r="AA316" s="16"/>
      <c r="AB316" s="16"/>
      <c r="AC316" s="16"/>
      <c r="AD316" s="16"/>
      <c r="AE316" s="16"/>
      <c r="AF316" s="17"/>
      <c r="AJ316" s="24"/>
      <c r="AK316" s="61"/>
      <c r="AL316" s="16"/>
      <c r="AM316" s="16"/>
      <c r="AN316" s="16"/>
      <c r="AO316" s="16"/>
      <c r="AP316" s="16"/>
      <c r="AQ316" s="17"/>
      <c r="AU316" s="24"/>
      <c r="AV316" s="61"/>
      <c r="AW316" s="16"/>
      <c r="AX316" s="16"/>
      <c r="AY316" s="16"/>
      <c r="AZ316" s="16"/>
      <c r="BA316" s="16"/>
      <c r="BB316" s="17"/>
      <c r="BF316" s="24"/>
      <c r="BG316" s="61"/>
      <c r="BH316" s="16"/>
      <c r="BI316" s="16"/>
      <c r="BJ316" s="16"/>
      <c r="BK316" s="16"/>
      <c r="BL316" s="16"/>
      <c r="BM316" s="17"/>
      <c r="BQ316" s="24"/>
      <c r="BR316" s="61"/>
      <c r="BS316" s="16"/>
      <c r="BT316" s="16"/>
      <c r="BU316" s="16"/>
      <c r="BV316" s="16"/>
      <c r="BW316" s="16"/>
      <c r="BX316" s="17"/>
      <c r="CB316" s="24"/>
      <c r="CC316" s="61"/>
      <c r="CD316" s="16"/>
      <c r="CE316" s="16"/>
      <c r="CF316" s="16"/>
      <c r="CG316" s="16"/>
      <c r="CH316" s="16"/>
      <c r="CI316" s="17"/>
      <c r="CM316" s="24"/>
      <c r="CN316" s="61"/>
      <c r="CO316" s="16"/>
      <c r="CP316" s="16"/>
      <c r="CQ316" s="16"/>
      <c r="CR316" s="16"/>
      <c r="CS316" s="16"/>
      <c r="CT316" s="17"/>
      <c r="CX316" s="24"/>
      <c r="CY316" s="60"/>
      <c r="CZ316" s="16"/>
      <c r="DA316" s="16"/>
      <c r="DB316" s="16"/>
      <c r="DC316" s="16"/>
      <c r="DD316" s="16"/>
      <c r="DE316" s="17"/>
      <c r="DI316" s="24"/>
      <c r="DJ316" s="60"/>
      <c r="DK316" s="16"/>
      <c r="DL316" s="16"/>
      <c r="DM316" s="16"/>
      <c r="DN316" s="16"/>
      <c r="DO316" s="16"/>
      <c r="DP316" s="17"/>
      <c r="DT316" s="24"/>
      <c r="DU316" s="60"/>
      <c r="DV316" s="16"/>
      <c r="DW316" s="16"/>
      <c r="DX316" s="16"/>
      <c r="DY316" s="16"/>
      <c r="DZ316" s="16"/>
      <c r="EA316" s="17"/>
      <c r="EE316" s="24"/>
      <c r="EF316" s="60"/>
      <c r="EG316" s="16"/>
      <c r="EH316" s="16"/>
      <c r="EI316" s="16"/>
      <c r="EJ316" s="16"/>
      <c r="EK316" s="16"/>
      <c r="EL316" s="17"/>
      <c r="EP316" s="24"/>
      <c r="EQ316" s="60"/>
      <c r="ER316" s="16"/>
      <c r="ES316" s="16"/>
      <c r="ET316" s="16"/>
      <c r="EU316" s="16"/>
      <c r="EV316" s="16"/>
      <c r="EW316" s="17"/>
      <c r="FA316" s="24"/>
      <c r="FB316" s="60"/>
      <c r="FC316" s="16"/>
      <c r="FD316" s="16"/>
      <c r="FE316" s="16"/>
      <c r="FF316" s="16"/>
      <c r="FG316" s="16"/>
      <c r="FH316" s="17"/>
      <c r="FL316" s="24"/>
      <c r="FM316" s="60"/>
      <c r="FN316" s="16"/>
      <c r="FO316" s="16"/>
      <c r="FP316" s="16"/>
      <c r="FQ316" s="16"/>
      <c r="FR316" s="16"/>
      <c r="FS316" s="17"/>
      <c r="FW316" s="24"/>
      <c r="FX316" s="60"/>
      <c r="FY316" s="16"/>
      <c r="FZ316" s="16"/>
      <c r="GA316" s="16"/>
      <c r="GB316" s="16"/>
      <c r="GC316" s="16"/>
      <c r="GD316" s="17"/>
      <c r="GH316" s="24"/>
      <c r="GI316" s="60"/>
      <c r="GJ316" s="16"/>
      <c r="GK316" s="16"/>
      <c r="GL316" s="16"/>
      <c r="GM316" s="16"/>
      <c r="GN316" s="16"/>
      <c r="GO316" s="17"/>
      <c r="GS316" s="24"/>
      <c r="GT316" s="60"/>
      <c r="GU316" s="16"/>
      <c r="GV316" s="16"/>
      <c r="GW316" s="16"/>
      <c r="GX316" s="16"/>
      <c r="GY316" s="16"/>
      <c r="GZ316" s="17"/>
      <c r="HD316" s="24"/>
      <c r="HE316" s="60"/>
      <c r="HF316" s="16"/>
      <c r="HG316" s="16"/>
      <c r="HH316" s="16"/>
      <c r="HI316" s="16"/>
      <c r="HJ316" s="16"/>
      <c r="HK316" s="17"/>
      <c r="HO316" s="24"/>
      <c r="HP316" s="60"/>
      <c r="HQ316" s="16"/>
      <c r="HR316" s="16"/>
      <c r="HS316" s="16"/>
      <c r="HT316" s="16"/>
      <c r="HU316" s="16"/>
      <c r="HV316" s="17"/>
      <c r="HZ316" s="24"/>
      <c r="IA316" s="60"/>
      <c r="IB316" s="16"/>
      <c r="IC316" s="16"/>
      <c r="ID316" s="16"/>
      <c r="IE316" s="16"/>
      <c r="IF316" s="16"/>
      <c r="IG316" s="17"/>
      <c r="IK316" s="24"/>
      <c r="IL316" s="60"/>
      <c r="IM316" s="16"/>
      <c r="IN316" s="16"/>
      <c r="IO316" s="16"/>
      <c r="IP316" s="16"/>
      <c r="IQ316" s="16"/>
      <c r="IR316" s="17"/>
      <c r="IV316" s="24"/>
      <c r="IW316" s="60"/>
      <c r="IX316" s="16"/>
      <c r="IY316" s="16"/>
      <c r="IZ316" s="16"/>
      <c r="JA316" s="16"/>
      <c r="JB316" s="16"/>
      <c r="JC316" s="17"/>
      <c r="JG316" s="24"/>
      <c r="JH316" s="60"/>
      <c r="JI316" s="16"/>
      <c r="JJ316" s="16"/>
      <c r="JK316" s="16"/>
      <c r="JL316" s="16"/>
      <c r="JM316" s="16"/>
      <c r="JN316" s="17"/>
      <c r="JR316" s="24"/>
      <c r="JS316" s="60"/>
      <c r="JT316" s="16"/>
      <c r="JU316" s="16"/>
      <c r="JV316" s="16"/>
      <c r="JW316" s="16"/>
      <c r="JX316" s="16"/>
      <c r="JY316" s="17"/>
      <c r="KC316" s="24"/>
      <c r="KD316" s="60"/>
      <c r="KE316" s="16"/>
      <c r="KF316" s="16"/>
      <c r="KG316" s="16"/>
      <c r="KH316" s="16"/>
      <c r="KI316" s="16"/>
      <c r="KJ316" s="17"/>
      <c r="KN316" s="24"/>
      <c r="KO316" s="60"/>
      <c r="KP316" s="16"/>
      <c r="KQ316" s="16"/>
      <c r="KR316" s="16"/>
      <c r="KS316" s="16"/>
      <c r="KT316" s="16"/>
      <c r="KU316" s="17"/>
      <c r="KY316" s="24"/>
      <c r="KZ316" s="60"/>
      <c r="LA316" s="16"/>
      <c r="LB316" s="16"/>
      <c r="LC316" s="16"/>
      <c r="LD316" s="16"/>
      <c r="LE316" s="16"/>
      <c r="LF316" s="17"/>
      <c r="LJ316" s="24"/>
      <c r="LK316" s="60"/>
      <c r="LL316" s="16"/>
      <c r="LM316" s="16"/>
      <c r="LN316" s="16"/>
      <c r="LO316" s="16"/>
      <c r="LP316" s="16"/>
      <c r="LQ316" s="17"/>
    </row>
    <row r="317">
      <c r="C317" s="31"/>
      <c r="D317" s="61"/>
      <c r="E317" s="16"/>
      <c r="F317" s="16"/>
      <c r="G317" s="21"/>
      <c r="H317" s="16"/>
      <c r="I317" s="16"/>
      <c r="J317" s="17"/>
      <c r="N317" s="17"/>
      <c r="O317" s="61"/>
      <c r="P317" s="16"/>
      <c r="Q317" s="16"/>
      <c r="R317" s="16"/>
      <c r="S317" s="16"/>
      <c r="T317" s="16"/>
      <c r="U317" s="17"/>
      <c r="Y317" s="24"/>
      <c r="Z317" s="61"/>
      <c r="AA317" s="16"/>
      <c r="AB317" s="16"/>
      <c r="AC317" s="16"/>
      <c r="AD317" s="16"/>
      <c r="AE317" s="16"/>
      <c r="AF317" s="17"/>
      <c r="AJ317" s="24"/>
      <c r="AK317" s="61"/>
      <c r="AL317" s="16"/>
      <c r="AM317" s="16"/>
      <c r="AN317" s="16"/>
      <c r="AO317" s="16"/>
      <c r="AP317" s="16"/>
      <c r="AQ317" s="17"/>
      <c r="AU317" s="24"/>
      <c r="AV317" s="61"/>
      <c r="AW317" s="16"/>
      <c r="AX317" s="16"/>
      <c r="AY317" s="16"/>
      <c r="AZ317" s="16"/>
      <c r="BA317" s="16"/>
      <c r="BB317" s="17"/>
      <c r="BF317" s="24"/>
      <c r="BG317" s="61"/>
      <c r="BH317" s="16"/>
      <c r="BI317" s="16"/>
      <c r="BJ317" s="16"/>
      <c r="BK317" s="16"/>
      <c r="BL317" s="16"/>
      <c r="BM317" s="17"/>
      <c r="BQ317" s="24"/>
      <c r="BR317" s="61"/>
      <c r="BS317" s="16"/>
      <c r="BT317" s="16"/>
      <c r="BU317" s="16"/>
      <c r="BV317" s="16"/>
      <c r="BW317" s="16"/>
      <c r="BX317" s="17"/>
      <c r="CB317" s="24"/>
      <c r="CC317" s="61"/>
      <c r="CD317" s="16"/>
      <c r="CE317" s="16"/>
      <c r="CF317" s="16"/>
      <c r="CG317" s="16"/>
      <c r="CH317" s="16"/>
      <c r="CI317" s="17"/>
      <c r="CM317" s="24"/>
      <c r="CN317" s="61"/>
      <c r="CO317" s="16"/>
      <c r="CP317" s="16"/>
      <c r="CQ317" s="16"/>
      <c r="CR317" s="16"/>
      <c r="CS317" s="16"/>
      <c r="CT317" s="17"/>
      <c r="CX317" s="24"/>
      <c r="CY317" s="60"/>
      <c r="CZ317" s="16"/>
      <c r="DA317" s="16"/>
      <c r="DB317" s="16"/>
      <c r="DC317" s="16"/>
      <c r="DD317" s="16"/>
      <c r="DE317" s="17"/>
      <c r="DI317" s="24"/>
      <c r="DJ317" s="60"/>
      <c r="DK317" s="16"/>
      <c r="DL317" s="16"/>
      <c r="DM317" s="16"/>
      <c r="DN317" s="16"/>
      <c r="DO317" s="16"/>
      <c r="DP317" s="17"/>
      <c r="DT317" s="24"/>
      <c r="DU317" s="60"/>
      <c r="DV317" s="16"/>
      <c r="DW317" s="16"/>
      <c r="DX317" s="16"/>
      <c r="DY317" s="16"/>
      <c r="DZ317" s="16"/>
      <c r="EA317" s="17"/>
      <c r="EE317" s="24"/>
      <c r="EF317" s="60"/>
      <c r="EG317" s="16"/>
      <c r="EH317" s="16"/>
      <c r="EI317" s="16"/>
      <c r="EJ317" s="16"/>
      <c r="EK317" s="16"/>
      <c r="EL317" s="17"/>
      <c r="EP317" s="24"/>
      <c r="EQ317" s="60"/>
      <c r="ER317" s="16"/>
      <c r="ES317" s="16"/>
      <c r="ET317" s="16"/>
      <c r="EU317" s="16"/>
      <c r="EV317" s="16"/>
      <c r="EW317" s="17"/>
      <c r="FA317" s="24"/>
      <c r="FB317" s="60"/>
      <c r="FC317" s="16"/>
      <c r="FD317" s="16"/>
      <c r="FE317" s="16"/>
      <c r="FF317" s="16"/>
      <c r="FG317" s="16"/>
      <c r="FH317" s="17"/>
      <c r="FL317" s="24"/>
      <c r="FM317" s="60"/>
      <c r="FN317" s="16"/>
      <c r="FO317" s="16"/>
      <c r="FP317" s="16"/>
      <c r="FQ317" s="16"/>
      <c r="FR317" s="16"/>
      <c r="FS317" s="17"/>
      <c r="FW317" s="24"/>
      <c r="FX317" s="60"/>
      <c r="FY317" s="16"/>
      <c r="FZ317" s="16"/>
      <c r="GA317" s="16"/>
      <c r="GB317" s="16"/>
      <c r="GC317" s="16"/>
      <c r="GD317" s="17"/>
      <c r="GH317" s="24"/>
      <c r="GI317" s="60"/>
      <c r="GJ317" s="16"/>
      <c r="GK317" s="16"/>
      <c r="GL317" s="16"/>
      <c r="GM317" s="16"/>
      <c r="GN317" s="16"/>
      <c r="GO317" s="17"/>
      <c r="GS317" s="24"/>
      <c r="GT317" s="60"/>
      <c r="GU317" s="16"/>
      <c r="GV317" s="16"/>
      <c r="GW317" s="16"/>
      <c r="GX317" s="16"/>
      <c r="GY317" s="16"/>
      <c r="GZ317" s="17"/>
      <c r="HD317" s="24"/>
      <c r="HE317" s="60"/>
      <c r="HF317" s="16"/>
      <c r="HG317" s="16"/>
      <c r="HH317" s="16"/>
      <c r="HI317" s="16"/>
      <c r="HJ317" s="16"/>
      <c r="HK317" s="17"/>
      <c r="HO317" s="24"/>
      <c r="HP317" s="60"/>
      <c r="HQ317" s="16"/>
      <c r="HR317" s="16"/>
      <c r="HS317" s="16"/>
      <c r="HT317" s="16"/>
      <c r="HU317" s="16"/>
      <c r="HV317" s="17"/>
      <c r="HZ317" s="24"/>
      <c r="IA317" s="60"/>
      <c r="IB317" s="16"/>
      <c r="IC317" s="16"/>
      <c r="ID317" s="16"/>
      <c r="IE317" s="16"/>
      <c r="IF317" s="16"/>
      <c r="IG317" s="17"/>
      <c r="IK317" s="24"/>
      <c r="IL317" s="60"/>
      <c r="IM317" s="16"/>
      <c r="IN317" s="16"/>
      <c r="IO317" s="16"/>
      <c r="IP317" s="16"/>
      <c r="IQ317" s="16"/>
      <c r="IR317" s="17"/>
      <c r="IV317" s="24"/>
      <c r="IW317" s="60"/>
      <c r="IX317" s="16"/>
      <c r="IY317" s="16"/>
      <c r="IZ317" s="16"/>
      <c r="JA317" s="16"/>
      <c r="JB317" s="16"/>
      <c r="JC317" s="17"/>
      <c r="JG317" s="24"/>
      <c r="JH317" s="60"/>
      <c r="JI317" s="16"/>
      <c r="JJ317" s="16"/>
      <c r="JK317" s="16"/>
      <c r="JL317" s="16"/>
      <c r="JM317" s="16"/>
      <c r="JN317" s="17"/>
      <c r="JR317" s="24"/>
      <c r="JS317" s="60"/>
      <c r="JT317" s="16"/>
      <c r="JU317" s="16"/>
      <c r="JV317" s="16"/>
      <c r="JW317" s="16"/>
      <c r="JX317" s="16"/>
      <c r="JY317" s="17"/>
      <c r="KC317" s="24"/>
      <c r="KD317" s="60"/>
      <c r="KE317" s="16"/>
      <c r="KF317" s="16"/>
      <c r="KG317" s="16"/>
      <c r="KH317" s="16"/>
      <c r="KI317" s="16"/>
      <c r="KJ317" s="17"/>
      <c r="KN317" s="24"/>
      <c r="KO317" s="60"/>
      <c r="KP317" s="16"/>
      <c r="KQ317" s="16"/>
      <c r="KR317" s="16"/>
      <c r="KS317" s="16"/>
      <c r="KT317" s="16"/>
      <c r="KU317" s="17"/>
      <c r="KY317" s="24"/>
      <c r="KZ317" s="60"/>
      <c r="LA317" s="16"/>
      <c r="LB317" s="16"/>
      <c r="LC317" s="16"/>
      <c r="LD317" s="16"/>
      <c r="LE317" s="16"/>
      <c r="LF317" s="17"/>
      <c r="LJ317" s="24"/>
      <c r="LK317" s="60"/>
      <c r="LL317" s="16"/>
      <c r="LM317" s="16"/>
      <c r="LN317" s="16"/>
      <c r="LO317" s="16"/>
      <c r="LP317" s="16"/>
      <c r="LQ317" s="17"/>
    </row>
    <row r="318">
      <c r="C318" s="31"/>
      <c r="D318" s="61"/>
      <c r="E318" s="16"/>
      <c r="F318" s="16"/>
      <c r="G318" s="21"/>
      <c r="H318" s="16"/>
      <c r="I318" s="16"/>
      <c r="J318" s="17"/>
      <c r="N318" s="17"/>
      <c r="O318" s="61"/>
      <c r="P318" s="16"/>
      <c r="Q318" s="16"/>
      <c r="R318" s="16"/>
      <c r="S318" s="16"/>
      <c r="T318" s="16"/>
      <c r="U318" s="17"/>
      <c r="Y318" s="24"/>
      <c r="Z318" s="61"/>
      <c r="AA318" s="16"/>
      <c r="AB318" s="16"/>
      <c r="AC318" s="16"/>
      <c r="AD318" s="16"/>
      <c r="AE318" s="16"/>
      <c r="AF318" s="17"/>
      <c r="AJ318" s="24"/>
      <c r="AK318" s="61"/>
      <c r="AL318" s="16"/>
      <c r="AM318" s="16"/>
      <c r="AN318" s="16"/>
      <c r="AO318" s="16"/>
      <c r="AP318" s="16"/>
      <c r="AQ318" s="17"/>
      <c r="AU318" s="24"/>
      <c r="AV318" s="61"/>
      <c r="AW318" s="16"/>
      <c r="AX318" s="16"/>
      <c r="AY318" s="16"/>
      <c r="AZ318" s="16"/>
      <c r="BA318" s="16"/>
      <c r="BB318" s="17"/>
      <c r="BF318" s="24"/>
      <c r="BG318" s="61"/>
      <c r="BH318" s="16"/>
      <c r="BI318" s="16"/>
      <c r="BJ318" s="16"/>
      <c r="BK318" s="16"/>
      <c r="BL318" s="16"/>
      <c r="BM318" s="17"/>
      <c r="BQ318" s="24"/>
      <c r="BR318" s="61"/>
      <c r="BS318" s="16"/>
      <c r="BT318" s="16"/>
      <c r="BU318" s="16"/>
      <c r="BV318" s="16"/>
      <c r="BW318" s="16"/>
      <c r="BX318" s="17"/>
      <c r="CB318" s="24"/>
      <c r="CC318" s="61"/>
      <c r="CD318" s="16"/>
      <c r="CE318" s="16"/>
      <c r="CF318" s="16"/>
      <c r="CG318" s="16"/>
      <c r="CH318" s="16"/>
      <c r="CI318" s="17"/>
      <c r="CM318" s="24"/>
      <c r="CN318" s="61"/>
      <c r="CO318" s="16"/>
      <c r="CP318" s="16"/>
      <c r="CQ318" s="16"/>
      <c r="CR318" s="16"/>
      <c r="CS318" s="16"/>
      <c r="CT318" s="17"/>
      <c r="CX318" s="24"/>
      <c r="CY318" s="60"/>
      <c r="CZ318" s="16"/>
      <c r="DA318" s="16"/>
      <c r="DB318" s="16"/>
      <c r="DC318" s="16"/>
      <c r="DD318" s="16"/>
      <c r="DE318" s="17"/>
      <c r="DI318" s="24"/>
      <c r="DJ318" s="60"/>
      <c r="DK318" s="16"/>
      <c r="DL318" s="16"/>
      <c r="DM318" s="16"/>
      <c r="DN318" s="16"/>
      <c r="DO318" s="16"/>
      <c r="DP318" s="17"/>
      <c r="DT318" s="24"/>
      <c r="DU318" s="60"/>
      <c r="DV318" s="16"/>
      <c r="DW318" s="16"/>
      <c r="DX318" s="16"/>
      <c r="DY318" s="16"/>
      <c r="DZ318" s="16"/>
      <c r="EA318" s="17"/>
      <c r="EE318" s="24"/>
      <c r="EF318" s="60"/>
      <c r="EG318" s="16"/>
      <c r="EH318" s="16"/>
      <c r="EI318" s="16"/>
      <c r="EJ318" s="16"/>
      <c r="EK318" s="16"/>
      <c r="EL318" s="17"/>
      <c r="EP318" s="24"/>
      <c r="EQ318" s="60"/>
      <c r="ER318" s="16"/>
      <c r="ES318" s="16"/>
      <c r="ET318" s="16"/>
      <c r="EU318" s="16"/>
      <c r="EV318" s="16"/>
      <c r="EW318" s="17"/>
      <c r="FA318" s="24"/>
      <c r="FB318" s="60"/>
      <c r="FC318" s="16"/>
      <c r="FD318" s="16"/>
      <c r="FE318" s="16"/>
      <c r="FF318" s="16"/>
      <c r="FG318" s="16"/>
      <c r="FH318" s="17"/>
      <c r="FL318" s="24"/>
      <c r="FM318" s="60"/>
      <c r="FN318" s="16"/>
      <c r="FO318" s="16"/>
      <c r="FP318" s="16"/>
      <c r="FQ318" s="16"/>
      <c r="FR318" s="16"/>
      <c r="FS318" s="17"/>
      <c r="FW318" s="24"/>
      <c r="FX318" s="60"/>
      <c r="FY318" s="16"/>
      <c r="FZ318" s="16"/>
      <c r="GA318" s="16"/>
      <c r="GB318" s="16"/>
      <c r="GC318" s="16"/>
      <c r="GD318" s="17"/>
      <c r="GH318" s="24"/>
      <c r="GI318" s="60"/>
      <c r="GJ318" s="16"/>
      <c r="GK318" s="16"/>
      <c r="GL318" s="16"/>
      <c r="GM318" s="16"/>
      <c r="GN318" s="16"/>
      <c r="GO318" s="17"/>
      <c r="GS318" s="24"/>
      <c r="GT318" s="60"/>
      <c r="GU318" s="16"/>
      <c r="GV318" s="16"/>
      <c r="GW318" s="16"/>
      <c r="GX318" s="16"/>
      <c r="GY318" s="16"/>
      <c r="GZ318" s="17"/>
      <c r="HD318" s="24"/>
      <c r="HE318" s="60"/>
      <c r="HF318" s="16"/>
      <c r="HG318" s="16"/>
      <c r="HH318" s="16"/>
      <c r="HI318" s="16"/>
      <c r="HJ318" s="16"/>
      <c r="HK318" s="17"/>
      <c r="HO318" s="24"/>
      <c r="HP318" s="60"/>
      <c r="HQ318" s="16"/>
      <c r="HR318" s="16"/>
      <c r="HS318" s="16"/>
      <c r="HT318" s="16"/>
      <c r="HU318" s="16"/>
      <c r="HV318" s="17"/>
      <c r="HZ318" s="24"/>
      <c r="IA318" s="60"/>
      <c r="IB318" s="16"/>
      <c r="IC318" s="16"/>
      <c r="ID318" s="16"/>
      <c r="IE318" s="16"/>
      <c r="IF318" s="16"/>
      <c r="IG318" s="17"/>
      <c r="IK318" s="24"/>
      <c r="IL318" s="60"/>
      <c r="IM318" s="16"/>
      <c r="IN318" s="16"/>
      <c r="IO318" s="16"/>
      <c r="IP318" s="16"/>
      <c r="IQ318" s="16"/>
      <c r="IR318" s="17"/>
      <c r="IV318" s="24"/>
      <c r="IW318" s="60"/>
      <c r="IX318" s="16"/>
      <c r="IY318" s="16"/>
      <c r="IZ318" s="16"/>
      <c r="JA318" s="16"/>
      <c r="JB318" s="16"/>
      <c r="JC318" s="17"/>
      <c r="JG318" s="24"/>
      <c r="JH318" s="60"/>
      <c r="JI318" s="16"/>
      <c r="JJ318" s="16"/>
      <c r="JK318" s="16"/>
      <c r="JL318" s="16"/>
      <c r="JM318" s="16"/>
      <c r="JN318" s="17"/>
      <c r="JR318" s="24"/>
      <c r="JS318" s="60"/>
      <c r="JT318" s="16"/>
      <c r="JU318" s="16"/>
      <c r="JV318" s="16"/>
      <c r="JW318" s="16"/>
      <c r="JX318" s="16"/>
      <c r="JY318" s="17"/>
      <c r="KC318" s="24"/>
      <c r="KD318" s="60"/>
      <c r="KE318" s="16"/>
      <c r="KF318" s="16"/>
      <c r="KG318" s="16"/>
      <c r="KH318" s="16"/>
      <c r="KI318" s="16"/>
      <c r="KJ318" s="17"/>
      <c r="KN318" s="24"/>
      <c r="KO318" s="60"/>
      <c r="KP318" s="16"/>
      <c r="KQ318" s="16"/>
      <c r="KR318" s="16"/>
      <c r="KS318" s="16"/>
      <c r="KT318" s="16"/>
      <c r="KU318" s="17"/>
      <c r="KY318" s="24"/>
      <c r="KZ318" s="60"/>
      <c r="LA318" s="16"/>
      <c r="LB318" s="16"/>
      <c r="LC318" s="16"/>
      <c r="LD318" s="16"/>
      <c r="LE318" s="16"/>
      <c r="LF318" s="17"/>
      <c r="LJ318" s="24"/>
      <c r="LK318" s="60"/>
      <c r="LL318" s="16"/>
      <c r="LM318" s="16"/>
      <c r="LN318" s="16"/>
      <c r="LO318" s="16"/>
      <c r="LP318" s="16"/>
      <c r="LQ318" s="17"/>
    </row>
    <row r="319">
      <c r="C319" s="31"/>
      <c r="D319" s="61"/>
      <c r="E319" s="16"/>
      <c r="F319" s="16"/>
      <c r="G319" s="21"/>
      <c r="H319" s="16"/>
      <c r="I319" s="16"/>
      <c r="J319" s="17"/>
      <c r="N319" s="17"/>
      <c r="O319" s="61"/>
      <c r="P319" s="16"/>
      <c r="Q319" s="16"/>
      <c r="R319" s="16"/>
      <c r="S319" s="16"/>
      <c r="T319" s="16"/>
      <c r="U319" s="17"/>
      <c r="Y319" s="24"/>
      <c r="Z319" s="61"/>
      <c r="AA319" s="16"/>
      <c r="AB319" s="16"/>
      <c r="AC319" s="16"/>
      <c r="AD319" s="16"/>
      <c r="AE319" s="16"/>
      <c r="AF319" s="17"/>
      <c r="AJ319" s="24"/>
      <c r="AK319" s="61"/>
      <c r="AL319" s="16"/>
      <c r="AM319" s="16"/>
      <c r="AN319" s="16"/>
      <c r="AO319" s="16"/>
      <c r="AP319" s="16"/>
      <c r="AQ319" s="17"/>
      <c r="AU319" s="24"/>
      <c r="AV319" s="61"/>
      <c r="AW319" s="16"/>
      <c r="AX319" s="16"/>
      <c r="AY319" s="16"/>
      <c r="AZ319" s="16"/>
      <c r="BA319" s="16"/>
      <c r="BB319" s="17"/>
      <c r="BF319" s="24"/>
      <c r="BG319" s="61"/>
      <c r="BH319" s="16"/>
      <c r="BI319" s="16"/>
      <c r="BJ319" s="16"/>
      <c r="BK319" s="16"/>
      <c r="BL319" s="16"/>
      <c r="BM319" s="17"/>
      <c r="BQ319" s="24"/>
      <c r="BR319" s="61"/>
      <c r="BS319" s="16"/>
      <c r="BT319" s="16"/>
      <c r="BU319" s="16"/>
      <c r="BV319" s="16"/>
      <c r="BW319" s="16"/>
      <c r="BX319" s="17"/>
      <c r="CB319" s="24"/>
      <c r="CC319" s="61"/>
      <c r="CD319" s="16"/>
      <c r="CE319" s="16"/>
      <c r="CF319" s="16"/>
      <c r="CG319" s="16"/>
      <c r="CH319" s="16"/>
      <c r="CI319" s="17"/>
      <c r="CM319" s="24"/>
      <c r="CN319" s="61"/>
      <c r="CO319" s="16"/>
      <c r="CP319" s="16"/>
      <c r="CQ319" s="16"/>
      <c r="CR319" s="16"/>
      <c r="CS319" s="16"/>
      <c r="CT319" s="17"/>
      <c r="CX319" s="24"/>
      <c r="CY319" s="60"/>
      <c r="CZ319" s="16"/>
      <c r="DA319" s="16"/>
      <c r="DB319" s="16"/>
      <c r="DC319" s="16"/>
      <c r="DD319" s="16"/>
      <c r="DE319" s="17"/>
      <c r="DI319" s="24"/>
      <c r="DJ319" s="60"/>
      <c r="DK319" s="16"/>
      <c r="DL319" s="16"/>
      <c r="DM319" s="16"/>
      <c r="DN319" s="16"/>
      <c r="DO319" s="16"/>
      <c r="DP319" s="17"/>
      <c r="DT319" s="24"/>
      <c r="DU319" s="60"/>
      <c r="DV319" s="16"/>
      <c r="DW319" s="16"/>
      <c r="DX319" s="16"/>
      <c r="DY319" s="16"/>
      <c r="DZ319" s="16"/>
      <c r="EA319" s="17"/>
      <c r="EE319" s="24"/>
      <c r="EF319" s="60"/>
      <c r="EG319" s="16"/>
      <c r="EH319" s="16"/>
      <c r="EI319" s="16"/>
      <c r="EJ319" s="16"/>
      <c r="EK319" s="16"/>
      <c r="EL319" s="17"/>
      <c r="EP319" s="24"/>
      <c r="EQ319" s="60"/>
      <c r="ER319" s="16"/>
      <c r="ES319" s="16"/>
      <c r="ET319" s="16"/>
      <c r="EU319" s="16"/>
      <c r="EV319" s="16"/>
      <c r="EW319" s="17"/>
      <c r="FA319" s="24"/>
      <c r="FB319" s="60"/>
      <c r="FC319" s="16"/>
      <c r="FD319" s="16"/>
      <c r="FE319" s="16"/>
      <c r="FF319" s="16"/>
      <c r="FG319" s="16"/>
      <c r="FH319" s="17"/>
      <c r="FL319" s="24"/>
      <c r="FM319" s="60"/>
      <c r="FN319" s="16"/>
      <c r="FO319" s="16"/>
      <c r="FP319" s="16"/>
      <c r="FQ319" s="16"/>
      <c r="FR319" s="16"/>
      <c r="FS319" s="17"/>
      <c r="FW319" s="24"/>
      <c r="FX319" s="60"/>
      <c r="FY319" s="16"/>
      <c r="FZ319" s="16"/>
      <c r="GA319" s="16"/>
      <c r="GB319" s="16"/>
      <c r="GC319" s="16"/>
      <c r="GD319" s="17"/>
      <c r="GH319" s="24"/>
      <c r="GI319" s="60"/>
      <c r="GJ319" s="16"/>
      <c r="GK319" s="16"/>
      <c r="GL319" s="16"/>
      <c r="GM319" s="16"/>
      <c r="GN319" s="16"/>
      <c r="GO319" s="17"/>
      <c r="GS319" s="24"/>
      <c r="GT319" s="60"/>
      <c r="GU319" s="16"/>
      <c r="GV319" s="16"/>
      <c r="GW319" s="16"/>
      <c r="GX319" s="16"/>
      <c r="GY319" s="16"/>
      <c r="GZ319" s="17"/>
      <c r="HD319" s="24"/>
      <c r="HE319" s="60"/>
      <c r="HF319" s="16"/>
      <c r="HG319" s="16"/>
      <c r="HH319" s="16"/>
      <c r="HI319" s="16"/>
      <c r="HJ319" s="16"/>
      <c r="HK319" s="17"/>
      <c r="HO319" s="24"/>
      <c r="HP319" s="60"/>
      <c r="HQ319" s="16"/>
      <c r="HR319" s="16"/>
      <c r="HS319" s="16"/>
      <c r="HT319" s="16"/>
      <c r="HU319" s="16"/>
      <c r="HV319" s="17"/>
      <c r="HZ319" s="24"/>
      <c r="IA319" s="60"/>
      <c r="IB319" s="16"/>
      <c r="IC319" s="16"/>
      <c r="ID319" s="16"/>
      <c r="IE319" s="16"/>
      <c r="IF319" s="16"/>
      <c r="IG319" s="17"/>
      <c r="IK319" s="24"/>
      <c r="IL319" s="60"/>
      <c r="IM319" s="16"/>
      <c r="IN319" s="16"/>
      <c r="IO319" s="16"/>
      <c r="IP319" s="16"/>
      <c r="IQ319" s="16"/>
      <c r="IR319" s="17"/>
      <c r="IV319" s="24"/>
      <c r="IW319" s="60"/>
      <c r="IX319" s="16"/>
      <c r="IY319" s="16"/>
      <c r="IZ319" s="16"/>
      <c r="JA319" s="16"/>
      <c r="JB319" s="16"/>
      <c r="JC319" s="17"/>
      <c r="JG319" s="24"/>
      <c r="JH319" s="60"/>
      <c r="JI319" s="16"/>
      <c r="JJ319" s="16"/>
      <c r="JK319" s="16"/>
      <c r="JL319" s="16"/>
      <c r="JM319" s="16"/>
      <c r="JN319" s="17"/>
      <c r="JR319" s="24"/>
      <c r="JS319" s="60"/>
      <c r="JT319" s="16"/>
      <c r="JU319" s="16"/>
      <c r="JV319" s="16"/>
      <c r="JW319" s="16"/>
      <c r="JX319" s="16"/>
      <c r="JY319" s="17"/>
      <c r="KC319" s="24"/>
      <c r="KD319" s="60"/>
      <c r="KE319" s="16"/>
      <c r="KF319" s="16"/>
      <c r="KG319" s="16"/>
      <c r="KH319" s="16"/>
      <c r="KI319" s="16"/>
      <c r="KJ319" s="17"/>
      <c r="KN319" s="24"/>
      <c r="KO319" s="60"/>
      <c r="KP319" s="16"/>
      <c r="KQ319" s="16"/>
      <c r="KR319" s="16"/>
      <c r="KS319" s="16"/>
      <c r="KT319" s="16"/>
      <c r="KU319" s="17"/>
      <c r="KY319" s="24"/>
      <c r="KZ319" s="60"/>
      <c r="LA319" s="16"/>
      <c r="LB319" s="16"/>
      <c r="LC319" s="16"/>
      <c r="LD319" s="16"/>
      <c r="LE319" s="16"/>
      <c r="LF319" s="17"/>
      <c r="LJ319" s="24"/>
      <c r="LK319" s="60"/>
      <c r="LL319" s="16"/>
      <c r="LM319" s="16"/>
      <c r="LN319" s="16"/>
      <c r="LO319" s="16"/>
      <c r="LP319" s="16"/>
      <c r="LQ319" s="17"/>
    </row>
    <row r="320">
      <c r="C320" s="31"/>
      <c r="D320" s="61"/>
      <c r="E320" s="16"/>
      <c r="F320" s="16"/>
      <c r="G320" s="21"/>
      <c r="H320" s="16"/>
      <c r="I320" s="16"/>
      <c r="J320" s="17"/>
      <c r="N320" s="17"/>
      <c r="O320" s="61"/>
      <c r="P320" s="16"/>
      <c r="Q320" s="16"/>
      <c r="R320" s="16"/>
      <c r="S320" s="16"/>
      <c r="T320" s="16"/>
      <c r="U320" s="17"/>
      <c r="Y320" s="24"/>
      <c r="Z320" s="61"/>
      <c r="AA320" s="16"/>
      <c r="AB320" s="16"/>
      <c r="AC320" s="16"/>
      <c r="AD320" s="16"/>
      <c r="AE320" s="16"/>
      <c r="AF320" s="17"/>
      <c r="AJ320" s="24"/>
      <c r="AK320" s="61"/>
      <c r="AL320" s="16"/>
      <c r="AM320" s="16"/>
      <c r="AN320" s="16"/>
      <c r="AO320" s="16"/>
      <c r="AP320" s="16"/>
      <c r="AQ320" s="17"/>
      <c r="AU320" s="24"/>
      <c r="AV320" s="61"/>
      <c r="AW320" s="16"/>
      <c r="AX320" s="16"/>
      <c r="AY320" s="16"/>
      <c r="AZ320" s="16"/>
      <c r="BA320" s="16"/>
      <c r="BB320" s="17"/>
      <c r="BF320" s="24"/>
      <c r="BG320" s="61"/>
      <c r="BH320" s="16"/>
      <c r="BI320" s="16"/>
      <c r="BJ320" s="16"/>
      <c r="BK320" s="16"/>
      <c r="BL320" s="16"/>
      <c r="BM320" s="17"/>
      <c r="BQ320" s="24"/>
      <c r="BR320" s="61"/>
      <c r="BS320" s="16"/>
      <c r="BT320" s="16"/>
      <c r="BU320" s="16"/>
      <c r="BV320" s="16"/>
      <c r="BW320" s="16"/>
      <c r="BX320" s="17"/>
      <c r="CB320" s="24"/>
      <c r="CC320" s="61"/>
      <c r="CD320" s="16"/>
      <c r="CE320" s="16"/>
      <c r="CF320" s="16"/>
      <c r="CG320" s="16"/>
      <c r="CH320" s="16"/>
      <c r="CI320" s="17"/>
      <c r="CM320" s="24"/>
      <c r="CN320" s="61"/>
      <c r="CO320" s="16"/>
      <c r="CP320" s="16"/>
      <c r="CQ320" s="16"/>
      <c r="CR320" s="16"/>
      <c r="CS320" s="16"/>
      <c r="CT320" s="17"/>
      <c r="CX320" s="24"/>
      <c r="CY320" s="60"/>
      <c r="CZ320" s="16"/>
      <c r="DA320" s="16"/>
      <c r="DB320" s="16"/>
      <c r="DC320" s="16"/>
      <c r="DD320" s="16"/>
      <c r="DE320" s="17"/>
      <c r="DI320" s="24"/>
      <c r="DJ320" s="60"/>
      <c r="DK320" s="16"/>
      <c r="DL320" s="16"/>
      <c r="DM320" s="16"/>
      <c r="DN320" s="16"/>
      <c r="DO320" s="16"/>
      <c r="DP320" s="17"/>
      <c r="DT320" s="24"/>
      <c r="DU320" s="60"/>
      <c r="DV320" s="16"/>
      <c r="DW320" s="16"/>
      <c r="DX320" s="16"/>
      <c r="DY320" s="16"/>
      <c r="DZ320" s="16"/>
      <c r="EA320" s="17"/>
      <c r="EE320" s="24"/>
      <c r="EF320" s="60"/>
      <c r="EG320" s="16"/>
      <c r="EH320" s="16"/>
      <c r="EI320" s="16"/>
      <c r="EJ320" s="16"/>
      <c r="EK320" s="16"/>
      <c r="EL320" s="17"/>
      <c r="EP320" s="24"/>
      <c r="EQ320" s="60"/>
      <c r="ER320" s="16"/>
      <c r="ES320" s="16"/>
      <c r="ET320" s="16"/>
      <c r="EU320" s="16"/>
      <c r="EV320" s="16"/>
      <c r="EW320" s="17"/>
      <c r="FA320" s="24"/>
      <c r="FB320" s="60"/>
      <c r="FC320" s="16"/>
      <c r="FD320" s="16"/>
      <c r="FE320" s="16"/>
      <c r="FF320" s="16"/>
      <c r="FG320" s="16"/>
      <c r="FH320" s="17"/>
      <c r="FL320" s="24"/>
      <c r="FM320" s="60"/>
      <c r="FN320" s="16"/>
      <c r="FO320" s="16"/>
      <c r="FP320" s="16"/>
      <c r="FQ320" s="16"/>
      <c r="FR320" s="16"/>
      <c r="FS320" s="17"/>
      <c r="FW320" s="24"/>
      <c r="FX320" s="60"/>
      <c r="FY320" s="16"/>
      <c r="FZ320" s="16"/>
      <c r="GA320" s="16"/>
      <c r="GB320" s="16"/>
      <c r="GC320" s="16"/>
      <c r="GD320" s="17"/>
      <c r="GH320" s="24"/>
      <c r="GI320" s="60"/>
      <c r="GJ320" s="16"/>
      <c r="GK320" s="16"/>
      <c r="GL320" s="16"/>
      <c r="GM320" s="16"/>
      <c r="GN320" s="16"/>
      <c r="GO320" s="17"/>
      <c r="GS320" s="24"/>
      <c r="GT320" s="60"/>
      <c r="GU320" s="16"/>
      <c r="GV320" s="16"/>
      <c r="GW320" s="16"/>
      <c r="GX320" s="16"/>
      <c r="GY320" s="16"/>
      <c r="GZ320" s="17"/>
      <c r="HD320" s="24"/>
      <c r="HE320" s="60"/>
      <c r="HF320" s="16"/>
      <c r="HG320" s="16"/>
      <c r="HH320" s="16"/>
      <c r="HI320" s="16"/>
      <c r="HJ320" s="16"/>
      <c r="HK320" s="17"/>
      <c r="HO320" s="24"/>
      <c r="HP320" s="60"/>
      <c r="HQ320" s="16"/>
      <c r="HR320" s="16"/>
      <c r="HS320" s="16"/>
      <c r="HT320" s="16"/>
      <c r="HU320" s="16"/>
      <c r="HV320" s="17"/>
      <c r="HZ320" s="24"/>
      <c r="IA320" s="60"/>
      <c r="IB320" s="16"/>
      <c r="IC320" s="16"/>
      <c r="ID320" s="16"/>
      <c r="IE320" s="16"/>
      <c r="IF320" s="16"/>
      <c r="IG320" s="17"/>
      <c r="IK320" s="24"/>
      <c r="IL320" s="60"/>
      <c r="IM320" s="16"/>
      <c r="IN320" s="16"/>
      <c r="IO320" s="16"/>
      <c r="IP320" s="16"/>
      <c r="IQ320" s="16"/>
      <c r="IR320" s="17"/>
      <c r="IV320" s="24"/>
      <c r="IW320" s="60"/>
      <c r="IX320" s="16"/>
      <c r="IY320" s="16"/>
      <c r="IZ320" s="16"/>
      <c r="JA320" s="16"/>
      <c r="JB320" s="16"/>
      <c r="JC320" s="17"/>
      <c r="JG320" s="24"/>
      <c r="JH320" s="60"/>
      <c r="JI320" s="16"/>
      <c r="JJ320" s="16"/>
      <c r="JK320" s="16"/>
      <c r="JL320" s="16"/>
      <c r="JM320" s="16"/>
      <c r="JN320" s="17"/>
      <c r="JR320" s="24"/>
      <c r="JS320" s="60"/>
      <c r="JT320" s="16"/>
      <c r="JU320" s="16"/>
      <c r="JV320" s="16"/>
      <c r="JW320" s="16"/>
      <c r="JX320" s="16"/>
      <c r="JY320" s="17"/>
      <c r="KC320" s="24"/>
      <c r="KD320" s="60"/>
      <c r="KE320" s="16"/>
      <c r="KF320" s="16"/>
      <c r="KG320" s="16"/>
      <c r="KH320" s="16"/>
      <c r="KI320" s="16"/>
      <c r="KJ320" s="17"/>
      <c r="KN320" s="24"/>
      <c r="KO320" s="60"/>
      <c r="KP320" s="16"/>
      <c r="KQ320" s="16"/>
      <c r="KR320" s="16"/>
      <c r="KS320" s="16"/>
      <c r="KT320" s="16"/>
      <c r="KU320" s="17"/>
      <c r="KY320" s="24"/>
      <c r="KZ320" s="60"/>
      <c r="LA320" s="16"/>
      <c r="LB320" s="16"/>
      <c r="LC320" s="16"/>
      <c r="LD320" s="16"/>
      <c r="LE320" s="16"/>
      <c r="LF320" s="17"/>
      <c r="LJ320" s="24"/>
      <c r="LK320" s="60"/>
      <c r="LL320" s="16"/>
      <c r="LM320" s="16"/>
      <c r="LN320" s="16"/>
      <c r="LO320" s="16"/>
      <c r="LP320" s="16"/>
      <c r="LQ320" s="17"/>
    </row>
    <row r="321">
      <c r="C321" s="31"/>
      <c r="D321" s="61"/>
      <c r="E321" s="16"/>
      <c r="F321" s="16"/>
      <c r="G321" s="21"/>
      <c r="H321" s="16"/>
      <c r="I321" s="16"/>
      <c r="J321" s="17"/>
      <c r="N321" s="17"/>
      <c r="O321" s="61"/>
      <c r="P321" s="16"/>
      <c r="Q321" s="16"/>
      <c r="R321" s="16"/>
      <c r="S321" s="16"/>
      <c r="T321" s="16"/>
      <c r="U321" s="17"/>
      <c r="Y321" s="24"/>
      <c r="Z321" s="61"/>
      <c r="AA321" s="16"/>
      <c r="AB321" s="16"/>
      <c r="AC321" s="16"/>
      <c r="AD321" s="16"/>
      <c r="AE321" s="16"/>
      <c r="AF321" s="17"/>
      <c r="AJ321" s="24"/>
      <c r="AK321" s="61"/>
      <c r="AL321" s="16"/>
      <c r="AM321" s="16"/>
      <c r="AN321" s="16"/>
      <c r="AO321" s="16"/>
      <c r="AP321" s="16"/>
      <c r="AQ321" s="17"/>
      <c r="AU321" s="24"/>
      <c r="AV321" s="61"/>
      <c r="AW321" s="16"/>
      <c r="AX321" s="16"/>
      <c r="AY321" s="16"/>
      <c r="AZ321" s="16"/>
      <c r="BA321" s="16"/>
      <c r="BB321" s="17"/>
      <c r="BF321" s="24"/>
      <c r="BG321" s="61"/>
      <c r="BH321" s="16"/>
      <c r="BI321" s="16"/>
      <c r="BJ321" s="16"/>
      <c r="BK321" s="16"/>
      <c r="BL321" s="16"/>
      <c r="BM321" s="17"/>
      <c r="BQ321" s="24"/>
      <c r="BR321" s="61"/>
      <c r="BS321" s="16"/>
      <c r="BT321" s="16"/>
      <c r="BU321" s="16"/>
      <c r="BV321" s="16"/>
      <c r="BW321" s="16"/>
      <c r="BX321" s="17"/>
      <c r="CB321" s="24"/>
      <c r="CC321" s="61"/>
      <c r="CD321" s="16"/>
      <c r="CE321" s="16"/>
      <c r="CF321" s="16"/>
      <c r="CG321" s="16"/>
      <c r="CH321" s="16"/>
      <c r="CI321" s="17"/>
      <c r="CM321" s="24"/>
      <c r="CN321" s="61"/>
      <c r="CO321" s="16"/>
      <c r="CP321" s="16"/>
      <c r="CQ321" s="16"/>
      <c r="CR321" s="16"/>
      <c r="CS321" s="16"/>
      <c r="CT321" s="17"/>
      <c r="CX321" s="24"/>
      <c r="CY321" s="60"/>
      <c r="CZ321" s="16"/>
      <c r="DA321" s="16"/>
      <c r="DB321" s="16"/>
      <c r="DC321" s="16"/>
      <c r="DD321" s="16"/>
      <c r="DE321" s="17"/>
      <c r="DI321" s="24"/>
      <c r="DJ321" s="60"/>
      <c r="DK321" s="16"/>
      <c r="DL321" s="16"/>
      <c r="DM321" s="16"/>
      <c r="DN321" s="16"/>
      <c r="DO321" s="16"/>
      <c r="DP321" s="17"/>
      <c r="DT321" s="24"/>
      <c r="DU321" s="60"/>
      <c r="DV321" s="16"/>
      <c r="DW321" s="16"/>
      <c r="DX321" s="16"/>
      <c r="DY321" s="16"/>
      <c r="DZ321" s="16"/>
      <c r="EA321" s="17"/>
      <c r="EE321" s="24"/>
      <c r="EF321" s="60"/>
      <c r="EG321" s="16"/>
      <c r="EH321" s="16"/>
      <c r="EI321" s="16"/>
      <c r="EJ321" s="16"/>
      <c r="EK321" s="16"/>
      <c r="EL321" s="17"/>
      <c r="EP321" s="24"/>
      <c r="EQ321" s="60"/>
      <c r="ER321" s="16"/>
      <c r="ES321" s="16"/>
      <c r="ET321" s="16"/>
      <c r="EU321" s="16"/>
      <c r="EV321" s="16"/>
      <c r="EW321" s="17"/>
      <c r="FA321" s="24"/>
      <c r="FB321" s="60"/>
      <c r="FC321" s="16"/>
      <c r="FD321" s="16"/>
      <c r="FE321" s="16"/>
      <c r="FF321" s="16"/>
      <c r="FG321" s="16"/>
      <c r="FH321" s="17"/>
      <c r="FL321" s="24"/>
      <c r="FM321" s="60"/>
      <c r="FN321" s="16"/>
      <c r="FO321" s="16"/>
      <c r="FP321" s="16"/>
      <c r="FQ321" s="16"/>
      <c r="FR321" s="16"/>
      <c r="FS321" s="17"/>
      <c r="FW321" s="24"/>
      <c r="FX321" s="60"/>
      <c r="FY321" s="16"/>
      <c r="FZ321" s="16"/>
      <c r="GA321" s="16"/>
      <c r="GB321" s="16"/>
      <c r="GC321" s="16"/>
      <c r="GD321" s="17"/>
      <c r="GH321" s="24"/>
      <c r="GI321" s="60"/>
      <c r="GJ321" s="16"/>
      <c r="GK321" s="16"/>
      <c r="GL321" s="16"/>
      <c r="GM321" s="16"/>
      <c r="GN321" s="16"/>
      <c r="GO321" s="17"/>
      <c r="GS321" s="24"/>
      <c r="GT321" s="60"/>
      <c r="GU321" s="16"/>
      <c r="GV321" s="16"/>
      <c r="GW321" s="16"/>
      <c r="GX321" s="16"/>
      <c r="GY321" s="16"/>
      <c r="GZ321" s="17"/>
      <c r="HD321" s="24"/>
      <c r="HE321" s="60"/>
      <c r="HF321" s="16"/>
      <c r="HG321" s="16"/>
      <c r="HH321" s="16"/>
      <c r="HI321" s="16"/>
      <c r="HJ321" s="16"/>
      <c r="HK321" s="17"/>
      <c r="HO321" s="24"/>
      <c r="HP321" s="60"/>
      <c r="HQ321" s="16"/>
      <c r="HR321" s="16"/>
      <c r="HS321" s="16"/>
      <c r="HT321" s="16"/>
      <c r="HU321" s="16"/>
      <c r="HV321" s="17"/>
      <c r="HZ321" s="24"/>
      <c r="IA321" s="60"/>
      <c r="IB321" s="16"/>
      <c r="IC321" s="16"/>
      <c r="ID321" s="16"/>
      <c r="IE321" s="16"/>
      <c r="IF321" s="16"/>
      <c r="IG321" s="17"/>
      <c r="IK321" s="24"/>
      <c r="IL321" s="60"/>
      <c r="IM321" s="16"/>
      <c r="IN321" s="16"/>
      <c r="IO321" s="16"/>
      <c r="IP321" s="16"/>
      <c r="IQ321" s="16"/>
      <c r="IR321" s="17"/>
      <c r="IV321" s="24"/>
      <c r="IW321" s="60"/>
      <c r="IX321" s="16"/>
      <c r="IY321" s="16"/>
      <c r="IZ321" s="16"/>
      <c r="JA321" s="16"/>
      <c r="JB321" s="16"/>
      <c r="JC321" s="17"/>
      <c r="JG321" s="24"/>
      <c r="JH321" s="60"/>
      <c r="JI321" s="16"/>
      <c r="JJ321" s="16"/>
      <c r="JK321" s="16"/>
      <c r="JL321" s="16"/>
      <c r="JM321" s="16"/>
      <c r="JN321" s="17"/>
      <c r="JR321" s="24"/>
      <c r="JS321" s="60"/>
      <c r="JT321" s="16"/>
      <c r="JU321" s="16"/>
      <c r="JV321" s="16"/>
      <c r="JW321" s="16"/>
      <c r="JX321" s="16"/>
      <c r="JY321" s="17"/>
      <c r="KC321" s="24"/>
      <c r="KD321" s="60"/>
      <c r="KE321" s="16"/>
      <c r="KF321" s="16"/>
      <c r="KG321" s="16"/>
      <c r="KH321" s="16"/>
      <c r="KI321" s="16"/>
      <c r="KJ321" s="17"/>
      <c r="KN321" s="24"/>
      <c r="KO321" s="60"/>
      <c r="KP321" s="16"/>
      <c r="KQ321" s="16"/>
      <c r="KR321" s="16"/>
      <c r="KS321" s="16"/>
      <c r="KT321" s="16"/>
      <c r="KU321" s="17"/>
      <c r="KY321" s="24"/>
      <c r="KZ321" s="60"/>
      <c r="LA321" s="16"/>
      <c r="LB321" s="16"/>
      <c r="LC321" s="16"/>
      <c r="LD321" s="16"/>
      <c r="LE321" s="16"/>
      <c r="LF321" s="17"/>
      <c r="LJ321" s="24"/>
      <c r="LK321" s="60"/>
      <c r="LL321" s="16"/>
      <c r="LM321" s="16"/>
      <c r="LN321" s="16"/>
      <c r="LO321" s="16"/>
      <c r="LP321" s="16"/>
      <c r="LQ321" s="17"/>
    </row>
    <row r="322">
      <c r="C322" s="31"/>
      <c r="D322" s="61"/>
      <c r="E322" s="16"/>
      <c r="F322" s="16"/>
      <c r="G322" s="21"/>
      <c r="H322" s="16"/>
      <c r="I322" s="16"/>
      <c r="J322" s="17"/>
      <c r="N322" s="17"/>
      <c r="O322" s="61"/>
      <c r="P322" s="16"/>
      <c r="Q322" s="16"/>
      <c r="R322" s="16"/>
      <c r="S322" s="16"/>
      <c r="T322" s="16"/>
      <c r="U322" s="17"/>
      <c r="Y322" s="24"/>
      <c r="Z322" s="61"/>
      <c r="AA322" s="16"/>
      <c r="AB322" s="16"/>
      <c r="AC322" s="16"/>
      <c r="AD322" s="16"/>
      <c r="AE322" s="16"/>
      <c r="AF322" s="17"/>
      <c r="AJ322" s="24"/>
      <c r="AK322" s="61"/>
      <c r="AL322" s="16"/>
      <c r="AM322" s="16"/>
      <c r="AN322" s="16"/>
      <c r="AO322" s="16"/>
      <c r="AP322" s="16"/>
      <c r="AQ322" s="17"/>
      <c r="AU322" s="24"/>
      <c r="AV322" s="61"/>
      <c r="AW322" s="16"/>
      <c r="AX322" s="16"/>
      <c r="AY322" s="16"/>
      <c r="AZ322" s="16"/>
      <c r="BA322" s="16"/>
      <c r="BB322" s="17"/>
      <c r="BF322" s="24"/>
      <c r="BG322" s="61"/>
      <c r="BH322" s="16"/>
      <c r="BI322" s="16"/>
      <c r="BJ322" s="16"/>
      <c r="BK322" s="16"/>
      <c r="BL322" s="16"/>
      <c r="BM322" s="17"/>
      <c r="BQ322" s="24"/>
      <c r="BR322" s="61"/>
      <c r="BS322" s="16"/>
      <c r="BT322" s="16"/>
      <c r="BU322" s="16"/>
      <c r="BV322" s="16"/>
      <c r="BW322" s="16"/>
      <c r="BX322" s="17"/>
      <c r="CB322" s="24"/>
      <c r="CC322" s="61"/>
      <c r="CD322" s="16"/>
      <c r="CE322" s="16"/>
      <c r="CF322" s="16"/>
      <c r="CG322" s="16"/>
      <c r="CH322" s="16"/>
      <c r="CI322" s="17"/>
      <c r="CM322" s="24"/>
      <c r="CN322" s="61"/>
      <c r="CO322" s="16"/>
      <c r="CP322" s="16"/>
      <c r="CQ322" s="16"/>
      <c r="CR322" s="16"/>
      <c r="CS322" s="16"/>
      <c r="CT322" s="17"/>
      <c r="CX322" s="24"/>
      <c r="CY322" s="60"/>
      <c r="CZ322" s="16"/>
      <c r="DA322" s="16"/>
      <c r="DB322" s="16"/>
      <c r="DC322" s="16"/>
      <c r="DD322" s="16"/>
      <c r="DE322" s="17"/>
      <c r="DI322" s="24"/>
      <c r="DJ322" s="60"/>
      <c r="DK322" s="16"/>
      <c r="DL322" s="16"/>
      <c r="DM322" s="16"/>
      <c r="DN322" s="16"/>
      <c r="DO322" s="16"/>
      <c r="DP322" s="17"/>
      <c r="DT322" s="24"/>
      <c r="DU322" s="60"/>
      <c r="DV322" s="16"/>
      <c r="DW322" s="16"/>
      <c r="DX322" s="16"/>
      <c r="DY322" s="16"/>
      <c r="DZ322" s="16"/>
      <c r="EA322" s="17"/>
      <c r="EE322" s="24"/>
      <c r="EF322" s="60"/>
      <c r="EG322" s="16"/>
      <c r="EH322" s="16"/>
      <c r="EI322" s="16"/>
      <c r="EJ322" s="16"/>
      <c r="EK322" s="16"/>
      <c r="EL322" s="17"/>
      <c r="EP322" s="24"/>
      <c r="EQ322" s="60"/>
      <c r="ER322" s="16"/>
      <c r="ES322" s="16"/>
      <c r="ET322" s="16"/>
      <c r="EU322" s="16"/>
      <c r="EV322" s="16"/>
      <c r="EW322" s="17"/>
      <c r="FA322" s="24"/>
      <c r="FB322" s="60"/>
      <c r="FC322" s="16"/>
      <c r="FD322" s="16"/>
      <c r="FE322" s="16"/>
      <c r="FF322" s="16"/>
      <c r="FG322" s="16"/>
      <c r="FH322" s="17"/>
      <c r="FL322" s="24"/>
      <c r="FM322" s="60"/>
      <c r="FN322" s="16"/>
      <c r="FO322" s="16"/>
      <c r="FP322" s="16"/>
      <c r="FQ322" s="16"/>
      <c r="FR322" s="16"/>
      <c r="FS322" s="17"/>
      <c r="FW322" s="24"/>
      <c r="FX322" s="60"/>
      <c r="FY322" s="16"/>
      <c r="FZ322" s="16"/>
      <c r="GA322" s="16"/>
      <c r="GB322" s="16"/>
      <c r="GC322" s="16"/>
      <c r="GD322" s="17"/>
      <c r="GH322" s="24"/>
      <c r="GI322" s="60"/>
      <c r="GJ322" s="16"/>
      <c r="GK322" s="16"/>
      <c r="GL322" s="16"/>
      <c r="GM322" s="16"/>
      <c r="GN322" s="16"/>
      <c r="GO322" s="17"/>
      <c r="GS322" s="24"/>
      <c r="GT322" s="60"/>
      <c r="GU322" s="16"/>
      <c r="GV322" s="16"/>
      <c r="GW322" s="16"/>
      <c r="GX322" s="16"/>
      <c r="GY322" s="16"/>
      <c r="GZ322" s="17"/>
      <c r="HD322" s="24"/>
      <c r="HE322" s="60"/>
      <c r="HF322" s="16"/>
      <c r="HG322" s="16"/>
      <c r="HH322" s="16"/>
      <c r="HI322" s="16"/>
      <c r="HJ322" s="16"/>
      <c r="HK322" s="17"/>
      <c r="HO322" s="24"/>
      <c r="HP322" s="60"/>
      <c r="HQ322" s="16"/>
      <c r="HR322" s="16"/>
      <c r="HS322" s="16"/>
      <c r="HT322" s="16"/>
      <c r="HU322" s="16"/>
      <c r="HV322" s="17"/>
      <c r="HZ322" s="24"/>
      <c r="IA322" s="60"/>
      <c r="IB322" s="16"/>
      <c r="IC322" s="16"/>
      <c r="ID322" s="16"/>
      <c r="IE322" s="16"/>
      <c r="IF322" s="16"/>
      <c r="IG322" s="17"/>
      <c r="IK322" s="24"/>
      <c r="IL322" s="60"/>
      <c r="IM322" s="16"/>
      <c r="IN322" s="16"/>
      <c r="IO322" s="16"/>
      <c r="IP322" s="16"/>
      <c r="IQ322" s="16"/>
      <c r="IR322" s="17"/>
      <c r="IV322" s="24"/>
      <c r="IW322" s="60"/>
      <c r="IX322" s="16"/>
      <c r="IY322" s="16"/>
      <c r="IZ322" s="16"/>
      <c r="JA322" s="16"/>
      <c r="JB322" s="16"/>
      <c r="JC322" s="17"/>
      <c r="JG322" s="24"/>
      <c r="JH322" s="60"/>
      <c r="JI322" s="16"/>
      <c r="JJ322" s="16"/>
      <c r="JK322" s="16"/>
      <c r="JL322" s="16"/>
      <c r="JM322" s="16"/>
      <c r="JN322" s="17"/>
      <c r="JR322" s="24"/>
      <c r="JS322" s="60"/>
      <c r="JT322" s="16"/>
      <c r="JU322" s="16"/>
      <c r="JV322" s="16"/>
      <c r="JW322" s="16"/>
      <c r="JX322" s="16"/>
      <c r="JY322" s="17"/>
      <c r="KC322" s="24"/>
      <c r="KD322" s="60"/>
      <c r="KE322" s="16"/>
      <c r="KF322" s="16"/>
      <c r="KG322" s="16"/>
      <c r="KH322" s="16"/>
      <c r="KI322" s="16"/>
      <c r="KJ322" s="17"/>
      <c r="KN322" s="24"/>
      <c r="KO322" s="60"/>
      <c r="KP322" s="16"/>
      <c r="KQ322" s="16"/>
      <c r="KR322" s="16"/>
      <c r="KS322" s="16"/>
      <c r="KT322" s="16"/>
      <c r="KU322" s="17"/>
      <c r="KY322" s="24"/>
      <c r="KZ322" s="60"/>
      <c r="LA322" s="16"/>
      <c r="LB322" s="16"/>
      <c r="LC322" s="16"/>
      <c r="LD322" s="16"/>
      <c r="LE322" s="16"/>
      <c r="LF322" s="17"/>
      <c r="LJ322" s="24"/>
      <c r="LK322" s="60"/>
      <c r="LL322" s="16"/>
      <c r="LM322" s="16"/>
      <c r="LN322" s="16"/>
      <c r="LO322" s="16"/>
      <c r="LP322" s="16"/>
      <c r="LQ322" s="17"/>
    </row>
    <row r="323">
      <c r="C323" s="31"/>
      <c r="D323" s="61"/>
      <c r="E323" s="16"/>
      <c r="F323" s="16"/>
      <c r="G323" s="21"/>
      <c r="H323" s="16"/>
      <c r="I323" s="16"/>
      <c r="J323" s="17"/>
      <c r="N323" s="17"/>
      <c r="O323" s="61"/>
      <c r="P323" s="16"/>
      <c r="Q323" s="16"/>
      <c r="R323" s="16"/>
      <c r="S323" s="16"/>
      <c r="T323" s="16"/>
      <c r="U323" s="17"/>
      <c r="Y323" s="24"/>
      <c r="Z323" s="61"/>
      <c r="AA323" s="16"/>
      <c r="AB323" s="16"/>
      <c r="AC323" s="16"/>
      <c r="AD323" s="16"/>
      <c r="AE323" s="16"/>
      <c r="AF323" s="17"/>
      <c r="AJ323" s="24"/>
      <c r="AK323" s="61"/>
      <c r="AL323" s="16"/>
      <c r="AM323" s="16"/>
      <c r="AN323" s="16"/>
      <c r="AO323" s="16"/>
      <c r="AP323" s="16"/>
      <c r="AQ323" s="17"/>
      <c r="AU323" s="24"/>
      <c r="AV323" s="61"/>
      <c r="AW323" s="16"/>
      <c r="AX323" s="16"/>
      <c r="AY323" s="16"/>
      <c r="AZ323" s="16"/>
      <c r="BA323" s="16"/>
      <c r="BB323" s="17"/>
      <c r="BF323" s="24"/>
      <c r="BG323" s="61"/>
      <c r="BH323" s="16"/>
      <c r="BI323" s="16"/>
      <c r="BJ323" s="16"/>
      <c r="BK323" s="16"/>
      <c r="BL323" s="16"/>
      <c r="BM323" s="17"/>
      <c r="BQ323" s="24"/>
      <c r="BR323" s="61"/>
      <c r="BS323" s="16"/>
      <c r="BT323" s="16"/>
      <c r="BU323" s="16"/>
      <c r="BV323" s="16"/>
      <c r="BW323" s="16"/>
      <c r="BX323" s="17"/>
      <c r="CB323" s="24"/>
      <c r="CC323" s="61"/>
      <c r="CD323" s="16"/>
      <c r="CE323" s="16"/>
      <c r="CF323" s="16"/>
      <c r="CG323" s="16"/>
      <c r="CH323" s="16"/>
      <c r="CI323" s="17"/>
      <c r="CM323" s="24"/>
      <c r="CN323" s="61"/>
      <c r="CO323" s="16"/>
      <c r="CP323" s="16"/>
      <c r="CQ323" s="16"/>
      <c r="CR323" s="16"/>
      <c r="CS323" s="16"/>
      <c r="CT323" s="17"/>
      <c r="CX323" s="24"/>
      <c r="CY323" s="60"/>
      <c r="CZ323" s="16"/>
      <c r="DA323" s="16"/>
      <c r="DB323" s="16"/>
      <c r="DC323" s="16"/>
      <c r="DD323" s="16"/>
      <c r="DE323" s="17"/>
      <c r="DI323" s="24"/>
      <c r="DJ323" s="60"/>
      <c r="DK323" s="16"/>
      <c r="DL323" s="16"/>
      <c r="DM323" s="16"/>
      <c r="DN323" s="16"/>
      <c r="DO323" s="16"/>
      <c r="DP323" s="17"/>
      <c r="DT323" s="24"/>
      <c r="DU323" s="60"/>
      <c r="DV323" s="16"/>
      <c r="DW323" s="16"/>
      <c r="DX323" s="16"/>
      <c r="DY323" s="16"/>
      <c r="DZ323" s="16"/>
      <c r="EA323" s="17"/>
      <c r="EE323" s="24"/>
      <c r="EF323" s="60"/>
      <c r="EG323" s="16"/>
      <c r="EH323" s="16"/>
      <c r="EI323" s="16"/>
      <c r="EJ323" s="16"/>
      <c r="EK323" s="16"/>
      <c r="EL323" s="17"/>
      <c r="EP323" s="24"/>
      <c r="EQ323" s="60"/>
      <c r="ER323" s="16"/>
      <c r="ES323" s="16"/>
      <c r="ET323" s="16"/>
      <c r="EU323" s="16"/>
      <c r="EV323" s="16"/>
      <c r="EW323" s="17"/>
      <c r="FA323" s="24"/>
      <c r="FB323" s="60"/>
      <c r="FC323" s="16"/>
      <c r="FD323" s="16"/>
      <c r="FE323" s="16"/>
      <c r="FF323" s="16"/>
      <c r="FG323" s="16"/>
      <c r="FH323" s="17"/>
      <c r="FL323" s="24"/>
      <c r="FM323" s="60"/>
      <c r="FN323" s="16"/>
      <c r="FO323" s="16"/>
      <c r="FP323" s="16"/>
      <c r="FQ323" s="16"/>
      <c r="FR323" s="16"/>
      <c r="FS323" s="17"/>
      <c r="FW323" s="24"/>
      <c r="FX323" s="60"/>
      <c r="FY323" s="16"/>
      <c r="FZ323" s="16"/>
      <c r="GA323" s="16"/>
      <c r="GB323" s="16"/>
      <c r="GC323" s="16"/>
      <c r="GD323" s="17"/>
      <c r="GH323" s="24"/>
      <c r="GI323" s="60"/>
      <c r="GJ323" s="16"/>
      <c r="GK323" s="16"/>
      <c r="GL323" s="16"/>
      <c r="GM323" s="16"/>
      <c r="GN323" s="16"/>
      <c r="GO323" s="17"/>
      <c r="GS323" s="24"/>
      <c r="GT323" s="60"/>
      <c r="GU323" s="16"/>
      <c r="GV323" s="16"/>
      <c r="GW323" s="16"/>
      <c r="GX323" s="16"/>
      <c r="GY323" s="16"/>
      <c r="GZ323" s="17"/>
      <c r="HD323" s="24"/>
      <c r="HE323" s="60"/>
      <c r="HF323" s="16"/>
      <c r="HG323" s="16"/>
      <c r="HH323" s="16"/>
      <c r="HI323" s="16"/>
      <c r="HJ323" s="16"/>
      <c r="HK323" s="17"/>
      <c r="HO323" s="24"/>
      <c r="HP323" s="60"/>
      <c r="HQ323" s="16"/>
      <c r="HR323" s="16"/>
      <c r="HS323" s="16"/>
      <c r="HT323" s="16"/>
      <c r="HU323" s="16"/>
      <c r="HV323" s="17"/>
      <c r="HZ323" s="24"/>
      <c r="IA323" s="60"/>
      <c r="IB323" s="16"/>
      <c r="IC323" s="16"/>
      <c r="ID323" s="16"/>
      <c r="IE323" s="16"/>
      <c r="IF323" s="16"/>
      <c r="IG323" s="17"/>
      <c r="IK323" s="24"/>
      <c r="IL323" s="60"/>
      <c r="IM323" s="16"/>
      <c r="IN323" s="16"/>
      <c r="IO323" s="16"/>
      <c r="IP323" s="16"/>
      <c r="IQ323" s="16"/>
      <c r="IR323" s="17"/>
      <c r="IV323" s="24"/>
      <c r="IW323" s="60"/>
      <c r="IX323" s="16"/>
      <c r="IY323" s="16"/>
      <c r="IZ323" s="16"/>
      <c r="JA323" s="16"/>
      <c r="JB323" s="16"/>
      <c r="JC323" s="17"/>
      <c r="JG323" s="24"/>
      <c r="JH323" s="60"/>
      <c r="JI323" s="16"/>
      <c r="JJ323" s="16"/>
      <c r="JK323" s="16"/>
      <c r="JL323" s="16"/>
      <c r="JM323" s="16"/>
      <c r="JN323" s="17"/>
      <c r="JR323" s="24"/>
      <c r="JS323" s="60"/>
      <c r="JT323" s="16"/>
      <c r="JU323" s="16"/>
      <c r="JV323" s="16"/>
      <c r="JW323" s="16"/>
      <c r="JX323" s="16"/>
      <c r="JY323" s="17"/>
      <c r="KC323" s="24"/>
      <c r="KD323" s="60"/>
      <c r="KE323" s="16"/>
      <c r="KF323" s="16"/>
      <c r="KG323" s="16"/>
      <c r="KH323" s="16"/>
      <c r="KI323" s="16"/>
      <c r="KJ323" s="17"/>
      <c r="KN323" s="24"/>
      <c r="KO323" s="60"/>
      <c r="KP323" s="16"/>
      <c r="KQ323" s="16"/>
      <c r="KR323" s="16"/>
      <c r="KS323" s="16"/>
      <c r="KT323" s="16"/>
      <c r="KU323" s="17"/>
      <c r="KY323" s="24"/>
      <c r="KZ323" s="60"/>
      <c r="LA323" s="16"/>
      <c r="LB323" s="16"/>
      <c r="LC323" s="16"/>
      <c r="LD323" s="16"/>
      <c r="LE323" s="16"/>
      <c r="LF323" s="17"/>
      <c r="LJ323" s="24"/>
      <c r="LK323" s="60"/>
      <c r="LL323" s="16"/>
      <c r="LM323" s="16"/>
      <c r="LN323" s="16"/>
      <c r="LO323" s="16"/>
      <c r="LP323" s="16"/>
      <c r="LQ323" s="17"/>
    </row>
    <row r="324">
      <c r="C324" s="31"/>
      <c r="D324" s="61"/>
      <c r="E324" s="16"/>
      <c r="F324" s="16"/>
      <c r="G324" s="21"/>
      <c r="H324" s="16"/>
      <c r="I324" s="16"/>
      <c r="J324" s="17"/>
      <c r="N324" s="17"/>
      <c r="O324" s="61"/>
      <c r="P324" s="16"/>
      <c r="Q324" s="16"/>
      <c r="R324" s="16"/>
      <c r="S324" s="16"/>
      <c r="T324" s="16"/>
      <c r="U324" s="17"/>
      <c r="Y324" s="24"/>
      <c r="Z324" s="61"/>
      <c r="AA324" s="16"/>
      <c r="AB324" s="16"/>
      <c r="AC324" s="16"/>
      <c r="AD324" s="16"/>
      <c r="AE324" s="16"/>
      <c r="AF324" s="17"/>
      <c r="AJ324" s="24"/>
      <c r="AK324" s="61"/>
      <c r="AL324" s="16"/>
      <c r="AM324" s="16"/>
      <c r="AN324" s="16"/>
      <c r="AO324" s="16"/>
      <c r="AP324" s="16"/>
      <c r="AQ324" s="17"/>
      <c r="AU324" s="24"/>
      <c r="AV324" s="61"/>
      <c r="AW324" s="16"/>
      <c r="AX324" s="16"/>
      <c r="AY324" s="16"/>
      <c r="AZ324" s="16"/>
      <c r="BA324" s="16"/>
      <c r="BB324" s="17"/>
      <c r="BF324" s="24"/>
      <c r="BG324" s="61"/>
      <c r="BH324" s="16"/>
      <c r="BI324" s="16"/>
      <c r="BJ324" s="16"/>
      <c r="BK324" s="16"/>
      <c r="BL324" s="16"/>
      <c r="BM324" s="17"/>
      <c r="BQ324" s="24"/>
      <c r="BR324" s="61"/>
      <c r="BS324" s="16"/>
      <c r="BT324" s="16"/>
      <c r="BU324" s="16"/>
      <c r="BV324" s="16"/>
      <c r="BW324" s="16"/>
      <c r="BX324" s="17"/>
      <c r="CB324" s="24"/>
      <c r="CC324" s="61"/>
      <c r="CD324" s="16"/>
      <c r="CE324" s="16"/>
      <c r="CF324" s="16"/>
      <c r="CG324" s="16"/>
      <c r="CH324" s="16"/>
      <c r="CI324" s="17"/>
      <c r="CM324" s="24"/>
      <c r="CN324" s="61"/>
      <c r="CO324" s="16"/>
      <c r="CP324" s="16"/>
      <c r="CQ324" s="16"/>
      <c r="CR324" s="16"/>
      <c r="CS324" s="16"/>
      <c r="CT324" s="17"/>
      <c r="CX324" s="24"/>
      <c r="CY324" s="60"/>
      <c r="CZ324" s="16"/>
      <c r="DA324" s="16"/>
      <c r="DB324" s="16"/>
      <c r="DC324" s="16"/>
      <c r="DD324" s="16"/>
      <c r="DE324" s="17"/>
      <c r="DI324" s="24"/>
      <c r="DJ324" s="60"/>
      <c r="DK324" s="16"/>
      <c r="DL324" s="16"/>
      <c r="DM324" s="16"/>
      <c r="DN324" s="16"/>
      <c r="DO324" s="16"/>
      <c r="DP324" s="17"/>
      <c r="DT324" s="24"/>
      <c r="DU324" s="60"/>
      <c r="DV324" s="16"/>
      <c r="DW324" s="16"/>
      <c r="DX324" s="16"/>
      <c r="DY324" s="16"/>
      <c r="DZ324" s="16"/>
      <c r="EA324" s="17"/>
      <c r="EE324" s="24"/>
      <c r="EF324" s="60"/>
      <c r="EG324" s="16"/>
      <c r="EH324" s="16"/>
      <c r="EI324" s="16"/>
      <c r="EJ324" s="16"/>
      <c r="EK324" s="16"/>
      <c r="EL324" s="17"/>
      <c r="EP324" s="24"/>
      <c r="EQ324" s="60"/>
      <c r="ER324" s="16"/>
      <c r="ES324" s="16"/>
      <c r="ET324" s="16"/>
      <c r="EU324" s="16"/>
      <c r="EV324" s="16"/>
      <c r="EW324" s="17"/>
      <c r="FA324" s="24"/>
      <c r="FB324" s="60"/>
      <c r="FC324" s="16"/>
      <c r="FD324" s="16"/>
      <c r="FE324" s="16"/>
      <c r="FF324" s="16"/>
      <c r="FG324" s="16"/>
      <c r="FH324" s="17"/>
      <c r="FL324" s="24"/>
      <c r="FM324" s="60"/>
      <c r="FN324" s="16"/>
      <c r="FO324" s="16"/>
      <c r="FP324" s="16"/>
      <c r="FQ324" s="16"/>
      <c r="FR324" s="16"/>
      <c r="FS324" s="17"/>
      <c r="FW324" s="24"/>
      <c r="FX324" s="60"/>
      <c r="FY324" s="16"/>
      <c r="FZ324" s="16"/>
      <c r="GA324" s="16"/>
      <c r="GB324" s="16"/>
      <c r="GC324" s="16"/>
      <c r="GD324" s="17"/>
      <c r="GH324" s="24"/>
      <c r="GI324" s="60"/>
      <c r="GJ324" s="16"/>
      <c r="GK324" s="16"/>
      <c r="GL324" s="16"/>
      <c r="GM324" s="16"/>
      <c r="GN324" s="16"/>
      <c r="GO324" s="17"/>
      <c r="GS324" s="24"/>
      <c r="GT324" s="60"/>
      <c r="GU324" s="16"/>
      <c r="GV324" s="16"/>
      <c r="GW324" s="16"/>
      <c r="GX324" s="16"/>
      <c r="GY324" s="16"/>
      <c r="GZ324" s="17"/>
      <c r="HD324" s="24"/>
      <c r="HE324" s="60"/>
      <c r="HF324" s="16"/>
      <c r="HG324" s="16"/>
      <c r="HH324" s="16"/>
      <c r="HI324" s="16"/>
      <c r="HJ324" s="16"/>
      <c r="HK324" s="17"/>
      <c r="HO324" s="24"/>
      <c r="HP324" s="60"/>
      <c r="HQ324" s="16"/>
      <c r="HR324" s="16"/>
      <c r="HS324" s="16"/>
      <c r="HT324" s="16"/>
      <c r="HU324" s="16"/>
      <c r="HV324" s="17"/>
      <c r="HZ324" s="24"/>
      <c r="IA324" s="60"/>
      <c r="IB324" s="16"/>
      <c r="IC324" s="16"/>
      <c r="ID324" s="16"/>
      <c r="IE324" s="16"/>
      <c r="IF324" s="16"/>
      <c r="IG324" s="17"/>
      <c r="IK324" s="24"/>
      <c r="IL324" s="60"/>
      <c r="IM324" s="16"/>
      <c r="IN324" s="16"/>
      <c r="IO324" s="16"/>
      <c r="IP324" s="16"/>
      <c r="IQ324" s="16"/>
      <c r="IR324" s="17"/>
      <c r="IV324" s="24"/>
      <c r="IW324" s="60"/>
      <c r="IX324" s="16"/>
      <c r="IY324" s="16"/>
      <c r="IZ324" s="16"/>
      <c r="JA324" s="16"/>
      <c r="JB324" s="16"/>
      <c r="JC324" s="17"/>
      <c r="JG324" s="24"/>
      <c r="JH324" s="60"/>
      <c r="JI324" s="16"/>
      <c r="JJ324" s="16"/>
      <c r="JK324" s="16"/>
      <c r="JL324" s="16"/>
      <c r="JM324" s="16"/>
      <c r="JN324" s="17"/>
      <c r="JR324" s="24"/>
      <c r="JS324" s="60"/>
      <c r="JT324" s="16"/>
      <c r="JU324" s="16"/>
      <c r="JV324" s="16"/>
      <c r="JW324" s="16"/>
      <c r="JX324" s="16"/>
      <c r="JY324" s="17"/>
      <c r="KC324" s="24"/>
      <c r="KD324" s="60"/>
      <c r="KE324" s="16"/>
      <c r="KF324" s="16"/>
      <c r="KG324" s="16"/>
      <c r="KH324" s="16"/>
      <c r="KI324" s="16"/>
      <c r="KJ324" s="17"/>
      <c r="KN324" s="24"/>
      <c r="KO324" s="60"/>
      <c r="KP324" s="16"/>
      <c r="KQ324" s="16"/>
      <c r="KR324" s="16"/>
      <c r="KS324" s="16"/>
      <c r="KT324" s="16"/>
      <c r="KU324" s="17"/>
      <c r="KY324" s="24"/>
      <c r="KZ324" s="60"/>
      <c r="LA324" s="16"/>
      <c r="LB324" s="16"/>
      <c r="LC324" s="16"/>
      <c r="LD324" s="16"/>
      <c r="LE324" s="16"/>
      <c r="LF324" s="17"/>
      <c r="LJ324" s="24"/>
      <c r="LK324" s="60"/>
      <c r="LL324" s="16"/>
      <c r="LM324" s="16"/>
      <c r="LN324" s="16"/>
      <c r="LO324" s="16"/>
      <c r="LP324" s="16"/>
      <c r="LQ324" s="17"/>
    </row>
    <row r="325">
      <c r="C325" s="31"/>
      <c r="D325" s="61"/>
      <c r="E325" s="16"/>
      <c r="F325" s="16"/>
      <c r="G325" s="21"/>
      <c r="H325" s="16"/>
      <c r="I325" s="16"/>
      <c r="J325" s="17"/>
      <c r="N325" s="17"/>
      <c r="O325" s="61"/>
      <c r="P325" s="16"/>
      <c r="Q325" s="16"/>
      <c r="R325" s="16"/>
      <c r="S325" s="16"/>
      <c r="T325" s="16"/>
      <c r="U325" s="17"/>
      <c r="Y325" s="24"/>
      <c r="Z325" s="61"/>
      <c r="AA325" s="16"/>
      <c r="AB325" s="16"/>
      <c r="AC325" s="16"/>
      <c r="AD325" s="16"/>
      <c r="AE325" s="16"/>
      <c r="AF325" s="17"/>
      <c r="AJ325" s="24"/>
      <c r="AK325" s="61"/>
      <c r="AL325" s="16"/>
      <c r="AM325" s="16"/>
      <c r="AN325" s="16"/>
      <c r="AO325" s="16"/>
      <c r="AP325" s="16"/>
      <c r="AQ325" s="17"/>
      <c r="AU325" s="24"/>
      <c r="AV325" s="61"/>
      <c r="AW325" s="16"/>
      <c r="AX325" s="16"/>
      <c r="AY325" s="16"/>
      <c r="AZ325" s="16"/>
      <c r="BA325" s="16"/>
      <c r="BB325" s="17"/>
      <c r="BF325" s="24"/>
      <c r="BG325" s="61"/>
      <c r="BH325" s="16"/>
      <c r="BI325" s="16"/>
      <c r="BJ325" s="16"/>
      <c r="BK325" s="16"/>
      <c r="BL325" s="16"/>
      <c r="BM325" s="17"/>
      <c r="BQ325" s="24"/>
      <c r="BR325" s="61"/>
      <c r="BS325" s="16"/>
      <c r="BT325" s="16"/>
      <c r="BU325" s="16"/>
      <c r="BV325" s="16"/>
      <c r="BW325" s="16"/>
      <c r="BX325" s="17"/>
      <c r="CB325" s="24"/>
      <c r="CC325" s="61"/>
      <c r="CD325" s="16"/>
      <c r="CE325" s="16"/>
      <c r="CF325" s="16"/>
      <c r="CG325" s="16"/>
      <c r="CH325" s="16"/>
      <c r="CI325" s="17"/>
      <c r="CM325" s="24"/>
      <c r="CN325" s="61"/>
      <c r="CO325" s="16"/>
      <c r="CP325" s="16"/>
      <c r="CQ325" s="16"/>
      <c r="CR325" s="16"/>
      <c r="CS325" s="16"/>
      <c r="CT325" s="17"/>
      <c r="CX325" s="24"/>
      <c r="CY325" s="60"/>
      <c r="CZ325" s="16"/>
      <c r="DA325" s="16"/>
      <c r="DB325" s="16"/>
      <c r="DC325" s="16"/>
      <c r="DD325" s="16"/>
      <c r="DE325" s="17"/>
      <c r="DI325" s="24"/>
      <c r="DJ325" s="60"/>
      <c r="DK325" s="16"/>
      <c r="DL325" s="16"/>
      <c r="DM325" s="16"/>
      <c r="DN325" s="16"/>
      <c r="DO325" s="16"/>
      <c r="DP325" s="17"/>
      <c r="DT325" s="24"/>
      <c r="DU325" s="60"/>
      <c r="DV325" s="16"/>
      <c r="DW325" s="16"/>
      <c r="DX325" s="16"/>
      <c r="DY325" s="16"/>
      <c r="DZ325" s="16"/>
      <c r="EA325" s="17"/>
      <c r="EE325" s="24"/>
      <c r="EF325" s="60"/>
      <c r="EG325" s="16"/>
      <c r="EH325" s="16"/>
      <c r="EI325" s="16"/>
      <c r="EJ325" s="16"/>
      <c r="EK325" s="16"/>
      <c r="EL325" s="17"/>
      <c r="EP325" s="24"/>
      <c r="EQ325" s="60"/>
      <c r="ER325" s="16"/>
      <c r="ES325" s="16"/>
      <c r="ET325" s="16"/>
      <c r="EU325" s="16"/>
      <c r="EV325" s="16"/>
      <c r="EW325" s="17"/>
      <c r="FA325" s="24"/>
      <c r="FB325" s="60"/>
      <c r="FC325" s="16"/>
      <c r="FD325" s="16"/>
      <c r="FE325" s="16"/>
      <c r="FF325" s="16"/>
      <c r="FG325" s="16"/>
      <c r="FH325" s="17"/>
      <c r="FL325" s="24"/>
      <c r="FM325" s="60"/>
      <c r="FN325" s="16"/>
      <c r="FO325" s="16"/>
      <c r="FP325" s="16"/>
      <c r="FQ325" s="16"/>
      <c r="FR325" s="16"/>
      <c r="FS325" s="17"/>
      <c r="FW325" s="24"/>
      <c r="FX325" s="60"/>
      <c r="FY325" s="16"/>
      <c r="FZ325" s="16"/>
      <c r="GA325" s="16"/>
      <c r="GB325" s="16"/>
      <c r="GC325" s="16"/>
      <c r="GD325" s="17"/>
      <c r="GH325" s="24"/>
      <c r="GI325" s="60"/>
      <c r="GJ325" s="16"/>
      <c r="GK325" s="16"/>
      <c r="GL325" s="16"/>
      <c r="GM325" s="16"/>
      <c r="GN325" s="16"/>
      <c r="GO325" s="17"/>
      <c r="GS325" s="24"/>
      <c r="GT325" s="60"/>
      <c r="GU325" s="16"/>
      <c r="GV325" s="16"/>
      <c r="GW325" s="16"/>
      <c r="GX325" s="16"/>
      <c r="GY325" s="16"/>
      <c r="GZ325" s="17"/>
      <c r="HD325" s="24"/>
      <c r="HE325" s="60"/>
      <c r="HF325" s="16"/>
      <c r="HG325" s="16"/>
      <c r="HH325" s="16"/>
      <c r="HI325" s="16"/>
      <c r="HJ325" s="16"/>
      <c r="HK325" s="17"/>
      <c r="HO325" s="24"/>
      <c r="HP325" s="60"/>
      <c r="HQ325" s="16"/>
      <c r="HR325" s="16"/>
      <c r="HS325" s="16"/>
      <c r="HT325" s="16"/>
      <c r="HU325" s="16"/>
      <c r="HV325" s="17"/>
      <c r="HZ325" s="24"/>
      <c r="IA325" s="60"/>
      <c r="IB325" s="16"/>
      <c r="IC325" s="16"/>
      <c r="ID325" s="16"/>
      <c r="IE325" s="16"/>
      <c r="IF325" s="16"/>
      <c r="IG325" s="17"/>
      <c r="IK325" s="24"/>
      <c r="IL325" s="60"/>
      <c r="IM325" s="16"/>
      <c r="IN325" s="16"/>
      <c r="IO325" s="16"/>
      <c r="IP325" s="16"/>
      <c r="IQ325" s="16"/>
      <c r="IR325" s="17"/>
      <c r="IV325" s="24"/>
      <c r="IW325" s="60"/>
      <c r="IX325" s="16"/>
      <c r="IY325" s="16"/>
      <c r="IZ325" s="16"/>
      <c r="JA325" s="16"/>
      <c r="JB325" s="16"/>
      <c r="JC325" s="17"/>
      <c r="JG325" s="24"/>
      <c r="JH325" s="60"/>
      <c r="JI325" s="16"/>
      <c r="JJ325" s="16"/>
      <c r="JK325" s="16"/>
      <c r="JL325" s="16"/>
      <c r="JM325" s="16"/>
      <c r="JN325" s="17"/>
      <c r="JR325" s="24"/>
      <c r="JS325" s="60"/>
      <c r="JT325" s="16"/>
      <c r="JU325" s="16"/>
      <c r="JV325" s="16"/>
      <c r="JW325" s="16"/>
      <c r="JX325" s="16"/>
      <c r="JY325" s="17"/>
      <c r="KC325" s="24"/>
      <c r="KD325" s="60"/>
      <c r="KE325" s="16"/>
      <c r="KF325" s="16"/>
      <c r="KG325" s="16"/>
      <c r="KH325" s="16"/>
      <c r="KI325" s="16"/>
      <c r="KJ325" s="17"/>
      <c r="KN325" s="24"/>
      <c r="KO325" s="60"/>
      <c r="KP325" s="16"/>
      <c r="KQ325" s="16"/>
      <c r="KR325" s="16"/>
      <c r="KS325" s="16"/>
      <c r="KT325" s="16"/>
      <c r="KU325" s="17"/>
      <c r="KY325" s="24"/>
      <c r="KZ325" s="60"/>
      <c r="LA325" s="16"/>
      <c r="LB325" s="16"/>
      <c r="LC325" s="16"/>
      <c r="LD325" s="16"/>
      <c r="LE325" s="16"/>
      <c r="LF325" s="17"/>
      <c r="LJ325" s="24"/>
      <c r="LK325" s="60"/>
      <c r="LL325" s="16"/>
      <c r="LM325" s="16"/>
      <c r="LN325" s="16"/>
      <c r="LO325" s="16"/>
      <c r="LP325" s="16"/>
      <c r="LQ325" s="17"/>
    </row>
    <row r="326">
      <c r="C326" s="31"/>
      <c r="D326" s="61"/>
      <c r="E326" s="16"/>
      <c r="F326" s="16"/>
      <c r="G326" s="21"/>
      <c r="H326" s="16"/>
      <c r="I326" s="16"/>
      <c r="J326" s="17"/>
      <c r="N326" s="17"/>
      <c r="O326" s="61"/>
      <c r="P326" s="16"/>
      <c r="Q326" s="16"/>
      <c r="R326" s="16"/>
      <c r="S326" s="16"/>
      <c r="T326" s="16"/>
      <c r="U326" s="17"/>
      <c r="Y326" s="24"/>
      <c r="Z326" s="61"/>
      <c r="AA326" s="16"/>
      <c r="AB326" s="16"/>
      <c r="AC326" s="16"/>
      <c r="AD326" s="16"/>
      <c r="AE326" s="16"/>
      <c r="AF326" s="17"/>
      <c r="AJ326" s="24"/>
      <c r="AK326" s="61"/>
      <c r="AL326" s="16"/>
      <c r="AM326" s="16"/>
      <c r="AN326" s="16"/>
      <c r="AO326" s="16"/>
      <c r="AP326" s="16"/>
      <c r="AQ326" s="17"/>
      <c r="AU326" s="24"/>
      <c r="AV326" s="61"/>
      <c r="AW326" s="16"/>
      <c r="AX326" s="16"/>
      <c r="AY326" s="16"/>
      <c r="AZ326" s="16"/>
      <c r="BA326" s="16"/>
      <c r="BB326" s="17"/>
      <c r="BF326" s="24"/>
      <c r="BG326" s="61"/>
      <c r="BH326" s="16"/>
      <c r="BI326" s="16"/>
      <c r="BJ326" s="16"/>
      <c r="BK326" s="16"/>
      <c r="BL326" s="16"/>
      <c r="BM326" s="17"/>
      <c r="BQ326" s="24"/>
      <c r="BR326" s="61"/>
      <c r="BS326" s="16"/>
      <c r="BT326" s="16"/>
      <c r="BU326" s="16"/>
      <c r="BV326" s="16"/>
      <c r="BW326" s="16"/>
      <c r="BX326" s="17"/>
      <c r="CB326" s="24"/>
      <c r="CC326" s="61"/>
      <c r="CD326" s="16"/>
      <c r="CE326" s="16"/>
      <c r="CF326" s="16"/>
      <c r="CG326" s="16"/>
      <c r="CH326" s="16"/>
      <c r="CI326" s="17"/>
      <c r="CM326" s="24"/>
      <c r="CN326" s="61"/>
      <c r="CO326" s="16"/>
      <c r="CP326" s="16"/>
      <c r="CQ326" s="16"/>
      <c r="CR326" s="16"/>
      <c r="CS326" s="16"/>
      <c r="CT326" s="17"/>
      <c r="CX326" s="24"/>
      <c r="CY326" s="60"/>
      <c r="CZ326" s="16"/>
      <c r="DA326" s="16"/>
      <c r="DB326" s="16"/>
      <c r="DC326" s="16"/>
      <c r="DD326" s="16"/>
      <c r="DE326" s="17"/>
      <c r="DI326" s="24"/>
      <c r="DJ326" s="60"/>
      <c r="DK326" s="16"/>
      <c r="DL326" s="16"/>
      <c r="DM326" s="16"/>
      <c r="DN326" s="16"/>
      <c r="DO326" s="16"/>
      <c r="DP326" s="17"/>
      <c r="DT326" s="24"/>
      <c r="DU326" s="60"/>
      <c r="DV326" s="16"/>
      <c r="DW326" s="16"/>
      <c r="DX326" s="16"/>
      <c r="DY326" s="16"/>
      <c r="DZ326" s="16"/>
      <c r="EA326" s="17"/>
      <c r="EE326" s="24"/>
      <c r="EF326" s="60"/>
      <c r="EG326" s="16"/>
      <c r="EH326" s="16"/>
      <c r="EI326" s="16"/>
      <c r="EJ326" s="16"/>
      <c r="EK326" s="16"/>
      <c r="EL326" s="17"/>
      <c r="EP326" s="24"/>
      <c r="EQ326" s="60"/>
      <c r="ER326" s="16"/>
      <c r="ES326" s="16"/>
      <c r="ET326" s="16"/>
      <c r="EU326" s="16"/>
      <c r="EV326" s="16"/>
      <c r="EW326" s="17"/>
      <c r="FA326" s="24"/>
      <c r="FB326" s="60"/>
      <c r="FC326" s="16"/>
      <c r="FD326" s="16"/>
      <c r="FE326" s="16"/>
      <c r="FF326" s="16"/>
      <c r="FG326" s="16"/>
      <c r="FH326" s="17"/>
      <c r="FL326" s="24"/>
      <c r="FM326" s="60"/>
      <c r="FN326" s="16"/>
      <c r="FO326" s="16"/>
      <c r="FP326" s="16"/>
      <c r="FQ326" s="16"/>
      <c r="FR326" s="16"/>
      <c r="FS326" s="17"/>
      <c r="FW326" s="24"/>
      <c r="FX326" s="60"/>
      <c r="FY326" s="16"/>
      <c r="FZ326" s="16"/>
      <c r="GA326" s="16"/>
      <c r="GB326" s="16"/>
      <c r="GC326" s="16"/>
      <c r="GD326" s="17"/>
      <c r="GH326" s="24"/>
      <c r="GI326" s="60"/>
      <c r="GJ326" s="16"/>
      <c r="GK326" s="16"/>
      <c r="GL326" s="16"/>
      <c r="GM326" s="16"/>
      <c r="GN326" s="16"/>
      <c r="GO326" s="17"/>
      <c r="GS326" s="24"/>
      <c r="GT326" s="60"/>
      <c r="GU326" s="16"/>
      <c r="GV326" s="16"/>
      <c r="GW326" s="16"/>
      <c r="GX326" s="16"/>
      <c r="GY326" s="16"/>
      <c r="GZ326" s="17"/>
      <c r="HD326" s="24"/>
      <c r="HE326" s="60"/>
      <c r="HF326" s="16"/>
      <c r="HG326" s="16"/>
      <c r="HH326" s="16"/>
      <c r="HI326" s="16"/>
      <c r="HJ326" s="16"/>
      <c r="HK326" s="17"/>
      <c r="HO326" s="24"/>
      <c r="HP326" s="60"/>
      <c r="HQ326" s="16"/>
      <c r="HR326" s="16"/>
      <c r="HS326" s="16"/>
      <c r="HT326" s="16"/>
      <c r="HU326" s="16"/>
      <c r="HV326" s="17"/>
      <c r="HZ326" s="24"/>
      <c r="IA326" s="60"/>
      <c r="IB326" s="16"/>
      <c r="IC326" s="16"/>
      <c r="ID326" s="16"/>
      <c r="IE326" s="16"/>
      <c r="IF326" s="16"/>
      <c r="IG326" s="17"/>
      <c r="IK326" s="24"/>
      <c r="IL326" s="60"/>
      <c r="IM326" s="16"/>
      <c r="IN326" s="16"/>
      <c r="IO326" s="16"/>
      <c r="IP326" s="16"/>
      <c r="IQ326" s="16"/>
      <c r="IR326" s="17"/>
      <c r="IV326" s="24"/>
      <c r="IW326" s="60"/>
      <c r="IX326" s="16"/>
      <c r="IY326" s="16"/>
      <c r="IZ326" s="16"/>
      <c r="JA326" s="16"/>
      <c r="JB326" s="16"/>
      <c r="JC326" s="17"/>
      <c r="JG326" s="24"/>
      <c r="JH326" s="60"/>
      <c r="JI326" s="16"/>
      <c r="JJ326" s="16"/>
      <c r="JK326" s="16"/>
      <c r="JL326" s="16"/>
      <c r="JM326" s="16"/>
      <c r="JN326" s="17"/>
      <c r="JR326" s="24"/>
      <c r="JS326" s="60"/>
      <c r="JT326" s="16"/>
      <c r="JU326" s="16"/>
      <c r="JV326" s="16"/>
      <c r="JW326" s="16"/>
      <c r="JX326" s="16"/>
      <c r="JY326" s="17"/>
      <c r="KC326" s="24"/>
      <c r="KD326" s="60"/>
      <c r="KE326" s="16"/>
      <c r="KF326" s="16"/>
      <c r="KG326" s="16"/>
      <c r="KH326" s="16"/>
      <c r="KI326" s="16"/>
      <c r="KJ326" s="17"/>
      <c r="KN326" s="24"/>
      <c r="KO326" s="60"/>
      <c r="KP326" s="16"/>
      <c r="KQ326" s="16"/>
      <c r="KR326" s="16"/>
      <c r="KS326" s="16"/>
      <c r="KT326" s="16"/>
      <c r="KU326" s="17"/>
      <c r="KY326" s="24"/>
      <c r="KZ326" s="60"/>
      <c r="LA326" s="16"/>
      <c r="LB326" s="16"/>
      <c r="LC326" s="16"/>
      <c r="LD326" s="16"/>
      <c r="LE326" s="16"/>
      <c r="LF326" s="17"/>
      <c r="LJ326" s="24"/>
      <c r="LK326" s="60"/>
      <c r="LL326" s="16"/>
      <c r="LM326" s="16"/>
      <c r="LN326" s="16"/>
      <c r="LO326" s="16"/>
      <c r="LP326" s="16"/>
      <c r="LQ326" s="17"/>
    </row>
    <row r="327">
      <c r="C327" s="31"/>
      <c r="D327" s="61"/>
      <c r="E327" s="16"/>
      <c r="F327" s="16"/>
      <c r="G327" s="21"/>
      <c r="H327" s="16"/>
      <c r="I327" s="16"/>
      <c r="J327" s="17"/>
      <c r="N327" s="17"/>
      <c r="O327" s="61"/>
      <c r="P327" s="16"/>
      <c r="Q327" s="16"/>
      <c r="R327" s="16"/>
      <c r="S327" s="16"/>
      <c r="T327" s="16"/>
      <c r="U327" s="17"/>
      <c r="Y327" s="24"/>
      <c r="Z327" s="61"/>
      <c r="AA327" s="16"/>
      <c r="AB327" s="16"/>
      <c r="AC327" s="16"/>
      <c r="AD327" s="16"/>
      <c r="AE327" s="16"/>
      <c r="AF327" s="17"/>
      <c r="AJ327" s="24"/>
      <c r="AK327" s="61"/>
      <c r="AL327" s="16"/>
      <c r="AM327" s="16"/>
      <c r="AN327" s="16"/>
      <c r="AO327" s="16"/>
      <c r="AP327" s="16"/>
      <c r="AQ327" s="17"/>
      <c r="AU327" s="24"/>
      <c r="AV327" s="61"/>
      <c r="AW327" s="16"/>
      <c r="AX327" s="16"/>
      <c r="AY327" s="16"/>
      <c r="AZ327" s="16"/>
      <c r="BA327" s="16"/>
      <c r="BB327" s="17"/>
      <c r="BF327" s="24"/>
      <c r="BG327" s="61"/>
      <c r="BH327" s="16"/>
      <c r="BI327" s="16"/>
      <c r="BJ327" s="16"/>
      <c r="BK327" s="16"/>
      <c r="BL327" s="16"/>
      <c r="BM327" s="17"/>
      <c r="BQ327" s="24"/>
      <c r="BR327" s="61"/>
      <c r="BS327" s="16"/>
      <c r="BT327" s="16"/>
      <c r="BU327" s="16"/>
      <c r="BV327" s="16"/>
      <c r="BW327" s="16"/>
      <c r="BX327" s="17"/>
      <c r="CB327" s="24"/>
      <c r="CC327" s="61"/>
      <c r="CD327" s="16"/>
      <c r="CE327" s="16"/>
      <c r="CF327" s="16"/>
      <c r="CG327" s="16"/>
      <c r="CH327" s="16"/>
      <c r="CI327" s="17"/>
      <c r="CM327" s="24"/>
      <c r="CN327" s="61"/>
      <c r="CO327" s="16"/>
      <c r="CP327" s="16"/>
      <c r="CQ327" s="16"/>
      <c r="CR327" s="16"/>
      <c r="CS327" s="16"/>
      <c r="CT327" s="17"/>
      <c r="CX327" s="24"/>
      <c r="CY327" s="60"/>
      <c r="CZ327" s="16"/>
      <c r="DA327" s="16"/>
      <c r="DB327" s="16"/>
      <c r="DC327" s="16"/>
      <c r="DD327" s="16"/>
      <c r="DE327" s="17"/>
      <c r="DI327" s="24"/>
      <c r="DJ327" s="60"/>
      <c r="DK327" s="16"/>
      <c r="DL327" s="16"/>
      <c r="DM327" s="16"/>
      <c r="DN327" s="16"/>
      <c r="DO327" s="16"/>
      <c r="DP327" s="17"/>
      <c r="DT327" s="24"/>
      <c r="DU327" s="60"/>
      <c r="DV327" s="16"/>
      <c r="DW327" s="16"/>
      <c r="DX327" s="16"/>
      <c r="DY327" s="16"/>
      <c r="DZ327" s="16"/>
      <c r="EA327" s="17"/>
      <c r="EE327" s="24"/>
      <c r="EF327" s="60"/>
      <c r="EG327" s="16"/>
      <c r="EH327" s="16"/>
      <c r="EI327" s="16"/>
      <c r="EJ327" s="16"/>
      <c r="EK327" s="16"/>
      <c r="EL327" s="17"/>
      <c r="EP327" s="24"/>
      <c r="EQ327" s="60"/>
      <c r="ER327" s="16"/>
      <c r="ES327" s="16"/>
      <c r="ET327" s="16"/>
      <c r="EU327" s="16"/>
      <c r="EV327" s="16"/>
      <c r="EW327" s="17"/>
      <c r="FA327" s="24"/>
      <c r="FB327" s="60"/>
      <c r="FC327" s="16"/>
      <c r="FD327" s="16"/>
      <c r="FE327" s="16"/>
      <c r="FF327" s="16"/>
      <c r="FG327" s="16"/>
      <c r="FH327" s="17"/>
      <c r="FL327" s="24"/>
      <c r="FM327" s="60"/>
      <c r="FN327" s="16"/>
      <c r="FO327" s="16"/>
      <c r="FP327" s="16"/>
      <c r="FQ327" s="16"/>
      <c r="FR327" s="16"/>
      <c r="FS327" s="17"/>
      <c r="FW327" s="24"/>
      <c r="FX327" s="60"/>
      <c r="FY327" s="16"/>
      <c r="FZ327" s="16"/>
      <c r="GA327" s="16"/>
      <c r="GB327" s="16"/>
      <c r="GC327" s="16"/>
      <c r="GD327" s="17"/>
      <c r="GH327" s="24"/>
      <c r="GI327" s="60"/>
      <c r="GJ327" s="16"/>
      <c r="GK327" s="16"/>
      <c r="GL327" s="16"/>
      <c r="GM327" s="16"/>
      <c r="GN327" s="16"/>
      <c r="GO327" s="17"/>
      <c r="GS327" s="24"/>
      <c r="GT327" s="60"/>
      <c r="GU327" s="16"/>
      <c r="GV327" s="16"/>
      <c r="GW327" s="16"/>
      <c r="GX327" s="16"/>
      <c r="GY327" s="16"/>
      <c r="GZ327" s="17"/>
      <c r="HD327" s="24"/>
      <c r="HE327" s="60"/>
      <c r="HF327" s="16"/>
      <c r="HG327" s="16"/>
      <c r="HH327" s="16"/>
      <c r="HI327" s="16"/>
      <c r="HJ327" s="16"/>
      <c r="HK327" s="17"/>
      <c r="HO327" s="24"/>
      <c r="HP327" s="60"/>
      <c r="HQ327" s="16"/>
      <c r="HR327" s="16"/>
      <c r="HS327" s="16"/>
      <c r="HT327" s="16"/>
      <c r="HU327" s="16"/>
      <c r="HV327" s="17"/>
      <c r="HZ327" s="24"/>
      <c r="IA327" s="60"/>
      <c r="IB327" s="16"/>
      <c r="IC327" s="16"/>
      <c r="ID327" s="16"/>
      <c r="IE327" s="16"/>
      <c r="IF327" s="16"/>
      <c r="IG327" s="17"/>
      <c r="IK327" s="24"/>
      <c r="IL327" s="60"/>
      <c r="IM327" s="16"/>
      <c r="IN327" s="16"/>
      <c r="IO327" s="16"/>
      <c r="IP327" s="16"/>
      <c r="IQ327" s="16"/>
      <c r="IR327" s="17"/>
      <c r="IV327" s="24"/>
      <c r="IW327" s="60"/>
      <c r="IX327" s="16"/>
      <c r="IY327" s="16"/>
      <c r="IZ327" s="16"/>
      <c r="JA327" s="16"/>
      <c r="JB327" s="16"/>
      <c r="JC327" s="17"/>
      <c r="JG327" s="24"/>
      <c r="JH327" s="60"/>
      <c r="JI327" s="16"/>
      <c r="JJ327" s="16"/>
      <c r="JK327" s="16"/>
      <c r="JL327" s="16"/>
      <c r="JM327" s="16"/>
      <c r="JN327" s="17"/>
      <c r="JR327" s="24"/>
      <c r="JS327" s="60"/>
      <c r="JT327" s="16"/>
      <c r="JU327" s="16"/>
      <c r="JV327" s="16"/>
      <c r="JW327" s="16"/>
      <c r="JX327" s="16"/>
      <c r="JY327" s="17"/>
      <c r="KC327" s="24"/>
      <c r="KD327" s="60"/>
      <c r="KE327" s="16"/>
      <c r="KF327" s="16"/>
      <c r="KG327" s="16"/>
      <c r="KH327" s="16"/>
      <c r="KI327" s="16"/>
      <c r="KJ327" s="17"/>
      <c r="KN327" s="24"/>
      <c r="KO327" s="60"/>
      <c r="KP327" s="16"/>
      <c r="KQ327" s="16"/>
      <c r="KR327" s="16"/>
      <c r="KS327" s="16"/>
      <c r="KT327" s="16"/>
      <c r="KU327" s="17"/>
      <c r="KY327" s="24"/>
      <c r="KZ327" s="60"/>
      <c r="LA327" s="16"/>
      <c r="LB327" s="16"/>
      <c r="LC327" s="16"/>
      <c r="LD327" s="16"/>
      <c r="LE327" s="16"/>
      <c r="LF327" s="17"/>
      <c r="LJ327" s="24"/>
      <c r="LK327" s="60"/>
      <c r="LL327" s="16"/>
      <c r="LM327" s="16"/>
      <c r="LN327" s="16"/>
      <c r="LO327" s="16"/>
      <c r="LP327" s="16"/>
      <c r="LQ327" s="17"/>
    </row>
    <row r="328">
      <c r="C328" s="31"/>
      <c r="D328" s="61"/>
      <c r="E328" s="16"/>
      <c r="F328" s="16"/>
      <c r="G328" s="21"/>
      <c r="H328" s="16"/>
      <c r="I328" s="16"/>
      <c r="J328" s="17"/>
      <c r="N328" s="17"/>
      <c r="O328" s="61"/>
      <c r="P328" s="16"/>
      <c r="Q328" s="16"/>
      <c r="R328" s="16"/>
      <c r="S328" s="16"/>
      <c r="T328" s="16"/>
      <c r="U328" s="17"/>
      <c r="Y328" s="24"/>
      <c r="Z328" s="61"/>
      <c r="AA328" s="16"/>
      <c r="AB328" s="16"/>
      <c r="AC328" s="16"/>
      <c r="AD328" s="16"/>
      <c r="AE328" s="16"/>
      <c r="AF328" s="17"/>
      <c r="AJ328" s="24"/>
      <c r="AK328" s="61"/>
      <c r="AL328" s="16"/>
      <c r="AM328" s="16"/>
      <c r="AN328" s="16"/>
      <c r="AO328" s="16"/>
      <c r="AP328" s="16"/>
      <c r="AQ328" s="17"/>
      <c r="AU328" s="24"/>
      <c r="AV328" s="61"/>
      <c r="AW328" s="16"/>
      <c r="AX328" s="16"/>
      <c r="AY328" s="16"/>
      <c r="AZ328" s="16"/>
      <c r="BA328" s="16"/>
      <c r="BB328" s="17"/>
      <c r="BF328" s="24"/>
      <c r="BG328" s="61"/>
      <c r="BH328" s="16"/>
      <c r="BI328" s="16"/>
      <c r="BJ328" s="16"/>
      <c r="BK328" s="16"/>
      <c r="BL328" s="16"/>
      <c r="BM328" s="17"/>
      <c r="BQ328" s="24"/>
      <c r="BR328" s="61"/>
      <c r="BS328" s="16"/>
      <c r="BT328" s="16"/>
      <c r="BU328" s="16"/>
      <c r="BV328" s="16"/>
      <c r="BW328" s="16"/>
      <c r="BX328" s="17"/>
      <c r="CB328" s="24"/>
      <c r="CC328" s="61"/>
      <c r="CD328" s="16"/>
      <c r="CE328" s="16"/>
      <c r="CF328" s="16"/>
      <c r="CG328" s="16"/>
      <c r="CH328" s="16"/>
      <c r="CI328" s="17"/>
      <c r="CM328" s="24"/>
      <c r="CN328" s="61"/>
      <c r="CO328" s="16"/>
      <c r="CP328" s="16"/>
      <c r="CQ328" s="16"/>
      <c r="CR328" s="16"/>
      <c r="CS328" s="16"/>
      <c r="CT328" s="17"/>
      <c r="CX328" s="24"/>
      <c r="CY328" s="60"/>
      <c r="CZ328" s="16"/>
      <c r="DA328" s="16"/>
      <c r="DB328" s="16"/>
      <c r="DC328" s="16"/>
      <c r="DD328" s="16"/>
      <c r="DE328" s="17"/>
      <c r="DI328" s="24"/>
      <c r="DJ328" s="60"/>
      <c r="DK328" s="16"/>
      <c r="DL328" s="16"/>
      <c r="DM328" s="16"/>
      <c r="DN328" s="16"/>
      <c r="DO328" s="16"/>
      <c r="DP328" s="17"/>
      <c r="DT328" s="24"/>
      <c r="DU328" s="60"/>
      <c r="DV328" s="16"/>
      <c r="DW328" s="16"/>
      <c r="DX328" s="16"/>
      <c r="DY328" s="16"/>
      <c r="DZ328" s="16"/>
      <c r="EA328" s="17"/>
      <c r="EE328" s="24"/>
      <c r="EF328" s="60"/>
      <c r="EG328" s="16"/>
      <c r="EH328" s="16"/>
      <c r="EI328" s="16"/>
      <c r="EJ328" s="16"/>
      <c r="EK328" s="16"/>
      <c r="EL328" s="17"/>
      <c r="EP328" s="24"/>
      <c r="EQ328" s="60"/>
      <c r="ER328" s="16"/>
      <c r="ES328" s="16"/>
      <c r="ET328" s="16"/>
      <c r="EU328" s="16"/>
      <c r="EV328" s="16"/>
      <c r="EW328" s="17"/>
      <c r="FA328" s="24"/>
      <c r="FB328" s="60"/>
      <c r="FC328" s="16"/>
      <c r="FD328" s="16"/>
      <c r="FE328" s="16"/>
      <c r="FF328" s="16"/>
      <c r="FG328" s="16"/>
      <c r="FH328" s="17"/>
      <c r="FL328" s="24"/>
      <c r="FM328" s="60"/>
      <c r="FN328" s="16"/>
      <c r="FO328" s="16"/>
      <c r="FP328" s="16"/>
      <c r="FQ328" s="16"/>
      <c r="FR328" s="16"/>
      <c r="FS328" s="17"/>
      <c r="FW328" s="24"/>
      <c r="FX328" s="60"/>
      <c r="FY328" s="16"/>
      <c r="FZ328" s="16"/>
      <c r="GA328" s="16"/>
      <c r="GB328" s="16"/>
      <c r="GC328" s="16"/>
      <c r="GD328" s="17"/>
      <c r="GH328" s="24"/>
      <c r="GI328" s="60"/>
      <c r="GJ328" s="16"/>
      <c r="GK328" s="16"/>
      <c r="GL328" s="16"/>
      <c r="GM328" s="16"/>
      <c r="GN328" s="16"/>
      <c r="GO328" s="17"/>
      <c r="GS328" s="24"/>
      <c r="GT328" s="60"/>
      <c r="GU328" s="16"/>
      <c r="GV328" s="16"/>
      <c r="GW328" s="16"/>
      <c r="GX328" s="16"/>
      <c r="GY328" s="16"/>
      <c r="GZ328" s="17"/>
      <c r="HD328" s="24"/>
      <c r="HE328" s="60"/>
      <c r="HF328" s="16"/>
      <c r="HG328" s="16"/>
      <c r="HH328" s="16"/>
      <c r="HI328" s="16"/>
      <c r="HJ328" s="16"/>
      <c r="HK328" s="17"/>
      <c r="HO328" s="24"/>
      <c r="HP328" s="60"/>
      <c r="HQ328" s="16"/>
      <c r="HR328" s="16"/>
      <c r="HS328" s="16"/>
      <c r="HT328" s="16"/>
      <c r="HU328" s="16"/>
      <c r="HV328" s="17"/>
      <c r="HZ328" s="24"/>
      <c r="IA328" s="60"/>
      <c r="IB328" s="16"/>
      <c r="IC328" s="16"/>
      <c r="ID328" s="16"/>
      <c r="IE328" s="16"/>
      <c r="IF328" s="16"/>
      <c r="IG328" s="17"/>
      <c r="IK328" s="24"/>
      <c r="IL328" s="60"/>
      <c r="IM328" s="16"/>
      <c r="IN328" s="16"/>
      <c r="IO328" s="16"/>
      <c r="IP328" s="16"/>
      <c r="IQ328" s="16"/>
      <c r="IR328" s="17"/>
      <c r="IV328" s="24"/>
      <c r="IW328" s="60"/>
      <c r="IX328" s="16"/>
      <c r="IY328" s="16"/>
      <c r="IZ328" s="16"/>
      <c r="JA328" s="16"/>
      <c r="JB328" s="16"/>
      <c r="JC328" s="17"/>
      <c r="JG328" s="24"/>
      <c r="JH328" s="60"/>
      <c r="JI328" s="16"/>
      <c r="JJ328" s="16"/>
      <c r="JK328" s="16"/>
      <c r="JL328" s="16"/>
      <c r="JM328" s="16"/>
      <c r="JN328" s="17"/>
      <c r="JR328" s="24"/>
      <c r="JS328" s="60"/>
      <c r="JT328" s="16"/>
      <c r="JU328" s="16"/>
      <c r="JV328" s="16"/>
      <c r="JW328" s="16"/>
      <c r="JX328" s="16"/>
      <c r="JY328" s="17"/>
      <c r="KC328" s="24"/>
      <c r="KD328" s="60"/>
      <c r="KE328" s="16"/>
      <c r="KF328" s="16"/>
      <c r="KG328" s="16"/>
      <c r="KH328" s="16"/>
      <c r="KI328" s="16"/>
      <c r="KJ328" s="17"/>
      <c r="KN328" s="24"/>
      <c r="KO328" s="60"/>
      <c r="KP328" s="16"/>
      <c r="KQ328" s="16"/>
      <c r="KR328" s="16"/>
      <c r="KS328" s="16"/>
      <c r="KT328" s="16"/>
      <c r="KU328" s="17"/>
      <c r="KY328" s="24"/>
      <c r="KZ328" s="60"/>
      <c r="LA328" s="16"/>
      <c r="LB328" s="16"/>
      <c r="LC328" s="16"/>
      <c r="LD328" s="16"/>
      <c r="LE328" s="16"/>
      <c r="LF328" s="17"/>
      <c r="LJ328" s="24"/>
      <c r="LK328" s="60"/>
      <c r="LL328" s="16"/>
      <c r="LM328" s="16"/>
      <c r="LN328" s="16"/>
      <c r="LO328" s="16"/>
      <c r="LP328" s="16"/>
      <c r="LQ328" s="17"/>
    </row>
    <row r="329">
      <c r="C329" s="31"/>
      <c r="D329" s="61"/>
      <c r="E329" s="16"/>
      <c r="F329" s="16"/>
      <c r="G329" s="21"/>
      <c r="H329" s="16"/>
      <c r="I329" s="16"/>
      <c r="J329" s="17"/>
      <c r="N329" s="17"/>
      <c r="O329" s="61"/>
      <c r="P329" s="16"/>
      <c r="Q329" s="16"/>
      <c r="R329" s="16"/>
      <c r="S329" s="16"/>
      <c r="T329" s="16"/>
      <c r="U329" s="17"/>
      <c r="Y329" s="24"/>
      <c r="Z329" s="61"/>
      <c r="AA329" s="16"/>
      <c r="AB329" s="16"/>
      <c r="AC329" s="16"/>
      <c r="AD329" s="16"/>
      <c r="AE329" s="16"/>
      <c r="AF329" s="17"/>
      <c r="AJ329" s="24"/>
      <c r="AK329" s="61"/>
      <c r="AL329" s="16"/>
      <c r="AM329" s="16"/>
      <c r="AN329" s="16"/>
      <c r="AO329" s="16"/>
      <c r="AP329" s="16"/>
      <c r="AQ329" s="17"/>
      <c r="AU329" s="24"/>
      <c r="AV329" s="61"/>
      <c r="AW329" s="16"/>
      <c r="AX329" s="16"/>
      <c r="AY329" s="16"/>
      <c r="AZ329" s="16"/>
      <c r="BA329" s="16"/>
      <c r="BB329" s="17"/>
      <c r="BF329" s="24"/>
      <c r="BG329" s="61"/>
      <c r="BH329" s="16"/>
      <c r="BI329" s="16"/>
      <c r="BJ329" s="16"/>
      <c r="BK329" s="16"/>
      <c r="BL329" s="16"/>
      <c r="BM329" s="17"/>
      <c r="BQ329" s="24"/>
      <c r="BR329" s="61"/>
      <c r="BS329" s="16"/>
      <c r="BT329" s="16"/>
      <c r="BU329" s="16"/>
      <c r="BV329" s="16"/>
      <c r="BW329" s="16"/>
      <c r="BX329" s="17"/>
      <c r="CB329" s="24"/>
      <c r="CC329" s="61"/>
      <c r="CD329" s="16"/>
      <c r="CE329" s="16"/>
      <c r="CF329" s="16"/>
      <c r="CG329" s="16"/>
      <c r="CH329" s="16"/>
      <c r="CI329" s="17"/>
      <c r="CM329" s="24"/>
      <c r="CN329" s="61"/>
      <c r="CO329" s="16"/>
      <c r="CP329" s="16"/>
      <c r="CQ329" s="16"/>
      <c r="CR329" s="16"/>
      <c r="CS329" s="16"/>
      <c r="CT329" s="17"/>
      <c r="CX329" s="24"/>
      <c r="CY329" s="60"/>
      <c r="CZ329" s="16"/>
      <c r="DA329" s="16"/>
      <c r="DB329" s="16"/>
      <c r="DC329" s="16"/>
      <c r="DD329" s="16"/>
      <c r="DE329" s="17"/>
      <c r="DI329" s="24"/>
      <c r="DJ329" s="60"/>
      <c r="DK329" s="16"/>
      <c r="DL329" s="16"/>
      <c r="DM329" s="16"/>
      <c r="DN329" s="16"/>
      <c r="DO329" s="16"/>
      <c r="DP329" s="17"/>
      <c r="DT329" s="24"/>
      <c r="DU329" s="60"/>
      <c r="DV329" s="16"/>
      <c r="DW329" s="16"/>
      <c r="DX329" s="16"/>
      <c r="DY329" s="16"/>
      <c r="DZ329" s="16"/>
      <c r="EA329" s="17"/>
      <c r="EE329" s="24"/>
      <c r="EF329" s="60"/>
      <c r="EG329" s="16"/>
      <c r="EH329" s="16"/>
      <c r="EI329" s="16"/>
      <c r="EJ329" s="16"/>
      <c r="EK329" s="16"/>
      <c r="EL329" s="17"/>
      <c r="EP329" s="24"/>
      <c r="EQ329" s="60"/>
      <c r="ER329" s="16"/>
      <c r="ES329" s="16"/>
      <c r="ET329" s="16"/>
      <c r="EU329" s="16"/>
      <c r="EV329" s="16"/>
      <c r="EW329" s="17"/>
      <c r="FA329" s="24"/>
      <c r="FB329" s="60"/>
      <c r="FC329" s="16"/>
      <c r="FD329" s="16"/>
      <c r="FE329" s="16"/>
      <c r="FF329" s="16"/>
      <c r="FG329" s="16"/>
      <c r="FH329" s="17"/>
      <c r="FL329" s="24"/>
      <c r="FM329" s="60"/>
      <c r="FN329" s="16"/>
      <c r="FO329" s="16"/>
      <c r="FP329" s="16"/>
      <c r="FQ329" s="16"/>
      <c r="FR329" s="16"/>
      <c r="FS329" s="17"/>
      <c r="FW329" s="24"/>
      <c r="FX329" s="60"/>
      <c r="FY329" s="16"/>
      <c r="FZ329" s="16"/>
      <c r="GA329" s="16"/>
      <c r="GB329" s="16"/>
      <c r="GC329" s="16"/>
      <c r="GD329" s="17"/>
      <c r="GH329" s="24"/>
      <c r="GI329" s="60"/>
      <c r="GJ329" s="16"/>
      <c r="GK329" s="16"/>
      <c r="GL329" s="16"/>
      <c r="GM329" s="16"/>
      <c r="GN329" s="16"/>
      <c r="GO329" s="17"/>
      <c r="GS329" s="24"/>
      <c r="GT329" s="60"/>
      <c r="GU329" s="16"/>
      <c r="GV329" s="16"/>
      <c r="GW329" s="16"/>
      <c r="GX329" s="16"/>
      <c r="GY329" s="16"/>
      <c r="GZ329" s="17"/>
      <c r="HD329" s="24"/>
      <c r="HE329" s="60"/>
      <c r="HF329" s="16"/>
      <c r="HG329" s="16"/>
      <c r="HH329" s="16"/>
      <c r="HI329" s="16"/>
      <c r="HJ329" s="16"/>
      <c r="HK329" s="17"/>
      <c r="HO329" s="24"/>
      <c r="HP329" s="60"/>
      <c r="HQ329" s="16"/>
      <c r="HR329" s="16"/>
      <c r="HS329" s="16"/>
      <c r="HT329" s="16"/>
      <c r="HU329" s="16"/>
      <c r="HV329" s="17"/>
      <c r="HZ329" s="24"/>
      <c r="IA329" s="60"/>
      <c r="IB329" s="16"/>
      <c r="IC329" s="16"/>
      <c r="ID329" s="16"/>
      <c r="IE329" s="16"/>
      <c r="IF329" s="16"/>
      <c r="IG329" s="17"/>
      <c r="IK329" s="24"/>
      <c r="IL329" s="60"/>
      <c r="IM329" s="16"/>
      <c r="IN329" s="16"/>
      <c r="IO329" s="16"/>
      <c r="IP329" s="16"/>
      <c r="IQ329" s="16"/>
      <c r="IR329" s="17"/>
      <c r="IV329" s="24"/>
      <c r="IW329" s="60"/>
      <c r="IX329" s="16"/>
      <c r="IY329" s="16"/>
      <c r="IZ329" s="16"/>
      <c r="JA329" s="16"/>
      <c r="JB329" s="16"/>
      <c r="JC329" s="17"/>
      <c r="JG329" s="24"/>
      <c r="JH329" s="60"/>
      <c r="JI329" s="16"/>
      <c r="JJ329" s="16"/>
      <c r="JK329" s="16"/>
      <c r="JL329" s="16"/>
      <c r="JM329" s="16"/>
      <c r="JN329" s="17"/>
      <c r="JR329" s="24"/>
      <c r="JS329" s="60"/>
      <c r="JT329" s="16"/>
      <c r="JU329" s="16"/>
      <c r="JV329" s="16"/>
      <c r="JW329" s="16"/>
      <c r="JX329" s="16"/>
      <c r="JY329" s="17"/>
      <c r="KC329" s="24"/>
      <c r="KD329" s="60"/>
      <c r="KE329" s="16"/>
      <c r="KF329" s="16"/>
      <c r="KG329" s="16"/>
      <c r="KH329" s="16"/>
      <c r="KI329" s="16"/>
      <c r="KJ329" s="17"/>
      <c r="KN329" s="24"/>
      <c r="KO329" s="60"/>
      <c r="KP329" s="16"/>
      <c r="KQ329" s="16"/>
      <c r="KR329" s="16"/>
      <c r="KS329" s="16"/>
      <c r="KT329" s="16"/>
      <c r="KU329" s="17"/>
      <c r="KY329" s="24"/>
      <c r="KZ329" s="60"/>
      <c r="LA329" s="16"/>
      <c r="LB329" s="16"/>
      <c r="LC329" s="16"/>
      <c r="LD329" s="16"/>
      <c r="LE329" s="16"/>
      <c r="LF329" s="17"/>
      <c r="LJ329" s="24"/>
      <c r="LK329" s="60"/>
      <c r="LL329" s="16"/>
      <c r="LM329" s="16"/>
      <c r="LN329" s="16"/>
      <c r="LO329" s="16"/>
      <c r="LP329" s="16"/>
      <c r="LQ329" s="17"/>
    </row>
    <row r="330">
      <c r="C330" s="31"/>
      <c r="D330" s="61"/>
      <c r="E330" s="16"/>
      <c r="F330" s="16"/>
      <c r="G330" s="21"/>
      <c r="H330" s="16"/>
      <c r="I330" s="16"/>
      <c r="J330" s="17"/>
      <c r="N330" s="17"/>
      <c r="O330" s="61"/>
      <c r="P330" s="16"/>
      <c r="Q330" s="16"/>
      <c r="R330" s="16"/>
      <c r="S330" s="16"/>
      <c r="T330" s="16"/>
      <c r="U330" s="17"/>
      <c r="Y330" s="24"/>
      <c r="Z330" s="61"/>
      <c r="AA330" s="16"/>
      <c r="AB330" s="16"/>
      <c r="AC330" s="16"/>
      <c r="AD330" s="16"/>
      <c r="AE330" s="16"/>
      <c r="AF330" s="17"/>
      <c r="AJ330" s="24"/>
      <c r="AK330" s="61"/>
      <c r="AL330" s="16"/>
      <c r="AM330" s="16"/>
      <c r="AN330" s="16"/>
      <c r="AO330" s="16"/>
      <c r="AP330" s="16"/>
      <c r="AQ330" s="17"/>
      <c r="AU330" s="24"/>
      <c r="AV330" s="61"/>
      <c r="AW330" s="16"/>
      <c r="AX330" s="16"/>
      <c r="AY330" s="16"/>
      <c r="AZ330" s="16"/>
      <c r="BA330" s="16"/>
      <c r="BB330" s="17"/>
      <c r="BF330" s="24"/>
      <c r="BG330" s="61"/>
      <c r="BH330" s="16"/>
      <c r="BI330" s="16"/>
      <c r="BJ330" s="16"/>
      <c r="BK330" s="16"/>
      <c r="BL330" s="16"/>
      <c r="BM330" s="17"/>
      <c r="BQ330" s="24"/>
      <c r="BR330" s="61"/>
      <c r="BS330" s="16"/>
      <c r="BT330" s="16"/>
      <c r="BU330" s="16"/>
      <c r="BV330" s="16"/>
      <c r="BW330" s="16"/>
      <c r="BX330" s="17"/>
      <c r="CB330" s="24"/>
      <c r="CC330" s="61"/>
      <c r="CD330" s="16"/>
      <c r="CE330" s="16"/>
      <c r="CF330" s="16"/>
      <c r="CG330" s="16"/>
      <c r="CH330" s="16"/>
      <c r="CI330" s="17"/>
      <c r="CM330" s="24"/>
      <c r="CN330" s="61"/>
      <c r="CO330" s="16"/>
      <c r="CP330" s="16"/>
      <c r="CQ330" s="16"/>
      <c r="CR330" s="16"/>
      <c r="CS330" s="16"/>
      <c r="CT330" s="17"/>
      <c r="CX330" s="24"/>
      <c r="CY330" s="60"/>
      <c r="CZ330" s="16"/>
      <c r="DA330" s="16"/>
      <c r="DB330" s="16"/>
      <c r="DC330" s="16"/>
      <c r="DD330" s="16"/>
      <c r="DE330" s="17"/>
      <c r="DI330" s="24"/>
      <c r="DJ330" s="60"/>
      <c r="DK330" s="16"/>
      <c r="DL330" s="16"/>
      <c r="DM330" s="16"/>
      <c r="DN330" s="16"/>
      <c r="DO330" s="16"/>
      <c r="DP330" s="17"/>
      <c r="DT330" s="24"/>
      <c r="DU330" s="60"/>
      <c r="DV330" s="16"/>
      <c r="DW330" s="16"/>
      <c r="DX330" s="16"/>
      <c r="DY330" s="16"/>
      <c r="DZ330" s="16"/>
      <c r="EA330" s="17"/>
      <c r="EE330" s="24"/>
      <c r="EF330" s="60"/>
      <c r="EG330" s="16"/>
      <c r="EH330" s="16"/>
      <c r="EI330" s="16"/>
      <c r="EJ330" s="16"/>
      <c r="EK330" s="16"/>
      <c r="EL330" s="17"/>
      <c r="EP330" s="24"/>
      <c r="EQ330" s="60"/>
      <c r="ER330" s="16"/>
      <c r="ES330" s="16"/>
      <c r="ET330" s="16"/>
      <c r="EU330" s="16"/>
      <c r="EV330" s="16"/>
      <c r="EW330" s="17"/>
      <c r="FA330" s="24"/>
      <c r="FB330" s="60"/>
      <c r="FC330" s="16"/>
      <c r="FD330" s="16"/>
      <c r="FE330" s="16"/>
      <c r="FF330" s="16"/>
      <c r="FG330" s="16"/>
      <c r="FH330" s="17"/>
      <c r="FL330" s="24"/>
      <c r="FM330" s="60"/>
      <c r="FN330" s="16"/>
      <c r="FO330" s="16"/>
      <c r="FP330" s="16"/>
      <c r="FQ330" s="16"/>
      <c r="FR330" s="16"/>
      <c r="FS330" s="17"/>
      <c r="FW330" s="24"/>
      <c r="FX330" s="60"/>
      <c r="FY330" s="16"/>
      <c r="FZ330" s="16"/>
      <c r="GA330" s="16"/>
      <c r="GB330" s="16"/>
      <c r="GC330" s="16"/>
      <c r="GD330" s="17"/>
      <c r="GH330" s="24"/>
      <c r="GI330" s="60"/>
      <c r="GJ330" s="16"/>
      <c r="GK330" s="16"/>
      <c r="GL330" s="16"/>
      <c r="GM330" s="16"/>
      <c r="GN330" s="16"/>
      <c r="GO330" s="17"/>
      <c r="GS330" s="24"/>
      <c r="GT330" s="60"/>
      <c r="GU330" s="16"/>
      <c r="GV330" s="16"/>
      <c r="GW330" s="16"/>
      <c r="GX330" s="16"/>
      <c r="GY330" s="16"/>
      <c r="GZ330" s="17"/>
      <c r="HD330" s="24"/>
      <c r="HE330" s="60"/>
      <c r="HF330" s="16"/>
      <c r="HG330" s="16"/>
      <c r="HH330" s="16"/>
      <c r="HI330" s="16"/>
      <c r="HJ330" s="16"/>
      <c r="HK330" s="17"/>
      <c r="HO330" s="24"/>
      <c r="HP330" s="60"/>
      <c r="HQ330" s="16"/>
      <c r="HR330" s="16"/>
      <c r="HS330" s="16"/>
      <c r="HT330" s="16"/>
      <c r="HU330" s="16"/>
      <c r="HV330" s="17"/>
      <c r="HZ330" s="24"/>
      <c r="IA330" s="60"/>
      <c r="IB330" s="16"/>
      <c r="IC330" s="16"/>
      <c r="ID330" s="16"/>
      <c r="IE330" s="16"/>
      <c r="IF330" s="16"/>
      <c r="IG330" s="17"/>
      <c r="IK330" s="24"/>
      <c r="IL330" s="60"/>
      <c r="IM330" s="16"/>
      <c r="IN330" s="16"/>
      <c r="IO330" s="16"/>
      <c r="IP330" s="16"/>
      <c r="IQ330" s="16"/>
      <c r="IR330" s="17"/>
      <c r="IV330" s="24"/>
      <c r="IW330" s="60"/>
      <c r="IX330" s="16"/>
      <c r="IY330" s="16"/>
      <c r="IZ330" s="16"/>
      <c r="JA330" s="16"/>
      <c r="JB330" s="16"/>
      <c r="JC330" s="17"/>
      <c r="JG330" s="24"/>
      <c r="JH330" s="60"/>
      <c r="JI330" s="16"/>
      <c r="JJ330" s="16"/>
      <c r="JK330" s="16"/>
      <c r="JL330" s="16"/>
      <c r="JM330" s="16"/>
      <c r="JN330" s="17"/>
      <c r="JR330" s="24"/>
      <c r="JS330" s="60"/>
      <c r="JT330" s="16"/>
      <c r="JU330" s="16"/>
      <c r="JV330" s="16"/>
      <c r="JW330" s="16"/>
      <c r="JX330" s="16"/>
      <c r="JY330" s="17"/>
      <c r="KC330" s="24"/>
      <c r="KD330" s="60"/>
      <c r="KE330" s="16"/>
      <c r="KF330" s="16"/>
      <c r="KG330" s="16"/>
      <c r="KH330" s="16"/>
      <c r="KI330" s="16"/>
      <c r="KJ330" s="17"/>
      <c r="KN330" s="24"/>
      <c r="KO330" s="60"/>
      <c r="KP330" s="16"/>
      <c r="KQ330" s="16"/>
      <c r="KR330" s="16"/>
      <c r="KS330" s="16"/>
      <c r="KT330" s="16"/>
      <c r="KU330" s="17"/>
      <c r="KY330" s="24"/>
      <c r="KZ330" s="60"/>
      <c r="LA330" s="16"/>
      <c r="LB330" s="16"/>
      <c r="LC330" s="16"/>
      <c r="LD330" s="16"/>
      <c r="LE330" s="16"/>
      <c r="LF330" s="17"/>
      <c r="LJ330" s="24"/>
      <c r="LK330" s="60"/>
      <c r="LL330" s="16"/>
      <c r="LM330" s="16"/>
      <c r="LN330" s="16"/>
      <c r="LO330" s="16"/>
      <c r="LP330" s="16"/>
      <c r="LQ330" s="17"/>
    </row>
    <row r="331">
      <c r="C331" s="31"/>
      <c r="D331" s="61"/>
      <c r="E331" s="16"/>
      <c r="F331" s="16"/>
      <c r="G331" s="21"/>
      <c r="H331" s="16"/>
      <c r="I331" s="16"/>
      <c r="J331" s="17"/>
      <c r="N331" s="17"/>
      <c r="O331" s="61"/>
      <c r="P331" s="16"/>
      <c r="Q331" s="16"/>
      <c r="R331" s="16"/>
      <c r="S331" s="16"/>
      <c r="T331" s="16"/>
      <c r="U331" s="17"/>
      <c r="Y331" s="24"/>
      <c r="Z331" s="61"/>
      <c r="AA331" s="16"/>
      <c r="AB331" s="16"/>
      <c r="AC331" s="16"/>
      <c r="AD331" s="16"/>
      <c r="AE331" s="16"/>
      <c r="AF331" s="17"/>
      <c r="AJ331" s="24"/>
      <c r="AK331" s="61"/>
      <c r="AL331" s="16"/>
      <c r="AM331" s="16"/>
      <c r="AN331" s="16"/>
      <c r="AO331" s="16"/>
      <c r="AP331" s="16"/>
      <c r="AQ331" s="17"/>
      <c r="AU331" s="24"/>
      <c r="AV331" s="61"/>
      <c r="AW331" s="16"/>
      <c r="AX331" s="16"/>
      <c r="AY331" s="16"/>
      <c r="AZ331" s="16"/>
      <c r="BA331" s="16"/>
      <c r="BB331" s="17"/>
      <c r="BF331" s="24"/>
      <c r="BG331" s="61"/>
      <c r="BH331" s="16"/>
      <c r="BI331" s="16"/>
      <c r="BJ331" s="16"/>
      <c r="BK331" s="16"/>
      <c r="BL331" s="16"/>
      <c r="BM331" s="17"/>
      <c r="BQ331" s="24"/>
      <c r="BR331" s="61"/>
      <c r="BS331" s="16"/>
      <c r="BT331" s="16"/>
      <c r="BU331" s="16"/>
      <c r="BV331" s="16"/>
      <c r="BW331" s="16"/>
      <c r="BX331" s="17"/>
      <c r="CB331" s="24"/>
      <c r="CC331" s="61"/>
      <c r="CD331" s="16"/>
      <c r="CE331" s="16"/>
      <c r="CF331" s="16"/>
      <c r="CG331" s="16"/>
      <c r="CH331" s="16"/>
      <c r="CI331" s="17"/>
      <c r="CM331" s="24"/>
      <c r="CN331" s="61"/>
      <c r="CO331" s="16"/>
      <c r="CP331" s="16"/>
      <c r="CQ331" s="16"/>
      <c r="CR331" s="16"/>
      <c r="CS331" s="16"/>
      <c r="CT331" s="17"/>
      <c r="CX331" s="24"/>
      <c r="CY331" s="60"/>
      <c r="CZ331" s="16"/>
      <c r="DA331" s="16"/>
      <c r="DB331" s="16"/>
      <c r="DC331" s="16"/>
      <c r="DD331" s="16"/>
      <c r="DE331" s="17"/>
      <c r="DI331" s="24"/>
      <c r="DJ331" s="60"/>
      <c r="DK331" s="16"/>
      <c r="DL331" s="16"/>
      <c r="DM331" s="16"/>
      <c r="DN331" s="16"/>
      <c r="DO331" s="16"/>
      <c r="DP331" s="17"/>
      <c r="DT331" s="24"/>
      <c r="DU331" s="60"/>
      <c r="DV331" s="16"/>
      <c r="DW331" s="16"/>
      <c r="DX331" s="16"/>
      <c r="DY331" s="16"/>
      <c r="DZ331" s="16"/>
      <c r="EA331" s="17"/>
      <c r="EE331" s="24"/>
      <c r="EF331" s="60"/>
      <c r="EG331" s="16"/>
      <c r="EH331" s="16"/>
      <c r="EI331" s="16"/>
      <c r="EJ331" s="16"/>
      <c r="EK331" s="16"/>
      <c r="EL331" s="17"/>
      <c r="EP331" s="24"/>
      <c r="EQ331" s="60"/>
      <c r="ER331" s="16"/>
      <c r="ES331" s="16"/>
      <c r="ET331" s="16"/>
      <c r="EU331" s="16"/>
      <c r="EV331" s="16"/>
      <c r="EW331" s="17"/>
      <c r="FA331" s="24"/>
      <c r="FB331" s="60"/>
      <c r="FC331" s="16"/>
      <c r="FD331" s="16"/>
      <c r="FE331" s="16"/>
      <c r="FF331" s="16"/>
      <c r="FG331" s="16"/>
      <c r="FH331" s="17"/>
      <c r="FL331" s="24"/>
      <c r="FM331" s="60"/>
      <c r="FN331" s="16"/>
      <c r="FO331" s="16"/>
      <c r="FP331" s="16"/>
      <c r="FQ331" s="16"/>
      <c r="FR331" s="16"/>
      <c r="FS331" s="17"/>
      <c r="FW331" s="24"/>
      <c r="FX331" s="60"/>
      <c r="FY331" s="16"/>
      <c r="FZ331" s="16"/>
      <c r="GA331" s="16"/>
      <c r="GB331" s="16"/>
      <c r="GC331" s="16"/>
      <c r="GD331" s="17"/>
      <c r="GH331" s="24"/>
      <c r="GI331" s="60"/>
      <c r="GJ331" s="16"/>
      <c r="GK331" s="16"/>
      <c r="GL331" s="16"/>
      <c r="GM331" s="16"/>
      <c r="GN331" s="16"/>
      <c r="GO331" s="17"/>
      <c r="GS331" s="24"/>
      <c r="GT331" s="60"/>
      <c r="GU331" s="16"/>
      <c r="GV331" s="16"/>
      <c r="GW331" s="16"/>
      <c r="GX331" s="16"/>
      <c r="GY331" s="16"/>
      <c r="GZ331" s="17"/>
      <c r="HD331" s="24"/>
      <c r="HE331" s="60"/>
      <c r="HF331" s="16"/>
      <c r="HG331" s="16"/>
      <c r="HH331" s="16"/>
      <c r="HI331" s="16"/>
      <c r="HJ331" s="16"/>
      <c r="HK331" s="17"/>
      <c r="HO331" s="24"/>
      <c r="HP331" s="60"/>
      <c r="HQ331" s="16"/>
      <c r="HR331" s="16"/>
      <c r="HS331" s="16"/>
      <c r="HT331" s="16"/>
      <c r="HU331" s="16"/>
      <c r="HV331" s="17"/>
      <c r="HZ331" s="24"/>
      <c r="IA331" s="60"/>
      <c r="IB331" s="16"/>
      <c r="IC331" s="16"/>
      <c r="ID331" s="16"/>
      <c r="IE331" s="16"/>
      <c r="IF331" s="16"/>
      <c r="IG331" s="17"/>
      <c r="IK331" s="24"/>
      <c r="IL331" s="60"/>
      <c r="IM331" s="16"/>
      <c r="IN331" s="16"/>
      <c r="IO331" s="16"/>
      <c r="IP331" s="16"/>
      <c r="IQ331" s="16"/>
      <c r="IR331" s="17"/>
      <c r="IV331" s="24"/>
      <c r="IW331" s="60"/>
      <c r="IX331" s="16"/>
      <c r="IY331" s="16"/>
      <c r="IZ331" s="16"/>
      <c r="JA331" s="16"/>
      <c r="JB331" s="16"/>
      <c r="JC331" s="17"/>
      <c r="JG331" s="24"/>
      <c r="JH331" s="60"/>
      <c r="JI331" s="16"/>
      <c r="JJ331" s="16"/>
      <c r="JK331" s="16"/>
      <c r="JL331" s="16"/>
      <c r="JM331" s="16"/>
      <c r="JN331" s="17"/>
      <c r="JR331" s="24"/>
      <c r="JS331" s="60"/>
      <c r="JT331" s="16"/>
      <c r="JU331" s="16"/>
      <c r="JV331" s="16"/>
      <c r="JW331" s="16"/>
      <c r="JX331" s="16"/>
      <c r="JY331" s="17"/>
      <c r="KC331" s="24"/>
      <c r="KD331" s="60"/>
      <c r="KE331" s="16"/>
      <c r="KF331" s="16"/>
      <c r="KG331" s="16"/>
      <c r="KH331" s="16"/>
      <c r="KI331" s="16"/>
      <c r="KJ331" s="17"/>
      <c r="KN331" s="24"/>
      <c r="KO331" s="60"/>
      <c r="KP331" s="16"/>
      <c r="KQ331" s="16"/>
      <c r="KR331" s="16"/>
      <c r="KS331" s="16"/>
      <c r="KT331" s="16"/>
      <c r="KU331" s="17"/>
      <c r="KY331" s="24"/>
      <c r="KZ331" s="60"/>
      <c r="LA331" s="16"/>
      <c r="LB331" s="16"/>
      <c r="LC331" s="16"/>
      <c r="LD331" s="16"/>
      <c r="LE331" s="16"/>
      <c r="LF331" s="17"/>
      <c r="LJ331" s="24"/>
      <c r="LK331" s="60"/>
      <c r="LL331" s="16"/>
      <c r="LM331" s="16"/>
      <c r="LN331" s="16"/>
      <c r="LO331" s="16"/>
      <c r="LP331" s="16"/>
      <c r="LQ331" s="17"/>
    </row>
    <row r="332">
      <c r="C332" s="31"/>
      <c r="D332" s="61"/>
      <c r="E332" s="16"/>
      <c r="F332" s="16"/>
      <c r="G332" s="21"/>
      <c r="H332" s="16"/>
      <c r="I332" s="16"/>
      <c r="J332" s="17"/>
      <c r="N332" s="17"/>
      <c r="O332" s="61"/>
      <c r="P332" s="16"/>
      <c r="Q332" s="16"/>
      <c r="R332" s="16"/>
      <c r="S332" s="16"/>
      <c r="T332" s="16"/>
      <c r="U332" s="17"/>
      <c r="Y332" s="24"/>
      <c r="Z332" s="61"/>
      <c r="AA332" s="16"/>
      <c r="AB332" s="16"/>
      <c r="AC332" s="16"/>
      <c r="AD332" s="16"/>
      <c r="AE332" s="16"/>
      <c r="AF332" s="17"/>
      <c r="AJ332" s="24"/>
      <c r="AK332" s="61"/>
      <c r="AL332" s="16"/>
      <c r="AM332" s="16"/>
      <c r="AN332" s="16"/>
      <c r="AO332" s="16"/>
      <c r="AP332" s="16"/>
      <c r="AQ332" s="17"/>
      <c r="AU332" s="24"/>
      <c r="AV332" s="61"/>
      <c r="AW332" s="16"/>
      <c r="AX332" s="16"/>
      <c r="AY332" s="16"/>
      <c r="AZ332" s="16"/>
      <c r="BA332" s="16"/>
      <c r="BB332" s="17"/>
      <c r="BF332" s="24"/>
      <c r="BG332" s="61"/>
      <c r="BH332" s="16"/>
      <c r="BI332" s="16"/>
      <c r="BJ332" s="16"/>
      <c r="BK332" s="16"/>
      <c r="BL332" s="16"/>
      <c r="BM332" s="17"/>
      <c r="BQ332" s="24"/>
      <c r="BR332" s="61"/>
      <c r="BS332" s="16"/>
      <c r="BT332" s="16"/>
      <c r="BU332" s="16"/>
      <c r="BV332" s="16"/>
      <c r="BW332" s="16"/>
      <c r="BX332" s="17"/>
      <c r="CB332" s="24"/>
      <c r="CC332" s="61"/>
      <c r="CD332" s="16"/>
      <c r="CE332" s="16"/>
      <c r="CF332" s="16"/>
      <c r="CG332" s="16"/>
      <c r="CH332" s="16"/>
      <c r="CI332" s="17"/>
      <c r="CM332" s="24"/>
      <c r="CN332" s="61"/>
      <c r="CO332" s="16"/>
      <c r="CP332" s="16"/>
      <c r="CQ332" s="16"/>
      <c r="CR332" s="16"/>
      <c r="CS332" s="16"/>
      <c r="CT332" s="17"/>
      <c r="CX332" s="24"/>
      <c r="CY332" s="60"/>
      <c r="CZ332" s="16"/>
      <c r="DA332" s="16"/>
      <c r="DB332" s="16"/>
      <c r="DC332" s="16"/>
      <c r="DD332" s="16"/>
      <c r="DE332" s="17"/>
      <c r="DI332" s="24"/>
      <c r="DJ332" s="60"/>
      <c r="DK332" s="16"/>
      <c r="DL332" s="16"/>
      <c r="DM332" s="16"/>
      <c r="DN332" s="16"/>
      <c r="DO332" s="16"/>
      <c r="DP332" s="17"/>
      <c r="DT332" s="24"/>
      <c r="DU332" s="60"/>
      <c r="DV332" s="16"/>
      <c r="DW332" s="16"/>
      <c r="DX332" s="16"/>
      <c r="DY332" s="16"/>
      <c r="DZ332" s="16"/>
      <c r="EA332" s="17"/>
      <c r="EE332" s="24"/>
      <c r="EF332" s="60"/>
      <c r="EG332" s="16"/>
      <c r="EH332" s="16"/>
      <c r="EI332" s="16"/>
      <c r="EJ332" s="16"/>
      <c r="EK332" s="16"/>
      <c r="EL332" s="17"/>
      <c r="EP332" s="24"/>
      <c r="EQ332" s="60"/>
      <c r="ER332" s="16"/>
      <c r="ES332" s="16"/>
      <c r="ET332" s="16"/>
      <c r="EU332" s="16"/>
      <c r="EV332" s="16"/>
      <c r="EW332" s="17"/>
      <c r="FA332" s="24"/>
      <c r="FB332" s="60"/>
      <c r="FC332" s="16"/>
      <c r="FD332" s="16"/>
      <c r="FE332" s="16"/>
      <c r="FF332" s="16"/>
      <c r="FG332" s="16"/>
      <c r="FH332" s="17"/>
      <c r="FL332" s="24"/>
      <c r="FM332" s="60"/>
      <c r="FN332" s="16"/>
      <c r="FO332" s="16"/>
      <c r="FP332" s="16"/>
      <c r="FQ332" s="16"/>
      <c r="FR332" s="16"/>
      <c r="FS332" s="17"/>
      <c r="FW332" s="24"/>
      <c r="FX332" s="60"/>
      <c r="FY332" s="16"/>
      <c r="FZ332" s="16"/>
      <c r="GA332" s="16"/>
      <c r="GB332" s="16"/>
      <c r="GC332" s="16"/>
      <c r="GD332" s="17"/>
      <c r="GH332" s="24"/>
      <c r="GI332" s="60"/>
      <c r="GJ332" s="16"/>
      <c r="GK332" s="16"/>
      <c r="GL332" s="16"/>
      <c r="GM332" s="16"/>
      <c r="GN332" s="16"/>
      <c r="GO332" s="17"/>
      <c r="GS332" s="24"/>
      <c r="GT332" s="60"/>
      <c r="GU332" s="16"/>
      <c r="GV332" s="16"/>
      <c r="GW332" s="16"/>
      <c r="GX332" s="16"/>
      <c r="GY332" s="16"/>
      <c r="GZ332" s="17"/>
      <c r="HD332" s="24"/>
      <c r="HE332" s="60"/>
      <c r="HF332" s="16"/>
      <c r="HG332" s="16"/>
      <c r="HH332" s="16"/>
      <c r="HI332" s="16"/>
      <c r="HJ332" s="16"/>
      <c r="HK332" s="17"/>
      <c r="HO332" s="24"/>
      <c r="HP332" s="60"/>
      <c r="HQ332" s="16"/>
      <c r="HR332" s="16"/>
      <c r="HS332" s="16"/>
      <c r="HT332" s="16"/>
      <c r="HU332" s="16"/>
      <c r="HV332" s="17"/>
      <c r="HZ332" s="24"/>
      <c r="IA332" s="60"/>
      <c r="IB332" s="16"/>
      <c r="IC332" s="16"/>
      <c r="ID332" s="16"/>
      <c r="IE332" s="16"/>
      <c r="IF332" s="16"/>
      <c r="IG332" s="17"/>
      <c r="IK332" s="24"/>
      <c r="IL332" s="60"/>
      <c r="IM332" s="16"/>
      <c r="IN332" s="16"/>
      <c r="IO332" s="16"/>
      <c r="IP332" s="16"/>
      <c r="IQ332" s="16"/>
      <c r="IR332" s="17"/>
      <c r="IV332" s="24"/>
      <c r="IW332" s="60"/>
      <c r="IX332" s="16"/>
      <c r="IY332" s="16"/>
      <c r="IZ332" s="16"/>
      <c r="JA332" s="16"/>
      <c r="JB332" s="16"/>
      <c r="JC332" s="17"/>
      <c r="JG332" s="24"/>
      <c r="JH332" s="60"/>
      <c r="JI332" s="16"/>
      <c r="JJ332" s="16"/>
      <c r="JK332" s="16"/>
      <c r="JL332" s="16"/>
      <c r="JM332" s="16"/>
      <c r="JN332" s="17"/>
      <c r="JR332" s="24"/>
      <c r="JS332" s="60"/>
      <c r="JT332" s="16"/>
      <c r="JU332" s="16"/>
      <c r="JV332" s="16"/>
      <c r="JW332" s="16"/>
      <c r="JX332" s="16"/>
      <c r="JY332" s="17"/>
      <c r="KC332" s="24"/>
      <c r="KD332" s="60"/>
      <c r="KE332" s="16"/>
      <c r="KF332" s="16"/>
      <c r="KG332" s="16"/>
      <c r="KH332" s="16"/>
      <c r="KI332" s="16"/>
      <c r="KJ332" s="17"/>
      <c r="KN332" s="24"/>
      <c r="KO332" s="60"/>
      <c r="KP332" s="16"/>
      <c r="KQ332" s="16"/>
      <c r="KR332" s="16"/>
      <c r="KS332" s="16"/>
      <c r="KT332" s="16"/>
      <c r="KU332" s="17"/>
      <c r="KY332" s="24"/>
      <c r="KZ332" s="60"/>
      <c r="LA332" s="16"/>
      <c r="LB332" s="16"/>
      <c r="LC332" s="16"/>
      <c r="LD332" s="16"/>
      <c r="LE332" s="16"/>
      <c r="LF332" s="17"/>
      <c r="LJ332" s="24"/>
      <c r="LK332" s="60"/>
      <c r="LL332" s="16"/>
      <c r="LM332" s="16"/>
      <c r="LN332" s="16"/>
      <c r="LO332" s="16"/>
      <c r="LP332" s="16"/>
      <c r="LQ332" s="17"/>
    </row>
    <row r="333">
      <c r="C333" s="31"/>
      <c r="D333" s="61"/>
      <c r="E333" s="16"/>
      <c r="F333" s="16"/>
      <c r="G333" s="21"/>
      <c r="H333" s="16"/>
      <c r="I333" s="16"/>
      <c r="J333" s="17"/>
      <c r="N333" s="17"/>
      <c r="O333" s="61"/>
      <c r="P333" s="16"/>
      <c r="Q333" s="16"/>
      <c r="R333" s="16"/>
      <c r="S333" s="16"/>
      <c r="T333" s="16"/>
      <c r="U333" s="17"/>
      <c r="Y333" s="24"/>
      <c r="Z333" s="61"/>
      <c r="AA333" s="16"/>
      <c r="AB333" s="16"/>
      <c r="AC333" s="16"/>
      <c r="AD333" s="16"/>
      <c r="AE333" s="16"/>
      <c r="AF333" s="17"/>
      <c r="AJ333" s="24"/>
      <c r="AK333" s="61"/>
      <c r="AL333" s="16"/>
      <c r="AM333" s="16"/>
      <c r="AN333" s="16"/>
      <c r="AO333" s="16"/>
      <c r="AP333" s="16"/>
      <c r="AQ333" s="17"/>
      <c r="AU333" s="24"/>
      <c r="AV333" s="61"/>
      <c r="AW333" s="16"/>
      <c r="AX333" s="16"/>
      <c r="AY333" s="16"/>
      <c r="AZ333" s="16"/>
      <c r="BA333" s="16"/>
      <c r="BB333" s="17"/>
      <c r="BF333" s="24"/>
      <c r="BG333" s="61"/>
      <c r="BH333" s="16"/>
      <c r="BI333" s="16"/>
      <c r="BJ333" s="16"/>
      <c r="BK333" s="16"/>
      <c r="BL333" s="16"/>
      <c r="BM333" s="17"/>
      <c r="BQ333" s="24"/>
      <c r="BR333" s="61"/>
      <c r="BS333" s="16"/>
      <c r="BT333" s="16"/>
      <c r="BU333" s="16"/>
      <c r="BV333" s="16"/>
      <c r="BW333" s="16"/>
      <c r="BX333" s="17"/>
      <c r="CB333" s="24"/>
      <c r="CC333" s="61"/>
      <c r="CD333" s="16"/>
      <c r="CE333" s="16"/>
      <c r="CF333" s="16"/>
      <c r="CG333" s="16"/>
      <c r="CH333" s="16"/>
      <c r="CI333" s="17"/>
      <c r="CM333" s="24"/>
      <c r="CN333" s="61"/>
      <c r="CO333" s="16"/>
      <c r="CP333" s="16"/>
      <c r="CQ333" s="16"/>
      <c r="CR333" s="16"/>
      <c r="CS333" s="16"/>
      <c r="CT333" s="17"/>
      <c r="CX333" s="24"/>
      <c r="CY333" s="60"/>
      <c r="CZ333" s="16"/>
      <c r="DA333" s="16"/>
      <c r="DB333" s="16"/>
      <c r="DC333" s="16"/>
      <c r="DD333" s="16"/>
      <c r="DE333" s="17"/>
      <c r="DI333" s="24"/>
      <c r="DJ333" s="60"/>
      <c r="DK333" s="16"/>
      <c r="DL333" s="16"/>
      <c r="DM333" s="16"/>
      <c r="DN333" s="16"/>
      <c r="DO333" s="16"/>
      <c r="DP333" s="17"/>
      <c r="DT333" s="24"/>
      <c r="DU333" s="60"/>
      <c r="DV333" s="16"/>
      <c r="DW333" s="16"/>
      <c r="DX333" s="16"/>
      <c r="DY333" s="16"/>
      <c r="DZ333" s="16"/>
      <c r="EA333" s="17"/>
      <c r="EE333" s="24"/>
      <c r="EF333" s="60"/>
      <c r="EG333" s="16"/>
      <c r="EH333" s="16"/>
      <c r="EI333" s="16"/>
      <c r="EJ333" s="16"/>
      <c r="EK333" s="16"/>
      <c r="EL333" s="17"/>
      <c r="EP333" s="24"/>
      <c r="EQ333" s="60"/>
      <c r="ER333" s="16"/>
      <c r="ES333" s="16"/>
      <c r="ET333" s="16"/>
      <c r="EU333" s="16"/>
      <c r="EV333" s="16"/>
      <c r="EW333" s="17"/>
      <c r="FA333" s="24"/>
      <c r="FB333" s="60"/>
      <c r="FC333" s="16"/>
      <c r="FD333" s="16"/>
      <c r="FE333" s="16"/>
      <c r="FF333" s="16"/>
      <c r="FG333" s="16"/>
      <c r="FH333" s="17"/>
      <c r="FL333" s="24"/>
      <c r="FM333" s="60"/>
      <c r="FN333" s="16"/>
      <c r="FO333" s="16"/>
      <c r="FP333" s="16"/>
      <c r="FQ333" s="16"/>
      <c r="FR333" s="16"/>
      <c r="FS333" s="17"/>
      <c r="FW333" s="24"/>
      <c r="FX333" s="60"/>
      <c r="FY333" s="16"/>
      <c r="FZ333" s="16"/>
      <c r="GA333" s="16"/>
      <c r="GB333" s="16"/>
      <c r="GC333" s="16"/>
      <c r="GD333" s="17"/>
      <c r="GH333" s="24"/>
      <c r="GI333" s="60"/>
      <c r="GJ333" s="16"/>
      <c r="GK333" s="16"/>
      <c r="GL333" s="16"/>
      <c r="GM333" s="16"/>
      <c r="GN333" s="16"/>
      <c r="GO333" s="17"/>
      <c r="GS333" s="24"/>
      <c r="GT333" s="60"/>
      <c r="GU333" s="16"/>
      <c r="GV333" s="16"/>
      <c r="GW333" s="16"/>
      <c r="GX333" s="16"/>
      <c r="GY333" s="16"/>
      <c r="GZ333" s="17"/>
      <c r="HD333" s="24"/>
      <c r="HE333" s="60"/>
      <c r="HF333" s="16"/>
      <c r="HG333" s="16"/>
      <c r="HH333" s="16"/>
      <c r="HI333" s="16"/>
      <c r="HJ333" s="16"/>
      <c r="HK333" s="17"/>
      <c r="HO333" s="24"/>
      <c r="HP333" s="60"/>
      <c r="HQ333" s="16"/>
      <c r="HR333" s="16"/>
      <c r="HS333" s="16"/>
      <c r="HT333" s="16"/>
      <c r="HU333" s="16"/>
      <c r="HV333" s="17"/>
      <c r="HZ333" s="24"/>
      <c r="IA333" s="60"/>
      <c r="IB333" s="16"/>
      <c r="IC333" s="16"/>
      <c r="ID333" s="16"/>
      <c r="IE333" s="16"/>
      <c r="IF333" s="16"/>
      <c r="IG333" s="17"/>
      <c r="IK333" s="24"/>
      <c r="IL333" s="60"/>
      <c r="IM333" s="16"/>
      <c r="IN333" s="16"/>
      <c r="IO333" s="16"/>
      <c r="IP333" s="16"/>
      <c r="IQ333" s="16"/>
      <c r="IR333" s="17"/>
      <c r="IV333" s="24"/>
      <c r="IW333" s="60"/>
      <c r="IX333" s="16"/>
      <c r="IY333" s="16"/>
      <c r="IZ333" s="16"/>
      <c r="JA333" s="16"/>
      <c r="JB333" s="16"/>
      <c r="JC333" s="17"/>
      <c r="JG333" s="24"/>
      <c r="JH333" s="60"/>
      <c r="JI333" s="16"/>
      <c r="JJ333" s="16"/>
      <c r="JK333" s="16"/>
      <c r="JL333" s="16"/>
      <c r="JM333" s="16"/>
      <c r="JN333" s="17"/>
      <c r="JR333" s="24"/>
      <c r="JS333" s="60"/>
      <c r="JT333" s="16"/>
      <c r="JU333" s="16"/>
      <c r="JV333" s="16"/>
      <c r="JW333" s="16"/>
      <c r="JX333" s="16"/>
      <c r="JY333" s="17"/>
      <c r="KC333" s="24"/>
      <c r="KD333" s="60"/>
      <c r="KE333" s="16"/>
      <c r="KF333" s="16"/>
      <c r="KG333" s="16"/>
      <c r="KH333" s="16"/>
      <c r="KI333" s="16"/>
      <c r="KJ333" s="17"/>
      <c r="KN333" s="24"/>
      <c r="KO333" s="60"/>
      <c r="KP333" s="16"/>
      <c r="KQ333" s="16"/>
      <c r="KR333" s="16"/>
      <c r="KS333" s="16"/>
      <c r="KT333" s="16"/>
      <c r="KU333" s="17"/>
      <c r="KY333" s="24"/>
      <c r="KZ333" s="60"/>
      <c r="LA333" s="16"/>
      <c r="LB333" s="16"/>
      <c r="LC333" s="16"/>
      <c r="LD333" s="16"/>
      <c r="LE333" s="16"/>
      <c r="LF333" s="17"/>
      <c r="LJ333" s="24"/>
      <c r="LK333" s="60"/>
      <c r="LL333" s="16"/>
      <c r="LM333" s="16"/>
      <c r="LN333" s="16"/>
      <c r="LO333" s="16"/>
      <c r="LP333" s="16"/>
      <c r="LQ333" s="17"/>
    </row>
    <row r="334">
      <c r="C334" s="31"/>
      <c r="D334" s="61"/>
      <c r="E334" s="16"/>
      <c r="F334" s="16"/>
      <c r="G334" s="21"/>
      <c r="H334" s="16"/>
      <c r="I334" s="16"/>
      <c r="J334" s="17"/>
      <c r="N334" s="17"/>
      <c r="O334" s="61"/>
      <c r="P334" s="16"/>
      <c r="Q334" s="16"/>
      <c r="R334" s="16"/>
      <c r="S334" s="16"/>
      <c r="T334" s="16"/>
      <c r="U334" s="17"/>
      <c r="Y334" s="24"/>
      <c r="Z334" s="61"/>
      <c r="AA334" s="16"/>
      <c r="AB334" s="16"/>
      <c r="AC334" s="16"/>
      <c r="AD334" s="16"/>
      <c r="AE334" s="16"/>
      <c r="AF334" s="17"/>
      <c r="AJ334" s="24"/>
      <c r="AK334" s="61"/>
      <c r="AL334" s="16"/>
      <c r="AM334" s="16"/>
      <c r="AN334" s="16"/>
      <c r="AO334" s="16"/>
      <c r="AP334" s="16"/>
      <c r="AQ334" s="17"/>
      <c r="AU334" s="24"/>
      <c r="AV334" s="61"/>
      <c r="AW334" s="16"/>
      <c r="AX334" s="16"/>
      <c r="AY334" s="16"/>
      <c r="AZ334" s="16"/>
      <c r="BA334" s="16"/>
      <c r="BB334" s="17"/>
      <c r="BF334" s="24"/>
      <c r="BG334" s="61"/>
      <c r="BH334" s="16"/>
      <c r="BI334" s="16"/>
      <c r="BJ334" s="16"/>
      <c r="BK334" s="16"/>
      <c r="BL334" s="16"/>
      <c r="BM334" s="17"/>
      <c r="BQ334" s="24"/>
      <c r="BR334" s="61"/>
      <c r="BS334" s="16"/>
      <c r="BT334" s="16"/>
      <c r="BU334" s="16"/>
      <c r="BV334" s="16"/>
      <c r="BW334" s="16"/>
      <c r="BX334" s="17"/>
      <c r="CB334" s="24"/>
      <c r="CC334" s="61"/>
      <c r="CD334" s="16"/>
      <c r="CE334" s="16"/>
      <c r="CF334" s="16"/>
      <c r="CG334" s="16"/>
      <c r="CH334" s="16"/>
      <c r="CI334" s="17"/>
      <c r="CM334" s="24"/>
      <c r="CN334" s="61"/>
      <c r="CO334" s="16"/>
      <c r="CP334" s="16"/>
      <c r="CQ334" s="16"/>
      <c r="CR334" s="16"/>
      <c r="CS334" s="16"/>
      <c r="CT334" s="17"/>
      <c r="CX334" s="24"/>
      <c r="CY334" s="60"/>
      <c r="CZ334" s="16"/>
      <c r="DA334" s="16"/>
      <c r="DB334" s="16"/>
      <c r="DC334" s="16"/>
      <c r="DD334" s="16"/>
      <c r="DE334" s="17"/>
      <c r="DI334" s="24"/>
      <c r="DJ334" s="60"/>
      <c r="DK334" s="16"/>
      <c r="DL334" s="16"/>
      <c r="DM334" s="16"/>
      <c r="DN334" s="16"/>
      <c r="DO334" s="16"/>
      <c r="DP334" s="17"/>
      <c r="DT334" s="24"/>
      <c r="DU334" s="60"/>
      <c r="DV334" s="16"/>
      <c r="DW334" s="16"/>
      <c r="DX334" s="16"/>
      <c r="DY334" s="16"/>
      <c r="DZ334" s="16"/>
      <c r="EA334" s="17"/>
      <c r="EE334" s="24"/>
      <c r="EF334" s="60"/>
      <c r="EG334" s="16"/>
      <c r="EH334" s="16"/>
      <c r="EI334" s="16"/>
      <c r="EJ334" s="16"/>
      <c r="EK334" s="16"/>
      <c r="EL334" s="17"/>
      <c r="EP334" s="24"/>
      <c r="EQ334" s="60"/>
      <c r="ER334" s="16"/>
      <c r="ES334" s="16"/>
      <c r="ET334" s="16"/>
      <c r="EU334" s="16"/>
      <c r="EV334" s="16"/>
      <c r="EW334" s="17"/>
      <c r="FA334" s="24"/>
      <c r="FB334" s="60"/>
      <c r="FC334" s="16"/>
      <c r="FD334" s="16"/>
      <c r="FE334" s="16"/>
      <c r="FF334" s="16"/>
      <c r="FG334" s="16"/>
      <c r="FH334" s="17"/>
      <c r="FL334" s="24"/>
      <c r="FM334" s="60"/>
      <c r="FN334" s="16"/>
      <c r="FO334" s="16"/>
      <c r="FP334" s="16"/>
      <c r="FQ334" s="16"/>
      <c r="FR334" s="16"/>
      <c r="FS334" s="17"/>
      <c r="FW334" s="24"/>
      <c r="FX334" s="60"/>
      <c r="FY334" s="16"/>
      <c r="FZ334" s="16"/>
      <c r="GA334" s="16"/>
      <c r="GB334" s="16"/>
      <c r="GC334" s="16"/>
      <c r="GD334" s="17"/>
      <c r="GH334" s="24"/>
      <c r="GI334" s="60"/>
      <c r="GJ334" s="16"/>
      <c r="GK334" s="16"/>
      <c r="GL334" s="16"/>
      <c r="GM334" s="16"/>
      <c r="GN334" s="16"/>
      <c r="GO334" s="17"/>
      <c r="GS334" s="24"/>
      <c r="GT334" s="60"/>
      <c r="GU334" s="16"/>
      <c r="GV334" s="16"/>
      <c r="GW334" s="16"/>
      <c r="GX334" s="16"/>
      <c r="GY334" s="16"/>
      <c r="GZ334" s="17"/>
      <c r="HD334" s="24"/>
      <c r="HE334" s="60"/>
      <c r="HF334" s="16"/>
      <c r="HG334" s="16"/>
      <c r="HH334" s="16"/>
      <c r="HI334" s="16"/>
      <c r="HJ334" s="16"/>
      <c r="HK334" s="17"/>
      <c r="HO334" s="24"/>
      <c r="HP334" s="60"/>
      <c r="HQ334" s="16"/>
      <c r="HR334" s="16"/>
      <c r="HS334" s="16"/>
      <c r="HT334" s="16"/>
      <c r="HU334" s="16"/>
      <c r="HV334" s="17"/>
      <c r="HZ334" s="24"/>
      <c r="IA334" s="60"/>
      <c r="IB334" s="16"/>
      <c r="IC334" s="16"/>
      <c r="ID334" s="16"/>
      <c r="IE334" s="16"/>
      <c r="IF334" s="16"/>
      <c r="IG334" s="17"/>
      <c r="IK334" s="24"/>
      <c r="IL334" s="60"/>
      <c r="IM334" s="16"/>
      <c r="IN334" s="16"/>
      <c r="IO334" s="16"/>
      <c r="IP334" s="16"/>
      <c r="IQ334" s="16"/>
      <c r="IR334" s="17"/>
      <c r="IV334" s="24"/>
      <c r="IW334" s="60"/>
      <c r="IX334" s="16"/>
      <c r="IY334" s="16"/>
      <c r="IZ334" s="16"/>
      <c r="JA334" s="16"/>
      <c r="JB334" s="16"/>
      <c r="JC334" s="17"/>
      <c r="JG334" s="24"/>
      <c r="JH334" s="60"/>
      <c r="JI334" s="16"/>
      <c r="JJ334" s="16"/>
      <c r="JK334" s="16"/>
      <c r="JL334" s="16"/>
      <c r="JM334" s="16"/>
      <c r="JN334" s="17"/>
      <c r="JR334" s="24"/>
      <c r="JS334" s="60"/>
      <c r="JT334" s="16"/>
      <c r="JU334" s="16"/>
      <c r="JV334" s="16"/>
      <c r="JW334" s="16"/>
      <c r="JX334" s="16"/>
      <c r="JY334" s="17"/>
      <c r="KC334" s="24"/>
      <c r="KD334" s="60"/>
      <c r="KE334" s="16"/>
      <c r="KF334" s="16"/>
      <c r="KG334" s="16"/>
      <c r="KH334" s="16"/>
      <c r="KI334" s="16"/>
      <c r="KJ334" s="17"/>
      <c r="KN334" s="24"/>
      <c r="KO334" s="60"/>
      <c r="KP334" s="16"/>
      <c r="KQ334" s="16"/>
      <c r="KR334" s="16"/>
      <c r="KS334" s="16"/>
      <c r="KT334" s="16"/>
      <c r="KU334" s="17"/>
      <c r="KY334" s="24"/>
      <c r="KZ334" s="60"/>
      <c r="LA334" s="16"/>
      <c r="LB334" s="16"/>
      <c r="LC334" s="16"/>
      <c r="LD334" s="16"/>
      <c r="LE334" s="16"/>
      <c r="LF334" s="17"/>
      <c r="LJ334" s="24"/>
      <c r="LK334" s="60"/>
      <c r="LL334" s="16"/>
      <c r="LM334" s="16"/>
      <c r="LN334" s="16"/>
      <c r="LO334" s="16"/>
      <c r="LP334" s="16"/>
      <c r="LQ334" s="17"/>
    </row>
    <row r="335">
      <c r="C335" s="31"/>
      <c r="D335" s="61"/>
      <c r="E335" s="16"/>
      <c r="F335" s="16"/>
      <c r="G335" s="21"/>
      <c r="H335" s="16"/>
      <c r="I335" s="16"/>
      <c r="J335" s="17"/>
      <c r="N335" s="17"/>
      <c r="O335" s="61"/>
      <c r="P335" s="16"/>
      <c r="Q335" s="16"/>
      <c r="R335" s="16"/>
      <c r="S335" s="16"/>
      <c r="T335" s="16"/>
      <c r="U335" s="17"/>
      <c r="Y335" s="24"/>
      <c r="Z335" s="61"/>
      <c r="AA335" s="16"/>
      <c r="AB335" s="16"/>
      <c r="AC335" s="16"/>
      <c r="AD335" s="16"/>
      <c r="AE335" s="16"/>
      <c r="AF335" s="17"/>
      <c r="AJ335" s="24"/>
      <c r="AK335" s="61"/>
      <c r="AL335" s="16"/>
      <c r="AM335" s="16"/>
      <c r="AN335" s="16"/>
      <c r="AO335" s="16"/>
      <c r="AP335" s="16"/>
      <c r="AQ335" s="17"/>
      <c r="AU335" s="24"/>
      <c r="AV335" s="61"/>
      <c r="AW335" s="16"/>
      <c r="AX335" s="16"/>
      <c r="AY335" s="16"/>
      <c r="AZ335" s="16"/>
      <c r="BA335" s="16"/>
      <c r="BB335" s="17"/>
      <c r="BF335" s="24"/>
      <c r="BG335" s="61"/>
      <c r="BH335" s="16"/>
      <c r="BI335" s="16"/>
      <c r="BJ335" s="16"/>
      <c r="BK335" s="16"/>
      <c r="BL335" s="16"/>
      <c r="BM335" s="17"/>
      <c r="BQ335" s="24"/>
      <c r="BR335" s="61"/>
      <c r="BS335" s="16"/>
      <c r="BT335" s="16"/>
      <c r="BU335" s="16"/>
      <c r="BV335" s="16"/>
      <c r="BW335" s="16"/>
      <c r="BX335" s="17"/>
      <c r="CB335" s="24"/>
      <c r="CC335" s="61"/>
      <c r="CD335" s="16"/>
      <c r="CE335" s="16"/>
      <c r="CF335" s="16"/>
      <c r="CG335" s="16"/>
      <c r="CH335" s="16"/>
      <c r="CI335" s="17"/>
      <c r="CM335" s="24"/>
      <c r="CN335" s="61"/>
      <c r="CO335" s="16"/>
      <c r="CP335" s="16"/>
      <c r="CQ335" s="16"/>
      <c r="CR335" s="16"/>
      <c r="CS335" s="16"/>
      <c r="CT335" s="17"/>
      <c r="CX335" s="24"/>
      <c r="CY335" s="60"/>
      <c r="CZ335" s="16"/>
      <c r="DA335" s="16"/>
      <c r="DB335" s="16"/>
      <c r="DC335" s="16"/>
      <c r="DD335" s="16"/>
      <c r="DE335" s="17"/>
      <c r="DI335" s="24"/>
      <c r="DJ335" s="60"/>
      <c r="DK335" s="16"/>
      <c r="DL335" s="16"/>
      <c r="DM335" s="16"/>
      <c r="DN335" s="16"/>
      <c r="DO335" s="16"/>
      <c r="DP335" s="17"/>
      <c r="DT335" s="24"/>
      <c r="DU335" s="60"/>
      <c r="DV335" s="16"/>
      <c r="DW335" s="16"/>
      <c r="DX335" s="16"/>
      <c r="DY335" s="16"/>
      <c r="DZ335" s="16"/>
      <c r="EA335" s="17"/>
      <c r="EE335" s="24"/>
      <c r="EF335" s="60"/>
      <c r="EG335" s="16"/>
      <c r="EH335" s="16"/>
      <c r="EI335" s="16"/>
      <c r="EJ335" s="16"/>
      <c r="EK335" s="16"/>
      <c r="EL335" s="17"/>
      <c r="EP335" s="24"/>
      <c r="EQ335" s="60"/>
      <c r="ER335" s="16"/>
      <c r="ES335" s="16"/>
      <c r="ET335" s="16"/>
      <c r="EU335" s="16"/>
      <c r="EV335" s="16"/>
      <c r="EW335" s="17"/>
      <c r="FA335" s="24"/>
      <c r="FB335" s="60"/>
      <c r="FC335" s="16"/>
      <c r="FD335" s="16"/>
      <c r="FE335" s="16"/>
      <c r="FF335" s="16"/>
      <c r="FG335" s="16"/>
      <c r="FH335" s="17"/>
      <c r="FL335" s="24"/>
      <c r="FM335" s="60"/>
      <c r="FN335" s="16"/>
      <c r="FO335" s="16"/>
      <c r="FP335" s="16"/>
      <c r="FQ335" s="16"/>
      <c r="FR335" s="16"/>
      <c r="FS335" s="17"/>
      <c r="FW335" s="24"/>
      <c r="FX335" s="60"/>
      <c r="FY335" s="16"/>
      <c r="FZ335" s="16"/>
      <c r="GA335" s="16"/>
      <c r="GB335" s="16"/>
      <c r="GC335" s="16"/>
      <c r="GD335" s="17"/>
      <c r="GH335" s="24"/>
      <c r="GI335" s="60"/>
      <c r="GJ335" s="16"/>
      <c r="GK335" s="16"/>
      <c r="GL335" s="16"/>
      <c r="GM335" s="16"/>
      <c r="GN335" s="16"/>
      <c r="GO335" s="17"/>
      <c r="GS335" s="24"/>
      <c r="GT335" s="60"/>
      <c r="GU335" s="16"/>
      <c r="GV335" s="16"/>
      <c r="GW335" s="16"/>
      <c r="GX335" s="16"/>
      <c r="GY335" s="16"/>
      <c r="GZ335" s="17"/>
      <c r="HD335" s="24"/>
      <c r="HE335" s="60"/>
      <c r="HF335" s="16"/>
      <c r="HG335" s="16"/>
      <c r="HH335" s="16"/>
      <c r="HI335" s="16"/>
      <c r="HJ335" s="16"/>
      <c r="HK335" s="17"/>
      <c r="HO335" s="24"/>
      <c r="HP335" s="60"/>
      <c r="HQ335" s="16"/>
      <c r="HR335" s="16"/>
      <c r="HS335" s="16"/>
      <c r="HT335" s="16"/>
      <c r="HU335" s="16"/>
      <c r="HV335" s="17"/>
      <c r="HZ335" s="24"/>
      <c r="IA335" s="60"/>
      <c r="IB335" s="16"/>
      <c r="IC335" s="16"/>
      <c r="ID335" s="16"/>
      <c r="IE335" s="16"/>
      <c r="IF335" s="16"/>
      <c r="IG335" s="17"/>
      <c r="IK335" s="24"/>
      <c r="IL335" s="60"/>
      <c r="IM335" s="16"/>
      <c r="IN335" s="16"/>
      <c r="IO335" s="16"/>
      <c r="IP335" s="16"/>
      <c r="IQ335" s="16"/>
      <c r="IR335" s="17"/>
      <c r="IV335" s="24"/>
      <c r="IW335" s="60"/>
      <c r="IX335" s="16"/>
      <c r="IY335" s="16"/>
      <c r="IZ335" s="16"/>
      <c r="JA335" s="16"/>
      <c r="JB335" s="16"/>
      <c r="JC335" s="17"/>
      <c r="JG335" s="24"/>
      <c r="JH335" s="60"/>
      <c r="JI335" s="16"/>
      <c r="JJ335" s="16"/>
      <c r="JK335" s="16"/>
      <c r="JL335" s="16"/>
      <c r="JM335" s="16"/>
      <c r="JN335" s="17"/>
      <c r="JR335" s="24"/>
      <c r="JS335" s="60"/>
      <c r="JT335" s="16"/>
      <c r="JU335" s="16"/>
      <c r="JV335" s="16"/>
      <c r="JW335" s="16"/>
      <c r="JX335" s="16"/>
      <c r="JY335" s="17"/>
      <c r="KC335" s="24"/>
      <c r="KD335" s="60"/>
      <c r="KE335" s="16"/>
      <c r="KF335" s="16"/>
      <c r="KG335" s="16"/>
      <c r="KH335" s="16"/>
      <c r="KI335" s="16"/>
      <c r="KJ335" s="17"/>
      <c r="KN335" s="24"/>
      <c r="KO335" s="60"/>
      <c r="KP335" s="16"/>
      <c r="KQ335" s="16"/>
      <c r="KR335" s="16"/>
      <c r="KS335" s="16"/>
      <c r="KT335" s="16"/>
      <c r="KU335" s="17"/>
      <c r="KY335" s="24"/>
      <c r="KZ335" s="60"/>
      <c r="LA335" s="16"/>
      <c r="LB335" s="16"/>
      <c r="LC335" s="16"/>
      <c r="LD335" s="16"/>
      <c r="LE335" s="16"/>
      <c r="LF335" s="17"/>
      <c r="LJ335" s="24"/>
      <c r="LK335" s="60"/>
      <c r="LL335" s="16"/>
      <c r="LM335" s="16"/>
      <c r="LN335" s="16"/>
      <c r="LO335" s="16"/>
      <c r="LP335" s="16"/>
      <c r="LQ335" s="17"/>
    </row>
    <row r="336">
      <c r="C336" s="31"/>
      <c r="D336" s="61"/>
      <c r="E336" s="16"/>
      <c r="F336" s="16"/>
      <c r="G336" s="21"/>
      <c r="H336" s="16"/>
      <c r="I336" s="16"/>
      <c r="J336" s="17"/>
      <c r="N336" s="17"/>
      <c r="O336" s="61"/>
      <c r="P336" s="16"/>
      <c r="Q336" s="16"/>
      <c r="R336" s="16"/>
      <c r="S336" s="16"/>
      <c r="T336" s="16"/>
      <c r="U336" s="17"/>
      <c r="Y336" s="24"/>
      <c r="Z336" s="61"/>
      <c r="AA336" s="16"/>
      <c r="AB336" s="16"/>
      <c r="AC336" s="16"/>
      <c r="AD336" s="16"/>
      <c r="AE336" s="16"/>
      <c r="AF336" s="17"/>
      <c r="AJ336" s="24"/>
      <c r="AK336" s="61"/>
      <c r="AL336" s="16"/>
      <c r="AM336" s="16"/>
      <c r="AN336" s="16"/>
      <c r="AO336" s="16"/>
      <c r="AP336" s="16"/>
      <c r="AQ336" s="17"/>
      <c r="AU336" s="24"/>
      <c r="AV336" s="61"/>
      <c r="AW336" s="16"/>
      <c r="AX336" s="16"/>
      <c r="AY336" s="16"/>
      <c r="AZ336" s="16"/>
      <c r="BA336" s="16"/>
      <c r="BB336" s="17"/>
      <c r="BF336" s="24"/>
      <c r="BG336" s="61"/>
      <c r="BH336" s="16"/>
      <c r="BI336" s="16"/>
      <c r="BJ336" s="16"/>
      <c r="BK336" s="16"/>
      <c r="BL336" s="16"/>
      <c r="BM336" s="17"/>
      <c r="BQ336" s="24"/>
      <c r="BR336" s="61"/>
      <c r="BS336" s="16"/>
      <c r="BT336" s="16"/>
      <c r="BU336" s="16"/>
      <c r="BV336" s="16"/>
      <c r="BW336" s="16"/>
      <c r="BX336" s="17"/>
      <c r="CB336" s="24"/>
      <c r="CC336" s="61"/>
      <c r="CD336" s="16"/>
      <c r="CE336" s="16"/>
      <c r="CF336" s="16"/>
      <c r="CG336" s="16"/>
      <c r="CH336" s="16"/>
      <c r="CI336" s="17"/>
      <c r="CM336" s="24"/>
      <c r="CN336" s="61"/>
      <c r="CO336" s="16"/>
      <c r="CP336" s="16"/>
      <c r="CQ336" s="16"/>
      <c r="CR336" s="16"/>
      <c r="CS336" s="16"/>
      <c r="CT336" s="17"/>
      <c r="CX336" s="24"/>
      <c r="CY336" s="60"/>
      <c r="CZ336" s="16"/>
      <c r="DA336" s="16"/>
      <c r="DB336" s="16"/>
      <c r="DC336" s="16"/>
      <c r="DD336" s="16"/>
      <c r="DE336" s="17"/>
      <c r="DI336" s="24"/>
      <c r="DJ336" s="60"/>
      <c r="DK336" s="16"/>
      <c r="DL336" s="16"/>
      <c r="DM336" s="16"/>
      <c r="DN336" s="16"/>
      <c r="DO336" s="16"/>
      <c r="DP336" s="17"/>
      <c r="DT336" s="24"/>
      <c r="DU336" s="60"/>
      <c r="DV336" s="16"/>
      <c r="DW336" s="16"/>
      <c r="DX336" s="16"/>
      <c r="DY336" s="16"/>
      <c r="DZ336" s="16"/>
      <c r="EA336" s="17"/>
      <c r="EE336" s="24"/>
      <c r="EF336" s="60"/>
      <c r="EG336" s="16"/>
      <c r="EH336" s="16"/>
      <c r="EI336" s="16"/>
      <c r="EJ336" s="16"/>
      <c r="EK336" s="16"/>
      <c r="EL336" s="17"/>
      <c r="EP336" s="24"/>
      <c r="EQ336" s="60"/>
      <c r="ER336" s="16"/>
      <c r="ES336" s="16"/>
      <c r="ET336" s="16"/>
      <c r="EU336" s="16"/>
      <c r="EV336" s="16"/>
      <c r="EW336" s="17"/>
      <c r="FA336" s="24"/>
      <c r="FB336" s="60"/>
      <c r="FC336" s="16"/>
      <c r="FD336" s="16"/>
      <c r="FE336" s="16"/>
      <c r="FF336" s="16"/>
      <c r="FG336" s="16"/>
      <c r="FH336" s="17"/>
      <c r="FL336" s="24"/>
      <c r="FM336" s="60"/>
      <c r="FN336" s="16"/>
      <c r="FO336" s="16"/>
      <c r="FP336" s="16"/>
      <c r="FQ336" s="16"/>
      <c r="FR336" s="16"/>
      <c r="FS336" s="17"/>
      <c r="FW336" s="24"/>
      <c r="FX336" s="60"/>
      <c r="FY336" s="16"/>
      <c r="FZ336" s="16"/>
      <c r="GA336" s="16"/>
      <c r="GB336" s="16"/>
      <c r="GC336" s="16"/>
      <c r="GD336" s="17"/>
      <c r="GH336" s="24"/>
      <c r="GI336" s="60"/>
      <c r="GJ336" s="16"/>
      <c r="GK336" s="16"/>
      <c r="GL336" s="16"/>
      <c r="GM336" s="16"/>
      <c r="GN336" s="16"/>
      <c r="GO336" s="17"/>
      <c r="GS336" s="24"/>
      <c r="GT336" s="60"/>
      <c r="GU336" s="16"/>
      <c r="GV336" s="16"/>
      <c r="GW336" s="16"/>
      <c r="GX336" s="16"/>
      <c r="GY336" s="16"/>
      <c r="GZ336" s="17"/>
      <c r="HD336" s="24"/>
      <c r="HE336" s="60"/>
      <c r="HF336" s="16"/>
      <c r="HG336" s="16"/>
      <c r="HH336" s="16"/>
      <c r="HI336" s="16"/>
      <c r="HJ336" s="16"/>
      <c r="HK336" s="17"/>
      <c r="HO336" s="24"/>
      <c r="HP336" s="60"/>
      <c r="HQ336" s="16"/>
      <c r="HR336" s="16"/>
      <c r="HS336" s="16"/>
      <c r="HT336" s="16"/>
      <c r="HU336" s="16"/>
      <c r="HV336" s="17"/>
      <c r="HZ336" s="24"/>
      <c r="IA336" s="60"/>
      <c r="IB336" s="16"/>
      <c r="IC336" s="16"/>
      <c r="ID336" s="16"/>
      <c r="IE336" s="16"/>
      <c r="IF336" s="16"/>
      <c r="IG336" s="17"/>
      <c r="IK336" s="24"/>
      <c r="IL336" s="60"/>
      <c r="IM336" s="16"/>
      <c r="IN336" s="16"/>
      <c r="IO336" s="16"/>
      <c r="IP336" s="16"/>
      <c r="IQ336" s="16"/>
      <c r="IR336" s="17"/>
      <c r="IV336" s="24"/>
      <c r="IW336" s="60"/>
      <c r="IX336" s="16"/>
      <c r="IY336" s="16"/>
      <c r="IZ336" s="16"/>
      <c r="JA336" s="16"/>
      <c r="JB336" s="16"/>
      <c r="JC336" s="17"/>
      <c r="JG336" s="24"/>
      <c r="JH336" s="60"/>
      <c r="JI336" s="16"/>
      <c r="JJ336" s="16"/>
      <c r="JK336" s="16"/>
      <c r="JL336" s="16"/>
      <c r="JM336" s="16"/>
      <c r="JN336" s="17"/>
      <c r="JR336" s="24"/>
      <c r="JS336" s="60"/>
      <c r="JT336" s="16"/>
      <c r="JU336" s="16"/>
      <c r="JV336" s="16"/>
      <c r="JW336" s="16"/>
      <c r="JX336" s="16"/>
      <c r="JY336" s="17"/>
      <c r="KC336" s="24"/>
      <c r="KD336" s="60"/>
      <c r="KE336" s="16"/>
      <c r="KF336" s="16"/>
      <c r="KG336" s="16"/>
      <c r="KH336" s="16"/>
      <c r="KI336" s="16"/>
      <c r="KJ336" s="17"/>
      <c r="KN336" s="24"/>
      <c r="KO336" s="60"/>
      <c r="KP336" s="16"/>
      <c r="KQ336" s="16"/>
      <c r="KR336" s="16"/>
      <c r="KS336" s="16"/>
      <c r="KT336" s="16"/>
      <c r="KU336" s="17"/>
      <c r="KY336" s="24"/>
      <c r="KZ336" s="60"/>
      <c r="LA336" s="16"/>
      <c r="LB336" s="16"/>
      <c r="LC336" s="16"/>
      <c r="LD336" s="16"/>
      <c r="LE336" s="16"/>
      <c r="LF336" s="17"/>
      <c r="LJ336" s="24"/>
      <c r="LK336" s="60"/>
      <c r="LL336" s="16"/>
      <c r="LM336" s="16"/>
      <c r="LN336" s="16"/>
      <c r="LO336" s="16"/>
      <c r="LP336" s="16"/>
      <c r="LQ336" s="17"/>
    </row>
    <row r="337">
      <c r="C337" s="31"/>
      <c r="D337" s="61"/>
      <c r="E337" s="16"/>
      <c r="F337" s="16"/>
      <c r="G337" s="21"/>
      <c r="H337" s="16"/>
      <c r="I337" s="16"/>
      <c r="J337" s="17"/>
      <c r="N337" s="17"/>
      <c r="O337" s="61"/>
      <c r="P337" s="16"/>
      <c r="Q337" s="16"/>
      <c r="R337" s="16"/>
      <c r="S337" s="16"/>
      <c r="T337" s="16"/>
      <c r="U337" s="17"/>
      <c r="Y337" s="24"/>
      <c r="Z337" s="61"/>
      <c r="AA337" s="16"/>
      <c r="AB337" s="16"/>
      <c r="AC337" s="16"/>
      <c r="AD337" s="16"/>
      <c r="AE337" s="16"/>
      <c r="AF337" s="17"/>
      <c r="AJ337" s="24"/>
      <c r="AK337" s="61"/>
      <c r="AL337" s="16"/>
      <c r="AM337" s="16"/>
      <c r="AN337" s="16"/>
      <c r="AO337" s="16"/>
      <c r="AP337" s="16"/>
      <c r="AQ337" s="17"/>
      <c r="AU337" s="24"/>
      <c r="AV337" s="61"/>
      <c r="AW337" s="16"/>
      <c r="AX337" s="16"/>
      <c r="AY337" s="16"/>
      <c r="AZ337" s="16"/>
      <c r="BA337" s="16"/>
      <c r="BB337" s="17"/>
      <c r="BF337" s="24"/>
      <c r="BG337" s="61"/>
      <c r="BH337" s="16"/>
      <c r="BI337" s="16"/>
      <c r="BJ337" s="16"/>
      <c r="BK337" s="16"/>
      <c r="BL337" s="16"/>
      <c r="BM337" s="17"/>
      <c r="BQ337" s="24"/>
      <c r="BR337" s="61"/>
      <c r="BS337" s="16"/>
      <c r="BT337" s="16"/>
      <c r="BU337" s="16"/>
      <c r="BV337" s="16"/>
      <c r="BW337" s="16"/>
      <c r="BX337" s="17"/>
      <c r="CB337" s="24"/>
      <c r="CC337" s="61"/>
      <c r="CD337" s="16"/>
      <c r="CE337" s="16"/>
      <c r="CF337" s="16"/>
      <c r="CG337" s="16"/>
      <c r="CH337" s="16"/>
      <c r="CI337" s="17"/>
      <c r="CM337" s="24"/>
      <c r="CN337" s="61"/>
      <c r="CO337" s="16"/>
      <c r="CP337" s="16"/>
      <c r="CQ337" s="16"/>
      <c r="CR337" s="16"/>
      <c r="CS337" s="16"/>
      <c r="CT337" s="17"/>
      <c r="CX337" s="24"/>
      <c r="CY337" s="60"/>
      <c r="CZ337" s="16"/>
      <c r="DA337" s="16"/>
      <c r="DB337" s="16"/>
      <c r="DC337" s="16"/>
      <c r="DD337" s="16"/>
      <c r="DE337" s="17"/>
      <c r="DI337" s="24"/>
      <c r="DJ337" s="60"/>
      <c r="DK337" s="16"/>
      <c r="DL337" s="16"/>
      <c r="DM337" s="16"/>
      <c r="DN337" s="16"/>
      <c r="DO337" s="16"/>
      <c r="DP337" s="17"/>
      <c r="DT337" s="24"/>
      <c r="DU337" s="60"/>
      <c r="DV337" s="16"/>
      <c r="DW337" s="16"/>
      <c r="DX337" s="16"/>
      <c r="DY337" s="16"/>
      <c r="DZ337" s="16"/>
      <c r="EA337" s="17"/>
      <c r="EE337" s="24"/>
      <c r="EF337" s="60"/>
      <c r="EG337" s="16"/>
      <c r="EH337" s="16"/>
      <c r="EI337" s="16"/>
      <c r="EJ337" s="16"/>
      <c r="EK337" s="16"/>
      <c r="EL337" s="17"/>
      <c r="EP337" s="24"/>
      <c r="EQ337" s="60"/>
      <c r="ER337" s="16"/>
      <c r="ES337" s="16"/>
      <c r="ET337" s="16"/>
      <c r="EU337" s="16"/>
      <c r="EV337" s="16"/>
      <c r="EW337" s="17"/>
      <c r="FA337" s="24"/>
      <c r="FB337" s="60"/>
      <c r="FC337" s="16"/>
      <c r="FD337" s="16"/>
      <c r="FE337" s="16"/>
      <c r="FF337" s="16"/>
      <c r="FG337" s="16"/>
      <c r="FH337" s="17"/>
      <c r="FL337" s="24"/>
      <c r="FM337" s="60"/>
      <c r="FN337" s="16"/>
      <c r="FO337" s="16"/>
      <c r="FP337" s="16"/>
      <c r="FQ337" s="16"/>
      <c r="FR337" s="16"/>
      <c r="FS337" s="17"/>
      <c r="FW337" s="24"/>
      <c r="FX337" s="60"/>
      <c r="FY337" s="16"/>
      <c r="FZ337" s="16"/>
      <c r="GA337" s="16"/>
      <c r="GB337" s="16"/>
      <c r="GC337" s="16"/>
      <c r="GD337" s="17"/>
      <c r="GH337" s="24"/>
      <c r="GI337" s="60"/>
      <c r="GJ337" s="16"/>
      <c r="GK337" s="16"/>
      <c r="GL337" s="16"/>
      <c r="GM337" s="16"/>
      <c r="GN337" s="16"/>
      <c r="GO337" s="17"/>
      <c r="GS337" s="24"/>
      <c r="GT337" s="60"/>
      <c r="GU337" s="16"/>
      <c r="GV337" s="16"/>
      <c r="GW337" s="16"/>
      <c r="GX337" s="16"/>
      <c r="GY337" s="16"/>
      <c r="GZ337" s="17"/>
      <c r="HD337" s="24"/>
      <c r="HE337" s="60"/>
      <c r="HF337" s="16"/>
      <c r="HG337" s="16"/>
      <c r="HH337" s="16"/>
      <c r="HI337" s="16"/>
      <c r="HJ337" s="16"/>
      <c r="HK337" s="17"/>
      <c r="HO337" s="24"/>
      <c r="HP337" s="60"/>
      <c r="HQ337" s="16"/>
      <c r="HR337" s="16"/>
      <c r="HS337" s="16"/>
      <c r="HT337" s="16"/>
      <c r="HU337" s="16"/>
      <c r="HV337" s="17"/>
      <c r="HZ337" s="24"/>
      <c r="IA337" s="60"/>
      <c r="IB337" s="16"/>
      <c r="IC337" s="16"/>
      <c r="ID337" s="16"/>
      <c r="IE337" s="16"/>
      <c r="IF337" s="16"/>
      <c r="IG337" s="17"/>
      <c r="IK337" s="24"/>
      <c r="IL337" s="60"/>
      <c r="IM337" s="16"/>
      <c r="IN337" s="16"/>
      <c r="IO337" s="16"/>
      <c r="IP337" s="16"/>
      <c r="IQ337" s="16"/>
      <c r="IR337" s="17"/>
      <c r="IV337" s="24"/>
      <c r="IW337" s="60"/>
      <c r="IX337" s="16"/>
      <c r="IY337" s="16"/>
      <c r="IZ337" s="16"/>
      <c r="JA337" s="16"/>
      <c r="JB337" s="16"/>
      <c r="JC337" s="17"/>
      <c r="JG337" s="24"/>
      <c r="JH337" s="60"/>
      <c r="JI337" s="16"/>
      <c r="JJ337" s="16"/>
      <c r="JK337" s="16"/>
      <c r="JL337" s="16"/>
      <c r="JM337" s="16"/>
      <c r="JN337" s="17"/>
      <c r="JR337" s="24"/>
      <c r="JS337" s="60"/>
      <c r="JT337" s="16"/>
      <c r="JU337" s="16"/>
      <c r="JV337" s="16"/>
      <c r="JW337" s="16"/>
      <c r="JX337" s="16"/>
      <c r="JY337" s="17"/>
      <c r="KC337" s="24"/>
      <c r="KD337" s="60"/>
      <c r="KE337" s="16"/>
      <c r="KF337" s="16"/>
      <c r="KG337" s="16"/>
      <c r="KH337" s="16"/>
      <c r="KI337" s="16"/>
      <c r="KJ337" s="17"/>
      <c r="KN337" s="24"/>
      <c r="KO337" s="60"/>
      <c r="KP337" s="16"/>
      <c r="KQ337" s="16"/>
      <c r="KR337" s="16"/>
      <c r="KS337" s="16"/>
      <c r="KT337" s="16"/>
      <c r="KU337" s="17"/>
      <c r="KY337" s="24"/>
      <c r="KZ337" s="60"/>
      <c r="LA337" s="16"/>
      <c r="LB337" s="16"/>
      <c r="LC337" s="16"/>
      <c r="LD337" s="16"/>
      <c r="LE337" s="16"/>
      <c r="LF337" s="17"/>
      <c r="LJ337" s="24"/>
      <c r="LK337" s="60"/>
      <c r="LL337" s="16"/>
      <c r="LM337" s="16"/>
      <c r="LN337" s="16"/>
      <c r="LO337" s="16"/>
      <c r="LP337" s="16"/>
      <c r="LQ337" s="17"/>
    </row>
    <row r="338">
      <c r="C338" s="31"/>
      <c r="D338" s="61"/>
      <c r="E338" s="16"/>
      <c r="F338" s="16"/>
      <c r="G338" s="21"/>
      <c r="H338" s="16"/>
      <c r="I338" s="16"/>
      <c r="J338" s="17"/>
      <c r="N338" s="17"/>
      <c r="O338" s="61"/>
      <c r="P338" s="16"/>
      <c r="Q338" s="16"/>
      <c r="R338" s="16"/>
      <c r="S338" s="16"/>
      <c r="T338" s="16"/>
      <c r="U338" s="17"/>
      <c r="Y338" s="24"/>
      <c r="Z338" s="61"/>
      <c r="AA338" s="16"/>
      <c r="AB338" s="16"/>
      <c r="AC338" s="16"/>
      <c r="AD338" s="16"/>
      <c r="AE338" s="16"/>
      <c r="AF338" s="17"/>
      <c r="AJ338" s="24"/>
      <c r="AK338" s="61"/>
      <c r="AL338" s="16"/>
      <c r="AM338" s="16"/>
      <c r="AN338" s="16"/>
      <c r="AO338" s="16"/>
      <c r="AP338" s="16"/>
      <c r="AQ338" s="17"/>
      <c r="AU338" s="24"/>
      <c r="AV338" s="61"/>
      <c r="AW338" s="16"/>
      <c r="AX338" s="16"/>
      <c r="AY338" s="16"/>
      <c r="AZ338" s="16"/>
      <c r="BA338" s="16"/>
      <c r="BB338" s="17"/>
      <c r="BF338" s="24"/>
      <c r="BG338" s="61"/>
      <c r="BH338" s="16"/>
      <c r="BI338" s="16"/>
      <c r="BJ338" s="16"/>
      <c r="BK338" s="16"/>
      <c r="BL338" s="16"/>
      <c r="BM338" s="17"/>
      <c r="BQ338" s="24"/>
      <c r="BR338" s="61"/>
      <c r="BS338" s="16"/>
      <c r="BT338" s="16"/>
      <c r="BU338" s="16"/>
      <c r="BV338" s="16"/>
      <c r="BW338" s="16"/>
      <c r="BX338" s="17"/>
      <c r="CB338" s="24"/>
      <c r="CC338" s="61"/>
      <c r="CD338" s="16"/>
      <c r="CE338" s="16"/>
      <c r="CF338" s="16"/>
      <c r="CG338" s="16"/>
      <c r="CH338" s="16"/>
      <c r="CI338" s="17"/>
      <c r="CM338" s="24"/>
      <c r="CN338" s="61"/>
      <c r="CO338" s="16"/>
      <c r="CP338" s="16"/>
      <c r="CQ338" s="16"/>
      <c r="CR338" s="16"/>
      <c r="CS338" s="16"/>
      <c r="CT338" s="17"/>
      <c r="CX338" s="24"/>
      <c r="CY338" s="60"/>
      <c r="CZ338" s="16"/>
      <c r="DA338" s="16"/>
      <c r="DB338" s="16"/>
      <c r="DC338" s="16"/>
      <c r="DD338" s="16"/>
      <c r="DE338" s="17"/>
      <c r="DI338" s="24"/>
      <c r="DJ338" s="60"/>
      <c r="DK338" s="16"/>
      <c r="DL338" s="16"/>
      <c r="DM338" s="16"/>
      <c r="DN338" s="16"/>
      <c r="DO338" s="16"/>
      <c r="DP338" s="17"/>
      <c r="DT338" s="24"/>
      <c r="DU338" s="60"/>
      <c r="DV338" s="16"/>
      <c r="DW338" s="16"/>
      <c r="DX338" s="16"/>
      <c r="DY338" s="16"/>
      <c r="DZ338" s="16"/>
      <c r="EA338" s="17"/>
      <c r="EE338" s="24"/>
      <c r="EF338" s="60"/>
      <c r="EG338" s="16"/>
      <c r="EH338" s="16"/>
      <c r="EI338" s="16"/>
      <c r="EJ338" s="16"/>
      <c r="EK338" s="16"/>
      <c r="EL338" s="17"/>
      <c r="EP338" s="24"/>
      <c r="EQ338" s="60"/>
      <c r="ER338" s="16"/>
      <c r="ES338" s="16"/>
      <c r="ET338" s="16"/>
      <c r="EU338" s="16"/>
      <c r="EV338" s="16"/>
      <c r="EW338" s="17"/>
      <c r="FA338" s="24"/>
      <c r="FB338" s="60"/>
      <c r="FC338" s="16"/>
      <c r="FD338" s="16"/>
      <c r="FE338" s="16"/>
      <c r="FF338" s="16"/>
      <c r="FG338" s="16"/>
      <c r="FH338" s="17"/>
      <c r="FL338" s="24"/>
      <c r="FM338" s="60"/>
      <c r="FN338" s="16"/>
      <c r="FO338" s="16"/>
      <c r="FP338" s="16"/>
      <c r="FQ338" s="16"/>
      <c r="FR338" s="16"/>
      <c r="FS338" s="17"/>
      <c r="FW338" s="24"/>
      <c r="FX338" s="60"/>
      <c r="FY338" s="16"/>
      <c r="FZ338" s="16"/>
      <c r="GA338" s="16"/>
      <c r="GB338" s="16"/>
      <c r="GC338" s="16"/>
      <c r="GD338" s="17"/>
      <c r="GH338" s="24"/>
      <c r="GI338" s="60"/>
      <c r="GJ338" s="16"/>
      <c r="GK338" s="16"/>
      <c r="GL338" s="16"/>
      <c r="GM338" s="16"/>
      <c r="GN338" s="16"/>
      <c r="GO338" s="17"/>
      <c r="GS338" s="24"/>
      <c r="GT338" s="60"/>
      <c r="GU338" s="16"/>
      <c r="GV338" s="16"/>
      <c r="GW338" s="16"/>
      <c r="GX338" s="16"/>
      <c r="GY338" s="16"/>
      <c r="GZ338" s="17"/>
      <c r="HD338" s="24"/>
      <c r="HE338" s="60"/>
      <c r="HF338" s="16"/>
      <c r="HG338" s="16"/>
      <c r="HH338" s="16"/>
      <c r="HI338" s="16"/>
      <c r="HJ338" s="16"/>
      <c r="HK338" s="17"/>
      <c r="HO338" s="24"/>
      <c r="HP338" s="60"/>
      <c r="HQ338" s="16"/>
      <c r="HR338" s="16"/>
      <c r="HS338" s="16"/>
      <c r="HT338" s="16"/>
      <c r="HU338" s="16"/>
      <c r="HV338" s="17"/>
      <c r="HZ338" s="24"/>
      <c r="IA338" s="60"/>
      <c r="IB338" s="16"/>
      <c r="IC338" s="16"/>
      <c r="ID338" s="16"/>
      <c r="IE338" s="16"/>
      <c r="IF338" s="16"/>
      <c r="IG338" s="17"/>
      <c r="IK338" s="24"/>
      <c r="IL338" s="60"/>
      <c r="IM338" s="16"/>
      <c r="IN338" s="16"/>
      <c r="IO338" s="16"/>
      <c r="IP338" s="16"/>
      <c r="IQ338" s="16"/>
      <c r="IR338" s="17"/>
      <c r="IV338" s="24"/>
      <c r="IW338" s="60"/>
      <c r="IX338" s="16"/>
      <c r="IY338" s="16"/>
      <c r="IZ338" s="16"/>
      <c r="JA338" s="16"/>
      <c r="JB338" s="16"/>
      <c r="JC338" s="17"/>
      <c r="JG338" s="24"/>
      <c r="JH338" s="60"/>
      <c r="JI338" s="16"/>
      <c r="JJ338" s="16"/>
      <c r="JK338" s="16"/>
      <c r="JL338" s="16"/>
      <c r="JM338" s="16"/>
      <c r="JN338" s="17"/>
      <c r="JR338" s="24"/>
      <c r="JS338" s="60"/>
      <c r="JT338" s="16"/>
      <c r="JU338" s="16"/>
      <c r="JV338" s="16"/>
      <c r="JW338" s="16"/>
      <c r="JX338" s="16"/>
      <c r="JY338" s="17"/>
      <c r="KC338" s="24"/>
      <c r="KD338" s="60"/>
      <c r="KE338" s="16"/>
      <c r="KF338" s="16"/>
      <c r="KG338" s="16"/>
      <c r="KH338" s="16"/>
      <c r="KI338" s="16"/>
      <c r="KJ338" s="17"/>
      <c r="KN338" s="24"/>
      <c r="KO338" s="60"/>
      <c r="KP338" s="16"/>
      <c r="KQ338" s="16"/>
      <c r="KR338" s="16"/>
      <c r="KS338" s="16"/>
      <c r="KT338" s="16"/>
      <c r="KU338" s="17"/>
      <c r="KY338" s="24"/>
      <c r="KZ338" s="60"/>
      <c r="LA338" s="16"/>
      <c r="LB338" s="16"/>
      <c r="LC338" s="16"/>
      <c r="LD338" s="16"/>
      <c r="LE338" s="16"/>
      <c r="LF338" s="17"/>
      <c r="LJ338" s="24"/>
      <c r="LK338" s="60"/>
      <c r="LL338" s="16"/>
      <c r="LM338" s="16"/>
      <c r="LN338" s="16"/>
      <c r="LO338" s="16"/>
      <c r="LP338" s="16"/>
      <c r="LQ338" s="17"/>
    </row>
    <row r="339">
      <c r="C339" s="31"/>
      <c r="D339" s="61"/>
      <c r="E339" s="16"/>
      <c r="F339" s="16"/>
      <c r="G339" s="21"/>
      <c r="H339" s="16"/>
      <c r="I339" s="16"/>
      <c r="J339" s="17"/>
      <c r="N339" s="17"/>
      <c r="O339" s="61"/>
      <c r="P339" s="16"/>
      <c r="Q339" s="16"/>
      <c r="R339" s="16"/>
      <c r="S339" s="16"/>
      <c r="T339" s="16"/>
      <c r="U339" s="17"/>
      <c r="Y339" s="24"/>
      <c r="Z339" s="61"/>
      <c r="AA339" s="16"/>
      <c r="AB339" s="16"/>
      <c r="AC339" s="16"/>
      <c r="AD339" s="16"/>
      <c r="AE339" s="16"/>
      <c r="AF339" s="17"/>
      <c r="AJ339" s="24"/>
      <c r="AK339" s="61"/>
      <c r="AL339" s="16"/>
      <c r="AM339" s="16"/>
      <c r="AN339" s="16"/>
      <c r="AO339" s="16"/>
      <c r="AP339" s="16"/>
      <c r="AQ339" s="17"/>
      <c r="AU339" s="24"/>
      <c r="AV339" s="61"/>
      <c r="AW339" s="16"/>
      <c r="AX339" s="16"/>
      <c r="AY339" s="16"/>
      <c r="AZ339" s="16"/>
      <c r="BA339" s="16"/>
      <c r="BB339" s="17"/>
      <c r="BF339" s="24"/>
      <c r="BG339" s="61"/>
      <c r="BH339" s="16"/>
      <c r="BI339" s="16"/>
      <c r="BJ339" s="16"/>
      <c r="BK339" s="16"/>
      <c r="BL339" s="16"/>
      <c r="BM339" s="17"/>
      <c r="BQ339" s="24"/>
      <c r="BR339" s="61"/>
      <c r="BS339" s="16"/>
      <c r="BT339" s="16"/>
      <c r="BU339" s="16"/>
      <c r="BV339" s="16"/>
      <c r="BW339" s="16"/>
      <c r="BX339" s="17"/>
      <c r="CB339" s="24"/>
      <c r="CC339" s="61"/>
      <c r="CD339" s="16"/>
      <c r="CE339" s="16"/>
      <c r="CF339" s="16"/>
      <c r="CG339" s="16"/>
      <c r="CH339" s="16"/>
      <c r="CI339" s="17"/>
      <c r="CM339" s="24"/>
      <c r="CN339" s="61"/>
      <c r="CO339" s="16"/>
      <c r="CP339" s="16"/>
      <c r="CQ339" s="16"/>
      <c r="CR339" s="16"/>
      <c r="CS339" s="16"/>
      <c r="CT339" s="17"/>
      <c r="CX339" s="24"/>
      <c r="CY339" s="60"/>
      <c r="CZ339" s="16"/>
      <c r="DA339" s="16"/>
      <c r="DB339" s="16"/>
      <c r="DC339" s="16"/>
      <c r="DD339" s="16"/>
      <c r="DE339" s="17"/>
      <c r="DI339" s="24"/>
      <c r="DJ339" s="60"/>
      <c r="DK339" s="16"/>
      <c r="DL339" s="16"/>
      <c r="DM339" s="16"/>
      <c r="DN339" s="16"/>
      <c r="DO339" s="16"/>
      <c r="DP339" s="17"/>
      <c r="DT339" s="24"/>
      <c r="DU339" s="60"/>
      <c r="DV339" s="16"/>
      <c r="DW339" s="16"/>
      <c r="DX339" s="16"/>
      <c r="DY339" s="16"/>
      <c r="DZ339" s="16"/>
      <c r="EA339" s="17"/>
      <c r="EE339" s="24"/>
      <c r="EF339" s="60"/>
      <c r="EG339" s="16"/>
      <c r="EH339" s="16"/>
      <c r="EI339" s="16"/>
      <c r="EJ339" s="16"/>
      <c r="EK339" s="16"/>
      <c r="EL339" s="17"/>
      <c r="EP339" s="24"/>
      <c r="EQ339" s="60"/>
      <c r="ER339" s="16"/>
      <c r="ES339" s="16"/>
      <c r="ET339" s="16"/>
      <c r="EU339" s="16"/>
      <c r="EV339" s="16"/>
      <c r="EW339" s="17"/>
      <c r="FA339" s="24"/>
      <c r="FB339" s="60"/>
      <c r="FC339" s="16"/>
      <c r="FD339" s="16"/>
      <c r="FE339" s="16"/>
      <c r="FF339" s="16"/>
      <c r="FG339" s="16"/>
      <c r="FH339" s="17"/>
      <c r="FL339" s="24"/>
      <c r="FM339" s="60"/>
      <c r="FN339" s="16"/>
      <c r="FO339" s="16"/>
      <c r="FP339" s="16"/>
      <c r="FQ339" s="16"/>
      <c r="FR339" s="16"/>
      <c r="FS339" s="17"/>
      <c r="FW339" s="24"/>
      <c r="FX339" s="60"/>
      <c r="FY339" s="16"/>
      <c r="FZ339" s="16"/>
      <c r="GA339" s="16"/>
      <c r="GB339" s="16"/>
      <c r="GC339" s="16"/>
      <c r="GD339" s="17"/>
      <c r="GH339" s="24"/>
      <c r="GI339" s="60"/>
      <c r="GJ339" s="16"/>
      <c r="GK339" s="16"/>
      <c r="GL339" s="16"/>
      <c r="GM339" s="16"/>
      <c r="GN339" s="16"/>
      <c r="GO339" s="17"/>
      <c r="GS339" s="24"/>
      <c r="GT339" s="60"/>
      <c r="GU339" s="16"/>
      <c r="GV339" s="16"/>
      <c r="GW339" s="16"/>
      <c r="GX339" s="16"/>
      <c r="GY339" s="16"/>
      <c r="GZ339" s="17"/>
      <c r="HD339" s="24"/>
      <c r="HE339" s="60"/>
      <c r="HF339" s="16"/>
      <c r="HG339" s="16"/>
      <c r="HH339" s="16"/>
      <c r="HI339" s="16"/>
      <c r="HJ339" s="16"/>
      <c r="HK339" s="17"/>
      <c r="HO339" s="24"/>
      <c r="HP339" s="60"/>
      <c r="HQ339" s="16"/>
      <c r="HR339" s="16"/>
      <c r="HS339" s="16"/>
      <c r="HT339" s="16"/>
      <c r="HU339" s="16"/>
      <c r="HV339" s="17"/>
      <c r="HZ339" s="24"/>
      <c r="IA339" s="60"/>
      <c r="IB339" s="16"/>
      <c r="IC339" s="16"/>
      <c r="ID339" s="16"/>
      <c r="IE339" s="16"/>
      <c r="IF339" s="16"/>
      <c r="IG339" s="17"/>
      <c r="IK339" s="24"/>
      <c r="IL339" s="60"/>
      <c r="IM339" s="16"/>
      <c r="IN339" s="16"/>
      <c r="IO339" s="16"/>
      <c r="IP339" s="16"/>
      <c r="IQ339" s="16"/>
      <c r="IR339" s="17"/>
      <c r="IV339" s="24"/>
      <c r="IW339" s="60"/>
      <c r="IX339" s="16"/>
      <c r="IY339" s="16"/>
      <c r="IZ339" s="16"/>
      <c r="JA339" s="16"/>
      <c r="JB339" s="16"/>
      <c r="JC339" s="17"/>
      <c r="JG339" s="24"/>
      <c r="JH339" s="60"/>
      <c r="JI339" s="16"/>
      <c r="JJ339" s="16"/>
      <c r="JK339" s="16"/>
      <c r="JL339" s="16"/>
      <c r="JM339" s="16"/>
      <c r="JN339" s="17"/>
      <c r="JR339" s="24"/>
      <c r="JS339" s="60"/>
      <c r="JT339" s="16"/>
      <c r="JU339" s="16"/>
      <c r="JV339" s="16"/>
      <c r="JW339" s="16"/>
      <c r="JX339" s="16"/>
      <c r="JY339" s="17"/>
      <c r="KC339" s="24"/>
      <c r="KD339" s="60"/>
      <c r="KE339" s="16"/>
      <c r="KF339" s="16"/>
      <c r="KG339" s="16"/>
      <c r="KH339" s="16"/>
      <c r="KI339" s="16"/>
      <c r="KJ339" s="17"/>
      <c r="KN339" s="24"/>
      <c r="KO339" s="60"/>
      <c r="KP339" s="16"/>
      <c r="KQ339" s="16"/>
      <c r="KR339" s="16"/>
      <c r="KS339" s="16"/>
      <c r="KT339" s="16"/>
      <c r="KU339" s="17"/>
      <c r="KY339" s="24"/>
      <c r="KZ339" s="60"/>
      <c r="LA339" s="16"/>
      <c r="LB339" s="16"/>
      <c r="LC339" s="16"/>
      <c r="LD339" s="16"/>
      <c r="LE339" s="16"/>
      <c r="LF339" s="17"/>
      <c r="LJ339" s="24"/>
      <c r="LK339" s="60"/>
      <c r="LL339" s="16"/>
      <c r="LM339" s="16"/>
      <c r="LN339" s="16"/>
      <c r="LO339" s="16"/>
      <c r="LP339" s="16"/>
      <c r="LQ339" s="17"/>
    </row>
    <row r="340">
      <c r="C340" s="31"/>
      <c r="D340" s="61"/>
      <c r="E340" s="16"/>
      <c r="F340" s="16"/>
      <c r="G340" s="21"/>
      <c r="H340" s="16"/>
      <c r="I340" s="16"/>
      <c r="J340" s="17"/>
      <c r="N340" s="17"/>
      <c r="O340" s="61"/>
      <c r="P340" s="16"/>
      <c r="Q340" s="16"/>
      <c r="R340" s="16"/>
      <c r="S340" s="16"/>
      <c r="T340" s="16"/>
      <c r="U340" s="17"/>
      <c r="Y340" s="24"/>
      <c r="Z340" s="61"/>
      <c r="AA340" s="16"/>
      <c r="AB340" s="16"/>
      <c r="AC340" s="16"/>
      <c r="AD340" s="16"/>
      <c r="AE340" s="16"/>
      <c r="AF340" s="17"/>
      <c r="AJ340" s="24"/>
      <c r="AK340" s="61"/>
      <c r="AL340" s="16"/>
      <c r="AM340" s="16"/>
      <c r="AN340" s="16"/>
      <c r="AO340" s="16"/>
      <c r="AP340" s="16"/>
      <c r="AQ340" s="17"/>
      <c r="AU340" s="24"/>
      <c r="AV340" s="61"/>
      <c r="AW340" s="16"/>
      <c r="AX340" s="16"/>
      <c r="AY340" s="16"/>
      <c r="AZ340" s="16"/>
      <c r="BA340" s="16"/>
      <c r="BB340" s="17"/>
      <c r="BF340" s="24"/>
      <c r="BG340" s="61"/>
      <c r="BH340" s="16"/>
      <c r="BI340" s="16"/>
      <c r="BJ340" s="16"/>
      <c r="BK340" s="16"/>
      <c r="BL340" s="16"/>
      <c r="BM340" s="17"/>
      <c r="BQ340" s="24"/>
      <c r="BR340" s="61"/>
      <c r="BS340" s="16"/>
      <c r="BT340" s="16"/>
      <c r="BU340" s="16"/>
      <c r="BV340" s="16"/>
      <c r="BW340" s="16"/>
      <c r="BX340" s="17"/>
      <c r="CB340" s="24"/>
      <c r="CC340" s="61"/>
      <c r="CD340" s="16"/>
      <c r="CE340" s="16"/>
      <c r="CF340" s="16"/>
      <c r="CG340" s="16"/>
      <c r="CH340" s="16"/>
      <c r="CI340" s="17"/>
      <c r="CM340" s="24"/>
      <c r="CN340" s="61"/>
      <c r="CO340" s="16"/>
      <c r="CP340" s="16"/>
      <c r="CQ340" s="16"/>
      <c r="CR340" s="16"/>
      <c r="CS340" s="16"/>
      <c r="CT340" s="17"/>
      <c r="CX340" s="24"/>
      <c r="CY340" s="60"/>
      <c r="CZ340" s="16"/>
      <c r="DA340" s="16"/>
      <c r="DB340" s="16"/>
      <c r="DC340" s="16"/>
      <c r="DD340" s="16"/>
      <c r="DE340" s="17"/>
      <c r="DI340" s="24"/>
      <c r="DJ340" s="60"/>
      <c r="DK340" s="16"/>
      <c r="DL340" s="16"/>
      <c r="DM340" s="16"/>
      <c r="DN340" s="16"/>
      <c r="DO340" s="16"/>
      <c r="DP340" s="17"/>
      <c r="DT340" s="24"/>
      <c r="DU340" s="60"/>
      <c r="DV340" s="16"/>
      <c r="DW340" s="16"/>
      <c r="DX340" s="16"/>
      <c r="DY340" s="16"/>
      <c r="DZ340" s="16"/>
      <c r="EA340" s="17"/>
      <c r="EE340" s="24"/>
      <c r="EF340" s="60"/>
      <c r="EG340" s="16"/>
      <c r="EH340" s="16"/>
      <c r="EI340" s="16"/>
      <c r="EJ340" s="16"/>
      <c r="EK340" s="16"/>
      <c r="EL340" s="17"/>
      <c r="EP340" s="24"/>
      <c r="EQ340" s="60"/>
      <c r="ER340" s="16"/>
      <c r="ES340" s="16"/>
      <c r="ET340" s="16"/>
      <c r="EU340" s="16"/>
      <c r="EV340" s="16"/>
      <c r="EW340" s="17"/>
      <c r="FA340" s="24"/>
      <c r="FB340" s="60"/>
      <c r="FC340" s="16"/>
      <c r="FD340" s="16"/>
      <c r="FE340" s="16"/>
      <c r="FF340" s="16"/>
      <c r="FG340" s="16"/>
      <c r="FH340" s="17"/>
      <c r="FL340" s="24"/>
      <c r="FM340" s="60"/>
      <c r="FN340" s="16"/>
      <c r="FO340" s="16"/>
      <c r="FP340" s="16"/>
      <c r="FQ340" s="16"/>
      <c r="FR340" s="16"/>
      <c r="FS340" s="17"/>
      <c r="FW340" s="24"/>
      <c r="FX340" s="60"/>
      <c r="FY340" s="16"/>
      <c r="FZ340" s="16"/>
      <c r="GA340" s="16"/>
      <c r="GB340" s="16"/>
      <c r="GC340" s="16"/>
      <c r="GD340" s="17"/>
      <c r="GH340" s="24"/>
      <c r="GI340" s="60"/>
      <c r="GJ340" s="16"/>
      <c r="GK340" s="16"/>
      <c r="GL340" s="16"/>
      <c r="GM340" s="16"/>
      <c r="GN340" s="16"/>
      <c r="GO340" s="17"/>
      <c r="GS340" s="24"/>
      <c r="GT340" s="60"/>
      <c r="GU340" s="16"/>
      <c r="GV340" s="16"/>
      <c r="GW340" s="16"/>
      <c r="GX340" s="16"/>
      <c r="GY340" s="16"/>
      <c r="GZ340" s="17"/>
      <c r="HD340" s="24"/>
      <c r="HE340" s="60"/>
      <c r="HF340" s="16"/>
      <c r="HG340" s="16"/>
      <c r="HH340" s="16"/>
      <c r="HI340" s="16"/>
      <c r="HJ340" s="16"/>
      <c r="HK340" s="17"/>
      <c r="HO340" s="24"/>
      <c r="HP340" s="60"/>
      <c r="HQ340" s="16"/>
      <c r="HR340" s="16"/>
      <c r="HS340" s="16"/>
      <c r="HT340" s="16"/>
      <c r="HU340" s="16"/>
      <c r="HV340" s="17"/>
      <c r="HZ340" s="24"/>
      <c r="IA340" s="60"/>
      <c r="IB340" s="16"/>
      <c r="IC340" s="16"/>
      <c r="ID340" s="16"/>
      <c r="IE340" s="16"/>
      <c r="IF340" s="16"/>
      <c r="IG340" s="17"/>
      <c r="IK340" s="24"/>
      <c r="IL340" s="60"/>
      <c r="IM340" s="16"/>
      <c r="IN340" s="16"/>
      <c r="IO340" s="16"/>
      <c r="IP340" s="16"/>
      <c r="IQ340" s="16"/>
      <c r="IR340" s="17"/>
      <c r="IV340" s="24"/>
      <c r="IW340" s="60"/>
      <c r="IX340" s="16"/>
      <c r="IY340" s="16"/>
      <c r="IZ340" s="16"/>
      <c r="JA340" s="16"/>
      <c r="JB340" s="16"/>
      <c r="JC340" s="17"/>
      <c r="JG340" s="24"/>
      <c r="JH340" s="60"/>
      <c r="JI340" s="16"/>
      <c r="JJ340" s="16"/>
      <c r="JK340" s="16"/>
      <c r="JL340" s="16"/>
      <c r="JM340" s="16"/>
      <c r="JN340" s="17"/>
      <c r="JR340" s="24"/>
      <c r="JS340" s="60"/>
      <c r="JT340" s="16"/>
      <c r="JU340" s="16"/>
      <c r="JV340" s="16"/>
      <c r="JW340" s="16"/>
      <c r="JX340" s="16"/>
      <c r="JY340" s="17"/>
      <c r="KC340" s="24"/>
      <c r="KD340" s="60"/>
      <c r="KE340" s="16"/>
      <c r="KF340" s="16"/>
      <c r="KG340" s="16"/>
      <c r="KH340" s="16"/>
      <c r="KI340" s="16"/>
      <c r="KJ340" s="17"/>
      <c r="KN340" s="24"/>
      <c r="KO340" s="60"/>
      <c r="KP340" s="16"/>
      <c r="KQ340" s="16"/>
      <c r="KR340" s="16"/>
      <c r="KS340" s="16"/>
      <c r="KT340" s="16"/>
      <c r="KU340" s="17"/>
      <c r="KY340" s="24"/>
      <c r="KZ340" s="60"/>
      <c r="LA340" s="16"/>
      <c r="LB340" s="16"/>
      <c r="LC340" s="16"/>
      <c r="LD340" s="16"/>
      <c r="LE340" s="16"/>
      <c r="LF340" s="17"/>
      <c r="LJ340" s="24"/>
      <c r="LK340" s="60"/>
      <c r="LL340" s="16"/>
      <c r="LM340" s="16"/>
      <c r="LN340" s="16"/>
      <c r="LO340" s="16"/>
      <c r="LP340" s="16"/>
      <c r="LQ340" s="17"/>
    </row>
    <row r="341">
      <c r="C341" s="31"/>
      <c r="D341" s="61"/>
      <c r="E341" s="16"/>
      <c r="F341" s="16"/>
      <c r="G341" s="21"/>
      <c r="H341" s="16"/>
      <c r="I341" s="16"/>
      <c r="J341" s="17"/>
      <c r="N341" s="17"/>
      <c r="O341" s="61"/>
      <c r="P341" s="16"/>
      <c r="Q341" s="16"/>
      <c r="R341" s="16"/>
      <c r="S341" s="16"/>
      <c r="T341" s="16"/>
      <c r="U341" s="17"/>
      <c r="Y341" s="24"/>
      <c r="Z341" s="61"/>
      <c r="AA341" s="16"/>
      <c r="AB341" s="16"/>
      <c r="AC341" s="16"/>
      <c r="AD341" s="16"/>
      <c r="AE341" s="16"/>
      <c r="AF341" s="17"/>
      <c r="AJ341" s="24"/>
      <c r="AK341" s="61"/>
      <c r="AL341" s="16"/>
      <c r="AM341" s="16"/>
      <c r="AN341" s="16"/>
      <c r="AO341" s="16"/>
      <c r="AP341" s="16"/>
      <c r="AQ341" s="17"/>
      <c r="AU341" s="24"/>
      <c r="AV341" s="61"/>
      <c r="AW341" s="16"/>
      <c r="AX341" s="16"/>
      <c r="AY341" s="16"/>
      <c r="AZ341" s="16"/>
      <c r="BA341" s="16"/>
      <c r="BB341" s="17"/>
      <c r="BF341" s="24"/>
      <c r="BG341" s="61"/>
      <c r="BH341" s="16"/>
      <c r="BI341" s="16"/>
      <c r="BJ341" s="16"/>
      <c r="BK341" s="16"/>
      <c r="BL341" s="16"/>
      <c r="BM341" s="17"/>
      <c r="BQ341" s="24"/>
      <c r="BR341" s="61"/>
      <c r="BS341" s="16"/>
      <c r="BT341" s="16"/>
      <c r="BU341" s="16"/>
      <c r="BV341" s="16"/>
      <c r="BW341" s="16"/>
      <c r="BX341" s="17"/>
      <c r="CB341" s="24"/>
      <c r="CC341" s="61"/>
      <c r="CD341" s="16"/>
      <c r="CE341" s="16"/>
      <c r="CF341" s="16"/>
      <c r="CG341" s="16"/>
      <c r="CH341" s="16"/>
      <c r="CI341" s="17"/>
      <c r="CM341" s="24"/>
      <c r="CN341" s="61"/>
      <c r="CO341" s="16"/>
      <c r="CP341" s="16"/>
      <c r="CQ341" s="16"/>
      <c r="CR341" s="16"/>
      <c r="CS341" s="16"/>
      <c r="CT341" s="17"/>
      <c r="CX341" s="24"/>
      <c r="CY341" s="60"/>
      <c r="CZ341" s="16"/>
      <c r="DA341" s="16"/>
      <c r="DB341" s="16"/>
      <c r="DC341" s="16"/>
      <c r="DD341" s="16"/>
      <c r="DE341" s="17"/>
      <c r="DI341" s="24"/>
      <c r="DJ341" s="60"/>
      <c r="DK341" s="16"/>
      <c r="DL341" s="16"/>
      <c r="DM341" s="16"/>
      <c r="DN341" s="16"/>
      <c r="DO341" s="16"/>
      <c r="DP341" s="17"/>
      <c r="DT341" s="24"/>
      <c r="DU341" s="60"/>
      <c r="DV341" s="16"/>
      <c r="DW341" s="16"/>
      <c r="DX341" s="16"/>
      <c r="DY341" s="16"/>
      <c r="DZ341" s="16"/>
      <c r="EA341" s="17"/>
      <c r="EE341" s="24"/>
      <c r="EF341" s="60"/>
      <c r="EG341" s="16"/>
      <c r="EH341" s="16"/>
      <c r="EI341" s="16"/>
      <c r="EJ341" s="16"/>
      <c r="EK341" s="16"/>
      <c r="EL341" s="17"/>
      <c r="EP341" s="24"/>
      <c r="EQ341" s="60"/>
      <c r="ER341" s="16"/>
      <c r="ES341" s="16"/>
      <c r="ET341" s="16"/>
      <c r="EU341" s="16"/>
      <c r="EV341" s="16"/>
      <c r="EW341" s="17"/>
      <c r="FA341" s="24"/>
      <c r="FB341" s="60"/>
      <c r="FC341" s="16"/>
      <c r="FD341" s="16"/>
      <c r="FE341" s="16"/>
      <c r="FF341" s="16"/>
      <c r="FG341" s="16"/>
      <c r="FH341" s="17"/>
      <c r="FL341" s="24"/>
      <c r="FM341" s="60"/>
      <c r="FN341" s="16"/>
      <c r="FO341" s="16"/>
      <c r="FP341" s="16"/>
      <c r="FQ341" s="16"/>
      <c r="FR341" s="16"/>
      <c r="FS341" s="17"/>
      <c r="FW341" s="24"/>
      <c r="FX341" s="60"/>
      <c r="FY341" s="16"/>
      <c r="FZ341" s="16"/>
      <c r="GA341" s="16"/>
      <c r="GB341" s="16"/>
      <c r="GC341" s="16"/>
      <c r="GD341" s="17"/>
      <c r="GH341" s="24"/>
      <c r="GI341" s="60"/>
      <c r="GJ341" s="16"/>
      <c r="GK341" s="16"/>
      <c r="GL341" s="16"/>
      <c r="GM341" s="16"/>
      <c r="GN341" s="16"/>
      <c r="GO341" s="17"/>
      <c r="GS341" s="24"/>
      <c r="GT341" s="60"/>
      <c r="GU341" s="16"/>
      <c r="GV341" s="16"/>
      <c r="GW341" s="16"/>
      <c r="GX341" s="16"/>
      <c r="GY341" s="16"/>
      <c r="GZ341" s="17"/>
      <c r="HD341" s="24"/>
      <c r="HE341" s="60"/>
      <c r="HF341" s="16"/>
      <c r="HG341" s="16"/>
      <c r="HH341" s="16"/>
      <c r="HI341" s="16"/>
      <c r="HJ341" s="16"/>
      <c r="HK341" s="17"/>
      <c r="HO341" s="24"/>
      <c r="HP341" s="60"/>
      <c r="HQ341" s="16"/>
      <c r="HR341" s="16"/>
      <c r="HS341" s="16"/>
      <c r="HT341" s="16"/>
      <c r="HU341" s="16"/>
      <c r="HV341" s="17"/>
      <c r="HZ341" s="24"/>
      <c r="IA341" s="60"/>
      <c r="IB341" s="16"/>
      <c r="IC341" s="16"/>
      <c r="ID341" s="16"/>
      <c r="IE341" s="16"/>
      <c r="IF341" s="16"/>
      <c r="IG341" s="17"/>
      <c r="IK341" s="24"/>
      <c r="IL341" s="60"/>
      <c r="IM341" s="16"/>
      <c r="IN341" s="16"/>
      <c r="IO341" s="16"/>
      <c r="IP341" s="16"/>
      <c r="IQ341" s="16"/>
      <c r="IR341" s="17"/>
      <c r="IV341" s="24"/>
      <c r="IW341" s="60"/>
      <c r="IX341" s="16"/>
      <c r="IY341" s="16"/>
      <c r="IZ341" s="16"/>
      <c r="JA341" s="16"/>
      <c r="JB341" s="16"/>
      <c r="JC341" s="17"/>
      <c r="JG341" s="24"/>
      <c r="JH341" s="60"/>
      <c r="JI341" s="16"/>
      <c r="JJ341" s="16"/>
      <c r="JK341" s="16"/>
      <c r="JL341" s="16"/>
      <c r="JM341" s="16"/>
      <c r="JN341" s="17"/>
      <c r="JR341" s="24"/>
      <c r="JS341" s="60"/>
      <c r="JT341" s="16"/>
      <c r="JU341" s="16"/>
      <c r="JV341" s="16"/>
      <c r="JW341" s="16"/>
      <c r="JX341" s="16"/>
      <c r="JY341" s="17"/>
      <c r="KC341" s="24"/>
      <c r="KD341" s="60"/>
      <c r="KE341" s="16"/>
      <c r="KF341" s="16"/>
      <c r="KG341" s="16"/>
      <c r="KH341" s="16"/>
      <c r="KI341" s="16"/>
      <c r="KJ341" s="17"/>
      <c r="KN341" s="24"/>
      <c r="KO341" s="60"/>
      <c r="KP341" s="16"/>
      <c r="KQ341" s="16"/>
      <c r="KR341" s="16"/>
      <c r="KS341" s="16"/>
      <c r="KT341" s="16"/>
      <c r="KU341" s="17"/>
      <c r="KY341" s="24"/>
      <c r="KZ341" s="60"/>
      <c r="LA341" s="16"/>
      <c r="LB341" s="16"/>
      <c r="LC341" s="16"/>
      <c r="LD341" s="16"/>
      <c r="LE341" s="16"/>
      <c r="LF341" s="17"/>
      <c r="LJ341" s="24"/>
      <c r="LK341" s="60"/>
      <c r="LL341" s="16"/>
      <c r="LM341" s="16"/>
      <c r="LN341" s="16"/>
      <c r="LO341" s="16"/>
      <c r="LP341" s="16"/>
      <c r="LQ341" s="17"/>
    </row>
    <row r="342">
      <c r="C342" s="31"/>
      <c r="D342" s="61"/>
      <c r="E342" s="16"/>
      <c r="F342" s="16"/>
      <c r="G342" s="21"/>
      <c r="H342" s="16"/>
      <c r="I342" s="16"/>
      <c r="J342" s="17"/>
      <c r="N342" s="17"/>
      <c r="O342" s="61"/>
      <c r="P342" s="16"/>
      <c r="Q342" s="16"/>
      <c r="R342" s="16"/>
      <c r="S342" s="16"/>
      <c r="T342" s="16"/>
      <c r="U342" s="17"/>
      <c r="Y342" s="24"/>
      <c r="Z342" s="61"/>
      <c r="AA342" s="16"/>
      <c r="AB342" s="16"/>
      <c r="AC342" s="16"/>
      <c r="AD342" s="16"/>
      <c r="AE342" s="16"/>
      <c r="AF342" s="17"/>
      <c r="AJ342" s="24"/>
      <c r="AK342" s="61"/>
      <c r="AL342" s="16"/>
      <c r="AM342" s="16"/>
      <c r="AN342" s="16"/>
      <c r="AO342" s="16"/>
      <c r="AP342" s="16"/>
      <c r="AQ342" s="17"/>
      <c r="AU342" s="24"/>
      <c r="AV342" s="61"/>
      <c r="AW342" s="16"/>
      <c r="AX342" s="16"/>
      <c r="AY342" s="16"/>
      <c r="AZ342" s="16"/>
      <c r="BA342" s="16"/>
      <c r="BB342" s="17"/>
      <c r="BF342" s="24"/>
      <c r="BG342" s="61"/>
      <c r="BH342" s="16"/>
      <c r="BI342" s="16"/>
      <c r="BJ342" s="16"/>
      <c r="BK342" s="16"/>
      <c r="BL342" s="16"/>
      <c r="BM342" s="17"/>
      <c r="BQ342" s="24"/>
      <c r="BR342" s="61"/>
      <c r="BS342" s="16"/>
      <c r="BT342" s="16"/>
      <c r="BU342" s="16"/>
      <c r="BV342" s="16"/>
      <c r="BW342" s="16"/>
      <c r="BX342" s="17"/>
      <c r="CB342" s="24"/>
      <c r="CC342" s="61"/>
      <c r="CD342" s="16"/>
      <c r="CE342" s="16"/>
      <c r="CF342" s="16"/>
      <c r="CG342" s="16"/>
      <c r="CH342" s="16"/>
      <c r="CI342" s="17"/>
      <c r="CM342" s="24"/>
      <c r="CN342" s="61"/>
      <c r="CO342" s="16"/>
      <c r="CP342" s="16"/>
      <c r="CQ342" s="16"/>
      <c r="CR342" s="16"/>
      <c r="CS342" s="16"/>
      <c r="CT342" s="17"/>
      <c r="CX342" s="24"/>
      <c r="CY342" s="60"/>
      <c r="CZ342" s="16"/>
      <c r="DA342" s="16"/>
      <c r="DB342" s="16"/>
      <c r="DC342" s="16"/>
      <c r="DD342" s="16"/>
      <c r="DE342" s="17"/>
      <c r="DI342" s="24"/>
      <c r="DJ342" s="60"/>
      <c r="DK342" s="16"/>
      <c r="DL342" s="16"/>
      <c r="DM342" s="16"/>
      <c r="DN342" s="16"/>
      <c r="DO342" s="16"/>
      <c r="DP342" s="17"/>
      <c r="DT342" s="24"/>
      <c r="DU342" s="60"/>
      <c r="DV342" s="16"/>
      <c r="DW342" s="16"/>
      <c r="DX342" s="16"/>
      <c r="DY342" s="16"/>
      <c r="DZ342" s="16"/>
      <c r="EA342" s="17"/>
      <c r="EE342" s="24"/>
      <c r="EF342" s="60"/>
      <c r="EG342" s="16"/>
      <c r="EH342" s="16"/>
      <c r="EI342" s="16"/>
      <c r="EJ342" s="16"/>
      <c r="EK342" s="16"/>
      <c r="EL342" s="17"/>
      <c r="EP342" s="24"/>
      <c r="EQ342" s="60"/>
      <c r="ER342" s="16"/>
      <c r="ES342" s="16"/>
      <c r="ET342" s="16"/>
      <c r="EU342" s="16"/>
      <c r="EV342" s="16"/>
      <c r="EW342" s="17"/>
      <c r="FA342" s="24"/>
      <c r="FB342" s="60"/>
      <c r="FC342" s="16"/>
      <c r="FD342" s="16"/>
      <c r="FE342" s="16"/>
      <c r="FF342" s="16"/>
      <c r="FG342" s="16"/>
      <c r="FH342" s="17"/>
      <c r="FL342" s="24"/>
      <c r="FM342" s="60"/>
      <c r="FN342" s="16"/>
      <c r="FO342" s="16"/>
      <c r="FP342" s="16"/>
      <c r="FQ342" s="16"/>
      <c r="FR342" s="16"/>
      <c r="FS342" s="17"/>
      <c r="FW342" s="24"/>
      <c r="FX342" s="60"/>
      <c r="FY342" s="16"/>
      <c r="FZ342" s="16"/>
      <c r="GA342" s="16"/>
      <c r="GB342" s="16"/>
      <c r="GC342" s="16"/>
      <c r="GD342" s="17"/>
      <c r="GH342" s="24"/>
      <c r="GI342" s="60"/>
      <c r="GJ342" s="16"/>
      <c r="GK342" s="16"/>
      <c r="GL342" s="16"/>
      <c r="GM342" s="16"/>
      <c r="GN342" s="16"/>
      <c r="GO342" s="17"/>
      <c r="GS342" s="24"/>
      <c r="GT342" s="60"/>
      <c r="GU342" s="16"/>
      <c r="GV342" s="16"/>
      <c r="GW342" s="16"/>
      <c r="GX342" s="16"/>
      <c r="GY342" s="16"/>
      <c r="GZ342" s="17"/>
      <c r="HD342" s="24"/>
      <c r="HE342" s="60"/>
      <c r="HF342" s="16"/>
      <c r="HG342" s="16"/>
      <c r="HH342" s="16"/>
      <c r="HI342" s="16"/>
      <c r="HJ342" s="16"/>
      <c r="HK342" s="17"/>
      <c r="HO342" s="24"/>
      <c r="HP342" s="60"/>
      <c r="HQ342" s="16"/>
      <c r="HR342" s="16"/>
      <c r="HS342" s="16"/>
      <c r="HT342" s="16"/>
      <c r="HU342" s="16"/>
      <c r="HV342" s="17"/>
      <c r="HZ342" s="24"/>
      <c r="IA342" s="60"/>
      <c r="IB342" s="16"/>
      <c r="IC342" s="16"/>
      <c r="ID342" s="16"/>
      <c r="IE342" s="16"/>
      <c r="IF342" s="16"/>
      <c r="IG342" s="17"/>
      <c r="IK342" s="24"/>
      <c r="IL342" s="60"/>
      <c r="IM342" s="16"/>
      <c r="IN342" s="16"/>
      <c r="IO342" s="16"/>
      <c r="IP342" s="16"/>
      <c r="IQ342" s="16"/>
      <c r="IR342" s="17"/>
      <c r="IV342" s="24"/>
      <c r="IW342" s="60"/>
      <c r="IX342" s="16"/>
      <c r="IY342" s="16"/>
      <c r="IZ342" s="16"/>
      <c r="JA342" s="16"/>
      <c r="JB342" s="16"/>
      <c r="JC342" s="17"/>
      <c r="JG342" s="24"/>
      <c r="JH342" s="60"/>
      <c r="JI342" s="16"/>
      <c r="JJ342" s="16"/>
      <c r="JK342" s="16"/>
      <c r="JL342" s="16"/>
      <c r="JM342" s="16"/>
      <c r="JN342" s="17"/>
      <c r="JR342" s="24"/>
      <c r="JS342" s="60"/>
      <c r="JT342" s="16"/>
      <c r="JU342" s="16"/>
      <c r="JV342" s="16"/>
      <c r="JW342" s="16"/>
      <c r="JX342" s="16"/>
      <c r="JY342" s="17"/>
      <c r="KC342" s="24"/>
      <c r="KD342" s="60"/>
      <c r="KE342" s="16"/>
      <c r="KF342" s="16"/>
      <c r="KG342" s="16"/>
      <c r="KH342" s="16"/>
      <c r="KI342" s="16"/>
      <c r="KJ342" s="17"/>
      <c r="KN342" s="24"/>
      <c r="KO342" s="60"/>
      <c r="KP342" s="16"/>
      <c r="KQ342" s="16"/>
      <c r="KR342" s="16"/>
      <c r="KS342" s="16"/>
      <c r="KT342" s="16"/>
      <c r="KU342" s="17"/>
      <c r="KY342" s="24"/>
      <c r="KZ342" s="60"/>
      <c r="LA342" s="16"/>
      <c r="LB342" s="16"/>
      <c r="LC342" s="16"/>
      <c r="LD342" s="16"/>
      <c r="LE342" s="16"/>
      <c r="LF342" s="17"/>
      <c r="LJ342" s="24"/>
      <c r="LK342" s="60"/>
      <c r="LL342" s="16"/>
      <c r="LM342" s="16"/>
      <c r="LN342" s="16"/>
      <c r="LO342" s="16"/>
      <c r="LP342" s="16"/>
      <c r="LQ342" s="17"/>
    </row>
    <row r="343">
      <c r="C343" s="31"/>
      <c r="D343" s="61"/>
      <c r="E343" s="16"/>
      <c r="F343" s="16"/>
      <c r="G343" s="21"/>
      <c r="H343" s="16"/>
      <c r="I343" s="16"/>
      <c r="J343" s="17"/>
      <c r="N343" s="17"/>
      <c r="O343" s="61"/>
      <c r="P343" s="16"/>
      <c r="Q343" s="16"/>
      <c r="R343" s="16"/>
      <c r="S343" s="16"/>
      <c r="T343" s="16"/>
      <c r="U343" s="17"/>
      <c r="Y343" s="24"/>
      <c r="Z343" s="61"/>
      <c r="AA343" s="16"/>
      <c r="AB343" s="16"/>
      <c r="AC343" s="16"/>
      <c r="AD343" s="16"/>
      <c r="AE343" s="16"/>
      <c r="AF343" s="17"/>
      <c r="AJ343" s="24"/>
      <c r="AK343" s="61"/>
      <c r="AL343" s="16"/>
      <c r="AM343" s="16"/>
      <c r="AN343" s="16"/>
      <c r="AO343" s="16"/>
      <c r="AP343" s="16"/>
      <c r="AQ343" s="17"/>
      <c r="AU343" s="24"/>
      <c r="AV343" s="61"/>
      <c r="AW343" s="16"/>
      <c r="AX343" s="16"/>
      <c r="AY343" s="16"/>
      <c r="AZ343" s="16"/>
      <c r="BA343" s="16"/>
      <c r="BB343" s="17"/>
      <c r="BF343" s="24"/>
      <c r="BG343" s="61"/>
      <c r="BH343" s="16"/>
      <c r="BI343" s="16"/>
      <c r="BJ343" s="16"/>
      <c r="BK343" s="16"/>
      <c r="BL343" s="16"/>
      <c r="BM343" s="17"/>
      <c r="BQ343" s="24"/>
      <c r="BR343" s="61"/>
      <c r="BS343" s="16"/>
      <c r="BT343" s="16"/>
      <c r="BU343" s="16"/>
      <c r="BV343" s="16"/>
      <c r="BW343" s="16"/>
      <c r="BX343" s="17"/>
      <c r="CB343" s="24"/>
      <c r="CC343" s="61"/>
      <c r="CD343" s="16"/>
      <c r="CE343" s="16"/>
      <c r="CF343" s="16"/>
      <c r="CG343" s="16"/>
      <c r="CH343" s="16"/>
      <c r="CI343" s="17"/>
      <c r="CM343" s="24"/>
      <c r="CN343" s="61"/>
      <c r="CO343" s="16"/>
      <c r="CP343" s="16"/>
      <c r="CQ343" s="16"/>
      <c r="CR343" s="16"/>
      <c r="CS343" s="16"/>
      <c r="CT343" s="17"/>
      <c r="CX343" s="24"/>
      <c r="CY343" s="60"/>
      <c r="CZ343" s="16"/>
      <c r="DA343" s="16"/>
      <c r="DB343" s="16"/>
      <c r="DC343" s="16"/>
      <c r="DD343" s="16"/>
      <c r="DE343" s="17"/>
      <c r="DI343" s="24"/>
      <c r="DJ343" s="60"/>
      <c r="DK343" s="16"/>
      <c r="DL343" s="16"/>
      <c r="DM343" s="16"/>
      <c r="DN343" s="16"/>
      <c r="DO343" s="16"/>
      <c r="DP343" s="17"/>
      <c r="DT343" s="24"/>
      <c r="DU343" s="60"/>
      <c r="DV343" s="16"/>
      <c r="DW343" s="16"/>
      <c r="DX343" s="16"/>
      <c r="DY343" s="16"/>
      <c r="DZ343" s="16"/>
      <c r="EA343" s="17"/>
      <c r="EE343" s="24"/>
      <c r="EF343" s="60"/>
      <c r="EG343" s="16"/>
      <c r="EH343" s="16"/>
      <c r="EI343" s="16"/>
      <c r="EJ343" s="16"/>
      <c r="EK343" s="16"/>
      <c r="EL343" s="17"/>
      <c r="EP343" s="24"/>
      <c r="EQ343" s="60"/>
      <c r="ER343" s="16"/>
      <c r="ES343" s="16"/>
      <c r="ET343" s="16"/>
      <c r="EU343" s="16"/>
      <c r="EV343" s="16"/>
      <c r="EW343" s="17"/>
      <c r="FA343" s="24"/>
      <c r="FB343" s="60"/>
      <c r="FC343" s="16"/>
      <c r="FD343" s="16"/>
      <c r="FE343" s="16"/>
      <c r="FF343" s="16"/>
      <c r="FG343" s="16"/>
      <c r="FH343" s="17"/>
      <c r="FL343" s="24"/>
      <c r="FM343" s="60"/>
      <c r="FN343" s="16"/>
      <c r="FO343" s="16"/>
      <c r="FP343" s="16"/>
      <c r="FQ343" s="16"/>
      <c r="FR343" s="16"/>
      <c r="FS343" s="17"/>
      <c r="FW343" s="24"/>
      <c r="FX343" s="60"/>
      <c r="FY343" s="16"/>
      <c r="FZ343" s="16"/>
      <c r="GA343" s="16"/>
      <c r="GB343" s="16"/>
      <c r="GC343" s="16"/>
      <c r="GD343" s="17"/>
      <c r="GH343" s="24"/>
      <c r="GI343" s="60"/>
      <c r="GJ343" s="16"/>
      <c r="GK343" s="16"/>
      <c r="GL343" s="16"/>
      <c r="GM343" s="16"/>
      <c r="GN343" s="16"/>
      <c r="GO343" s="17"/>
      <c r="GS343" s="24"/>
      <c r="GT343" s="60"/>
      <c r="GU343" s="16"/>
      <c r="GV343" s="16"/>
      <c r="GW343" s="16"/>
      <c r="GX343" s="16"/>
      <c r="GY343" s="16"/>
      <c r="GZ343" s="17"/>
      <c r="HD343" s="24"/>
      <c r="HE343" s="60"/>
      <c r="HF343" s="16"/>
      <c r="HG343" s="16"/>
      <c r="HH343" s="16"/>
      <c r="HI343" s="16"/>
      <c r="HJ343" s="16"/>
      <c r="HK343" s="17"/>
      <c r="HO343" s="24"/>
      <c r="HP343" s="60"/>
      <c r="HQ343" s="16"/>
      <c r="HR343" s="16"/>
      <c r="HS343" s="16"/>
      <c r="HT343" s="16"/>
      <c r="HU343" s="16"/>
      <c r="HV343" s="17"/>
      <c r="HZ343" s="24"/>
      <c r="IA343" s="60"/>
      <c r="IB343" s="16"/>
      <c r="IC343" s="16"/>
      <c r="ID343" s="16"/>
      <c r="IE343" s="16"/>
      <c r="IF343" s="16"/>
      <c r="IG343" s="17"/>
      <c r="IK343" s="24"/>
      <c r="IL343" s="60"/>
      <c r="IM343" s="16"/>
      <c r="IN343" s="16"/>
      <c r="IO343" s="16"/>
      <c r="IP343" s="16"/>
      <c r="IQ343" s="16"/>
      <c r="IR343" s="17"/>
      <c r="IV343" s="24"/>
      <c r="IW343" s="60"/>
      <c r="IX343" s="16"/>
      <c r="IY343" s="16"/>
      <c r="IZ343" s="16"/>
      <c r="JA343" s="16"/>
      <c r="JB343" s="16"/>
      <c r="JC343" s="17"/>
      <c r="JG343" s="24"/>
      <c r="JH343" s="60"/>
      <c r="JI343" s="16"/>
      <c r="JJ343" s="16"/>
      <c r="JK343" s="16"/>
      <c r="JL343" s="16"/>
      <c r="JM343" s="16"/>
      <c r="JN343" s="17"/>
      <c r="JR343" s="24"/>
      <c r="JS343" s="60"/>
      <c r="JT343" s="16"/>
      <c r="JU343" s="16"/>
      <c r="JV343" s="16"/>
      <c r="JW343" s="16"/>
      <c r="JX343" s="16"/>
      <c r="JY343" s="17"/>
      <c r="KC343" s="24"/>
      <c r="KD343" s="60"/>
      <c r="KE343" s="16"/>
      <c r="KF343" s="16"/>
      <c r="KG343" s="16"/>
      <c r="KH343" s="16"/>
      <c r="KI343" s="16"/>
      <c r="KJ343" s="17"/>
      <c r="KN343" s="24"/>
      <c r="KO343" s="60"/>
      <c r="KP343" s="16"/>
      <c r="KQ343" s="16"/>
      <c r="KR343" s="16"/>
      <c r="KS343" s="16"/>
      <c r="KT343" s="16"/>
      <c r="KU343" s="17"/>
      <c r="KY343" s="24"/>
      <c r="KZ343" s="60"/>
      <c r="LA343" s="16"/>
      <c r="LB343" s="16"/>
      <c r="LC343" s="16"/>
      <c r="LD343" s="16"/>
      <c r="LE343" s="16"/>
      <c r="LF343" s="17"/>
      <c r="LJ343" s="24"/>
      <c r="LK343" s="60"/>
      <c r="LL343" s="16"/>
      <c r="LM343" s="16"/>
      <c r="LN343" s="16"/>
      <c r="LO343" s="16"/>
      <c r="LP343" s="16"/>
      <c r="LQ343" s="17"/>
    </row>
    <row r="344">
      <c r="C344" s="31"/>
      <c r="D344" s="61"/>
      <c r="E344" s="16"/>
      <c r="F344" s="16"/>
      <c r="G344" s="21"/>
      <c r="H344" s="16"/>
      <c r="I344" s="16"/>
      <c r="J344" s="17"/>
      <c r="N344" s="17"/>
      <c r="O344" s="61"/>
      <c r="P344" s="16"/>
      <c r="Q344" s="16"/>
      <c r="R344" s="16"/>
      <c r="S344" s="16"/>
      <c r="T344" s="16"/>
      <c r="U344" s="17"/>
      <c r="Y344" s="24"/>
      <c r="Z344" s="61"/>
      <c r="AA344" s="16"/>
      <c r="AB344" s="16"/>
      <c r="AC344" s="16"/>
      <c r="AD344" s="16"/>
      <c r="AE344" s="16"/>
      <c r="AF344" s="17"/>
      <c r="AJ344" s="24"/>
      <c r="AK344" s="61"/>
      <c r="AL344" s="16"/>
      <c r="AM344" s="16"/>
      <c r="AN344" s="16"/>
      <c r="AO344" s="16"/>
      <c r="AP344" s="16"/>
      <c r="AQ344" s="17"/>
      <c r="AU344" s="24"/>
      <c r="AV344" s="61"/>
      <c r="AW344" s="16"/>
      <c r="AX344" s="16"/>
      <c r="AY344" s="16"/>
      <c r="AZ344" s="16"/>
      <c r="BA344" s="16"/>
      <c r="BB344" s="17"/>
      <c r="BF344" s="24"/>
      <c r="BG344" s="61"/>
      <c r="BH344" s="16"/>
      <c r="BI344" s="16"/>
      <c r="BJ344" s="16"/>
      <c r="BK344" s="16"/>
      <c r="BL344" s="16"/>
      <c r="BM344" s="17"/>
      <c r="BQ344" s="24"/>
      <c r="BR344" s="61"/>
      <c r="BS344" s="16"/>
      <c r="BT344" s="16"/>
      <c r="BU344" s="16"/>
      <c r="BV344" s="16"/>
      <c r="BW344" s="16"/>
      <c r="BX344" s="17"/>
      <c r="CB344" s="24"/>
      <c r="CC344" s="61"/>
      <c r="CD344" s="16"/>
      <c r="CE344" s="16"/>
      <c r="CF344" s="16"/>
      <c r="CG344" s="16"/>
      <c r="CH344" s="16"/>
      <c r="CI344" s="17"/>
      <c r="CM344" s="24"/>
      <c r="CN344" s="61"/>
      <c r="CO344" s="16"/>
      <c r="CP344" s="16"/>
      <c r="CQ344" s="16"/>
      <c r="CR344" s="16"/>
      <c r="CS344" s="16"/>
      <c r="CT344" s="17"/>
      <c r="CX344" s="24"/>
      <c r="CY344" s="60"/>
      <c r="CZ344" s="16"/>
      <c r="DA344" s="16"/>
      <c r="DB344" s="16"/>
      <c r="DC344" s="16"/>
      <c r="DD344" s="16"/>
      <c r="DE344" s="17"/>
      <c r="DI344" s="24"/>
      <c r="DJ344" s="60"/>
      <c r="DK344" s="16"/>
      <c r="DL344" s="16"/>
      <c r="DM344" s="16"/>
      <c r="DN344" s="16"/>
      <c r="DO344" s="16"/>
      <c r="DP344" s="17"/>
      <c r="DT344" s="24"/>
      <c r="DU344" s="60"/>
      <c r="DV344" s="16"/>
      <c r="DW344" s="16"/>
      <c r="DX344" s="16"/>
      <c r="DY344" s="16"/>
      <c r="DZ344" s="16"/>
      <c r="EA344" s="17"/>
      <c r="EE344" s="24"/>
      <c r="EF344" s="60"/>
      <c r="EG344" s="16"/>
      <c r="EH344" s="16"/>
      <c r="EI344" s="16"/>
      <c r="EJ344" s="16"/>
      <c r="EK344" s="16"/>
      <c r="EL344" s="17"/>
      <c r="EP344" s="24"/>
      <c r="EQ344" s="60"/>
      <c r="ER344" s="16"/>
      <c r="ES344" s="16"/>
      <c r="ET344" s="16"/>
      <c r="EU344" s="16"/>
      <c r="EV344" s="16"/>
      <c r="EW344" s="17"/>
      <c r="FA344" s="24"/>
      <c r="FB344" s="60"/>
      <c r="FC344" s="16"/>
      <c r="FD344" s="16"/>
      <c r="FE344" s="16"/>
      <c r="FF344" s="16"/>
      <c r="FG344" s="16"/>
      <c r="FH344" s="17"/>
      <c r="FL344" s="24"/>
      <c r="FM344" s="60"/>
      <c r="FN344" s="16"/>
      <c r="FO344" s="16"/>
      <c r="FP344" s="16"/>
      <c r="FQ344" s="16"/>
      <c r="FR344" s="16"/>
      <c r="FS344" s="17"/>
      <c r="FW344" s="24"/>
      <c r="FX344" s="60"/>
      <c r="FY344" s="16"/>
      <c r="FZ344" s="16"/>
      <c r="GA344" s="16"/>
      <c r="GB344" s="16"/>
      <c r="GC344" s="16"/>
      <c r="GD344" s="17"/>
      <c r="GH344" s="24"/>
      <c r="GI344" s="60"/>
      <c r="GJ344" s="16"/>
      <c r="GK344" s="16"/>
      <c r="GL344" s="16"/>
      <c r="GM344" s="16"/>
      <c r="GN344" s="16"/>
      <c r="GO344" s="17"/>
      <c r="GS344" s="24"/>
      <c r="GT344" s="60"/>
      <c r="GU344" s="16"/>
      <c r="GV344" s="16"/>
      <c r="GW344" s="16"/>
      <c r="GX344" s="16"/>
      <c r="GY344" s="16"/>
      <c r="GZ344" s="17"/>
      <c r="HD344" s="24"/>
      <c r="HE344" s="60"/>
      <c r="HF344" s="16"/>
      <c r="HG344" s="16"/>
      <c r="HH344" s="16"/>
      <c r="HI344" s="16"/>
      <c r="HJ344" s="16"/>
      <c r="HK344" s="17"/>
      <c r="HO344" s="24"/>
      <c r="HP344" s="60"/>
      <c r="HQ344" s="16"/>
      <c r="HR344" s="16"/>
      <c r="HS344" s="16"/>
      <c r="HT344" s="16"/>
      <c r="HU344" s="16"/>
      <c r="HV344" s="17"/>
      <c r="HZ344" s="24"/>
      <c r="IA344" s="60"/>
      <c r="IB344" s="16"/>
      <c r="IC344" s="16"/>
      <c r="ID344" s="16"/>
      <c r="IE344" s="16"/>
      <c r="IF344" s="16"/>
      <c r="IG344" s="17"/>
      <c r="IK344" s="24"/>
      <c r="IL344" s="60"/>
      <c r="IM344" s="16"/>
      <c r="IN344" s="16"/>
      <c r="IO344" s="16"/>
      <c r="IP344" s="16"/>
      <c r="IQ344" s="16"/>
      <c r="IR344" s="17"/>
      <c r="IV344" s="24"/>
      <c r="IW344" s="60"/>
      <c r="IX344" s="16"/>
      <c r="IY344" s="16"/>
      <c r="IZ344" s="16"/>
      <c r="JA344" s="16"/>
      <c r="JB344" s="16"/>
      <c r="JC344" s="17"/>
      <c r="JG344" s="24"/>
      <c r="JH344" s="60"/>
      <c r="JI344" s="16"/>
      <c r="JJ344" s="16"/>
      <c r="JK344" s="16"/>
      <c r="JL344" s="16"/>
      <c r="JM344" s="16"/>
      <c r="JN344" s="17"/>
      <c r="JR344" s="24"/>
      <c r="JS344" s="60"/>
      <c r="JT344" s="16"/>
      <c r="JU344" s="16"/>
      <c r="JV344" s="16"/>
      <c r="JW344" s="16"/>
      <c r="JX344" s="16"/>
      <c r="JY344" s="17"/>
      <c r="KC344" s="24"/>
      <c r="KD344" s="60"/>
      <c r="KE344" s="16"/>
      <c r="KF344" s="16"/>
      <c r="KG344" s="16"/>
      <c r="KH344" s="16"/>
      <c r="KI344" s="16"/>
      <c r="KJ344" s="17"/>
      <c r="KN344" s="24"/>
      <c r="KO344" s="60"/>
      <c r="KP344" s="16"/>
      <c r="KQ344" s="16"/>
      <c r="KR344" s="16"/>
      <c r="KS344" s="16"/>
      <c r="KT344" s="16"/>
      <c r="KU344" s="17"/>
      <c r="KY344" s="24"/>
      <c r="KZ344" s="60"/>
      <c r="LA344" s="16"/>
      <c r="LB344" s="16"/>
      <c r="LC344" s="16"/>
      <c r="LD344" s="16"/>
      <c r="LE344" s="16"/>
      <c r="LF344" s="17"/>
      <c r="LJ344" s="24"/>
      <c r="LK344" s="60"/>
      <c r="LL344" s="16"/>
      <c r="LM344" s="16"/>
      <c r="LN344" s="16"/>
      <c r="LO344" s="16"/>
      <c r="LP344" s="16"/>
      <c r="LQ344" s="17"/>
    </row>
    <row r="345">
      <c r="C345" s="31"/>
      <c r="D345" s="61"/>
      <c r="E345" s="16"/>
      <c r="F345" s="16"/>
      <c r="G345" s="21"/>
      <c r="H345" s="16"/>
      <c r="I345" s="16"/>
      <c r="J345" s="17"/>
      <c r="N345" s="17"/>
      <c r="O345" s="61"/>
      <c r="P345" s="16"/>
      <c r="Q345" s="16"/>
      <c r="R345" s="16"/>
      <c r="S345" s="16"/>
      <c r="T345" s="16"/>
      <c r="U345" s="17"/>
      <c r="Y345" s="24"/>
      <c r="Z345" s="61"/>
      <c r="AA345" s="16"/>
      <c r="AB345" s="16"/>
      <c r="AC345" s="16"/>
      <c r="AD345" s="16"/>
      <c r="AE345" s="16"/>
      <c r="AF345" s="17"/>
      <c r="AJ345" s="24"/>
      <c r="AK345" s="61"/>
      <c r="AL345" s="16"/>
      <c r="AM345" s="16"/>
      <c r="AN345" s="16"/>
      <c r="AO345" s="16"/>
      <c r="AP345" s="16"/>
      <c r="AQ345" s="17"/>
      <c r="AU345" s="24"/>
      <c r="AV345" s="61"/>
      <c r="AW345" s="16"/>
      <c r="AX345" s="16"/>
      <c r="AY345" s="16"/>
      <c r="AZ345" s="16"/>
      <c r="BA345" s="16"/>
      <c r="BB345" s="17"/>
      <c r="BF345" s="24"/>
      <c r="BG345" s="61"/>
      <c r="BH345" s="16"/>
      <c r="BI345" s="16"/>
      <c r="BJ345" s="16"/>
      <c r="BK345" s="16"/>
      <c r="BL345" s="16"/>
      <c r="BM345" s="17"/>
      <c r="BQ345" s="24"/>
      <c r="BR345" s="61"/>
      <c r="BS345" s="16"/>
      <c r="BT345" s="16"/>
      <c r="BU345" s="16"/>
      <c r="BV345" s="16"/>
      <c r="BW345" s="16"/>
      <c r="BX345" s="17"/>
      <c r="CB345" s="24"/>
      <c r="CC345" s="61"/>
      <c r="CD345" s="16"/>
      <c r="CE345" s="16"/>
      <c r="CF345" s="16"/>
      <c r="CG345" s="16"/>
      <c r="CH345" s="16"/>
      <c r="CI345" s="17"/>
      <c r="CM345" s="24"/>
      <c r="CN345" s="61"/>
      <c r="CO345" s="16"/>
      <c r="CP345" s="16"/>
      <c r="CQ345" s="16"/>
      <c r="CR345" s="16"/>
      <c r="CS345" s="16"/>
      <c r="CT345" s="17"/>
      <c r="CX345" s="24"/>
      <c r="CY345" s="60"/>
      <c r="CZ345" s="16"/>
      <c r="DA345" s="16"/>
      <c r="DB345" s="16"/>
      <c r="DC345" s="16"/>
      <c r="DD345" s="16"/>
      <c r="DE345" s="17"/>
      <c r="DI345" s="24"/>
      <c r="DJ345" s="60"/>
      <c r="DK345" s="16"/>
      <c r="DL345" s="16"/>
      <c r="DM345" s="16"/>
      <c r="DN345" s="16"/>
      <c r="DO345" s="16"/>
      <c r="DP345" s="17"/>
      <c r="DT345" s="24"/>
      <c r="DU345" s="60"/>
      <c r="DV345" s="16"/>
      <c r="DW345" s="16"/>
      <c r="DX345" s="16"/>
      <c r="DY345" s="16"/>
      <c r="DZ345" s="16"/>
      <c r="EA345" s="17"/>
      <c r="EE345" s="24"/>
      <c r="EF345" s="60"/>
      <c r="EG345" s="16"/>
      <c r="EH345" s="16"/>
      <c r="EI345" s="16"/>
      <c r="EJ345" s="16"/>
      <c r="EK345" s="16"/>
      <c r="EL345" s="17"/>
      <c r="EP345" s="24"/>
      <c r="EQ345" s="60"/>
      <c r="ER345" s="16"/>
      <c r="ES345" s="16"/>
      <c r="ET345" s="16"/>
      <c r="EU345" s="16"/>
      <c r="EV345" s="16"/>
      <c r="EW345" s="17"/>
      <c r="FA345" s="24"/>
      <c r="FB345" s="60"/>
      <c r="FC345" s="16"/>
      <c r="FD345" s="16"/>
      <c r="FE345" s="16"/>
      <c r="FF345" s="16"/>
      <c r="FG345" s="16"/>
      <c r="FH345" s="17"/>
      <c r="FL345" s="24"/>
      <c r="FM345" s="60"/>
      <c r="FN345" s="16"/>
      <c r="FO345" s="16"/>
      <c r="FP345" s="16"/>
      <c r="FQ345" s="16"/>
      <c r="FR345" s="16"/>
      <c r="FS345" s="17"/>
      <c r="FW345" s="24"/>
      <c r="FX345" s="60"/>
      <c r="FY345" s="16"/>
      <c r="FZ345" s="16"/>
      <c r="GA345" s="16"/>
      <c r="GB345" s="16"/>
      <c r="GC345" s="16"/>
      <c r="GD345" s="17"/>
      <c r="GH345" s="24"/>
      <c r="GI345" s="60"/>
      <c r="GJ345" s="16"/>
      <c r="GK345" s="16"/>
      <c r="GL345" s="16"/>
      <c r="GM345" s="16"/>
      <c r="GN345" s="16"/>
      <c r="GO345" s="17"/>
      <c r="GS345" s="24"/>
      <c r="GT345" s="60"/>
      <c r="GU345" s="16"/>
      <c r="GV345" s="16"/>
      <c r="GW345" s="16"/>
      <c r="GX345" s="16"/>
      <c r="GY345" s="16"/>
      <c r="GZ345" s="17"/>
      <c r="HD345" s="24"/>
      <c r="HE345" s="60"/>
      <c r="HF345" s="16"/>
      <c r="HG345" s="16"/>
      <c r="HH345" s="16"/>
      <c r="HI345" s="16"/>
      <c r="HJ345" s="16"/>
      <c r="HK345" s="17"/>
      <c r="HO345" s="24"/>
      <c r="HP345" s="60"/>
      <c r="HQ345" s="16"/>
      <c r="HR345" s="16"/>
      <c r="HS345" s="16"/>
      <c r="HT345" s="16"/>
      <c r="HU345" s="16"/>
      <c r="HV345" s="17"/>
      <c r="HZ345" s="24"/>
      <c r="IA345" s="60"/>
      <c r="IB345" s="16"/>
      <c r="IC345" s="16"/>
      <c r="ID345" s="16"/>
      <c r="IE345" s="16"/>
      <c r="IF345" s="16"/>
      <c r="IG345" s="17"/>
      <c r="IK345" s="24"/>
      <c r="IL345" s="60"/>
      <c r="IM345" s="16"/>
      <c r="IN345" s="16"/>
      <c r="IO345" s="16"/>
      <c r="IP345" s="16"/>
      <c r="IQ345" s="16"/>
      <c r="IR345" s="17"/>
      <c r="IV345" s="24"/>
      <c r="IW345" s="60"/>
      <c r="IX345" s="16"/>
      <c r="IY345" s="16"/>
      <c r="IZ345" s="16"/>
      <c r="JA345" s="16"/>
      <c r="JB345" s="16"/>
      <c r="JC345" s="17"/>
      <c r="JG345" s="24"/>
      <c r="JH345" s="60"/>
      <c r="JI345" s="16"/>
      <c r="JJ345" s="16"/>
      <c r="JK345" s="16"/>
      <c r="JL345" s="16"/>
      <c r="JM345" s="16"/>
      <c r="JN345" s="17"/>
      <c r="JR345" s="24"/>
      <c r="JS345" s="60"/>
      <c r="JT345" s="16"/>
      <c r="JU345" s="16"/>
      <c r="JV345" s="16"/>
      <c r="JW345" s="16"/>
      <c r="JX345" s="16"/>
      <c r="JY345" s="17"/>
      <c r="KC345" s="24"/>
      <c r="KD345" s="60"/>
      <c r="KE345" s="16"/>
      <c r="KF345" s="16"/>
      <c r="KG345" s="16"/>
      <c r="KH345" s="16"/>
      <c r="KI345" s="16"/>
      <c r="KJ345" s="17"/>
      <c r="KN345" s="24"/>
      <c r="KO345" s="60"/>
      <c r="KP345" s="16"/>
      <c r="KQ345" s="16"/>
      <c r="KR345" s="16"/>
      <c r="KS345" s="16"/>
      <c r="KT345" s="16"/>
      <c r="KU345" s="17"/>
      <c r="KY345" s="24"/>
      <c r="KZ345" s="60"/>
      <c r="LA345" s="16"/>
      <c r="LB345" s="16"/>
      <c r="LC345" s="16"/>
      <c r="LD345" s="16"/>
      <c r="LE345" s="16"/>
      <c r="LF345" s="17"/>
      <c r="LJ345" s="24"/>
      <c r="LK345" s="60"/>
      <c r="LL345" s="16"/>
      <c r="LM345" s="16"/>
      <c r="LN345" s="16"/>
      <c r="LO345" s="16"/>
      <c r="LP345" s="16"/>
      <c r="LQ345" s="17"/>
    </row>
    <row r="346">
      <c r="C346" s="31"/>
      <c r="D346" s="61"/>
      <c r="E346" s="16"/>
      <c r="F346" s="16"/>
      <c r="G346" s="21"/>
      <c r="H346" s="16"/>
      <c r="I346" s="16"/>
      <c r="J346" s="17"/>
      <c r="N346" s="17"/>
      <c r="O346" s="61"/>
      <c r="P346" s="16"/>
      <c r="Q346" s="16"/>
      <c r="R346" s="16"/>
      <c r="S346" s="16"/>
      <c r="T346" s="16"/>
      <c r="U346" s="17"/>
      <c r="Y346" s="24"/>
      <c r="Z346" s="61"/>
      <c r="AA346" s="16"/>
      <c r="AB346" s="16"/>
      <c r="AC346" s="16"/>
      <c r="AD346" s="16"/>
      <c r="AE346" s="16"/>
      <c r="AF346" s="17"/>
      <c r="AJ346" s="24"/>
      <c r="AK346" s="61"/>
      <c r="AL346" s="16"/>
      <c r="AM346" s="16"/>
      <c r="AN346" s="16"/>
      <c r="AO346" s="16"/>
      <c r="AP346" s="16"/>
      <c r="AQ346" s="17"/>
      <c r="AU346" s="24"/>
      <c r="AV346" s="61"/>
      <c r="AW346" s="16"/>
      <c r="AX346" s="16"/>
      <c r="AY346" s="16"/>
      <c r="AZ346" s="16"/>
      <c r="BA346" s="16"/>
      <c r="BB346" s="17"/>
      <c r="BF346" s="24"/>
      <c r="BG346" s="61"/>
      <c r="BH346" s="16"/>
      <c r="BI346" s="16"/>
      <c r="BJ346" s="16"/>
      <c r="BK346" s="16"/>
      <c r="BL346" s="16"/>
      <c r="BM346" s="17"/>
      <c r="BQ346" s="24"/>
      <c r="BR346" s="61"/>
      <c r="BS346" s="16"/>
      <c r="BT346" s="16"/>
      <c r="BU346" s="16"/>
      <c r="BV346" s="16"/>
      <c r="BW346" s="16"/>
      <c r="BX346" s="17"/>
      <c r="CB346" s="24"/>
      <c r="CC346" s="61"/>
      <c r="CD346" s="16"/>
      <c r="CE346" s="16"/>
      <c r="CF346" s="16"/>
      <c r="CG346" s="16"/>
      <c r="CH346" s="16"/>
      <c r="CI346" s="17"/>
      <c r="CM346" s="24"/>
      <c r="CN346" s="61"/>
      <c r="CO346" s="16"/>
      <c r="CP346" s="16"/>
      <c r="CQ346" s="16"/>
      <c r="CR346" s="16"/>
      <c r="CS346" s="16"/>
      <c r="CT346" s="17"/>
      <c r="CX346" s="24"/>
      <c r="CY346" s="60"/>
      <c r="CZ346" s="16"/>
      <c r="DA346" s="16"/>
      <c r="DB346" s="16"/>
      <c r="DC346" s="16"/>
      <c r="DD346" s="16"/>
      <c r="DE346" s="17"/>
      <c r="DI346" s="24"/>
      <c r="DJ346" s="60"/>
      <c r="DK346" s="16"/>
      <c r="DL346" s="16"/>
      <c r="DM346" s="16"/>
      <c r="DN346" s="16"/>
      <c r="DO346" s="16"/>
      <c r="DP346" s="17"/>
      <c r="DT346" s="24"/>
      <c r="DU346" s="60"/>
      <c r="DV346" s="16"/>
      <c r="DW346" s="16"/>
      <c r="DX346" s="16"/>
      <c r="DY346" s="16"/>
      <c r="DZ346" s="16"/>
      <c r="EA346" s="17"/>
      <c r="EE346" s="24"/>
      <c r="EF346" s="60"/>
      <c r="EG346" s="16"/>
      <c r="EH346" s="16"/>
      <c r="EI346" s="16"/>
      <c r="EJ346" s="16"/>
      <c r="EK346" s="16"/>
      <c r="EL346" s="17"/>
      <c r="EP346" s="24"/>
      <c r="EQ346" s="60"/>
      <c r="ER346" s="16"/>
      <c r="ES346" s="16"/>
      <c r="ET346" s="16"/>
      <c r="EU346" s="16"/>
      <c r="EV346" s="16"/>
      <c r="EW346" s="17"/>
      <c r="FA346" s="24"/>
      <c r="FB346" s="60"/>
      <c r="FC346" s="16"/>
      <c r="FD346" s="16"/>
      <c r="FE346" s="16"/>
      <c r="FF346" s="16"/>
      <c r="FG346" s="16"/>
      <c r="FH346" s="17"/>
      <c r="FL346" s="24"/>
      <c r="FM346" s="60"/>
      <c r="FN346" s="16"/>
      <c r="FO346" s="16"/>
      <c r="FP346" s="16"/>
      <c r="FQ346" s="16"/>
      <c r="FR346" s="16"/>
      <c r="FS346" s="17"/>
      <c r="FW346" s="24"/>
      <c r="FX346" s="60"/>
      <c r="FY346" s="16"/>
      <c r="FZ346" s="16"/>
      <c r="GA346" s="16"/>
      <c r="GB346" s="16"/>
      <c r="GC346" s="16"/>
      <c r="GD346" s="17"/>
      <c r="GH346" s="24"/>
      <c r="GI346" s="60"/>
      <c r="GJ346" s="16"/>
      <c r="GK346" s="16"/>
      <c r="GL346" s="16"/>
      <c r="GM346" s="16"/>
      <c r="GN346" s="16"/>
      <c r="GO346" s="17"/>
      <c r="GS346" s="24"/>
      <c r="GT346" s="60"/>
      <c r="GU346" s="16"/>
      <c r="GV346" s="16"/>
      <c r="GW346" s="16"/>
      <c r="GX346" s="16"/>
      <c r="GY346" s="16"/>
      <c r="GZ346" s="17"/>
      <c r="HD346" s="24"/>
      <c r="HE346" s="60"/>
      <c r="HF346" s="16"/>
      <c r="HG346" s="16"/>
      <c r="HH346" s="16"/>
      <c r="HI346" s="16"/>
      <c r="HJ346" s="16"/>
      <c r="HK346" s="17"/>
      <c r="HO346" s="24"/>
      <c r="HP346" s="60"/>
      <c r="HQ346" s="16"/>
      <c r="HR346" s="16"/>
      <c r="HS346" s="16"/>
      <c r="HT346" s="16"/>
      <c r="HU346" s="16"/>
      <c r="HV346" s="17"/>
      <c r="HZ346" s="24"/>
      <c r="IA346" s="60"/>
      <c r="IB346" s="16"/>
      <c r="IC346" s="16"/>
      <c r="ID346" s="16"/>
      <c r="IE346" s="16"/>
      <c r="IF346" s="16"/>
      <c r="IG346" s="17"/>
      <c r="IK346" s="24"/>
      <c r="IL346" s="60"/>
      <c r="IM346" s="16"/>
      <c r="IN346" s="16"/>
      <c r="IO346" s="16"/>
      <c r="IP346" s="16"/>
      <c r="IQ346" s="16"/>
      <c r="IR346" s="17"/>
      <c r="IV346" s="24"/>
      <c r="IW346" s="60"/>
      <c r="IX346" s="16"/>
      <c r="IY346" s="16"/>
      <c r="IZ346" s="16"/>
      <c r="JA346" s="16"/>
      <c r="JB346" s="16"/>
      <c r="JC346" s="17"/>
      <c r="JG346" s="24"/>
      <c r="JH346" s="60"/>
      <c r="JI346" s="16"/>
      <c r="JJ346" s="16"/>
      <c r="JK346" s="16"/>
      <c r="JL346" s="16"/>
      <c r="JM346" s="16"/>
      <c r="JN346" s="17"/>
      <c r="JR346" s="24"/>
      <c r="JS346" s="60"/>
      <c r="JT346" s="16"/>
      <c r="JU346" s="16"/>
      <c r="JV346" s="16"/>
      <c r="JW346" s="16"/>
      <c r="JX346" s="16"/>
      <c r="JY346" s="17"/>
      <c r="KC346" s="24"/>
      <c r="KD346" s="60"/>
      <c r="KE346" s="16"/>
      <c r="KF346" s="16"/>
      <c r="KG346" s="16"/>
      <c r="KH346" s="16"/>
      <c r="KI346" s="16"/>
      <c r="KJ346" s="17"/>
      <c r="KN346" s="24"/>
      <c r="KO346" s="60"/>
      <c r="KP346" s="16"/>
      <c r="KQ346" s="16"/>
      <c r="KR346" s="16"/>
      <c r="KS346" s="16"/>
      <c r="KT346" s="16"/>
      <c r="KU346" s="17"/>
      <c r="KY346" s="24"/>
      <c r="KZ346" s="60"/>
      <c r="LA346" s="16"/>
      <c r="LB346" s="16"/>
      <c r="LC346" s="16"/>
      <c r="LD346" s="16"/>
      <c r="LE346" s="16"/>
      <c r="LF346" s="17"/>
      <c r="LJ346" s="24"/>
      <c r="LK346" s="60"/>
      <c r="LL346" s="16"/>
      <c r="LM346" s="16"/>
      <c r="LN346" s="16"/>
      <c r="LO346" s="16"/>
      <c r="LP346" s="16"/>
      <c r="LQ346" s="17"/>
    </row>
    <row r="347">
      <c r="C347" s="31"/>
      <c r="D347" s="61"/>
      <c r="E347" s="16"/>
      <c r="F347" s="16"/>
      <c r="G347" s="21"/>
      <c r="H347" s="16"/>
      <c r="I347" s="16"/>
      <c r="J347" s="17"/>
      <c r="N347" s="17"/>
      <c r="O347" s="61"/>
      <c r="P347" s="16"/>
      <c r="Q347" s="16"/>
      <c r="R347" s="16"/>
      <c r="S347" s="16"/>
      <c r="T347" s="16"/>
      <c r="U347" s="17"/>
      <c r="Y347" s="24"/>
      <c r="Z347" s="61"/>
      <c r="AA347" s="16"/>
      <c r="AB347" s="16"/>
      <c r="AC347" s="16"/>
      <c r="AD347" s="16"/>
      <c r="AE347" s="16"/>
      <c r="AF347" s="17"/>
      <c r="AJ347" s="24"/>
      <c r="AK347" s="61"/>
      <c r="AL347" s="16"/>
      <c r="AM347" s="16"/>
      <c r="AN347" s="16"/>
      <c r="AO347" s="16"/>
      <c r="AP347" s="16"/>
      <c r="AQ347" s="17"/>
      <c r="AU347" s="24"/>
      <c r="AV347" s="61"/>
      <c r="AW347" s="16"/>
      <c r="AX347" s="16"/>
      <c r="AY347" s="16"/>
      <c r="AZ347" s="16"/>
      <c r="BA347" s="16"/>
      <c r="BB347" s="17"/>
      <c r="BF347" s="24"/>
      <c r="BG347" s="61"/>
      <c r="BH347" s="16"/>
      <c r="BI347" s="16"/>
      <c r="BJ347" s="16"/>
      <c r="BK347" s="16"/>
      <c r="BL347" s="16"/>
      <c r="BM347" s="17"/>
      <c r="BQ347" s="24"/>
      <c r="BR347" s="61"/>
      <c r="BS347" s="16"/>
      <c r="BT347" s="16"/>
      <c r="BU347" s="16"/>
      <c r="BV347" s="16"/>
      <c r="BW347" s="16"/>
      <c r="BX347" s="17"/>
      <c r="CB347" s="24"/>
      <c r="CC347" s="61"/>
      <c r="CD347" s="16"/>
      <c r="CE347" s="16"/>
      <c r="CF347" s="16"/>
      <c r="CG347" s="16"/>
      <c r="CH347" s="16"/>
      <c r="CI347" s="17"/>
      <c r="CM347" s="24"/>
      <c r="CN347" s="61"/>
      <c r="CO347" s="16"/>
      <c r="CP347" s="16"/>
      <c r="CQ347" s="16"/>
      <c r="CR347" s="16"/>
      <c r="CS347" s="16"/>
      <c r="CT347" s="17"/>
      <c r="CX347" s="24"/>
      <c r="CY347" s="60"/>
      <c r="CZ347" s="16"/>
      <c r="DA347" s="16"/>
      <c r="DB347" s="16"/>
      <c r="DC347" s="16"/>
      <c r="DD347" s="16"/>
      <c r="DE347" s="17"/>
      <c r="DI347" s="24"/>
      <c r="DJ347" s="60"/>
      <c r="DK347" s="16"/>
      <c r="DL347" s="16"/>
      <c r="DM347" s="16"/>
      <c r="DN347" s="16"/>
      <c r="DO347" s="16"/>
      <c r="DP347" s="17"/>
      <c r="DT347" s="24"/>
      <c r="DU347" s="60"/>
      <c r="DV347" s="16"/>
      <c r="DW347" s="16"/>
      <c r="DX347" s="16"/>
      <c r="DY347" s="16"/>
      <c r="DZ347" s="16"/>
      <c r="EA347" s="17"/>
      <c r="EE347" s="24"/>
      <c r="EF347" s="60"/>
      <c r="EG347" s="16"/>
      <c r="EH347" s="16"/>
      <c r="EI347" s="16"/>
      <c r="EJ347" s="16"/>
      <c r="EK347" s="16"/>
      <c r="EL347" s="17"/>
      <c r="EP347" s="24"/>
      <c r="EQ347" s="60"/>
      <c r="ER347" s="16"/>
      <c r="ES347" s="16"/>
      <c r="ET347" s="16"/>
      <c r="EU347" s="16"/>
      <c r="EV347" s="16"/>
      <c r="EW347" s="17"/>
      <c r="FA347" s="24"/>
      <c r="FB347" s="60"/>
      <c r="FC347" s="16"/>
      <c r="FD347" s="16"/>
      <c r="FE347" s="16"/>
      <c r="FF347" s="16"/>
      <c r="FG347" s="16"/>
      <c r="FH347" s="17"/>
      <c r="FL347" s="24"/>
      <c r="FM347" s="60"/>
      <c r="FN347" s="16"/>
      <c r="FO347" s="16"/>
      <c r="FP347" s="16"/>
      <c r="FQ347" s="16"/>
      <c r="FR347" s="16"/>
      <c r="FS347" s="17"/>
      <c r="FW347" s="24"/>
      <c r="FX347" s="60"/>
      <c r="FY347" s="16"/>
      <c r="FZ347" s="16"/>
      <c r="GA347" s="16"/>
      <c r="GB347" s="16"/>
      <c r="GC347" s="16"/>
      <c r="GD347" s="17"/>
      <c r="GH347" s="24"/>
      <c r="GI347" s="60"/>
      <c r="GJ347" s="16"/>
      <c r="GK347" s="16"/>
      <c r="GL347" s="16"/>
      <c r="GM347" s="16"/>
      <c r="GN347" s="16"/>
      <c r="GO347" s="17"/>
      <c r="GS347" s="24"/>
      <c r="GT347" s="60"/>
      <c r="GU347" s="16"/>
      <c r="GV347" s="16"/>
      <c r="GW347" s="16"/>
      <c r="GX347" s="16"/>
      <c r="GY347" s="16"/>
      <c r="GZ347" s="17"/>
      <c r="HD347" s="24"/>
      <c r="HE347" s="60"/>
      <c r="HF347" s="16"/>
      <c r="HG347" s="16"/>
      <c r="HH347" s="16"/>
      <c r="HI347" s="16"/>
      <c r="HJ347" s="16"/>
      <c r="HK347" s="17"/>
      <c r="HO347" s="24"/>
      <c r="HP347" s="60"/>
      <c r="HQ347" s="16"/>
      <c r="HR347" s="16"/>
      <c r="HS347" s="16"/>
      <c r="HT347" s="16"/>
      <c r="HU347" s="16"/>
      <c r="HV347" s="17"/>
      <c r="HZ347" s="24"/>
      <c r="IA347" s="60"/>
      <c r="IB347" s="16"/>
      <c r="IC347" s="16"/>
      <c r="ID347" s="16"/>
      <c r="IE347" s="16"/>
      <c r="IF347" s="16"/>
      <c r="IG347" s="17"/>
      <c r="IK347" s="24"/>
      <c r="IL347" s="60"/>
      <c r="IM347" s="16"/>
      <c r="IN347" s="16"/>
      <c r="IO347" s="16"/>
      <c r="IP347" s="16"/>
      <c r="IQ347" s="16"/>
      <c r="IR347" s="17"/>
      <c r="IV347" s="24"/>
      <c r="IW347" s="60"/>
      <c r="IX347" s="16"/>
      <c r="IY347" s="16"/>
      <c r="IZ347" s="16"/>
      <c r="JA347" s="16"/>
      <c r="JB347" s="16"/>
      <c r="JC347" s="17"/>
      <c r="JG347" s="24"/>
      <c r="JH347" s="60"/>
      <c r="JI347" s="16"/>
      <c r="JJ347" s="16"/>
      <c r="JK347" s="16"/>
      <c r="JL347" s="16"/>
      <c r="JM347" s="16"/>
      <c r="JN347" s="17"/>
      <c r="JR347" s="24"/>
      <c r="JS347" s="60"/>
      <c r="JT347" s="16"/>
      <c r="JU347" s="16"/>
      <c r="JV347" s="16"/>
      <c r="JW347" s="16"/>
      <c r="JX347" s="16"/>
      <c r="JY347" s="17"/>
      <c r="KC347" s="24"/>
      <c r="KD347" s="60"/>
      <c r="KE347" s="16"/>
      <c r="KF347" s="16"/>
      <c r="KG347" s="16"/>
      <c r="KH347" s="16"/>
      <c r="KI347" s="16"/>
      <c r="KJ347" s="17"/>
      <c r="KN347" s="24"/>
      <c r="KO347" s="60"/>
      <c r="KP347" s="16"/>
      <c r="KQ347" s="16"/>
      <c r="KR347" s="16"/>
      <c r="KS347" s="16"/>
      <c r="KT347" s="16"/>
      <c r="KU347" s="17"/>
      <c r="KY347" s="24"/>
      <c r="KZ347" s="60"/>
      <c r="LA347" s="16"/>
      <c r="LB347" s="16"/>
      <c r="LC347" s="16"/>
      <c r="LD347" s="16"/>
      <c r="LE347" s="16"/>
      <c r="LF347" s="17"/>
      <c r="LJ347" s="24"/>
      <c r="LK347" s="60"/>
      <c r="LL347" s="16"/>
      <c r="LM347" s="16"/>
      <c r="LN347" s="16"/>
      <c r="LO347" s="16"/>
      <c r="LP347" s="16"/>
      <c r="LQ347" s="17"/>
    </row>
    <row r="348">
      <c r="C348" s="31"/>
      <c r="D348" s="61"/>
      <c r="E348" s="16"/>
      <c r="F348" s="16"/>
      <c r="G348" s="21"/>
      <c r="H348" s="16"/>
      <c r="I348" s="16"/>
      <c r="J348" s="17"/>
      <c r="N348" s="17"/>
      <c r="O348" s="61"/>
      <c r="P348" s="16"/>
      <c r="Q348" s="16"/>
      <c r="R348" s="16"/>
      <c r="S348" s="16"/>
      <c r="T348" s="16"/>
      <c r="U348" s="17"/>
      <c r="Y348" s="24"/>
      <c r="Z348" s="61"/>
      <c r="AA348" s="16"/>
      <c r="AB348" s="16"/>
      <c r="AC348" s="16"/>
      <c r="AD348" s="16"/>
      <c r="AE348" s="16"/>
      <c r="AF348" s="17"/>
      <c r="AJ348" s="24"/>
      <c r="AK348" s="61"/>
      <c r="AL348" s="16"/>
      <c r="AM348" s="16"/>
      <c r="AN348" s="16"/>
      <c r="AO348" s="16"/>
      <c r="AP348" s="16"/>
      <c r="AQ348" s="17"/>
      <c r="AU348" s="24"/>
      <c r="AV348" s="61"/>
      <c r="AW348" s="16"/>
      <c r="AX348" s="16"/>
      <c r="AY348" s="16"/>
      <c r="AZ348" s="16"/>
      <c r="BA348" s="16"/>
      <c r="BB348" s="17"/>
      <c r="BF348" s="24"/>
      <c r="BG348" s="61"/>
      <c r="BH348" s="16"/>
      <c r="BI348" s="16"/>
      <c r="BJ348" s="16"/>
      <c r="BK348" s="16"/>
      <c r="BL348" s="16"/>
      <c r="BM348" s="17"/>
      <c r="BQ348" s="24"/>
      <c r="BR348" s="61"/>
      <c r="BS348" s="16"/>
      <c r="BT348" s="16"/>
      <c r="BU348" s="16"/>
      <c r="BV348" s="16"/>
      <c r="BW348" s="16"/>
      <c r="BX348" s="17"/>
      <c r="CB348" s="24"/>
      <c r="CC348" s="61"/>
      <c r="CD348" s="16"/>
      <c r="CE348" s="16"/>
      <c r="CF348" s="16"/>
      <c r="CG348" s="16"/>
      <c r="CH348" s="16"/>
      <c r="CI348" s="17"/>
      <c r="CM348" s="24"/>
      <c r="CN348" s="61"/>
      <c r="CO348" s="16"/>
      <c r="CP348" s="16"/>
      <c r="CQ348" s="16"/>
      <c r="CR348" s="16"/>
      <c r="CS348" s="16"/>
      <c r="CT348" s="17"/>
      <c r="CX348" s="24"/>
      <c r="CY348" s="60"/>
      <c r="CZ348" s="16"/>
      <c r="DA348" s="16"/>
      <c r="DB348" s="16"/>
      <c r="DC348" s="16"/>
      <c r="DD348" s="16"/>
      <c r="DE348" s="17"/>
      <c r="DI348" s="24"/>
      <c r="DJ348" s="60"/>
      <c r="DK348" s="16"/>
      <c r="DL348" s="16"/>
      <c r="DM348" s="16"/>
      <c r="DN348" s="16"/>
      <c r="DO348" s="16"/>
      <c r="DP348" s="17"/>
      <c r="DT348" s="24"/>
      <c r="DU348" s="60"/>
      <c r="DV348" s="16"/>
      <c r="DW348" s="16"/>
      <c r="DX348" s="16"/>
      <c r="DY348" s="16"/>
      <c r="DZ348" s="16"/>
      <c r="EA348" s="17"/>
      <c r="EE348" s="24"/>
      <c r="EF348" s="60"/>
      <c r="EG348" s="16"/>
      <c r="EH348" s="16"/>
      <c r="EI348" s="16"/>
      <c r="EJ348" s="16"/>
      <c r="EK348" s="16"/>
      <c r="EL348" s="17"/>
      <c r="EP348" s="24"/>
      <c r="EQ348" s="60"/>
      <c r="ER348" s="16"/>
      <c r="ES348" s="16"/>
      <c r="ET348" s="16"/>
      <c r="EU348" s="16"/>
      <c r="EV348" s="16"/>
      <c r="EW348" s="17"/>
      <c r="FA348" s="24"/>
      <c r="FB348" s="60"/>
      <c r="FC348" s="16"/>
      <c r="FD348" s="16"/>
      <c r="FE348" s="16"/>
      <c r="FF348" s="16"/>
      <c r="FG348" s="16"/>
      <c r="FH348" s="17"/>
      <c r="FL348" s="24"/>
      <c r="FM348" s="60"/>
      <c r="FN348" s="16"/>
      <c r="FO348" s="16"/>
      <c r="FP348" s="16"/>
      <c r="FQ348" s="16"/>
      <c r="FR348" s="16"/>
      <c r="FS348" s="17"/>
      <c r="FW348" s="24"/>
      <c r="FX348" s="60"/>
      <c r="FY348" s="16"/>
      <c r="FZ348" s="16"/>
      <c r="GA348" s="16"/>
      <c r="GB348" s="16"/>
      <c r="GC348" s="16"/>
      <c r="GD348" s="17"/>
      <c r="GH348" s="24"/>
      <c r="GI348" s="60"/>
      <c r="GJ348" s="16"/>
      <c r="GK348" s="16"/>
      <c r="GL348" s="16"/>
      <c r="GM348" s="16"/>
      <c r="GN348" s="16"/>
      <c r="GO348" s="17"/>
      <c r="GS348" s="24"/>
      <c r="GT348" s="60"/>
      <c r="GU348" s="16"/>
      <c r="GV348" s="16"/>
      <c r="GW348" s="16"/>
      <c r="GX348" s="16"/>
      <c r="GY348" s="16"/>
      <c r="GZ348" s="17"/>
      <c r="HD348" s="24"/>
      <c r="HE348" s="60"/>
      <c r="HF348" s="16"/>
      <c r="HG348" s="16"/>
      <c r="HH348" s="16"/>
      <c r="HI348" s="16"/>
      <c r="HJ348" s="16"/>
      <c r="HK348" s="17"/>
      <c r="HO348" s="24"/>
      <c r="HP348" s="60"/>
      <c r="HQ348" s="16"/>
      <c r="HR348" s="16"/>
      <c r="HS348" s="16"/>
      <c r="HT348" s="16"/>
      <c r="HU348" s="16"/>
      <c r="HV348" s="17"/>
      <c r="HZ348" s="24"/>
      <c r="IA348" s="60"/>
      <c r="IB348" s="16"/>
      <c r="IC348" s="16"/>
      <c r="ID348" s="16"/>
      <c r="IE348" s="16"/>
      <c r="IF348" s="16"/>
      <c r="IG348" s="17"/>
      <c r="IK348" s="24"/>
      <c r="IL348" s="60"/>
      <c r="IM348" s="16"/>
      <c r="IN348" s="16"/>
      <c r="IO348" s="16"/>
      <c r="IP348" s="16"/>
      <c r="IQ348" s="16"/>
      <c r="IR348" s="17"/>
      <c r="IV348" s="24"/>
      <c r="IW348" s="60"/>
      <c r="IX348" s="16"/>
      <c r="IY348" s="16"/>
      <c r="IZ348" s="16"/>
      <c r="JA348" s="16"/>
      <c r="JB348" s="16"/>
      <c r="JC348" s="17"/>
      <c r="JG348" s="24"/>
      <c r="JH348" s="60"/>
      <c r="JI348" s="16"/>
      <c r="JJ348" s="16"/>
      <c r="JK348" s="16"/>
      <c r="JL348" s="16"/>
      <c r="JM348" s="16"/>
      <c r="JN348" s="17"/>
      <c r="JR348" s="24"/>
      <c r="JS348" s="60"/>
      <c r="JT348" s="16"/>
      <c r="JU348" s="16"/>
      <c r="JV348" s="16"/>
      <c r="JW348" s="16"/>
      <c r="JX348" s="16"/>
      <c r="JY348" s="17"/>
      <c r="KC348" s="24"/>
      <c r="KD348" s="60"/>
      <c r="KE348" s="16"/>
      <c r="KF348" s="16"/>
      <c r="KG348" s="16"/>
      <c r="KH348" s="16"/>
      <c r="KI348" s="16"/>
      <c r="KJ348" s="17"/>
      <c r="KN348" s="24"/>
      <c r="KO348" s="60"/>
      <c r="KP348" s="16"/>
      <c r="KQ348" s="16"/>
      <c r="KR348" s="16"/>
      <c r="KS348" s="16"/>
      <c r="KT348" s="16"/>
      <c r="KU348" s="17"/>
      <c r="KY348" s="24"/>
      <c r="KZ348" s="60"/>
      <c r="LA348" s="16"/>
      <c r="LB348" s="16"/>
      <c r="LC348" s="16"/>
      <c r="LD348" s="16"/>
      <c r="LE348" s="16"/>
      <c r="LF348" s="17"/>
      <c r="LJ348" s="24"/>
      <c r="LK348" s="60"/>
      <c r="LL348" s="16"/>
      <c r="LM348" s="16"/>
      <c r="LN348" s="16"/>
      <c r="LO348" s="16"/>
      <c r="LP348" s="16"/>
      <c r="LQ348" s="17"/>
    </row>
    <row r="349">
      <c r="C349" s="31"/>
      <c r="D349" s="61"/>
      <c r="E349" s="16"/>
      <c r="F349" s="16"/>
      <c r="G349" s="21"/>
      <c r="H349" s="16"/>
      <c r="I349" s="16"/>
      <c r="J349" s="17"/>
      <c r="N349" s="17"/>
      <c r="O349" s="61"/>
      <c r="P349" s="16"/>
      <c r="Q349" s="16"/>
      <c r="R349" s="16"/>
      <c r="S349" s="16"/>
      <c r="T349" s="16"/>
      <c r="U349" s="17"/>
      <c r="Y349" s="24"/>
      <c r="Z349" s="61"/>
      <c r="AA349" s="16"/>
      <c r="AB349" s="16"/>
      <c r="AC349" s="16"/>
      <c r="AD349" s="16"/>
      <c r="AE349" s="16"/>
      <c r="AF349" s="17"/>
      <c r="AJ349" s="24"/>
      <c r="AK349" s="61"/>
      <c r="AL349" s="16"/>
      <c r="AM349" s="16"/>
      <c r="AN349" s="16"/>
      <c r="AO349" s="16"/>
      <c r="AP349" s="16"/>
      <c r="AQ349" s="17"/>
      <c r="AU349" s="24"/>
      <c r="AV349" s="61"/>
      <c r="AW349" s="16"/>
      <c r="AX349" s="16"/>
      <c r="AY349" s="16"/>
      <c r="AZ349" s="16"/>
      <c r="BA349" s="16"/>
      <c r="BB349" s="17"/>
      <c r="BF349" s="24"/>
      <c r="BG349" s="61"/>
      <c r="BH349" s="16"/>
      <c r="BI349" s="16"/>
      <c r="BJ349" s="16"/>
      <c r="BK349" s="16"/>
      <c r="BL349" s="16"/>
      <c r="BM349" s="17"/>
      <c r="BQ349" s="24"/>
      <c r="BR349" s="61"/>
      <c r="BS349" s="16"/>
      <c r="BT349" s="16"/>
      <c r="BU349" s="16"/>
      <c r="BV349" s="16"/>
      <c r="BW349" s="16"/>
      <c r="BX349" s="17"/>
      <c r="CB349" s="24"/>
      <c r="CC349" s="61"/>
      <c r="CD349" s="16"/>
      <c r="CE349" s="16"/>
      <c r="CF349" s="16"/>
      <c r="CG349" s="16"/>
      <c r="CH349" s="16"/>
      <c r="CI349" s="17"/>
      <c r="CM349" s="24"/>
      <c r="CN349" s="61"/>
      <c r="CO349" s="16"/>
      <c r="CP349" s="16"/>
      <c r="CQ349" s="16"/>
      <c r="CR349" s="16"/>
      <c r="CS349" s="16"/>
      <c r="CT349" s="17"/>
      <c r="CX349" s="24"/>
      <c r="CY349" s="60"/>
      <c r="CZ349" s="16"/>
      <c r="DA349" s="16"/>
      <c r="DB349" s="16"/>
      <c r="DC349" s="16"/>
      <c r="DD349" s="16"/>
      <c r="DE349" s="17"/>
      <c r="DI349" s="24"/>
      <c r="DJ349" s="60"/>
      <c r="DK349" s="16"/>
      <c r="DL349" s="16"/>
      <c r="DM349" s="16"/>
      <c r="DN349" s="16"/>
      <c r="DO349" s="16"/>
      <c r="DP349" s="17"/>
      <c r="DT349" s="24"/>
      <c r="DU349" s="60"/>
      <c r="DV349" s="16"/>
      <c r="DW349" s="16"/>
      <c r="DX349" s="16"/>
      <c r="DY349" s="16"/>
      <c r="DZ349" s="16"/>
      <c r="EA349" s="17"/>
      <c r="EE349" s="24"/>
      <c r="EF349" s="60"/>
      <c r="EG349" s="16"/>
      <c r="EH349" s="16"/>
      <c r="EI349" s="16"/>
      <c r="EJ349" s="16"/>
      <c r="EK349" s="16"/>
      <c r="EL349" s="17"/>
      <c r="EP349" s="24"/>
      <c r="EQ349" s="60"/>
      <c r="ER349" s="16"/>
      <c r="ES349" s="16"/>
      <c r="ET349" s="16"/>
      <c r="EU349" s="16"/>
      <c r="EV349" s="16"/>
      <c r="EW349" s="17"/>
      <c r="FA349" s="24"/>
      <c r="FB349" s="60"/>
      <c r="FC349" s="16"/>
      <c r="FD349" s="16"/>
      <c r="FE349" s="16"/>
      <c r="FF349" s="16"/>
      <c r="FG349" s="16"/>
      <c r="FH349" s="17"/>
      <c r="FL349" s="24"/>
      <c r="FM349" s="60"/>
      <c r="FN349" s="16"/>
      <c r="FO349" s="16"/>
      <c r="FP349" s="16"/>
      <c r="FQ349" s="16"/>
      <c r="FR349" s="16"/>
      <c r="FS349" s="17"/>
      <c r="FW349" s="24"/>
      <c r="FX349" s="60"/>
      <c r="FY349" s="16"/>
      <c r="FZ349" s="16"/>
      <c r="GA349" s="16"/>
      <c r="GB349" s="16"/>
      <c r="GC349" s="16"/>
      <c r="GD349" s="17"/>
      <c r="GH349" s="24"/>
      <c r="GI349" s="60"/>
      <c r="GJ349" s="16"/>
      <c r="GK349" s="16"/>
      <c r="GL349" s="16"/>
      <c r="GM349" s="16"/>
      <c r="GN349" s="16"/>
      <c r="GO349" s="17"/>
      <c r="GS349" s="24"/>
      <c r="GT349" s="60"/>
      <c r="GU349" s="16"/>
      <c r="GV349" s="16"/>
      <c r="GW349" s="16"/>
      <c r="GX349" s="16"/>
      <c r="GY349" s="16"/>
      <c r="GZ349" s="17"/>
      <c r="HD349" s="24"/>
      <c r="HE349" s="60"/>
      <c r="HF349" s="16"/>
      <c r="HG349" s="16"/>
      <c r="HH349" s="16"/>
      <c r="HI349" s="16"/>
      <c r="HJ349" s="16"/>
      <c r="HK349" s="17"/>
      <c r="HO349" s="24"/>
      <c r="HP349" s="60"/>
      <c r="HQ349" s="16"/>
      <c r="HR349" s="16"/>
      <c r="HS349" s="16"/>
      <c r="HT349" s="16"/>
      <c r="HU349" s="16"/>
      <c r="HV349" s="17"/>
      <c r="HZ349" s="24"/>
      <c r="IA349" s="60"/>
      <c r="IB349" s="16"/>
      <c r="IC349" s="16"/>
      <c r="ID349" s="16"/>
      <c r="IE349" s="16"/>
      <c r="IF349" s="16"/>
      <c r="IG349" s="17"/>
      <c r="IK349" s="24"/>
      <c r="IL349" s="60"/>
      <c r="IM349" s="16"/>
      <c r="IN349" s="16"/>
      <c r="IO349" s="16"/>
      <c r="IP349" s="16"/>
      <c r="IQ349" s="16"/>
      <c r="IR349" s="17"/>
      <c r="IV349" s="24"/>
      <c r="IW349" s="60"/>
      <c r="IX349" s="16"/>
      <c r="IY349" s="16"/>
      <c r="IZ349" s="16"/>
      <c r="JA349" s="16"/>
      <c r="JB349" s="16"/>
      <c r="JC349" s="17"/>
      <c r="JG349" s="24"/>
      <c r="JH349" s="60"/>
      <c r="JI349" s="16"/>
      <c r="JJ349" s="16"/>
      <c r="JK349" s="16"/>
      <c r="JL349" s="16"/>
      <c r="JM349" s="16"/>
      <c r="JN349" s="17"/>
      <c r="JR349" s="24"/>
      <c r="JS349" s="60"/>
      <c r="JT349" s="16"/>
      <c r="JU349" s="16"/>
      <c r="JV349" s="16"/>
      <c r="JW349" s="16"/>
      <c r="JX349" s="16"/>
      <c r="JY349" s="17"/>
      <c r="KC349" s="24"/>
      <c r="KD349" s="60"/>
      <c r="KE349" s="16"/>
      <c r="KF349" s="16"/>
      <c r="KG349" s="16"/>
      <c r="KH349" s="16"/>
      <c r="KI349" s="16"/>
      <c r="KJ349" s="17"/>
      <c r="KN349" s="24"/>
      <c r="KO349" s="60"/>
      <c r="KP349" s="16"/>
      <c r="KQ349" s="16"/>
      <c r="KR349" s="16"/>
      <c r="KS349" s="16"/>
      <c r="KT349" s="16"/>
      <c r="KU349" s="17"/>
      <c r="KY349" s="24"/>
      <c r="KZ349" s="60"/>
      <c r="LA349" s="16"/>
      <c r="LB349" s="16"/>
      <c r="LC349" s="16"/>
      <c r="LD349" s="16"/>
      <c r="LE349" s="16"/>
      <c r="LF349" s="17"/>
      <c r="LJ349" s="24"/>
      <c r="LK349" s="60"/>
      <c r="LL349" s="16"/>
      <c r="LM349" s="16"/>
      <c r="LN349" s="16"/>
      <c r="LO349" s="16"/>
      <c r="LP349" s="16"/>
      <c r="LQ349" s="17"/>
    </row>
    <row r="350">
      <c r="C350" s="31"/>
      <c r="D350" s="61"/>
      <c r="E350" s="16"/>
      <c r="F350" s="16"/>
      <c r="G350" s="21"/>
      <c r="H350" s="16"/>
      <c r="I350" s="16"/>
      <c r="J350" s="17"/>
      <c r="N350" s="17"/>
      <c r="O350" s="61"/>
      <c r="P350" s="16"/>
      <c r="Q350" s="16"/>
      <c r="R350" s="16"/>
      <c r="S350" s="16"/>
      <c r="T350" s="16"/>
      <c r="U350" s="17"/>
      <c r="Y350" s="24"/>
      <c r="Z350" s="61"/>
      <c r="AA350" s="16"/>
      <c r="AB350" s="16"/>
      <c r="AC350" s="16"/>
      <c r="AD350" s="16"/>
      <c r="AE350" s="16"/>
      <c r="AF350" s="17"/>
      <c r="AJ350" s="24"/>
      <c r="AK350" s="61"/>
      <c r="AL350" s="16"/>
      <c r="AM350" s="16"/>
      <c r="AN350" s="16"/>
      <c r="AO350" s="16"/>
      <c r="AP350" s="16"/>
      <c r="AQ350" s="17"/>
      <c r="AU350" s="24"/>
      <c r="AV350" s="61"/>
      <c r="AW350" s="16"/>
      <c r="AX350" s="16"/>
      <c r="AY350" s="16"/>
      <c r="AZ350" s="16"/>
      <c r="BA350" s="16"/>
      <c r="BB350" s="17"/>
      <c r="BF350" s="24"/>
      <c r="BG350" s="61"/>
      <c r="BH350" s="16"/>
      <c r="BI350" s="16"/>
      <c r="BJ350" s="16"/>
      <c r="BK350" s="16"/>
      <c r="BL350" s="16"/>
      <c r="BM350" s="17"/>
      <c r="BQ350" s="24"/>
      <c r="BR350" s="61"/>
      <c r="BS350" s="16"/>
      <c r="BT350" s="16"/>
      <c r="BU350" s="16"/>
      <c r="BV350" s="16"/>
      <c r="BW350" s="16"/>
      <c r="BX350" s="17"/>
      <c r="CB350" s="24"/>
      <c r="CC350" s="61"/>
      <c r="CD350" s="16"/>
      <c r="CE350" s="16"/>
      <c r="CF350" s="16"/>
      <c r="CG350" s="16"/>
      <c r="CH350" s="16"/>
      <c r="CI350" s="17"/>
      <c r="CM350" s="24"/>
      <c r="CN350" s="61"/>
      <c r="CO350" s="16"/>
      <c r="CP350" s="16"/>
      <c r="CQ350" s="16"/>
      <c r="CR350" s="16"/>
      <c r="CS350" s="16"/>
      <c r="CT350" s="17"/>
      <c r="CX350" s="24"/>
      <c r="CY350" s="60"/>
      <c r="CZ350" s="16"/>
      <c r="DA350" s="16"/>
      <c r="DB350" s="16"/>
      <c r="DC350" s="16"/>
      <c r="DD350" s="16"/>
      <c r="DE350" s="17"/>
      <c r="DI350" s="24"/>
      <c r="DJ350" s="60"/>
      <c r="DK350" s="16"/>
      <c r="DL350" s="16"/>
      <c r="DM350" s="16"/>
      <c r="DN350" s="16"/>
      <c r="DO350" s="16"/>
      <c r="DP350" s="17"/>
      <c r="DT350" s="24"/>
      <c r="DU350" s="60"/>
      <c r="DV350" s="16"/>
      <c r="DW350" s="16"/>
      <c r="DX350" s="16"/>
      <c r="DY350" s="16"/>
      <c r="DZ350" s="16"/>
      <c r="EA350" s="17"/>
      <c r="EE350" s="24"/>
      <c r="EF350" s="60"/>
      <c r="EG350" s="16"/>
      <c r="EH350" s="16"/>
      <c r="EI350" s="16"/>
      <c r="EJ350" s="16"/>
      <c r="EK350" s="16"/>
      <c r="EL350" s="17"/>
      <c r="EP350" s="24"/>
      <c r="EQ350" s="60"/>
      <c r="ER350" s="16"/>
      <c r="ES350" s="16"/>
      <c r="ET350" s="16"/>
      <c r="EU350" s="16"/>
      <c r="EV350" s="16"/>
      <c r="EW350" s="17"/>
      <c r="FA350" s="24"/>
      <c r="FB350" s="60"/>
      <c r="FC350" s="16"/>
      <c r="FD350" s="16"/>
      <c r="FE350" s="16"/>
      <c r="FF350" s="16"/>
      <c r="FG350" s="16"/>
      <c r="FH350" s="17"/>
      <c r="FL350" s="24"/>
      <c r="FM350" s="60"/>
      <c r="FN350" s="16"/>
      <c r="FO350" s="16"/>
      <c r="FP350" s="16"/>
      <c r="FQ350" s="16"/>
      <c r="FR350" s="16"/>
      <c r="FS350" s="17"/>
      <c r="FW350" s="24"/>
      <c r="FX350" s="60"/>
      <c r="FY350" s="16"/>
      <c r="FZ350" s="16"/>
      <c r="GA350" s="16"/>
      <c r="GB350" s="16"/>
      <c r="GC350" s="16"/>
      <c r="GD350" s="17"/>
      <c r="GH350" s="24"/>
      <c r="GI350" s="60"/>
      <c r="GJ350" s="16"/>
      <c r="GK350" s="16"/>
      <c r="GL350" s="16"/>
      <c r="GM350" s="16"/>
      <c r="GN350" s="16"/>
      <c r="GO350" s="17"/>
      <c r="GS350" s="24"/>
      <c r="GT350" s="60"/>
      <c r="GU350" s="16"/>
      <c r="GV350" s="16"/>
      <c r="GW350" s="16"/>
      <c r="GX350" s="16"/>
      <c r="GY350" s="16"/>
      <c r="GZ350" s="17"/>
      <c r="HD350" s="24"/>
      <c r="HE350" s="60"/>
      <c r="HF350" s="16"/>
      <c r="HG350" s="16"/>
      <c r="HH350" s="16"/>
      <c r="HI350" s="16"/>
      <c r="HJ350" s="16"/>
      <c r="HK350" s="17"/>
      <c r="HO350" s="24"/>
      <c r="HP350" s="60"/>
      <c r="HQ350" s="16"/>
      <c r="HR350" s="16"/>
      <c r="HS350" s="16"/>
      <c r="HT350" s="16"/>
      <c r="HU350" s="16"/>
      <c r="HV350" s="17"/>
      <c r="HZ350" s="24"/>
      <c r="IA350" s="60"/>
      <c r="IB350" s="16"/>
      <c r="IC350" s="16"/>
      <c r="ID350" s="16"/>
      <c r="IE350" s="16"/>
      <c r="IF350" s="16"/>
      <c r="IG350" s="17"/>
      <c r="IK350" s="24"/>
      <c r="IL350" s="60"/>
      <c r="IM350" s="16"/>
      <c r="IN350" s="16"/>
      <c r="IO350" s="16"/>
      <c r="IP350" s="16"/>
      <c r="IQ350" s="16"/>
      <c r="IR350" s="17"/>
      <c r="IV350" s="24"/>
      <c r="IW350" s="60"/>
      <c r="IX350" s="16"/>
      <c r="IY350" s="16"/>
      <c r="IZ350" s="16"/>
      <c r="JA350" s="16"/>
      <c r="JB350" s="16"/>
      <c r="JC350" s="17"/>
      <c r="JG350" s="24"/>
      <c r="JH350" s="60"/>
      <c r="JI350" s="16"/>
      <c r="JJ350" s="16"/>
      <c r="JK350" s="16"/>
      <c r="JL350" s="16"/>
      <c r="JM350" s="16"/>
      <c r="JN350" s="17"/>
      <c r="JR350" s="24"/>
      <c r="JS350" s="60"/>
      <c r="JT350" s="16"/>
      <c r="JU350" s="16"/>
      <c r="JV350" s="16"/>
      <c r="JW350" s="16"/>
      <c r="JX350" s="16"/>
      <c r="JY350" s="17"/>
      <c r="KC350" s="24"/>
      <c r="KD350" s="60"/>
      <c r="KE350" s="16"/>
      <c r="KF350" s="16"/>
      <c r="KG350" s="16"/>
      <c r="KH350" s="16"/>
      <c r="KI350" s="16"/>
      <c r="KJ350" s="17"/>
      <c r="KN350" s="24"/>
      <c r="KO350" s="60"/>
      <c r="KP350" s="16"/>
      <c r="KQ350" s="16"/>
      <c r="KR350" s="16"/>
      <c r="KS350" s="16"/>
      <c r="KT350" s="16"/>
      <c r="KU350" s="17"/>
      <c r="KY350" s="24"/>
      <c r="KZ350" s="60"/>
      <c r="LA350" s="16"/>
      <c r="LB350" s="16"/>
      <c r="LC350" s="16"/>
      <c r="LD350" s="16"/>
      <c r="LE350" s="16"/>
      <c r="LF350" s="17"/>
      <c r="LJ350" s="24"/>
      <c r="LK350" s="60"/>
      <c r="LL350" s="16"/>
      <c r="LM350" s="16"/>
      <c r="LN350" s="16"/>
      <c r="LO350" s="16"/>
      <c r="LP350" s="16"/>
      <c r="LQ350" s="17"/>
    </row>
    <row r="351">
      <c r="C351" s="31"/>
      <c r="D351" s="61"/>
      <c r="E351" s="16"/>
      <c r="F351" s="16"/>
      <c r="G351" s="21"/>
      <c r="H351" s="16"/>
      <c r="I351" s="16"/>
      <c r="J351" s="17"/>
      <c r="N351" s="17"/>
      <c r="O351" s="61"/>
      <c r="P351" s="16"/>
      <c r="Q351" s="16"/>
      <c r="R351" s="16"/>
      <c r="S351" s="16"/>
      <c r="T351" s="16"/>
      <c r="U351" s="17"/>
      <c r="Y351" s="24"/>
      <c r="Z351" s="61"/>
      <c r="AA351" s="16"/>
      <c r="AB351" s="16"/>
      <c r="AC351" s="16"/>
      <c r="AD351" s="16"/>
      <c r="AE351" s="16"/>
      <c r="AF351" s="17"/>
      <c r="AJ351" s="24"/>
      <c r="AK351" s="61"/>
      <c r="AL351" s="16"/>
      <c r="AM351" s="16"/>
      <c r="AN351" s="16"/>
      <c r="AO351" s="16"/>
      <c r="AP351" s="16"/>
      <c r="AQ351" s="17"/>
      <c r="AU351" s="24"/>
      <c r="AV351" s="61"/>
      <c r="AW351" s="16"/>
      <c r="AX351" s="16"/>
      <c r="AY351" s="16"/>
      <c r="AZ351" s="16"/>
      <c r="BA351" s="16"/>
      <c r="BB351" s="17"/>
      <c r="BF351" s="24"/>
      <c r="BG351" s="61"/>
      <c r="BH351" s="16"/>
      <c r="BI351" s="16"/>
      <c r="BJ351" s="16"/>
      <c r="BK351" s="16"/>
      <c r="BL351" s="16"/>
      <c r="BM351" s="17"/>
      <c r="BQ351" s="24"/>
      <c r="BR351" s="61"/>
      <c r="BS351" s="16"/>
      <c r="BT351" s="16"/>
      <c r="BU351" s="16"/>
      <c r="BV351" s="16"/>
      <c r="BW351" s="16"/>
      <c r="BX351" s="17"/>
      <c r="CB351" s="24"/>
      <c r="CC351" s="61"/>
      <c r="CD351" s="16"/>
      <c r="CE351" s="16"/>
      <c r="CF351" s="16"/>
      <c r="CG351" s="16"/>
      <c r="CH351" s="16"/>
      <c r="CI351" s="17"/>
      <c r="CM351" s="24"/>
      <c r="CN351" s="61"/>
      <c r="CO351" s="16"/>
      <c r="CP351" s="16"/>
      <c r="CQ351" s="16"/>
      <c r="CR351" s="16"/>
      <c r="CS351" s="16"/>
      <c r="CT351" s="17"/>
      <c r="CX351" s="24"/>
      <c r="CY351" s="60"/>
      <c r="CZ351" s="16"/>
      <c r="DA351" s="16"/>
      <c r="DB351" s="16"/>
      <c r="DC351" s="16"/>
      <c r="DD351" s="16"/>
      <c r="DE351" s="17"/>
      <c r="DI351" s="24"/>
      <c r="DJ351" s="60"/>
      <c r="DK351" s="16"/>
      <c r="DL351" s="16"/>
      <c r="DM351" s="16"/>
      <c r="DN351" s="16"/>
      <c r="DO351" s="16"/>
      <c r="DP351" s="17"/>
      <c r="DT351" s="24"/>
      <c r="DU351" s="60"/>
      <c r="DV351" s="16"/>
      <c r="DW351" s="16"/>
      <c r="DX351" s="16"/>
      <c r="DY351" s="16"/>
      <c r="DZ351" s="16"/>
      <c r="EA351" s="17"/>
      <c r="EE351" s="24"/>
      <c r="EF351" s="60"/>
      <c r="EG351" s="16"/>
      <c r="EH351" s="16"/>
      <c r="EI351" s="16"/>
      <c r="EJ351" s="16"/>
      <c r="EK351" s="16"/>
      <c r="EL351" s="17"/>
      <c r="EP351" s="24"/>
      <c r="EQ351" s="60"/>
      <c r="ER351" s="16"/>
      <c r="ES351" s="16"/>
      <c r="ET351" s="16"/>
      <c r="EU351" s="16"/>
      <c r="EV351" s="16"/>
      <c r="EW351" s="17"/>
      <c r="FA351" s="24"/>
      <c r="FB351" s="60"/>
      <c r="FC351" s="16"/>
      <c r="FD351" s="16"/>
      <c r="FE351" s="16"/>
      <c r="FF351" s="16"/>
      <c r="FG351" s="16"/>
      <c r="FH351" s="17"/>
      <c r="FL351" s="24"/>
      <c r="FM351" s="60"/>
      <c r="FN351" s="16"/>
      <c r="FO351" s="16"/>
      <c r="FP351" s="16"/>
      <c r="FQ351" s="16"/>
      <c r="FR351" s="16"/>
      <c r="FS351" s="17"/>
      <c r="FW351" s="24"/>
      <c r="FX351" s="60"/>
      <c r="FY351" s="16"/>
      <c r="FZ351" s="16"/>
      <c r="GA351" s="16"/>
      <c r="GB351" s="16"/>
      <c r="GC351" s="16"/>
      <c r="GD351" s="17"/>
      <c r="GH351" s="24"/>
      <c r="GI351" s="60"/>
      <c r="GJ351" s="16"/>
      <c r="GK351" s="16"/>
      <c r="GL351" s="16"/>
      <c r="GM351" s="16"/>
      <c r="GN351" s="16"/>
      <c r="GO351" s="17"/>
      <c r="GS351" s="24"/>
      <c r="GT351" s="60"/>
      <c r="GU351" s="16"/>
      <c r="GV351" s="16"/>
      <c r="GW351" s="16"/>
      <c r="GX351" s="16"/>
      <c r="GY351" s="16"/>
      <c r="GZ351" s="17"/>
      <c r="HD351" s="24"/>
      <c r="HE351" s="60"/>
      <c r="HF351" s="16"/>
      <c r="HG351" s="16"/>
      <c r="HH351" s="16"/>
      <c r="HI351" s="16"/>
      <c r="HJ351" s="16"/>
      <c r="HK351" s="17"/>
      <c r="HO351" s="24"/>
      <c r="HP351" s="60"/>
      <c r="HQ351" s="16"/>
      <c r="HR351" s="16"/>
      <c r="HS351" s="16"/>
      <c r="HT351" s="16"/>
      <c r="HU351" s="16"/>
      <c r="HV351" s="17"/>
      <c r="HZ351" s="24"/>
      <c r="IA351" s="60"/>
      <c r="IB351" s="16"/>
      <c r="IC351" s="16"/>
      <c r="ID351" s="16"/>
      <c r="IE351" s="16"/>
      <c r="IF351" s="16"/>
      <c r="IG351" s="17"/>
      <c r="IK351" s="24"/>
      <c r="IL351" s="60"/>
      <c r="IM351" s="16"/>
      <c r="IN351" s="16"/>
      <c r="IO351" s="16"/>
      <c r="IP351" s="16"/>
      <c r="IQ351" s="16"/>
      <c r="IR351" s="17"/>
      <c r="IV351" s="24"/>
      <c r="IW351" s="60"/>
      <c r="IX351" s="16"/>
      <c r="IY351" s="16"/>
      <c r="IZ351" s="16"/>
      <c r="JA351" s="16"/>
      <c r="JB351" s="16"/>
      <c r="JC351" s="17"/>
      <c r="JG351" s="24"/>
      <c r="JH351" s="60"/>
      <c r="JI351" s="16"/>
      <c r="JJ351" s="16"/>
      <c r="JK351" s="16"/>
      <c r="JL351" s="16"/>
      <c r="JM351" s="16"/>
      <c r="JN351" s="17"/>
      <c r="JR351" s="24"/>
      <c r="JS351" s="60"/>
      <c r="JT351" s="16"/>
      <c r="JU351" s="16"/>
      <c r="JV351" s="16"/>
      <c r="JW351" s="16"/>
      <c r="JX351" s="16"/>
      <c r="JY351" s="17"/>
      <c r="KC351" s="24"/>
      <c r="KD351" s="60"/>
      <c r="KE351" s="16"/>
      <c r="KF351" s="16"/>
      <c r="KG351" s="16"/>
      <c r="KH351" s="16"/>
      <c r="KI351" s="16"/>
      <c r="KJ351" s="17"/>
      <c r="KN351" s="24"/>
      <c r="KO351" s="60"/>
      <c r="KP351" s="16"/>
      <c r="KQ351" s="16"/>
      <c r="KR351" s="16"/>
      <c r="KS351" s="16"/>
      <c r="KT351" s="16"/>
      <c r="KU351" s="17"/>
      <c r="KY351" s="24"/>
      <c r="KZ351" s="60"/>
      <c r="LA351" s="16"/>
      <c r="LB351" s="16"/>
      <c r="LC351" s="16"/>
      <c r="LD351" s="16"/>
      <c r="LE351" s="16"/>
      <c r="LF351" s="17"/>
      <c r="LJ351" s="24"/>
      <c r="LK351" s="60"/>
      <c r="LL351" s="16"/>
      <c r="LM351" s="16"/>
      <c r="LN351" s="16"/>
      <c r="LO351" s="16"/>
      <c r="LP351" s="16"/>
      <c r="LQ351" s="17"/>
    </row>
    <row r="352">
      <c r="C352" s="31"/>
      <c r="D352" s="61"/>
      <c r="E352" s="16"/>
      <c r="F352" s="16"/>
      <c r="G352" s="21"/>
      <c r="H352" s="16"/>
      <c r="I352" s="16"/>
      <c r="J352" s="17"/>
      <c r="N352" s="17"/>
      <c r="O352" s="61"/>
      <c r="P352" s="16"/>
      <c r="Q352" s="16"/>
      <c r="R352" s="16"/>
      <c r="S352" s="16"/>
      <c r="T352" s="16"/>
      <c r="U352" s="17"/>
      <c r="Y352" s="24"/>
      <c r="Z352" s="61"/>
      <c r="AA352" s="16"/>
      <c r="AB352" s="16"/>
      <c r="AC352" s="16"/>
      <c r="AD352" s="16"/>
      <c r="AE352" s="16"/>
      <c r="AF352" s="17"/>
      <c r="AJ352" s="24"/>
      <c r="AK352" s="61"/>
      <c r="AL352" s="16"/>
      <c r="AM352" s="16"/>
      <c r="AN352" s="16"/>
      <c r="AO352" s="16"/>
      <c r="AP352" s="16"/>
      <c r="AQ352" s="17"/>
      <c r="AU352" s="24"/>
      <c r="AV352" s="61"/>
      <c r="AW352" s="16"/>
      <c r="AX352" s="16"/>
      <c r="AY352" s="16"/>
      <c r="AZ352" s="16"/>
      <c r="BA352" s="16"/>
      <c r="BB352" s="17"/>
      <c r="BF352" s="24"/>
      <c r="BG352" s="61"/>
      <c r="BH352" s="16"/>
      <c r="BI352" s="16"/>
      <c r="BJ352" s="16"/>
      <c r="BK352" s="16"/>
      <c r="BL352" s="16"/>
      <c r="BM352" s="17"/>
      <c r="BQ352" s="24"/>
      <c r="BR352" s="61"/>
      <c r="BS352" s="16"/>
      <c r="BT352" s="16"/>
      <c r="BU352" s="16"/>
      <c r="BV352" s="16"/>
      <c r="BW352" s="16"/>
      <c r="BX352" s="17"/>
      <c r="CB352" s="24"/>
      <c r="CC352" s="61"/>
      <c r="CD352" s="16"/>
      <c r="CE352" s="16"/>
      <c r="CF352" s="16"/>
      <c r="CG352" s="16"/>
      <c r="CH352" s="16"/>
      <c r="CI352" s="17"/>
      <c r="CM352" s="24"/>
      <c r="CN352" s="61"/>
      <c r="CO352" s="16"/>
      <c r="CP352" s="16"/>
      <c r="CQ352" s="16"/>
      <c r="CR352" s="16"/>
      <c r="CS352" s="16"/>
      <c r="CT352" s="17"/>
      <c r="CX352" s="24"/>
      <c r="CY352" s="60"/>
      <c r="CZ352" s="16"/>
      <c r="DA352" s="16"/>
      <c r="DB352" s="16"/>
      <c r="DC352" s="16"/>
      <c r="DD352" s="16"/>
      <c r="DE352" s="17"/>
      <c r="DI352" s="24"/>
      <c r="DJ352" s="60"/>
      <c r="DK352" s="16"/>
      <c r="DL352" s="16"/>
      <c r="DM352" s="16"/>
      <c r="DN352" s="16"/>
      <c r="DO352" s="16"/>
      <c r="DP352" s="17"/>
      <c r="DT352" s="24"/>
      <c r="DU352" s="60"/>
      <c r="DV352" s="16"/>
      <c r="DW352" s="16"/>
      <c r="DX352" s="16"/>
      <c r="DY352" s="16"/>
      <c r="DZ352" s="16"/>
      <c r="EA352" s="17"/>
      <c r="EE352" s="24"/>
      <c r="EF352" s="60"/>
      <c r="EG352" s="16"/>
      <c r="EH352" s="16"/>
      <c r="EI352" s="16"/>
      <c r="EJ352" s="16"/>
      <c r="EK352" s="16"/>
      <c r="EL352" s="17"/>
      <c r="EP352" s="24"/>
      <c r="EQ352" s="60"/>
      <c r="ER352" s="16"/>
      <c r="ES352" s="16"/>
      <c r="ET352" s="16"/>
      <c r="EU352" s="16"/>
      <c r="EV352" s="16"/>
      <c r="EW352" s="17"/>
      <c r="FA352" s="24"/>
      <c r="FB352" s="60"/>
      <c r="FC352" s="16"/>
      <c r="FD352" s="16"/>
      <c r="FE352" s="16"/>
      <c r="FF352" s="16"/>
      <c r="FG352" s="16"/>
      <c r="FH352" s="17"/>
      <c r="FL352" s="24"/>
      <c r="FM352" s="60"/>
      <c r="FN352" s="16"/>
      <c r="FO352" s="16"/>
      <c r="FP352" s="16"/>
      <c r="FQ352" s="16"/>
      <c r="FR352" s="16"/>
      <c r="FS352" s="17"/>
      <c r="FW352" s="24"/>
      <c r="FX352" s="60"/>
      <c r="FY352" s="16"/>
      <c r="FZ352" s="16"/>
      <c r="GA352" s="16"/>
      <c r="GB352" s="16"/>
      <c r="GC352" s="16"/>
      <c r="GD352" s="17"/>
      <c r="GH352" s="24"/>
      <c r="GI352" s="60"/>
      <c r="GJ352" s="16"/>
      <c r="GK352" s="16"/>
      <c r="GL352" s="16"/>
      <c r="GM352" s="16"/>
      <c r="GN352" s="16"/>
      <c r="GO352" s="17"/>
      <c r="GS352" s="24"/>
      <c r="GT352" s="60"/>
      <c r="GU352" s="16"/>
      <c r="GV352" s="16"/>
      <c r="GW352" s="16"/>
      <c r="GX352" s="16"/>
      <c r="GY352" s="16"/>
      <c r="GZ352" s="17"/>
      <c r="HD352" s="24"/>
      <c r="HE352" s="60"/>
      <c r="HF352" s="16"/>
      <c r="HG352" s="16"/>
      <c r="HH352" s="16"/>
      <c r="HI352" s="16"/>
      <c r="HJ352" s="16"/>
      <c r="HK352" s="17"/>
      <c r="HO352" s="24"/>
      <c r="HP352" s="60"/>
      <c r="HQ352" s="16"/>
      <c r="HR352" s="16"/>
      <c r="HS352" s="16"/>
      <c r="HT352" s="16"/>
      <c r="HU352" s="16"/>
      <c r="HV352" s="17"/>
      <c r="HZ352" s="24"/>
      <c r="IA352" s="60"/>
      <c r="IB352" s="16"/>
      <c r="IC352" s="16"/>
      <c r="ID352" s="16"/>
      <c r="IE352" s="16"/>
      <c r="IF352" s="16"/>
      <c r="IG352" s="17"/>
      <c r="IK352" s="24"/>
      <c r="IL352" s="60"/>
      <c r="IM352" s="16"/>
      <c r="IN352" s="16"/>
      <c r="IO352" s="16"/>
      <c r="IP352" s="16"/>
      <c r="IQ352" s="16"/>
      <c r="IR352" s="17"/>
      <c r="IV352" s="24"/>
      <c r="IW352" s="60"/>
      <c r="IX352" s="16"/>
      <c r="IY352" s="16"/>
      <c r="IZ352" s="16"/>
      <c r="JA352" s="16"/>
      <c r="JB352" s="16"/>
      <c r="JC352" s="17"/>
      <c r="JG352" s="24"/>
      <c r="JH352" s="60"/>
      <c r="JI352" s="16"/>
      <c r="JJ352" s="16"/>
      <c r="JK352" s="16"/>
      <c r="JL352" s="16"/>
      <c r="JM352" s="16"/>
      <c r="JN352" s="17"/>
      <c r="JR352" s="24"/>
      <c r="JS352" s="60"/>
      <c r="JT352" s="16"/>
      <c r="JU352" s="16"/>
      <c r="JV352" s="16"/>
      <c r="JW352" s="16"/>
      <c r="JX352" s="16"/>
      <c r="JY352" s="17"/>
      <c r="KC352" s="24"/>
      <c r="KD352" s="60"/>
      <c r="KE352" s="16"/>
      <c r="KF352" s="16"/>
      <c r="KG352" s="16"/>
      <c r="KH352" s="16"/>
      <c r="KI352" s="16"/>
      <c r="KJ352" s="17"/>
      <c r="KN352" s="24"/>
      <c r="KO352" s="60"/>
      <c r="KP352" s="16"/>
      <c r="KQ352" s="16"/>
      <c r="KR352" s="16"/>
      <c r="KS352" s="16"/>
      <c r="KT352" s="16"/>
      <c r="KU352" s="17"/>
      <c r="KY352" s="24"/>
      <c r="KZ352" s="60"/>
      <c r="LA352" s="16"/>
      <c r="LB352" s="16"/>
      <c r="LC352" s="16"/>
      <c r="LD352" s="16"/>
      <c r="LE352" s="16"/>
      <c r="LF352" s="17"/>
      <c r="LJ352" s="24"/>
      <c r="LK352" s="60"/>
      <c r="LL352" s="16"/>
      <c r="LM352" s="16"/>
      <c r="LN352" s="16"/>
      <c r="LO352" s="16"/>
      <c r="LP352" s="16"/>
      <c r="LQ352" s="17"/>
    </row>
    <row r="353">
      <c r="C353" s="31"/>
      <c r="D353" s="61"/>
      <c r="E353" s="16"/>
      <c r="F353" s="16"/>
      <c r="G353" s="21"/>
      <c r="H353" s="16"/>
      <c r="I353" s="16"/>
      <c r="J353" s="17"/>
      <c r="N353" s="17"/>
      <c r="O353" s="61"/>
      <c r="P353" s="16"/>
      <c r="Q353" s="16"/>
      <c r="R353" s="16"/>
      <c r="S353" s="16"/>
      <c r="T353" s="16"/>
      <c r="U353" s="17"/>
      <c r="Y353" s="24"/>
      <c r="Z353" s="61"/>
      <c r="AA353" s="16"/>
      <c r="AB353" s="16"/>
      <c r="AC353" s="16"/>
      <c r="AD353" s="16"/>
      <c r="AE353" s="16"/>
      <c r="AF353" s="17"/>
      <c r="AJ353" s="24"/>
      <c r="AK353" s="61"/>
      <c r="AL353" s="16"/>
      <c r="AM353" s="16"/>
      <c r="AN353" s="16"/>
      <c r="AO353" s="16"/>
      <c r="AP353" s="16"/>
      <c r="AQ353" s="17"/>
      <c r="AU353" s="24"/>
      <c r="AV353" s="61"/>
      <c r="AW353" s="16"/>
      <c r="AX353" s="16"/>
      <c r="AY353" s="16"/>
      <c r="AZ353" s="16"/>
      <c r="BA353" s="16"/>
      <c r="BB353" s="17"/>
      <c r="BF353" s="24"/>
      <c r="BG353" s="61"/>
      <c r="BH353" s="16"/>
      <c r="BI353" s="16"/>
      <c r="BJ353" s="16"/>
      <c r="BK353" s="16"/>
      <c r="BL353" s="16"/>
      <c r="BM353" s="17"/>
      <c r="BQ353" s="24"/>
      <c r="BR353" s="61"/>
      <c r="BS353" s="16"/>
      <c r="BT353" s="16"/>
      <c r="BU353" s="16"/>
      <c r="BV353" s="16"/>
      <c r="BW353" s="16"/>
      <c r="BX353" s="17"/>
      <c r="CB353" s="24"/>
      <c r="CC353" s="61"/>
      <c r="CD353" s="16"/>
      <c r="CE353" s="16"/>
      <c r="CF353" s="16"/>
      <c r="CG353" s="16"/>
      <c r="CH353" s="16"/>
      <c r="CI353" s="17"/>
      <c r="CM353" s="24"/>
      <c r="CN353" s="61"/>
      <c r="CO353" s="16"/>
      <c r="CP353" s="16"/>
      <c r="CQ353" s="16"/>
      <c r="CR353" s="16"/>
      <c r="CS353" s="16"/>
      <c r="CT353" s="17"/>
      <c r="CX353" s="24"/>
      <c r="CY353" s="60"/>
      <c r="CZ353" s="16"/>
      <c r="DA353" s="16"/>
      <c r="DB353" s="16"/>
      <c r="DC353" s="16"/>
      <c r="DD353" s="16"/>
      <c r="DE353" s="17"/>
      <c r="DI353" s="24"/>
      <c r="DJ353" s="60"/>
      <c r="DK353" s="16"/>
      <c r="DL353" s="16"/>
      <c r="DM353" s="16"/>
      <c r="DN353" s="16"/>
      <c r="DO353" s="16"/>
      <c r="DP353" s="17"/>
      <c r="DT353" s="24"/>
      <c r="DU353" s="60"/>
      <c r="DV353" s="16"/>
      <c r="DW353" s="16"/>
      <c r="DX353" s="16"/>
      <c r="DY353" s="16"/>
      <c r="DZ353" s="16"/>
      <c r="EA353" s="17"/>
      <c r="EE353" s="24"/>
      <c r="EF353" s="60"/>
      <c r="EG353" s="16"/>
      <c r="EH353" s="16"/>
      <c r="EI353" s="16"/>
      <c r="EJ353" s="16"/>
      <c r="EK353" s="16"/>
      <c r="EL353" s="17"/>
      <c r="EP353" s="24"/>
      <c r="EQ353" s="60"/>
      <c r="ER353" s="16"/>
      <c r="ES353" s="16"/>
      <c r="ET353" s="16"/>
      <c r="EU353" s="16"/>
      <c r="EV353" s="16"/>
      <c r="EW353" s="17"/>
      <c r="FA353" s="24"/>
      <c r="FB353" s="60"/>
      <c r="FC353" s="16"/>
      <c r="FD353" s="16"/>
      <c r="FE353" s="16"/>
      <c r="FF353" s="16"/>
      <c r="FG353" s="16"/>
      <c r="FH353" s="17"/>
      <c r="FL353" s="24"/>
      <c r="FM353" s="60"/>
      <c r="FN353" s="16"/>
      <c r="FO353" s="16"/>
      <c r="FP353" s="16"/>
      <c r="FQ353" s="16"/>
      <c r="FR353" s="16"/>
      <c r="FS353" s="17"/>
      <c r="FW353" s="24"/>
      <c r="FX353" s="60"/>
      <c r="FY353" s="16"/>
      <c r="FZ353" s="16"/>
      <c r="GA353" s="16"/>
      <c r="GB353" s="16"/>
      <c r="GC353" s="16"/>
      <c r="GD353" s="17"/>
      <c r="GH353" s="24"/>
      <c r="GI353" s="60"/>
      <c r="GJ353" s="16"/>
      <c r="GK353" s="16"/>
      <c r="GL353" s="16"/>
      <c r="GM353" s="16"/>
      <c r="GN353" s="16"/>
      <c r="GO353" s="17"/>
      <c r="GS353" s="24"/>
      <c r="GT353" s="60"/>
      <c r="GU353" s="16"/>
      <c r="GV353" s="16"/>
      <c r="GW353" s="16"/>
      <c r="GX353" s="16"/>
      <c r="GY353" s="16"/>
      <c r="GZ353" s="17"/>
      <c r="HD353" s="24"/>
      <c r="HE353" s="60"/>
      <c r="HF353" s="16"/>
      <c r="HG353" s="16"/>
      <c r="HH353" s="16"/>
      <c r="HI353" s="16"/>
      <c r="HJ353" s="16"/>
      <c r="HK353" s="17"/>
      <c r="HO353" s="24"/>
      <c r="HP353" s="60"/>
      <c r="HQ353" s="16"/>
      <c r="HR353" s="16"/>
      <c r="HS353" s="16"/>
      <c r="HT353" s="16"/>
      <c r="HU353" s="16"/>
      <c r="HV353" s="17"/>
      <c r="HZ353" s="24"/>
      <c r="IA353" s="60"/>
      <c r="IB353" s="16"/>
      <c r="IC353" s="16"/>
      <c r="ID353" s="16"/>
      <c r="IE353" s="16"/>
      <c r="IF353" s="16"/>
      <c r="IG353" s="17"/>
      <c r="IK353" s="24"/>
      <c r="IL353" s="60"/>
      <c r="IM353" s="16"/>
      <c r="IN353" s="16"/>
      <c r="IO353" s="16"/>
      <c r="IP353" s="16"/>
      <c r="IQ353" s="16"/>
      <c r="IR353" s="17"/>
      <c r="IV353" s="24"/>
      <c r="IW353" s="60"/>
      <c r="IX353" s="16"/>
      <c r="IY353" s="16"/>
      <c r="IZ353" s="16"/>
      <c r="JA353" s="16"/>
      <c r="JB353" s="16"/>
      <c r="JC353" s="17"/>
      <c r="JG353" s="24"/>
      <c r="JH353" s="60"/>
      <c r="JI353" s="16"/>
      <c r="JJ353" s="16"/>
      <c r="JK353" s="16"/>
      <c r="JL353" s="16"/>
      <c r="JM353" s="16"/>
      <c r="JN353" s="17"/>
      <c r="JR353" s="24"/>
      <c r="JS353" s="60"/>
      <c r="JT353" s="16"/>
      <c r="JU353" s="16"/>
      <c r="JV353" s="16"/>
      <c r="JW353" s="16"/>
      <c r="JX353" s="16"/>
      <c r="JY353" s="17"/>
      <c r="KC353" s="24"/>
      <c r="KD353" s="60"/>
      <c r="KE353" s="16"/>
      <c r="KF353" s="16"/>
      <c r="KG353" s="16"/>
      <c r="KH353" s="16"/>
      <c r="KI353" s="16"/>
      <c r="KJ353" s="17"/>
      <c r="KN353" s="24"/>
      <c r="KO353" s="60"/>
      <c r="KP353" s="16"/>
      <c r="KQ353" s="16"/>
      <c r="KR353" s="16"/>
      <c r="KS353" s="16"/>
      <c r="KT353" s="16"/>
      <c r="KU353" s="17"/>
      <c r="KY353" s="24"/>
      <c r="KZ353" s="60"/>
      <c r="LA353" s="16"/>
      <c r="LB353" s="16"/>
      <c r="LC353" s="16"/>
      <c r="LD353" s="16"/>
      <c r="LE353" s="16"/>
      <c r="LF353" s="17"/>
      <c r="LJ353" s="24"/>
      <c r="LK353" s="60"/>
      <c r="LL353" s="16"/>
      <c r="LM353" s="16"/>
      <c r="LN353" s="16"/>
      <c r="LO353" s="16"/>
      <c r="LP353" s="16"/>
      <c r="LQ353" s="17"/>
    </row>
    <row r="354">
      <c r="C354" s="31"/>
      <c r="D354" s="61"/>
      <c r="E354" s="16"/>
      <c r="F354" s="16"/>
      <c r="G354" s="21"/>
      <c r="H354" s="16"/>
      <c r="I354" s="16"/>
      <c r="J354" s="17"/>
      <c r="N354" s="17"/>
      <c r="O354" s="61"/>
      <c r="P354" s="16"/>
      <c r="Q354" s="16"/>
      <c r="R354" s="16"/>
      <c r="S354" s="16"/>
      <c r="T354" s="16"/>
      <c r="U354" s="17"/>
      <c r="Y354" s="24"/>
      <c r="Z354" s="61"/>
      <c r="AA354" s="16"/>
      <c r="AB354" s="16"/>
      <c r="AC354" s="16"/>
      <c r="AD354" s="16"/>
      <c r="AE354" s="16"/>
      <c r="AF354" s="17"/>
      <c r="AJ354" s="24"/>
      <c r="AK354" s="61"/>
      <c r="AL354" s="16"/>
      <c r="AM354" s="16"/>
      <c r="AN354" s="16"/>
      <c r="AO354" s="16"/>
      <c r="AP354" s="16"/>
      <c r="AQ354" s="17"/>
      <c r="AU354" s="24"/>
      <c r="AV354" s="61"/>
      <c r="AW354" s="16"/>
      <c r="AX354" s="16"/>
      <c r="AY354" s="16"/>
      <c r="AZ354" s="16"/>
      <c r="BA354" s="16"/>
      <c r="BB354" s="17"/>
      <c r="BF354" s="24"/>
      <c r="BG354" s="61"/>
      <c r="BH354" s="16"/>
      <c r="BI354" s="16"/>
      <c r="BJ354" s="16"/>
      <c r="BK354" s="16"/>
      <c r="BL354" s="16"/>
      <c r="BM354" s="17"/>
      <c r="BQ354" s="24"/>
      <c r="BR354" s="61"/>
      <c r="BS354" s="16"/>
      <c r="BT354" s="16"/>
      <c r="BU354" s="16"/>
      <c r="BV354" s="16"/>
      <c r="BW354" s="16"/>
      <c r="BX354" s="17"/>
      <c r="CB354" s="24"/>
      <c r="CC354" s="61"/>
      <c r="CD354" s="16"/>
      <c r="CE354" s="16"/>
      <c r="CF354" s="16"/>
      <c r="CG354" s="16"/>
      <c r="CH354" s="16"/>
      <c r="CI354" s="17"/>
      <c r="CM354" s="24"/>
      <c r="CN354" s="61"/>
      <c r="CO354" s="16"/>
      <c r="CP354" s="16"/>
      <c r="CQ354" s="16"/>
      <c r="CR354" s="16"/>
      <c r="CS354" s="16"/>
      <c r="CT354" s="17"/>
      <c r="CX354" s="24"/>
      <c r="CY354" s="60"/>
      <c r="CZ354" s="16"/>
      <c r="DA354" s="16"/>
      <c r="DB354" s="16"/>
      <c r="DC354" s="16"/>
      <c r="DD354" s="16"/>
      <c r="DE354" s="17"/>
      <c r="DI354" s="24"/>
      <c r="DJ354" s="60"/>
      <c r="DK354" s="16"/>
      <c r="DL354" s="16"/>
      <c r="DM354" s="16"/>
      <c r="DN354" s="16"/>
      <c r="DO354" s="16"/>
      <c r="DP354" s="17"/>
      <c r="DT354" s="24"/>
      <c r="DU354" s="60"/>
      <c r="DV354" s="16"/>
      <c r="DW354" s="16"/>
      <c r="DX354" s="16"/>
      <c r="DY354" s="16"/>
      <c r="DZ354" s="16"/>
      <c r="EA354" s="17"/>
      <c r="EE354" s="24"/>
      <c r="EF354" s="60"/>
      <c r="EG354" s="16"/>
      <c r="EH354" s="16"/>
      <c r="EI354" s="16"/>
      <c r="EJ354" s="16"/>
      <c r="EK354" s="16"/>
      <c r="EL354" s="17"/>
      <c r="EP354" s="24"/>
      <c r="EQ354" s="60"/>
      <c r="ER354" s="16"/>
      <c r="ES354" s="16"/>
      <c r="ET354" s="16"/>
      <c r="EU354" s="16"/>
      <c r="EV354" s="16"/>
      <c r="EW354" s="17"/>
      <c r="FA354" s="24"/>
      <c r="FB354" s="60"/>
      <c r="FC354" s="16"/>
      <c r="FD354" s="16"/>
      <c r="FE354" s="16"/>
      <c r="FF354" s="16"/>
      <c r="FG354" s="16"/>
      <c r="FH354" s="17"/>
      <c r="FL354" s="24"/>
      <c r="FM354" s="60"/>
      <c r="FN354" s="16"/>
      <c r="FO354" s="16"/>
      <c r="FP354" s="16"/>
      <c r="FQ354" s="16"/>
      <c r="FR354" s="16"/>
      <c r="FS354" s="17"/>
      <c r="FW354" s="24"/>
      <c r="FX354" s="60"/>
      <c r="FY354" s="16"/>
      <c r="FZ354" s="16"/>
      <c r="GA354" s="16"/>
      <c r="GB354" s="16"/>
      <c r="GC354" s="16"/>
      <c r="GD354" s="17"/>
      <c r="GH354" s="24"/>
      <c r="GI354" s="60"/>
      <c r="GJ354" s="16"/>
      <c r="GK354" s="16"/>
      <c r="GL354" s="16"/>
      <c r="GM354" s="16"/>
      <c r="GN354" s="16"/>
      <c r="GO354" s="17"/>
      <c r="GS354" s="24"/>
      <c r="GT354" s="60"/>
      <c r="GU354" s="16"/>
      <c r="GV354" s="16"/>
      <c r="GW354" s="16"/>
      <c r="GX354" s="16"/>
      <c r="GY354" s="16"/>
      <c r="GZ354" s="17"/>
      <c r="HD354" s="24"/>
      <c r="HE354" s="60"/>
      <c r="HF354" s="16"/>
      <c r="HG354" s="16"/>
      <c r="HH354" s="16"/>
      <c r="HI354" s="16"/>
      <c r="HJ354" s="16"/>
      <c r="HK354" s="17"/>
      <c r="HO354" s="24"/>
      <c r="HP354" s="60"/>
      <c r="HQ354" s="16"/>
      <c r="HR354" s="16"/>
      <c r="HS354" s="16"/>
      <c r="HT354" s="16"/>
      <c r="HU354" s="16"/>
      <c r="HV354" s="17"/>
      <c r="HZ354" s="24"/>
      <c r="IA354" s="60"/>
      <c r="IB354" s="16"/>
      <c r="IC354" s="16"/>
      <c r="ID354" s="16"/>
      <c r="IE354" s="16"/>
      <c r="IF354" s="16"/>
      <c r="IG354" s="17"/>
      <c r="IK354" s="24"/>
      <c r="IL354" s="60"/>
      <c r="IM354" s="16"/>
      <c r="IN354" s="16"/>
      <c r="IO354" s="16"/>
      <c r="IP354" s="16"/>
      <c r="IQ354" s="16"/>
      <c r="IR354" s="17"/>
      <c r="IV354" s="24"/>
      <c r="IW354" s="60"/>
      <c r="IX354" s="16"/>
      <c r="IY354" s="16"/>
      <c r="IZ354" s="16"/>
      <c r="JA354" s="16"/>
      <c r="JB354" s="16"/>
      <c r="JC354" s="17"/>
      <c r="JG354" s="24"/>
      <c r="JH354" s="60"/>
      <c r="JI354" s="16"/>
      <c r="JJ354" s="16"/>
      <c r="JK354" s="16"/>
      <c r="JL354" s="16"/>
      <c r="JM354" s="16"/>
      <c r="JN354" s="17"/>
      <c r="JR354" s="24"/>
      <c r="JS354" s="60"/>
      <c r="JT354" s="16"/>
      <c r="JU354" s="16"/>
      <c r="JV354" s="16"/>
      <c r="JW354" s="16"/>
      <c r="JX354" s="16"/>
      <c r="JY354" s="17"/>
      <c r="KC354" s="24"/>
      <c r="KD354" s="60"/>
      <c r="KE354" s="16"/>
      <c r="KF354" s="16"/>
      <c r="KG354" s="16"/>
      <c r="KH354" s="16"/>
      <c r="KI354" s="16"/>
      <c r="KJ354" s="17"/>
      <c r="KN354" s="24"/>
      <c r="KO354" s="60"/>
      <c r="KP354" s="16"/>
      <c r="KQ354" s="16"/>
      <c r="KR354" s="16"/>
      <c r="KS354" s="16"/>
      <c r="KT354" s="16"/>
      <c r="KU354" s="17"/>
      <c r="KY354" s="24"/>
      <c r="KZ354" s="60"/>
      <c r="LA354" s="16"/>
      <c r="LB354" s="16"/>
      <c r="LC354" s="16"/>
      <c r="LD354" s="16"/>
      <c r="LE354" s="16"/>
      <c r="LF354" s="17"/>
      <c r="LJ354" s="24"/>
      <c r="LK354" s="60"/>
      <c r="LL354" s="16"/>
      <c r="LM354" s="16"/>
      <c r="LN354" s="16"/>
      <c r="LO354" s="16"/>
      <c r="LP354" s="16"/>
      <c r="LQ354" s="17"/>
    </row>
    <row r="355">
      <c r="C355" s="31"/>
      <c r="D355" s="61"/>
      <c r="E355" s="16"/>
      <c r="F355" s="16"/>
      <c r="G355" s="21"/>
      <c r="H355" s="16"/>
      <c r="I355" s="16"/>
      <c r="J355" s="17"/>
      <c r="N355" s="17"/>
      <c r="O355" s="61"/>
      <c r="P355" s="16"/>
      <c r="Q355" s="16"/>
      <c r="R355" s="16"/>
      <c r="S355" s="16"/>
      <c r="T355" s="16"/>
      <c r="U355" s="17"/>
      <c r="Y355" s="24"/>
      <c r="Z355" s="61"/>
      <c r="AA355" s="16"/>
      <c r="AB355" s="16"/>
      <c r="AC355" s="16"/>
      <c r="AD355" s="16"/>
      <c r="AE355" s="16"/>
      <c r="AF355" s="17"/>
      <c r="AJ355" s="24"/>
      <c r="AK355" s="61"/>
      <c r="AL355" s="16"/>
      <c r="AM355" s="16"/>
      <c r="AN355" s="16"/>
      <c r="AO355" s="16"/>
      <c r="AP355" s="16"/>
      <c r="AQ355" s="17"/>
      <c r="AU355" s="24"/>
      <c r="AV355" s="61"/>
      <c r="AW355" s="16"/>
      <c r="AX355" s="16"/>
      <c r="AY355" s="16"/>
      <c r="AZ355" s="16"/>
      <c r="BA355" s="16"/>
      <c r="BB355" s="17"/>
      <c r="BF355" s="24"/>
      <c r="BG355" s="61"/>
      <c r="BH355" s="16"/>
      <c r="BI355" s="16"/>
      <c r="BJ355" s="16"/>
      <c r="BK355" s="16"/>
      <c r="BL355" s="16"/>
      <c r="BM355" s="17"/>
      <c r="BQ355" s="24"/>
      <c r="BR355" s="61"/>
      <c r="BS355" s="16"/>
      <c r="BT355" s="16"/>
      <c r="BU355" s="16"/>
      <c r="BV355" s="16"/>
      <c r="BW355" s="16"/>
      <c r="BX355" s="17"/>
      <c r="CB355" s="24"/>
      <c r="CC355" s="61"/>
      <c r="CD355" s="16"/>
      <c r="CE355" s="16"/>
      <c r="CF355" s="16"/>
      <c r="CG355" s="16"/>
      <c r="CH355" s="16"/>
      <c r="CI355" s="17"/>
      <c r="CM355" s="24"/>
      <c r="CN355" s="61"/>
      <c r="CO355" s="16"/>
      <c r="CP355" s="16"/>
      <c r="CQ355" s="16"/>
      <c r="CR355" s="16"/>
      <c r="CS355" s="16"/>
      <c r="CT355" s="17"/>
      <c r="CX355" s="24"/>
      <c r="CY355" s="60"/>
      <c r="CZ355" s="16"/>
      <c r="DA355" s="16"/>
      <c r="DB355" s="16"/>
      <c r="DC355" s="16"/>
      <c r="DD355" s="16"/>
      <c r="DE355" s="17"/>
      <c r="DI355" s="24"/>
      <c r="DJ355" s="60"/>
      <c r="DK355" s="16"/>
      <c r="DL355" s="16"/>
      <c r="DM355" s="16"/>
      <c r="DN355" s="16"/>
      <c r="DO355" s="16"/>
      <c r="DP355" s="17"/>
      <c r="DT355" s="24"/>
      <c r="DU355" s="60"/>
      <c r="DV355" s="16"/>
      <c r="DW355" s="16"/>
      <c r="DX355" s="16"/>
      <c r="DY355" s="16"/>
      <c r="DZ355" s="16"/>
      <c r="EA355" s="17"/>
      <c r="EE355" s="24"/>
      <c r="EF355" s="60"/>
      <c r="EG355" s="16"/>
      <c r="EH355" s="16"/>
      <c r="EI355" s="16"/>
      <c r="EJ355" s="16"/>
      <c r="EK355" s="16"/>
      <c r="EL355" s="17"/>
      <c r="EP355" s="24"/>
      <c r="EQ355" s="60"/>
      <c r="ER355" s="16"/>
      <c r="ES355" s="16"/>
      <c r="ET355" s="16"/>
      <c r="EU355" s="16"/>
      <c r="EV355" s="16"/>
      <c r="EW355" s="17"/>
      <c r="FA355" s="24"/>
      <c r="FB355" s="60"/>
      <c r="FC355" s="16"/>
      <c r="FD355" s="16"/>
      <c r="FE355" s="16"/>
      <c r="FF355" s="16"/>
      <c r="FG355" s="16"/>
      <c r="FH355" s="17"/>
      <c r="FL355" s="24"/>
      <c r="FM355" s="60"/>
      <c r="FN355" s="16"/>
      <c r="FO355" s="16"/>
      <c r="FP355" s="16"/>
      <c r="FQ355" s="16"/>
      <c r="FR355" s="16"/>
      <c r="FS355" s="17"/>
      <c r="FW355" s="24"/>
      <c r="FX355" s="60"/>
      <c r="FY355" s="16"/>
      <c r="FZ355" s="16"/>
      <c r="GA355" s="16"/>
      <c r="GB355" s="16"/>
      <c r="GC355" s="16"/>
      <c r="GD355" s="17"/>
      <c r="GH355" s="24"/>
      <c r="GI355" s="60"/>
      <c r="GJ355" s="16"/>
      <c r="GK355" s="16"/>
      <c r="GL355" s="16"/>
      <c r="GM355" s="16"/>
      <c r="GN355" s="16"/>
      <c r="GO355" s="17"/>
      <c r="GS355" s="24"/>
      <c r="GT355" s="60"/>
      <c r="GU355" s="16"/>
      <c r="GV355" s="16"/>
      <c r="GW355" s="16"/>
      <c r="GX355" s="16"/>
      <c r="GY355" s="16"/>
      <c r="GZ355" s="17"/>
      <c r="HD355" s="24"/>
      <c r="HE355" s="60"/>
      <c r="HF355" s="16"/>
      <c r="HG355" s="16"/>
      <c r="HH355" s="16"/>
      <c r="HI355" s="16"/>
      <c r="HJ355" s="16"/>
      <c r="HK355" s="17"/>
      <c r="HO355" s="24"/>
      <c r="HP355" s="60"/>
      <c r="HQ355" s="16"/>
      <c r="HR355" s="16"/>
      <c r="HS355" s="16"/>
      <c r="HT355" s="16"/>
      <c r="HU355" s="16"/>
      <c r="HV355" s="17"/>
      <c r="HZ355" s="24"/>
      <c r="IA355" s="60"/>
      <c r="IB355" s="16"/>
      <c r="IC355" s="16"/>
      <c r="ID355" s="16"/>
      <c r="IE355" s="16"/>
      <c r="IF355" s="16"/>
      <c r="IG355" s="17"/>
      <c r="IK355" s="24"/>
      <c r="IL355" s="60"/>
      <c r="IM355" s="16"/>
      <c r="IN355" s="16"/>
      <c r="IO355" s="16"/>
      <c r="IP355" s="16"/>
      <c r="IQ355" s="16"/>
      <c r="IR355" s="17"/>
      <c r="IV355" s="24"/>
      <c r="IW355" s="60"/>
      <c r="IX355" s="16"/>
      <c r="IY355" s="16"/>
      <c r="IZ355" s="16"/>
      <c r="JA355" s="16"/>
      <c r="JB355" s="16"/>
      <c r="JC355" s="17"/>
      <c r="JG355" s="24"/>
      <c r="JH355" s="60"/>
      <c r="JI355" s="16"/>
      <c r="JJ355" s="16"/>
      <c r="JK355" s="16"/>
      <c r="JL355" s="16"/>
      <c r="JM355" s="16"/>
      <c r="JN355" s="17"/>
      <c r="JR355" s="24"/>
      <c r="JS355" s="60"/>
      <c r="JT355" s="16"/>
      <c r="JU355" s="16"/>
      <c r="JV355" s="16"/>
      <c r="JW355" s="16"/>
      <c r="JX355" s="16"/>
      <c r="JY355" s="17"/>
      <c r="KC355" s="24"/>
      <c r="KD355" s="60"/>
      <c r="KE355" s="16"/>
      <c r="KF355" s="16"/>
      <c r="KG355" s="16"/>
      <c r="KH355" s="16"/>
      <c r="KI355" s="16"/>
      <c r="KJ355" s="17"/>
      <c r="KN355" s="24"/>
      <c r="KO355" s="60"/>
      <c r="KP355" s="16"/>
      <c r="KQ355" s="16"/>
      <c r="KR355" s="16"/>
      <c r="KS355" s="16"/>
      <c r="KT355" s="16"/>
      <c r="KU355" s="17"/>
      <c r="KY355" s="24"/>
      <c r="KZ355" s="60"/>
      <c r="LA355" s="16"/>
      <c r="LB355" s="16"/>
      <c r="LC355" s="16"/>
      <c r="LD355" s="16"/>
      <c r="LE355" s="16"/>
      <c r="LF355" s="17"/>
      <c r="LJ355" s="24"/>
      <c r="LK355" s="60"/>
      <c r="LL355" s="16"/>
      <c r="LM355" s="16"/>
      <c r="LN355" s="16"/>
      <c r="LO355" s="16"/>
      <c r="LP355" s="16"/>
      <c r="LQ355" s="17"/>
    </row>
    <row r="356">
      <c r="C356" s="31"/>
      <c r="D356" s="61"/>
      <c r="E356" s="16"/>
      <c r="F356" s="16"/>
      <c r="G356" s="21"/>
      <c r="H356" s="16"/>
      <c r="I356" s="16"/>
      <c r="J356" s="17"/>
      <c r="N356" s="17"/>
      <c r="O356" s="61"/>
      <c r="P356" s="16"/>
      <c r="Q356" s="16"/>
      <c r="R356" s="16"/>
      <c r="S356" s="16"/>
      <c r="T356" s="16"/>
      <c r="U356" s="17"/>
      <c r="Y356" s="24"/>
      <c r="Z356" s="61"/>
      <c r="AA356" s="16"/>
      <c r="AB356" s="16"/>
      <c r="AC356" s="16"/>
      <c r="AD356" s="16"/>
      <c r="AE356" s="16"/>
      <c r="AF356" s="17"/>
      <c r="AJ356" s="24"/>
      <c r="AK356" s="61"/>
      <c r="AL356" s="16"/>
      <c r="AM356" s="16"/>
      <c r="AN356" s="16"/>
      <c r="AO356" s="16"/>
      <c r="AP356" s="16"/>
      <c r="AQ356" s="17"/>
      <c r="AU356" s="24"/>
      <c r="AV356" s="61"/>
      <c r="AW356" s="16"/>
      <c r="AX356" s="16"/>
      <c r="AY356" s="16"/>
      <c r="AZ356" s="16"/>
      <c r="BA356" s="16"/>
      <c r="BB356" s="17"/>
      <c r="BF356" s="24"/>
      <c r="BG356" s="61"/>
      <c r="BH356" s="16"/>
      <c r="BI356" s="16"/>
      <c r="BJ356" s="16"/>
      <c r="BK356" s="16"/>
      <c r="BL356" s="16"/>
      <c r="BM356" s="17"/>
      <c r="BQ356" s="24"/>
      <c r="BR356" s="61"/>
      <c r="BS356" s="16"/>
      <c r="BT356" s="16"/>
      <c r="BU356" s="16"/>
      <c r="BV356" s="16"/>
      <c r="BW356" s="16"/>
      <c r="BX356" s="17"/>
      <c r="CB356" s="24"/>
      <c r="CC356" s="61"/>
      <c r="CD356" s="16"/>
      <c r="CE356" s="16"/>
      <c r="CF356" s="16"/>
      <c r="CG356" s="16"/>
      <c r="CH356" s="16"/>
      <c r="CI356" s="17"/>
      <c r="CM356" s="24"/>
      <c r="CN356" s="61"/>
      <c r="CO356" s="16"/>
      <c r="CP356" s="16"/>
      <c r="CQ356" s="16"/>
      <c r="CR356" s="16"/>
      <c r="CS356" s="16"/>
      <c r="CT356" s="17"/>
      <c r="CX356" s="24"/>
      <c r="CY356" s="60"/>
      <c r="CZ356" s="16"/>
      <c r="DA356" s="16"/>
      <c r="DB356" s="16"/>
      <c r="DC356" s="16"/>
      <c r="DD356" s="16"/>
      <c r="DE356" s="17"/>
      <c r="DI356" s="24"/>
      <c r="DJ356" s="60"/>
      <c r="DK356" s="16"/>
      <c r="DL356" s="16"/>
      <c r="DM356" s="16"/>
      <c r="DN356" s="16"/>
      <c r="DO356" s="16"/>
      <c r="DP356" s="17"/>
      <c r="DT356" s="24"/>
      <c r="DU356" s="60"/>
      <c r="DV356" s="16"/>
      <c r="DW356" s="16"/>
      <c r="DX356" s="16"/>
      <c r="DY356" s="16"/>
      <c r="DZ356" s="16"/>
      <c r="EA356" s="17"/>
      <c r="EE356" s="24"/>
      <c r="EF356" s="60"/>
      <c r="EG356" s="16"/>
      <c r="EH356" s="16"/>
      <c r="EI356" s="16"/>
      <c r="EJ356" s="16"/>
      <c r="EK356" s="16"/>
      <c r="EL356" s="17"/>
      <c r="EP356" s="24"/>
      <c r="EQ356" s="60"/>
      <c r="ER356" s="16"/>
      <c r="ES356" s="16"/>
      <c r="ET356" s="16"/>
      <c r="EU356" s="16"/>
      <c r="EV356" s="16"/>
      <c r="EW356" s="17"/>
      <c r="FA356" s="24"/>
      <c r="FB356" s="60"/>
      <c r="FC356" s="16"/>
      <c r="FD356" s="16"/>
      <c r="FE356" s="16"/>
      <c r="FF356" s="16"/>
      <c r="FG356" s="16"/>
      <c r="FH356" s="17"/>
      <c r="FL356" s="24"/>
      <c r="FM356" s="60"/>
      <c r="FN356" s="16"/>
      <c r="FO356" s="16"/>
      <c r="FP356" s="16"/>
      <c r="FQ356" s="16"/>
      <c r="FR356" s="16"/>
      <c r="FS356" s="17"/>
      <c r="FW356" s="24"/>
      <c r="FX356" s="60"/>
      <c r="FY356" s="16"/>
      <c r="FZ356" s="16"/>
      <c r="GA356" s="16"/>
      <c r="GB356" s="16"/>
      <c r="GC356" s="16"/>
      <c r="GD356" s="17"/>
      <c r="GH356" s="24"/>
      <c r="GI356" s="60"/>
      <c r="GJ356" s="16"/>
      <c r="GK356" s="16"/>
      <c r="GL356" s="16"/>
      <c r="GM356" s="16"/>
      <c r="GN356" s="16"/>
      <c r="GO356" s="17"/>
      <c r="GS356" s="24"/>
      <c r="GT356" s="60"/>
      <c r="GU356" s="16"/>
      <c r="GV356" s="16"/>
      <c r="GW356" s="16"/>
      <c r="GX356" s="16"/>
      <c r="GY356" s="16"/>
      <c r="GZ356" s="17"/>
      <c r="HD356" s="24"/>
      <c r="HE356" s="60"/>
      <c r="HF356" s="16"/>
      <c r="HG356" s="16"/>
      <c r="HH356" s="16"/>
      <c r="HI356" s="16"/>
      <c r="HJ356" s="16"/>
      <c r="HK356" s="17"/>
      <c r="HO356" s="24"/>
      <c r="HP356" s="60"/>
      <c r="HQ356" s="16"/>
      <c r="HR356" s="16"/>
      <c r="HS356" s="16"/>
      <c r="HT356" s="16"/>
      <c r="HU356" s="16"/>
      <c r="HV356" s="17"/>
      <c r="HZ356" s="24"/>
      <c r="IA356" s="60"/>
      <c r="IB356" s="16"/>
      <c r="IC356" s="16"/>
      <c r="ID356" s="16"/>
      <c r="IE356" s="16"/>
      <c r="IF356" s="16"/>
      <c r="IG356" s="17"/>
      <c r="IK356" s="24"/>
      <c r="IL356" s="60"/>
      <c r="IM356" s="16"/>
      <c r="IN356" s="16"/>
      <c r="IO356" s="16"/>
      <c r="IP356" s="16"/>
      <c r="IQ356" s="16"/>
      <c r="IR356" s="17"/>
      <c r="IV356" s="24"/>
      <c r="IW356" s="60"/>
      <c r="IX356" s="16"/>
      <c r="IY356" s="16"/>
      <c r="IZ356" s="16"/>
      <c r="JA356" s="16"/>
      <c r="JB356" s="16"/>
      <c r="JC356" s="17"/>
      <c r="JG356" s="24"/>
      <c r="JH356" s="60"/>
      <c r="JI356" s="16"/>
      <c r="JJ356" s="16"/>
      <c r="JK356" s="16"/>
      <c r="JL356" s="16"/>
      <c r="JM356" s="16"/>
      <c r="JN356" s="17"/>
      <c r="JR356" s="24"/>
      <c r="JS356" s="60"/>
      <c r="JT356" s="16"/>
      <c r="JU356" s="16"/>
      <c r="JV356" s="16"/>
      <c r="JW356" s="16"/>
      <c r="JX356" s="16"/>
      <c r="JY356" s="17"/>
      <c r="KC356" s="24"/>
      <c r="KD356" s="60"/>
      <c r="KE356" s="16"/>
      <c r="KF356" s="16"/>
      <c r="KG356" s="16"/>
      <c r="KH356" s="16"/>
      <c r="KI356" s="16"/>
      <c r="KJ356" s="17"/>
      <c r="KN356" s="24"/>
      <c r="KO356" s="60"/>
      <c r="KP356" s="16"/>
      <c r="KQ356" s="16"/>
      <c r="KR356" s="16"/>
      <c r="KS356" s="16"/>
      <c r="KT356" s="16"/>
      <c r="KU356" s="17"/>
      <c r="KY356" s="24"/>
      <c r="KZ356" s="60"/>
      <c r="LA356" s="16"/>
      <c r="LB356" s="16"/>
      <c r="LC356" s="16"/>
      <c r="LD356" s="16"/>
      <c r="LE356" s="16"/>
      <c r="LF356" s="17"/>
      <c r="LJ356" s="24"/>
      <c r="LK356" s="60"/>
      <c r="LL356" s="16"/>
      <c r="LM356" s="16"/>
      <c r="LN356" s="16"/>
      <c r="LO356" s="16"/>
      <c r="LP356" s="16"/>
      <c r="LQ356" s="17"/>
    </row>
    <row r="357">
      <c r="C357" s="31"/>
      <c r="D357" s="61"/>
      <c r="E357" s="16"/>
      <c r="F357" s="16"/>
      <c r="G357" s="21"/>
      <c r="H357" s="16"/>
      <c r="I357" s="16"/>
      <c r="J357" s="17"/>
      <c r="N357" s="17"/>
      <c r="O357" s="61"/>
      <c r="P357" s="16"/>
      <c r="Q357" s="16"/>
      <c r="R357" s="16"/>
      <c r="S357" s="16"/>
      <c r="T357" s="16"/>
      <c r="U357" s="17"/>
      <c r="Y357" s="24"/>
      <c r="Z357" s="61"/>
      <c r="AA357" s="16"/>
      <c r="AB357" s="16"/>
      <c r="AC357" s="16"/>
      <c r="AD357" s="16"/>
      <c r="AE357" s="16"/>
      <c r="AF357" s="17"/>
      <c r="AJ357" s="24"/>
      <c r="AK357" s="61"/>
      <c r="AL357" s="16"/>
      <c r="AM357" s="16"/>
      <c r="AN357" s="16"/>
      <c r="AO357" s="16"/>
      <c r="AP357" s="16"/>
      <c r="AQ357" s="17"/>
      <c r="AU357" s="24"/>
      <c r="AV357" s="61"/>
      <c r="AW357" s="16"/>
      <c r="AX357" s="16"/>
      <c r="AY357" s="16"/>
      <c r="AZ357" s="16"/>
      <c r="BA357" s="16"/>
      <c r="BB357" s="17"/>
      <c r="BF357" s="24"/>
      <c r="BG357" s="61"/>
      <c r="BH357" s="16"/>
      <c r="BI357" s="16"/>
      <c r="BJ357" s="16"/>
      <c r="BK357" s="16"/>
      <c r="BL357" s="16"/>
      <c r="BM357" s="17"/>
      <c r="BQ357" s="24"/>
      <c r="BR357" s="61"/>
      <c r="BS357" s="16"/>
      <c r="BT357" s="16"/>
      <c r="BU357" s="16"/>
      <c r="BV357" s="16"/>
      <c r="BW357" s="16"/>
      <c r="BX357" s="17"/>
      <c r="CB357" s="24"/>
      <c r="CC357" s="61"/>
      <c r="CD357" s="16"/>
      <c r="CE357" s="16"/>
      <c r="CF357" s="16"/>
      <c r="CG357" s="16"/>
      <c r="CH357" s="16"/>
      <c r="CI357" s="17"/>
      <c r="CM357" s="24"/>
      <c r="CN357" s="61"/>
      <c r="CO357" s="16"/>
      <c r="CP357" s="16"/>
      <c r="CQ357" s="16"/>
      <c r="CR357" s="16"/>
      <c r="CS357" s="16"/>
      <c r="CT357" s="17"/>
      <c r="CX357" s="24"/>
      <c r="CY357" s="60"/>
      <c r="CZ357" s="16"/>
      <c r="DA357" s="16"/>
      <c r="DB357" s="16"/>
      <c r="DC357" s="16"/>
      <c r="DD357" s="16"/>
      <c r="DE357" s="17"/>
      <c r="DI357" s="24"/>
      <c r="DJ357" s="60"/>
      <c r="DK357" s="16"/>
      <c r="DL357" s="16"/>
      <c r="DM357" s="16"/>
      <c r="DN357" s="16"/>
      <c r="DO357" s="16"/>
      <c r="DP357" s="17"/>
      <c r="DT357" s="24"/>
      <c r="DU357" s="60"/>
      <c r="DV357" s="16"/>
      <c r="DW357" s="16"/>
      <c r="DX357" s="16"/>
      <c r="DY357" s="16"/>
      <c r="DZ357" s="16"/>
      <c r="EA357" s="17"/>
      <c r="EE357" s="24"/>
      <c r="EF357" s="60"/>
      <c r="EG357" s="16"/>
      <c r="EH357" s="16"/>
      <c r="EI357" s="16"/>
      <c r="EJ357" s="16"/>
      <c r="EK357" s="16"/>
      <c r="EL357" s="17"/>
      <c r="EP357" s="24"/>
      <c r="EQ357" s="60"/>
      <c r="ER357" s="16"/>
      <c r="ES357" s="16"/>
      <c r="ET357" s="16"/>
      <c r="EU357" s="16"/>
      <c r="EV357" s="16"/>
      <c r="EW357" s="17"/>
      <c r="FA357" s="24"/>
      <c r="FB357" s="60"/>
      <c r="FC357" s="16"/>
      <c r="FD357" s="16"/>
      <c r="FE357" s="16"/>
      <c r="FF357" s="16"/>
      <c r="FG357" s="16"/>
      <c r="FH357" s="17"/>
      <c r="FL357" s="24"/>
      <c r="FM357" s="60"/>
      <c r="FN357" s="16"/>
      <c r="FO357" s="16"/>
      <c r="FP357" s="16"/>
      <c r="FQ357" s="16"/>
      <c r="FR357" s="16"/>
      <c r="FS357" s="17"/>
      <c r="FW357" s="24"/>
      <c r="FX357" s="60"/>
      <c r="FY357" s="16"/>
      <c r="FZ357" s="16"/>
      <c r="GA357" s="16"/>
      <c r="GB357" s="16"/>
      <c r="GC357" s="16"/>
      <c r="GD357" s="17"/>
      <c r="GH357" s="24"/>
      <c r="GI357" s="60"/>
      <c r="GJ357" s="16"/>
      <c r="GK357" s="16"/>
      <c r="GL357" s="16"/>
      <c r="GM357" s="16"/>
      <c r="GN357" s="16"/>
      <c r="GO357" s="17"/>
      <c r="GS357" s="24"/>
      <c r="GT357" s="60"/>
      <c r="GU357" s="16"/>
      <c r="GV357" s="16"/>
      <c r="GW357" s="16"/>
      <c r="GX357" s="16"/>
      <c r="GY357" s="16"/>
      <c r="GZ357" s="17"/>
      <c r="HD357" s="24"/>
      <c r="HE357" s="60"/>
      <c r="HF357" s="16"/>
      <c r="HG357" s="16"/>
      <c r="HH357" s="16"/>
      <c r="HI357" s="16"/>
      <c r="HJ357" s="16"/>
      <c r="HK357" s="17"/>
      <c r="HO357" s="24"/>
      <c r="HP357" s="60"/>
      <c r="HQ357" s="16"/>
      <c r="HR357" s="16"/>
      <c r="HS357" s="16"/>
      <c r="HT357" s="16"/>
      <c r="HU357" s="16"/>
      <c r="HV357" s="17"/>
      <c r="HZ357" s="24"/>
      <c r="IA357" s="60"/>
      <c r="IB357" s="16"/>
      <c r="IC357" s="16"/>
      <c r="ID357" s="16"/>
      <c r="IE357" s="16"/>
      <c r="IF357" s="16"/>
      <c r="IG357" s="17"/>
      <c r="IK357" s="24"/>
      <c r="IL357" s="60"/>
      <c r="IM357" s="16"/>
      <c r="IN357" s="16"/>
      <c r="IO357" s="16"/>
      <c r="IP357" s="16"/>
      <c r="IQ357" s="16"/>
      <c r="IR357" s="17"/>
      <c r="IV357" s="24"/>
      <c r="IW357" s="60"/>
      <c r="IX357" s="16"/>
      <c r="IY357" s="16"/>
      <c r="IZ357" s="16"/>
      <c r="JA357" s="16"/>
      <c r="JB357" s="16"/>
      <c r="JC357" s="17"/>
      <c r="JG357" s="24"/>
      <c r="JH357" s="60"/>
      <c r="JI357" s="16"/>
      <c r="JJ357" s="16"/>
      <c r="JK357" s="16"/>
      <c r="JL357" s="16"/>
      <c r="JM357" s="16"/>
      <c r="JN357" s="17"/>
      <c r="JR357" s="24"/>
      <c r="JS357" s="60"/>
      <c r="JT357" s="16"/>
      <c r="JU357" s="16"/>
      <c r="JV357" s="16"/>
      <c r="JW357" s="16"/>
      <c r="JX357" s="16"/>
      <c r="JY357" s="17"/>
      <c r="KC357" s="24"/>
      <c r="KD357" s="60"/>
      <c r="KE357" s="16"/>
      <c r="KF357" s="16"/>
      <c r="KG357" s="16"/>
      <c r="KH357" s="16"/>
      <c r="KI357" s="16"/>
      <c r="KJ357" s="17"/>
      <c r="KN357" s="24"/>
      <c r="KO357" s="60"/>
      <c r="KP357" s="16"/>
      <c r="KQ357" s="16"/>
      <c r="KR357" s="16"/>
      <c r="KS357" s="16"/>
      <c r="KT357" s="16"/>
      <c r="KU357" s="17"/>
      <c r="KY357" s="24"/>
      <c r="KZ357" s="60"/>
      <c r="LA357" s="16"/>
      <c r="LB357" s="16"/>
      <c r="LC357" s="16"/>
      <c r="LD357" s="16"/>
      <c r="LE357" s="16"/>
      <c r="LF357" s="17"/>
      <c r="LJ357" s="24"/>
      <c r="LK357" s="60"/>
      <c r="LL357" s="16"/>
      <c r="LM357" s="16"/>
      <c r="LN357" s="16"/>
      <c r="LO357" s="16"/>
      <c r="LP357" s="16"/>
      <c r="LQ357" s="17"/>
    </row>
    <row r="358">
      <c r="C358" s="31"/>
      <c r="D358" s="61"/>
      <c r="E358" s="16"/>
      <c r="F358" s="16"/>
      <c r="G358" s="21"/>
      <c r="H358" s="16"/>
      <c r="I358" s="16"/>
      <c r="J358" s="17"/>
      <c r="N358" s="17"/>
      <c r="O358" s="61"/>
      <c r="P358" s="16"/>
      <c r="Q358" s="16"/>
      <c r="R358" s="16"/>
      <c r="S358" s="16"/>
      <c r="T358" s="16"/>
      <c r="U358" s="17"/>
      <c r="Y358" s="24"/>
      <c r="Z358" s="61"/>
      <c r="AA358" s="16"/>
      <c r="AB358" s="16"/>
      <c r="AC358" s="16"/>
      <c r="AD358" s="16"/>
      <c r="AE358" s="16"/>
      <c r="AF358" s="17"/>
      <c r="AJ358" s="24"/>
      <c r="AK358" s="61"/>
      <c r="AL358" s="16"/>
      <c r="AM358" s="16"/>
      <c r="AN358" s="16"/>
      <c r="AO358" s="16"/>
      <c r="AP358" s="16"/>
      <c r="AQ358" s="17"/>
      <c r="AU358" s="24"/>
      <c r="AV358" s="61"/>
      <c r="AW358" s="16"/>
      <c r="AX358" s="16"/>
      <c r="AY358" s="16"/>
      <c r="AZ358" s="16"/>
      <c r="BA358" s="16"/>
      <c r="BB358" s="17"/>
      <c r="BF358" s="24"/>
      <c r="BG358" s="61"/>
      <c r="BH358" s="16"/>
      <c r="BI358" s="16"/>
      <c r="BJ358" s="16"/>
      <c r="BK358" s="16"/>
      <c r="BL358" s="16"/>
      <c r="BM358" s="17"/>
      <c r="BQ358" s="24"/>
      <c r="BR358" s="61"/>
      <c r="BS358" s="16"/>
      <c r="BT358" s="16"/>
      <c r="BU358" s="16"/>
      <c r="BV358" s="16"/>
      <c r="BW358" s="16"/>
      <c r="BX358" s="17"/>
      <c r="CB358" s="24"/>
      <c r="CC358" s="61"/>
      <c r="CD358" s="16"/>
      <c r="CE358" s="16"/>
      <c r="CF358" s="16"/>
      <c r="CG358" s="16"/>
      <c r="CH358" s="16"/>
      <c r="CI358" s="17"/>
      <c r="CM358" s="24"/>
      <c r="CN358" s="61"/>
      <c r="CO358" s="16"/>
      <c r="CP358" s="16"/>
      <c r="CQ358" s="16"/>
      <c r="CR358" s="16"/>
      <c r="CS358" s="16"/>
      <c r="CT358" s="17"/>
      <c r="CX358" s="24"/>
      <c r="CY358" s="60"/>
      <c r="CZ358" s="16"/>
      <c r="DA358" s="16"/>
      <c r="DB358" s="16"/>
      <c r="DC358" s="16"/>
      <c r="DD358" s="16"/>
      <c r="DE358" s="17"/>
      <c r="DI358" s="24"/>
      <c r="DJ358" s="60"/>
      <c r="DK358" s="16"/>
      <c r="DL358" s="16"/>
      <c r="DM358" s="16"/>
      <c r="DN358" s="16"/>
      <c r="DO358" s="16"/>
      <c r="DP358" s="17"/>
      <c r="DT358" s="24"/>
      <c r="DU358" s="60"/>
      <c r="DV358" s="16"/>
      <c r="DW358" s="16"/>
      <c r="DX358" s="16"/>
      <c r="DY358" s="16"/>
      <c r="DZ358" s="16"/>
      <c r="EA358" s="17"/>
      <c r="EE358" s="24"/>
      <c r="EF358" s="60"/>
      <c r="EG358" s="16"/>
      <c r="EH358" s="16"/>
      <c r="EI358" s="16"/>
      <c r="EJ358" s="16"/>
      <c r="EK358" s="16"/>
      <c r="EL358" s="17"/>
      <c r="EP358" s="24"/>
      <c r="EQ358" s="60"/>
      <c r="ER358" s="16"/>
      <c r="ES358" s="16"/>
      <c r="ET358" s="16"/>
      <c r="EU358" s="16"/>
      <c r="EV358" s="16"/>
      <c r="EW358" s="17"/>
      <c r="FA358" s="24"/>
      <c r="FB358" s="60"/>
      <c r="FC358" s="16"/>
      <c r="FD358" s="16"/>
      <c r="FE358" s="16"/>
      <c r="FF358" s="16"/>
      <c r="FG358" s="16"/>
      <c r="FH358" s="17"/>
      <c r="FL358" s="24"/>
      <c r="FM358" s="60"/>
      <c r="FN358" s="16"/>
      <c r="FO358" s="16"/>
      <c r="FP358" s="16"/>
      <c r="FQ358" s="16"/>
      <c r="FR358" s="16"/>
      <c r="FS358" s="17"/>
      <c r="FW358" s="24"/>
      <c r="FX358" s="60"/>
      <c r="FY358" s="16"/>
      <c r="FZ358" s="16"/>
      <c r="GA358" s="16"/>
      <c r="GB358" s="16"/>
      <c r="GC358" s="16"/>
      <c r="GD358" s="17"/>
      <c r="GH358" s="24"/>
      <c r="GI358" s="60"/>
      <c r="GJ358" s="16"/>
      <c r="GK358" s="16"/>
      <c r="GL358" s="16"/>
      <c r="GM358" s="16"/>
      <c r="GN358" s="16"/>
      <c r="GO358" s="17"/>
      <c r="GS358" s="24"/>
      <c r="GT358" s="60"/>
      <c r="GU358" s="16"/>
      <c r="GV358" s="16"/>
      <c r="GW358" s="16"/>
      <c r="GX358" s="16"/>
      <c r="GY358" s="16"/>
      <c r="GZ358" s="17"/>
      <c r="HD358" s="24"/>
      <c r="HE358" s="60"/>
      <c r="HF358" s="16"/>
      <c r="HG358" s="16"/>
      <c r="HH358" s="16"/>
      <c r="HI358" s="16"/>
      <c r="HJ358" s="16"/>
      <c r="HK358" s="17"/>
      <c r="HO358" s="24"/>
      <c r="HP358" s="60"/>
      <c r="HQ358" s="16"/>
      <c r="HR358" s="16"/>
      <c r="HS358" s="16"/>
      <c r="HT358" s="16"/>
      <c r="HU358" s="16"/>
      <c r="HV358" s="17"/>
      <c r="HZ358" s="24"/>
      <c r="IA358" s="60"/>
      <c r="IB358" s="16"/>
      <c r="IC358" s="16"/>
      <c r="ID358" s="16"/>
      <c r="IE358" s="16"/>
      <c r="IF358" s="16"/>
      <c r="IG358" s="17"/>
      <c r="IK358" s="24"/>
      <c r="IL358" s="60"/>
      <c r="IM358" s="16"/>
      <c r="IN358" s="16"/>
      <c r="IO358" s="16"/>
      <c r="IP358" s="16"/>
      <c r="IQ358" s="16"/>
      <c r="IR358" s="17"/>
      <c r="IV358" s="24"/>
      <c r="IW358" s="60"/>
      <c r="IX358" s="16"/>
      <c r="IY358" s="16"/>
      <c r="IZ358" s="16"/>
      <c r="JA358" s="16"/>
      <c r="JB358" s="16"/>
      <c r="JC358" s="17"/>
      <c r="JG358" s="24"/>
      <c r="JH358" s="60"/>
      <c r="JI358" s="16"/>
      <c r="JJ358" s="16"/>
      <c r="JK358" s="16"/>
      <c r="JL358" s="16"/>
      <c r="JM358" s="16"/>
      <c r="JN358" s="17"/>
      <c r="JR358" s="24"/>
      <c r="JS358" s="60"/>
      <c r="JT358" s="16"/>
      <c r="JU358" s="16"/>
      <c r="JV358" s="16"/>
      <c r="JW358" s="16"/>
      <c r="JX358" s="16"/>
      <c r="JY358" s="17"/>
      <c r="KC358" s="24"/>
      <c r="KD358" s="60"/>
      <c r="KE358" s="16"/>
      <c r="KF358" s="16"/>
      <c r="KG358" s="16"/>
      <c r="KH358" s="16"/>
      <c r="KI358" s="16"/>
      <c r="KJ358" s="17"/>
      <c r="KN358" s="24"/>
      <c r="KO358" s="60"/>
      <c r="KP358" s="16"/>
      <c r="KQ358" s="16"/>
      <c r="KR358" s="16"/>
      <c r="KS358" s="16"/>
      <c r="KT358" s="16"/>
      <c r="KU358" s="17"/>
      <c r="KY358" s="24"/>
      <c r="KZ358" s="60"/>
      <c r="LA358" s="16"/>
      <c r="LB358" s="16"/>
      <c r="LC358" s="16"/>
      <c r="LD358" s="16"/>
      <c r="LE358" s="16"/>
      <c r="LF358" s="17"/>
      <c r="LJ358" s="24"/>
      <c r="LK358" s="60"/>
      <c r="LL358" s="16"/>
      <c r="LM358" s="16"/>
      <c r="LN358" s="16"/>
      <c r="LO358" s="16"/>
      <c r="LP358" s="16"/>
      <c r="LQ358" s="17"/>
    </row>
    <row r="359">
      <c r="C359" s="31"/>
      <c r="D359" s="61"/>
      <c r="E359" s="16"/>
      <c r="F359" s="16"/>
      <c r="G359" s="21"/>
      <c r="H359" s="16"/>
      <c r="I359" s="16"/>
      <c r="J359" s="17"/>
      <c r="N359" s="17"/>
      <c r="O359" s="61"/>
      <c r="P359" s="16"/>
      <c r="Q359" s="16"/>
      <c r="R359" s="16"/>
      <c r="S359" s="16"/>
      <c r="T359" s="16"/>
      <c r="U359" s="17"/>
      <c r="Y359" s="24"/>
      <c r="Z359" s="61"/>
      <c r="AA359" s="16"/>
      <c r="AB359" s="16"/>
      <c r="AC359" s="16"/>
      <c r="AD359" s="16"/>
      <c r="AE359" s="16"/>
      <c r="AF359" s="17"/>
      <c r="AJ359" s="24"/>
      <c r="AK359" s="61"/>
      <c r="AL359" s="16"/>
      <c r="AM359" s="16"/>
      <c r="AN359" s="16"/>
      <c r="AO359" s="16"/>
      <c r="AP359" s="16"/>
      <c r="AQ359" s="17"/>
      <c r="AU359" s="24"/>
      <c r="AV359" s="61"/>
      <c r="AW359" s="16"/>
      <c r="AX359" s="16"/>
      <c r="AY359" s="16"/>
      <c r="AZ359" s="16"/>
      <c r="BA359" s="16"/>
      <c r="BB359" s="17"/>
      <c r="BF359" s="24"/>
      <c r="BG359" s="61"/>
      <c r="BH359" s="16"/>
      <c r="BI359" s="16"/>
      <c r="BJ359" s="16"/>
      <c r="BK359" s="16"/>
      <c r="BL359" s="16"/>
      <c r="BM359" s="17"/>
      <c r="BQ359" s="24"/>
      <c r="BR359" s="61"/>
      <c r="BS359" s="16"/>
      <c r="BT359" s="16"/>
      <c r="BU359" s="16"/>
      <c r="BV359" s="16"/>
      <c r="BW359" s="16"/>
      <c r="BX359" s="17"/>
      <c r="CB359" s="24"/>
      <c r="CC359" s="61"/>
      <c r="CD359" s="16"/>
      <c r="CE359" s="16"/>
      <c r="CF359" s="16"/>
      <c r="CG359" s="16"/>
      <c r="CH359" s="16"/>
      <c r="CI359" s="17"/>
      <c r="CM359" s="24"/>
      <c r="CN359" s="61"/>
      <c r="CO359" s="16"/>
      <c r="CP359" s="16"/>
      <c r="CQ359" s="16"/>
      <c r="CR359" s="16"/>
      <c r="CS359" s="16"/>
      <c r="CT359" s="17"/>
      <c r="CX359" s="24"/>
      <c r="CY359" s="60"/>
      <c r="CZ359" s="16"/>
      <c r="DA359" s="16"/>
      <c r="DB359" s="16"/>
      <c r="DC359" s="16"/>
      <c r="DD359" s="16"/>
      <c r="DE359" s="17"/>
      <c r="DI359" s="24"/>
      <c r="DJ359" s="60"/>
      <c r="DK359" s="16"/>
      <c r="DL359" s="16"/>
      <c r="DM359" s="16"/>
      <c r="DN359" s="16"/>
      <c r="DO359" s="16"/>
      <c r="DP359" s="17"/>
      <c r="DT359" s="24"/>
      <c r="DU359" s="60"/>
      <c r="DV359" s="16"/>
      <c r="DW359" s="16"/>
      <c r="DX359" s="16"/>
      <c r="DY359" s="16"/>
      <c r="DZ359" s="16"/>
      <c r="EA359" s="17"/>
      <c r="EE359" s="24"/>
      <c r="EF359" s="60"/>
      <c r="EG359" s="16"/>
      <c r="EH359" s="16"/>
      <c r="EI359" s="16"/>
      <c r="EJ359" s="16"/>
      <c r="EK359" s="16"/>
      <c r="EL359" s="17"/>
      <c r="EP359" s="24"/>
      <c r="EQ359" s="60"/>
      <c r="ER359" s="16"/>
      <c r="ES359" s="16"/>
      <c r="ET359" s="16"/>
      <c r="EU359" s="16"/>
      <c r="EV359" s="16"/>
      <c r="EW359" s="17"/>
      <c r="FA359" s="24"/>
      <c r="FB359" s="60"/>
      <c r="FC359" s="16"/>
      <c r="FD359" s="16"/>
      <c r="FE359" s="16"/>
      <c r="FF359" s="16"/>
      <c r="FG359" s="16"/>
      <c r="FH359" s="17"/>
      <c r="FL359" s="24"/>
      <c r="FM359" s="60"/>
      <c r="FN359" s="16"/>
      <c r="FO359" s="16"/>
      <c r="FP359" s="16"/>
      <c r="FQ359" s="16"/>
      <c r="FR359" s="16"/>
      <c r="FS359" s="17"/>
      <c r="FW359" s="24"/>
      <c r="FX359" s="60"/>
      <c r="FY359" s="16"/>
      <c r="FZ359" s="16"/>
      <c r="GA359" s="16"/>
      <c r="GB359" s="16"/>
      <c r="GC359" s="16"/>
      <c r="GD359" s="17"/>
      <c r="GH359" s="24"/>
      <c r="GI359" s="60"/>
      <c r="GJ359" s="16"/>
      <c r="GK359" s="16"/>
      <c r="GL359" s="16"/>
      <c r="GM359" s="16"/>
      <c r="GN359" s="16"/>
      <c r="GO359" s="17"/>
      <c r="GS359" s="24"/>
      <c r="GT359" s="60"/>
      <c r="GU359" s="16"/>
      <c r="GV359" s="16"/>
      <c r="GW359" s="16"/>
      <c r="GX359" s="16"/>
      <c r="GY359" s="16"/>
      <c r="GZ359" s="17"/>
      <c r="HD359" s="24"/>
      <c r="HE359" s="60"/>
      <c r="HF359" s="16"/>
      <c r="HG359" s="16"/>
      <c r="HH359" s="16"/>
      <c r="HI359" s="16"/>
      <c r="HJ359" s="16"/>
      <c r="HK359" s="17"/>
      <c r="HO359" s="24"/>
      <c r="HP359" s="60"/>
      <c r="HQ359" s="16"/>
      <c r="HR359" s="16"/>
      <c r="HS359" s="16"/>
      <c r="HT359" s="16"/>
      <c r="HU359" s="16"/>
      <c r="HV359" s="17"/>
      <c r="HZ359" s="24"/>
      <c r="IA359" s="60"/>
      <c r="IB359" s="16"/>
      <c r="IC359" s="16"/>
      <c r="ID359" s="16"/>
      <c r="IE359" s="16"/>
      <c r="IF359" s="16"/>
      <c r="IG359" s="17"/>
      <c r="IK359" s="24"/>
      <c r="IL359" s="60"/>
      <c r="IM359" s="16"/>
      <c r="IN359" s="16"/>
      <c r="IO359" s="16"/>
      <c r="IP359" s="16"/>
      <c r="IQ359" s="16"/>
      <c r="IR359" s="17"/>
      <c r="IV359" s="24"/>
      <c r="IW359" s="60"/>
      <c r="IX359" s="16"/>
      <c r="IY359" s="16"/>
      <c r="IZ359" s="16"/>
      <c r="JA359" s="16"/>
      <c r="JB359" s="16"/>
      <c r="JC359" s="17"/>
      <c r="JG359" s="24"/>
      <c r="JH359" s="60"/>
      <c r="JI359" s="16"/>
      <c r="JJ359" s="16"/>
      <c r="JK359" s="16"/>
      <c r="JL359" s="16"/>
      <c r="JM359" s="16"/>
      <c r="JN359" s="17"/>
      <c r="JR359" s="24"/>
      <c r="JS359" s="60"/>
      <c r="JT359" s="16"/>
      <c r="JU359" s="16"/>
      <c r="JV359" s="16"/>
      <c r="JW359" s="16"/>
      <c r="JX359" s="16"/>
      <c r="JY359" s="17"/>
      <c r="KC359" s="24"/>
      <c r="KD359" s="60"/>
      <c r="KE359" s="16"/>
      <c r="KF359" s="16"/>
      <c r="KG359" s="16"/>
      <c r="KH359" s="16"/>
      <c r="KI359" s="16"/>
      <c r="KJ359" s="17"/>
      <c r="KN359" s="24"/>
      <c r="KO359" s="60"/>
      <c r="KP359" s="16"/>
      <c r="KQ359" s="16"/>
      <c r="KR359" s="16"/>
      <c r="KS359" s="16"/>
      <c r="KT359" s="16"/>
      <c r="KU359" s="17"/>
      <c r="KY359" s="24"/>
      <c r="KZ359" s="60"/>
      <c r="LA359" s="16"/>
      <c r="LB359" s="16"/>
      <c r="LC359" s="16"/>
      <c r="LD359" s="16"/>
      <c r="LE359" s="16"/>
      <c r="LF359" s="17"/>
      <c r="LJ359" s="24"/>
      <c r="LK359" s="60"/>
      <c r="LL359" s="16"/>
      <c r="LM359" s="16"/>
      <c r="LN359" s="16"/>
      <c r="LO359" s="16"/>
      <c r="LP359" s="16"/>
      <c r="LQ359" s="17"/>
    </row>
    <row r="360">
      <c r="C360" s="31"/>
      <c r="D360" s="61"/>
      <c r="E360" s="16"/>
      <c r="F360" s="16"/>
      <c r="G360" s="21"/>
      <c r="H360" s="16"/>
      <c r="I360" s="16"/>
      <c r="J360" s="17"/>
      <c r="N360" s="17"/>
      <c r="O360" s="61"/>
      <c r="P360" s="16"/>
      <c r="Q360" s="16"/>
      <c r="R360" s="16"/>
      <c r="S360" s="16"/>
      <c r="T360" s="16"/>
      <c r="U360" s="17"/>
      <c r="Y360" s="24"/>
      <c r="Z360" s="61"/>
      <c r="AA360" s="16"/>
      <c r="AB360" s="16"/>
      <c r="AC360" s="16"/>
      <c r="AD360" s="16"/>
      <c r="AE360" s="16"/>
      <c r="AF360" s="17"/>
      <c r="AJ360" s="24"/>
      <c r="AK360" s="61"/>
      <c r="AL360" s="16"/>
      <c r="AM360" s="16"/>
      <c r="AN360" s="16"/>
      <c r="AO360" s="16"/>
      <c r="AP360" s="16"/>
      <c r="AQ360" s="17"/>
      <c r="AU360" s="24"/>
      <c r="AV360" s="61"/>
      <c r="AW360" s="16"/>
      <c r="AX360" s="16"/>
      <c r="AY360" s="16"/>
      <c r="AZ360" s="16"/>
      <c r="BA360" s="16"/>
      <c r="BB360" s="17"/>
      <c r="BF360" s="24"/>
      <c r="BG360" s="61"/>
      <c r="BH360" s="16"/>
      <c r="BI360" s="16"/>
      <c r="BJ360" s="16"/>
      <c r="BK360" s="16"/>
      <c r="BL360" s="16"/>
      <c r="BM360" s="17"/>
      <c r="BQ360" s="24"/>
      <c r="BR360" s="61"/>
      <c r="BS360" s="16"/>
      <c r="BT360" s="16"/>
      <c r="BU360" s="16"/>
      <c r="BV360" s="16"/>
      <c r="BW360" s="16"/>
      <c r="BX360" s="17"/>
      <c r="CB360" s="24"/>
      <c r="CC360" s="61"/>
      <c r="CD360" s="16"/>
      <c r="CE360" s="16"/>
      <c r="CF360" s="16"/>
      <c r="CG360" s="16"/>
      <c r="CH360" s="16"/>
      <c r="CI360" s="17"/>
      <c r="CM360" s="24"/>
      <c r="CN360" s="61"/>
      <c r="CO360" s="16"/>
      <c r="CP360" s="16"/>
      <c r="CQ360" s="16"/>
      <c r="CR360" s="16"/>
      <c r="CS360" s="16"/>
      <c r="CT360" s="17"/>
      <c r="CX360" s="24"/>
      <c r="CY360" s="60"/>
      <c r="CZ360" s="16"/>
      <c r="DA360" s="16"/>
      <c r="DB360" s="16"/>
      <c r="DC360" s="16"/>
      <c r="DD360" s="16"/>
      <c r="DE360" s="17"/>
      <c r="DI360" s="24"/>
      <c r="DJ360" s="60"/>
      <c r="DK360" s="16"/>
      <c r="DL360" s="16"/>
      <c r="DM360" s="16"/>
      <c r="DN360" s="16"/>
      <c r="DO360" s="16"/>
      <c r="DP360" s="17"/>
      <c r="DT360" s="24"/>
      <c r="DU360" s="60"/>
      <c r="DV360" s="16"/>
      <c r="DW360" s="16"/>
      <c r="DX360" s="16"/>
      <c r="DY360" s="16"/>
      <c r="DZ360" s="16"/>
      <c r="EA360" s="17"/>
      <c r="EE360" s="24"/>
      <c r="EF360" s="60"/>
      <c r="EG360" s="16"/>
      <c r="EH360" s="16"/>
      <c r="EI360" s="16"/>
      <c r="EJ360" s="16"/>
      <c r="EK360" s="16"/>
      <c r="EL360" s="17"/>
      <c r="EP360" s="24"/>
      <c r="EQ360" s="60"/>
      <c r="ER360" s="16"/>
      <c r="ES360" s="16"/>
      <c r="ET360" s="16"/>
      <c r="EU360" s="16"/>
      <c r="EV360" s="16"/>
      <c r="EW360" s="17"/>
      <c r="FA360" s="24"/>
      <c r="FB360" s="60"/>
      <c r="FC360" s="16"/>
      <c r="FD360" s="16"/>
      <c r="FE360" s="16"/>
      <c r="FF360" s="16"/>
      <c r="FG360" s="16"/>
      <c r="FH360" s="17"/>
      <c r="FL360" s="24"/>
      <c r="FM360" s="60"/>
      <c r="FN360" s="16"/>
      <c r="FO360" s="16"/>
      <c r="FP360" s="16"/>
      <c r="FQ360" s="16"/>
      <c r="FR360" s="16"/>
      <c r="FS360" s="17"/>
      <c r="FW360" s="24"/>
      <c r="FX360" s="60"/>
      <c r="FY360" s="16"/>
      <c r="FZ360" s="16"/>
      <c r="GA360" s="16"/>
      <c r="GB360" s="16"/>
      <c r="GC360" s="16"/>
      <c r="GD360" s="17"/>
      <c r="GH360" s="24"/>
      <c r="GI360" s="60"/>
      <c r="GJ360" s="16"/>
      <c r="GK360" s="16"/>
      <c r="GL360" s="16"/>
      <c r="GM360" s="16"/>
      <c r="GN360" s="16"/>
      <c r="GO360" s="17"/>
      <c r="GS360" s="24"/>
      <c r="GT360" s="60"/>
      <c r="GU360" s="16"/>
      <c r="GV360" s="16"/>
      <c r="GW360" s="16"/>
      <c r="GX360" s="16"/>
      <c r="GY360" s="16"/>
      <c r="GZ360" s="17"/>
      <c r="HD360" s="24"/>
      <c r="HE360" s="60"/>
      <c r="HF360" s="16"/>
      <c r="HG360" s="16"/>
      <c r="HH360" s="16"/>
      <c r="HI360" s="16"/>
      <c r="HJ360" s="16"/>
      <c r="HK360" s="17"/>
      <c r="HO360" s="24"/>
      <c r="HP360" s="60"/>
      <c r="HQ360" s="16"/>
      <c r="HR360" s="16"/>
      <c r="HS360" s="16"/>
      <c r="HT360" s="16"/>
      <c r="HU360" s="16"/>
      <c r="HV360" s="17"/>
      <c r="HZ360" s="24"/>
      <c r="IA360" s="60"/>
      <c r="IB360" s="16"/>
      <c r="IC360" s="16"/>
      <c r="ID360" s="16"/>
      <c r="IE360" s="16"/>
      <c r="IF360" s="16"/>
      <c r="IG360" s="17"/>
      <c r="IK360" s="24"/>
      <c r="IL360" s="60"/>
      <c r="IM360" s="16"/>
      <c r="IN360" s="16"/>
      <c r="IO360" s="16"/>
      <c r="IP360" s="16"/>
      <c r="IQ360" s="16"/>
      <c r="IR360" s="17"/>
      <c r="IV360" s="24"/>
      <c r="IW360" s="60"/>
      <c r="IX360" s="16"/>
      <c r="IY360" s="16"/>
      <c r="IZ360" s="16"/>
      <c r="JA360" s="16"/>
      <c r="JB360" s="16"/>
      <c r="JC360" s="17"/>
      <c r="JG360" s="24"/>
      <c r="JH360" s="60"/>
      <c r="JI360" s="16"/>
      <c r="JJ360" s="16"/>
      <c r="JK360" s="16"/>
      <c r="JL360" s="16"/>
      <c r="JM360" s="16"/>
      <c r="JN360" s="17"/>
      <c r="JR360" s="24"/>
      <c r="JS360" s="60"/>
      <c r="JT360" s="16"/>
      <c r="JU360" s="16"/>
      <c r="JV360" s="16"/>
      <c r="JW360" s="16"/>
      <c r="JX360" s="16"/>
      <c r="JY360" s="17"/>
      <c r="KC360" s="24"/>
      <c r="KD360" s="60"/>
      <c r="KE360" s="16"/>
      <c r="KF360" s="16"/>
      <c r="KG360" s="16"/>
      <c r="KH360" s="16"/>
      <c r="KI360" s="16"/>
      <c r="KJ360" s="17"/>
      <c r="KN360" s="24"/>
      <c r="KO360" s="60"/>
      <c r="KP360" s="16"/>
      <c r="KQ360" s="16"/>
      <c r="KR360" s="16"/>
      <c r="KS360" s="16"/>
      <c r="KT360" s="16"/>
      <c r="KU360" s="17"/>
      <c r="KY360" s="24"/>
      <c r="KZ360" s="60"/>
      <c r="LA360" s="16"/>
      <c r="LB360" s="16"/>
      <c r="LC360" s="16"/>
      <c r="LD360" s="16"/>
      <c r="LE360" s="16"/>
      <c r="LF360" s="17"/>
      <c r="LJ360" s="24"/>
      <c r="LK360" s="60"/>
      <c r="LL360" s="16"/>
      <c r="LM360" s="16"/>
      <c r="LN360" s="16"/>
      <c r="LO360" s="16"/>
      <c r="LP360" s="16"/>
      <c r="LQ360" s="17"/>
    </row>
    <row r="361">
      <c r="C361" s="31"/>
      <c r="D361" s="61"/>
      <c r="E361" s="16"/>
      <c r="F361" s="16"/>
      <c r="G361" s="21"/>
      <c r="H361" s="16"/>
      <c r="I361" s="16"/>
      <c r="J361" s="17"/>
      <c r="N361" s="17"/>
      <c r="O361" s="61"/>
      <c r="P361" s="16"/>
      <c r="Q361" s="16"/>
      <c r="R361" s="16"/>
      <c r="S361" s="16"/>
      <c r="T361" s="16"/>
      <c r="U361" s="17"/>
      <c r="Y361" s="24"/>
      <c r="Z361" s="61"/>
      <c r="AA361" s="16"/>
      <c r="AB361" s="16"/>
      <c r="AC361" s="16"/>
      <c r="AD361" s="16"/>
      <c r="AE361" s="16"/>
      <c r="AF361" s="17"/>
      <c r="AJ361" s="24"/>
      <c r="AK361" s="61"/>
      <c r="AL361" s="16"/>
      <c r="AM361" s="16"/>
      <c r="AN361" s="16"/>
      <c r="AO361" s="16"/>
      <c r="AP361" s="16"/>
      <c r="AQ361" s="17"/>
      <c r="AU361" s="24"/>
      <c r="AV361" s="61"/>
      <c r="AW361" s="16"/>
      <c r="AX361" s="16"/>
      <c r="AY361" s="16"/>
      <c r="AZ361" s="16"/>
      <c r="BA361" s="16"/>
      <c r="BB361" s="17"/>
      <c r="BF361" s="24"/>
      <c r="BG361" s="61"/>
      <c r="BH361" s="16"/>
      <c r="BI361" s="16"/>
      <c r="BJ361" s="16"/>
      <c r="BK361" s="16"/>
      <c r="BL361" s="16"/>
      <c r="BM361" s="17"/>
      <c r="BQ361" s="24"/>
      <c r="BR361" s="61"/>
      <c r="BS361" s="16"/>
      <c r="BT361" s="16"/>
      <c r="BU361" s="16"/>
      <c r="BV361" s="16"/>
      <c r="BW361" s="16"/>
      <c r="BX361" s="17"/>
      <c r="CB361" s="24"/>
      <c r="CC361" s="61"/>
      <c r="CD361" s="16"/>
      <c r="CE361" s="16"/>
      <c r="CF361" s="16"/>
      <c r="CG361" s="16"/>
      <c r="CH361" s="16"/>
      <c r="CI361" s="17"/>
      <c r="CM361" s="24"/>
      <c r="CN361" s="61"/>
      <c r="CO361" s="16"/>
      <c r="CP361" s="16"/>
      <c r="CQ361" s="16"/>
      <c r="CR361" s="16"/>
      <c r="CS361" s="16"/>
      <c r="CT361" s="17"/>
      <c r="CX361" s="24"/>
      <c r="CY361" s="60"/>
      <c r="CZ361" s="16"/>
      <c r="DA361" s="16"/>
      <c r="DB361" s="16"/>
      <c r="DC361" s="16"/>
      <c r="DD361" s="16"/>
      <c r="DE361" s="17"/>
      <c r="DI361" s="24"/>
      <c r="DJ361" s="60"/>
      <c r="DK361" s="16"/>
      <c r="DL361" s="16"/>
      <c r="DM361" s="16"/>
      <c r="DN361" s="16"/>
      <c r="DO361" s="16"/>
      <c r="DP361" s="17"/>
      <c r="DT361" s="24"/>
      <c r="DU361" s="60"/>
      <c r="DV361" s="16"/>
      <c r="DW361" s="16"/>
      <c r="DX361" s="16"/>
      <c r="DY361" s="16"/>
      <c r="DZ361" s="16"/>
      <c r="EA361" s="17"/>
      <c r="EE361" s="24"/>
      <c r="EF361" s="60"/>
      <c r="EG361" s="16"/>
      <c r="EH361" s="16"/>
      <c r="EI361" s="16"/>
      <c r="EJ361" s="16"/>
      <c r="EK361" s="16"/>
      <c r="EL361" s="17"/>
      <c r="EP361" s="24"/>
      <c r="EQ361" s="60"/>
      <c r="ER361" s="16"/>
      <c r="ES361" s="16"/>
      <c r="ET361" s="16"/>
      <c r="EU361" s="16"/>
      <c r="EV361" s="16"/>
      <c r="EW361" s="17"/>
      <c r="FA361" s="24"/>
      <c r="FB361" s="60"/>
      <c r="FC361" s="16"/>
      <c r="FD361" s="16"/>
      <c r="FE361" s="16"/>
      <c r="FF361" s="16"/>
      <c r="FG361" s="16"/>
      <c r="FH361" s="17"/>
      <c r="FL361" s="24"/>
      <c r="FM361" s="60"/>
      <c r="FN361" s="16"/>
      <c r="FO361" s="16"/>
      <c r="FP361" s="16"/>
      <c r="FQ361" s="16"/>
      <c r="FR361" s="16"/>
      <c r="FS361" s="17"/>
      <c r="FW361" s="24"/>
      <c r="FX361" s="60"/>
      <c r="FY361" s="16"/>
      <c r="FZ361" s="16"/>
      <c r="GA361" s="16"/>
      <c r="GB361" s="16"/>
      <c r="GC361" s="16"/>
      <c r="GD361" s="17"/>
      <c r="GH361" s="24"/>
      <c r="GI361" s="60"/>
      <c r="GJ361" s="16"/>
      <c r="GK361" s="16"/>
      <c r="GL361" s="16"/>
      <c r="GM361" s="16"/>
      <c r="GN361" s="16"/>
      <c r="GO361" s="17"/>
      <c r="GS361" s="24"/>
      <c r="GT361" s="60"/>
      <c r="GU361" s="16"/>
      <c r="GV361" s="16"/>
      <c r="GW361" s="16"/>
      <c r="GX361" s="16"/>
      <c r="GY361" s="16"/>
      <c r="GZ361" s="17"/>
      <c r="HD361" s="24"/>
      <c r="HE361" s="60"/>
      <c r="HF361" s="16"/>
      <c r="HG361" s="16"/>
      <c r="HH361" s="16"/>
      <c r="HI361" s="16"/>
      <c r="HJ361" s="16"/>
      <c r="HK361" s="17"/>
      <c r="HO361" s="24"/>
      <c r="HP361" s="60"/>
      <c r="HQ361" s="16"/>
      <c r="HR361" s="16"/>
      <c r="HS361" s="16"/>
      <c r="HT361" s="16"/>
      <c r="HU361" s="16"/>
      <c r="HV361" s="17"/>
      <c r="HZ361" s="24"/>
      <c r="IA361" s="60"/>
      <c r="IB361" s="16"/>
      <c r="IC361" s="16"/>
      <c r="ID361" s="16"/>
      <c r="IE361" s="16"/>
      <c r="IF361" s="16"/>
      <c r="IG361" s="17"/>
      <c r="IK361" s="24"/>
      <c r="IL361" s="60"/>
      <c r="IM361" s="16"/>
      <c r="IN361" s="16"/>
      <c r="IO361" s="16"/>
      <c r="IP361" s="16"/>
      <c r="IQ361" s="16"/>
      <c r="IR361" s="17"/>
      <c r="IV361" s="24"/>
      <c r="IW361" s="60"/>
      <c r="IX361" s="16"/>
      <c r="IY361" s="16"/>
      <c r="IZ361" s="16"/>
      <c r="JA361" s="16"/>
      <c r="JB361" s="16"/>
      <c r="JC361" s="17"/>
      <c r="JG361" s="24"/>
      <c r="JH361" s="60"/>
      <c r="JI361" s="16"/>
      <c r="JJ361" s="16"/>
      <c r="JK361" s="16"/>
      <c r="JL361" s="16"/>
      <c r="JM361" s="16"/>
      <c r="JN361" s="17"/>
      <c r="JR361" s="24"/>
      <c r="JS361" s="60"/>
      <c r="JT361" s="16"/>
      <c r="JU361" s="16"/>
      <c r="JV361" s="16"/>
      <c r="JW361" s="16"/>
      <c r="JX361" s="16"/>
      <c r="JY361" s="17"/>
      <c r="KC361" s="24"/>
      <c r="KD361" s="60"/>
      <c r="KE361" s="16"/>
      <c r="KF361" s="16"/>
      <c r="KG361" s="16"/>
      <c r="KH361" s="16"/>
      <c r="KI361" s="16"/>
      <c r="KJ361" s="17"/>
      <c r="KN361" s="24"/>
      <c r="KO361" s="60"/>
      <c r="KP361" s="16"/>
      <c r="KQ361" s="16"/>
      <c r="KR361" s="16"/>
      <c r="KS361" s="16"/>
      <c r="KT361" s="16"/>
      <c r="KU361" s="17"/>
      <c r="KY361" s="24"/>
      <c r="KZ361" s="60"/>
      <c r="LA361" s="16"/>
      <c r="LB361" s="16"/>
      <c r="LC361" s="16"/>
      <c r="LD361" s="16"/>
      <c r="LE361" s="16"/>
      <c r="LF361" s="17"/>
      <c r="LJ361" s="24"/>
      <c r="LK361" s="60"/>
      <c r="LL361" s="16"/>
      <c r="LM361" s="16"/>
      <c r="LN361" s="16"/>
      <c r="LO361" s="16"/>
      <c r="LP361" s="16"/>
      <c r="LQ361" s="17"/>
    </row>
    <row r="362">
      <c r="C362" s="31"/>
      <c r="D362" s="61"/>
      <c r="E362" s="16"/>
      <c r="F362" s="16"/>
      <c r="G362" s="21"/>
      <c r="H362" s="16"/>
      <c r="I362" s="16"/>
      <c r="J362" s="17"/>
      <c r="N362" s="17"/>
      <c r="O362" s="61"/>
      <c r="P362" s="16"/>
      <c r="Q362" s="16"/>
      <c r="R362" s="16"/>
      <c r="S362" s="16"/>
      <c r="T362" s="16"/>
      <c r="U362" s="17"/>
      <c r="Y362" s="24"/>
      <c r="Z362" s="61"/>
      <c r="AA362" s="16"/>
      <c r="AB362" s="16"/>
      <c r="AC362" s="16"/>
      <c r="AD362" s="16"/>
      <c r="AE362" s="16"/>
      <c r="AF362" s="17"/>
      <c r="AJ362" s="24"/>
      <c r="AK362" s="61"/>
      <c r="AL362" s="16"/>
      <c r="AM362" s="16"/>
      <c r="AN362" s="16"/>
      <c r="AO362" s="16"/>
      <c r="AP362" s="16"/>
      <c r="AQ362" s="17"/>
      <c r="AU362" s="24"/>
      <c r="AV362" s="61"/>
      <c r="AW362" s="16"/>
      <c r="AX362" s="16"/>
      <c r="AY362" s="16"/>
      <c r="AZ362" s="16"/>
      <c r="BA362" s="16"/>
      <c r="BB362" s="17"/>
      <c r="BF362" s="24"/>
      <c r="BG362" s="61"/>
      <c r="BH362" s="16"/>
      <c r="BI362" s="16"/>
      <c r="BJ362" s="16"/>
      <c r="BK362" s="16"/>
      <c r="BL362" s="16"/>
      <c r="BM362" s="17"/>
      <c r="BQ362" s="24"/>
      <c r="BR362" s="61"/>
      <c r="BS362" s="16"/>
      <c r="BT362" s="16"/>
      <c r="BU362" s="16"/>
      <c r="BV362" s="16"/>
      <c r="BW362" s="16"/>
      <c r="BX362" s="17"/>
      <c r="CB362" s="24"/>
      <c r="CC362" s="61"/>
      <c r="CD362" s="16"/>
      <c r="CE362" s="16"/>
      <c r="CF362" s="16"/>
      <c r="CG362" s="16"/>
      <c r="CH362" s="16"/>
      <c r="CI362" s="17"/>
      <c r="CM362" s="24"/>
      <c r="CN362" s="61"/>
      <c r="CO362" s="16"/>
      <c r="CP362" s="16"/>
      <c r="CQ362" s="16"/>
      <c r="CR362" s="16"/>
      <c r="CS362" s="16"/>
      <c r="CT362" s="17"/>
      <c r="CX362" s="24"/>
      <c r="CY362" s="60"/>
      <c r="CZ362" s="16"/>
      <c r="DA362" s="16"/>
      <c r="DB362" s="16"/>
      <c r="DC362" s="16"/>
      <c r="DD362" s="16"/>
      <c r="DE362" s="17"/>
      <c r="DI362" s="24"/>
      <c r="DJ362" s="60"/>
      <c r="DK362" s="16"/>
      <c r="DL362" s="16"/>
      <c r="DM362" s="16"/>
      <c r="DN362" s="16"/>
      <c r="DO362" s="16"/>
      <c r="DP362" s="17"/>
      <c r="DT362" s="24"/>
      <c r="DU362" s="60"/>
      <c r="DV362" s="16"/>
      <c r="DW362" s="16"/>
      <c r="DX362" s="16"/>
      <c r="DY362" s="16"/>
      <c r="DZ362" s="16"/>
      <c r="EA362" s="17"/>
      <c r="EE362" s="24"/>
      <c r="EF362" s="60"/>
      <c r="EG362" s="16"/>
      <c r="EH362" s="16"/>
      <c r="EI362" s="16"/>
      <c r="EJ362" s="16"/>
      <c r="EK362" s="16"/>
      <c r="EL362" s="17"/>
      <c r="EP362" s="24"/>
      <c r="EQ362" s="60"/>
      <c r="ER362" s="16"/>
      <c r="ES362" s="16"/>
      <c r="ET362" s="16"/>
      <c r="EU362" s="16"/>
      <c r="EV362" s="16"/>
      <c r="EW362" s="17"/>
      <c r="FA362" s="24"/>
      <c r="FB362" s="60"/>
      <c r="FC362" s="16"/>
      <c r="FD362" s="16"/>
      <c r="FE362" s="16"/>
      <c r="FF362" s="16"/>
      <c r="FG362" s="16"/>
      <c r="FH362" s="17"/>
      <c r="FL362" s="24"/>
      <c r="FM362" s="60"/>
      <c r="FN362" s="16"/>
      <c r="FO362" s="16"/>
      <c r="FP362" s="16"/>
      <c r="FQ362" s="16"/>
      <c r="FR362" s="16"/>
      <c r="FS362" s="17"/>
      <c r="FW362" s="24"/>
      <c r="FX362" s="60"/>
      <c r="FY362" s="16"/>
      <c r="FZ362" s="16"/>
      <c r="GA362" s="16"/>
      <c r="GB362" s="16"/>
      <c r="GC362" s="16"/>
      <c r="GD362" s="17"/>
      <c r="GH362" s="24"/>
      <c r="GI362" s="60"/>
      <c r="GJ362" s="16"/>
      <c r="GK362" s="16"/>
      <c r="GL362" s="16"/>
      <c r="GM362" s="16"/>
      <c r="GN362" s="16"/>
      <c r="GO362" s="17"/>
      <c r="GS362" s="24"/>
      <c r="GT362" s="60"/>
      <c r="GU362" s="16"/>
      <c r="GV362" s="16"/>
      <c r="GW362" s="16"/>
      <c r="GX362" s="16"/>
      <c r="GY362" s="16"/>
      <c r="GZ362" s="17"/>
      <c r="HD362" s="24"/>
      <c r="HE362" s="60"/>
      <c r="HF362" s="16"/>
      <c r="HG362" s="16"/>
      <c r="HH362" s="16"/>
      <c r="HI362" s="16"/>
      <c r="HJ362" s="16"/>
      <c r="HK362" s="17"/>
      <c r="HO362" s="24"/>
      <c r="HP362" s="60"/>
      <c r="HQ362" s="16"/>
      <c r="HR362" s="16"/>
      <c r="HS362" s="16"/>
      <c r="HT362" s="16"/>
      <c r="HU362" s="16"/>
      <c r="HV362" s="17"/>
      <c r="HZ362" s="24"/>
      <c r="IA362" s="60"/>
      <c r="IB362" s="16"/>
      <c r="IC362" s="16"/>
      <c r="ID362" s="16"/>
      <c r="IE362" s="16"/>
      <c r="IF362" s="16"/>
      <c r="IG362" s="17"/>
      <c r="IK362" s="24"/>
      <c r="IL362" s="60"/>
      <c r="IM362" s="16"/>
      <c r="IN362" s="16"/>
      <c r="IO362" s="16"/>
      <c r="IP362" s="16"/>
      <c r="IQ362" s="16"/>
      <c r="IR362" s="17"/>
      <c r="IV362" s="24"/>
      <c r="IW362" s="60"/>
      <c r="IX362" s="16"/>
      <c r="IY362" s="16"/>
      <c r="IZ362" s="16"/>
      <c r="JA362" s="16"/>
      <c r="JB362" s="16"/>
      <c r="JC362" s="17"/>
      <c r="JG362" s="24"/>
      <c r="JH362" s="60"/>
      <c r="JI362" s="16"/>
      <c r="JJ362" s="16"/>
      <c r="JK362" s="16"/>
      <c r="JL362" s="16"/>
      <c r="JM362" s="16"/>
      <c r="JN362" s="17"/>
      <c r="JR362" s="24"/>
      <c r="JS362" s="60"/>
      <c r="JT362" s="16"/>
      <c r="JU362" s="16"/>
      <c r="JV362" s="16"/>
      <c r="JW362" s="16"/>
      <c r="JX362" s="16"/>
      <c r="JY362" s="17"/>
      <c r="KC362" s="24"/>
      <c r="KD362" s="60"/>
      <c r="KE362" s="16"/>
      <c r="KF362" s="16"/>
      <c r="KG362" s="16"/>
      <c r="KH362" s="16"/>
      <c r="KI362" s="16"/>
      <c r="KJ362" s="17"/>
      <c r="KN362" s="24"/>
      <c r="KO362" s="60"/>
      <c r="KP362" s="16"/>
      <c r="KQ362" s="16"/>
      <c r="KR362" s="16"/>
      <c r="KS362" s="16"/>
      <c r="KT362" s="16"/>
      <c r="KU362" s="17"/>
      <c r="KY362" s="24"/>
      <c r="KZ362" s="60"/>
      <c r="LA362" s="16"/>
      <c r="LB362" s="16"/>
      <c r="LC362" s="16"/>
      <c r="LD362" s="16"/>
      <c r="LE362" s="16"/>
      <c r="LF362" s="17"/>
      <c r="LJ362" s="24"/>
      <c r="LK362" s="60"/>
      <c r="LL362" s="16"/>
      <c r="LM362" s="16"/>
      <c r="LN362" s="16"/>
      <c r="LO362" s="16"/>
      <c r="LP362" s="16"/>
      <c r="LQ362" s="17"/>
    </row>
    <row r="363">
      <c r="C363" s="31"/>
      <c r="D363" s="61"/>
      <c r="E363" s="16"/>
      <c r="F363" s="16"/>
      <c r="G363" s="21"/>
      <c r="H363" s="16"/>
      <c r="I363" s="16"/>
      <c r="J363" s="17"/>
      <c r="N363" s="17"/>
      <c r="O363" s="61"/>
      <c r="P363" s="16"/>
      <c r="Q363" s="16"/>
      <c r="R363" s="16"/>
      <c r="S363" s="16"/>
      <c r="T363" s="16"/>
      <c r="U363" s="17"/>
      <c r="Y363" s="24"/>
      <c r="Z363" s="61"/>
      <c r="AA363" s="16"/>
      <c r="AB363" s="16"/>
      <c r="AC363" s="16"/>
      <c r="AD363" s="16"/>
      <c r="AE363" s="16"/>
      <c r="AF363" s="17"/>
      <c r="AJ363" s="24"/>
      <c r="AK363" s="61"/>
      <c r="AL363" s="16"/>
      <c r="AM363" s="16"/>
      <c r="AN363" s="16"/>
      <c r="AO363" s="16"/>
      <c r="AP363" s="16"/>
      <c r="AQ363" s="17"/>
      <c r="AU363" s="24"/>
      <c r="AV363" s="61"/>
      <c r="AW363" s="16"/>
      <c r="AX363" s="16"/>
      <c r="AY363" s="16"/>
      <c r="AZ363" s="16"/>
      <c r="BA363" s="16"/>
      <c r="BB363" s="17"/>
      <c r="BF363" s="24"/>
      <c r="BG363" s="61"/>
      <c r="BH363" s="16"/>
      <c r="BI363" s="16"/>
      <c r="BJ363" s="16"/>
      <c r="BK363" s="16"/>
      <c r="BL363" s="16"/>
      <c r="BM363" s="17"/>
      <c r="BQ363" s="24"/>
      <c r="BR363" s="61"/>
      <c r="BS363" s="16"/>
      <c r="BT363" s="16"/>
      <c r="BU363" s="16"/>
      <c r="BV363" s="16"/>
      <c r="BW363" s="16"/>
      <c r="BX363" s="17"/>
      <c r="CB363" s="24"/>
      <c r="CC363" s="61"/>
      <c r="CD363" s="16"/>
      <c r="CE363" s="16"/>
      <c r="CF363" s="16"/>
      <c r="CG363" s="16"/>
      <c r="CH363" s="16"/>
      <c r="CI363" s="17"/>
      <c r="CM363" s="24"/>
      <c r="CN363" s="61"/>
      <c r="CO363" s="16"/>
      <c r="CP363" s="16"/>
      <c r="CQ363" s="16"/>
      <c r="CR363" s="16"/>
      <c r="CS363" s="16"/>
      <c r="CT363" s="17"/>
      <c r="CX363" s="24"/>
      <c r="CY363" s="60"/>
      <c r="CZ363" s="16"/>
      <c r="DA363" s="16"/>
      <c r="DB363" s="16"/>
      <c r="DC363" s="16"/>
      <c r="DD363" s="16"/>
      <c r="DE363" s="17"/>
      <c r="DI363" s="24"/>
      <c r="DJ363" s="60"/>
      <c r="DK363" s="16"/>
      <c r="DL363" s="16"/>
      <c r="DM363" s="16"/>
      <c r="DN363" s="16"/>
      <c r="DO363" s="16"/>
      <c r="DP363" s="17"/>
      <c r="DT363" s="24"/>
      <c r="DU363" s="60"/>
      <c r="DV363" s="16"/>
      <c r="DW363" s="16"/>
      <c r="DX363" s="16"/>
      <c r="DY363" s="16"/>
      <c r="DZ363" s="16"/>
      <c r="EA363" s="17"/>
      <c r="EE363" s="24"/>
      <c r="EF363" s="60"/>
      <c r="EG363" s="16"/>
      <c r="EH363" s="16"/>
      <c r="EI363" s="16"/>
      <c r="EJ363" s="16"/>
      <c r="EK363" s="16"/>
      <c r="EL363" s="17"/>
      <c r="EP363" s="24"/>
      <c r="EQ363" s="60"/>
      <c r="ER363" s="16"/>
      <c r="ES363" s="16"/>
      <c r="ET363" s="16"/>
      <c r="EU363" s="16"/>
      <c r="EV363" s="16"/>
      <c r="EW363" s="17"/>
      <c r="FA363" s="24"/>
      <c r="FB363" s="60"/>
      <c r="FC363" s="16"/>
      <c r="FD363" s="16"/>
      <c r="FE363" s="16"/>
      <c r="FF363" s="16"/>
      <c r="FG363" s="16"/>
      <c r="FH363" s="17"/>
      <c r="FL363" s="24"/>
      <c r="FM363" s="60"/>
      <c r="FN363" s="16"/>
      <c r="FO363" s="16"/>
      <c r="FP363" s="16"/>
      <c r="FQ363" s="16"/>
      <c r="FR363" s="16"/>
      <c r="FS363" s="17"/>
      <c r="FW363" s="24"/>
      <c r="FX363" s="60"/>
      <c r="FY363" s="16"/>
      <c r="FZ363" s="16"/>
      <c r="GA363" s="16"/>
      <c r="GB363" s="16"/>
      <c r="GC363" s="16"/>
      <c r="GD363" s="17"/>
      <c r="GH363" s="24"/>
      <c r="GI363" s="60"/>
      <c r="GJ363" s="16"/>
      <c r="GK363" s="16"/>
      <c r="GL363" s="16"/>
      <c r="GM363" s="16"/>
      <c r="GN363" s="16"/>
      <c r="GO363" s="17"/>
      <c r="GS363" s="24"/>
      <c r="GT363" s="60"/>
      <c r="GU363" s="16"/>
      <c r="GV363" s="16"/>
      <c r="GW363" s="16"/>
      <c r="GX363" s="16"/>
      <c r="GY363" s="16"/>
      <c r="GZ363" s="17"/>
      <c r="HD363" s="24"/>
      <c r="HE363" s="60"/>
      <c r="HF363" s="16"/>
      <c r="HG363" s="16"/>
      <c r="HH363" s="16"/>
      <c r="HI363" s="16"/>
      <c r="HJ363" s="16"/>
      <c r="HK363" s="17"/>
      <c r="HO363" s="24"/>
      <c r="HP363" s="60"/>
      <c r="HQ363" s="16"/>
      <c r="HR363" s="16"/>
      <c r="HS363" s="16"/>
      <c r="HT363" s="16"/>
      <c r="HU363" s="16"/>
      <c r="HV363" s="17"/>
      <c r="HZ363" s="24"/>
      <c r="IA363" s="60"/>
      <c r="IB363" s="16"/>
      <c r="IC363" s="16"/>
      <c r="ID363" s="16"/>
      <c r="IE363" s="16"/>
      <c r="IF363" s="16"/>
      <c r="IG363" s="17"/>
      <c r="IK363" s="24"/>
      <c r="IL363" s="60"/>
      <c r="IM363" s="16"/>
      <c r="IN363" s="16"/>
      <c r="IO363" s="16"/>
      <c r="IP363" s="16"/>
      <c r="IQ363" s="16"/>
      <c r="IR363" s="17"/>
      <c r="IV363" s="24"/>
      <c r="IW363" s="60"/>
      <c r="IX363" s="16"/>
      <c r="IY363" s="16"/>
      <c r="IZ363" s="16"/>
      <c r="JA363" s="16"/>
      <c r="JB363" s="16"/>
      <c r="JC363" s="17"/>
      <c r="JG363" s="24"/>
      <c r="JH363" s="60"/>
      <c r="JI363" s="16"/>
      <c r="JJ363" s="16"/>
      <c r="JK363" s="16"/>
      <c r="JL363" s="16"/>
      <c r="JM363" s="16"/>
      <c r="JN363" s="17"/>
      <c r="JR363" s="24"/>
      <c r="JS363" s="60"/>
      <c r="JT363" s="16"/>
      <c r="JU363" s="16"/>
      <c r="JV363" s="16"/>
      <c r="JW363" s="16"/>
      <c r="JX363" s="16"/>
      <c r="JY363" s="17"/>
      <c r="KC363" s="24"/>
      <c r="KD363" s="60"/>
      <c r="KE363" s="16"/>
      <c r="KF363" s="16"/>
      <c r="KG363" s="16"/>
      <c r="KH363" s="16"/>
      <c r="KI363" s="16"/>
      <c r="KJ363" s="17"/>
      <c r="KN363" s="24"/>
      <c r="KO363" s="60"/>
      <c r="KP363" s="16"/>
      <c r="KQ363" s="16"/>
      <c r="KR363" s="16"/>
      <c r="KS363" s="16"/>
      <c r="KT363" s="16"/>
      <c r="KU363" s="17"/>
      <c r="KY363" s="24"/>
      <c r="KZ363" s="60"/>
      <c r="LA363" s="16"/>
      <c r="LB363" s="16"/>
      <c r="LC363" s="16"/>
      <c r="LD363" s="16"/>
      <c r="LE363" s="16"/>
      <c r="LF363" s="17"/>
      <c r="LJ363" s="24"/>
      <c r="LK363" s="60"/>
      <c r="LL363" s="16"/>
      <c r="LM363" s="16"/>
      <c r="LN363" s="16"/>
      <c r="LO363" s="16"/>
      <c r="LP363" s="16"/>
      <c r="LQ363" s="17"/>
    </row>
    <row r="364">
      <c r="C364" s="31"/>
      <c r="D364" s="61"/>
      <c r="E364" s="16"/>
      <c r="F364" s="16"/>
      <c r="G364" s="21"/>
      <c r="H364" s="16"/>
      <c r="I364" s="16"/>
      <c r="J364" s="17"/>
      <c r="N364" s="17"/>
      <c r="O364" s="61"/>
      <c r="P364" s="16"/>
      <c r="Q364" s="16"/>
      <c r="R364" s="16"/>
      <c r="S364" s="16"/>
      <c r="T364" s="16"/>
      <c r="U364" s="17"/>
      <c r="Y364" s="24"/>
      <c r="Z364" s="61"/>
      <c r="AA364" s="16"/>
      <c r="AB364" s="16"/>
      <c r="AC364" s="16"/>
      <c r="AD364" s="16"/>
      <c r="AE364" s="16"/>
      <c r="AF364" s="17"/>
      <c r="AJ364" s="24"/>
      <c r="AK364" s="61"/>
      <c r="AL364" s="16"/>
      <c r="AM364" s="16"/>
      <c r="AN364" s="16"/>
      <c r="AO364" s="16"/>
      <c r="AP364" s="16"/>
      <c r="AQ364" s="17"/>
      <c r="AU364" s="24"/>
      <c r="AV364" s="61"/>
      <c r="AW364" s="16"/>
      <c r="AX364" s="16"/>
      <c r="AY364" s="16"/>
      <c r="AZ364" s="16"/>
      <c r="BA364" s="16"/>
      <c r="BB364" s="17"/>
      <c r="BF364" s="24"/>
      <c r="BG364" s="61"/>
      <c r="BH364" s="16"/>
      <c r="BI364" s="16"/>
      <c r="BJ364" s="16"/>
      <c r="BK364" s="16"/>
      <c r="BL364" s="16"/>
      <c r="BM364" s="17"/>
      <c r="BQ364" s="24"/>
      <c r="BR364" s="61"/>
      <c r="BS364" s="16"/>
      <c r="BT364" s="16"/>
      <c r="BU364" s="16"/>
      <c r="BV364" s="16"/>
      <c r="BW364" s="16"/>
      <c r="BX364" s="17"/>
      <c r="CB364" s="24"/>
      <c r="CC364" s="61"/>
      <c r="CD364" s="16"/>
      <c r="CE364" s="16"/>
      <c r="CF364" s="16"/>
      <c r="CG364" s="16"/>
      <c r="CH364" s="16"/>
      <c r="CI364" s="17"/>
      <c r="CM364" s="24"/>
      <c r="CN364" s="61"/>
      <c r="CO364" s="16"/>
      <c r="CP364" s="16"/>
      <c r="CQ364" s="16"/>
      <c r="CR364" s="16"/>
      <c r="CS364" s="16"/>
      <c r="CT364" s="17"/>
      <c r="CX364" s="24"/>
      <c r="CY364" s="60"/>
      <c r="CZ364" s="16"/>
      <c r="DA364" s="16"/>
      <c r="DB364" s="16"/>
      <c r="DC364" s="16"/>
      <c r="DD364" s="16"/>
      <c r="DE364" s="17"/>
      <c r="DI364" s="24"/>
      <c r="DJ364" s="60"/>
      <c r="DK364" s="16"/>
      <c r="DL364" s="16"/>
      <c r="DM364" s="16"/>
      <c r="DN364" s="16"/>
      <c r="DO364" s="16"/>
      <c r="DP364" s="17"/>
      <c r="DT364" s="24"/>
      <c r="DU364" s="60"/>
      <c r="DV364" s="16"/>
      <c r="DW364" s="16"/>
      <c r="DX364" s="16"/>
      <c r="DY364" s="16"/>
      <c r="DZ364" s="16"/>
      <c r="EA364" s="17"/>
      <c r="EE364" s="24"/>
      <c r="EF364" s="60"/>
      <c r="EG364" s="16"/>
      <c r="EH364" s="16"/>
      <c r="EI364" s="16"/>
      <c r="EJ364" s="16"/>
      <c r="EK364" s="16"/>
      <c r="EL364" s="17"/>
      <c r="EP364" s="24"/>
      <c r="EQ364" s="60"/>
      <c r="ER364" s="16"/>
      <c r="ES364" s="16"/>
      <c r="ET364" s="16"/>
      <c r="EU364" s="16"/>
      <c r="EV364" s="16"/>
      <c r="EW364" s="17"/>
      <c r="FA364" s="24"/>
      <c r="FB364" s="60"/>
      <c r="FC364" s="16"/>
      <c r="FD364" s="16"/>
      <c r="FE364" s="16"/>
      <c r="FF364" s="16"/>
      <c r="FG364" s="16"/>
      <c r="FH364" s="17"/>
      <c r="FL364" s="24"/>
      <c r="FM364" s="60"/>
      <c r="FN364" s="16"/>
      <c r="FO364" s="16"/>
      <c r="FP364" s="16"/>
      <c r="FQ364" s="16"/>
      <c r="FR364" s="16"/>
      <c r="FS364" s="17"/>
      <c r="FW364" s="24"/>
      <c r="FX364" s="60"/>
      <c r="FY364" s="16"/>
      <c r="FZ364" s="16"/>
      <c r="GA364" s="16"/>
      <c r="GB364" s="16"/>
      <c r="GC364" s="16"/>
      <c r="GD364" s="17"/>
      <c r="GH364" s="24"/>
      <c r="GI364" s="60"/>
      <c r="GJ364" s="16"/>
      <c r="GK364" s="16"/>
      <c r="GL364" s="16"/>
      <c r="GM364" s="16"/>
      <c r="GN364" s="16"/>
      <c r="GO364" s="17"/>
      <c r="GS364" s="24"/>
      <c r="GT364" s="60"/>
      <c r="GU364" s="16"/>
      <c r="GV364" s="16"/>
      <c r="GW364" s="16"/>
      <c r="GX364" s="16"/>
      <c r="GY364" s="16"/>
      <c r="GZ364" s="17"/>
      <c r="HD364" s="24"/>
      <c r="HE364" s="60"/>
      <c r="HF364" s="16"/>
      <c r="HG364" s="16"/>
      <c r="HH364" s="16"/>
      <c r="HI364" s="16"/>
      <c r="HJ364" s="16"/>
      <c r="HK364" s="17"/>
      <c r="HO364" s="24"/>
      <c r="HP364" s="60"/>
      <c r="HQ364" s="16"/>
      <c r="HR364" s="16"/>
      <c r="HS364" s="16"/>
      <c r="HT364" s="16"/>
      <c r="HU364" s="16"/>
      <c r="HV364" s="17"/>
      <c r="HZ364" s="24"/>
      <c r="IA364" s="60"/>
      <c r="IB364" s="16"/>
      <c r="IC364" s="16"/>
      <c r="ID364" s="16"/>
      <c r="IE364" s="16"/>
      <c r="IF364" s="16"/>
      <c r="IG364" s="17"/>
      <c r="IK364" s="24"/>
      <c r="IL364" s="60"/>
      <c r="IM364" s="16"/>
      <c r="IN364" s="16"/>
      <c r="IO364" s="16"/>
      <c r="IP364" s="16"/>
      <c r="IQ364" s="16"/>
      <c r="IR364" s="17"/>
      <c r="IV364" s="24"/>
      <c r="IW364" s="60"/>
      <c r="IX364" s="16"/>
      <c r="IY364" s="16"/>
      <c r="IZ364" s="16"/>
      <c r="JA364" s="16"/>
      <c r="JB364" s="16"/>
      <c r="JC364" s="17"/>
      <c r="JG364" s="24"/>
      <c r="JH364" s="60"/>
      <c r="JI364" s="16"/>
      <c r="JJ364" s="16"/>
      <c r="JK364" s="16"/>
      <c r="JL364" s="16"/>
      <c r="JM364" s="16"/>
      <c r="JN364" s="17"/>
      <c r="JR364" s="24"/>
      <c r="JS364" s="60"/>
      <c r="JT364" s="16"/>
      <c r="JU364" s="16"/>
      <c r="JV364" s="16"/>
      <c r="JW364" s="16"/>
      <c r="JX364" s="16"/>
      <c r="JY364" s="17"/>
      <c r="KC364" s="24"/>
      <c r="KD364" s="60"/>
      <c r="KE364" s="16"/>
      <c r="KF364" s="16"/>
      <c r="KG364" s="16"/>
      <c r="KH364" s="16"/>
      <c r="KI364" s="16"/>
      <c r="KJ364" s="17"/>
      <c r="KN364" s="24"/>
      <c r="KO364" s="60"/>
      <c r="KP364" s="16"/>
      <c r="KQ364" s="16"/>
      <c r="KR364" s="16"/>
      <c r="KS364" s="16"/>
      <c r="KT364" s="16"/>
      <c r="KU364" s="17"/>
      <c r="KY364" s="24"/>
      <c r="KZ364" s="60"/>
      <c r="LA364" s="16"/>
      <c r="LB364" s="16"/>
      <c r="LC364" s="16"/>
      <c r="LD364" s="16"/>
      <c r="LE364" s="16"/>
      <c r="LF364" s="17"/>
      <c r="LJ364" s="24"/>
      <c r="LK364" s="60"/>
      <c r="LL364" s="16"/>
      <c r="LM364" s="16"/>
      <c r="LN364" s="16"/>
      <c r="LO364" s="16"/>
      <c r="LP364" s="16"/>
      <c r="LQ364" s="17"/>
    </row>
    <row r="365">
      <c r="C365" s="31"/>
      <c r="D365" s="61"/>
      <c r="E365" s="16"/>
      <c r="F365" s="16"/>
      <c r="G365" s="21"/>
      <c r="H365" s="16"/>
      <c r="I365" s="16"/>
      <c r="J365" s="17"/>
      <c r="N365" s="17"/>
      <c r="O365" s="61"/>
      <c r="P365" s="16"/>
      <c r="Q365" s="16"/>
      <c r="R365" s="16"/>
      <c r="S365" s="16"/>
      <c r="T365" s="16"/>
      <c r="U365" s="17"/>
      <c r="Y365" s="24"/>
      <c r="Z365" s="61"/>
      <c r="AA365" s="16"/>
      <c r="AB365" s="16"/>
      <c r="AC365" s="16"/>
      <c r="AD365" s="16"/>
      <c r="AE365" s="16"/>
      <c r="AF365" s="17"/>
      <c r="AJ365" s="24"/>
      <c r="AK365" s="61"/>
      <c r="AL365" s="16"/>
      <c r="AM365" s="16"/>
      <c r="AN365" s="16"/>
      <c r="AO365" s="16"/>
      <c r="AP365" s="16"/>
      <c r="AQ365" s="17"/>
      <c r="AU365" s="24"/>
      <c r="AV365" s="61"/>
      <c r="AW365" s="16"/>
      <c r="AX365" s="16"/>
      <c r="AY365" s="16"/>
      <c r="AZ365" s="16"/>
      <c r="BA365" s="16"/>
      <c r="BB365" s="17"/>
      <c r="BF365" s="24"/>
      <c r="BG365" s="61"/>
      <c r="BH365" s="16"/>
      <c r="BI365" s="16"/>
      <c r="BJ365" s="16"/>
      <c r="BK365" s="16"/>
      <c r="BL365" s="16"/>
      <c r="BM365" s="17"/>
      <c r="BQ365" s="24"/>
      <c r="BR365" s="61"/>
      <c r="BS365" s="16"/>
      <c r="BT365" s="16"/>
      <c r="BU365" s="16"/>
      <c r="BV365" s="16"/>
      <c r="BW365" s="16"/>
      <c r="BX365" s="17"/>
      <c r="CB365" s="24"/>
      <c r="CC365" s="61"/>
      <c r="CD365" s="16"/>
      <c r="CE365" s="16"/>
      <c r="CF365" s="16"/>
      <c r="CG365" s="16"/>
      <c r="CH365" s="16"/>
      <c r="CI365" s="17"/>
      <c r="CM365" s="24"/>
      <c r="CN365" s="61"/>
      <c r="CO365" s="16"/>
      <c r="CP365" s="16"/>
      <c r="CQ365" s="16"/>
      <c r="CR365" s="16"/>
      <c r="CS365" s="16"/>
      <c r="CT365" s="17"/>
      <c r="CX365" s="24"/>
      <c r="CY365" s="60"/>
      <c r="CZ365" s="16"/>
      <c r="DA365" s="16"/>
      <c r="DB365" s="16"/>
      <c r="DC365" s="16"/>
      <c r="DD365" s="16"/>
      <c r="DE365" s="17"/>
      <c r="DI365" s="24"/>
      <c r="DJ365" s="60"/>
      <c r="DK365" s="16"/>
      <c r="DL365" s="16"/>
      <c r="DM365" s="16"/>
      <c r="DN365" s="16"/>
      <c r="DO365" s="16"/>
      <c r="DP365" s="17"/>
      <c r="DT365" s="24"/>
      <c r="DU365" s="60"/>
      <c r="DV365" s="16"/>
      <c r="DW365" s="16"/>
      <c r="DX365" s="16"/>
      <c r="DY365" s="16"/>
      <c r="DZ365" s="16"/>
      <c r="EA365" s="17"/>
      <c r="EE365" s="24"/>
      <c r="EF365" s="60"/>
      <c r="EG365" s="16"/>
      <c r="EH365" s="16"/>
      <c r="EI365" s="16"/>
      <c r="EJ365" s="16"/>
      <c r="EK365" s="16"/>
      <c r="EL365" s="17"/>
      <c r="EP365" s="24"/>
      <c r="EQ365" s="60"/>
      <c r="ER365" s="16"/>
      <c r="ES365" s="16"/>
      <c r="ET365" s="16"/>
      <c r="EU365" s="16"/>
      <c r="EV365" s="16"/>
      <c r="EW365" s="17"/>
      <c r="FA365" s="24"/>
      <c r="FB365" s="60"/>
      <c r="FC365" s="16"/>
      <c r="FD365" s="16"/>
      <c r="FE365" s="16"/>
      <c r="FF365" s="16"/>
      <c r="FG365" s="16"/>
      <c r="FH365" s="17"/>
      <c r="FL365" s="24"/>
      <c r="FM365" s="60"/>
      <c r="FN365" s="16"/>
      <c r="FO365" s="16"/>
      <c r="FP365" s="16"/>
      <c r="FQ365" s="16"/>
      <c r="FR365" s="16"/>
      <c r="FS365" s="17"/>
      <c r="FW365" s="24"/>
      <c r="FX365" s="60"/>
      <c r="FY365" s="16"/>
      <c r="FZ365" s="16"/>
      <c r="GA365" s="16"/>
      <c r="GB365" s="16"/>
      <c r="GC365" s="16"/>
      <c r="GD365" s="17"/>
      <c r="GH365" s="24"/>
      <c r="GI365" s="60"/>
      <c r="GJ365" s="16"/>
      <c r="GK365" s="16"/>
      <c r="GL365" s="16"/>
      <c r="GM365" s="16"/>
      <c r="GN365" s="16"/>
      <c r="GO365" s="17"/>
      <c r="GS365" s="24"/>
      <c r="GT365" s="60"/>
      <c r="GU365" s="16"/>
      <c r="GV365" s="16"/>
      <c r="GW365" s="16"/>
      <c r="GX365" s="16"/>
      <c r="GY365" s="16"/>
      <c r="GZ365" s="17"/>
      <c r="HD365" s="24"/>
      <c r="HE365" s="60"/>
      <c r="HF365" s="16"/>
      <c r="HG365" s="16"/>
      <c r="HH365" s="16"/>
      <c r="HI365" s="16"/>
      <c r="HJ365" s="16"/>
      <c r="HK365" s="17"/>
      <c r="HO365" s="24"/>
      <c r="HP365" s="60"/>
      <c r="HQ365" s="16"/>
      <c r="HR365" s="16"/>
      <c r="HS365" s="16"/>
      <c r="HT365" s="16"/>
      <c r="HU365" s="16"/>
      <c r="HV365" s="17"/>
      <c r="HZ365" s="24"/>
      <c r="IA365" s="60"/>
      <c r="IB365" s="16"/>
      <c r="IC365" s="16"/>
      <c r="ID365" s="16"/>
      <c r="IE365" s="16"/>
      <c r="IF365" s="16"/>
      <c r="IG365" s="17"/>
      <c r="IK365" s="24"/>
      <c r="IL365" s="60"/>
      <c r="IM365" s="16"/>
      <c r="IN365" s="16"/>
      <c r="IO365" s="16"/>
      <c r="IP365" s="16"/>
      <c r="IQ365" s="16"/>
      <c r="IR365" s="17"/>
      <c r="IV365" s="24"/>
      <c r="IW365" s="60"/>
      <c r="IX365" s="16"/>
      <c r="IY365" s="16"/>
      <c r="IZ365" s="16"/>
      <c r="JA365" s="16"/>
      <c r="JB365" s="16"/>
      <c r="JC365" s="17"/>
      <c r="JG365" s="24"/>
      <c r="JH365" s="60"/>
      <c r="JI365" s="16"/>
      <c r="JJ365" s="16"/>
      <c r="JK365" s="16"/>
      <c r="JL365" s="16"/>
      <c r="JM365" s="16"/>
      <c r="JN365" s="17"/>
      <c r="JR365" s="24"/>
      <c r="JS365" s="60"/>
      <c r="JT365" s="16"/>
      <c r="JU365" s="16"/>
      <c r="JV365" s="16"/>
      <c r="JW365" s="16"/>
      <c r="JX365" s="16"/>
      <c r="JY365" s="17"/>
      <c r="KC365" s="24"/>
      <c r="KD365" s="60"/>
      <c r="KE365" s="16"/>
      <c r="KF365" s="16"/>
      <c r="KG365" s="16"/>
      <c r="KH365" s="16"/>
      <c r="KI365" s="16"/>
      <c r="KJ365" s="17"/>
      <c r="KN365" s="24"/>
      <c r="KO365" s="60"/>
      <c r="KP365" s="16"/>
      <c r="KQ365" s="16"/>
      <c r="KR365" s="16"/>
      <c r="KS365" s="16"/>
      <c r="KT365" s="16"/>
      <c r="KU365" s="17"/>
      <c r="KY365" s="24"/>
      <c r="KZ365" s="60"/>
      <c r="LA365" s="16"/>
      <c r="LB365" s="16"/>
      <c r="LC365" s="16"/>
      <c r="LD365" s="16"/>
      <c r="LE365" s="16"/>
      <c r="LF365" s="17"/>
      <c r="LJ365" s="24"/>
      <c r="LK365" s="60"/>
      <c r="LL365" s="16"/>
      <c r="LM365" s="16"/>
      <c r="LN365" s="16"/>
      <c r="LO365" s="16"/>
      <c r="LP365" s="16"/>
      <c r="LQ365" s="17"/>
    </row>
    <row r="366">
      <c r="C366" s="31"/>
      <c r="D366" s="61"/>
      <c r="E366" s="16"/>
      <c r="F366" s="16"/>
      <c r="G366" s="21"/>
      <c r="H366" s="16"/>
      <c r="I366" s="16"/>
      <c r="J366" s="17"/>
      <c r="N366" s="17"/>
      <c r="O366" s="61"/>
      <c r="P366" s="16"/>
      <c r="Q366" s="16"/>
      <c r="R366" s="16"/>
      <c r="S366" s="16"/>
      <c r="T366" s="16"/>
      <c r="U366" s="17"/>
      <c r="Y366" s="24"/>
      <c r="Z366" s="61"/>
      <c r="AA366" s="16"/>
      <c r="AB366" s="16"/>
      <c r="AC366" s="16"/>
      <c r="AD366" s="16"/>
      <c r="AE366" s="16"/>
      <c r="AF366" s="17"/>
      <c r="AJ366" s="24"/>
      <c r="AK366" s="61"/>
      <c r="AL366" s="16"/>
      <c r="AM366" s="16"/>
      <c r="AN366" s="16"/>
      <c r="AO366" s="16"/>
      <c r="AP366" s="16"/>
      <c r="AQ366" s="17"/>
      <c r="AU366" s="24"/>
      <c r="AV366" s="61"/>
      <c r="AW366" s="16"/>
      <c r="AX366" s="16"/>
      <c r="AY366" s="16"/>
      <c r="AZ366" s="16"/>
      <c r="BA366" s="16"/>
      <c r="BB366" s="17"/>
      <c r="BF366" s="24"/>
      <c r="BG366" s="61"/>
      <c r="BH366" s="16"/>
      <c r="BI366" s="16"/>
      <c r="BJ366" s="16"/>
      <c r="BK366" s="16"/>
      <c r="BL366" s="16"/>
      <c r="BM366" s="17"/>
      <c r="BQ366" s="24"/>
      <c r="BR366" s="61"/>
      <c r="BS366" s="16"/>
      <c r="BT366" s="16"/>
      <c r="BU366" s="16"/>
      <c r="BV366" s="16"/>
      <c r="BW366" s="16"/>
      <c r="BX366" s="17"/>
      <c r="CB366" s="24"/>
      <c r="CC366" s="61"/>
      <c r="CD366" s="16"/>
      <c r="CE366" s="16"/>
      <c r="CF366" s="16"/>
      <c r="CG366" s="16"/>
      <c r="CH366" s="16"/>
      <c r="CI366" s="17"/>
      <c r="CM366" s="24"/>
      <c r="CN366" s="61"/>
      <c r="CO366" s="16"/>
      <c r="CP366" s="16"/>
      <c r="CQ366" s="16"/>
      <c r="CR366" s="16"/>
      <c r="CS366" s="16"/>
      <c r="CT366" s="17"/>
      <c r="CX366" s="24"/>
      <c r="CY366" s="60"/>
      <c r="CZ366" s="16"/>
      <c r="DA366" s="16"/>
      <c r="DB366" s="16"/>
      <c r="DC366" s="16"/>
      <c r="DD366" s="16"/>
      <c r="DE366" s="17"/>
      <c r="DI366" s="24"/>
      <c r="DJ366" s="60"/>
      <c r="DK366" s="16"/>
      <c r="DL366" s="16"/>
      <c r="DM366" s="16"/>
      <c r="DN366" s="16"/>
      <c r="DO366" s="16"/>
      <c r="DP366" s="17"/>
      <c r="DT366" s="24"/>
      <c r="DU366" s="60"/>
      <c r="DV366" s="16"/>
      <c r="DW366" s="16"/>
      <c r="DX366" s="16"/>
      <c r="DY366" s="16"/>
      <c r="DZ366" s="16"/>
      <c r="EA366" s="17"/>
      <c r="EE366" s="24"/>
      <c r="EF366" s="60"/>
      <c r="EG366" s="16"/>
      <c r="EH366" s="16"/>
      <c r="EI366" s="16"/>
      <c r="EJ366" s="16"/>
      <c r="EK366" s="16"/>
      <c r="EL366" s="17"/>
      <c r="EP366" s="24"/>
      <c r="EQ366" s="60"/>
      <c r="ER366" s="16"/>
      <c r="ES366" s="16"/>
      <c r="ET366" s="16"/>
      <c r="EU366" s="16"/>
      <c r="EV366" s="16"/>
      <c r="EW366" s="17"/>
      <c r="FA366" s="24"/>
      <c r="FB366" s="60"/>
      <c r="FC366" s="16"/>
      <c r="FD366" s="16"/>
      <c r="FE366" s="16"/>
      <c r="FF366" s="16"/>
      <c r="FG366" s="16"/>
      <c r="FH366" s="17"/>
      <c r="FL366" s="24"/>
      <c r="FM366" s="60"/>
      <c r="FN366" s="16"/>
      <c r="FO366" s="16"/>
      <c r="FP366" s="16"/>
      <c r="FQ366" s="16"/>
      <c r="FR366" s="16"/>
      <c r="FS366" s="17"/>
      <c r="FW366" s="24"/>
      <c r="FX366" s="60"/>
      <c r="FY366" s="16"/>
      <c r="FZ366" s="16"/>
      <c r="GA366" s="16"/>
      <c r="GB366" s="16"/>
      <c r="GC366" s="16"/>
      <c r="GD366" s="17"/>
      <c r="GH366" s="24"/>
      <c r="GI366" s="60"/>
      <c r="GJ366" s="16"/>
      <c r="GK366" s="16"/>
      <c r="GL366" s="16"/>
      <c r="GM366" s="16"/>
      <c r="GN366" s="16"/>
      <c r="GO366" s="17"/>
      <c r="GS366" s="24"/>
      <c r="GT366" s="60"/>
      <c r="GU366" s="16"/>
      <c r="GV366" s="16"/>
      <c r="GW366" s="16"/>
      <c r="GX366" s="16"/>
      <c r="GY366" s="16"/>
      <c r="GZ366" s="17"/>
      <c r="HD366" s="24"/>
      <c r="HE366" s="60"/>
      <c r="HF366" s="16"/>
      <c r="HG366" s="16"/>
      <c r="HH366" s="16"/>
      <c r="HI366" s="16"/>
      <c r="HJ366" s="16"/>
      <c r="HK366" s="17"/>
      <c r="HO366" s="24"/>
      <c r="HP366" s="60"/>
      <c r="HQ366" s="16"/>
      <c r="HR366" s="16"/>
      <c r="HS366" s="16"/>
      <c r="HT366" s="16"/>
      <c r="HU366" s="16"/>
      <c r="HV366" s="17"/>
      <c r="HZ366" s="24"/>
      <c r="IA366" s="60"/>
      <c r="IB366" s="16"/>
      <c r="IC366" s="16"/>
      <c r="ID366" s="16"/>
      <c r="IE366" s="16"/>
      <c r="IF366" s="16"/>
      <c r="IG366" s="17"/>
      <c r="IK366" s="24"/>
      <c r="IL366" s="60"/>
      <c r="IM366" s="16"/>
      <c r="IN366" s="16"/>
      <c r="IO366" s="16"/>
      <c r="IP366" s="16"/>
      <c r="IQ366" s="16"/>
      <c r="IR366" s="17"/>
      <c r="IV366" s="24"/>
      <c r="IW366" s="60"/>
      <c r="IX366" s="16"/>
      <c r="IY366" s="16"/>
      <c r="IZ366" s="16"/>
      <c r="JA366" s="16"/>
      <c r="JB366" s="16"/>
      <c r="JC366" s="17"/>
      <c r="JG366" s="24"/>
      <c r="JH366" s="60"/>
      <c r="JI366" s="16"/>
      <c r="JJ366" s="16"/>
      <c r="JK366" s="16"/>
      <c r="JL366" s="16"/>
      <c r="JM366" s="16"/>
      <c r="JN366" s="17"/>
      <c r="JR366" s="24"/>
      <c r="JS366" s="60"/>
      <c r="JT366" s="16"/>
      <c r="JU366" s="16"/>
      <c r="JV366" s="16"/>
      <c r="JW366" s="16"/>
      <c r="JX366" s="16"/>
      <c r="JY366" s="17"/>
      <c r="KC366" s="24"/>
      <c r="KD366" s="60"/>
      <c r="KE366" s="16"/>
      <c r="KF366" s="16"/>
      <c r="KG366" s="16"/>
      <c r="KH366" s="16"/>
      <c r="KI366" s="16"/>
      <c r="KJ366" s="17"/>
      <c r="KN366" s="24"/>
      <c r="KO366" s="60"/>
      <c r="KP366" s="16"/>
      <c r="KQ366" s="16"/>
      <c r="KR366" s="16"/>
      <c r="KS366" s="16"/>
      <c r="KT366" s="16"/>
      <c r="KU366" s="17"/>
      <c r="KY366" s="24"/>
      <c r="KZ366" s="60"/>
      <c r="LA366" s="16"/>
      <c r="LB366" s="16"/>
      <c r="LC366" s="16"/>
      <c r="LD366" s="16"/>
      <c r="LE366" s="16"/>
      <c r="LF366" s="17"/>
      <c r="LJ366" s="24"/>
      <c r="LK366" s="60"/>
      <c r="LL366" s="16"/>
      <c r="LM366" s="16"/>
      <c r="LN366" s="16"/>
      <c r="LO366" s="16"/>
      <c r="LP366" s="16"/>
      <c r="LQ366" s="17"/>
    </row>
    <row r="367">
      <c r="C367" s="31"/>
      <c r="D367" s="61"/>
      <c r="E367" s="16"/>
      <c r="F367" s="16"/>
      <c r="G367" s="21"/>
      <c r="H367" s="16"/>
      <c r="I367" s="16"/>
      <c r="J367" s="17"/>
      <c r="N367" s="17"/>
      <c r="O367" s="61"/>
      <c r="P367" s="16"/>
      <c r="Q367" s="16"/>
      <c r="R367" s="16"/>
      <c r="S367" s="16"/>
      <c r="T367" s="16"/>
      <c r="U367" s="17"/>
      <c r="Y367" s="24"/>
      <c r="Z367" s="61"/>
      <c r="AA367" s="16"/>
      <c r="AB367" s="16"/>
      <c r="AC367" s="16"/>
      <c r="AD367" s="16"/>
      <c r="AE367" s="16"/>
      <c r="AF367" s="17"/>
      <c r="AJ367" s="24"/>
      <c r="AK367" s="61"/>
      <c r="AL367" s="16"/>
      <c r="AM367" s="16"/>
      <c r="AN367" s="16"/>
      <c r="AO367" s="16"/>
      <c r="AP367" s="16"/>
      <c r="AQ367" s="17"/>
      <c r="AU367" s="24"/>
      <c r="AV367" s="61"/>
      <c r="AW367" s="16"/>
      <c r="AX367" s="16"/>
      <c r="AY367" s="16"/>
      <c r="AZ367" s="16"/>
      <c r="BA367" s="16"/>
      <c r="BB367" s="17"/>
      <c r="BF367" s="24"/>
      <c r="BG367" s="61"/>
      <c r="BH367" s="16"/>
      <c r="BI367" s="16"/>
      <c r="BJ367" s="16"/>
      <c r="BK367" s="16"/>
      <c r="BL367" s="16"/>
      <c r="BM367" s="17"/>
      <c r="BQ367" s="24"/>
      <c r="BR367" s="61"/>
      <c r="BS367" s="16"/>
      <c r="BT367" s="16"/>
      <c r="BU367" s="16"/>
      <c r="BV367" s="16"/>
      <c r="BW367" s="16"/>
      <c r="BX367" s="17"/>
      <c r="CB367" s="24"/>
      <c r="CC367" s="61"/>
      <c r="CD367" s="16"/>
      <c r="CE367" s="16"/>
      <c r="CF367" s="16"/>
      <c r="CG367" s="16"/>
      <c r="CH367" s="16"/>
      <c r="CI367" s="17"/>
      <c r="CM367" s="24"/>
      <c r="CN367" s="61"/>
      <c r="CO367" s="16"/>
      <c r="CP367" s="16"/>
      <c r="CQ367" s="16"/>
      <c r="CR367" s="16"/>
      <c r="CS367" s="16"/>
      <c r="CT367" s="17"/>
      <c r="CX367" s="24"/>
      <c r="CY367" s="60"/>
      <c r="CZ367" s="16"/>
      <c r="DA367" s="16"/>
      <c r="DB367" s="16"/>
      <c r="DC367" s="16"/>
      <c r="DD367" s="16"/>
      <c r="DE367" s="17"/>
      <c r="DI367" s="24"/>
      <c r="DJ367" s="60"/>
      <c r="DK367" s="16"/>
      <c r="DL367" s="16"/>
      <c r="DM367" s="16"/>
      <c r="DN367" s="16"/>
      <c r="DO367" s="16"/>
      <c r="DP367" s="17"/>
      <c r="DT367" s="24"/>
      <c r="DU367" s="60"/>
      <c r="DV367" s="16"/>
      <c r="DW367" s="16"/>
      <c r="DX367" s="16"/>
      <c r="DY367" s="16"/>
      <c r="DZ367" s="16"/>
      <c r="EA367" s="17"/>
      <c r="EE367" s="24"/>
      <c r="EF367" s="60"/>
      <c r="EG367" s="16"/>
      <c r="EH367" s="16"/>
      <c r="EI367" s="16"/>
      <c r="EJ367" s="16"/>
      <c r="EK367" s="16"/>
      <c r="EL367" s="17"/>
      <c r="EP367" s="24"/>
      <c r="EQ367" s="60"/>
      <c r="ER367" s="16"/>
      <c r="ES367" s="16"/>
      <c r="ET367" s="16"/>
      <c r="EU367" s="16"/>
      <c r="EV367" s="16"/>
      <c r="EW367" s="17"/>
      <c r="FA367" s="24"/>
      <c r="FB367" s="60"/>
      <c r="FC367" s="16"/>
      <c r="FD367" s="16"/>
      <c r="FE367" s="16"/>
      <c r="FF367" s="16"/>
      <c r="FG367" s="16"/>
      <c r="FH367" s="17"/>
      <c r="FL367" s="24"/>
      <c r="FM367" s="60"/>
      <c r="FN367" s="16"/>
      <c r="FO367" s="16"/>
      <c r="FP367" s="16"/>
      <c r="FQ367" s="16"/>
      <c r="FR367" s="16"/>
      <c r="FS367" s="17"/>
      <c r="FW367" s="24"/>
      <c r="FX367" s="60"/>
      <c r="FY367" s="16"/>
      <c r="FZ367" s="16"/>
      <c r="GA367" s="16"/>
      <c r="GB367" s="16"/>
      <c r="GC367" s="16"/>
      <c r="GD367" s="17"/>
      <c r="GH367" s="24"/>
      <c r="GI367" s="60"/>
      <c r="GJ367" s="16"/>
      <c r="GK367" s="16"/>
      <c r="GL367" s="16"/>
      <c r="GM367" s="16"/>
      <c r="GN367" s="16"/>
      <c r="GO367" s="17"/>
      <c r="GS367" s="24"/>
      <c r="GT367" s="60"/>
      <c r="GU367" s="16"/>
      <c r="GV367" s="16"/>
      <c r="GW367" s="16"/>
      <c r="GX367" s="16"/>
      <c r="GY367" s="16"/>
      <c r="GZ367" s="17"/>
      <c r="HD367" s="24"/>
      <c r="HE367" s="60"/>
      <c r="HF367" s="16"/>
      <c r="HG367" s="16"/>
      <c r="HH367" s="16"/>
      <c r="HI367" s="16"/>
      <c r="HJ367" s="16"/>
      <c r="HK367" s="17"/>
      <c r="HO367" s="24"/>
      <c r="HP367" s="60"/>
      <c r="HQ367" s="16"/>
      <c r="HR367" s="16"/>
      <c r="HS367" s="16"/>
      <c r="HT367" s="16"/>
      <c r="HU367" s="16"/>
      <c r="HV367" s="17"/>
      <c r="HZ367" s="24"/>
      <c r="IA367" s="60"/>
      <c r="IB367" s="16"/>
      <c r="IC367" s="16"/>
      <c r="ID367" s="16"/>
      <c r="IE367" s="16"/>
      <c r="IF367" s="16"/>
      <c r="IG367" s="17"/>
      <c r="IK367" s="24"/>
      <c r="IL367" s="60"/>
      <c r="IM367" s="16"/>
      <c r="IN367" s="16"/>
      <c r="IO367" s="16"/>
      <c r="IP367" s="16"/>
      <c r="IQ367" s="16"/>
      <c r="IR367" s="17"/>
      <c r="IV367" s="24"/>
      <c r="IW367" s="60"/>
      <c r="IX367" s="16"/>
      <c r="IY367" s="16"/>
      <c r="IZ367" s="16"/>
      <c r="JA367" s="16"/>
      <c r="JB367" s="16"/>
      <c r="JC367" s="17"/>
      <c r="JG367" s="24"/>
      <c r="JH367" s="60"/>
      <c r="JI367" s="16"/>
      <c r="JJ367" s="16"/>
      <c r="JK367" s="16"/>
      <c r="JL367" s="16"/>
      <c r="JM367" s="16"/>
      <c r="JN367" s="17"/>
      <c r="JR367" s="24"/>
      <c r="JS367" s="60"/>
      <c r="JT367" s="16"/>
      <c r="JU367" s="16"/>
      <c r="JV367" s="16"/>
      <c r="JW367" s="16"/>
      <c r="JX367" s="16"/>
      <c r="JY367" s="17"/>
      <c r="KC367" s="24"/>
      <c r="KD367" s="60"/>
      <c r="KE367" s="16"/>
      <c r="KF367" s="16"/>
      <c r="KG367" s="16"/>
      <c r="KH367" s="16"/>
      <c r="KI367" s="16"/>
      <c r="KJ367" s="17"/>
      <c r="KN367" s="24"/>
      <c r="KO367" s="60"/>
      <c r="KP367" s="16"/>
      <c r="KQ367" s="16"/>
      <c r="KR367" s="16"/>
      <c r="KS367" s="16"/>
      <c r="KT367" s="16"/>
      <c r="KU367" s="17"/>
      <c r="KY367" s="24"/>
      <c r="KZ367" s="60"/>
      <c r="LA367" s="16"/>
      <c r="LB367" s="16"/>
      <c r="LC367" s="16"/>
      <c r="LD367" s="16"/>
      <c r="LE367" s="16"/>
      <c r="LF367" s="17"/>
      <c r="LJ367" s="24"/>
      <c r="LK367" s="60"/>
      <c r="LL367" s="16"/>
      <c r="LM367" s="16"/>
      <c r="LN367" s="16"/>
      <c r="LO367" s="16"/>
      <c r="LP367" s="16"/>
      <c r="LQ367" s="17"/>
    </row>
    <row r="368">
      <c r="C368" s="31"/>
      <c r="D368" s="61"/>
      <c r="E368" s="16"/>
      <c r="F368" s="16"/>
      <c r="G368" s="21"/>
      <c r="H368" s="16"/>
      <c r="I368" s="16"/>
      <c r="J368" s="17"/>
      <c r="N368" s="17"/>
      <c r="O368" s="61"/>
      <c r="P368" s="16"/>
      <c r="Q368" s="16"/>
      <c r="R368" s="16"/>
      <c r="S368" s="16"/>
      <c r="T368" s="16"/>
      <c r="U368" s="17"/>
      <c r="Y368" s="24"/>
      <c r="Z368" s="61"/>
      <c r="AA368" s="16"/>
      <c r="AB368" s="16"/>
      <c r="AC368" s="16"/>
      <c r="AD368" s="16"/>
      <c r="AE368" s="16"/>
      <c r="AF368" s="17"/>
      <c r="AJ368" s="24"/>
      <c r="AK368" s="61"/>
      <c r="AL368" s="16"/>
      <c r="AM368" s="16"/>
      <c r="AN368" s="16"/>
      <c r="AO368" s="16"/>
      <c r="AP368" s="16"/>
      <c r="AQ368" s="17"/>
      <c r="AU368" s="24"/>
      <c r="AV368" s="61"/>
      <c r="AW368" s="16"/>
      <c r="AX368" s="16"/>
      <c r="AY368" s="16"/>
      <c r="AZ368" s="16"/>
      <c r="BA368" s="16"/>
      <c r="BB368" s="17"/>
      <c r="BF368" s="24"/>
      <c r="BG368" s="61"/>
      <c r="BH368" s="16"/>
      <c r="BI368" s="16"/>
      <c r="BJ368" s="16"/>
      <c r="BK368" s="16"/>
      <c r="BL368" s="16"/>
      <c r="BM368" s="17"/>
      <c r="BQ368" s="24"/>
      <c r="BR368" s="61"/>
      <c r="BS368" s="16"/>
      <c r="BT368" s="16"/>
      <c r="BU368" s="16"/>
      <c r="BV368" s="16"/>
      <c r="BW368" s="16"/>
      <c r="BX368" s="17"/>
      <c r="CB368" s="24"/>
      <c r="CC368" s="61"/>
      <c r="CD368" s="16"/>
      <c r="CE368" s="16"/>
      <c r="CF368" s="16"/>
      <c r="CG368" s="16"/>
      <c r="CH368" s="16"/>
      <c r="CI368" s="17"/>
      <c r="CM368" s="24"/>
      <c r="CN368" s="61"/>
      <c r="CO368" s="16"/>
      <c r="CP368" s="16"/>
      <c r="CQ368" s="16"/>
      <c r="CR368" s="16"/>
      <c r="CS368" s="16"/>
      <c r="CT368" s="17"/>
      <c r="CX368" s="24"/>
      <c r="CY368" s="60"/>
      <c r="CZ368" s="16"/>
      <c r="DA368" s="16"/>
      <c r="DB368" s="16"/>
      <c r="DC368" s="16"/>
      <c r="DD368" s="16"/>
      <c r="DE368" s="17"/>
      <c r="DI368" s="24"/>
      <c r="DJ368" s="60"/>
      <c r="DK368" s="16"/>
      <c r="DL368" s="16"/>
      <c r="DM368" s="16"/>
      <c r="DN368" s="16"/>
      <c r="DO368" s="16"/>
      <c r="DP368" s="17"/>
      <c r="DT368" s="24"/>
      <c r="DU368" s="60"/>
      <c r="DV368" s="16"/>
      <c r="DW368" s="16"/>
      <c r="DX368" s="16"/>
      <c r="DY368" s="16"/>
      <c r="DZ368" s="16"/>
      <c r="EA368" s="17"/>
      <c r="EE368" s="24"/>
      <c r="EF368" s="60"/>
      <c r="EG368" s="16"/>
      <c r="EH368" s="16"/>
      <c r="EI368" s="16"/>
      <c r="EJ368" s="16"/>
      <c r="EK368" s="16"/>
      <c r="EL368" s="17"/>
      <c r="EP368" s="24"/>
      <c r="EQ368" s="60"/>
      <c r="ER368" s="16"/>
      <c r="ES368" s="16"/>
      <c r="ET368" s="16"/>
      <c r="EU368" s="16"/>
      <c r="EV368" s="16"/>
      <c r="EW368" s="17"/>
      <c r="FA368" s="24"/>
      <c r="FB368" s="60"/>
      <c r="FC368" s="16"/>
      <c r="FD368" s="16"/>
      <c r="FE368" s="16"/>
      <c r="FF368" s="16"/>
      <c r="FG368" s="16"/>
      <c r="FH368" s="17"/>
      <c r="FL368" s="24"/>
      <c r="FM368" s="60"/>
      <c r="FN368" s="16"/>
      <c r="FO368" s="16"/>
      <c r="FP368" s="16"/>
      <c r="FQ368" s="16"/>
      <c r="FR368" s="16"/>
      <c r="FS368" s="17"/>
      <c r="FW368" s="24"/>
      <c r="FX368" s="60"/>
      <c r="FY368" s="16"/>
      <c r="FZ368" s="16"/>
      <c r="GA368" s="16"/>
      <c r="GB368" s="16"/>
      <c r="GC368" s="16"/>
      <c r="GD368" s="17"/>
      <c r="GH368" s="24"/>
      <c r="GI368" s="60"/>
      <c r="GJ368" s="16"/>
      <c r="GK368" s="16"/>
      <c r="GL368" s="16"/>
      <c r="GM368" s="16"/>
      <c r="GN368" s="16"/>
      <c r="GO368" s="17"/>
      <c r="GS368" s="24"/>
      <c r="GT368" s="60"/>
      <c r="GU368" s="16"/>
      <c r="GV368" s="16"/>
      <c r="GW368" s="16"/>
      <c r="GX368" s="16"/>
      <c r="GY368" s="16"/>
      <c r="GZ368" s="17"/>
      <c r="HD368" s="24"/>
      <c r="HE368" s="60"/>
      <c r="HF368" s="16"/>
      <c r="HG368" s="16"/>
      <c r="HH368" s="16"/>
      <c r="HI368" s="16"/>
      <c r="HJ368" s="16"/>
      <c r="HK368" s="17"/>
      <c r="HO368" s="24"/>
      <c r="HP368" s="60"/>
      <c r="HQ368" s="16"/>
      <c r="HR368" s="16"/>
      <c r="HS368" s="16"/>
      <c r="HT368" s="16"/>
      <c r="HU368" s="16"/>
      <c r="HV368" s="17"/>
      <c r="HZ368" s="24"/>
      <c r="IA368" s="60"/>
      <c r="IB368" s="16"/>
      <c r="IC368" s="16"/>
      <c r="ID368" s="16"/>
      <c r="IE368" s="16"/>
      <c r="IF368" s="16"/>
      <c r="IG368" s="17"/>
      <c r="IK368" s="24"/>
      <c r="IL368" s="60"/>
      <c r="IM368" s="16"/>
      <c r="IN368" s="16"/>
      <c r="IO368" s="16"/>
      <c r="IP368" s="16"/>
      <c r="IQ368" s="16"/>
      <c r="IR368" s="17"/>
      <c r="IV368" s="24"/>
      <c r="IW368" s="60"/>
      <c r="IX368" s="16"/>
      <c r="IY368" s="16"/>
      <c r="IZ368" s="16"/>
      <c r="JA368" s="16"/>
      <c r="JB368" s="16"/>
      <c r="JC368" s="17"/>
      <c r="JG368" s="24"/>
      <c r="JH368" s="60"/>
      <c r="JI368" s="16"/>
      <c r="JJ368" s="16"/>
      <c r="JK368" s="16"/>
      <c r="JL368" s="16"/>
      <c r="JM368" s="16"/>
      <c r="JN368" s="17"/>
      <c r="JR368" s="24"/>
      <c r="JS368" s="60"/>
      <c r="JT368" s="16"/>
      <c r="JU368" s="16"/>
      <c r="JV368" s="16"/>
      <c r="JW368" s="16"/>
      <c r="JX368" s="16"/>
      <c r="JY368" s="17"/>
      <c r="KC368" s="24"/>
      <c r="KD368" s="60"/>
      <c r="KE368" s="16"/>
      <c r="KF368" s="16"/>
      <c r="KG368" s="16"/>
      <c r="KH368" s="16"/>
      <c r="KI368" s="16"/>
      <c r="KJ368" s="17"/>
      <c r="KN368" s="24"/>
      <c r="KO368" s="60"/>
      <c r="KP368" s="16"/>
      <c r="KQ368" s="16"/>
      <c r="KR368" s="16"/>
      <c r="KS368" s="16"/>
      <c r="KT368" s="16"/>
      <c r="KU368" s="17"/>
      <c r="KY368" s="24"/>
      <c r="KZ368" s="60"/>
      <c r="LA368" s="16"/>
      <c r="LB368" s="16"/>
      <c r="LC368" s="16"/>
      <c r="LD368" s="16"/>
      <c r="LE368" s="16"/>
      <c r="LF368" s="17"/>
      <c r="LJ368" s="24"/>
      <c r="LK368" s="60"/>
      <c r="LL368" s="16"/>
      <c r="LM368" s="16"/>
      <c r="LN368" s="16"/>
      <c r="LO368" s="16"/>
      <c r="LP368" s="16"/>
      <c r="LQ368" s="17"/>
    </row>
    <row r="369">
      <c r="C369" s="31"/>
      <c r="D369" s="61"/>
      <c r="E369" s="16"/>
      <c r="F369" s="16"/>
      <c r="G369" s="21"/>
      <c r="H369" s="16"/>
      <c r="I369" s="16"/>
      <c r="J369" s="17"/>
      <c r="N369" s="17"/>
      <c r="O369" s="61"/>
      <c r="P369" s="16"/>
      <c r="Q369" s="16"/>
      <c r="R369" s="16"/>
      <c r="S369" s="16"/>
      <c r="T369" s="16"/>
      <c r="U369" s="17"/>
      <c r="Y369" s="24"/>
      <c r="Z369" s="61"/>
      <c r="AA369" s="16"/>
      <c r="AB369" s="16"/>
      <c r="AC369" s="16"/>
      <c r="AD369" s="16"/>
      <c r="AE369" s="16"/>
      <c r="AF369" s="17"/>
      <c r="AJ369" s="24"/>
      <c r="AK369" s="61"/>
      <c r="AL369" s="16"/>
      <c r="AM369" s="16"/>
      <c r="AN369" s="16"/>
      <c r="AO369" s="16"/>
      <c r="AP369" s="16"/>
      <c r="AQ369" s="17"/>
      <c r="AU369" s="24"/>
      <c r="AV369" s="61"/>
      <c r="AW369" s="16"/>
      <c r="AX369" s="16"/>
      <c r="AY369" s="16"/>
      <c r="AZ369" s="16"/>
      <c r="BA369" s="16"/>
      <c r="BB369" s="17"/>
      <c r="BF369" s="24"/>
      <c r="BG369" s="61"/>
      <c r="BH369" s="16"/>
      <c r="BI369" s="16"/>
      <c r="BJ369" s="16"/>
      <c r="BK369" s="16"/>
      <c r="BL369" s="16"/>
      <c r="BM369" s="17"/>
      <c r="BQ369" s="24"/>
      <c r="BR369" s="61"/>
      <c r="BS369" s="16"/>
      <c r="BT369" s="16"/>
      <c r="BU369" s="16"/>
      <c r="BV369" s="16"/>
      <c r="BW369" s="16"/>
      <c r="BX369" s="17"/>
      <c r="CB369" s="24"/>
      <c r="CC369" s="61"/>
      <c r="CD369" s="16"/>
      <c r="CE369" s="16"/>
      <c r="CF369" s="16"/>
      <c r="CG369" s="16"/>
      <c r="CH369" s="16"/>
      <c r="CI369" s="17"/>
      <c r="CM369" s="24"/>
      <c r="CN369" s="61"/>
      <c r="CO369" s="16"/>
      <c r="CP369" s="16"/>
      <c r="CQ369" s="16"/>
      <c r="CR369" s="16"/>
      <c r="CS369" s="16"/>
      <c r="CT369" s="17"/>
      <c r="CX369" s="24"/>
      <c r="CY369" s="60"/>
      <c r="CZ369" s="16"/>
      <c r="DA369" s="16"/>
      <c r="DB369" s="16"/>
      <c r="DC369" s="16"/>
      <c r="DD369" s="16"/>
      <c r="DE369" s="17"/>
      <c r="DI369" s="24"/>
      <c r="DJ369" s="60"/>
      <c r="DK369" s="16"/>
      <c r="DL369" s="16"/>
      <c r="DM369" s="16"/>
      <c r="DN369" s="16"/>
      <c r="DO369" s="16"/>
      <c r="DP369" s="17"/>
      <c r="DT369" s="24"/>
      <c r="DU369" s="60"/>
      <c r="DV369" s="16"/>
      <c r="DW369" s="16"/>
      <c r="DX369" s="16"/>
      <c r="DY369" s="16"/>
      <c r="DZ369" s="16"/>
      <c r="EA369" s="17"/>
      <c r="EE369" s="24"/>
      <c r="EF369" s="60"/>
      <c r="EG369" s="16"/>
      <c r="EH369" s="16"/>
      <c r="EI369" s="16"/>
      <c r="EJ369" s="16"/>
      <c r="EK369" s="16"/>
      <c r="EL369" s="17"/>
      <c r="EP369" s="24"/>
      <c r="EQ369" s="60"/>
      <c r="ER369" s="16"/>
      <c r="ES369" s="16"/>
      <c r="ET369" s="16"/>
      <c r="EU369" s="16"/>
      <c r="EV369" s="16"/>
      <c r="EW369" s="17"/>
      <c r="FA369" s="24"/>
      <c r="FB369" s="60"/>
      <c r="FC369" s="16"/>
      <c r="FD369" s="16"/>
      <c r="FE369" s="16"/>
      <c r="FF369" s="16"/>
      <c r="FG369" s="16"/>
      <c r="FH369" s="17"/>
      <c r="FL369" s="24"/>
      <c r="FM369" s="60"/>
      <c r="FN369" s="16"/>
      <c r="FO369" s="16"/>
      <c r="FP369" s="16"/>
      <c r="FQ369" s="16"/>
      <c r="FR369" s="16"/>
      <c r="FS369" s="17"/>
      <c r="FW369" s="24"/>
      <c r="FX369" s="60"/>
      <c r="FY369" s="16"/>
      <c r="FZ369" s="16"/>
      <c r="GA369" s="16"/>
      <c r="GB369" s="16"/>
      <c r="GC369" s="16"/>
      <c r="GD369" s="17"/>
      <c r="GH369" s="24"/>
      <c r="GI369" s="60"/>
      <c r="GJ369" s="16"/>
      <c r="GK369" s="16"/>
      <c r="GL369" s="16"/>
      <c r="GM369" s="16"/>
      <c r="GN369" s="16"/>
      <c r="GO369" s="17"/>
      <c r="GS369" s="24"/>
      <c r="GT369" s="60"/>
      <c r="GU369" s="16"/>
      <c r="GV369" s="16"/>
      <c r="GW369" s="16"/>
      <c r="GX369" s="16"/>
      <c r="GY369" s="16"/>
      <c r="GZ369" s="17"/>
      <c r="HD369" s="24"/>
      <c r="HE369" s="60"/>
      <c r="HF369" s="16"/>
      <c r="HG369" s="16"/>
      <c r="HH369" s="16"/>
      <c r="HI369" s="16"/>
      <c r="HJ369" s="16"/>
      <c r="HK369" s="17"/>
      <c r="HO369" s="24"/>
      <c r="HP369" s="60"/>
      <c r="HQ369" s="16"/>
      <c r="HR369" s="16"/>
      <c r="HS369" s="16"/>
      <c r="HT369" s="16"/>
      <c r="HU369" s="16"/>
      <c r="HV369" s="17"/>
      <c r="HZ369" s="24"/>
      <c r="IA369" s="60"/>
      <c r="IB369" s="16"/>
      <c r="IC369" s="16"/>
      <c r="ID369" s="16"/>
      <c r="IE369" s="16"/>
      <c r="IF369" s="16"/>
      <c r="IG369" s="17"/>
      <c r="IK369" s="24"/>
      <c r="IL369" s="60"/>
      <c r="IM369" s="16"/>
      <c r="IN369" s="16"/>
      <c r="IO369" s="16"/>
      <c r="IP369" s="16"/>
      <c r="IQ369" s="16"/>
      <c r="IR369" s="17"/>
      <c r="IV369" s="24"/>
      <c r="IW369" s="60"/>
      <c r="IX369" s="16"/>
      <c r="IY369" s="16"/>
      <c r="IZ369" s="16"/>
      <c r="JA369" s="16"/>
      <c r="JB369" s="16"/>
      <c r="JC369" s="17"/>
      <c r="JG369" s="24"/>
      <c r="JH369" s="60"/>
      <c r="JI369" s="16"/>
      <c r="JJ369" s="16"/>
      <c r="JK369" s="16"/>
      <c r="JL369" s="16"/>
      <c r="JM369" s="16"/>
      <c r="JN369" s="17"/>
      <c r="JR369" s="24"/>
      <c r="JS369" s="60"/>
      <c r="JT369" s="16"/>
      <c r="JU369" s="16"/>
      <c r="JV369" s="16"/>
      <c r="JW369" s="16"/>
      <c r="JX369" s="16"/>
      <c r="JY369" s="17"/>
      <c r="KC369" s="24"/>
      <c r="KD369" s="60"/>
      <c r="KE369" s="16"/>
      <c r="KF369" s="16"/>
      <c r="KG369" s="16"/>
      <c r="KH369" s="16"/>
      <c r="KI369" s="16"/>
      <c r="KJ369" s="17"/>
      <c r="KN369" s="24"/>
      <c r="KO369" s="60"/>
      <c r="KP369" s="16"/>
      <c r="KQ369" s="16"/>
      <c r="KR369" s="16"/>
      <c r="KS369" s="16"/>
      <c r="KT369" s="16"/>
      <c r="KU369" s="17"/>
      <c r="KY369" s="24"/>
      <c r="KZ369" s="60"/>
      <c r="LA369" s="16"/>
      <c r="LB369" s="16"/>
      <c r="LC369" s="16"/>
      <c r="LD369" s="16"/>
      <c r="LE369" s="16"/>
      <c r="LF369" s="17"/>
      <c r="LJ369" s="24"/>
      <c r="LK369" s="60"/>
      <c r="LL369" s="16"/>
      <c r="LM369" s="16"/>
      <c r="LN369" s="16"/>
      <c r="LO369" s="16"/>
      <c r="LP369" s="16"/>
      <c r="LQ369" s="17"/>
    </row>
    <row r="370">
      <c r="C370" s="31"/>
      <c r="D370" s="61"/>
      <c r="E370" s="16"/>
      <c r="F370" s="16"/>
      <c r="G370" s="21"/>
      <c r="H370" s="16"/>
      <c r="I370" s="16"/>
      <c r="J370" s="17"/>
      <c r="N370" s="17"/>
      <c r="O370" s="61"/>
      <c r="P370" s="16"/>
      <c r="Q370" s="16"/>
      <c r="R370" s="16"/>
      <c r="S370" s="16"/>
      <c r="T370" s="16"/>
      <c r="U370" s="17"/>
      <c r="Y370" s="24"/>
      <c r="Z370" s="61"/>
      <c r="AA370" s="16"/>
      <c r="AB370" s="16"/>
      <c r="AC370" s="16"/>
      <c r="AD370" s="16"/>
      <c r="AE370" s="16"/>
      <c r="AF370" s="17"/>
      <c r="AJ370" s="24"/>
      <c r="AK370" s="61"/>
      <c r="AL370" s="16"/>
      <c r="AM370" s="16"/>
      <c r="AN370" s="16"/>
      <c r="AO370" s="16"/>
      <c r="AP370" s="16"/>
      <c r="AQ370" s="17"/>
      <c r="AU370" s="24"/>
      <c r="AV370" s="61"/>
      <c r="AW370" s="16"/>
      <c r="AX370" s="16"/>
      <c r="AY370" s="16"/>
      <c r="AZ370" s="16"/>
      <c r="BA370" s="16"/>
      <c r="BB370" s="17"/>
      <c r="BF370" s="24"/>
      <c r="BG370" s="61"/>
      <c r="BH370" s="16"/>
      <c r="BI370" s="16"/>
      <c r="BJ370" s="16"/>
      <c r="BK370" s="16"/>
      <c r="BL370" s="16"/>
      <c r="BM370" s="17"/>
      <c r="BQ370" s="24"/>
      <c r="BR370" s="61"/>
      <c r="BS370" s="16"/>
      <c r="BT370" s="16"/>
      <c r="BU370" s="16"/>
      <c r="BV370" s="16"/>
      <c r="BW370" s="16"/>
      <c r="BX370" s="17"/>
      <c r="CB370" s="24"/>
      <c r="CC370" s="61"/>
      <c r="CD370" s="16"/>
      <c r="CE370" s="16"/>
      <c r="CF370" s="16"/>
      <c r="CG370" s="16"/>
      <c r="CH370" s="16"/>
      <c r="CI370" s="17"/>
      <c r="CM370" s="24"/>
      <c r="CN370" s="61"/>
      <c r="CO370" s="16"/>
      <c r="CP370" s="16"/>
      <c r="CQ370" s="16"/>
      <c r="CR370" s="16"/>
      <c r="CS370" s="16"/>
      <c r="CT370" s="17"/>
      <c r="CX370" s="24"/>
      <c r="CY370" s="60"/>
      <c r="CZ370" s="16"/>
      <c r="DA370" s="16"/>
      <c r="DB370" s="16"/>
      <c r="DC370" s="16"/>
      <c r="DD370" s="16"/>
      <c r="DE370" s="17"/>
      <c r="DI370" s="24"/>
      <c r="DJ370" s="60"/>
      <c r="DK370" s="16"/>
      <c r="DL370" s="16"/>
      <c r="DM370" s="16"/>
      <c r="DN370" s="16"/>
      <c r="DO370" s="16"/>
      <c r="DP370" s="17"/>
      <c r="DT370" s="24"/>
      <c r="DU370" s="60"/>
      <c r="DV370" s="16"/>
      <c r="DW370" s="16"/>
      <c r="DX370" s="16"/>
      <c r="DY370" s="16"/>
      <c r="DZ370" s="16"/>
      <c r="EA370" s="17"/>
      <c r="EE370" s="24"/>
      <c r="EF370" s="60"/>
      <c r="EG370" s="16"/>
      <c r="EH370" s="16"/>
      <c r="EI370" s="16"/>
      <c r="EJ370" s="16"/>
      <c r="EK370" s="16"/>
      <c r="EL370" s="17"/>
      <c r="EP370" s="24"/>
      <c r="EQ370" s="60"/>
      <c r="ER370" s="16"/>
      <c r="ES370" s="16"/>
      <c r="ET370" s="16"/>
      <c r="EU370" s="16"/>
      <c r="EV370" s="16"/>
      <c r="EW370" s="17"/>
      <c r="FA370" s="24"/>
      <c r="FB370" s="60"/>
      <c r="FC370" s="16"/>
      <c r="FD370" s="16"/>
      <c r="FE370" s="16"/>
      <c r="FF370" s="16"/>
      <c r="FG370" s="16"/>
      <c r="FH370" s="17"/>
      <c r="FL370" s="24"/>
      <c r="FM370" s="60"/>
      <c r="FN370" s="16"/>
      <c r="FO370" s="16"/>
      <c r="FP370" s="16"/>
      <c r="FQ370" s="16"/>
      <c r="FR370" s="16"/>
      <c r="FS370" s="17"/>
      <c r="FW370" s="24"/>
      <c r="FX370" s="60"/>
      <c r="FY370" s="16"/>
      <c r="FZ370" s="16"/>
      <c r="GA370" s="16"/>
      <c r="GB370" s="16"/>
      <c r="GC370" s="16"/>
      <c r="GD370" s="17"/>
      <c r="GH370" s="24"/>
      <c r="GI370" s="60"/>
      <c r="GJ370" s="16"/>
      <c r="GK370" s="16"/>
      <c r="GL370" s="16"/>
      <c r="GM370" s="16"/>
      <c r="GN370" s="16"/>
      <c r="GO370" s="17"/>
      <c r="GS370" s="24"/>
      <c r="GT370" s="60"/>
      <c r="GU370" s="16"/>
      <c r="GV370" s="16"/>
      <c r="GW370" s="16"/>
      <c r="GX370" s="16"/>
      <c r="GY370" s="16"/>
      <c r="GZ370" s="17"/>
      <c r="HD370" s="24"/>
      <c r="HE370" s="60"/>
      <c r="HF370" s="16"/>
      <c r="HG370" s="16"/>
      <c r="HH370" s="16"/>
      <c r="HI370" s="16"/>
      <c r="HJ370" s="16"/>
      <c r="HK370" s="17"/>
      <c r="HO370" s="24"/>
      <c r="HP370" s="60"/>
      <c r="HQ370" s="16"/>
      <c r="HR370" s="16"/>
      <c r="HS370" s="16"/>
      <c r="HT370" s="16"/>
      <c r="HU370" s="16"/>
      <c r="HV370" s="17"/>
      <c r="HZ370" s="24"/>
      <c r="IA370" s="60"/>
      <c r="IB370" s="16"/>
      <c r="IC370" s="16"/>
      <c r="ID370" s="16"/>
      <c r="IE370" s="16"/>
      <c r="IF370" s="16"/>
      <c r="IG370" s="17"/>
      <c r="IK370" s="24"/>
      <c r="IL370" s="60"/>
      <c r="IM370" s="16"/>
      <c r="IN370" s="16"/>
      <c r="IO370" s="16"/>
      <c r="IP370" s="16"/>
      <c r="IQ370" s="16"/>
      <c r="IR370" s="17"/>
      <c r="IV370" s="24"/>
      <c r="IW370" s="60"/>
      <c r="IX370" s="16"/>
      <c r="IY370" s="16"/>
      <c r="IZ370" s="16"/>
      <c r="JA370" s="16"/>
      <c r="JB370" s="16"/>
      <c r="JC370" s="17"/>
      <c r="JG370" s="24"/>
      <c r="JH370" s="60"/>
      <c r="JI370" s="16"/>
      <c r="JJ370" s="16"/>
      <c r="JK370" s="16"/>
      <c r="JL370" s="16"/>
      <c r="JM370" s="16"/>
      <c r="JN370" s="17"/>
      <c r="JR370" s="24"/>
      <c r="JS370" s="60"/>
      <c r="JT370" s="16"/>
      <c r="JU370" s="16"/>
      <c r="JV370" s="16"/>
      <c r="JW370" s="16"/>
      <c r="JX370" s="16"/>
      <c r="JY370" s="17"/>
      <c r="KC370" s="24"/>
      <c r="KD370" s="60"/>
      <c r="KE370" s="16"/>
      <c r="KF370" s="16"/>
      <c r="KG370" s="16"/>
      <c r="KH370" s="16"/>
      <c r="KI370" s="16"/>
      <c r="KJ370" s="17"/>
      <c r="KN370" s="24"/>
      <c r="KO370" s="60"/>
      <c r="KP370" s="16"/>
      <c r="KQ370" s="16"/>
      <c r="KR370" s="16"/>
      <c r="KS370" s="16"/>
      <c r="KT370" s="16"/>
      <c r="KU370" s="17"/>
      <c r="KY370" s="24"/>
      <c r="KZ370" s="60"/>
      <c r="LA370" s="16"/>
      <c r="LB370" s="16"/>
      <c r="LC370" s="16"/>
      <c r="LD370" s="16"/>
      <c r="LE370" s="16"/>
      <c r="LF370" s="17"/>
      <c r="LJ370" s="24"/>
      <c r="LK370" s="60"/>
      <c r="LL370" s="16"/>
      <c r="LM370" s="16"/>
      <c r="LN370" s="16"/>
      <c r="LO370" s="16"/>
      <c r="LP370" s="16"/>
      <c r="LQ370" s="17"/>
    </row>
    <row r="371">
      <c r="C371" s="31"/>
      <c r="D371" s="61"/>
      <c r="E371" s="16"/>
      <c r="F371" s="16"/>
      <c r="G371" s="21"/>
      <c r="H371" s="16"/>
      <c r="I371" s="16"/>
      <c r="J371" s="17"/>
      <c r="N371" s="17"/>
      <c r="O371" s="61"/>
      <c r="P371" s="16"/>
      <c r="Q371" s="16"/>
      <c r="R371" s="16"/>
      <c r="S371" s="16"/>
      <c r="T371" s="16"/>
      <c r="U371" s="17"/>
      <c r="Y371" s="24"/>
      <c r="Z371" s="61"/>
      <c r="AA371" s="16"/>
      <c r="AB371" s="16"/>
      <c r="AC371" s="16"/>
      <c r="AD371" s="16"/>
      <c r="AE371" s="16"/>
      <c r="AF371" s="17"/>
      <c r="AJ371" s="24"/>
      <c r="AK371" s="61"/>
      <c r="AL371" s="16"/>
      <c r="AM371" s="16"/>
      <c r="AN371" s="16"/>
      <c r="AO371" s="16"/>
      <c r="AP371" s="16"/>
      <c r="AQ371" s="17"/>
      <c r="AU371" s="24"/>
      <c r="AV371" s="61"/>
      <c r="AW371" s="16"/>
      <c r="AX371" s="16"/>
      <c r="AY371" s="16"/>
      <c r="AZ371" s="16"/>
      <c r="BA371" s="16"/>
      <c r="BB371" s="17"/>
      <c r="BF371" s="24"/>
      <c r="BG371" s="61"/>
      <c r="BH371" s="16"/>
      <c r="BI371" s="16"/>
      <c r="BJ371" s="16"/>
      <c r="BK371" s="16"/>
      <c r="BL371" s="16"/>
      <c r="BM371" s="17"/>
      <c r="BQ371" s="24"/>
      <c r="BR371" s="61"/>
      <c r="BS371" s="16"/>
      <c r="BT371" s="16"/>
      <c r="BU371" s="16"/>
      <c r="BV371" s="16"/>
      <c r="BW371" s="16"/>
      <c r="BX371" s="17"/>
      <c r="CB371" s="24"/>
      <c r="CC371" s="61"/>
      <c r="CD371" s="16"/>
      <c r="CE371" s="16"/>
      <c r="CF371" s="16"/>
      <c r="CG371" s="16"/>
      <c r="CH371" s="16"/>
      <c r="CI371" s="17"/>
      <c r="CM371" s="24"/>
      <c r="CN371" s="61"/>
      <c r="CO371" s="16"/>
      <c r="CP371" s="16"/>
      <c r="CQ371" s="16"/>
      <c r="CR371" s="16"/>
      <c r="CS371" s="16"/>
      <c r="CT371" s="17"/>
      <c r="CX371" s="24"/>
      <c r="CY371" s="60"/>
      <c r="CZ371" s="16"/>
      <c r="DA371" s="16"/>
      <c r="DB371" s="16"/>
      <c r="DC371" s="16"/>
      <c r="DD371" s="16"/>
      <c r="DE371" s="17"/>
      <c r="DI371" s="24"/>
      <c r="DJ371" s="60"/>
      <c r="DK371" s="16"/>
      <c r="DL371" s="16"/>
      <c r="DM371" s="16"/>
      <c r="DN371" s="16"/>
      <c r="DO371" s="16"/>
      <c r="DP371" s="17"/>
      <c r="DT371" s="24"/>
      <c r="DU371" s="60"/>
      <c r="DV371" s="16"/>
      <c r="DW371" s="16"/>
      <c r="DX371" s="16"/>
      <c r="DY371" s="16"/>
      <c r="DZ371" s="16"/>
      <c r="EA371" s="17"/>
      <c r="EE371" s="24"/>
      <c r="EF371" s="60"/>
      <c r="EG371" s="16"/>
      <c r="EH371" s="16"/>
      <c r="EI371" s="16"/>
      <c r="EJ371" s="16"/>
      <c r="EK371" s="16"/>
      <c r="EL371" s="17"/>
      <c r="EP371" s="24"/>
      <c r="EQ371" s="60"/>
      <c r="ER371" s="16"/>
      <c r="ES371" s="16"/>
      <c r="ET371" s="16"/>
      <c r="EU371" s="16"/>
      <c r="EV371" s="16"/>
      <c r="EW371" s="17"/>
      <c r="FA371" s="24"/>
      <c r="FB371" s="60"/>
      <c r="FC371" s="16"/>
      <c r="FD371" s="16"/>
      <c r="FE371" s="16"/>
      <c r="FF371" s="16"/>
      <c r="FG371" s="16"/>
      <c r="FH371" s="17"/>
      <c r="FL371" s="24"/>
      <c r="FM371" s="60"/>
      <c r="FN371" s="16"/>
      <c r="FO371" s="16"/>
      <c r="FP371" s="16"/>
      <c r="FQ371" s="16"/>
      <c r="FR371" s="16"/>
      <c r="FS371" s="17"/>
      <c r="FW371" s="24"/>
      <c r="FX371" s="60"/>
      <c r="FY371" s="16"/>
      <c r="FZ371" s="16"/>
      <c r="GA371" s="16"/>
      <c r="GB371" s="16"/>
      <c r="GC371" s="16"/>
      <c r="GD371" s="17"/>
      <c r="GH371" s="24"/>
      <c r="GI371" s="60"/>
      <c r="GJ371" s="16"/>
      <c r="GK371" s="16"/>
      <c r="GL371" s="16"/>
      <c r="GM371" s="16"/>
      <c r="GN371" s="16"/>
      <c r="GO371" s="17"/>
      <c r="GS371" s="24"/>
      <c r="GT371" s="60"/>
      <c r="GU371" s="16"/>
      <c r="GV371" s="16"/>
      <c r="GW371" s="16"/>
      <c r="GX371" s="16"/>
      <c r="GY371" s="16"/>
      <c r="GZ371" s="17"/>
      <c r="HD371" s="24"/>
      <c r="HE371" s="60"/>
      <c r="HF371" s="16"/>
      <c r="HG371" s="16"/>
      <c r="HH371" s="16"/>
      <c r="HI371" s="16"/>
      <c r="HJ371" s="16"/>
      <c r="HK371" s="17"/>
      <c r="HO371" s="24"/>
      <c r="HP371" s="60"/>
      <c r="HQ371" s="16"/>
      <c r="HR371" s="16"/>
      <c r="HS371" s="16"/>
      <c r="HT371" s="16"/>
      <c r="HU371" s="16"/>
      <c r="HV371" s="17"/>
      <c r="HZ371" s="24"/>
      <c r="IA371" s="60"/>
      <c r="IB371" s="16"/>
      <c r="IC371" s="16"/>
      <c r="ID371" s="16"/>
      <c r="IE371" s="16"/>
      <c r="IF371" s="16"/>
      <c r="IG371" s="17"/>
      <c r="IK371" s="24"/>
      <c r="IL371" s="60"/>
      <c r="IM371" s="16"/>
      <c r="IN371" s="16"/>
      <c r="IO371" s="16"/>
      <c r="IP371" s="16"/>
      <c r="IQ371" s="16"/>
      <c r="IR371" s="17"/>
      <c r="IV371" s="24"/>
      <c r="IW371" s="60"/>
      <c r="IX371" s="16"/>
      <c r="IY371" s="16"/>
      <c r="IZ371" s="16"/>
      <c r="JA371" s="16"/>
      <c r="JB371" s="16"/>
      <c r="JC371" s="17"/>
      <c r="JG371" s="24"/>
      <c r="JH371" s="60"/>
      <c r="JI371" s="16"/>
      <c r="JJ371" s="16"/>
      <c r="JK371" s="16"/>
      <c r="JL371" s="16"/>
      <c r="JM371" s="16"/>
      <c r="JN371" s="17"/>
      <c r="JR371" s="24"/>
      <c r="JS371" s="60"/>
      <c r="JT371" s="16"/>
      <c r="JU371" s="16"/>
      <c r="JV371" s="16"/>
      <c r="JW371" s="16"/>
      <c r="JX371" s="16"/>
      <c r="JY371" s="17"/>
      <c r="KC371" s="24"/>
      <c r="KD371" s="60"/>
      <c r="KE371" s="16"/>
      <c r="KF371" s="16"/>
      <c r="KG371" s="16"/>
      <c r="KH371" s="16"/>
      <c r="KI371" s="16"/>
      <c r="KJ371" s="17"/>
      <c r="KN371" s="24"/>
      <c r="KO371" s="60"/>
      <c r="KP371" s="16"/>
      <c r="KQ371" s="16"/>
      <c r="KR371" s="16"/>
      <c r="KS371" s="16"/>
      <c r="KT371" s="16"/>
      <c r="KU371" s="17"/>
      <c r="KY371" s="24"/>
      <c r="KZ371" s="60"/>
      <c r="LA371" s="16"/>
      <c r="LB371" s="16"/>
      <c r="LC371" s="16"/>
      <c r="LD371" s="16"/>
      <c r="LE371" s="16"/>
      <c r="LF371" s="17"/>
      <c r="LJ371" s="24"/>
      <c r="LK371" s="60"/>
      <c r="LL371" s="16"/>
      <c r="LM371" s="16"/>
      <c r="LN371" s="16"/>
      <c r="LO371" s="16"/>
      <c r="LP371" s="16"/>
      <c r="LQ371" s="17"/>
    </row>
    <row r="372">
      <c r="C372" s="31"/>
      <c r="D372" s="61"/>
      <c r="E372" s="16"/>
      <c r="F372" s="16"/>
      <c r="G372" s="21"/>
      <c r="H372" s="16"/>
      <c r="I372" s="16"/>
      <c r="J372" s="17"/>
      <c r="N372" s="17"/>
      <c r="O372" s="61"/>
      <c r="P372" s="16"/>
      <c r="Q372" s="16"/>
      <c r="R372" s="16"/>
      <c r="S372" s="16"/>
      <c r="T372" s="16"/>
      <c r="U372" s="17"/>
      <c r="Y372" s="24"/>
      <c r="Z372" s="61"/>
      <c r="AA372" s="16"/>
      <c r="AB372" s="16"/>
      <c r="AC372" s="16"/>
      <c r="AD372" s="16"/>
      <c r="AE372" s="16"/>
      <c r="AF372" s="17"/>
      <c r="AJ372" s="24"/>
      <c r="AK372" s="61"/>
      <c r="AL372" s="16"/>
      <c r="AM372" s="16"/>
      <c r="AN372" s="16"/>
      <c r="AO372" s="16"/>
      <c r="AP372" s="16"/>
      <c r="AQ372" s="17"/>
      <c r="AU372" s="24"/>
      <c r="AV372" s="61"/>
      <c r="AW372" s="16"/>
      <c r="AX372" s="16"/>
      <c r="AY372" s="16"/>
      <c r="AZ372" s="16"/>
      <c r="BA372" s="16"/>
      <c r="BB372" s="17"/>
      <c r="BF372" s="24"/>
      <c r="BG372" s="61"/>
      <c r="BH372" s="16"/>
      <c r="BI372" s="16"/>
      <c r="BJ372" s="16"/>
      <c r="BK372" s="16"/>
      <c r="BL372" s="16"/>
      <c r="BM372" s="17"/>
      <c r="BQ372" s="24"/>
      <c r="BR372" s="61"/>
      <c r="BS372" s="16"/>
      <c r="BT372" s="16"/>
      <c r="BU372" s="16"/>
      <c r="BV372" s="16"/>
      <c r="BW372" s="16"/>
      <c r="BX372" s="17"/>
      <c r="CB372" s="24"/>
      <c r="CC372" s="61"/>
      <c r="CD372" s="16"/>
      <c r="CE372" s="16"/>
      <c r="CF372" s="16"/>
      <c r="CG372" s="16"/>
      <c r="CH372" s="16"/>
      <c r="CI372" s="17"/>
      <c r="CM372" s="24"/>
      <c r="CN372" s="61"/>
      <c r="CO372" s="16"/>
      <c r="CP372" s="16"/>
      <c r="CQ372" s="16"/>
      <c r="CR372" s="16"/>
      <c r="CS372" s="16"/>
      <c r="CT372" s="17"/>
      <c r="CX372" s="24"/>
      <c r="CY372" s="60"/>
      <c r="CZ372" s="16"/>
      <c r="DA372" s="16"/>
      <c r="DB372" s="16"/>
      <c r="DC372" s="16"/>
      <c r="DD372" s="16"/>
      <c r="DE372" s="17"/>
      <c r="DI372" s="24"/>
      <c r="DJ372" s="60"/>
      <c r="DK372" s="16"/>
      <c r="DL372" s="16"/>
      <c r="DM372" s="16"/>
      <c r="DN372" s="16"/>
      <c r="DO372" s="16"/>
      <c r="DP372" s="17"/>
      <c r="DT372" s="24"/>
      <c r="DU372" s="60"/>
      <c r="DV372" s="16"/>
      <c r="DW372" s="16"/>
      <c r="DX372" s="16"/>
      <c r="DY372" s="16"/>
      <c r="DZ372" s="16"/>
      <c r="EA372" s="17"/>
      <c r="EE372" s="24"/>
      <c r="EF372" s="60"/>
      <c r="EG372" s="16"/>
      <c r="EH372" s="16"/>
      <c r="EI372" s="16"/>
      <c r="EJ372" s="16"/>
      <c r="EK372" s="16"/>
      <c r="EL372" s="17"/>
      <c r="EP372" s="24"/>
      <c r="EQ372" s="60"/>
      <c r="ER372" s="16"/>
      <c r="ES372" s="16"/>
      <c r="ET372" s="16"/>
      <c r="EU372" s="16"/>
      <c r="EV372" s="16"/>
      <c r="EW372" s="17"/>
      <c r="FA372" s="24"/>
      <c r="FB372" s="60"/>
      <c r="FC372" s="16"/>
      <c r="FD372" s="16"/>
      <c r="FE372" s="16"/>
      <c r="FF372" s="16"/>
      <c r="FG372" s="16"/>
      <c r="FH372" s="17"/>
      <c r="FL372" s="24"/>
      <c r="FM372" s="60"/>
      <c r="FN372" s="16"/>
      <c r="FO372" s="16"/>
      <c r="FP372" s="16"/>
      <c r="FQ372" s="16"/>
      <c r="FR372" s="16"/>
      <c r="FS372" s="17"/>
      <c r="FW372" s="24"/>
      <c r="FX372" s="60"/>
      <c r="FY372" s="16"/>
      <c r="FZ372" s="16"/>
      <c r="GA372" s="16"/>
      <c r="GB372" s="16"/>
      <c r="GC372" s="16"/>
      <c r="GD372" s="17"/>
      <c r="GH372" s="24"/>
      <c r="GI372" s="60"/>
      <c r="GJ372" s="16"/>
      <c r="GK372" s="16"/>
      <c r="GL372" s="16"/>
      <c r="GM372" s="16"/>
      <c r="GN372" s="16"/>
      <c r="GO372" s="17"/>
      <c r="GS372" s="24"/>
      <c r="GT372" s="60"/>
      <c r="GU372" s="16"/>
      <c r="GV372" s="16"/>
      <c r="GW372" s="16"/>
      <c r="GX372" s="16"/>
      <c r="GY372" s="16"/>
      <c r="GZ372" s="17"/>
      <c r="HD372" s="24"/>
      <c r="HE372" s="60"/>
      <c r="HF372" s="16"/>
      <c r="HG372" s="16"/>
      <c r="HH372" s="16"/>
      <c r="HI372" s="16"/>
      <c r="HJ372" s="16"/>
      <c r="HK372" s="17"/>
      <c r="HO372" s="24"/>
      <c r="HP372" s="60"/>
      <c r="HQ372" s="16"/>
      <c r="HR372" s="16"/>
      <c r="HS372" s="16"/>
      <c r="HT372" s="16"/>
      <c r="HU372" s="16"/>
      <c r="HV372" s="17"/>
      <c r="HZ372" s="24"/>
      <c r="IA372" s="60"/>
      <c r="IB372" s="16"/>
      <c r="IC372" s="16"/>
      <c r="ID372" s="16"/>
      <c r="IE372" s="16"/>
      <c r="IF372" s="16"/>
      <c r="IG372" s="17"/>
      <c r="IK372" s="24"/>
      <c r="IL372" s="60"/>
      <c r="IM372" s="16"/>
      <c r="IN372" s="16"/>
      <c r="IO372" s="16"/>
      <c r="IP372" s="16"/>
      <c r="IQ372" s="16"/>
      <c r="IR372" s="17"/>
      <c r="IV372" s="24"/>
      <c r="IW372" s="60"/>
      <c r="IX372" s="16"/>
      <c r="IY372" s="16"/>
      <c r="IZ372" s="16"/>
      <c r="JA372" s="16"/>
      <c r="JB372" s="16"/>
      <c r="JC372" s="17"/>
      <c r="JG372" s="24"/>
      <c r="JH372" s="60"/>
      <c r="JI372" s="16"/>
      <c r="JJ372" s="16"/>
      <c r="JK372" s="16"/>
      <c r="JL372" s="16"/>
      <c r="JM372" s="16"/>
      <c r="JN372" s="17"/>
      <c r="JR372" s="24"/>
      <c r="JS372" s="60"/>
      <c r="JT372" s="16"/>
      <c r="JU372" s="16"/>
      <c r="JV372" s="16"/>
      <c r="JW372" s="16"/>
      <c r="JX372" s="16"/>
      <c r="JY372" s="17"/>
      <c r="KC372" s="24"/>
      <c r="KD372" s="60"/>
      <c r="KE372" s="16"/>
      <c r="KF372" s="16"/>
      <c r="KG372" s="16"/>
      <c r="KH372" s="16"/>
      <c r="KI372" s="16"/>
      <c r="KJ372" s="17"/>
      <c r="KN372" s="24"/>
      <c r="KO372" s="60"/>
      <c r="KP372" s="16"/>
      <c r="KQ372" s="16"/>
      <c r="KR372" s="16"/>
      <c r="KS372" s="16"/>
      <c r="KT372" s="16"/>
      <c r="KU372" s="17"/>
      <c r="KY372" s="24"/>
      <c r="KZ372" s="60"/>
      <c r="LA372" s="16"/>
      <c r="LB372" s="16"/>
      <c r="LC372" s="16"/>
      <c r="LD372" s="16"/>
      <c r="LE372" s="16"/>
      <c r="LF372" s="17"/>
      <c r="LJ372" s="24"/>
      <c r="LK372" s="60"/>
      <c r="LL372" s="16"/>
      <c r="LM372" s="16"/>
      <c r="LN372" s="16"/>
      <c r="LO372" s="16"/>
      <c r="LP372" s="16"/>
      <c r="LQ372" s="17"/>
    </row>
    <row r="373">
      <c r="C373" s="31"/>
      <c r="D373" s="61"/>
      <c r="E373" s="16"/>
      <c r="F373" s="16"/>
      <c r="G373" s="21"/>
      <c r="H373" s="16"/>
      <c r="I373" s="16"/>
      <c r="J373" s="17"/>
      <c r="N373" s="17"/>
      <c r="O373" s="61"/>
      <c r="P373" s="16"/>
      <c r="Q373" s="16"/>
      <c r="R373" s="16"/>
      <c r="S373" s="16"/>
      <c r="T373" s="16"/>
      <c r="U373" s="17"/>
      <c r="Y373" s="24"/>
      <c r="Z373" s="61"/>
      <c r="AA373" s="16"/>
      <c r="AB373" s="16"/>
      <c r="AC373" s="16"/>
      <c r="AD373" s="16"/>
      <c r="AE373" s="16"/>
      <c r="AF373" s="17"/>
      <c r="AJ373" s="24"/>
      <c r="AK373" s="61"/>
      <c r="AL373" s="16"/>
      <c r="AM373" s="16"/>
      <c r="AN373" s="16"/>
      <c r="AO373" s="16"/>
      <c r="AP373" s="16"/>
      <c r="AQ373" s="17"/>
      <c r="AU373" s="24"/>
      <c r="AV373" s="61"/>
      <c r="AW373" s="16"/>
      <c r="AX373" s="16"/>
      <c r="AY373" s="16"/>
      <c r="AZ373" s="16"/>
      <c r="BA373" s="16"/>
      <c r="BB373" s="17"/>
      <c r="BF373" s="24"/>
      <c r="BG373" s="61"/>
      <c r="BH373" s="16"/>
      <c r="BI373" s="16"/>
      <c r="BJ373" s="16"/>
      <c r="BK373" s="16"/>
      <c r="BL373" s="16"/>
      <c r="BM373" s="17"/>
      <c r="BQ373" s="24"/>
      <c r="BR373" s="61"/>
      <c r="BS373" s="16"/>
      <c r="BT373" s="16"/>
      <c r="BU373" s="16"/>
      <c r="BV373" s="16"/>
      <c r="BW373" s="16"/>
      <c r="BX373" s="17"/>
      <c r="CB373" s="24"/>
      <c r="CC373" s="61"/>
      <c r="CD373" s="16"/>
      <c r="CE373" s="16"/>
      <c r="CF373" s="16"/>
      <c r="CG373" s="16"/>
      <c r="CH373" s="16"/>
      <c r="CI373" s="17"/>
      <c r="CM373" s="24"/>
      <c r="CN373" s="61"/>
      <c r="CO373" s="16"/>
      <c r="CP373" s="16"/>
      <c r="CQ373" s="16"/>
      <c r="CR373" s="16"/>
      <c r="CS373" s="16"/>
      <c r="CT373" s="17"/>
      <c r="CX373" s="24"/>
      <c r="CY373" s="60"/>
      <c r="CZ373" s="16"/>
      <c r="DA373" s="16"/>
      <c r="DB373" s="16"/>
      <c r="DC373" s="16"/>
      <c r="DD373" s="16"/>
      <c r="DE373" s="17"/>
      <c r="DI373" s="24"/>
      <c r="DJ373" s="60"/>
      <c r="DK373" s="16"/>
      <c r="DL373" s="16"/>
      <c r="DM373" s="16"/>
      <c r="DN373" s="16"/>
      <c r="DO373" s="16"/>
      <c r="DP373" s="17"/>
      <c r="DT373" s="24"/>
      <c r="DU373" s="60"/>
      <c r="DV373" s="16"/>
      <c r="DW373" s="16"/>
      <c r="DX373" s="16"/>
      <c r="DY373" s="16"/>
      <c r="DZ373" s="16"/>
      <c r="EA373" s="17"/>
      <c r="EE373" s="24"/>
      <c r="EF373" s="60"/>
      <c r="EG373" s="16"/>
      <c r="EH373" s="16"/>
      <c r="EI373" s="16"/>
      <c r="EJ373" s="16"/>
      <c r="EK373" s="16"/>
      <c r="EL373" s="17"/>
      <c r="EP373" s="24"/>
      <c r="EQ373" s="60"/>
      <c r="ER373" s="16"/>
      <c r="ES373" s="16"/>
      <c r="ET373" s="16"/>
      <c r="EU373" s="16"/>
      <c r="EV373" s="16"/>
      <c r="EW373" s="17"/>
      <c r="FA373" s="24"/>
      <c r="FB373" s="60"/>
      <c r="FC373" s="16"/>
      <c r="FD373" s="16"/>
      <c r="FE373" s="16"/>
      <c r="FF373" s="16"/>
      <c r="FG373" s="16"/>
      <c r="FH373" s="17"/>
      <c r="FL373" s="24"/>
      <c r="FM373" s="60"/>
      <c r="FN373" s="16"/>
      <c r="FO373" s="16"/>
      <c r="FP373" s="16"/>
      <c r="FQ373" s="16"/>
      <c r="FR373" s="16"/>
      <c r="FS373" s="17"/>
      <c r="FW373" s="24"/>
      <c r="FX373" s="60"/>
      <c r="FY373" s="16"/>
      <c r="FZ373" s="16"/>
      <c r="GA373" s="16"/>
      <c r="GB373" s="16"/>
      <c r="GC373" s="16"/>
      <c r="GD373" s="17"/>
      <c r="GH373" s="24"/>
      <c r="GI373" s="60"/>
      <c r="GJ373" s="16"/>
      <c r="GK373" s="16"/>
      <c r="GL373" s="16"/>
      <c r="GM373" s="16"/>
      <c r="GN373" s="16"/>
      <c r="GO373" s="17"/>
      <c r="GS373" s="24"/>
      <c r="GT373" s="60"/>
      <c r="GU373" s="16"/>
      <c r="GV373" s="16"/>
      <c r="GW373" s="16"/>
      <c r="GX373" s="16"/>
      <c r="GY373" s="16"/>
      <c r="GZ373" s="17"/>
      <c r="HD373" s="24"/>
      <c r="HE373" s="60"/>
      <c r="HF373" s="16"/>
      <c r="HG373" s="16"/>
      <c r="HH373" s="16"/>
      <c r="HI373" s="16"/>
      <c r="HJ373" s="16"/>
      <c r="HK373" s="17"/>
      <c r="HO373" s="24"/>
      <c r="HP373" s="60"/>
      <c r="HQ373" s="16"/>
      <c r="HR373" s="16"/>
      <c r="HS373" s="16"/>
      <c r="HT373" s="16"/>
      <c r="HU373" s="16"/>
      <c r="HV373" s="17"/>
      <c r="HZ373" s="24"/>
      <c r="IA373" s="60"/>
      <c r="IB373" s="16"/>
      <c r="IC373" s="16"/>
      <c r="ID373" s="16"/>
      <c r="IE373" s="16"/>
      <c r="IF373" s="16"/>
      <c r="IG373" s="17"/>
      <c r="IK373" s="24"/>
      <c r="IL373" s="60"/>
      <c r="IM373" s="16"/>
      <c r="IN373" s="16"/>
      <c r="IO373" s="16"/>
      <c r="IP373" s="16"/>
      <c r="IQ373" s="16"/>
      <c r="IR373" s="17"/>
      <c r="IV373" s="24"/>
      <c r="IW373" s="60"/>
      <c r="IX373" s="16"/>
      <c r="IY373" s="16"/>
      <c r="IZ373" s="16"/>
      <c r="JA373" s="16"/>
      <c r="JB373" s="16"/>
      <c r="JC373" s="17"/>
      <c r="JG373" s="24"/>
      <c r="JH373" s="60"/>
      <c r="JI373" s="16"/>
      <c r="JJ373" s="16"/>
      <c r="JK373" s="16"/>
      <c r="JL373" s="16"/>
      <c r="JM373" s="16"/>
      <c r="JN373" s="17"/>
      <c r="JR373" s="24"/>
      <c r="JS373" s="60"/>
      <c r="JT373" s="16"/>
      <c r="JU373" s="16"/>
      <c r="JV373" s="16"/>
      <c r="JW373" s="16"/>
      <c r="JX373" s="16"/>
      <c r="JY373" s="17"/>
      <c r="KC373" s="24"/>
      <c r="KD373" s="60"/>
      <c r="KE373" s="16"/>
      <c r="KF373" s="16"/>
      <c r="KG373" s="16"/>
      <c r="KH373" s="16"/>
      <c r="KI373" s="16"/>
      <c r="KJ373" s="17"/>
      <c r="KN373" s="24"/>
      <c r="KO373" s="60"/>
      <c r="KP373" s="16"/>
      <c r="KQ373" s="16"/>
      <c r="KR373" s="16"/>
      <c r="KS373" s="16"/>
      <c r="KT373" s="16"/>
      <c r="KU373" s="17"/>
      <c r="KY373" s="24"/>
      <c r="KZ373" s="60"/>
      <c r="LA373" s="16"/>
      <c r="LB373" s="16"/>
      <c r="LC373" s="16"/>
      <c r="LD373" s="16"/>
      <c r="LE373" s="16"/>
      <c r="LF373" s="17"/>
      <c r="LJ373" s="24"/>
      <c r="LK373" s="60"/>
      <c r="LL373" s="16"/>
      <c r="LM373" s="16"/>
      <c r="LN373" s="16"/>
      <c r="LO373" s="16"/>
      <c r="LP373" s="16"/>
      <c r="LQ373" s="17"/>
    </row>
    <row r="374">
      <c r="C374" s="31"/>
      <c r="D374" s="61"/>
      <c r="E374" s="16"/>
      <c r="F374" s="16"/>
      <c r="G374" s="21"/>
      <c r="H374" s="16"/>
      <c r="I374" s="16"/>
      <c r="J374" s="17"/>
      <c r="N374" s="17"/>
      <c r="O374" s="61"/>
      <c r="P374" s="16"/>
      <c r="Q374" s="16"/>
      <c r="R374" s="16"/>
      <c r="S374" s="16"/>
      <c r="T374" s="16"/>
      <c r="U374" s="17"/>
      <c r="Y374" s="24"/>
      <c r="Z374" s="61"/>
      <c r="AA374" s="16"/>
      <c r="AB374" s="16"/>
      <c r="AC374" s="16"/>
      <c r="AD374" s="16"/>
      <c r="AE374" s="16"/>
      <c r="AF374" s="17"/>
      <c r="AJ374" s="24"/>
      <c r="AK374" s="61"/>
      <c r="AL374" s="16"/>
      <c r="AM374" s="16"/>
      <c r="AN374" s="16"/>
      <c r="AO374" s="16"/>
      <c r="AP374" s="16"/>
      <c r="AQ374" s="17"/>
      <c r="AU374" s="24"/>
      <c r="AV374" s="61"/>
      <c r="AW374" s="16"/>
      <c r="AX374" s="16"/>
      <c r="AY374" s="16"/>
      <c r="AZ374" s="16"/>
      <c r="BA374" s="16"/>
      <c r="BB374" s="17"/>
      <c r="BF374" s="24"/>
      <c r="BG374" s="61"/>
      <c r="BH374" s="16"/>
      <c r="BI374" s="16"/>
      <c r="BJ374" s="16"/>
      <c r="BK374" s="16"/>
      <c r="BL374" s="16"/>
      <c r="BM374" s="17"/>
      <c r="BQ374" s="24"/>
      <c r="BR374" s="61"/>
      <c r="BS374" s="16"/>
      <c r="BT374" s="16"/>
      <c r="BU374" s="16"/>
      <c r="BV374" s="16"/>
      <c r="BW374" s="16"/>
      <c r="BX374" s="17"/>
      <c r="CB374" s="24"/>
      <c r="CC374" s="61"/>
      <c r="CD374" s="16"/>
      <c r="CE374" s="16"/>
      <c r="CF374" s="16"/>
      <c r="CG374" s="16"/>
      <c r="CH374" s="16"/>
      <c r="CI374" s="17"/>
      <c r="CM374" s="24"/>
      <c r="CN374" s="61"/>
      <c r="CO374" s="16"/>
      <c r="CP374" s="16"/>
      <c r="CQ374" s="16"/>
      <c r="CR374" s="16"/>
      <c r="CS374" s="16"/>
      <c r="CT374" s="17"/>
      <c r="CX374" s="24"/>
      <c r="CY374" s="60"/>
      <c r="CZ374" s="16"/>
      <c r="DA374" s="16"/>
      <c r="DB374" s="16"/>
      <c r="DC374" s="16"/>
      <c r="DD374" s="16"/>
      <c r="DE374" s="17"/>
      <c r="DI374" s="24"/>
      <c r="DJ374" s="60"/>
      <c r="DK374" s="16"/>
      <c r="DL374" s="16"/>
      <c r="DM374" s="16"/>
      <c r="DN374" s="16"/>
      <c r="DO374" s="16"/>
      <c r="DP374" s="17"/>
      <c r="DT374" s="24"/>
      <c r="DU374" s="60"/>
      <c r="DV374" s="16"/>
      <c r="DW374" s="16"/>
      <c r="DX374" s="16"/>
      <c r="DY374" s="16"/>
      <c r="DZ374" s="16"/>
      <c r="EA374" s="17"/>
      <c r="EE374" s="24"/>
      <c r="EF374" s="60"/>
      <c r="EG374" s="16"/>
      <c r="EH374" s="16"/>
      <c r="EI374" s="16"/>
      <c r="EJ374" s="16"/>
      <c r="EK374" s="16"/>
      <c r="EL374" s="17"/>
      <c r="EP374" s="24"/>
      <c r="EQ374" s="60"/>
      <c r="ER374" s="16"/>
      <c r="ES374" s="16"/>
      <c r="ET374" s="16"/>
      <c r="EU374" s="16"/>
      <c r="EV374" s="16"/>
      <c r="EW374" s="17"/>
      <c r="FA374" s="24"/>
      <c r="FB374" s="60"/>
      <c r="FC374" s="16"/>
      <c r="FD374" s="16"/>
      <c r="FE374" s="16"/>
      <c r="FF374" s="16"/>
      <c r="FG374" s="16"/>
      <c r="FH374" s="17"/>
      <c r="FL374" s="24"/>
      <c r="FM374" s="60"/>
      <c r="FN374" s="16"/>
      <c r="FO374" s="16"/>
      <c r="FP374" s="16"/>
      <c r="FQ374" s="16"/>
      <c r="FR374" s="16"/>
      <c r="FS374" s="17"/>
      <c r="FW374" s="24"/>
      <c r="FX374" s="60"/>
      <c r="FY374" s="16"/>
      <c r="FZ374" s="16"/>
      <c r="GA374" s="16"/>
      <c r="GB374" s="16"/>
      <c r="GC374" s="16"/>
      <c r="GD374" s="17"/>
      <c r="GH374" s="24"/>
      <c r="GI374" s="60"/>
      <c r="GJ374" s="16"/>
      <c r="GK374" s="16"/>
      <c r="GL374" s="16"/>
      <c r="GM374" s="16"/>
      <c r="GN374" s="16"/>
      <c r="GO374" s="17"/>
      <c r="GS374" s="24"/>
      <c r="GT374" s="60"/>
      <c r="GU374" s="16"/>
      <c r="GV374" s="16"/>
      <c r="GW374" s="16"/>
      <c r="GX374" s="16"/>
      <c r="GY374" s="16"/>
      <c r="GZ374" s="17"/>
      <c r="HD374" s="24"/>
      <c r="HE374" s="60"/>
      <c r="HF374" s="16"/>
      <c r="HG374" s="16"/>
      <c r="HH374" s="16"/>
      <c r="HI374" s="16"/>
      <c r="HJ374" s="16"/>
      <c r="HK374" s="17"/>
      <c r="HO374" s="24"/>
      <c r="HP374" s="60"/>
      <c r="HQ374" s="16"/>
      <c r="HR374" s="16"/>
      <c r="HS374" s="16"/>
      <c r="HT374" s="16"/>
      <c r="HU374" s="16"/>
      <c r="HV374" s="17"/>
      <c r="HZ374" s="24"/>
      <c r="IA374" s="60"/>
      <c r="IB374" s="16"/>
      <c r="IC374" s="16"/>
      <c r="ID374" s="16"/>
      <c r="IE374" s="16"/>
      <c r="IF374" s="16"/>
      <c r="IG374" s="17"/>
      <c r="IK374" s="24"/>
      <c r="IL374" s="60"/>
      <c r="IM374" s="16"/>
      <c r="IN374" s="16"/>
      <c r="IO374" s="16"/>
      <c r="IP374" s="16"/>
      <c r="IQ374" s="16"/>
      <c r="IR374" s="17"/>
      <c r="IV374" s="24"/>
      <c r="IW374" s="60"/>
      <c r="IX374" s="16"/>
      <c r="IY374" s="16"/>
      <c r="IZ374" s="16"/>
      <c r="JA374" s="16"/>
      <c r="JB374" s="16"/>
      <c r="JC374" s="17"/>
      <c r="JG374" s="24"/>
      <c r="JH374" s="60"/>
      <c r="JI374" s="16"/>
      <c r="JJ374" s="16"/>
      <c r="JK374" s="16"/>
      <c r="JL374" s="16"/>
      <c r="JM374" s="16"/>
      <c r="JN374" s="17"/>
      <c r="JR374" s="24"/>
      <c r="JS374" s="60"/>
      <c r="JT374" s="16"/>
      <c r="JU374" s="16"/>
      <c r="JV374" s="16"/>
      <c r="JW374" s="16"/>
      <c r="JX374" s="16"/>
      <c r="JY374" s="17"/>
      <c r="KC374" s="24"/>
      <c r="KD374" s="60"/>
      <c r="KE374" s="16"/>
      <c r="KF374" s="16"/>
      <c r="KG374" s="16"/>
      <c r="KH374" s="16"/>
      <c r="KI374" s="16"/>
      <c r="KJ374" s="17"/>
      <c r="KN374" s="24"/>
      <c r="KO374" s="60"/>
      <c r="KP374" s="16"/>
      <c r="KQ374" s="16"/>
      <c r="KR374" s="16"/>
      <c r="KS374" s="16"/>
      <c r="KT374" s="16"/>
      <c r="KU374" s="17"/>
      <c r="KY374" s="24"/>
      <c r="KZ374" s="60"/>
      <c r="LA374" s="16"/>
      <c r="LB374" s="16"/>
      <c r="LC374" s="16"/>
      <c r="LD374" s="16"/>
      <c r="LE374" s="16"/>
      <c r="LF374" s="17"/>
      <c r="LJ374" s="24"/>
      <c r="LK374" s="60"/>
      <c r="LL374" s="16"/>
      <c r="LM374" s="16"/>
      <c r="LN374" s="16"/>
      <c r="LO374" s="16"/>
      <c r="LP374" s="16"/>
      <c r="LQ374" s="17"/>
    </row>
    <row r="375">
      <c r="C375" s="31"/>
      <c r="D375" s="61"/>
      <c r="E375" s="16"/>
      <c r="F375" s="16"/>
      <c r="G375" s="21"/>
      <c r="H375" s="16"/>
      <c r="I375" s="16"/>
      <c r="J375" s="17"/>
      <c r="N375" s="17"/>
      <c r="O375" s="61"/>
      <c r="P375" s="16"/>
      <c r="Q375" s="16"/>
      <c r="R375" s="16"/>
      <c r="S375" s="16"/>
      <c r="T375" s="16"/>
      <c r="U375" s="17"/>
      <c r="Y375" s="24"/>
      <c r="Z375" s="61"/>
      <c r="AA375" s="16"/>
      <c r="AB375" s="16"/>
      <c r="AC375" s="16"/>
      <c r="AD375" s="16"/>
      <c r="AE375" s="16"/>
      <c r="AF375" s="17"/>
      <c r="AJ375" s="24"/>
      <c r="AK375" s="61"/>
      <c r="AL375" s="16"/>
      <c r="AM375" s="16"/>
      <c r="AN375" s="16"/>
      <c r="AO375" s="16"/>
      <c r="AP375" s="16"/>
      <c r="AQ375" s="17"/>
      <c r="AU375" s="24"/>
      <c r="AV375" s="61"/>
      <c r="AW375" s="16"/>
      <c r="AX375" s="16"/>
      <c r="AY375" s="16"/>
      <c r="AZ375" s="16"/>
      <c r="BA375" s="16"/>
      <c r="BB375" s="17"/>
      <c r="BF375" s="24"/>
      <c r="BG375" s="61"/>
      <c r="BH375" s="16"/>
      <c r="BI375" s="16"/>
      <c r="BJ375" s="16"/>
      <c r="BK375" s="16"/>
      <c r="BL375" s="16"/>
      <c r="BM375" s="17"/>
      <c r="BQ375" s="24"/>
      <c r="BR375" s="61"/>
      <c r="BS375" s="16"/>
      <c r="BT375" s="16"/>
      <c r="BU375" s="16"/>
      <c r="BV375" s="16"/>
      <c r="BW375" s="16"/>
      <c r="BX375" s="17"/>
      <c r="CB375" s="24"/>
      <c r="CC375" s="61"/>
      <c r="CD375" s="16"/>
      <c r="CE375" s="16"/>
      <c r="CF375" s="16"/>
      <c r="CG375" s="16"/>
      <c r="CH375" s="16"/>
      <c r="CI375" s="17"/>
      <c r="CM375" s="24"/>
      <c r="CN375" s="61"/>
      <c r="CO375" s="16"/>
      <c r="CP375" s="16"/>
      <c r="CQ375" s="16"/>
      <c r="CR375" s="16"/>
      <c r="CS375" s="16"/>
      <c r="CT375" s="17"/>
      <c r="CX375" s="24"/>
      <c r="CY375" s="60"/>
      <c r="CZ375" s="16"/>
      <c r="DA375" s="16"/>
      <c r="DB375" s="16"/>
      <c r="DC375" s="16"/>
      <c r="DD375" s="16"/>
      <c r="DE375" s="17"/>
      <c r="DI375" s="24"/>
      <c r="DJ375" s="60"/>
      <c r="DK375" s="16"/>
      <c r="DL375" s="16"/>
      <c r="DM375" s="16"/>
      <c r="DN375" s="16"/>
      <c r="DO375" s="16"/>
      <c r="DP375" s="17"/>
      <c r="DT375" s="24"/>
      <c r="DU375" s="60"/>
      <c r="DV375" s="16"/>
      <c r="DW375" s="16"/>
      <c r="DX375" s="16"/>
      <c r="DY375" s="16"/>
      <c r="DZ375" s="16"/>
      <c r="EA375" s="17"/>
      <c r="EE375" s="24"/>
      <c r="EF375" s="60"/>
      <c r="EG375" s="16"/>
      <c r="EH375" s="16"/>
      <c r="EI375" s="16"/>
      <c r="EJ375" s="16"/>
      <c r="EK375" s="16"/>
      <c r="EL375" s="17"/>
      <c r="EP375" s="24"/>
      <c r="EQ375" s="60"/>
      <c r="ER375" s="16"/>
      <c r="ES375" s="16"/>
      <c r="ET375" s="16"/>
      <c r="EU375" s="16"/>
      <c r="EV375" s="16"/>
      <c r="EW375" s="17"/>
      <c r="FA375" s="24"/>
      <c r="FB375" s="60"/>
      <c r="FC375" s="16"/>
      <c r="FD375" s="16"/>
      <c r="FE375" s="16"/>
      <c r="FF375" s="16"/>
      <c r="FG375" s="16"/>
      <c r="FH375" s="17"/>
      <c r="FL375" s="24"/>
      <c r="FM375" s="60"/>
      <c r="FN375" s="16"/>
      <c r="FO375" s="16"/>
      <c r="FP375" s="16"/>
      <c r="FQ375" s="16"/>
      <c r="FR375" s="16"/>
      <c r="FS375" s="17"/>
      <c r="FW375" s="24"/>
      <c r="FX375" s="60"/>
      <c r="FY375" s="16"/>
      <c r="FZ375" s="16"/>
      <c r="GA375" s="16"/>
      <c r="GB375" s="16"/>
      <c r="GC375" s="16"/>
      <c r="GD375" s="17"/>
      <c r="GH375" s="24"/>
      <c r="GI375" s="60"/>
      <c r="GJ375" s="16"/>
      <c r="GK375" s="16"/>
      <c r="GL375" s="16"/>
      <c r="GM375" s="16"/>
      <c r="GN375" s="16"/>
      <c r="GO375" s="17"/>
      <c r="GS375" s="24"/>
      <c r="GT375" s="60"/>
      <c r="GU375" s="16"/>
      <c r="GV375" s="16"/>
      <c r="GW375" s="16"/>
      <c r="GX375" s="16"/>
      <c r="GY375" s="16"/>
      <c r="GZ375" s="17"/>
      <c r="HD375" s="24"/>
      <c r="HE375" s="60"/>
      <c r="HF375" s="16"/>
      <c r="HG375" s="16"/>
      <c r="HH375" s="16"/>
      <c r="HI375" s="16"/>
      <c r="HJ375" s="16"/>
      <c r="HK375" s="17"/>
      <c r="HO375" s="24"/>
      <c r="HP375" s="60"/>
      <c r="HQ375" s="16"/>
      <c r="HR375" s="16"/>
      <c r="HS375" s="16"/>
      <c r="HT375" s="16"/>
      <c r="HU375" s="16"/>
      <c r="HV375" s="17"/>
      <c r="HZ375" s="24"/>
      <c r="IA375" s="60"/>
      <c r="IB375" s="16"/>
      <c r="IC375" s="16"/>
      <c r="ID375" s="16"/>
      <c r="IE375" s="16"/>
      <c r="IF375" s="16"/>
      <c r="IG375" s="17"/>
      <c r="IK375" s="24"/>
      <c r="IL375" s="60"/>
      <c r="IM375" s="16"/>
      <c r="IN375" s="16"/>
      <c r="IO375" s="16"/>
      <c r="IP375" s="16"/>
      <c r="IQ375" s="16"/>
      <c r="IR375" s="17"/>
      <c r="IV375" s="24"/>
      <c r="IW375" s="60"/>
      <c r="IX375" s="16"/>
      <c r="IY375" s="16"/>
      <c r="IZ375" s="16"/>
      <c r="JA375" s="16"/>
      <c r="JB375" s="16"/>
      <c r="JC375" s="17"/>
      <c r="JG375" s="24"/>
      <c r="JH375" s="60"/>
      <c r="JI375" s="16"/>
      <c r="JJ375" s="16"/>
      <c r="JK375" s="16"/>
      <c r="JL375" s="16"/>
      <c r="JM375" s="16"/>
      <c r="JN375" s="17"/>
      <c r="JR375" s="24"/>
      <c r="JS375" s="60"/>
      <c r="JT375" s="16"/>
      <c r="JU375" s="16"/>
      <c r="JV375" s="16"/>
      <c r="JW375" s="16"/>
      <c r="JX375" s="16"/>
      <c r="JY375" s="17"/>
      <c r="KC375" s="24"/>
      <c r="KD375" s="60"/>
      <c r="KE375" s="16"/>
      <c r="KF375" s="16"/>
      <c r="KG375" s="16"/>
      <c r="KH375" s="16"/>
      <c r="KI375" s="16"/>
      <c r="KJ375" s="17"/>
      <c r="KN375" s="24"/>
      <c r="KO375" s="60"/>
      <c r="KP375" s="16"/>
      <c r="KQ375" s="16"/>
      <c r="KR375" s="16"/>
      <c r="KS375" s="16"/>
      <c r="KT375" s="16"/>
      <c r="KU375" s="17"/>
      <c r="KY375" s="24"/>
      <c r="KZ375" s="60"/>
      <c r="LA375" s="16"/>
      <c r="LB375" s="16"/>
      <c r="LC375" s="16"/>
      <c r="LD375" s="16"/>
      <c r="LE375" s="16"/>
      <c r="LF375" s="17"/>
      <c r="LJ375" s="24"/>
      <c r="LK375" s="60"/>
      <c r="LL375" s="16"/>
      <c r="LM375" s="16"/>
      <c r="LN375" s="16"/>
      <c r="LO375" s="16"/>
      <c r="LP375" s="16"/>
      <c r="LQ375" s="17"/>
    </row>
    <row r="376">
      <c r="C376" s="31"/>
      <c r="D376" s="61"/>
      <c r="E376" s="16"/>
      <c r="F376" s="16"/>
      <c r="G376" s="21"/>
      <c r="H376" s="16"/>
      <c r="I376" s="16"/>
      <c r="J376" s="17"/>
      <c r="N376" s="17"/>
      <c r="O376" s="61"/>
      <c r="P376" s="16"/>
      <c r="Q376" s="16"/>
      <c r="R376" s="16"/>
      <c r="S376" s="16"/>
      <c r="T376" s="16"/>
      <c r="U376" s="17"/>
      <c r="Y376" s="24"/>
      <c r="Z376" s="61"/>
      <c r="AA376" s="16"/>
      <c r="AB376" s="16"/>
      <c r="AC376" s="16"/>
      <c r="AD376" s="16"/>
      <c r="AE376" s="16"/>
      <c r="AF376" s="17"/>
      <c r="AJ376" s="24"/>
      <c r="AK376" s="61"/>
      <c r="AL376" s="16"/>
      <c r="AM376" s="16"/>
      <c r="AN376" s="16"/>
      <c r="AO376" s="16"/>
      <c r="AP376" s="16"/>
      <c r="AQ376" s="17"/>
      <c r="AU376" s="24"/>
      <c r="AV376" s="61"/>
      <c r="AW376" s="16"/>
      <c r="AX376" s="16"/>
      <c r="AY376" s="16"/>
      <c r="AZ376" s="16"/>
      <c r="BA376" s="16"/>
      <c r="BB376" s="17"/>
      <c r="BF376" s="24"/>
      <c r="BG376" s="61"/>
      <c r="BH376" s="16"/>
      <c r="BI376" s="16"/>
      <c r="BJ376" s="16"/>
      <c r="BK376" s="16"/>
      <c r="BL376" s="16"/>
      <c r="BM376" s="17"/>
      <c r="BQ376" s="24"/>
      <c r="BR376" s="61"/>
      <c r="BS376" s="16"/>
      <c r="BT376" s="16"/>
      <c r="BU376" s="16"/>
      <c r="BV376" s="16"/>
      <c r="BW376" s="16"/>
      <c r="BX376" s="17"/>
      <c r="CB376" s="24"/>
      <c r="CC376" s="61"/>
      <c r="CD376" s="16"/>
      <c r="CE376" s="16"/>
      <c r="CF376" s="16"/>
      <c r="CG376" s="16"/>
      <c r="CH376" s="16"/>
      <c r="CI376" s="17"/>
      <c r="CM376" s="24"/>
      <c r="CN376" s="61"/>
      <c r="CO376" s="16"/>
      <c r="CP376" s="16"/>
      <c r="CQ376" s="16"/>
      <c r="CR376" s="16"/>
      <c r="CS376" s="16"/>
      <c r="CT376" s="17"/>
      <c r="CX376" s="24"/>
      <c r="CY376" s="60"/>
      <c r="CZ376" s="16"/>
      <c r="DA376" s="16"/>
      <c r="DB376" s="16"/>
      <c r="DC376" s="16"/>
      <c r="DD376" s="16"/>
      <c r="DE376" s="17"/>
      <c r="DI376" s="24"/>
      <c r="DJ376" s="60"/>
      <c r="DK376" s="16"/>
      <c r="DL376" s="16"/>
      <c r="DM376" s="16"/>
      <c r="DN376" s="16"/>
      <c r="DO376" s="16"/>
      <c r="DP376" s="17"/>
      <c r="DT376" s="24"/>
      <c r="DU376" s="60"/>
      <c r="DV376" s="16"/>
      <c r="DW376" s="16"/>
      <c r="DX376" s="16"/>
      <c r="DY376" s="16"/>
      <c r="DZ376" s="16"/>
      <c r="EA376" s="17"/>
      <c r="EE376" s="24"/>
      <c r="EF376" s="60"/>
      <c r="EG376" s="16"/>
      <c r="EH376" s="16"/>
      <c r="EI376" s="16"/>
      <c r="EJ376" s="16"/>
      <c r="EK376" s="16"/>
      <c r="EL376" s="17"/>
      <c r="EP376" s="24"/>
      <c r="EQ376" s="60"/>
      <c r="ER376" s="16"/>
      <c r="ES376" s="16"/>
      <c r="ET376" s="16"/>
      <c r="EU376" s="16"/>
      <c r="EV376" s="16"/>
      <c r="EW376" s="17"/>
      <c r="FA376" s="24"/>
      <c r="FB376" s="60"/>
      <c r="FC376" s="16"/>
      <c r="FD376" s="16"/>
      <c r="FE376" s="16"/>
      <c r="FF376" s="16"/>
      <c r="FG376" s="16"/>
      <c r="FH376" s="17"/>
      <c r="FL376" s="24"/>
      <c r="FM376" s="60"/>
      <c r="FN376" s="16"/>
      <c r="FO376" s="16"/>
      <c r="FP376" s="16"/>
      <c r="FQ376" s="16"/>
      <c r="FR376" s="16"/>
      <c r="FS376" s="17"/>
      <c r="FW376" s="24"/>
      <c r="FX376" s="60"/>
      <c r="FY376" s="16"/>
      <c r="FZ376" s="16"/>
      <c r="GA376" s="16"/>
      <c r="GB376" s="16"/>
      <c r="GC376" s="16"/>
      <c r="GD376" s="17"/>
      <c r="GH376" s="24"/>
      <c r="GI376" s="60"/>
      <c r="GJ376" s="16"/>
      <c r="GK376" s="16"/>
      <c r="GL376" s="16"/>
      <c r="GM376" s="16"/>
      <c r="GN376" s="16"/>
      <c r="GO376" s="17"/>
      <c r="GS376" s="24"/>
      <c r="GT376" s="60"/>
      <c r="GU376" s="16"/>
      <c r="GV376" s="16"/>
      <c r="GW376" s="16"/>
      <c r="GX376" s="16"/>
      <c r="GY376" s="16"/>
      <c r="GZ376" s="17"/>
      <c r="HD376" s="24"/>
      <c r="HE376" s="60"/>
      <c r="HF376" s="16"/>
      <c r="HG376" s="16"/>
      <c r="HH376" s="16"/>
      <c r="HI376" s="16"/>
      <c r="HJ376" s="16"/>
      <c r="HK376" s="17"/>
      <c r="HO376" s="24"/>
      <c r="HP376" s="60"/>
      <c r="HQ376" s="16"/>
      <c r="HR376" s="16"/>
      <c r="HS376" s="16"/>
      <c r="HT376" s="16"/>
      <c r="HU376" s="16"/>
      <c r="HV376" s="17"/>
      <c r="HZ376" s="24"/>
      <c r="IA376" s="60"/>
      <c r="IB376" s="16"/>
      <c r="IC376" s="16"/>
      <c r="ID376" s="16"/>
      <c r="IE376" s="16"/>
      <c r="IF376" s="16"/>
      <c r="IG376" s="17"/>
      <c r="IK376" s="24"/>
      <c r="IL376" s="60"/>
      <c r="IM376" s="16"/>
      <c r="IN376" s="16"/>
      <c r="IO376" s="16"/>
      <c r="IP376" s="16"/>
      <c r="IQ376" s="16"/>
      <c r="IR376" s="17"/>
      <c r="IV376" s="24"/>
      <c r="IW376" s="60"/>
      <c r="IX376" s="16"/>
      <c r="IY376" s="16"/>
      <c r="IZ376" s="16"/>
      <c r="JA376" s="16"/>
      <c r="JB376" s="16"/>
      <c r="JC376" s="17"/>
      <c r="JG376" s="24"/>
      <c r="JH376" s="60"/>
      <c r="JI376" s="16"/>
      <c r="JJ376" s="16"/>
      <c r="JK376" s="16"/>
      <c r="JL376" s="16"/>
      <c r="JM376" s="16"/>
      <c r="JN376" s="17"/>
      <c r="JR376" s="24"/>
      <c r="JS376" s="60"/>
      <c r="JT376" s="16"/>
      <c r="JU376" s="16"/>
      <c r="JV376" s="16"/>
      <c r="JW376" s="16"/>
      <c r="JX376" s="16"/>
      <c r="JY376" s="17"/>
      <c r="KC376" s="24"/>
      <c r="KD376" s="60"/>
      <c r="KE376" s="16"/>
      <c r="KF376" s="16"/>
      <c r="KG376" s="16"/>
      <c r="KH376" s="16"/>
      <c r="KI376" s="16"/>
      <c r="KJ376" s="17"/>
      <c r="KN376" s="24"/>
      <c r="KO376" s="60"/>
      <c r="KP376" s="16"/>
      <c r="KQ376" s="16"/>
      <c r="KR376" s="16"/>
      <c r="KS376" s="16"/>
      <c r="KT376" s="16"/>
      <c r="KU376" s="17"/>
      <c r="KY376" s="24"/>
      <c r="KZ376" s="60"/>
      <c r="LA376" s="16"/>
      <c r="LB376" s="16"/>
      <c r="LC376" s="16"/>
      <c r="LD376" s="16"/>
      <c r="LE376" s="16"/>
      <c r="LF376" s="17"/>
      <c r="LJ376" s="24"/>
      <c r="LK376" s="60"/>
      <c r="LL376" s="16"/>
      <c r="LM376" s="16"/>
      <c r="LN376" s="16"/>
      <c r="LO376" s="16"/>
      <c r="LP376" s="16"/>
      <c r="LQ376" s="17"/>
    </row>
    <row r="377">
      <c r="C377" s="31"/>
      <c r="D377" s="61"/>
      <c r="E377" s="16"/>
      <c r="F377" s="16"/>
      <c r="G377" s="21"/>
      <c r="H377" s="16"/>
      <c r="I377" s="16"/>
      <c r="J377" s="17"/>
      <c r="N377" s="17"/>
      <c r="O377" s="61"/>
      <c r="P377" s="16"/>
      <c r="Q377" s="16"/>
      <c r="R377" s="16"/>
      <c r="S377" s="16"/>
      <c r="T377" s="16"/>
      <c r="U377" s="17"/>
      <c r="Y377" s="24"/>
      <c r="Z377" s="61"/>
      <c r="AA377" s="16"/>
      <c r="AB377" s="16"/>
      <c r="AC377" s="16"/>
      <c r="AD377" s="16"/>
      <c r="AE377" s="16"/>
      <c r="AF377" s="17"/>
      <c r="AJ377" s="24"/>
      <c r="AK377" s="61"/>
      <c r="AL377" s="16"/>
      <c r="AM377" s="16"/>
      <c r="AN377" s="16"/>
      <c r="AO377" s="16"/>
      <c r="AP377" s="16"/>
      <c r="AQ377" s="17"/>
      <c r="AU377" s="24"/>
      <c r="AV377" s="61"/>
      <c r="AW377" s="16"/>
      <c r="AX377" s="16"/>
      <c r="AY377" s="16"/>
      <c r="AZ377" s="16"/>
      <c r="BA377" s="16"/>
      <c r="BB377" s="17"/>
      <c r="BF377" s="24"/>
      <c r="BG377" s="61"/>
      <c r="BH377" s="16"/>
      <c r="BI377" s="16"/>
      <c r="BJ377" s="16"/>
      <c r="BK377" s="16"/>
      <c r="BL377" s="16"/>
      <c r="BM377" s="17"/>
      <c r="BQ377" s="24"/>
      <c r="BR377" s="61"/>
      <c r="BS377" s="16"/>
      <c r="BT377" s="16"/>
      <c r="BU377" s="16"/>
      <c r="BV377" s="16"/>
      <c r="BW377" s="16"/>
      <c r="BX377" s="17"/>
      <c r="CB377" s="24"/>
      <c r="CC377" s="61"/>
      <c r="CD377" s="16"/>
      <c r="CE377" s="16"/>
      <c r="CF377" s="16"/>
      <c r="CG377" s="16"/>
      <c r="CH377" s="16"/>
      <c r="CI377" s="17"/>
      <c r="CM377" s="24"/>
      <c r="CN377" s="61"/>
      <c r="CO377" s="16"/>
      <c r="CP377" s="16"/>
      <c r="CQ377" s="16"/>
      <c r="CR377" s="16"/>
      <c r="CS377" s="16"/>
      <c r="CT377" s="17"/>
      <c r="CX377" s="24"/>
      <c r="CY377" s="60"/>
      <c r="CZ377" s="16"/>
      <c r="DA377" s="16"/>
      <c r="DB377" s="16"/>
      <c r="DC377" s="16"/>
      <c r="DD377" s="16"/>
      <c r="DE377" s="17"/>
      <c r="DI377" s="24"/>
      <c r="DJ377" s="60"/>
      <c r="DK377" s="16"/>
      <c r="DL377" s="16"/>
      <c r="DM377" s="16"/>
      <c r="DN377" s="16"/>
      <c r="DO377" s="16"/>
      <c r="DP377" s="17"/>
      <c r="DT377" s="24"/>
      <c r="DU377" s="60"/>
      <c r="DV377" s="16"/>
      <c r="DW377" s="16"/>
      <c r="DX377" s="16"/>
      <c r="DY377" s="16"/>
      <c r="DZ377" s="16"/>
      <c r="EA377" s="17"/>
      <c r="EE377" s="24"/>
      <c r="EF377" s="60"/>
      <c r="EG377" s="16"/>
      <c r="EH377" s="16"/>
      <c r="EI377" s="16"/>
      <c r="EJ377" s="16"/>
      <c r="EK377" s="16"/>
      <c r="EL377" s="17"/>
      <c r="EP377" s="24"/>
      <c r="EQ377" s="60"/>
      <c r="ER377" s="16"/>
      <c r="ES377" s="16"/>
      <c r="ET377" s="16"/>
      <c r="EU377" s="16"/>
      <c r="EV377" s="16"/>
      <c r="EW377" s="17"/>
      <c r="FA377" s="24"/>
      <c r="FB377" s="60"/>
      <c r="FC377" s="16"/>
      <c r="FD377" s="16"/>
      <c r="FE377" s="16"/>
      <c r="FF377" s="16"/>
      <c r="FG377" s="16"/>
      <c r="FH377" s="17"/>
      <c r="FL377" s="24"/>
      <c r="FM377" s="60"/>
      <c r="FN377" s="16"/>
      <c r="FO377" s="16"/>
      <c r="FP377" s="16"/>
      <c r="FQ377" s="16"/>
      <c r="FR377" s="16"/>
      <c r="FS377" s="17"/>
      <c r="FW377" s="24"/>
      <c r="FX377" s="60"/>
      <c r="FY377" s="16"/>
      <c r="FZ377" s="16"/>
      <c r="GA377" s="16"/>
      <c r="GB377" s="16"/>
      <c r="GC377" s="16"/>
      <c r="GD377" s="17"/>
      <c r="GH377" s="24"/>
      <c r="GI377" s="60"/>
      <c r="GJ377" s="16"/>
      <c r="GK377" s="16"/>
      <c r="GL377" s="16"/>
      <c r="GM377" s="16"/>
      <c r="GN377" s="16"/>
      <c r="GO377" s="17"/>
      <c r="GS377" s="24"/>
      <c r="GT377" s="60"/>
      <c r="GU377" s="16"/>
      <c r="GV377" s="16"/>
      <c r="GW377" s="16"/>
      <c r="GX377" s="16"/>
      <c r="GY377" s="16"/>
      <c r="GZ377" s="17"/>
      <c r="HD377" s="24"/>
      <c r="HE377" s="60"/>
      <c r="HF377" s="16"/>
      <c r="HG377" s="16"/>
      <c r="HH377" s="16"/>
      <c r="HI377" s="16"/>
      <c r="HJ377" s="16"/>
      <c r="HK377" s="17"/>
      <c r="HO377" s="24"/>
      <c r="HP377" s="60"/>
      <c r="HQ377" s="16"/>
      <c r="HR377" s="16"/>
      <c r="HS377" s="16"/>
      <c r="HT377" s="16"/>
      <c r="HU377" s="16"/>
      <c r="HV377" s="17"/>
      <c r="HZ377" s="24"/>
      <c r="IA377" s="60"/>
      <c r="IB377" s="16"/>
      <c r="IC377" s="16"/>
      <c r="ID377" s="16"/>
      <c r="IE377" s="16"/>
      <c r="IF377" s="16"/>
      <c r="IG377" s="17"/>
      <c r="IK377" s="24"/>
      <c r="IL377" s="60"/>
      <c r="IM377" s="16"/>
      <c r="IN377" s="16"/>
      <c r="IO377" s="16"/>
      <c r="IP377" s="16"/>
      <c r="IQ377" s="16"/>
      <c r="IR377" s="17"/>
      <c r="IV377" s="24"/>
      <c r="IW377" s="60"/>
      <c r="IX377" s="16"/>
      <c r="IY377" s="16"/>
      <c r="IZ377" s="16"/>
      <c r="JA377" s="16"/>
      <c r="JB377" s="16"/>
      <c r="JC377" s="17"/>
      <c r="JG377" s="24"/>
      <c r="JH377" s="60"/>
      <c r="JI377" s="16"/>
      <c r="JJ377" s="16"/>
      <c r="JK377" s="16"/>
      <c r="JL377" s="16"/>
      <c r="JM377" s="16"/>
      <c r="JN377" s="17"/>
      <c r="JR377" s="24"/>
      <c r="JS377" s="60"/>
      <c r="JT377" s="16"/>
      <c r="JU377" s="16"/>
      <c r="JV377" s="16"/>
      <c r="JW377" s="16"/>
      <c r="JX377" s="16"/>
      <c r="JY377" s="17"/>
      <c r="KC377" s="24"/>
      <c r="KD377" s="60"/>
      <c r="KE377" s="16"/>
      <c r="KF377" s="16"/>
      <c r="KG377" s="16"/>
      <c r="KH377" s="16"/>
      <c r="KI377" s="16"/>
      <c r="KJ377" s="17"/>
      <c r="KN377" s="24"/>
      <c r="KO377" s="60"/>
      <c r="KP377" s="16"/>
      <c r="KQ377" s="16"/>
      <c r="KR377" s="16"/>
      <c r="KS377" s="16"/>
      <c r="KT377" s="16"/>
      <c r="KU377" s="17"/>
      <c r="KY377" s="24"/>
      <c r="KZ377" s="60"/>
      <c r="LA377" s="16"/>
      <c r="LB377" s="16"/>
      <c r="LC377" s="16"/>
      <c r="LD377" s="16"/>
      <c r="LE377" s="16"/>
      <c r="LF377" s="17"/>
      <c r="LJ377" s="24"/>
      <c r="LK377" s="60"/>
      <c r="LL377" s="16"/>
      <c r="LM377" s="16"/>
      <c r="LN377" s="16"/>
      <c r="LO377" s="16"/>
      <c r="LP377" s="16"/>
      <c r="LQ377" s="17"/>
    </row>
    <row r="378">
      <c r="C378" s="31"/>
      <c r="D378" s="61"/>
      <c r="E378" s="16"/>
      <c r="F378" s="16"/>
      <c r="G378" s="21"/>
      <c r="H378" s="16"/>
      <c r="I378" s="16"/>
      <c r="J378" s="17"/>
      <c r="N378" s="17"/>
      <c r="O378" s="61"/>
      <c r="P378" s="16"/>
      <c r="Q378" s="16"/>
      <c r="R378" s="16"/>
      <c r="S378" s="16"/>
      <c r="T378" s="16"/>
      <c r="U378" s="17"/>
      <c r="Y378" s="24"/>
      <c r="Z378" s="61"/>
      <c r="AA378" s="16"/>
      <c r="AB378" s="16"/>
      <c r="AC378" s="16"/>
      <c r="AD378" s="16"/>
      <c r="AE378" s="16"/>
      <c r="AF378" s="17"/>
      <c r="AJ378" s="24"/>
      <c r="AK378" s="61"/>
      <c r="AL378" s="16"/>
      <c r="AM378" s="16"/>
      <c r="AN378" s="16"/>
      <c r="AO378" s="16"/>
      <c r="AP378" s="16"/>
      <c r="AQ378" s="17"/>
      <c r="AU378" s="24"/>
      <c r="AV378" s="61"/>
      <c r="AW378" s="16"/>
      <c r="AX378" s="16"/>
      <c r="AY378" s="16"/>
      <c r="AZ378" s="16"/>
      <c r="BA378" s="16"/>
      <c r="BB378" s="17"/>
      <c r="BF378" s="24"/>
      <c r="BG378" s="61"/>
      <c r="BH378" s="16"/>
      <c r="BI378" s="16"/>
      <c r="BJ378" s="16"/>
      <c r="BK378" s="16"/>
      <c r="BL378" s="16"/>
      <c r="BM378" s="17"/>
      <c r="BQ378" s="24"/>
      <c r="BR378" s="61"/>
      <c r="BS378" s="16"/>
      <c r="BT378" s="16"/>
      <c r="BU378" s="16"/>
      <c r="BV378" s="16"/>
      <c r="BW378" s="16"/>
      <c r="BX378" s="17"/>
      <c r="CB378" s="24"/>
      <c r="CC378" s="61"/>
      <c r="CD378" s="16"/>
      <c r="CE378" s="16"/>
      <c r="CF378" s="16"/>
      <c r="CG378" s="16"/>
      <c r="CH378" s="16"/>
      <c r="CI378" s="17"/>
      <c r="CM378" s="24"/>
      <c r="CN378" s="61"/>
      <c r="CO378" s="16"/>
      <c r="CP378" s="16"/>
      <c r="CQ378" s="16"/>
      <c r="CR378" s="16"/>
      <c r="CS378" s="16"/>
      <c r="CT378" s="17"/>
      <c r="CX378" s="24"/>
      <c r="CY378" s="60"/>
      <c r="CZ378" s="16"/>
      <c r="DA378" s="16"/>
      <c r="DB378" s="16"/>
      <c r="DC378" s="16"/>
      <c r="DD378" s="16"/>
      <c r="DE378" s="17"/>
      <c r="DI378" s="24"/>
      <c r="DJ378" s="60"/>
      <c r="DK378" s="16"/>
      <c r="DL378" s="16"/>
      <c r="DM378" s="16"/>
      <c r="DN378" s="16"/>
      <c r="DO378" s="16"/>
      <c r="DP378" s="17"/>
      <c r="DT378" s="24"/>
      <c r="DU378" s="60"/>
      <c r="DV378" s="16"/>
      <c r="DW378" s="16"/>
      <c r="DX378" s="16"/>
      <c r="DY378" s="16"/>
      <c r="DZ378" s="16"/>
      <c r="EA378" s="17"/>
      <c r="EE378" s="24"/>
      <c r="EF378" s="60"/>
      <c r="EG378" s="16"/>
      <c r="EH378" s="16"/>
      <c r="EI378" s="16"/>
      <c r="EJ378" s="16"/>
      <c r="EK378" s="16"/>
      <c r="EL378" s="17"/>
      <c r="EP378" s="24"/>
      <c r="EQ378" s="60"/>
      <c r="ER378" s="16"/>
      <c r="ES378" s="16"/>
      <c r="ET378" s="16"/>
      <c r="EU378" s="16"/>
      <c r="EV378" s="16"/>
      <c r="EW378" s="17"/>
      <c r="FA378" s="24"/>
      <c r="FB378" s="60"/>
      <c r="FC378" s="16"/>
      <c r="FD378" s="16"/>
      <c r="FE378" s="16"/>
      <c r="FF378" s="16"/>
      <c r="FG378" s="16"/>
      <c r="FH378" s="17"/>
      <c r="FL378" s="24"/>
      <c r="FM378" s="60"/>
      <c r="FN378" s="16"/>
      <c r="FO378" s="16"/>
      <c r="FP378" s="16"/>
      <c r="FQ378" s="16"/>
      <c r="FR378" s="16"/>
      <c r="FS378" s="17"/>
      <c r="FW378" s="24"/>
      <c r="FX378" s="60"/>
      <c r="FY378" s="16"/>
      <c r="FZ378" s="16"/>
      <c r="GA378" s="16"/>
      <c r="GB378" s="16"/>
      <c r="GC378" s="16"/>
      <c r="GD378" s="17"/>
      <c r="GH378" s="24"/>
      <c r="GI378" s="60"/>
      <c r="GJ378" s="16"/>
      <c r="GK378" s="16"/>
      <c r="GL378" s="16"/>
      <c r="GM378" s="16"/>
      <c r="GN378" s="16"/>
      <c r="GO378" s="17"/>
      <c r="GS378" s="24"/>
      <c r="GT378" s="60"/>
      <c r="GU378" s="16"/>
      <c r="GV378" s="16"/>
      <c r="GW378" s="16"/>
      <c r="GX378" s="16"/>
      <c r="GY378" s="16"/>
      <c r="GZ378" s="17"/>
      <c r="HD378" s="24"/>
      <c r="HE378" s="60"/>
      <c r="HF378" s="16"/>
      <c r="HG378" s="16"/>
      <c r="HH378" s="16"/>
      <c r="HI378" s="16"/>
      <c r="HJ378" s="16"/>
      <c r="HK378" s="17"/>
      <c r="HO378" s="24"/>
      <c r="HP378" s="60"/>
      <c r="HQ378" s="16"/>
      <c r="HR378" s="16"/>
      <c r="HS378" s="16"/>
      <c r="HT378" s="16"/>
      <c r="HU378" s="16"/>
      <c r="HV378" s="17"/>
      <c r="HZ378" s="24"/>
      <c r="IA378" s="60"/>
      <c r="IB378" s="16"/>
      <c r="IC378" s="16"/>
      <c r="ID378" s="16"/>
      <c r="IE378" s="16"/>
      <c r="IF378" s="16"/>
      <c r="IG378" s="17"/>
      <c r="IK378" s="24"/>
      <c r="IL378" s="60"/>
      <c r="IM378" s="16"/>
      <c r="IN378" s="16"/>
      <c r="IO378" s="16"/>
      <c r="IP378" s="16"/>
      <c r="IQ378" s="16"/>
      <c r="IR378" s="17"/>
      <c r="IV378" s="24"/>
      <c r="IW378" s="60"/>
      <c r="IX378" s="16"/>
      <c r="IY378" s="16"/>
      <c r="IZ378" s="16"/>
      <c r="JA378" s="16"/>
      <c r="JB378" s="16"/>
      <c r="JC378" s="17"/>
      <c r="JG378" s="24"/>
      <c r="JH378" s="60"/>
      <c r="JI378" s="16"/>
      <c r="JJ378" s="16"/>
      <c r="JK378" s="16"/>
      <c r="JL378" s="16"/>
      <c r="JM378" s="16"/>
      <c r="JN378" s="17"/>
      <c r="JR378" s="24"/>
      <c r="JS378" s="60"/>
      <c r="JT378" s="16"/>
      <c r="JU378" s="16"/>
      <c r="JV378" s="16"/>
      <c r="JW378" s="16"/>
      <c r="JX378" s="16"/>
      <c r="JY378" s="17"/>
      <c r="KC378" s="24"/>
      <c r="KD378" s="60"/>
      <c r="KE378" s="16"/>
      <c r="KF378" s="16"/>
      <c r="KG378" s="16"/>
      <c r="KH378" s="16"/>
      <c r="KI378" s="16"/>
      <c r="KJ378" s="17"/>
      <c r="KN378" s="24"/>
      <c r="KO378" s="60"/>
      <c r="KP378" s="16"/>
      <c r="KQ378" s="16"/>
      <c r="KR378" s="16"/>
      <c r="KS378" s="16"/>
      <c r="KT378" s="16"/>
      <c r="KU378" s="17"/>
      <c r="KY378" s="24"/>
      <c r="KZ378" s="60"/>
      <c r="LA378" s="16"/>
      <c r="LB378" s="16"/>
      <c r="LC378" s="16"/>
      <c r="LD378" s="16"/>
      <c r="LE378" s="16"/>
      <c r="LF378" s="17"/>
      <c r="LJ378" s="24"/>
      <c r="LK378" s="60"/>
      <c r="LL378" s="16"/>
      <c r="LM378" s="16"/>
      <c r="LN378" s="16"/>
      <c r="LO378" s="16"/>
      <c r="LP378" s="16"/>
      <c r="LQ378" s="17"/>
    </row>
    <row r="379">
      <c r="C379" s="31"/>
      <c r="D379" s="61"/>
      <c r="E379" s="16"/>
      <c r="F379" s="16"/>
      <c r="G379" s="21"/>
      <c r="H379" s="16"/>
      <c r="I379" s="16"/>
      <c r="J379" s="17"/>
      <c r="N379" s="17"/>
      <c r="O379" s="61"/>
      <c r="P379" s="16"/>
      <c r="Q379" s="16"/>
      <c r="R379" s="16"/>
      <c r="S379" s="16"/>
      <c r="T379" s="16"/>
      <c r="U379" s="17"/>
      <c r="Y379" s="24"/>
      <c r="Z379" s="61"/>
      <c r="AA379" s="16"/>
      <c r="AB379" s="16"/>
      <c r="AC379" s="16"/>
      <c r="AD379" s="16"/>
      <c r="AE379" s="16"/>
      <c r="AF379" s="17"/>
      <c r="AJ379" s="24"/>
      <c r="AK379" s="61"/>
      <c r="AL379" s="16"/>
      <c r="AM379" s="16"/>
      <c r="AN379" s="16"/>
      <c r="AO379" s="16"/>
      <c r="AP379" s="16"/>
      <c r="AQ379" s="17"/>
      <c r="AU379" s="24"/>
      <c r="AV379" s="61"/>
      <c r="AW379" s="16"/>
      <c r="AX379" s="16"/>
      <c r="AY379" s="16"/>
      <c r="AZ379" s="16"/>
      <c r="BA379" s="16"/>
      <c r="BB379" s="17"/>
      <c r="BF379" s="24"/>
      <c r="BG379" s="61"/>
      <c r="BH379" s="16"/>
      <c r="BI379" s="16"/>
      <c r="BJ379" s="16"/>
      <c r="BK379" s="16"/>
      <c r="BL379" s="16"/>
      <c r="BM379" s="17"/>
      <c r="BQ379" s="24"/>
      <c r="BR379" s="61"/>
      <c r="BS379" s="16"/>
      <c r="BT379" s="16"/>
      <c r="BU379" s="16"/>
      <c r="BV379" s="16"/>
      <c r="BW379" s="16"/>
      <c r="BX379" s="17"/>
      <c r="CB379" s="24"/>
      <c r="CC379" s="61"/>
      <c r="CD379" s="16"/>
      <c r="CE379" s="16"/>
      <c r="CF379" s="16"/>
      <c r="CG379" s="16"/>
      <c r="CH379" s="16"/>
      <c r="CI379" s="17"/>
      <c r="CM379" s="24"/>
      <c r="CN379" s="61"/>
      <c r="CO379" s="16"/>
      <c r="CP379" s="16"/>
      <c r="CQ379" s="16"/>
      <c r="CR379" s="16"/>
      <c r="CS379" s="16"/>
      <c r="CT379" s="17"/>
      <c r="CX379" s="24"/>
      <c r="CY379" s="60"/>
      <c r="CZ379" s="16"/>
      <c r="DA379" s="16"/>
      <c r="DB379" s="16"/>
      <c r="DC379" s="16"/>
      <c r="DD379" s="16"/>
      <c r="DE379" s="17"/>
      <c r="DI379" s="24"/>
      <c r="DJ379" s="60"/>
      <c r="DK379" s="16"/>
      <c r="DL379" s="16"/>
      <c r="DM379" s="16"/>
      <c r="DN379" s="16"/>
      <c r="DO379" s="16"/>
      <c r="DP379" s="17"/>
      <c r="DT379" s="24"/>
      <c r="DU379" s="60"/>
      <c r="DV379" s="16"/>
      <c r="DW379" s="16"/>
      <c r="DX379" s="16"/>
      <c r="DY379" s="16"/>
      <c r="DZ379" s="16"/>
      <c r="EA379" s="17"/>
      <c r="EE379" s="24"/>
      <c r="EF379" s="60"/>
      <c r="EG379" s="16"/>
      <c r="EH379" s="16"/>
      <c r="EI379" s="16"/>
      <c r="EJ379" s="16"/>
      <c r="EK379" s="16"/>
      <c r="EL379" s="17"/>
      <c r="EP379" s="24"/>
      <c r="EQ379" s="60"/>
      <c r="ER379" s="16"/>
      <c r="ES379" s="16"/>
      <c r="ET379" s="16"/>
      <c r="EU379" s="16"/>
      <c r="EV379" s="16"/>
      <c r="EW379" s="17"/>
      <c r="FA379" s="24"/>
      <c r="FB379" s="60"/>
      <c r="FC379" s="16"/>
      <c r="FD379" s="16"/>
      <c r="FE379" s="16"/>
      <c r="FF379" s="16"/>
      <c r="FG379" s="16"/>
      <c r="FH379" s="17"/>
      <c r="FL379" s="24"/>
      <c r="FM379" s="60"/>
      <c r="FN379" s="16"/>
      <c r="FO379" s="16"/>
      <c r="FP379" s="16"/>
      <c r="FQ379" s="16"/>
      <c r="FR379" s="16"/>
      <c r="FS379" s="17"/>
      <c r="FW379" s="24"/>
      <c r="FX379" s="60"/>
      <c r="FY379" s="16"/>
      <c r="FZ379" s="16"/>
      <c r="GA379" s="16"/>
      <c r="GB379" s="16"/>
      <c r="GC379" s="16"/>
      <c r="GD379" s="17"/>
      <c r="GH379" s="24"/>
      <c r="GI379" s="60"/>
      <c r="GJ379" s="16"/>
      <c r="GK379" s="16"/>
      <c r="GL379" s="16"/>
      <c r="GM379" s="16"/>
      <c r="GN379" s="16"/>
      <c r="GO379" s="17"/>
      <c r="GS379" s="24"/>
      <c r="GT379" s="60"/>
      <c r="GU379" s="16"/>
      <c r="GV379" s="16"/>
      <c r="GW379" s="16"/>
      <c r="GX379" s="16"/>
      <c r="GY379" s="16"/>
      <c r="GZ379" s="17"/>
      <c r="HD379" s="24"/>
      <c r="HE379" s="60"/>
      <c r="HF379" s="16"/>
      <c r="HG379" s="16"/>
      <c r="HH379" s="16"/>
      <c r="HI379" s="16"/>
      <c r="HJ379" s="16"/>
      <c r="HK379" s="17"/>
      <c r="HO379" s="24"/>
      <c r="HP379" s="60"/>
      <c r="HQ379" s="16"/>
      <c r="HR379" s="16"/>
      <c r="HS379" s="16"/>
      <c r="HT379" s="16"/>
      <c r="HU379" s="16"/>
      <c r="HV379" s="17"/>
      <c r="HZ379" s="24"/>
      <c r="IA379" s="60"/>
      <c r="IB379" s="16"/>
      <c r="IC379" s="16"/>
      <c r="ID379" s="16"/>
      <c r="IE379" s="16"/>
      <c r="IF379" s="16"/>
      <c r="IG379" s="17"/>
      <c r="IK379" s="24"/>
      <c r="IL379" s="60"/>
      <c r="IM379" s="16"/>
      <c r="IN379" s="16"/>
      <c r="IO379" s="16"/>
      <c r="IP379" s="16"/>
      <c r="IQ379" s="16"/>
      <c r="IR379" s="17"/>
      <c r="IV379" s="24"/>
      <c r="IW379" s="60"/>
      <c r="IX379" s="16"/>
      <c r="IY379" s="16"/>
      <c r="IZ379" s="16"/>
      <c r="JA379" s="16"/>
      <c r="JB379" s="16"/>
      <c r="JC379" s="17"/>
      <c r="JG379" s="24"/>
      <c r="JH379" s="60"/>
      <c r="JI379" s="16"/>
      <c r="JJ379" s="16"/>
      <c r="JK379" s="16"/>
      <c r="JL379" s="16"/>
      <c r="JM379" s="16"/>
      <c r="JN379" s="17"/>
      <c r="JR379" s="24"/>
      <c r="JS379" s="60"/>
      <c r="JT379" s="16"/>
      <c r="JU379" s="16"/>
      <c r="JV379" s="16"/>
      <c r="JW379" s="16"/>
      <c r="JX379" s="16"/>
      <c r="JY379" s="17"/>
      <c r="KC379" s="24"/>
      <c r="KD379" s="60"/>
      <c r="KE379" s="16"/>
      <c r="KF379" s="16"/>
      <c r="KG379" s="16"/>
      <c r="KH379" s="16"/>
      <c r="KI379" s="16"/>
      <c r="KJ379" s="17"/>
      <c r="KN379" s="24"/>
      <c r="KO379" s="60"/>
      <c r="KP379" s="16"/>
      <c r="KQ379" s="16"/>
      <c r="KR379" s="16"/>
      <c r="KS379" s="16"/>
      <c r="KT379" s="16"/>
      <c r="KU379" s="17"/>
      <c r="KY379" s="24"/>
      <c r="KZ379" s="60"/>
      <c r="LA379" s="16"/>
      <c r="LB379" s="16"/>
      <c r="LC379" s="16"/>
      <c r="LD379" s="16"/>
      <c r="LE379" s="16"/>
      <c r="LF379" s="17"/>
      <c r="LJ379" s="24"/>
      <c r="LK379" s="60"/>
      <c r="LL379" s="16"/>
      <c r="LM379" s="16"/>
      <c r="LN379" s="16"/>
      <c r="LO379" s="16"/>
      <c r="LP379" s="16"/>
      <c r="LQ379" s="17"/>
    </row>
    <row r="380">
      <c r="C380" s="31"/>
      <c r="D380" s="61"/>
      <c r="E380" s="16"/>
      <c r="F380" s="16"/>
      <c r="G380" s="21"/>
      <c r="H380" s="16"/>
      <c r="I380" s="16"/>
      <c r="J380" s="17"/>
      <c r="N380" s="17"/>
      <c r="O380" s="61"/>
      <c r="P380" s="16"/>
      <c r="Q380" s="16"/>
      <c r="R380" s="16"/>
      <c r="S380" s="16"/>
      <c r="T380" s="16"/>
      <c r="U380" s="17"/>
      <c r="Y380" s="24"/>
      <c r="Z380" s="61"/>
      <c r="AA380" s="16"/>
      <c r="AB380" s="16"/>
      <c r="AC380" s="16"/>
      <c r="AD380" s="16"/>
      <c r="AE380" s="16"/>
      <c r="AF380" s="17"/>
      <c r="AJ380" s="24"/>
      <c r="AK380" s="61"/>
      <c r="AL380" s="16"/>
      <c r="AM380" s="16"/>
      <c r="AN380" s="16"/>
      <c r="AO380" s="16"/>
      <c r="AP380" s="16"/>
      <c r="AQ380" s="17"/>
      <c r="AU380" s="24"/>
      <c r="AV380" s="61"/>
      <c r="AW380" s="16"/>
      <c r="AX380" s="16"/>
      <c r="AY380" s="16"/>
      <c r="AZ380" s="16"/>
      <c r="BA380" s="16"/>
      <c r="BB380" s="17"/>
      <c r="BF380" s="24"/>
      <c r="BG380" s="61"/>
      <c r="BH380" s="16"/>
      <c r="BI380" s="16"/>
      <c r="BJ380" s="16"/>
      <c r="BK380" s="16"/>
      <c r="BL380" s="16"/>
      <c r="BM380" s="17"/>
      <c r="BQ380" s="24"/>
      <c r="BR380" s="61"/>
      <c r="BS380" s="16"/>
      <c r="BT380" s="16"/>
      <c r="BU380" s="16"/>
      <c r="BV380" s="16"/>
      <c r="BW380" s="16"/>
      <c r="BX380" s="17"/>
      <c r="CB380" s="24"/>
      <c r="CC380" s="61"/>
      <c r="CD380" s="16"/>
      <c r="CE380" s="16"/>
      <c r="CF380" s="16"/>
      <c r="CG380" s="16"/>
      <c r="CH380" s="16"/>
      <c r="CI380" s="17"/>
      <c r="CM380" s="24"/>
      <c r="CN380" s="61"/>
      <c r="CO380" s="16"/>
      <c r="CP380" s="16"/>
      <c r="CQ380" s="16"/>
      <c r="CR380" s="16"/>
      <c r="CS380" s="16"/>
      <c r="CT380" s="17"/>
      <c r="CX380" s="24"/>
      <c r="CY380" s="60"/>
      <c r="CZ380" s="16"/>
      <c r="DA380" s="16"/>
      <c r="DB380" s="16"/>
      <c r="DC380" s="16"/>
      <c r="DD380" s="16"/>
      <c r="DE380" s="17"/>
      <c r="DI380" s="24"/>
      <c r="DJ380" s="60"/>
      <c r="DK380" s="16"/>
      <c r="DL380" s="16"/>
      <c r="DM380" s="16"/>
      <c r="DN380" s="16"/>
      <c r="DO380" s="16"/>
      <c r="DP380" s="17"/>
      <c r="DT380" s="24"/>
      <c r="DU380" s="60"/>
      <c r="DV380" s="16"/>
      <c r="DW380" s="16"/>
      <c r="DX380" s="16"/>
      <c r="DY380" s="16"/>
      <c r="DZ380" s="16"/>
      <c r="EA380" s="17"/>
      <c r="EE380" s="24"/>
      <c r="EF380" s="60"/>
      <c r="EG380" s="16"/>
      <c r="EH380" s="16"/>
      <c r="EI380" s="16"/>
      <c r="EJ380" s="16"/>
      <c r="EK380" s="16"/>
      <c r="EL380" s="17"/>
      <c r="EP380" s="24"/>
      <c r="EQ380" s="60"/>
      <c r="ER380" s="16"/>
      <c r="ES380" s="16"/>
      <c r="ET380" s="16"/>
      <c r="EU380" s="16"/>
      <c r="EV380" s="16"/>
      <c r="EW380" s="17"/>
      <c r="FA380" s="24"/>
      <c r="FB380" s="60"/>
      <c r="FC380" s="16"/>
      <c r="FD380" s="16"/>
      <c r="FE380" s="16"/>
      <c r="FF380" s="16"/>
      <c r="FG380" s="16"/>
      <c r="FH380" s="17"/>
      <c r="FL380" s="24"/>
      <c r="FM380" s="60"/>
      <c r="FN380" s="16"/>
      <c r="FO380" s="16"/>
      <c r="FP380" s="16"/>
      <c r="FQ380" s="16"/>
      <c r="FR380" s="16"/>
      <c r="FS380" s="17"/>
      <c r="FW380" s="24"/>
      <c r="FX380" s="60"/>
      <c r="FY380" s="16"/>
      <c r="FZ380" s="16"/>
      <c r="GA380" s="16"/>
      <c r="GB380" s="16"/>
      <c r="GC380" s="16"/>
      <c r="GD380" s="17"/>
      <c r="GH380" s="24"/>
      <c r="GI380" s="60"/>
      <c r="GJ380" s="16"/>
      <c r="GK380" s="16"/>
      <c r="GL380" s="16"/>
      <c r="GM380" s="16"/>
      <c r="GN380" s="16"/>
      <c r="GO380" s="17"/>
      <c r="GS380" s="24"/>
      <c r="GT380" s="60"/>
      <c r="GU380" s="16"/>
      <c r="GV380" s="16"/>
      <c r="GW380" s="16"/>
      <c r="GX380" s="16"/>
      <c r="GY380" s="16"/>
      <c r="GZ380" s="17"/>
      <c r="HD380" s="24"/>
      <c r="HE380" s="60"/>
      <c r="HF380" s="16"/>
      <c r="HG380" s="16"/>
      <c r="HH380" s="16"/>
      <c r="HI380" s="16"/>
      <c r="HJ380" s="16"/>
      <c r="HK380" s="17"/>
      <c r="HO380" s="24"/>
      <c r="HP380" s="60"/>
      <c r="HQ380" s="16"/>
      <c r="HR380" s="16"/>
      <c r="HS380" s="16"/>
      <c r="HT380" s="16"/>
      <c r="HU380" s="16"/>
      <c r="HV380" s="17"/>
      <c r="HZ380" s="24"/>
      <c r="IA380" s="60"/>
      <c r="IB380" s="16"/>
      <c r="IC380" s="16"/>
      <c r="ID380" s="16"/>
      <c r="IE380" s="16"/>
      <c r="IF380" s="16"/>
      <c r="IG380" s="17"/>
      <c r="IK380" s="24"/>
      <c r="IL380" s="60"/>
      <c r="IM380" s="16"/>
      <c r="IN380" s="16"/>
      <c r="IO380" s="16"/>
      <c r="IP380" s="16"/>
      <c r="IQ380" s="16"/>
      <c r="IR380" s="17"/>
      <c r="IV380" s="24"/>
      <c r="IW380" s="60"/>
      <c r="IX380" s="16"/>
      <c r="IY380" s="16"/>
      <c r="IZ380" s="16"/>
      <c r="JA380" s="16"/>
      <c r="JB380" s="16"/>
      <c r="JC380" s="17"/>
      <c r="JG380" s="24"/>
      <c r="JH380" s="60"/>
      <c r="JI380" s="16"/>
      <c r="JJ380" s="16"/>
      <c r="JK380" s="16"/>
      <c r="JL380" s="16"/>
      <c r="JM380" s="16"/>
      <c r="JN380" s="17"/>
      <c r="JR380" s="24"/>
      <c r="JS380" s="60"/>
      <c r="JT380" s="16"/>
      <c r="JU380" s="16"/>
      <c r="JV380" s="16"/>
      <c r="JW380" s="16"/>
      <c r="JX380" s="16"/>
      <c r="JY380" s="17"/>
      <c r="KC380" s="24"/>
      <c r="KD380" s="60"/>
      <c r="KE380" s="16"/>
      <c r="KF380" s="16"/>
      <c r="KG380" s="16"/>
      <c r="KH380" s="16"/>
      <c r="KI380" s="16"/>
      <c r="KJ380" s="17"/>
      <c r="KN380" s="24"/>
      <c r="KO380" s="60"/>
      <c r="KP380" s="16"/>
      <c r="KQ380" s="16"/>
      <c r="KR380" s="16"/>
      <c r="KS380" s="16"/>
      <c r="KT380" s="16"/>
      <c r="KU380" s="17"/>
      <c r="KY380" s="24"/>
      <c r="KZ380" s="60"/>
      <c r="LA380" s="16"/>
      <c r="LB380" s="16"/>
      <c r="LC380" s="16"/>
      <c r="LD380" s="16"/>
      <c r="LE380" s="16"/>
      <c r="LF380" s="17"/>
      <c r="LJ380" s="24"/>
      <c r="LK380" s="60"/>
      <c r="LL380" s="16"/>
      <c r="LM380" s="16"/>
      <c r="LN380" s="16"/>
      <c r="LO380" s="16"/>
      <c r="LP380" s="16"/>
      <c r="LQ380" s="17"/>
    </row>
    <row r="381">
      <c r="C381" s="31"/>
      <c r="D381" s="61"/>
      <c r="E381" s="16"/>
      <c r="F381" s="16"/>
      <c r="G381" s="21"/>
      <c r="H381" s="16"/>
      <c r="I381" s="16"/>
      <c r="J381" s="17"/>
      <c r="N381" s="17"/>
      <c r="O381" s="61"/>
      <c r="P381" s="16"/>
      <c r="Q381" s="16"/>
      <c r="R381" s="16"/>
      <c r="S381" s="16"/>
      <c r="T381" s="16"/>
      <c r="U381" s="17"/>
      <c r="Y381" s="24"/>
      <c r="Z381" s="61"/>
      <c r="AA381" s="16"/>
      <c r="AB381" s="16"/>
      <c r="AC381" s="16"/>
      <c r="AD381" s="16"/>
      <c r="AE381" s="16"/>
      <c r="AF381" s="17"/>
      <c r="AJ381" s="24"/>
      <c r="AK381" s="61"/>
      <c r="AL381" s="16"/>
      <c r="AM381" s="16"/>
      <c r="AN381" s="16"/>
      <c r="AO381" s="16"/>
      <c r="AP381" s="16"/>
      <c r="AQ381" s="17"/>
      <c r="AU381" s="24"/>
      <c r="AV381" s="61"/>
      <c r="AW381" s="16"/>
      <c r="AX381" s="16"/>
      <c r="AY381" s="16"/>
      <c r="AZ381" s="16"/>
      <c r="BA381" s="16"/>
      <c r="BB381" s="17"/>
      <c r="BF381" s="24"/>
      <c r="BG381" s="61"/>
      <c r="BH381" s="16"/>
      <c r="BI381" s="16"/>
      <c r="BJ381" s="16"/>
      <c r="BK381" s="16"/>
      <c r="BL381" s="16"/>
      <c r="BM381" s="17"/>
      <c r="BQ381" s="24"/>
      <c r="BR381" s="61"/>
      <c r="BS381" s="16"/>
      <c r="BT381" s="16"/>
      <c r="BU381" s="16"/>
      <c r="BV381" s="16"/>
      <c r="BW381" s="16"/>
      <c r="BX381" s="17"/>
      <c r="CB381" s="24"/>
      <c r="CC381" s="61"/>
      <c r="CD381" s="16"/>
      <c r="CE381" s="16"/>
      <c r="CF381" s="16"/>
      <c r="CG381" s="16"/>
      <c r="CH381" s="16"/>
      <c r="CI381" s="17"/>
      <c r="CM381" s="24"/>
      <c r="CN381" s="61"/>
      <c r="CO381" s="16"/>
      <c r="CP381" s="16"/>
      <c r="CQ381" s="16"/>
      <c r="CR381" s="16"/>
      <c r="CS381" s="16"/>
      <c r="CT381" s="17"/>
      <c r="CX381" s="24"/>
      <c r="CY381" s="60"/>
      <c r="CZ381" s="16"/>
      <c r="DA381" s="16"/>
      <c r="DB381" s="16"/>
      <c r="DC381" s="16"/>
      <c r="DD381" s="16"/>
      <c r="DE381" s="17"/>
      <c r="DI381" s="24"/>
      <c r="DJ381" s="60"/>
      <c r="DK381" s="16"/>
      <c r="DL381" s="16"/>
      <c r="DM381" s="16"/>
      <c r="DN381" s="16"/>
      <c r="DO381" s="16"/>
      <c r="DP381" s="17"/>
      <c r="DT381" s="24"/>
      <c r="DU381" s="60"/>
      <c r="DV381" s="16"/>
      <c r="DW381" s="16"/>
      <c r="DX381" s="16"/>
      <c r="DY381" s="16"/>
      <c r="DZ381" s="16"/>
      <c r="EA381" s="17"/>
      <c r="EE381" s="24"/>
      <c r="EF381" s="60"/>
      <c r="EG381" s="16"/>
      <c r="EH381" s="16"/>
      <c r="EI381" s="16"/>
      <c r="EJ381" s="16"/>
      <c r="EK381" s="16"/>
      <c r="EL381" s="17"/>
      <c r="EP381" s="24"/>
      <c r="EQ381" s="60"/>
      <c r="ER381" s="16"/>
      <c r="ES381" s="16"/>
      <c r="ET381" s="16"/>
      <c r="EU381" s="16"/>
      <c r="EV381" s="16"/>
      <c r="EW381" s="17"/>
      <c r="FA381" s="24"/>
      <c r="FB381" s="60"/>
      <c r="FC381" s="16"/>
      <c r="FD381" s="16"/>
      <c r="FE381" s="16"/>
      <c r="FF381" s="16"/>
      <c r="FG381" s="16"/>
      <c r="FH381" s="17"/>
      <c r="FL381" s="24"/>
      <c r="FM381" s="60"/>
      <c r="FN381" s="16"/>
      <c r="FO381" s="16"/>
      <c r="FP381" s="16"/>
      <c r="FQ381" s="16"/>
      <c r="FR381" s="16"/>
      <c r="FS381" s="17"/>
      <c r="FW381" s="24"/>
      <c r="FX381" s="60"/>
      <c r="FY381" s="16"/>
      <c r="FZ381" s="16"/>
      <c r="GA381" s="16"/>
      <c r="GB381" s="16"/>
      <c r="GC381" s="16"/>
      <c r="GD381" s="17"/>
      <c r="GH381" s="24"/>
      <c r="GI381" s="60"/>
      <c r="GJ381" s="16"/>
      <c r="GK381" s="16"/>
      <c r="GL381" s="16"/>
      <c r="GM381" s="16"/>
      <c r="GN381" s="16"/>
      <c r="GO381" s="17"/>
      <c r="GS381" s="24"/>
      <c r="GT381" s="60"/>
      <c r="GU381" s="16"/>
      <c r="GV381" s="16"/>
      <c r="GW381" s="16"/>
      <c r="GX381" s="16"/>
      <c r="GY381" s="16"/>
      <c r="GZ381" s="17"/>
      <c r="HD381" s="24"/>
      <c r="HE381" s="60"/>
      <c r="HF381" s="16"/>
      <c r="HG381" s="16"/>
      <c r="HH381" s="16"/>
      <c r="HI381" s="16"/>
      <c r="HJ381" s="16"/>
      <c r="HK381" s="17"/>
      <c r="HO381" s="24"/>
      <c r="HP381" s="60"/>
      <c r="HQ381" s="16"/>
      <c r="HR381" s="16"/>
      <c r="HS381" s="16"/>
      <c r="HT381" s="16"/>
      <c r="HU381" s="16"/>
      <c r="HV381" s="17"/>
      <c r="HZ381" s="24"/>
      <c r="IA381" s="60"/>
      <c r="IB381" s="16"/>
      <c r="IC381" s="16"/>
      <c r="ID381" s="16"/>
      <c r="IE381" s="16"/>
      <c r="IF381" s="16"/>
      <c r="IG381" s="17"/>
      <c r="IK381" s="24"/>
      <c r="IL381" s="60"/>
      <c r="IM381" s="16"/>
      <c r="IN381" s="16"/>
      <c r="IO381" s="16"/>
      <c r="IP381" s="16"/>
      <c r="IQ381" s="16"/>
      <c r="IR381" s="17"/>
      <c r="IV381" s="24"/>
      <c r="IW381" s="60"/>
      <c r="IX381" s="16"/>
      <c r="IY381" s="16"/>
      <c r="IZ381" s="16"/>
      <c r="JA381" s="16"/>
      <c r="JB381" s="16"/>
      <c r="JC381" s="17"/>
      <c r="JG381" s="24"/>
      <c r="JH381" s="60"/>
      <c r="JI381" s="16"/>
      <c r="JJ381" s="16"/>
      <c r="JK381" s="16"/>
      <c r="JL381" s="16"/>
      <c r="JM381" s="16"/>
      <c r="JN381" s="17"/>
      <c r="JR381" s="24"/>
      <c r="JS381" s="60"/>
      <c r="JT381" s="16"/>
      <c r="JU381" s="16"/>
      <c r="JV381" s="16"/>
      <c r="JW381" s="16"/>
      <c r="JX381" s="16"/>
      <c r="JY381" s="17"/>
      <c r="KC381" s="24"/>
      <c r="KD381" s="60"/>
      <c r="KE381" s="16"/>
      <c r="KF381" s="16"/>
      <c r="KG381" s="16"/>
      <c r="KH381" s="16"/>
      <c r="KI381" s="16"/>
      <c r="KJ381" s="17"/>
      <c r="KN381" s="24"/>
      <c r="KO381" s="60"/>
      <c r="KP381" s="16"/>
      <c r="KQ381" s="16"/>
      <c r="KR381" s="16"/>
      <c r="KS381" s="16"/>
      <c r="KT381" s="16"/>
      <c r="KU381" s="17"/>
      <c r="KY381" s="24"/>
      <c r="KZ381" s="60"/>
      <c r="LA381" s="16"/>
      <c r="LB381" s="16"/>
      <c r="LC381" s="16"/>
      <c r="LD381" s="16"/>
      <c r="LE381" s="16"/>
      <c r="LF381" s="17"/>
      <c r="LJ381" s="24"/>
      <c r="LK381" s="60"/>
      <c r="LL381" s="16"/>
      <c r="LM381" s="16"/>
      <c r="LN381" s="16"/>
      <c r="LO381" s="16"/>
      <c r="LP381" s="16"/>
      <c r="LQ381" s="17"/>
    </row>
    <row r="382">
      <c r="C382" s="31"/>
      <c r="D382" s="61"/>
      <c r="E382" s="16"/>
      <c r="F382" s="16"/>
      <c r="G382" s="21"/>
      <c r="H382" s="16"/>
      <c r="I382" s="16"/>
      <c r="J382" s="17"/>
      <c r="N382" s="17"/>
      <c r="O382" s="61"/>
      <c r="P382" s="16"/>
      <c r="Q382" s="16"/>
      <c r="R382" s="16"/>
      <c r="S382" s="16"/>
      <c r="T382" s="16"/>
      <c r="U382" s="17"/>
      <c r="Y382" s="24"/>
      <c r="Z382" s="61"/>
      <c r="AA382" s="16"/>
      <c r="AB382" s="16"/>
      <c r="AC382" s="16"/>
      <c r="AD382" s="16"/>
      <c r="AE382" s="16"/>
      <c r="AF382" s="17"/>
      <c r="AJ382" s="24"/>
      <c r="AK382" s="61"/>
      <c r="AL382" s="16"/>
      <c r="AM382" s="16"/>
      <c r="AN382" s="16"/>
      <c r="AO382" s="16"/>
      <c r="AP382" s="16"/>
      <c r="AQ382" s="17"/>
      <c r="AU382" s="24"/>
      <c r="AV382" s="61"/>
      <c r="AW382" s="16"/>
      <c r="AX382" s="16"/>
      <c r="AY382" s="16"/>
      <c r="AZ382" s="16"/>
      <c r="BA382" s="16"/>
      <c r="BB382" s="17"/>
      <c r="BF382" s="24"/>
      <c r="BG382" s="61"/>
      <c r="BH382" s="16"/>
      <c r="BI382" s="16"/>
      <c r="BJ382" s="16"/>
      <c r="BK382" s="16"/>
      <c r="BL382" s="16"/>
      <c r="BM382" s="17"/>
      <c r="BQ382" s="24"/>
      <c r="BR382" s="61"/>
      <c r="BS382" s="16"/>
      <c r="BT382" s="16"/>
      <c r="BU382" s="16"/>
      <c r="BV382" s="16"/>
      <c r="BW382" s="16"/>
      <c r="BX382" s="17"/>
      <c r="CB382" s="24"/>
      <c r="CC382" s="61"/>
      <c r="CD382" s="16"/>
      <c r="CE382" s="16"/>
      <c r="CF382" s="16"/>
      <c r="CG382" s="16"/>
      <c r="CH382" s="16"/>
      <c r="CI382" s="17"/>
      <c r="CM382" s="24"/>
      <c r="CN382" s="61"/>
      <c r="CO382" s="16"/>
      <c r="CP382" s="16"/>
      <c r="CQ382" s="16"/>
      <c r="CR382" s="16"/>
      <c r="CS382" s="16"/>
      <c r="CT382" s="17"/>
      <c r="CX382" s="24"/>
      <c r="CY382" s="60"/>
      <c r="CZ382" s="16"/>
      <c r="DA382" s="16"/>
      <c r="DB382" s="16"/>
      <c r="DC382" s="16"/>
      <c r="DD382" s="16"/>
      <c r="DE382" s="17"/>
      <c r="DI382" s="24"/>
      <c r="DJ382" s="60"/>
      <c r="DK382" s="16"/>
      <c r="DL382" s="16"/>
      <c r="DM382" s="16"/>
      <c r="DN382" s="16"/>
      <c r="DO382" s="16"/>
      <c r="DP382" s="17"/>
      <c r="DT382" s="24"/>
      <c r="DU382" s="60"/>
      <c r="DV382" s="16"/>
      <c r="DW382" s="16"/>
      <c r="DX382" s="16"/>
      <c r="DY382" s="16"/>
      <c r="DZ382" s="16"/>
      <c r="EA382" s="17"/>
      <c r="EE382" s="24"/>
      <c r="EF382" s="60"/>
      <c r="EG382" s="16"/>
      <c r="EH382" s="16"/>
      <c r="EI382" s="16"/>
      <c r="EJ382" s="16"/>
      <c r="EK382" s="16"/>
      <c r="EL382" s="17"/>
      <c r="EP382" s="24"/>
      <c r="EQ382" s="60"/>
      <c r="ER382" s="16"/>
      <c r="ES382" s="16"/>
      <c r="ET382" s="16"/>
      <c r="EU382" s="16"/>
      <c r="EV382" s="16"/>
      <c r="EW382" s="17"/>
      <c r="FA382" s="24"/>
      <c r="FB382" s="60"/>
      <c r="FC382" s="16"/>
      <c r="FD382" s="16"/>
      <c r="FE382" s="16"/>
      <c r="FF382" s="16"/>
      <c r="FG382" s="16"/>
      <c r="FH382" s="17"/>
      <c r="FL382" s="24"/>
      <c r="FM382" s="60"/>
      <c r="FN382" s="16"/>
      <c r="FO382" s="16"/>
      <c r="FP382" s="16"/>
      <c r="FQ382" s="16"/>
      <c r="FR382" s="16"/>
      <c r="FS382" s="17"/>
      <c r="FW382" s="24"/>
      <c r="FX382" s="60"/>
      <c r="FY382" s="16"/>
      <c r="FZ382" s="16"/>
      <c r="GA382" s="16"/>
      <c r="GB382" s="16"/>
      <c r="GC382" s="16"/>
      <c r="GD382" s="17"/>
      <c r="GH382" s="24"/>
      <c r="GI382" s="60"/>
      <c r="GJ382" s="16"/>
      <c r="GK382" s="16"/>
      <c r="GL382" s="16"/>
      <c r="GM382" s="16"/>
      <c r="GN382" s="16"/>
      <c r="GO382" s="17"/>
      <c r="GS382" s="24"/>
      <c r="GT382" s="60"/>
      <c r="GU382" s="16"/>
      <c r="GV382" s="16"/>
      <c r="GW382" s="16"/>
      <c r="GX382" s="16"/>
      <c r="GY382" s="16"/>
      <c r="GZ382" s="17"/>
      <c r="HD382" s="24"/>
      <c r="HE382" s="60"/>
      <c r="HF382" s="16"/>
      <c r="HG382" s="16"/>
      <c r="HH382" s="16"/>
      <c r="HI382" s="16"/>
      <c r="HJ382" s="16"/>
      <c r="HK382" s="17"/>
      <c r="HO382" s="24"/>
      <c r="HP382" s="60"/>
      <c r="HQ382" s="16"/>
      <c r="HR382" s="16"/>
      <c r="HS382" s="16"/>
      <c r="HT382" s="16"/>
      <c r="HU382" s="16"/>
      <c r="HV382" s="17"/>
      <c r="HZ382" s="24"/>
      <c r="IA382" s="60"/>
      <c r="IB382" s="16"/>
      <c r="IC382" s="16"/>
      <c r="ID382" s="16"/>
      <c r="IE382" s="16"/>
      <c r="IF382" s="16"/>
      <c r="IG382" s="17"/>
      <c r="IK382" s="24"/>
      <c r="IL382" s="60"/>
      <c r="IM382" s="16"/>
      <c r="IN382" s="16"/>
      <c r="IO382" s="16"/>
      <c r="IP382" s="16"/>
      <c r="IQ382" s="16"/>
      <c r="IR382" s="17"/>
      <c r="IV382" s="24"/>
      <c r="IW382" s="60"/>
      <c r="IX382" s="16"/>
      <c r="IY382" s="16"/>
      <c r="IZ382" s="16"/>
      <c r="JA382" s="16"/>
      <c r="JB382" s="16"/>
      <c r="JC382" s="17"/>
      <c r="JG382" s="24"/>
      <c r="JH382" s="60"/>
      <c r="JI382" s="16"/>
      <c r="JJ382" s="16"/>
      <c r="JK382" s="16"/>
      <c r="JL382" s="16"/>
      <c r="JM382" s="16"/>
      <c r="JN382" s="17"/>
      <c r="JR382" s="24"/>
      <c r="JS382" s="60"/>
      <c r="JT382" s="16"/>
      <c r="JU382" s="16"/>
      <c r="JV382" s="16"/>
      <c r="JW382" s="16"/>
      <c r="JX382" s="16"/>
      <c r="JY382" s="17"/>
      <c r="KC382" s="24"/>
      <c r="KD382" s="60"/>
      <c r="KE382" s="16"/>
      <c r="KF382" s="16"/>
      <c r="KG382" s="16"/>
      <c r="KH382" s="16"/>
      <c r="KI382" s="16"/>
      <c r="KJ382" s="17"/>
      <c r="KN382" s="24"/>
      <c r="KO382" s="60"/>
      <c r="KP382" s="16"/>
      <c r="KQ382" s="16"/>
      <c r="KR382" s="16"/>
      <c r="KS382" s="16"/>
      <c r="KT382" s="16"/>
      <c r="KU382" s="17"/>
      <c r="KY382" s="24"/>
      <c r="KZ382" s="60"/>
      <c r="LA382" s="16"/>
      <c r="LB382" s="16"/>
      <c r="LC382" s="16"/>
      <c r="LD382" s="16"/>
      <c r="LE382" s="16"/>
      <c r="LF382" s="17"/>
      <c r="LJ382" s="24"/>
      <c r="LK382" s="60"/>
      <c r="LL382" s="16"/>
      <c r="LM382" s="16"/>
      <c r="LN382" s="16"/>
      <c r="LO382" s="16"/>
      <c r="LP382" s="16"/>
      <c r="LQ382" s="17"/>
    </row>
    <row r="383">
      <c r="C383" s="31"/>
      <c r="D383" s="61"/>
      <c r="E383" s="16"/>
      <c r="F383" s="16"/>
      <c r="G383" s="21"/>
      <c r="H383" s="16"/>
      <c r="I383" s="16"/>
      <c r="J383" s="17"/>
      <c r="N383" s="17"/>
      <c r="O383" s="61"/>
      <c r="P383" s="16"/>
      <c r="Q383" s="16"/>
      <c r="R383" s="16"/>
      <c r="S383" s="16"/>
      <c r="T383" s="16"/>
      <c r="U383" s="17"/>
      <c r="Y383" s="24"/>
      <c r="Z383" s="61"/>
      <c r="AA383" s="16"/>
      <c r="AB383" s="16"/>
      <c r="AC383" s="16"/>
      <c r="AD383" s="16"/>
      <c r="AE383" s="16"/>
      <c r="AF383" s="17"/>
      <c r="AJ383" s="24"/>
      <c r="AK383" s="61"/>
      <c r="AL383" s="16"/>
      <c r="AM383" s="16"/>
      <c r="AN383" s="16"/>
      <c r="AO383" s="16"/>
      <c r="AP383" s="16"/>
      <c r="AQ383" s="17"/>
      <c r="AU383" s="24"/>
      <c r="AV383" s="61"/>
      <c r="AW383" s="16"/>
      <c r="AX383" s="16"/>
      <c r="AY383" s="16"/>
      <c r="AZ383" s="16"/>
      <c r="BA383" s="16"/>
      <c r="BB383" s="17"/>
      <c r="BF383" s="24"/>
      <c r="BG383" s="61"/>
      <c r="BH383" s="16"/>
      <c r="BI383" s="16"/>
      <c r="BJ383" s="16"/>
      <c r="BK383" s="16"/>
      <c r="BL383" s="16"/>
      <c r="BM383" s="17"/>
      <c r="BQ383" s="24"/>
      <c r="BR383" s="61"/>
      <c r="BS383" s="16"/>
      <c r="BT383" s="16"/>
      <c r="BU383" s="16"/>
      <c r="BV383" s="16"/>
      <c r="BW383" s="16"/>
      <c r="BX383" s="17"/>
      <c r="CB383" s="24"/>
      <c r="CC383" s="61"/>
      <c r="CD383" s="16"/>
      <c r="CE383" s="16"/>
      <c r="CF383" s="16"/>
      <c r="CG383" s="16"/>
      <c r="CH383" s="16"/>
      <c r="CI383" s="17"/>
      <c r="CM383" s="24"/>
      <c r="CN383" s="61"/>
      <c r="CO383" s="16"/>
      <c r="CP383" s="16"/>
      <c r="CQ383" s="16"/>
      <c r="CR383" s="16"/>
      <c r="CS383" s="16"/>
      <c r="CT383" s="17"/>
      <c r="CX383" s="24"/>
      <c r="CY383" s="60"/>
      <c r="CZ383" s="16"/>
      <c r="DA383" s="16"/>
      <c r="DB383" s="16"/>
      <c r="DC383" s="16"/>
      <c r="DD383" s="16"/>
      <c r="DE383" s="17"/>
      <c r="DI383" s="24"/>
      <c r="DJ383" s="60"/>
      <c r="DK383" s="16"/>
      <c r="DL383" s="16"/>
      <c r="DM383" s="16"/>
      <c r="DN383" s="16"/>
      <c r="DO383" s="16"/>
      <c r="DP383" s="17"/>
      <c r="DT383" s="24"/>
      <c r="DU383" s="60"/>
      <c r="DV383" s="16"/>
      <c r="DW383" s="16"/>
      <c r="DX383" s="16"/>
      <c r="DY383" s="16"/>
      <c r="DZ383" s="16"/>
      <c r="EA383" s="17"/>
      <c r="EE383" s="24"/>
      <c r="EF383" s="60"/>
      <c r="EG383" s="16"/>
      <c r="EH383" s="16"/>
      <c r="EI383" s="16"/>
      <c r="EJ383" s="16"/>
      <c r="EK383" s="16"/>
      <c r="EL383" s="17"/>
      <c r="EP383" s="24"/>
      <c r="EQ383" s="60"/>
      <c r="ER383" s="16"/>
      <c r="ES383" s="16"/>
      <c r="ET383" s="16"/>
      <c r="EU383" s="16"/>
      <c r="EV383" s="16"/>
      <c r="EW383" s="17"/>
      <c r="FA383" s="24"/>
      <c r="FB383" s="60"/>
      <c r="FC383" s="16"/>
      <c r="FD383" s="16"/>
      <c r="FE383" s="16"/>
      <c r="FF383" s="16"/>
      <c r="FG383" s="16"/>
      <c r="FH383" s="17"/>
      <c r="FL383" s="24"/>
      <c r="FM383" s="60"/>
      <c r="FN383" s="16"/>
      <c r="FO383" s="16"/>
      <c r="FP383" s="16"/>
      <c r="FQ383" s="16"/>
      <c r="FR383" s="16"/>
      <c r="FS383" s="17"/>
      <c r="FW383" s="24"/>
      <c r="FX383" s="60"/>
      <c r="FY383" s="16"/>
      <c r="FZ383" s="16"/>
      <c r="GA383" s="16"/>
      <c r="GB383" s="16"/>
      <c r="GC383" s="16"/>
      <c r="GD383" s="17"/>
      <c r="GH383" s="24"/>
      <c r="GI383" s="60"/>
      <c r="GJ383" s="16"/>
      <c r="GK383" s="16"/>
      <c r="GL383" s="16"/>
      <c r="GM383" s="16"/>
      <c r="GN383" s="16"/>
      <c r="GO383" s="17"/>
      <c r="GS383" s="24"/>
      <c r="GT383" s="60"/>
      <c r="GU383" s="16"/>
      <c r="GV383" s="16"/>
      <c r="GW383" s="16"/>
      <c r="GX383" s="16"/>
      <c r="GY383" s="16"/>
      <c r="GZ383" s="17"/>
      <c r="HD383" s="24"/>
      <c r="HE383" s="60"/>
      <c r="HF383" s="16"/>
      <c r="HG383" s="16"/>
      <c r="HH383" s="16"/>
      <c r="HI383" s="16"/>
      <c r="HJ383" s="16"/>
      <c r="HK383" s="17"/>
      <c r="HO383" s="24"/>
      <c r="HP383" s="60"/>
      <c r="HQ383" s="16"/>
      <c r="HR383" s="16"/>
      <c r="HS383" s="16"/>
      <c r="HT383" s="16"/>
      <c r="HU383" s="16"/>
      <c r="HV383" s="17"/>
      <c r="HZ383" s="24"/>
      <c r="IA383" s="60"/>
      <c r="IB383" s="16"/>
      <c r="IC383" s="16"/>
      <c r="ID383" s="16"/>
      <c r="IE383" s="16"/>
      <c r="IF383" s="16"/>
      <c r="IG383" s="17"/>
      <c r="IK383" s="24"/>
      <c r="IL383" s="60"/>
      <c r="IM383" s="16"/>
      <c r="IN383" s="16"/>
      <c r="IO383" s="16"/>
      <c r="IP383" s="16"/>
      <c r="IQ383" s="16"/>
      <c r="IR383" s="17"/>
      <c r="IV383" s="24"/>
      <c r="IW383" s="60"/>
      <c r="IX383" s="16"/>
      <c r="IY383" s="16"/>
      <c r="IZ383" s="16"/>
      <c r="JA383" s="16"/>
      <c r="JB383" s="16"/>
      <c r="JC383" s="17"/>
      <c r="JG383" s="24"/>
      <c r="JH383" s="60"/>
      <c r="JI383" s="16"/>
      <c r="JJ383" s="16"/>
      <c r="JK383" s="16"/>
      <c r="JL383" s="16"/>
      <c r="JM383" s="16"/>
      <c r="JN383" s="17"/>
      <c r="JR383" s="24"/>
      <c r="JS383" s="60"/>
      <c r="JT383" s="16"/>
      <c r="JU383" s="16"/>
      <c r="JV383" s="16"/>
      <c r="JW383" s="16"/>
      <c r="JX383" s="16"/>
      <c r="JY383" s="17"/>
      <c r="KC383" s="24"/>
      <c r="KD383" s="60"/>
      <c r="KE383" s="16"/>
      <c r="KF383" s="16"/>
      <c r="KG383" s="16"/>
      <c r="KH383" s="16"/>
      <c r="KI383" s="16"/>
      <c r="KJ383" s="17"/>
      <c r="KN383" s="24"/>
      <c r="KO383" s="60"/>
      <c r="KP383" s="16"/>
      <c r="KQ383" s="16"/>
      <c r="KR383" s="16"/>
      <c r="KS383" s="16"/>
      <c r="KT383" s="16"/>
      <c r="KU383" s="17"/>
      <c r="KY383" s="24"/>
      <c r="KZ383" s="60"/>
      <c r="LA383" s="16"/>
      <c r="LB383" s="16"/>
      <c r="LC383" s="16"/>
      <c r="LD383" s="16"/>
      <c r="LE383" s="16"/>
      <c r="LF383" s="17"/>
      <c r="LJ383" s="24"/>
      <c r="LK383" s="60"/>
      <c r="LL383" s="16"/>
      <c r="LM383" s="16"/>
      <c r="LN383" s="16"/>
      <c r="LO383" s="16"/>
      <c r="LP383" s="16"/>
      <c r="LQ383" s="17"/>
    </row>
    <row r="384">
      <c r="C384" s="31"/>
      <c r="D384" s="61"/>
      <c r="E384" s="16"/>
      <c r="F384" s="16"/>
      <c r="G384" s="21"/>
      <c r="H384" s="16"/>
      <c r="I384" s="16"/>
      <c r="J384" s="17"/>
      <c r="N384" s="17"/>
      <c r="O384" s="61"/>
      <c r="P384" s="16"/>
      <c r="Q384" s="16"/>
      <c r="R384" s="16"/>
      <c r="S384" s="16"/>
      <c r="T384" s="16"/>
      <c r="U384" s="17"/>
      <c r="Y384" s="24"/>
      <c r="Z384" s="61"/>
      <c r="AA384" s="16"/>
      <c r="AB384" s="16"/>
      <c r="AC384" s="16"/>
      <c r="AD384" s="16"/>
      <c r="AE384" s="16"/>
      <c r="AF384" s="17"/>
      <c r="AJ384" s="24"/>
      <c r="AK384" s="61"/>
      <c r="AL384" s="16"/>
      <c r="AM384" s="16"/>
      <c r="AN384" s="16"/>
      <c r="AO384" s="16"/>
      <c r="AP384" s="16"/>
      <c r="AQ384" s="17"/>
      <c r="AU384" s="24"/>
      <c r="AV384" s="61"/>
      <c r="AW384" s="16"/>
      <c r="AX384" s="16"/>
      <c r="AY384" s="16"/>
      <c r="AZ384" s="16"/>
      <c r="BA384" s="16"/>
      <c r="BB384" s="17"/>
      <c r="BF384" s="24"/>
      <c r="BG384" s="61"/>
      <c r="BH384" s="16"/>
      <c r="BI384" s="16"/>
      <c r="BJ384" s="16"/>
      <c r="BK384" s="16"/>
      <c r="BL384" s="16"/>
      <c r="BM384" s="17"/>
      <c r="BQ384" s="24"/>
      <c r="BR384" s="61"/>
      <c r="BS384" s="16"/>
      <c r="BT384" s="16"/>
      <c r="BU384" s="16"/>
      <c r="BV384" s="16"/>
      <c r="BW384" s="16"/>
      <c r="BX384" s="17"/>
      <c r="CB384" s="24"/>
      <c r="CC384" s="61"/>
      <c r="CD384" s="16"/>
      <c r="CE384" s="16"/>
      <c r="CF384" s="16"/>
      <c r="CG384" s="16"/>
      <c r="CH384" s="16"/>
      <c r="CI384" s="17"/>
      <c r="CM384" s="24"/>
      <c r="CN384" s="61"/>
      <c r="CO384" s="16"/>
      <c r="CP384" s="16"/>
      <c r="CQ384" s="16"/>
      <c r="CR384" s="16"/>
      <c r="CS384" s="16"/>
      <c r="CT384" s="17"/>
      <c r="CX384" s="24"/>
      <c r="CY384" s="60"/>
      <c r="CZ384" s="16"/>
      <c r="DA384" s="16"/>
      <c r="DB384" s="16"/>
      <c r="DC384" s="16"/>
      <c r="DD384" s="16"/>
      <c r="DE384" s="17"/>
      <c r="DI384" s="24"/>
      <c r="DJ384" s="60"/>
      <c r="DK384" s="16"/>
      <c r="DL384" s="16"/>
      <c r="DM384" s="16"/>
      <c r="DN384" s="16"/>
      <c r="DO384" s="16"/>
      <c r="DP384" s="17"/>
      <c r="DT384" s="24"/>
      <c r="DU384" s="60"/>
      <c r="DV384" s="16"/>
      <c r="DW384" s="16"/>
      <c r="DX384" s="16"/>
      <c r="DY384" s="16"/>
      <c r="DZ384" s="16"/>
      <c r="EA384" s="17"/>
      <c r="EE384" s="24"/>
      <c r="EF384" s="60"/>
      <c r="EG384" s="16"/>
      <c r="EH384" s="16"/>
      <c r="EI384" s="16"/>
      <c r="EJ384" s="16"/>
      <c r="EK384" s="16"/>
      <c r="EL384" s="17"/>
      <c r="EP384" s="24"/>
      <c r="EQ384" s="60"/>
      <c r="ER384" s="16"/>
      <c r="ES384" s="16"/>
      <c r="ET384" s="16"/>
      <c r="EU384" s="16"/>
      <c r="EV384" s="16"/>
      <c r="EW384" s="17"/>
      <c r="FA384" s="24"/>
      <c r="FB384" s="60"/>
      <c r="FC384" s="16"/>
      <c r="FD384" s="16"/>
      <c r="FE384" s="16"/>
      <c r="FF384" s="16"/>
      <c r="FG384" s="16"/>
      <c r="FH384" s="17"/>
      <c r="FL384" s="24"/>
      <c r="FM384" s="60"/>
      <c r="FN384" s="16"/>
      <c r="FO384" s="16"/>
      <c r="FP384" s="16"/>
      <c r="FQ384" s="16"/>
      <c r="FR384" s="16"/>
      <c r="FS384" s="17"/>
      <c r="FW384" s="24"/>
      <c r="FX384" s="60"/>
      <c r="FY384" s="16"/>
      <c r="FZ384" s="16"/>
      <c r="GA384" s="16"/>
      <c r="GB384" s="16"/>
      <c r="GC384" s="16"/>
      <c r="GD384" s="17"/>
      <c r="GH384" s="24"/>
      <c r="GI384" s="60"/>
      <c r="GJ384" s="16"/>
      <c r="GK384" s="16"/>
      <c r="GL384" s="16"/>
      <c r="GM384" s="16"/>
      <c r="GN384" s="16"/>
      <c r="GO384" s="17"/>
      <c r="GS384" s="24"/>
      <c r="GT384" s="60"/>
      <c r="GU384" s="16"/>
      <c r="GV384" s="16"/>
      <c r="GW384" s="16"/>
      <c r="GX384" s="16"/>
      <c r="GY384" s="16"/>
      <c r="GZ384" s="17"/>
      <c r="HD384" s="24"/>
      <c r="HE384" s="60"/>
      <c r="HF384" s="16"/>
      <c r="HG384" s="16"/>
      <c r="HH384" s="16"/>
      <c r="HI384" s="16"/>
      <c r="HJ384" s="16"/>
      <c r="HK384" s="17"/>
      <c r="HO384" s="24"/>
      <c r="HP384" s="60"/>
      <c r="HQ384" s="16"/>
      <c r="HR384" s="16"/>
      <c r="HS384" s="16"/>
      <c r="HT384" s="16"/>
      <c r="HU384" s="16"/>
      <c r="HV384" s="17"/>
      <c r="HZ384" s="24"/>
      <c r="IA384" s="60"/>
      <c r="IB384" s="16"/>
      <c r="IC384" s="16"/>
      <c r="ID384" s="16"/>
      <c r="IE384" s="16"/>
      <c r="IF384" s="16"/>
      <c r="IG384" s="17"/>
      <c r="IK384" s="24"/>
      <c r="IL384" s="60"/>
      <c r="IM384" s="16"/>
      <c r="IN384" s="16"/>
      <c r="IO384" s="16"/>
      <c r="IP384" s="16"/>
      <c r="IQ384" s="16"/>
      <c r="IR384" s="17"/>
      <c r="IV384" s="24"/>
      <c r="IW384" s="60"/>
      <c r="IX384" s="16"/>
      <c r="IY384" s="16"/>
      <c r="IZ384" s="16"/>
      <c r="JA384" s="16"/>
      <c r="JB384" s="16"/>
      <c r="JC384" s="17"/>
      <c r="JG384" s="24"/>
      <c r="JH384" s="60"/>
      <c r="JI384" s="16"/>
      <c r="JJ384" s="16"/>
      <c r="JK384" s="16"/>
      <c r="JL384" s="16"/>
      <c r="JM384" s="16"/>
      <c r="JN384" s="17"/>
      <c r="JR384" s="24"/>
      <c r="JS384" s="60"/>
      <c r="JT384" s="16"/>
      <c r="JU384" s="16"/>
      <c r="JV384" s="16"/>
      <c r="JW384" s="16"/>
      <c r="JX384" s="16"/>
      <c r="JY384" s="17"/>
      <c r="KC384" s="24"/>
      <c r="KD384" s="60"/>
      <c r="KE384" s="16"/>
      <c r="KF384" s="16"/>
      <c r="KG384" s="16"/>
      <c r="KH384" s="16"/>
      <c r="KI384" s="16"/>
      <c r="KJ384" s="17"/>
      <c r="KN384" s="24"/>
      <c r="KO384" s="60"/>
      <c r="KP384" s="16"/>
      <c r="KQ384" s="16"/>
      <c r="KR384" s="16"/>
      <c r="KS384" s="16"/>
      <c r="KT384" s="16"/>
      <c r="KU384" s="17"/>
      <c r="KY384" s="24"/>
      <c r="KZ384" s="60"/>
      <c r="LA384" s="16"/>
      <c r="LB384" s="16"/>
      <c r="LC384" s="16"/>
      <c r="LD384" s="16"/>
      <c r="LE384" s="16"/>
      <c r="LF384" s="17"/>
      <c r="LJ384" s="24"/>
      <c r="LK384" s="60"/>
      <c r="LL384" s="16"/>
      <c r="LM384" s="16"/>
      <c r="LN384" s="16"/>
      <c r="LO384" s="16"/>
      <c r="LP384" s="16"/>
      <c r="LQ384" s="17"/>
    </row>
    <row r="385">
      <c r="C385" s="31"/>
      <c r="D385" s="61"/>
      <c r="E385" s="16"/>
      <c r="F385" s="16"/>
      <c r="G385" s="21"/>
      <c r="H385" s="16"/>
      <c r="I385" s="16"/>
      <c r="J385" s="17"/>
      <c r="N385" s="17"/>
      <c r="O385" s="61"/>
      <c r="P385" s="16"/>
      <c r="Q385" s="16"/>
      <c r="R385" s="16"/>
      <c r="S385" s="16"/>
      <c r="T385" s="16"/>
      <c r="U385" s="17"/>
      <c r="Y385" s="24"/>
      <c r="Z385" s="61"/>
      <c r="AA385" s="16"/>
      <c r="AB385" s="16"/>
      <c r="AC385" s="16"/>
      <c r="AD385" s="16"/>
      <c r="AE385" s="16"/>
      <c r="AF385" s="17"/>
      <c r="AJ385" s="24"/>
      <c r="AK385" s="61"/>
      <c r="AL385" s="16"/>
      <c r="AM385" s="16"/>
      <c r="AN385" s="16"/>
      <c r="AO385" s="16"/>
      <c r="AP385" s="16"/>
      <c r="AQ385" s="17"/>
      <c r="AU385" s="24"/>
      <c r="AV385" s="61"/>
      <c r="AW385" s="16"/>
      <c r="AX385" s="16"/>
      <c r="AY385" s="16"/>
      <c r="AZ385" s="16"/>
      <c r="BA385" s="16"/>
      <c r="BB385" s="17"/>
      <c r="BF385" s="24"/>
      <c r="BG385" s="61"/>
      <c r="BH385" s="16"/>
      <c r="BI385" s="16"/>
      <c r="BJ385" s="16"/>
      <c r="BK385" s="16"/>
      <c r="BL385" s="16"/>
      <c r="BM385" s="17"/>
      <c r="BQ385" s="24"/>
      <c r="BR385" s="61"/>
      <c r="BS385" s="16"/>
      <c r="BT385" s="16"/>
      <c r="BU385" s="16"/>
      <c r="BV385" s="16"/>
      <c r="BW385" s="16"/>
      <c r="BX385" s="17"/>
      <c r="CB385" s="24"/>
      <c r="CC385" s="61"/>
      <c r="CD385" s="16"/>
      <c r="CE385" s="16"/>
      <c r="CF385" s="16"/>
      <c r="CG385" s="16"/>
      <c r="CH385" s="16"/>
      <c r="CI385" s="17"/>
      <c r="CM385" s="24"/>
      <c r="CN385" s="61"/>
      <c r="CO385" s="16"/>
      <c r="CP385" s="16"/>
      <c r="CQ385" s="16"/>
      <c r="CR385" s="16"/>
      <c r="CS385" s="16"/>
      <c r="CT385" s="17"/>
      <c r="CX385" s="24"/>
      <c r="CY385" s="60"/>
      <c r="CZ385" s="16"/>
      <c r="DA385" s="16"/>
      <c r="DB385" s="16"/>
      <c r="DC385" s="16"/>
      <c r="DD385" s="16"/>
      <c r="DE385" s="17"/>
      <c r="DI385" s="24"/>
      <c r="DJ385" s="60"/>
      <c r="DK385" s="16"/>
      <c r="DL385" s="16"/>
      <c r="DM385" s="16"/>
      <c r="DN385" s="16"/>
      <c r="DO385" s="16"/>
      <c r="DP385" s="17"/>
      <c r="DT385" s="24"/>
      <c r="DU385" s="60"/>
      <c r="DV385" s="16"/>
      <c r="DW385" s="16"/>
      <c r="DX385" s="16"/>
      <c r="DY385" s="16"/>
      <c r="DZ385" s="16"/>
      <c r="EA385" s="17"/>
      <c r="EE385" s="24"/>
      <c r="EF385" s="60"/>
      <c r="EG385" s="16"/>
      <c r="EH385" s="16"/>
      <c r="EI385" s="16"/>
      <c r="EJ385" s="16"/>
      <c r="EK385" s="16"/>
      <c r="EL385" s="17"/>
      <c r="EP385" s="24"/>
      <c r="EQ385" s="60"/>
      <c r="ER385" s="16"/>
      <c r="ES385" s="16"/>
      <c r="ET385" s="16"/>
      <c r="EU385" s="16"/>
      <c r="EV385" s="16"/>
      <c r="EW385" s="17"/>
      <c r="FA385" s="24"/>
      <c r="FB385" s="60"/>
      <c r="FC385" s="16"/>
      <c r="FD385" s="16"/>
      <c r="FE385" s="16"/>
      <c r="FF385" s="16"/>
      <c r="FG385" s="16"/>
      <c r="FH385" s="17"/>
      <c r="FL385" s="24"/>
      <c r="FM385" s="60"/>
      <c r="FN385" s="16"/>
      <c r="FO385" s="16"/>
      <c r="FP385" s="16"/>
      <c r="FQ385" s="16"/>
      <c r="FR385" s="16"/>
      <c r="FS385" s="17"/>
      <c r="FW385" s="24"/>
      <c r="FX385" s="60"/>
      <c r="FY385" s="16"/>
      <c r="FZ385" s="16"/>
      <c r="GA385" s="16"/>
      <c r="GB385" s="16"/>
      <c r="GC385" s="16"/>
      <c r="GD385" s="17"/>
      <c r="GH385" s="24"/>
      <c r="GI385" s="60"/>
      <c r="GJ385" s="16"/>
      <c r="GK385" s="16"/>
      <c r="GL385" s="16"/>
      <c r="GM385" s="16"/>
      <c r="GN385" s="16"/>
      <c r="GO385" s="17"/>
      <c r="GS385" s="24"/>
      <c r="GT385" s="60"/>
      <c r="GU385" s="16"/>
      <c r="GV385" s="16"/>
      <c r="GW385" s="16"/>
      <c r="GX385" s="16"/>
      <c r="GY385" s="16"/>
      <c r="GZ385" s="17"/>
      <c r="HD385" s="24"/>
      <c r="HE385" s="60"/>
      <c r="HF385" s="16"/>
      <c r="HG385" s="16"/>
      <c r="HH385" s="16"/>
      <c r="HI385" s="16"/>
      <c r="HJ385" s="16"/>
      <c r="HK385" s="17"/>
      <c r="HO385" s="24"/>
      <c r="HP385" s="60"/>
      <c r="HQ385" s="16"/>
      <c r="HR385" s="16"/>
      <c r="HS385" s="16"/>
      <c r="HT385" s="16"/>
      <c r="HU385" s="16"/>
      <c r="HV385" s="17"/>
      <c r="HZ385" s="24"/>
      <c r="IA385" s="60"/>
      <c r="IB385" s="16"/>
      <c r="IC385" s="16"/>
      <c r="ID385" s="16"/>
      <c r="IE385" s="16"/>
      <c r="IF385" s="16"/>
      <c r="IG385" s="17"/>
      <c r="IK385" s="24"/>
      <c r="IL385" s="60"/>
      <c r="IM385" s="16"/>
      <c r="IN385" s="16"/>
      <c r="IO385" s="16"/>
      <c r="IP385" s="16"/>
      <c r="IQ385" s="16"/>
      <c r="IR385" s="17"/>
      <c r="IV385" s="24"/>
      <c r="IW385" s="60"/>
      <c r="IX385" s="16"/>
      <c r="IY385" s="16"/>
      <c r="IZ385" s="16"/>
      <c r="JA385" s="16"/>
      <c r="JB385" s="16"/>
      <c r="JC385" s="17"/>
      <c r="JG385" s="24"/>
      <c r="JH385" s="60"/>
      <c r="JI385" s="16"/>
      <c r="JJ385" s="16"/>
      <c r="JK385" s="16"/>
      <c r="JL385" s="16"/>
      <c r="JM385" s="16"/>
      <c r="JN385" s="17"/>
      <c r="JR385" s="24"/>
      <c r="JS385" s="60"/>
      <c r="JT385" s="16"/>
      <c r="JU385" s="16"/>
      <c r="JV385" s="16"/>
      <c r="JW385" s="16"/>
      <c r="JX385" s="16"/>
      <c r="JY385" s="17"/>
      <c r="KC385" s="24"/>
      <c r="KD385" s="60"/>
      <c r="KE385" s="16"/>
      <c r="KF385" s="16"/>
      <c r="KG385" s="16"/>
      <c r="KH385" s="16"/>
      <c r="KI385" s="16"/>
      <c r="KJ385" s="17"/>
      <c r="KN385" s="24"/>
      <c r="KO385" s="60"/>
      <c r="KP385" s="16"/>
      <c r="KQ385" s="16"/>
      <c r="KR385" s="16"/>
      <c r="KS385" s="16"/>
      <c r="KT385" s="16"/>
      <c r="KU385" s="17"/>
      <c r="KY385" s="24"/>
      <c r="KZ385" s="60"/>
      <c r="LA385" s="16"/>
      <c r="LB385" s="16"/>
      <c r="LC385" s="16"/>
      <c r="LD385" s="16"/>
      <c r="LE385" s="16"/>
      <c r="LF385" s="17"/>
      <c r="LJ385" s="24"/>
      <c r="LK385" s="60"/>
      <c r="LL385" s="16"/>
      <c r="LM385" s="16"/>
      <c r="LN385" s="16"/>
      <c r="LO385" s="16"/>
      <c r="LP385" s="16"/>
      <c r="LQ385" s="17"/>
    </row>
    <row r="386">
      <c r="C386" s="31"/>
      <c r="D386" s="61"/>
      <c r="E386" s="16"/>
      <c r="F386" s="16"/>
      <c r="G386" s="21"/>
      <c r="H386" s="16"/>
      <c r="I386" s="16"/>
      <c r="J386" s="17"/>
      <c r="N386" s="17"/>
      <c r="O386" s="61"/>
      <c r="P386" s="16"/>
      <c r="Q386" s="16"/>
      <c r="R386" s="16"/>
      <c r="S386" s="16"/>
      <c r="T386" s="16"/>
      <c r="U386" s="17"/>
      <c r="Y386" s="24"/>
      <c r="Z386" s="61"/>
      <c r="AA386" s="16"/>
      <c r="AB386" s="16"/>
      <c r="AC386" s="16"/>
      <c r="AD386" s="16"/>
      <c r="AE386" s="16"/>
      <c r="AF386" s="17"/>
      <c r="AJ386" s="24"/>
      <c r="AK386" s="61"/>
      <c r="AL386" s="16"/>
      <c r="AM386" s="16"/>
      <c r="AN386" s="16"/>
      <c r="AO386" s="16"/>
      <c r="AP386" s="16"/>
      <c r="AQ386" s="17"/>
      <c r="AU386" s="24"/>
      <c r="AV386" s="61"/>
      <c r="AW386" s="16"/>
      <c r="AX386" s="16"/>
      <c r="AY386" s="16"/>
      <c r="AZ386" s="16"/>
      <c r="BA386" s="16"/>
      <c r="BB386" s="17"/>
      <c r="BF386" s="24"/>
      <c r="BG386" s="61"/>
      <c r="BH386" s="16"/>
      <c r="BI386" s="16"/>
      <c r="BJ386" s="16"/>
      <c r="BK386" s="16"/>
      <c r="BL386" s="16"/>
      <c r="BM386" s="17"/>
      <c r="BQ386" s="24"/>
      <c r="BR386" s="61"/>
      <c r="BS386" s="16"/>
      <c r="BT386" s="16"/>
      <c r="BU386" s="16"/>
      <c r="BV386" s="16"/>
      <c r="BW386" s="16"/>
      <c r="BX386" s="17"/>
      <c r="CB386" s="24"/>
      <c r="CC386" s="61"/>
      <c r="CD386" s="16"/>
      <c r="CE386" s="16"/>
      <c r="CF386" s="16"/>
      <c r="CG386" s="16"/>
      <c r="CH386" s="16"/>
      <c r="CI386" s="17"/>
      <c r="CM386" s="24"/>
      <c r="CN386" s="61"/>
      <c r="CO386" s="16"/>
      <c r="CP386" s="16"/>
      <c r="CQ386" s="16"/>
      <c r="CR386" s="16"/>
      <c r="CS386" s="16"/>
      <c r="CT386" s="17"/>
      <c r="CX386" s="24"/>
      <c r="CY386" s="60"/>
      <c r="CZ386" s="16"/>
      <c r="DA386" s="16"/>
      <c r="DB386" s="16"/>
      <c r="DC386" s="16"/>
      <c r="DD386" s="16"/>
      <c r="DE386" s="17"/>
      <c r="DI386" s="24"/>
      <c r="DJ386" s="60"/>
      <c r="DK386" s="16"/>
      <c r="DL386" s="16"/>
      <c r="DM386" s="16"/>
      <c r="DN386" s="16"/>
      <c r="DO386" s="16"/>
      <c r="DP386" s="17"/>
      <c r="DT386" s="24"/>
      <c r="DU386" s="60"/>
      <c r="DV386" s="16"/>
      <c r="DW386" s="16"/>
      <c r="DX386" s="16"/>
      <c r="DY386" s="16"/>
      <c r="DZ386" s="16"/>
      <c r="EA386" s="17"/>
      <c r="EE386" s="24"/>
      <c r="EF386" s="60"/>
      <c r="EG386" s="16"/>
      <c r="EH386" s="16"/>
      <c r="EI386" s="16"/>
      <c r="EJ386" s="16"/>
      <c r="EK386" s="16"/>
      <c r="EL386" s="17"/>
      <c r="EP386" s="24"/>
      <c r="EQ386" s="60"/>
      <c r="ER386" s="16"/>
      <c r="ES386" s="16"/>
      <c r="ET386" s="16"/>
      <c r="EU386" s="16"/>
      <c r="EV386" s="16"/>
      <c r="EW386" s="17"/>
      <c r="FA386" s="24"/>
      <c r="FB386" s="60"/>
      <c r="FC386" s="16"/>
      <c r="FD386" s="16"/>
      <c r="FE386" s="16"/>
      <c r="FF386" s="16"/>
      <c r="FG386" s="16"/>
      <c r="FH386" s="17"/>
      <c r="FL386" s="24"/>
      <c r="FM386" s="60"/>
      <c r="FN386" s="16"/>
      <c r="FO386" s="16"/>
      <c r="FP386" s="16"/>
      <c r="FQ386" s="16"/>
      <c r="FR386" s="16"/>
      <c r="FS386" s="17"/>
      <c r="FW386" s="24"/>
      <c r="FX386" s="60"/>
      <c r="FY386" s="16"/>
      <c r="FZ386" s="16"/>
      <c r="GA386" s="16"/>
      <c r="GB386" s="16"/>
      <c r="GC386" s="16"/>
      <c r="GD386" s="17"/>
      <c r="GH386" s="24"/>
      <c r="GI386" s="60"/>
      <c r="GJ386" s="16"/>
      <c r="GK386" s="16"/>
      <c r="GL386" s="16"/>
      <c r="GM386" s="16"/>
      <c r="GN386" s="16"/>
      <c r="GO386" s="17"/>
      <c r="GS386" s="24"/>
      <c r="GT386" s="60"/>
      <c r="GU386" s="16"/>
      <c r="GV386" s="16"/>
      <c r="GW386" s="16"/>
      <c r="GX386" s="16"/>
      <c r="GY386" s="16"/>
      <c r="GZ386" s="17"/>
      <c r="HD386" s="24"/>
      <c r="HE386" s="60"/>
      <c r="HF386" s="16"/>
      <c r="HG386" s="16"/>
      <c r="HH386" s="16"/>
      <c r="HI386" s="16"/>
      <c r="HJ386" s="16"/>
      <c r="HK386" s="17"/>
      <c r="HO386" s="24"/>
      <c r="HP386" s="60"/>
      <c r="HQ386" s="16"/>
      <c r="HR386" s="16"/>
      <c r="HS386" s="16"/>
      <c r="HT386" s="16"/>
      <c r="HU386" s="16"/>
      <c r="HV386" s="17"/>
      <c r="HZ386" s="24"/>
      <c r="IA386" s="60"/>
      <c r="IB386" s="16"/>
      <c r="IC386" s="16"/>
      <c r="ID386" s="16"/>
      <c r="IE386" s="16"/>
      <c r="IF386" s="16"/>
      <c r="IG386" s="17"/>
      <c r="IK386" s="24"/>
      <c r="IL386" s="60"/>
      <c r="IM386" s="16"/>
      <c r="IN386" s="16"/>
      <c r="IO386" s="16"/>
      <c r="IP386" s="16"/>
      <c r="IQ386" s="16"/>
      <c r="IR386" s="17"/>
      <c r="IV386" s="24"/>
      <c r="IW386" s="60"/>
      <c r="IX386" s="16"/>
      <c r="IY386" s="16"/>
      <c r="IZ386" s="16"/>
      <c r="JA386" s="16"/>
      <c r="JB386" s="16"/>
      <c r="JC386" s="17"/>
      <c r="JG386" s="24"/>
      <c r="JH386" s="60"/>
      <c r="JI386" s="16"/>
      <c r="JJ386" s="16"/>
      <c r="JK386" s="16"/>
      <c r="JL386" s="16"/>
      <c r="JM386" s="16"/>
      <c r="JN386" s="17"/>
      <c r="JR386" s="24"/>
      <c r="JS386" s="60"/>
      <c r="JT386" s="16"/>
      <c r="JU386" s="16"/>
      <c r="JV386" s="16"/>
      <c r="JW386" s="16"/>
      <c r="JX386" s="16"/>
      <c r="JY386" s="17"/>
      <c r="KC386" s="24"/>
      <c r="KD386" s="60"/>
      <c r="KE386" s="16"/>
      <c r="KF386" s="16"/>
      <c r="KG386" s="16"/>
      <c r="KH386" s="16"/>
      <c r="KI386" s="16"/>
      <c r="KJ386" s="17"/>
      <c r="KN386" s="24"/>
      <c r="KO386" s="60"/>
      <c r="KP386" s="16"/>
      <c r="KQ386" s="16"/>
      <c r="KR386" s="16"/>
      <c r="KS386" s="16"/>
      <c r="KT386" s="16"/>
      <c r="KU386" s="17"/>
      <c r="KY386" s="24"/>
      <c r="KZ386" s="60"/>
      <c r="LA386" s="16"/>
      <c r="LB386" s="16"/>
      <c r="LC386" s="16"/>
      <c r="LD386" s="16"/>
      <c r="LE386" s="16"/>
      <c r="LF386" s="17"/>
      <c r="LJ386" s="24"/>
      <c r="LK386" s="60"/>
      <c r="LL386" s="16"/>
      <c r="LM386" s="16"/>
      <c r="LN386" s="16"/>
      <c r="LO386" s="16"/>
      <c r="LP386" s="16"/>
      <c r="LQ386" s="17"/>
    </row>
    <row r="387">
      <c r="C387" s="31"/>
      <c r="D387" s="61"/>
      <c r="E387" s="16"/>
      <c r="F387" s="16"/>
      <c r="G387" s="21"/>
      <c r="H387" s="16"/>
      <c r="I387" s="16"/>
      <c r="J387" s="17"/>
      <c r="N387" s="17"/>
      <c r="O387" s="61"/>
      <c r="P387" s="16"/>
      <c r="Q387" s="16"/>
      <c r="R387" s="16"/>
      <c r="S387" s="16"/>
      <c r="T387" s="16"/>
      <c r="U387" s="17"/>
      <c r="Y387" s="24"/>
      <c r="Z387" s="61"/>
      <c r="AA387" s="16"/>
      <c r="AB387" s="16"/>
      <c r="AC387" s="16"/>
      <c r="AD387" s="16"/>
      <c r="AE387" s="16"/>
      <c r="AF387" s="17"/>
      <c r="AJ387" s="24"/>
      <c r="AK387" s="61"/>
      <c r="AL387" s="16"/>
      <c r="AM387" s="16"/>
      <c r="AN387" s="16"/>
      <c r="AO387" s="16"/>
      <c r="AP387" s="16"/>
      <c r="AQ387" s="17"/>
      <c r="AU387" s="24"/>
      <c r="AV387" s="61"/>
      <c r="AW387" s="16"/>
      <c r="AX387" s="16"/>
      <c r="AY387" s="16"/>
      <c r="AZ387" s="16"/>
      <c r="BA387" s="16"/>
      <c r="BB387" s="17"/>
      <c r="BF387" s="24"/>
      <c r="BG387" s="61"/>
      <c r="BH387" s="16"/>
      <c r="BI387" s="16"/>
      <c r="BJ387" s="16"/>
      <c r="BK387" s="16"/>
      <c r="BL387" s="16"/>
      <c r="BM387" s="17"/>
      <c r="BQ387" s="24"/>
      <c r="BR387" s="61"/>
      <c r="BS387" s="16"/>
      <c r="BT387" s="16"/>
      <c r="BU387" s="16"/>
      <c r="BV387" s="16"/>
      <c r="BW387" s="16"/>
      <c r="BX387" s="17"/>
      <c r="CB387" s="24"/>
      <c r="CC387" s="61"/>
      <c r="CD387" s="16"/>
      <c r="CE387" s="16"/>
      <c r="CF387" s="16"/>
      <c r="CG387" s="16"/>
      <c r="CH387" s="16"/>
      <c r="CI387" s="17"/>
      <c r="CM387" s="24"/>
      <c r="CN387" s="61"/>
      <c r="CO387" s="16"/>
      <c r="CP387" s="16"/>
      <c r="CQ387" s="16"/>
      <c r="CR387" s="16"/>
      <c r="CS387" s="16"/>
      <c r="CT387" s="17"/>
      <c r="CX387" s="24"/>
      <c r="CY387" s="60"/>
      <c r="CZ387" s="16"/>
      <c r="DA387" s="16"/>
      <c r="DB387" s="16"/>
      <c r="DC387" s="16"/>
      <c r="DD387" s="16"/>
      <c r="DE387" s="17"/>
      <c r="DI387" s="24"/>
      <c r="DJ387" s="60"/>
      <c r="DK387" s="16"/>
      <c r="DL387" s="16"/>
      <c r="DM387" s="16"/>
      <c r="DN387" s="16"/>
      <c r="DO387" s="16"/>
      <c r="DP387" s="17"/>
      <c r="DT387" s="24"/>
      <c r="DU387" s="60"/>
      <c r="DV387" s="16"/>
      <c r="DW387" s="16"/>
      <c r="DX387" s="16"/>
      <c r="DY387" s="16"/>
      <c r="DZ387" s="16"/>
      <c r="EA387" s="17"/>
      <c r="EE387" s="24"/>
      <c r="EF387" s="60"/>
      <c r="EG387" s="16"/>
      <c r="EH387" s="16"/>
      <c r="EI387" s="16"/>
      <c r="EJ387" s="16"/>
      <c r="EK387" s="16"/>
      <c r="EL387" s="17"/>
      <c r="EP387" s="24"/>
      <c r="EQ387" s="60"/>
      <c r="ER387" s="16"/>
      <c r="ES387" s="16"/>
      <c r="ET387" s="16"/>
      <c r="EU387" s="16"/>
      <c r="EV387" s="16"/>
      <c r="EW387" s="17"/>
      <c r="FA387" s="24"/>
      <c r="FB387" s="60"/>
      <c r="FC387" s="16"/>
      <c r="FD387" s="16"/>
      <c r="FE387" s="16"/>
      <c r="FF387" s="16"/>
      <c r="FG387" s="16"/>
      <c r="FH387" s="17"/>
      <c r="FL387" s="24"/>
      <c r="FM387" s="60"/>
      <c r="FN387" s="16"/>
      <c r="FO387" s="16"/>
      <c r="FP387" s="16"/>
      <c r="FQ387" s="16"/>
      <c r="FR387" s="16"/>
      <c r="FS387" s="17"/>
      <c r="FW387" s="24"/>
      <c r="FX387" s="60"/>
      <c r="FY387" s="16"/>
      <c r="FZ387" s="16"/>
      <c r="GA387" s="16"/>
      <c r="GB387" s="16"/>
      <c r="GC387" s="16"/>
      <c r="GD387" s="17"/>
      <c r="GH387" s="24"/>
      <c r="GI387" s="60"/>
      <c r="GJ387" s="16"/>
      <c r="GK387" s="16"/>
      <c r="GL387" s="16"/>
      <c r="GM387" s="16"/>
      <c r="GN387" s="16"/>
      <c r="GO387" s="17"/>
      <c r="GS387" s="24"/>
      <c r="GT387" s="60"/>
      <c r="GU387" s="16"/>
      <c r="GV387" s="16"/>
      <c r="GW387" s="16"/>
      <c r="GX387" s="16"/>
      <c r="GY387" s="16"/>
      <c r="GZ387" s="17"/>
      <c r="HD387" s="24"/>
      <c r="HE387" s="60"/>
      <c r="HF387" s="16"/>
      <c r="HG387" s="16"/>
      <c r="HH387" s="16"/>
      <c r="HI387" s="16"/>
      <c r="HJ387" s="16"/>
      <c r="HK387" s="17"/>
      <c r="HO387" s="24"/>
      <c r="HP387" s="60"/>
      <c r="HQ387" s="16"/>
      <c r="HR387" s="16"/>
      <c r="HS387" s="16"/>
      <c r="HT387" s="16"/>
      <c r="HU387" s="16"/>
      <c r="HV387" s="17"/>
      <c r="HZ387" s="24"/>
      <c r="IA387" s="60"/>
      <c r="IB387" s="16"/>
      <c r="IC387" s="16"/>
      <c r="ID387" s="16"/>
      <c r="IE387" s="16"/>
      <c r="IF387" s="16"/>
      <c r="IG387" s="17"/>
      <c r="IK387" s="24"/>
      <c r="IL387" s="60"/>
      <c r="IM387" s="16"/>
      <c r="IN387" s="16"/>
      <c r="IO387" s="16"/>
      <c r="IP387" s="16"/>
      <c r="IQ387" s="16"/>
      <c r="IR387" s="17"/>
      <c r="IV387" s="24"/>
      <c r="IW387" s="60"/>
      <c r="IX387" s="16"/>
      <c r="IY387" s="16"/>
      <c r="IZ387" s="16"/>
      <c r="JA387" s="16"/>
      <c r="JB387" s="16"/>
      <c r="JC387" s="17"/>
      <c r="JG387" s="24"/>
      <c r="JH387" s="60"/>
      <c r="JI387" s="16"/>
      <c r="JJ387" s="16"/>
      <c r="JK387" s="16"/>
      <c r="JL387" s="16"/>
      <c r="JM387" s="16"/>
      <c r="JN387" s="17"/>
      <c r="JR387" s="24"/>
      <c r="JS387" s="60"/>
      <c r="JT387" s="16"/>
      <c r="JU387" s="16"/>
      <c r="JV387" s="16"/>
      <c r="JW387" s="16"/>
      <c r="JX387" s="16"/>
      <c r="JY387" s="17"/>
      <c r="KC387" s="24"/>
      <c r="KD387" s="60"/>
      <c r="KE387" s="16"/>
      <c r="KF387" s="16"/>
      <c r="KG387" s="16"/>
      <c r="KH387" s="16"/>
      <c r="KI387" s="16"/>
      <c r="KJ387" s="17"/>
      <c r="KN387" s="24"/>
      <c r="KO387" s="60"/>
      <c r="KP387" s="16"/>
      <c r="KQ387" s="16"/>
      <c r="KR387" s="16"/>
      <c r="KS387" s="16"/>
      <c r="KT387" s="16"/>
      <c r="KU387" s="17"/>
      <c r="KY387" s="24"/>
      <c r="KZ387" s="60"/>
      <c r="LA387" s="16"/>
      <c r="LB387" s="16"/>
      <c r="LC387" s="16"/>
      <c r="LD387" s="16"/>
      <c r="LE387" s="16"/>
      <c r="LF387" s="17"/>
      <c r="LJ387" s="24"/>
      <c r="LK387" s="60"/>
      <c r="LL387" s="16"/>
      <c r="LM387" s="16"/>
      <c r="LN387" s="16"/>
      <c r="LO387" s="16"/>
      <c r="LP387" s="16"/>
      <c r="LQ387" s="17"/>
    </row>
    <row r="388">
      <c r="C388" s="31"/>
      <c r="D388" s="61"/>
      <c r="E388" s="16"/>
      <c r="F388" s="16"/>
      <c r="G388" s="21"/>
      <c r="H388" s="16"/>
      <c r="I388" s="16"/>
      <c r="J388" s="17"/>
      <c r="N388" s="17"/>
      <c r="O388" s="61"/>
      <c r="P388" s="16"/>
      <c r="Q388" s="16"/>
      <c r="R388" s="16"/>
      <c r="S388" s="16"/>
      <c r="T388" s="16"/>
      <c r="U388" s="17"/>
      <c r="Y388" s="24"/>
      <c r="Z388" s="61"/>
      <c r="AA388" s="16"/>
      <c r="AB388" s="16"/>
      <c r="AC388" s="16"/>
      <c r="AD388" s="16"/>
      <c r="AE388" s="16"/>
      <c r="AF388" s="17"/>
      <c r="AJ388" s="24"/>
      <c r="AK388" s="61"/>
      <c r="AL388" s="16"/>
      <c r="AM388" s="16"/>
      <c r="AN388" s="16"/>
      <c r="AO388" s="16"/>
      <c r="AP388" s="16"/>
      <c r="AQ388" s="17"/>
      <c r="AU388" s="24"/>
      <c r="AV388" s="61"/>
      <c r="AW388" s="16"/>
      <c r="AX388" s="16"/>
      <c r="AY388" s="16"/>
      <c r="AZ388" s="16"/>
      <c r="BA388" s="16"/>
      <c r="BB388" s="17"/>
      <c r="BF388" s="24"/>
      <c r="BG388" s="61"/>
      <c r="BH388" s="16"/>
      <c r="BI388" s="16"/>
      <c r="BJ388" s="16"/>
      <c r="BK388" s="16"/>
      <c r="BL388" s="16"/>
      <c r="BM388" s="17"/>
      <c r="BQ388" s="24"/>
      <c r="BR388" s="61"/>
      <c r="BS388" s="16"/>
      <c r="BT388" s="16"/>
      <c r="BU388" s="16"/>
      <c r="BV388" s="16"/>
      <c r="BW388" s="16"/>
      <c r="BX388" s="17"/>
      <c r="CB388" s="24"/>
      <c r="CC388" s="61"/>
      <c r="CD388" s="16"/>
      <c r="CE388" s="16"/>
      <c r="CF388" s="16"/>
      <c r="CG388" s="16"/>
      <c r="CH388" s="16"/>
      <c r="CI388" s="17"/>
      <c r="CM388" s="24"/>
      <c r="CN388" s="61"/>
      <c r="CO388" s="16"/>
      <c r="CP388" s="16"/>
      <c r="CQ388" s="16"/>
      <c r="CR388" s="16"/>
      <c r="CS388" s="16"/>
      <c r="CT388" s="17"/>
      <c r="CX388" s="24"/>
      <c r="CY388" s="60"/>
      <c r="CZ388" s="16"/>
      <c r="DA388" s="16"/>
      <c r="DB388" s="16"/>
      <c r="DC388" s="16"/>
      <c r="DD388" s="16"/>
      <c r="DE388" s="17"/>
      <c r="DI388" s="24"/>
      <c r="DJ388" s="60"/>
      <c r="DK388" s="16"/>
      <c r="DL388" s="16"/>
      <c r="DM388" s="16"/>
      <c r="DN388" s="16"/>
      <c r="DO388" s="16"/>
      <c r="DP388" s="17"/>
      <c r="DT388" s="24"/>
      <c r="DU388" s="60"/>
      <c r="DV388" s="16"/>
      <c r="DW388" s="16"/>
      <c r="DX388" s="16"/>
      <c r="DY388" s="16"/>
      <c r="DZ388" s="16"/>
      <c r="EA388" s="17"/>
      <c r="EE388" s="24"/>
      <c r="EF388" s="60"/>
      <c r="EG388" s="16"/>
      <c r="EH388" s="16"/>
      <c r="EI388" s="16"/>
      <c r="EJ388" s="16"/>
      <c r="EK388" s="16"/>
      <c r="EL388" s="17"/>
      <c r="EP388" s="24"/>
      <c r="EQ388" s="60"/>
      <c r="ER388" s="16"/>
      <c r="ES388" s="16"/>
      <c r="ET388" s="16"/>
      <c r="EU388" s="16"/>
      <c r="EV388" s="16"/>
      <c r="EW388" s="17"/>
      <c r="FA388" s="24"/>
      <c r="FB388" s="60"/>
      <c r="FC388" s="16"/>
      <c r="FD388" s="16"/>
      <c r="FE388" s="16"/>
      <c r="FF388" s="16"/>
      <c r="FG388" s="16"/>
      <c r="FH388" s="17"/>
      <c r="FL388" s="24"/>
      <c r="FM388" s="60"/>
      <c r="FN388" s="16"/>
      <c r="FO388" s="16"/>
      <c r="FP388" s="16"/>
      <c r="FQ388" s="16"/>
      <c r="FR388" s="16"/>
      <c r="FS388" s="17"/>
      <c r="FW388" s="24"/>
      <c r="FX388" s="60"/>
      <c r="FY388" s="16"/>
      <c r="FZ388" s="16"/>
      <c r="GA388" s="16"/>
      <c r="GB388" s="16"/>
      <c r="GC388" s="16"/>
      <c r="GD388" s="17"/>
      <c r="GH388" s="24"/>
      <c r="GI388" s="60"/>
      <c r="GJ388" s="16"/>
      <c r="GK388" s="16"/>
      <c r="GL388" s="16"/>
      <c r="GM388" s="16"/>
      <c r="GN388" s="16"/>
      <c r="GO388" s="17"/>
      <c r="GS388" s="24"/>
      <c r="GT388" s="60"/>
      <c r="GU388" s="16"/>
      <c r="GV388" s="16"/>
      <c r="GW388" s="16"/>
      <c r="GX388" s="16"/>
      <c r="GY388" s="16"/>
      <c r="GZ388" s="17"/>
      <c r="HD388" s="24"/>
      <c r="HE388" s="60"/>
      <c r="HF388" s="16"/>
      <c r="HG388" s="16"/>
      <c r="HH388" s="16"/>
      <c r="HI388" s="16"/>
      <c r="HJ388" s="16"/>
      <c r="HK388" s="17"/>
      <c r="HO388" s="24"/>
      <c r="HP388" s="60"/>
      <c r="HQ388" s="16"/>
      <c r="HR388" s="16"/>
      <c r="HS388" s="16"/>
      <c r="HT388" s="16"/>
      <c r="HU388" s="16"/>
      <c r="HV388" s="17"/>
      <c r="HZ388" s="24"/>
      <c r="IA388" s="60"/>
      <c r="IB388" s="16"/>
      <c r="IC388" s="16"/>
      <c r="ID388" s="16"/>
      <c r="IE388" s="16"/>
      <c r="IF388" s="16"/>
      <c r="IG388" s="17"/>
      <c r="IK388" s="24"/>
      <c r="IL388" s="60"/>
      <c r="IM388" s="16"/>
      <c r="IN388" s="16"/>
      <c r="IO388" s="16"/>
      <c r="IP388" s="16"/>
      <c r="IQ388" s="16"/>
      <c r="IR388" s="17"/>
      <c r="IV388" s="24"/>
      <c r="IW388" s="60"/>
      <c r="IX388" s="16"/>
      <c r="IY388" s="16"/>
      <c r="IZ388" s="16"/>
      <c r="JA388" s="16"/>
      <c r="JB388" s="16"/>
      <c r="JC388" s="17"/>
      <c r="JG388" s="24"/>
      <c r="JH388" s="60"/>
      <c r="JI388" s="16"/>
      <c r="JJ388" s="16"/>
      <c r="JK388" s="16"/>
      <c r="JL388" s="16"/>
      <c r="JM388" s="16"/>
      <c r="JN388" s="17"/>
      <c r="JR388" s="24"/>
      <c r="JS388" s="60"/>
      <c r="JT388" s="16"/>
      <c r="JU388" s="16"/>
      <c r="JV388" s="16"/>
      <c r="JW388" s="16"/>
      <c r="JX388" s="16"/>
      <c r="JY388" s="17"/>
      <c r="KC388" s="24"/>
      <c r="KD388" s="60"/>
      <c r="KE388" s="16"/>
      <c r="KF388" s="16"/>
      <c r="KG388" s="16"/>
      <c r="KH388" s="16"/>
      <c r="KI388" s="16"/>
      <c r="KJ388" s="17"/>
      <c r="KN388" s="24"/>
      <c r="KO388" s="60"/>
      <c r="KP388" s="16"/>
      <c r="KQ388" s="16"/>
      <c r="KR388" s="16"/>
      <c r="KS388" s="16"/>
      <c r="KT388" s="16"/>
      <c r="KU388" s="17"/>
      <c r="KY388" s="24"/>
      <c r="KZ388" s="60"/>
      <c r="LA388" s="16"/>
      <c r="LB388" s="16"/>
      <c r="LC388" s="16"/>
      <c r="LD388" s="16"/>
      <c r="LE388" s="16"/>
      <c r="LF388" s="17"/>
      <c r="LJ388" s="24"/>
      <c r="LK388" s="60"/>
      <c r="LL388" s="16"/>
      <c r="LM388" s="16"/>
      <c r="LN388" s="16"/>
      <c r="LO388" s="16"/>
      <c r="LP388" s="16"/>
      <c r="LQ388" s="17"/>
    </row>
    <row r="389">
      <c r="C389" s="31"/>
      <c r="D389" s="61"/>
      <c r="E389" s="16"/>
      <c r="F389" s="16"/>
      <c r="G389" s="21"/>
      <c r="H389" s="16"/>
      <c r="I389" s="16"/>
      <c r="J389" s="17"/>
      <c r="N389" s="17"/>
      <c r="O389" s="61"/>
      <c r="P389" s="16"/>
      <c r="Q389" s="16"/>
      <c r="R389" s="16"/>
      <c r="S389" s="16"/>
      <c r="T389" s="16"/>
      <c r="U389" s="17"/>
      <c r="Y389" s="24"/>
      <c r="Z389" s="61"/>
      <c r="AA389" s="16"/>
      <c r="AB389" s="16"/>
      <c r="AC389" s="16"/>
      <c r="AD389" s="16"/>
      <c r="AE389" s="16"/>
      <c r="AF389" s="17"/>
      <c r="AJ389" s="24"/>
      <c r="AK389" s="61"/>
      <c r="AL389" s="16"/>
      <c r="AM389" s="16"/>
      <c r="AN389" s="16"/>
      <c r="AO389" s="16"/>
      <c r="AP389" s="16"/>
      <c r="AQ389" s="17"/>
      <c r="AU389" s="24"/>
      <c r="AV389" s="61"/>
      <c r="AW389" s="16"/>
      <c r="AX389" s="16"/>
      <c r="AY389" s="16"/>
      <c r="AZ389" s="16"/>
      <c r="BA389" s="16"/>
      <c r="BB389" s="17"/>
      <c r="BF389" s="24"/>
      <c r="BG389" s="61"/>
      <c r="BH389" s="16"/>
      <c r="BI389" s="16"/>
      <c r="BJ389" s="16"/>
      <c r="BK389" s="16"/>
      <c r="BL389" s="16"/>
      <c r="BM389" s="17"/>
      <c r="BQ389" s="24"/>
      <c r="BR389" s="61"/>
      <c r="BS389" s="16"/>
      <c r="BT389" s="16"/>
      <c r="BU389" s="16"/>
      <c r="BV389" s="16"/>
      <c r="BW389" s="16"/>
      <c r="BX389" s="17"/>
      <c r="CB389" s="24"/>
      <c r="CC389" s="61"/>
      <c r="CD389" s="16"/>
      <c r="CE389" s="16"/>
      <c r="CF389" s="16"/>
      <c r="CG389" s="16"/>
      <c r="CH389" s="16"/>
      <c r="CI389" s="17"/>
      <c r="CM389" s="24"/>
      <c r="CN389" s="61"/>
      <c r="CO389" s="16"/>
      <c r="CP389" s="16"/>
      <c r="CQ389" s="16"/>
      <c r="CR389" s="16"/>
      <c r="CS389" s="16"/>
      <c r="CT389" s="17"/>
      <c r="CX389" s="24"/>
      <c r="CY389" s="60"/>
      <c r="CZ389" s="16"/>
      <c r="DA389" s="16"/>
      <c r="DB389" s="16"/>
      <c r="DC389" s="16"/>
      <c r="DD389" s="16"/>
      <c r="DE389" s="17"/>
      <c r="DI389" s="24"/>
      <c r="DJ389" s="60"/>
      <c r="DK389" s="16"/>
      <c r="DL389" s="16"/>
      <c r="DM389" s="16"/>
      <c r="DN389" s="16"/>
      <c r="DO389" s="16"/>
      <c r="DP389" s="17"/>
      <c r="DT389" s="24"/>
      <c r="DU389" s="60"/>
      <c r="DV389" s="16"/>
      <c r="DW389" s="16"/>
      <c r="DX389" s="16"/>
      <c r="DY389" s="16"/>
      <c r="DZ389" s="16"/>
      <c r="EA389" s="17"/>
      <c r="EE389" s="24"/>
      <c r="EF389" s="60"/>
      <c r="EG389" s="16"/>
      <c r="EH389" s="16"/>
      <c r="EI389" s="16"/>
      <c r="EJ389" s="16"/>
      <c r="EK389" s="16"/>
      <c r="EL389" s="17"/>
      <c r="EP389" s="24"/>
      <c r="EQ389" s="60"/>
      <c r="ER389" s="16"/>
      <c r="ES389" s="16"/>
      <c r="ET389" s="16"/>
      <c r="EU389" s="16"/>
      <c r="EV389" s="16"/>
      <c r="EW389" s="17"/>
      <c r="FA389" s="24"/>
      <c r="FB389" s="60"/>
      <c r="FC389" s="16"/>
      <c r="FD389" s="16"/>
      <c r="FE389" s="16"/>
      <c r="FF389" s="16"/>
      <c r="FG389" s="16"/>
      <c r="FH389" s="17"/>
      <c r="FL389" s="24"/>
      <c r="FM389" s="60"/>
      <c r="FN389" s="16"/>
      <c r="FO389" s="16"/>
      <c r="FP389" s="16"/>
      <c r="FQ389" s="16"/>
      <c r="FR389" s="16"/>
      <c r="FS389" s="17"/>
      <c r="FW389" s="24"/>
      <c r="FX389" s="60"/>
      <c r="FY389" s="16"/>
      <c r="FZ389" s="16"/>
      <c r="GA389" s="16"/>
      <c r="GB389" s="16"/>
      <c r="GC389" s="16"/>
      <c r="GD389" s="17"/>
      <c r="GH389" s="24"/>
      <c r="GI389" s="60"/>
      <c r="GJ389" s="16"/>
      <c r="GK389" s="16"/>
      <c r="GL389" s="16"/>
      <c r="GM389" s="16"/>
      <c r="GN389" s="16"/>
      <c r="GO389" s="17"/>
      <c r="GS389" s="24"/>
      <c r="GT389" s="60"/>
      <c r="GU389" s="16"/>
      <c r="GV389" s="16"/>
      <c r="GW389" s="16"/>
      <c r="GX389" s="16"/>
      <c r="GY389" s="16"/>
      <c r="GZ389" s="17"/>
      <c r="HD389" s="24"/>
      <c r="HE389" s="60"/>
      <c r="HF389" s="16"/>
      <c r="HG389" s="16"/>
      <c r="HH389" s="16"/>
      <c r="HI389" s="16"/>
      <c r="HJ389" s="16"/>
      <c r="HK389" s="17"/>
      <c r="HO389" s="24"/>
      <c r="HP389" s="60"/>
      <c r="HQ389" s="16"/>
      <c r="HR389" s="16"/>
      <c r="HS389" s="16"/>
      <c r="HT389" s="16"/>
      <c r="HU389" s="16"/>
      <c r="HV389" s="17"/>
      <c r="HZ389" s="24"/>
      <c r="IA389" s="60"/>
      <c r="IB389" s="16"/>
      <c r="IC389" s="16"/>
      <c r="ID389" s="16"/>
      <c r="IE389" s="16"/>
      <c r="IF389" s="16"/>
      <c r="IG389" s="17"/>
      <c r="IK389" s="24"/>
      <c r="IL389" s="60"/>
      <c r="IM389" s="16"/>
      <c r="IN389" s="16"/>
      <c r="IO389" s="16"/>
      <c r="IP389" s="16"/>
      <c r="IQ389" s="16"/>
      <c r="IR389" s="17"/>
      <c r="IV389" s="24"/>
      <c r="IW389" s="60"/>
      <c r="IX389" s="16"/>
      <c r="IY389" s="16"/>
      <c r="IZ389" s="16"/>
      <c r="JA389" s="16"/>
      <c r="JB389" s="16"/>
      <c r="JC389" s="17"/>
      <c r="JG389" s="24"/>
      <c r="JH389" s="60"/>
      <c r="JI389" s="16"/>
      <c r="JJ389" s="16"/>
      <c r="JK389" s="16"/>
      <c r="JL389" s="16"/>
      <c r="JM389" s="16"/>
      <c r="JN389" s="17"/>
      <c r="JR389" s="24"/>
      <c r="JS389" s="60"/>
      <c r="JT389" s="16"/>
      <c r="JU389" s="16"/>
      <c r="JV389" s="16"/>
      <c r="JW389" s="16"/>
      <c r="JX389" s="16"/>
      <c r="JY389" s="17"/>
      <c r="KC389" s="24"/>
      <c r="KD389" s="60"/>
      <c r="KE389" s="16"/>
      <c r="KF389" s="16"/>
      <c r="KG389" s="16"/>
      <c r="KH389" s="16"/>
      <c r="KI389" s="16"/>
      <c r="KJ389" s="17"/>
      <c r="KN389" s="24"/>
      <c r="KO389" s="60"/>
      <c r="KP389" s="16"/>
      <c r="KQ389" s="16"/>
      <c r="KR389" s="16"/>
      <c r="KS389" s="16"/>
      <c r="KT389" s="16"/>
      <c r="KU389" s="17"/>
      <c r="KY389" s="24"/>
      <c r="KZ389" s="60"/>
      <c r="LA389" s="16"/>
      <c r="LB389" s="16"/>
      <c r="LC389" s="16"/>
      <c r="LD389" s="16"/>
      <c r="LE389" s="16"/>
      <c r="LF389" s="17"/>
      <c r="LJ389" s="24"/>
      <c r="LK389" s="60"/>
      <c r="LL389" s="16"/>
      <c r="LM389" s="16"/>
      <c r="LN389" s="16"/>
      <c r="LO389" s="16"/>
      <c r="LP389" s="16"/>
      <c r="LQ389" s="17"/>
    </row>
    <row r="390">
      <c r="C390" s="31"/>
      <c r="D390" s="61"/>
      <c r="E390" s="16"/>
      <c r="F390" s="16"/>
      <c r="G390" s="21"/>
      <c r="H390" s="16"/>
      <c r="I390" s="16"/>
      <c r="J390" s="17"/>
      <c r="N390" s="17"/>
      <c r="O390" s="61"/>
      <c r="P390" s="16"/>
      <c r="Q390" s="16"/>
      <c r="R390" s="16"/>
      <c r="S390" s="16"/>
      <c r="T390" s="16"/>
      <c r="U390" s="17"/>
      <c r="Y390" s="24"/>
      <c r="Z390" s="61"/>
      <c r="AA390" s="16"/>
      <c r="AB390" s="16"/>
      <c r="AC390" s="16"/>
      <c r="AD390" s="16"/>
      <c r="AE390" s="16"/>
      <c r="AF390" s="17"/>
      <c r="AJ390" s="24"/>
      <c r="AK390" s="61"/>
      <c r="AL390" s="16"/>
      <c r="AM390" s="16"/>
      <c r="AN390" s="16"/>
      <c r="AO390" s="16"/>
      <c r="AP390" s="16"/>
      <c r="AQ390" s="17"/>
      <c r="AU390" s="24"/>
      <c r="AV390" s="61"/>
      <c r="AW390" s="16"/>
      <c r="AX390" s="16"/>
      <c r="AY390" s="16"/>
      <c r="AZ390" s="16"/>
      <c r="BA390" s="16"/>
      <c r="BB390" s="17"/>
      <c r="BF390" s="24"/>
      <c r="BG390" s="61"/>
      <c r="BH390" s="16"/>
      <c r="BI390" s="16"/>
      <c r="BJ390" s="16"/>
      <c r="BK390" s="16"/>
      <c r="BL390" s="16"/>
      <c r="BM390" s="17"/>
      <c r="BQ390" s="24"/>
      <c r="BR390" s="61"/>
      <c r="BS390" s="16"/>
      <c r="BT390" s="16"/>
      <c r="BU390" s="16"/>
      <c r="BV390" s="16"/>
      <c r="BW390" s="16"/>
      <c r="BX390" s="17"/>
      <c r="CB390" s="24"/>
      <c r="CC390" s="61"/>
      <c r="CD390" s="16"/>
      <c r="CE390" s="16"/>
      <c r="CF390" s="16"/>
      <c r="CG390" s="16"/>
      <c r="CH390" s="16"/>
      <c r="CI390" s="17"/>
      <c r="CM390" s="24"/>
      <c r="CN390" s="61"/>
      <c r="CO390" s="16"/>
      <c r="CP390" s="16"/>
      <c r="CQ390" s="16"/>
      <c r="CR390" s="16"/>
      <c r="CS390" s="16"/>
      <c r="CT390" s="17"/>
      <c r="CX390" s="24"/>
      <c r="CY390" s="60"/>
      <c r="CZ390" s="16"/>
      <c r="DA390" s="16"/>
      <c r="DB390" s="16"/>
      <c r="DC390" s="16"/>
      <c r="DD390" s="16"/>
      <c r="DE390" s="17"/>
      <c r="DI390" s="24"/>
      <c r="DJ390" s="60"/>
      <c r="DK390" s="16"/>
      <c r="DL390" s="16"/>
      <c r="DM390" s="16"/>
      <c r="DN390" s="16"/>
      <c r="DO390" s="16"/>
      <c r="DP390" s="17"/>
      <c r="DT390" s="24"/>
      <c r="DU390" s="60"/>
      <c r="DV390" s="16"/>
      <c r="DW390" s="16"/>
      <c r="DX390" s="16"/>
      <c r="DY390" s="16"/>
      <c r="DZ390" s="16"/>
      <c r="EA390" s="17"/>
      <c r="EE390" s="24"/>
      <c r="EF390" s="60"/>
      <c r="EG390" s="16"/>
      <c r="EH390" s="16"/>
      <c r="EI390" s="16"/>
      <c r="EJ390" s="16"/>
      <c r="EK390" s="16"/>
      <c r="EL390" s="17"/>
      <c r="EP390" s="24"/>
      <c r="EQ390" s="60"/>
      <c r="ER390" s="16"/>
      <c r="ES390" s="16"/>
      <c r="ET390" s="16"/>
      <c r="EU390" s="16"/>
      <c r="EV390" s="16"/>
      <c r="EW390" s="17"/>
      <c r="FA390" s="24"/>
      <c r="FB390" s="60"/>
      <c r="FC390" s="16"/>
      <c r="FD390" s="16"/>
      <c r="FE390" s="16"/>
      <c r="FF390" s="16"/>
      <c r="FG390" s="16"/>
      <c r="FH390" s="17"/>
      <c r="FL390" s="24"/>
      <c r="FM390" s="60"/>
      <c r="FN390" s="16"/>
      <c r="FO390" s="16"/>
      <c r="FP390" s="16"/>
      <c r="FQ390" s="16"/>
      <c r="FR390" s="16"/>
      <c r="FS390" s="17"/>
      <c r="FW390" s="24"/>
      <c r="FX390" s="60"/>
      <c r="FY390" s="16"/>
      <c r="FZ390" s="16"/>
      <c r="GA390" s="16"/>
      <c r="GB390" s="16"/>
      <c r="GC390" s="16"/>
      <c r="GD390" s="17"/>
      <c r="GH390" s="24"/>
      <c r="GI390" s="60"/>
      <c r="GJ390" s="16"/>
      <c r="GK390" s="16"/>
      <c r="GL390" s="16"/>
      <c r="GM390" s="16"/>
      <c r="GN390" s="16"/>
      <c r="GO390" s="17"/>
      <c r="GS390" s="24"/>
      <c r="GT390" s="60"/>
      <c r="GU390" s="16"/>
      <c r="GV390" s="16"/>
      <c r="GW390" s="16"/>
      <c r="GX390" s="16"/>
      <c r="GY390" s="16"/>
      <c r="GZ390" s="17"/>
      <c r="HD390" s="24"/>
      <c r="HE390" s="60"/>
      <c r="HF390" s="16"/>
      <c r="HG390" s="16"/>
      <c r="HH390" s="16"/>
      <c r="HI390" s="16"/>
      <c r="HJ390" s="16"/>
      <c r="HK390" s="17"/>
      <c r="HO390" s="24"/>
      <c r="HP390" s="60"/>
      <c r="HQ390" s="16"/>
      <c r="HR390" s="16"/>
      <c r="HS390" s="16"/>
      <c r="HT390" s="16"/>
      <c r="HU390" s="16"/>
      <c r="HV390" s="17"/>
      <c r="HZ390" s="24"/>
      <c r="IA390" s="60"/>
      <c r="IB390" s="16"/>
      <c r="IC390" s="16"/>
      <c r="ID390" s="16"/>
      <c r="IE390" s="16"/>
      <c r="IF390" s="16"/>
      <c r="IG390" s="17"/>
      <c r="IK390" s="24"/>
      <c r="IL390" s="60"/>
      <c r="IM390" s="16"/>
      <c r="IN390" s="16"/>
      <c r="IO390" s="16"/>
      <c r="IP390" s="16"/>
      <c r="IQ390" s="16"/>
      <c r="IR390" s="17"/>
      <c r="IV390" s="24"/>
      <c r="IW390" s="60"/>
      <c r="IX390" s="16"/>
      <c r="IY390" s="16"/>
      <c r="IZ390" s="16"/>
      <c r="JA390" s="16"/>
      <c r="JB390" s="16"/>
      <c r="JC390" s="17"/>
      <c r="JG390" s="24"/>
      <c r="JH390" s="60"/>
      <c r="JI390" s="16"/>
      <c r="JJ390" s="16"/>
      <c r="JK390" s="16"/>
      <c r="JL390" s="16"/>
      <c r="JM390" s="16"/>
      <c r="JN390" s="17"/>
      <c r="JR390" s="24"/>
      <c r="JS390" s="60"/>
      <c r="JT390" s="16"/>
      <c r="JU390" s="16"/>
      <c r="JV390" s="16"/>
      <c r="JW390" s="16"/>
      <c r="JX390" s="16"/>
      <c r="JY390" s="17"/>
      <c r="KC390" s="24"/>
      <c r="KD390" s="60"/>
      <c r="KE390" s="16"/>
      <c r="KF390" s="16"/>
      <c r="KG390" s="16"/>
      <c r="KH390" s="16"/>
      <c r="KI390" s="16"/>
      <c r="KJ390" s="17"/>
      <c r="KN390" s="24"/>
      <c r="KO390" s="60"/>
      <c r="KP390" s="16"/>
      <c r="KQ390" s="16"/>
      <c r="KR390" s="16"/>
      <c r="KS390" s="16"/>
      <c r="KT390" s="16"/>
      <c r="KU390" s="17"/>
      <c r="KY390" s="24"/>
      <c r="KZ390" s="60"/>
      <c r="LA390" s="16"/>
      <c r="LB390" s="16"/>
      <c r="LC390" s="16"/>
      <c r="LD390" s="16"/>
      <c r="LE390" s="16"/>
      <c r="LF390" s="17"/>
      <c r="LJ390" s="24"/>
      <c r="LK390" s="60"/>
      <c r="LL390" s="16"/>
      <c r="LM390" s="16"/>
      <c r="LN390" s="16"/>
      <c r="LO390" s="16"/>
      <c r="LP390" s="16"/>
      <c r="LQ390" s="17"/>
    </row>
    <row r="391">
      <c r="C391" s="31"/>
      <c r="D391" s="61"/>
      <c r="E391" s="16"/>
      <c r="F391" s="16"/>
      <c r="G391" s="21"/>
      <c r="H391" s="16"/>
      <c r="I391" s="16"/>
      <c r="J391" s="17"/>
      <c r="N391" s="17"/>
      <c r="O391" s="61"/>
      <c r="P391" s="16"/>
      <c r="Q391" s="16"/>
      <c r="R391" s="16"/>
      <c r="S391" s="16"/>
      <c r="T391" s="16"/>
      <c r="U391" s="17"/>
      <c r="Y391" s="24"/>
      <c r="Z391" s="61"/>
      <c r="AA391" s="16"/>
      <c r="AB391" s="16"/>
      <c r="AC391" s="16"/>
      <c r="AD391" s="16"/>
      <c r="AE391" s="16"/>
      <c r="AF391" s="17"/>
      <c r="AJ391" s="24"/>
      <c r="AK391" s="61"/>
      <c r="AL391" s="16"/>
      <c r="AM391" s="16"/>
      <c r="AN391" s="16"/>
      <c r="AO391" s="16"/>
      <c r="AP391" s="16"/>
      <c r="AQ391" s="17"/>
      <c r="AU391" s="24"/>
      <c r="AV391" s="61"/>
      <c r="AW391" s="16"/>
      <c r="AX391" s="16"/>
      <c r="AY391" s="16"/>
      <c r="AZ391" s="16"/>
      <c r="BA391" s="16"/>
      <c r="BB391" s="17"/>
      <c r="BF391" s="24"/>
      <c r="BG391" s="61"/>
      <c r="BH391" s="16"/>
      <c r="BI391" s="16"/>
      <c r="BJ391" s="16"/>
      <c r="BK391" s="16"/>
      <c r="BL391" s="16"/>
      <c r="BM391" s="17"/>
      <c r="BQ391" s="24"/>
      <c r="BR391" s="61"/>
      <c r="BS391" s="16"/>
      <c r="BT391" s="16"/>
      <c r="BU391" s="16"/>
      <c r="BV391" s="16"/>
      <c r="BW391" s="16"/>
      <c r="BX391" s="17"/>
      <c r="CB391" s="24"/>
      <c r="CC391" s="61"/>
      <c r="CD391" s="16"/>
      <c r="CE391" s="16"/>
      <c r="CF391" s="16"/>
      <c r="CG391" s="16"/>
      <c r="CH391" s="16"/>
      <c r="CI391" s="17"/>
      <c r="CM391" s="24"/>
      <c r="CN391" s="61"/>
      <c r="CO391" s="16"/>
      <c r="CP391" s="16"/>
      <c r="CQ391" s="16"/>
      <c r="CR391" s="16"/>
      <c r="CS391" s="16"/>
      <c r="CT391" s="17"/>
      <c r="CX391" s="24"/>
      <c r="CY391" s="60"/>
      <c r="CZ391" s="16"/>
      <c r="DA391" s="16"/>
      <c r="DB391" s="16"/>
      <c r="DC391" s="16"/>
      <c r="DD391" s="16"/>
      <c r="DE391" s="17"/>
      <c r="DI391" s="24"/>
      <c r="DJ391" s="60"/>
      <c r="DK391" s="16"/>
      <c r="DL391" s="16"/>
      <c r="DM391" s="16"/>
      <c r="DN391" s="16"/>
      <c r="DO391" s="16"/>
      <c r="DP391" s="17"/>
      <c r="DT391" s="24"/>
      <c r="DU391" s="60"/>
      <c r="DV391" s="16"/>
      <c r="DW391" s="16"/>
      <c r="DX391" s="16"/>
      <c r="DY391" s="16"/>
      <c r="DZ391" s="16"/>
      <c r="EA391" s="17"/>
      <c r="EE391" s="24"/>
      <c r="EF391" s="60"/>
      <c r="EG391" s="16"/>
      <c r="EH391" s="16"/>
      <c r="EI391" s="16"/>
      <c r="EJ391" s="16"/>
      <c r="EK391" s="16"/>
      <c r="EL391" s="17"/>
      <c r="EP391" s="24"/>
      <c r="EQ391" s="60"/>
      <c r="ER391" s="16"/>
      <c r="ES391" s="16"/>
      <c r="ET391" s="16"/>
      <c r="EU391" s="16"/>
      <c r="EV391" s="16"/>
      <c r="EW391" s="17"/>
      <c r="FA391" s="24"/>
      <c r="FB391" s="60"/>
      <c r="FC391" s="16"/>
      <c r="FD391" s="16"/>
      <c r="FE391" s="16"/>
      <c r="FF391" s="16"/>
      <c r="FG391" s="16"/>
      <c r="FH391" s="17"/>
      <c r="FL391" s="24"/>
      <c r="FM391" s="60"/>
      <c r="FN391" s="16"/>
      <c r="FO391" s="16"/>
      <c r="FP391" s="16"/>
      <c r="FQ391" s="16"/>
      <c r="FR391" s="16"/>
      <c r="FS391" s="17"/>
      <c r="FW391" s="24"/>
      <c r="FX391" s="60"/>
      <c r="FY391" s="16"/>
      <c r="FZ391" s="16"/>
      <c r="GA391" s="16"/>
      <c r="GB391" s="16"/>
      <c r="GC391" s="16"/>
      <c r="GD391" s="17"/>
      <c r="GH391" s="24"/>
      <c r="GI391" s="60"/>
      <c r="GJ391" s="16"/>
      <c r="GK391" s="16"/>
      <c r="GL391" s="16"/>
      <c r="GM391" s="16"/>
      <c r="GN391" s="16"/>
      <c r="GO391" s="17"/>
      <c r="GS391" s="24"/>
      <c r="GT391" s="60"/>
      <c r="GU391" s="16"/>
      <c r="GV391" s="16"/>
      <c r="GW391" s="16"/>
      <c r="GX391" s="16"/>
      <c r="GY391" s="16"/>
      <c r="GZ391" s="17"/>
      <c r="HD391" s="24"/>
      <c r="HE391" s="60"/>
      <c r="HF391" s="16"/>
      <c r="HG391" s="16"/>
      <c r="HH391" s="16"/>
      <c r="HI391" s="16"/>
      <c r="HJ391" s="16"/>
      <c r="HK391" s="17"/>
      <c r="HO391" s="24"/>
      <c r="HP391" s="60"/>
      <c r="HQ391" s="16"/>
      <c r="HR391" s="16"/>
      <c r="HS391" s="16"/>
      <c r="HT391" s="16"/>
      <c r="HU391" s="16"/>
      <c r="HV391" s="17"/>
      <c r="HZ391" s="24"/>
      <c r="IA391" s="60"/>
      <c r="IB391" s="16"/>
      <c r="IC391" s="16"/>
      <c r="ID391" s="16"/>
      <c r="IE391" s="16"/>
      <c r="IF391" s="16"/>
      <c r="IG391" s="17"/>
      <c r="IK391" s="24"/>
      <c r="IL391" s="60"/>
      <c r="IM391" s="16"/>
      <c r="IN391" s="16"/>
      <c r="IO391" s="16"/>
      <c r="IP391" s="16"/>
      <c r="IQ391" s="16"/>
      <c r="IR391" s="17"/>
      <c r="IV391" s="24"/>
      <c r="IW391" s="60"/>
      <c r="IX391" s="16"/>
      <c r="IY391" s="16"/>
      <c r="IZ391" s="16"/>
      <c r="JA391" s="16"/>
      <c r="JB391" s="16"/>
      <c r="JC391" s="17"/>
      <c r="JG391" s="24"/>
      <c r="JH391" s="60"/>
      <c r="JI391" s="16"/>
      <c r="JJ391" s="16"/>
      <c r="JK391" s="16"/>
      <c r="JL391" s="16"/>
      <c r="JM391" s="16"/>
      <c r="JN391" s="17"/>
      <c r="JR391" s="24"/>
      <c r="JS391" s="60"/>
      <c r="JT391" s="16"/>
      <c r="JU391" s="16"/>
      <c r="JV391" s="16"/>
      <c r="JW391" s="16"/>
      <c r="JX391" s="16"/>
      <c r="JY391" s="17"/>
      <c r="KC391" s="24"/>
      <c r="KD391" s="60"/>
      <c r="KE391" s="16"/>
      <c r="KF391" s="16"/>
      <c r="KG391" s="16"/>
      <c r="KH391" s="16"/>
      <c r="KI391" s="16"/>
      <c r="KJ391" s="17"/>
      <c r="KN391" s="24"/>
      <c r="KO391" s="60"/>
      <c r="KP391" s="16"/>
      <c r="KQ391" s="16"/>
      <c r="KR391" s="16"/>
      <c r="KS391" s="16"/>
      <c r="KT391" s="16"/>
      <c r="KU391" s="17"/>
      <c r="KY391" s="24"/>
      <c r="KZ391" s="60"/>
      <c r="LA391" s="16"/>
      <c r="LB391" s="16"/>
      <c r="LC391" s="16"/>
      <c r="LD391" s="16"/>
      <c r="LE391" s="16"/>
      <c r="LF391" s="17"/>
      <c r="LJ391" s="24"/>
      <c r="LK391" s="60"/>
      <c r="LL391" s="16"/>
      <c r="LM391" s="16"/>
      <c r="LN391" s="16"/>
      <c r="LO391" s="16"/>
      <c r="LP391" s="16"/>
      <c r="LQ391" s="17"/>
    </row>
    <row r="392">
      <c r="C392" s="31"/>
      <c r="D392" s="61"/>
      <c r="E392" s="16"/>
      <c r="F392" s="16"/>
      <c r="G392" s="21"/>
      <c r="H392" s="16"/>
      <c r="I392" s="16"/>
      <c r="J392" s="17"/>
      <c r="N392" s="17"/>
      <c r="O392" s="61"/>
      <c r="P392" s="16"/>
      <c r="Q392" s="16"/>
      <c r="R392" s="16"/>
      <c r="S392" s="16"/>
      <c r="T392" s="16"/>
      <c r="U392" s="17"/>
      <c r="Y392" s="24"/>
      <c r="Z392" s="61"/>
      <c r="AA392" s="16"/>
      <c r="AB392" s="16"/>
      <c r="AC392" s="16"/>
      <c r="AD392" s="16"/>
      <c r="AE392" s="16"/>
      <c r="AF392" s="17"/>
      <c r="AJ392" s="24"/>
      <c r="AK392" s="61"/>
      <c r="AL392" s="16"/>
      <c r="AM392" s="16"/>
      <c r="AN392" s="16"/>
      <c r="AO392" s="16"/>
      <c r="AP392" s="16"/>
      <c r="AQ392" s="17"/>
      <c r="AU392" s="24"/>
      <c r="AV392" s="61"/>
      <c r="AW392" s="16"/>
      <c r="AX392" s="16"/>
      <c r="AY392" s="16"/>
      <c r="AZ392" s="16"/>
      <c r="BA392" s="16"/>
      <c r="BB392" s="17"/>
      <c r="BF392" s="24"/>
      <c r="BG392" s="61"/>
      <c r="BH392" s="16"/>
      <c r="BI392" s="16"/>
      <c r="BJ392" s="16"/>
      <c r="BK392" s="16"/>
      <c r="BL392" s="16"/>
      <c r="BM392" s="17"/>
      <c r="BQ392" s="24"/>
      <c r="BR392" s="61"/>
      <c r="BS392" s="16"/>
      <c r="BT392" s="16"/>
      <c r="BU392" s="16"/>
      <c r="BV392" s="16"/>
      <c r="BW392" s="16"/>
      <c r="BX392" s="17"/>
      <c r="CB392" s="24"/>
      <c r="CC392" s="61"/>
      <c r="CD392" s="16"/>
      <c r="CE392" s="16"/>
      <c r="CF392" s="16"/>
      <c r="CG392" s="16"/>
      <c r="CH392" s="16"/>
      <c r="CI392" s="17"/>
      <c r="CM392" s="24"/>
      <c r="CN392" s="61"/>
      <c r="CO392" s="16"/>
      <c r="CP392" s="16"/>
      <c r="CQ392" s="16"/>
      <c r="CR392" s="16"/>
      <c r="CS392" s="16"/>
      <c r="CT392" s="17"/>
      <c r="CX392" s="24"/>
      <c r="CY392" s="60"/>
      <c r="CZ392" s="16"/>
      <c r="DA392" s="16"/>
      <c r="DB392" s="16"/>
      <c r="DC392" s="16"/>
      <c r="DD392" s="16"/>
      <c r="DE392" s="17"/>
      <c r="DI392" s="24"/>
      <c r="DJ392" s="60"/>
      <c r="DK392" s="16"/>
      <c r="DL392" s="16"/>
      <c r="DM392" s="16"/>
      <c r="DN392" s="16"/>
      <c r="DO392" s="16"/>
      <c r="DP392" s="17"/>
      <c r="DT392" s="24"/>
      <c r="DU392" s="60"/>
      <c r="DV392" s="16"/>
      <c r="DW392" s="16"/>
      <c r="DX392" s="16"/>
      <c r="DY392" s="16"/>
      <c r="DZ392" s="16"/>
      <c r="EA392" s="17"/>
      <c r="EE392" s="24"/>
      <c r="EF392" s="60"/>
      <c r="EG392" s="16"/>
      <c r="EH392" s="16"/>
      <c r="EI392" s="16"/>
      <c r="EJ392" s="16"/>
      <c r="EK392" s="16"/>
      <c r="EL392" s="17"/>
      <c r="EP392" s="24"/>
      <c r="EQ392" s="60"/>
      <c r="ER392" s="16"/>
      <c r="ES392" s="16"/>
      <c r="ET392" s="16"/>
      <c r="EU392" s="16"/>
      <c r="EV392" s="16"/>
      <c r="EW392" s="17"/>
      <c r="FA392" s="24"/>
      <c r="FB392" s="60"/>
      <c r="FC392" s="16"/>
      <c r="FD392" s="16"/>
      <c r="FE392" s="16"/>
      <c r="FF392" s="16"/>
      <c r="FG392" s="16"/>
      <c r="FH392" s="17"/>
      <c r="FL392" s="24"/>
      <c r="FM392" s="60"/>
      <c r="FN392" s="16"/>
      <c r="FO392" s="16"/>
      <c r="FP392" s="16"/>
      <c r="FQ392" s="16"/>
      <c r="FR392" s="16"/>
      <c r="FS392" s="17"/>
      <c r="FW392" s="24"/>
      <c r="FX392" s="60"/>
      <c r="FY392" s="16"/>
      <c r="FZ392" s="16"/>
      <c r="GA392" s="16"/>
      <c r="GB392" s="16"/>
      <c r="GC392" s="16"/>
      <c r="GD392" s="17"/>
      <c r="GH392" s="24"/>
      <c r="GI392" s="60"/>
      <c r="GJ392" s="16"/>
      <c r="GK392" s="16"/>
      <c r="GL392" s="16"/>
      <c r="GM392" s="16"/>
      <c r="GN392" s="16"/>
      <c r="GO392" s="17"/>
      <c r="GS392" s="24"/>
      <c r="GT392" s="60"/>
      <c r="GU392" s="16"/>
      <c r="GV392" s="16"/>
      <c r="GW392" s="16"/>
      <c r="GX392" s="16"/>
      <c r="GY392" s="16"/>
      <c r="GZ392" s="17"/>
      <c r="HD392" s="24"/>
      <c r="HE392" s="60"/>
      <c r="HF392" s="16"/>
      <c r="HG392" s="16"/>
      <c r="HH392" s="16"/>
      <c r="HI392" s="16"/>
      <c r="HJ392" s="16"/>
      <c r="HK392" s="17"/>
      <c r="HO392" s="24"/>
      <c r="HP392" s="60"/>
      <c r="HQ392" s="16"/>
      <c r="HR392" s="16"/>
      <c r="HS392" s="16"/>
      <c r="HT392" s="16"/>
      <c r="HU392" s="16"/>
      <c r="HV392" s="17"/>
      <c r="HZ392" s="24"/>
      <c r="IA392" s="60"/>
      <c r="IB392" s="16"/>
      <c r="IC392" s="16"/>
      <c r="ID392" s="16"/>
      <c r="IE392" s="16"/>
      <c r="IF392" s="16"/>
      <c r="IG392" s="17"/>
      <c r="IK392" s="24"/>
      <c r="IL392" s="60"/>
      <c r="IM392" s="16"/>
      <c r="IN392" s="16"/>
      <c r="IO392" s="16"/>
      <c r="IP392" s="16"/>
      <c r="IQ392" s="16"/>
      <c r="IR392" s="17"/>
      <c r="IV392" s="24"/>
      <c r="IW392" s="60"/>
      <c r="IX392" s="16"/>
      <c r="IY392" s="16"/>
      <c r="IZ392" s="16"/>
      <c r="JA392" s="16"/>
      <c r="JB392" s="16"/>
      <c r="JC392" s="17"/>
      <c r="JG392" s="24"/>
      <c r="JH392" s="60"/>
      <c r="JI392" s="16"/>
      <c r="JJ392" s="16"/>
      <c r="JK392" s="16"/>
      <c r="JL392" s="16"/>
      <c r="JM392" s="16"/>
      <c r="JN392" s="17"/>
      <c r="JR392" s="24"/>
      <c r="JS392" s="60"/>
      <c r="JT392" s="16"/>
      <c r="JU392" s="16"/>
      <c r="JV392" s="16"/>
      <c r="JW392" s="16"/>
      <c r="JX392" s="16"/>
      <c r="JY392" s="17"/>
      <c r="KC392" s="24"/>
      <c r="KD392" s="60"/>
      <c r="KE392" s="16"/>
      <c r="KF392" s="16"/>
      <c r="KG392" s="16"/>
      <c r="KH392" s="16"/>
      <c r="KI392" s="16"/>
      <c r="KJ392" s="17"/>
      <c r="KN392" s="24"/>
      <c r="KO392" s="60"/>
      <c r="KP392" s="16"/>
      <c r="KQ392" s="16"/>
      <c r="KR392" s="16"/>
      <c r="KS392" s="16"/>
      <c r="KT392" s="16"/>
      <c r="KU392" s="17"/>
      <c r="KY392" s="24"/>
      <c r="KZ392" s="60"/>
      <c r="LA392" s="16"/>
      <c r="LB392" s="16"/>
      <c r="LC392" s="16"/>
      <c r="LD392" s="16"/>
      <c r="LE392" s="16"/>
      <c r="LF392" s="17"/>
      <c r="LJ392" s="24"/>
      <c r="LK392" s="60"/>
      <c r="LL392" s="16"/>
      <c r="LM392" s="16"/>
      <c r="LN392" s="16"/>
      <c r="LO392" s="16"/>
      <c r="LP392" s="16"/>
      <c r="LQ392" s="17"/>
    </row>
    <row r="393">
      <c r="C393" s="31"/>
      <c r="D393" s="61"/>
      <c r="E393" s="16"/>
      <c r="F393" s="16"/>
      <c r="G393" s="21"/>
      <c r="H393" s="16"/>
      <c r="I393" s="16"/>
      <c r="J393" s="17"/>
      <c r="N393" s="17"/>
      <c r="O393" s="61"/>
      <c r="P393" s="16"/>
      <c r="Q393" s="16"/>
      <c r="R393" s="16"/>
      <c r="S393" s="16"/>
      <c r="T393" s="16"/>
      <c r="U393" s="17"/>
      <c r="Y393" s="24"/>
      <c r="Z393" s="61"/>
      <c r="AA393" s="16"/>
      <c r="AB393" s="16"/>
      <c r="AC393" s="16"/>
      <c r="AD393" s="16"/>
      <c r="AE393" s="16"/>
      <c r="AF393" s="17"/>
      <c r="AJ393" s="24"/>
      <c r="AK393" s="61"/>
      <c r="AL393" s="16"/>
      <c r="AM393" s="16"/>
      <c r="AN393" s="16"/>
      <c r="AO393" s="16"/>
      <c r="AP393" s="16"/>
      <c r="AQ393" s="17"/>
      <c r="AU393" s="24"/>
      <c r="AV393" s="61"/>
      <c r="AW393" s="16"/>
      <c r="AX393" s="16"/>
      <c r="AY393" s="16"/>
      <c r="AZ393" s="16"/>
      <c r="BA393" s="16"/>
      <c r="BB393" s="17"/>
      <c r="BF393" s="24"/>
      <c r="BG393" s="61"/>
      <c r="BH393" s="16"/>
      <c r="BI393" s="16"/>
      <c r="BJ393" s="16"/>
      <c r="BK393" s="16"/>
      <c r="BL393" s="16"/>
      <c r="BM393" s="17"/>
      <c r="BQ393" s="24"/>
      <c r="BR393" s="61"/>
      <c r="BS393" s="16"/>
      <c r="BT393" s="16"/>
      <c r="BU393" s="16"/>
      <c r="BV393" s="16"/>
      <c r="BW393" s="16"/>
      <c r="BX393" s="17"/>
      <c r="CB393" s="24"/>
      <c r="CC393" s="61"/>
      <c r="CD393" s="16"/>
      <c r="CE393" s="16"/>
      <c r="CF393" s="16"/>
      <c r="CG393" s="16"/>
      <c r="CH393" s="16"/>
      <c r="CI393" s="17"/>
      <c r="CM393" s="24"/>
      <c r="CN393" s="61"/>
      <c r="CO393" s="16"/>
      <c r="CP393" s="16"/>
      <c r="CQ393" s="16"/>
      <c r="CR393" s="16"/>
      <c r="CS393" s="16"/>
      <c r="CT393" s="17"/>
      <c r="CX393" s="24"/>
      <c r="CY393" s="60"/>
      <c r="CZ393" s="16"/>
      <c r="DA393" s="16"/>
      <c r="DB393" s="16"/>
      <c r="DC393" s="16"/>
      <c r="DD393" s="16"/>
      <c r="DE393" s="17"/>
      <c r="DI393" s="24"/>
      <c r="DJ393" s="60"/>
      <c r="DK393" s="16"/>
      <c r="DL393" s="16"/>
      <c r="DM393" s="16"/>
      <c r="DN393" s="16"/>
      <c r="DO393" s="16"/>
      <c r="DP393" s="17"/>
      <c r="DT393" s="24"/>
      <c r="DU393" s="60"/>
      <c r="DV393" s="16"/>
      <c r="DW393" s="16"/>
      <c r="DX393" s="16"/>
      <c r="DY393" s="16"/>
      <c r="DZ393" s="16"/>
      <c r="EA393" s="17"/>
      <c r="EE393" s="24"/>
      <c r="EF393" s="60"/>
      <c r="EG393" s="16"/>
      <c r="EH393" s="16"/>
      <c r="EI393" s="16"/>
      <c r="EJ393" s="16"/>
      <c r="EK393" s="16"/>
      <c r="EL393" s="17"/>
      <c r="EP393" s="24"/>
      <c r="EQ393" s="60"/>
      <c r="ER393" s="16"/>
      <c r="ES393" s="16"/>
      <c r="ET393" s="16"/>
      <c r="EU393" s="16"/>
      <c r="EV393" s="16"/>
      <c r="EW393" s="17"/>
      <c r="FA393" s="24"/>
      <c r="FB393" s="60"/>
      <c r="FC393" s="16"/>
      <c r="FD393" s="16"/>
      <c r="FE393" s="16"/>
      <c r="FF393" s="16"/>
      <c r="FG393" s="16"/>
      <c r="FH393" s="17"/>
      <c r="FL393" s="24"/>
      <c r="FM393" s="60"/>
      <c r="FN393" s="16"/>
      <c r="FO393" s="16"/>
      <c r="FP393" s="16"/>
      <c r="FQ393" s="16"/>
      <c r="FR393" s="16"/>
      <c r="FS393" s="17"/>
      <c r="FW393" s="24"/>
      <c r="FX393" s="60"/>
      <c r="FY393" s="16"/>
      <c r="FZ393" s="16"/>
      <c r="GA393" s="16"/>
      <c r="GB393" s="16"/>
      <c r="GC393" s="16"/>
      <c r="GD393" s="17"/>
      <c r="GH393" s="24"/>
      <c r="GI393" s="60"/>
      <c r="GJ393" s="16"/>
      <c r="GK393" s="16"/>
      <c r="GL393" s="16"/>
      <c r="GM393" s="16"/>
      <c r="GN393" s="16"/>
      <c r="GO393" s="17"/>
      <c r="GS393" s="24"/>
      <c r="GT393" s="60"/>
      <c r="GU393" s="16"/>
      <c r="GV393" s="16"/>
      <c r="GW393" s="16"/>
      <c r="GX393" s="16"/>
      <c r="GY393" s="16"/>
      <c r="GZ393" s="17"/>
      <c r="HD393" s="24"/>
      <c r="HE393" s="60"/>
      <c r="HF393" s="16"/>
      <c r="HG393" s="16"/>
      <c r="HH393" s="16"/>
      <c r="HI393" s="16"/>
      <c r="HJ393" s="16"/>
      <c r="HK393" s="17"/>
      <c r="HO393" s="24"/>
      <c r="HP393" s="60"/>
      <c r="HQ393" s="16"/>
      <c r="HR393" s="16"/>
      <c r="HS393" s="16"/>
      <c r="HT393" s="16"/>
      <c r="HU393" s="16"/>
      <c r="HV393" s="17"/>
      <c r="HZ393" s="24"/>
      <c r="IA393" s="60"/>
      <c r="IB393" s="16"/>
      <c r="IC393" s="16"/>
      <c r="ID393" s="16"/>
      <c r="IE393" s="16"/>
      <c r="IF393" s="16"/>
      <c r="IG393" s="17"/>
      <c r="IK393" s="24"/>
      <c r="IL393" s="60"/>
      <c r="IM393" s="16"/>
      <c r="IN393" s="16"/>
      <c r="IO393" s="16"/>
      <c r="IP393" s="16"/>
      <c r="IQ393" s="16"/>
      <c r="IR393" s="17"/>
      <c r="IV393" s="24"/>
      <c r="IW393" s="60"/>
      <c r="IX393" s="16"/>
      <c r="IY393" s="16"/>
      <c r="IZ393" s="16"/>
      <c r="JA393" s="16"/>
      <c r="JB393" s="16"/>
      <c r="JC393" s="17"/>
      <c r="JG393" s="24"/>
      <c r="JH393" s="60"/>
      <c r="JI393" s="16"/>
      <c r="JJ393" s="16"/>
      <c r="JK393" s="16"/>
      <c r="JL393" s="16"/>
      <c r="JM393" s="16"/>
      <c r="JN393" s="17"/>
      <c r="JR393" s="24"/>
      <c r="JS393" s="60"/>
      <c r="JT393" s="16"/>
      <c r="JU393" s="16"/>
      <c r="JV393" s="16"/>
      <c r="JW393" s="16"/>
      <c r="JX393" s="16"/>
      <c r="JY393" s="17"/>
      <c r="KC393" s="24"/>
      <c r="KD393" s="60"/>
      <c r="KE393" s="16"/>
      <c r="KF393" s="16"/>
      <c r="KG393" s="16"/>
      <c r="KH393" s="16"/>
      <c r="KI393" s="16"/>
      <c r="KJ393" s="17"/>
      <c r="KN393" s="24"/>
      <c r="KO393" s="60"/>
      <c r="KP393" s="16"/>
      <c r="KQ393" s="16"/>
      <c r="KR393" s="16"/>
      <c r="KS393" s="16"/>
      <c r="KT393" s="16"/>
      <c r="KU393" s="17"/>
      <c r="KY393" s="24"/>
      <c r="KZ393" s="60"/>
      <c r="LA393" s="16"/>
      <c r="LB393" s="16"/>
      <c r="LC393" s="16"/>
      <c r="LD393" s="16"/>
      <c r="LE393" s="16"/>
      <c r="LF393" s="17"/>
      <c r="LJ393" s="24"/>
      <c r="LK393" s="60"/>
      <c r="LL393" s="16"/>
      <c r="LM393" s="16"/>
      <c r="LN393" s="16"/>
      <c r="LO393" s="16"/>
      <c r="LP393" s="16"/>
      <c r="LQ393" s="17"/>
    </row>
    <row r="394">
      <c r="C394" s="31"/>
      <c r="D394" s="61"/>
      <c r="E394" s="16"/>
      <c r="F394" s="16"/>
      <c r="G394" s="21"/>
      <c r="H394" s="16"/>
      <c r="I394" s="16"/>
      <c r="J394" s="17"/>
      <c r="N394" s="17"/>
      <c r="O394" s="61"/>
      <c r="P394" s="16"/>
      <c r="Q394" s="16"/>
      <c r="R394" s="16"/>
      <c r="S394" s="16"/>
      <c r="T394" s="16"/>
      <c r="U394" s="17"/>
      <c r="Y394" s="24"/>
      <c r="Z394" s="61"/>
      <c r="AA394" s="16"/>
      <c r="AB394" s="16"/>
      <c r="AC394" s="16"/>
      <c r="AD394" s="16"/>
      <c r="AE394" s="16"/>
      <c r="AF394" s="17"/>
      <c r="AJ394" s="24"/>
      <c r="AK394" s="61"/>
      <c r="AL394" s="16"/>
      <c r="AM394" s="16"/>
      <c r="AN394" s="16"/>
      <c r="AO394" s="16"/>
      <c r="AP394" s="16"/>
      <c r="AQ394" s="17"/>
      <c r="AU394" s="24"/>
      <c r="AV394" s="61"/>
      <c r="AW394" s="16"/>
      <c r="AX394" s="16"/>
      <c r="AY394" s="16"/>
      <c r="AZ394" s="16"/>
      <c r="BA394" s="16"/>
      <c r="BB394" s="17"/>
      <c r="BF394" s="24"/>
      <c r="BG394" s="61"/>
      <c r="BH394" s="16"/>
      <c r="BI394" s="16"/>
      <c r="BJ394" s="16"/>
      <c r="BK394" s="16"/>
      <c r="BL394" s="16"/>
      <c r="BM394" s="17"/>
      <c r="BQ394" s="24"/>
      <c r="BR394" s="61"/>
      <c r="BS394" s="16"/>
      <c r="BT394" s="16"/>
      <c r="BU394" s="16"/>
      <c r="BV394" s="16"/>
      <c r="BW394" s="16"/>
      <c r="BX394" s="17"/>
      <c r="CB394" s="24"/>
      <c r="CC394" s="61"/>
      <c r="CD394" s="16"/>
      <c r="CE394" s="16"/>
      <c r="CF394" s="16"/>
      <c r="CG394" s="16"/>
      <c r="CH394" s="16"/>
      <c r="CI394" s="17"/>
      <c r="CM394" s="24"/>
      <c r="CN394" s="61"/>
      <c r="CO394" s="16"/>
      <c r="CP394" s="16"/>
      <c r="CQ394" s="16"/>
      <c r="CR394" s="16"/>
      <c r="CS394" s="16"/>
      <c r="CT394" s="17"/>
      <c r="CX394" s="24"/>
      <c r="CY394" s="60"/>
      <c r="CZ394" s="16"/>
      <c r="DA394" s="16"/>
      <c r="DB394" s="16"/>
      <c r="DC394" s="16"/>
      <c r="DD394" s="16"/>
      <c r="DE394" s="17"/>
      <c r="DI394" s="24"/>
      <c r="DJ394" s="60"/>
      <c r="DK394" s="16"/>
      <c r="DL394" s="16"/>
      <c r="DM394" s="16"/>
      <c r="DN394" s="16"/>
      <c r="DO394" s="16"/>
      <c r="DP394" s="17"/>
      <c r="DT394" s="24"/>
      <c r="DU394" s="60"/>
      <c r="DV394" s="16"/>
      <c r="DW394" s="16"/>
      <c r="DX394" s="16"/>
      <c r="DY394" s="16"/>
      <c r="DZ394" s="16"/>
      <c r="EA394" s="17"/>
      <c r="EE394" s="24"/>
      <c r="EF394" s="60"/>
      <c r="EG394" s="16"/>
      <c r="EH394" s="16"/>
      <c r="EI394" s="16"/>
      <c r="EJ394" s="16"/>
      <c r="EK394" s="16"/>
      <c r="EL394" s="17"/>
      <c r="EP394" s="24"/>
      <c r="EQ394" s="60"/>
      <c r="ER394" s="16"/>
      <c r="ES394" s="16"/>
      <c r="ET394" s="16"/>
      <c r="EU394" s="16"/>
      <c r="EV394" s="16"/>
      <c r="EW394" s="17"/>
      <c r="FA394" s="24"/>
      <c r="FB394" s="60"/>
      <c r="FC394" s="16"/>
      <c r="FD394" s="16"/>
      <c r="FE394" s="16"/>
      <c r="FF394" s="16"/>
      <c r="FG394" s="16"/>
      <c r="FH394" s="17"/>
      <c r="FL394" s="24"/>
      <c r="FM394" s="60"/>
      <c r="FN394" s="16"/>
      <c r="FO394" s="16"/>
      <c r="FP394" s="16"/>
      <c r="FQ394" s="16"/>
      <c r="FR394" s="16"/>
      <c r="FS394" s="17"/>
      <c r="FW394" s="24"/>
      <c r="FX394" s="60"/>
      <c r="FY394" s="16"/>
      <c r="FZ394" s="16"/>
      <c r="GA394" s="16"/>
      <c r="GB394" s="16"/>
      <c r="GC394" s="16"/>
      <c r="GD394" s="17"/>
      <c r="GH394" s="24"/>
      <c r="GI394" s="60"/>
      <c r="GJ394" s="16"/>
      <c r="GK394" s="16"/>
      <c r="GL394" s="16"/>
      <c r="GM394" s="16"/>
      <c r="GN394" s="16"/>
      <c r="GO394" s="17"/>
      <c r="GS394" s="24"/>
      <c r="GT394" s="60"/>
      <c r="GU394" s="16"/>
      <c r="GV394" s="16"/>
      <c r="GW394" s="16"/>
      <c r="GX394" s="16"/>
      <c r="GY394" s="16"/>
      <c r="GZ394" s="17"/>
      <c r="HD394" s="24"/>
      <c r="HE394" s="60"/>
      <c r="HF394" s="16"/>
      <c r="HG394" s="16"/>
      <c r="HH394" s="16"/>
      <c r="HI394" s="16"/>
      <c r="HJ394" s="16"/>
      <c r="HK394" s="17"/>
      <c r="HO394" s="24"/>
      <c r="HP394" s="60"/>
      <c r="HQ394" s="16"/>
      <c r="HR394" s="16"/>
      <c r="HS394" s="16"/>
      <c r="HT394" s="16"/>
      <c r="HU394" s="16"/>
      <c r="HV394" s="17"/>
      <c r="HZ394" s="24"/>
      <c r="IA394" s="60"/>
      <c r="IB394" s="16"/>
      <c r="IC394" s="16"/>
      <c r="ID394" s="16"/>
      <c r="IE394" s="16"/>
      <c r="IF394" s="16"/>
      <c r="IG394" s="17"/>
      <c r="IK394" s="24"/>
      <c r="IL394" s="60"/>
      <c r="IM394" s="16"/>
      <c r="IN394" s="16"/>
      <c r="IO394" s="16"/>
      <c r="IP394" s="16"/>
      <c r="IQ394" s="16"/>
      <c r="IR394" s="17"/>
      <c r="IV394" s="24"/>
      <c r="IW394" s="60"/>
      <c r="IX394" s="16"/>
      <c r="IY394" s="16"/>
      <c r="IZ394" s="16"/>
      <c r="JA394" s="16"/>
      <c r="JB394" s="16"/>
      <c r="JC394" s="17"/>
      <c r="JG394" s="24"/>
      <c r="JH394" s="60"/>
      <c r="JI394" s="16"/>
      <c r="JJ394" s="16"/>
      <c r="JK394" s="16"/>
      <c r="JL394" s="16"/>
      <c r="JM394" s="16"/>
      <c r="JN394" s="17"/>
      <c r="JR394" s="24"/>
      <c r="JS394" s="60"/>
      <c r="JT394" s="16"/>
      <c r="JU394" s="16"/>
      <c r="JV394" s="16"/>
      <c r="JW394" s="16"/>
      <c r="JX394" s="16"/>
      <c r="JY394" s="17"/>
      <c r="KC394" s="24"/>
      <c r="KD394" s="60"/>
      <c r="KE394" s="16"/>
      <c r="KF394" s="16"/>
      <c r="KG394" s="16"/>
      <c r="KH394" s="16"/>
      <c r="KI394" s="16"/>
      <c r="KJ394" s="17"/>
      <c r="KN394" s="24"/>
      <c r="KO394" s="60"/>
      <c r="KP394" s="16"/>
      <c r="KQ394" s="16"/>
      <c r="KR394" s="16"/>
      <c r="KS394" s="16"/>
      <c r="KT394" s="16"/>
      <c r="KU394" s="17"/>
      <c r="KY394" s="24"/>
      <c r="KZ394" s="60"/>
      <c r="LA394" s="16"/>
      <c r="LB394" s="16"/>
      <c r="LC394" s="16"/>
      <c r="LD394" s="16"/>
      <c r="LE394" s="16"/>
      <c r="LF394" s="17"/>
      <c r="LJ394" s="24"/>
      <c r="LK394" s="60"/>
      <c r="LL394" s="16"/>
      <c r="LM394" s="16"/>
      <c r="LN394" s="16"/>
      <c r="LO394" s="16"/>
      <c r="LP394" s="16"/>
      <c r="LQ394" s="17"/>
    </row>
    <row r="395">
      <c r="C395" s="31"/>
      <c r="D395" s="61"/>
      <c r="E395" s="16"/>
      <c r="F395" s="16"/>
      <c r="G395" s="21"/>
      <c r="H395" s="16"/>
      <c r="I395" s="16"/>
      <c r="J395" s="17"/>
      <c r="N395" s="17"/>
      <c r="O395" s="61"/>
      <c r="P395" s="16"/>
      <c r="Q395" s="16"/>
      <c r="R395" s="16"/>
      <c r="S395" s="16"/>
      <c r="T395" s="16"/>
      <c r="U395" s="17"/>
      <c r="Y395" s="24"/>
      <c r="Z395" s="61"/>
      <c r="AA395" s="16"/>
      <c r="AB395" s="16"/>
      <c r="AC395" s="16"/>
      <c r="AD395" s="16"/>
      <c r="AE395" s="16"/>
      <c r="AF395" s="17"/>
      <c r="AJ395" s="24"/>
      <c r="AK395" s="61"/>
      <c r="AL395" s="16"/>
      <c r="AM395" s="16"/>
      <c r="AN395" s="16"/>
      <c r="AO395" s="16"/>
      <c r="AP395" s="16"/>
      <c r="AQ395" s="17"/>
      <c r="AU395" s="24"/>
      <c r="AV395" s="61"/>
      <c r="AW395" s="16"/>
      <c r="AX395" s="16"/>
      <c r="AY395" s="16"/>
      <c r="AZ395" s="16"/>
      <c r="BA395" s="16"/>
      <c r="BB395" s="17"/>
      <c r="BF395" s="24"/>
      <c r="BG395" s="61"/>
      <c r="BH395" s="16"/>
      <c r="BI395" s="16"/>
      <c r="BJ395" s="16"/>
      <c r="BK395" s="16"/>
      <c r="BL395" s="16"/>
      <c r="BM395" s="17"/>
      <c r="BQ395" s="24"/>
      <c r="BR395" s="61"/>
      <c r="BS395" s="16"/>
      <c r="BT395" s="16"/>
      <c r="BU395" s="16"/>
      <c r="BV395" s="16"/>
      <c r="BW395" s="16"/>
      <c r="BX395" s="17"/>
      <c r="CB395" s="24"/>
      <c r="CC395" s="61"/>
      <c r="CD395" s="16"/>
      <c r="CE395" s="16"/>
      <c r="CF395" s="16"/>
      <c r="CG395" s="16"/>
      <c r="CH395" s="16"/>
      <c r="CI395" s="17"/>
      <c r="CM395" s="24"/>
      <c r="CN395" s="61"/>
      <c r="CO395" s="16"/>
      <c r="CP395" s="16"/>
      <c r="CQ395" s="16"/>
      <c r="CR395" s="16"/>
      <c r="CS395" s="16"/>
      <c r="CT395" s="17"/>
      <c r="CX395" s="24"/>
      <c r="CY395" s="60"/>
      <c r="CZ395" s="16"/>
      <c r="DA395" s="16"/>
      <c r="DB395" s="16"/>
      <c r="DC395" s="16"/>
      <c r="DD395" s="16"/>
      <c r="DE395" s="17"/>
      <c r="DI395" s="24"/>
      <c r="DJ395" s="60"/>
      <c r="DK395" s="16"/>
      <c r="DL395" s="16"/>
      <c r="DM395" s="16"/>
      <c r="DN395" s="16"/>
      <c r="DO395" s="16"/>
      <c r="DP395" s="17"/>
      <c r="DT395" s="24"/>
      <c r="DU395" s="60"/>
      <c r="DV395" s="16"/>
      <c r="DW395" s="16"/>
      <c r="DX395" s="16"/>
      <c r="DY395" s="16"/>
      <c r="DZ395" s="16"/>
      <c r="EA395" s="17"/>
      <c r="EE395" s="24"/>
      <c r="EF395" s="60"/>
      <c r="EG395" s="16"/>
      <c r="EH395" s="16"/>
      <c r="EI395" s="16"/>
      <c r="EJ395" s="16"/>
      <c r="EK395" s="16"/>
      <c r="EL395" s="17"/>
      <c r="EP395" s="24"/>
      <c r="EQ395" s="60"/>
      <c r="ER395" s="16"/>
      <c r="ES395" s="16"/>
      <c r="ET395" s="16"/>
      <c r="EU395" s="16"/>
      <c r="EV395" s="16"/>
      <c r="EW395" s="17"/>
      <c r="FA395" s="24"/>
      <c r="FB395" s="60"/>
      <c r="FC395" s="16"/>
      <c r="FD395" s="16"/>
      <c r="FE395" s="16"/>
      <c r="FF395" s="16"/>
      <c r="FG395" s="16"/>
      <c r="FH395" s="17"/>
      <c r="FL395" s="24"/>
      <c r="FM395" s="60"/>
      <c r="FN395" s="16"/>
      <c r="FO395" s="16"/>
      <c r="FP395" s="16"/>
      <c r="FQ395" s="16"/>
      <c r="FR395" s="16"/>
      <c r="FS395" s="17"/>
      <c r="FW395" s="24"/>
      <c r="FX395" s="60"/>
      <c r="FY395" s="16"/>
      <c r="FZ395" s="16"/>
      <c r="GA395" s="16"/>
      <c r="GB395" s="16"/>
      <c r="GC395" s="16"/>
      <c r="GD395" s="17"/>
      <c r="GH395" s="24"/>
      <c r="GI395" s="60"/>
      <c r="GJ395" s="16"/>
      <c r="GK395" s="16"/>
      <c r="GL395" s="16"/>
      <c r="GM395" s="16"/>
      <c r="GN395" s="16"/>
      <c r="GO395" s="17"/>
      <c r="GS395" s="24"/>
      <c r="GT395" s="60"/>
      <c r="GU395" s="16"/>
      <c r="GV395" s="16"/>
      <c r="GW395" s="16"/>
      <c r="GX395" s="16"/>
      <c r="GY395" s="16"/>
      <c r="GZ395" s="17"/>
      <c r="HD395" s="24"/>
      <c r="HE395" s="60"/>
      <c r="HF395" s="16"/>
      <c r="HG395" s="16"/>
      <c r="HH395" s="16"/>
      <c r="HI395" s="16"/>
      <c r="HJ395" s="16"/>
      <c r="HK395" s="17"/>
      <c r="HO395" s="24"/>
      <c r="HP395" s="60"/>
      <c r="HQ395" s="16"/>
      <c r="HR395" s="16"/>
      <c r="HS395" s="16"/>
      <c r="HT395" s="16"/>
      <c r="HU395" s="16"/>
      <c r="HV395" s="17"/>
      <c r="HZ395" s="24"/>
      <c r="IA395" s="60"/>
      <c r="IB395" s="16"/>
      <c r="IC395" s="16"/>
      <c r="ID395" s="16"/>
      <c r="IE395" s="16"/>
      <c r="IF395" s="16"/>
      <c r="IG395" s="17"/>
      <c r="IK395" s="24"/>
      <c r="IL395" s="60"/>
      <c r="IM395" s="16"/>
      <c r="IN395" s="16"/>
      <c r="IO395" s="16"/>
      <c r="IP395" s="16"/>
      <c r="IQ395" s="16"/>
      <c r="IR395" s="17"/>
      <c r="IV395" s="24"/>
      <c r="IW395" s="60"/>
      <c r="IX395" s="16"/>
      <c r="IY395" s="16"/>
      <c r="IZ395" s="16"/>
      <c r="JA395" s="16"/>
      <c r="JB395" s="16"/>
      <c r="JC395" s="17"/>
      <c r="JG395" s="24"/>
      <c r="JH395" s="60"/>
      <c r="JI395" s="16"/>
      <c r="JJ395" s="16"/>
      <c r="JK395" s="16"/>
      <c r="JL395" s="16"/>
      <c r="JM395" s="16"/>
      <c r="JN395" s="17"/>
      <c r="JR395" s="24"/>
      <c r="JS395" s="60"/>
      <c r="JT395" s="16"/>
      <c r="JU395" s="16"/>
      <c r="JV395" s="16"/>
      <c r="JW395" s="16"/>
      <c r="JX395" s="16"/>
      <c r="JY395" s="17"/>
      <c r="KC395" s="24"/>
      <c r="KD395" s="60"/>
      <c r="KE395" s="16"/>
      <c r="KF395" s="16"/>
      <c r="KG395" s="16"/>
      <c r="KH395" s="16"/>
      <c r="KI395" s="16"/>
      <c r="KJ395" s="17"/>
      <c r="KN395" s="24"/>
      <c r="KO395" s="60"/>
      <c r="KP395" s="16"/>
      <c r="KQ395" s="16"/>
      <c r="KR395" s="16"/>
      <c r="KS395" s="16"/>
      <c r="KT395" s="16"/>
      <c r="KU395" s="17"/>
      <c r="KY395" s="24"/>
      <c r="KZ395" s="60"/>
      <c r="LA395" s="16"/>
      <c r="LB395" s="16"/>
      <c r="LC395" s="16"/>
      <c r="LD395" s="16"/>
      <c r="LE395" s="16"/>
      <c r="LF395" s="17"/>
      <c r="LJ395" s="24"/>
      <c r="LK395" s="60"/>
      <c r="LL395" s="16"/>
      <c r="LM395" s="16"/>
      <c r="LN395" s="16"/>
      <c r="LO395" s="16"/>
      <c r="LP395" s="16"/>
      <c r="LQ395" s="17"/>
    </row>
    <row r="396">
      <c r="C396" s="31"/>
      <c r="D396" s="61"/>
      <c r="E396" s="16"/>
      <c r="F396" s="16"/>
      <c r="G396" s="21"/>
      <c r="H396" s="16"/>
      <c r="I396" s="16"/>
      <c r="J396" s="17"/>
      <c r="N396" s="17"/>
      <c r="O396" s="61"/>
      <c r="P396" s="16"/>
      <c r="Q396" s="16"/>
      <c r="R396" s="16"/>
      <c r="S396" s="16"/>
      <c r="T396" s="16"/>
      <c r="U396" s="17"/>
      <c r="Y396" s="24"/>
      <c r="Z396" s="61"/>
      <c r="AA396" s="16"/>
      <c r="AB396" s="16"/>
      <c r="AC396" s="16"/>
      <c r="AD396" s="16"/>
      <c r="AE396" s="16"/>
      <c r="AF396" s="17"/>
      <c r="AJ396" s="24"/>
      <c r="AK396" s="61"/>
      <c r="AL396" s="16"/>
      <c r="AM396" s="16"/>
      <c r="AN396" s="16"/>
      <c r="AO396" s="16"/>
      <c r="AP396" s="16"/>
      <c r="AQ396" s="17"/>
      <c r="AU396" s="24"/>
      <c r="AV396" s="61"/>
      <c r="AW396" s="16"/>
      <c r="AX396" s="16"/>
      <c r="AY396" s="16"/>
      <c r="AZ396" s="16"/>
      <c r="BA396" s="16"/>
      <c r="BB396" s="17"/>
      <c r="BF396" s="24"/>
      <c r="BG396" s="61"/>
      <c r="BH396" s="16"/>
      <c r="BI396" s="16"/>
      <c r="BJ396" s="16"/>
      <c r="BK396" s="16"/>
      <c r="BL396" s="16"/>
      <c r="BM396" s="17"/>
      <c r="BQ396" s="24"/>
      <c r="BR396" s="61"/>
      <c r="BS396" s="16"/>
      <c r="BT396" s="16"/>
      <c r="BU396" s="16"/>
      <c r="BV396" s="16"/>
      <c r="BW396" s="16"/>
      <c r="BX396" s="17"/>
      <c r="CB396" s="24"/>
      <c r="CC396" s="61"/>
      <c r="CD396" s="16"/>
      <c r="CE396" s="16"/>
      <c r="CF396" s="16"/>
      <c r="CG396" s="16"/>
      <c r="CH396" s="16"/>
      <c r="CI396" s="17"/>
      <c r="CM396" s="24"/>
      <c r="CN396" s="61"/>
      <c r="CO396" s="16"/>
      <c r="CP396" s="16"/>
      <c r="CQ396" s="16"/>
      <c r="CR396" s="16"/>
      <c r="CS396" s="16"/>
      <c r="CT396" s="17"/>
      <c r="CX396" s="24"/>
      <c r="CY396" s="60"/>
      <c r="CZ396" s="16"/>
      <c r="DA396" s="16"/>
      <c r="DB396" s="16"/>
      <c r="DC396" s="16"/>
      <c r="DD396" s="16"/>
      <c r="DE396" s="17"/>
      <c r="DI396" s="24"/>
      <c r="DJ396" s="60"/>
      <c r="DK396" s="16"/>
      <c r="DL396" s="16"/>
      <c r="DM396" s="16"/>
      <c r="DN396" s="16"/>
      <c r="DO396" s="16"/>
      <c r="DP396" s="17"/>
      <c r="DT396" s="24"/>
      <c r="DU396" s="60"/>
      <c r="DV396" s="16"/>
      <c r="DW396" s="16"/>
      <c r="DX396" s="16"/>
      <c r="DY396" s="16"/>
      <c r="DZ396" s="16"/>
      <c r="EA396" s="17"/>
      <c r="EE396" s="24"/>
      <c r="EF396" s="60"/>
      <c r="EG396" s="16"/>
      <c r="EH396" s="16"/>
      <c r="EI396" s="16"/>
      <c r="EJ396" s="16"/>
      <c r="EK396" s="16"/>
      <c r="EL396" s="17"/>
      <c r="EP396" s="24"/>
      <c r="EQ396" s="60"/>
      <c r="ER396" s="16"/>
      <c r="ES396" s="16"/>
      <c r="ET396" s="16"/>
      <c r="EU396" s="16"/>
      <c r="EV396" s="16"/>
      <c r="EW396" s="17"/>
      <c r="FA396" s="24"/>
      <c r="FB396" s="60"/>
      <c r="FC396" s="16"/>
      <c r="FD396" s="16"/>
      <c r="FE396" s="16"/>
      <c r="FF396" s="16"/>
      <c r="FG396" s="16"/>
      <c r="FH396" s="17"/>
      <c r="FL396" s="24"/>
      <c r="FM396" s="60"/>
      <c r="FN396" s="16"/>
      <c r="FO396" s="16"/>
      <c r="FP396" s="16"/>
      <c r="FQ396" s="16"/>
      <c r="FR396" s="16"/>
      <c r="FS396" s="17"/>
      <c r="FW396" s="24"/>
      <c r="FX396" s="60"/>
      <c r="FY396" s="16"/>
      <c r="FZ396" s="16"/>
      <c r="GA396" s="16"/>
      <c r="GB396" s="16"/>
      <c r="GC396" s="16"/>
      <c r="GD396" s="17"/>
      <c r="GH396" s="24"/>
      <c r="GI396" s="60"/>
      <c r="GJ396" s="16"/>
      <c r="GK396" s="16"/>
      <c r="GL396" s="16"/>
      <c r="GM396" s="16"/>
      <c r="GN396" s="16"/>
      <c r="GO396" s="17"/>
      <c r="GS396" s="24"/>
      <c r="GT396" s="60"/>
      <c r="GU396" s="16"/>
      <c r="GV396" s="16"/>
      <c r="GW396" s="16"/>
      <c r="GX396" s="16"/>
      <c r="GY396" s="16"/>
      <c r="GZ396" s="17"/>
      <c r="HD396" s="24"/>
      <c r="HE396" s="60"/>
      <c r="HF396" s="16"/>
      <c r="HG396" s="16"/>
      <c r="HH396" s="16"/>
      <c r="HI396" s="16"/>
      <c r="HJ396" s="16"/>
      <c r="HK396" s="17"/>
      <c r="HO396" s="24"/>
      <c r="HP396" s="60"/>
      <c r="HQ396" s="16"/>
      <c r="HR396" s="16"/>
      <c r="HS396" s="16"/>
      <c r="HT396" s="16"/>
      <c r="HU396" s="16"/>
      <c r="HV396" s="17"/>
      <c r="HZ396" s="24"/>
      <c r="IA396" s="60"/>
      <c r="IB396" s="16"/>
      <c r="IC396" s="16"/>
      <c r="ID396" s="16"/>
      <c r="IE396" s="16"/>
      <c r="IF396" s="16"/>
      <c r="IG396" s="17"/>
      <c r="IK396" s="24"/>
      <c r="IL396" s="60"/>
      <c r="IM396" s="16"/>
      <c r="IN396" s="16"/>
      <c r="IO396" s="16"/>
      <c r="IP396" s="16"/>
      <c r="IQ396" s="16"/>
      <c r="IR396" s="17"/>
      <c r="IV396" s="24"/>
      <c r="IW396" s="60"/>
      <c r="IX396" s="16"/>
      <c r="IY396" s="16"/>
      <c r="IZ396" s="16"/>
      <c r="JA396" s="16"/>
      <c r="JB396" s="16"/>
      <c r="JC396" s="17"/>
      <c r="JG396" s="24"/>
      <c r="JH396" s="60"/>
      <c r="JI396" s="16"/>
      <c r="JJ396" s="16"/>
      <c r="JK396" s="16"/>
      <c r="JL396" s="16"/>
      <c r="JM396" s="16"/>
      <c r="JN396" s="17"/>
      <c r="JR396" s="24"/>
      <c r="JS396" s="60"/>
      <c r="JT396" s="16"/>
      <c r="JU396" s="16"/>
      <c r="JV396" s="16"/>
      <c r="JW396" s="16"/>
      <c r="JX396" s="16"/>
      <c r="JY396" s="17"/>
      <c r="KC396" s="24"/>
      <c r="KD396" s="60"/>
      <c r="KE396" s="16"/>
      <c r="KF396" s="16"/>
      <c r="KG396" s="16"/>
      <c r="KH396" s="16"/>
      <c r="KI396" s="16"/>
      <c r="KJ396" s="17"/>
      <c r="KN396" s="24"/>
      <c r="KO396" s="60"/>
      <c r="KP396" s="16"/>
      <c r="KQ396" s="16"/>
      <c r="KR396" s="16"/>
      <c r="KS396" s="16"/>
      <c r="KT396" s="16"/>
      <c r="KU396" s="17"/>
      <c r="KY396" s="24"/>
      <c r="KZ396" s="60"/>
      <c r="LA396" s="16"/>
      <c r="LB396" s="16"/>
      <c r="LC396" s="16"/>
      <c r="LD396" s="16"/>
      <c r="LE396" s="16"/>
      <c r="LF396" s="17"/>
      <c r="LJ396" s="24"/>
      <c r="LK396" s="60"/>
      <c r="LL396" s="16"/>
      <c r="LM396" s="16"/>
      <c r="LN396" s="16"/>
      <c r="LO396" s="16"/>
      <c r="LP396" s="16"/>
      <c r="LQ396" s="17"/>
    </row>
    <row r="397">
      <c r="C397" s="31"/>
      <c r="D397" s="61"/>
      <c r="E397" s="16"/>
      <c r="F397" s="16"/>
      <c r="G397" s="21"/>
      <c r="H397" s="16"/>
      <c r="I397" s="16"/>
      <c r="J397" s="17"/>
      <c r="N397" s="17"/>
      <c r="O397" s="61"/>
      <c r="P397" s="16"/>
      <c r="Q397" s="16"/>
      <c r="R397" s="16"/>
      <c r="S397" s="16"/>
      <c r="T397" s="16"/>
      <c r="U397" s="17"/>
      <c r="Y397" s="24"/>
      <c r="Z397" s="61"/>
      <c r="AA397" s="16"/>
      <c r="AB397" s="16"/>
      <c r="AC397" s="16"/>
      <c r="AD397" s="16"/>
      <c r="AE397" s="16"/>
      <c r="AF397" s="17"/>
      <c r="AJ397" s="24"/>
      <c r="AK397" s="61"/>
      <c r="AL397" s="16"/>
      <c r="AM397" s="16"/>
      <c r="AN397" s="16"/>
      <c r="AO397" s="16"/>
      <c r="AP397" s="16"/>
      <c r="AQ397" s="17"/>
      <c r="AU397" s="24"/>
      <c r="AV397" s="61"/>
      <c r="AW397" s="16"/>
      <c r="AX397" s="16"/>
      <c r="AY397" s="16"/>
      <c r="AZ397" s="16"/>
      <c r="BA397" s="16"/>
      <c r="BB397" s="17"/>
      <c r="BF397" s="24"/>
      <c r="BG397" s="61"/>
      <c r="BH397" s="16"/>
      <c r="BI397" s="16"/>
      <c r="BJ397" s="16"/>
      <c r="BK397" s="16"/>
      <c r="BL397" s="16"/>
      <c r="BM397" s="17"/>
      <c r="BQ397" s="24"/>
      <c r="BR397" s="61"/>
      <c r="BS397" s="16"/>
      <c r="BT397" s="16"/>
      <c r="BU397" s="16"/>
      <c r="BV397" s="16"/>
      <c r="BW397" s="16"/>
      <c r="BX397" s="17"/>
      <c r="CB397" s="24"/>
      <c r="CC397" s="61"/>
      <c r="CD397" s="16"/>
      <c r="CE397" s="16"/>
      <c r="CF397" s="16"/>
      <c r="CG397" s="16"/>
      <c r="CH397" s="16"/>
      <c r="CI397" s="17"/>
      <c r="CM397" s="24"/>
      <c r="CN397" s="61"/>
      <c r="CO397" s="16"/>
      <c r="CP397" s="16"/>
      <c r="CQ397" s="16"/>
      <c r="CR397" s="16"/>
      <c r="CS397" s="16"/>
      <c r="CT397" s="17"/>
      <c r="CX397" s="24"/>
      <c r="CY397" s="60"/>
      <c r="CZ397" s="16"/>
      <c r="DA397" s="16"/>
      <c r="DB397" s="16"/>
      <c r="DC397" s="16"/>
      <c r="DD397" s="16"/>
      <c r="DE397" s="17"/>
      <c r="DI397" s="24"/>
      <c r="DJ397" s="60"/>
      <c r="DK397" s="16"/>
      <c r="DL397" s="16"/>
      <c r="DM397" s="16"/>
      <c r="DN397" s="16"/>
      <c r="DO397" s="16"/>
      <c r="DP397" s="17"/>
      <c r="DT397" s="24"/>
      <c r="DU397" s="60"/>
      <c r="DV397" s="16"/>
      <c r="DW397" s="16"/>
      <c r="DX397" s="16"/>
      <c r="DY397" s="16"/>
      <c r="DZ397" s="16"/>
      <c r="EA397" s="17"/>
      <c r="EE397" s="24"/>
      <c r="EF397" s="60"/>
      <c r="EG397" s="16"/>
      <c r="EH397" s="16"/>
      <c r="EI397" s="16"/>
      <c r="EJ397" s="16"/>
      <c r="EK397" s="16"/>
      <c r="EL397" s="17"/>
      <c r="EP397" s="24"/>
      <c r="EQ397" s="60"/>
      <c r="ER397" s="16"/>
      <c r="ES397" s="16"/>
      <c r="ET397" s="16"/>
      <c r="EU397" s="16"/>
      <c r="EV397" s="16"/>
      <c r="EW397" s="17"/>
      <c r="FA397" s="24"/>
      <c r="FB397" s="60"/>
      <c r="FC397" s="16"/>
      <c r="FD397" s="16"/>
      <c r="FE397" s="16"/>
      <c r="FF397" s="16"/>
      <c r="FG397" s="16"/>
      <c r="FH397" s="17"/>
      <c r="FL397" s="24"/>
      <c r="FM397" s="60"/>
      <c r="FN397" s="16"/>
      <c r="FO397" s="16"/>
      <c r="FP397" s="16"/>
      <c r="FQ397" s="16"/>
      <c r="FR397" s="16"/>
      <c r="FS397" s="17"/>
      <c r="FW397" s="24"/>
      <c r="FX397" s="60"/>
      <c r="FY397" s="16"/>
      <c r="FZ397" s="16"/>
      <c r="GA397" s="16"/>
      <c r="GB397" s="16"/>
      <c r="GC397" s="16"/>
      <c r="GD397" s="17"/>
      <c r="GH397" s="24"/>
      <c r="GI397" s="60"/>
      <c r="GJ397" s="16"/>
      <c r="GK397" s="16"/>
      <c r="GL397" s="16"/>
      <c r="GM397" s="16"/>
      <c r="GN397" s="16"/>
      <c r="GO397" s="17"/>
      <c r="GS397" s="24"/>
      <c r="GT397" s="60"/>
      <c r="GU397" s="16"/>
      <c r="GV397" s="16"/>
      <c r="GW397" s="16"/>
      <c r="GX397" s="16"/>
      <c r="GY397" s="16"/>
      <c r="GZ397" s="17"/>
      <c r="HD397" s="24"/>
      <c r="HE397" s="60"/>
      <c r="HF397" s="16"/>
      <c r="HG397" s="16"/>
      <c r="HH397" s="16"/>
      <c r="HI397" s="16"/>
      <c r="HJ397" s="16"/>
      <c r="HK397" s="17"/>
      <c r="HO397" s="24"/>
      <c r="HP397" s="60"/>
      <c r="HQ397" s="16"/>
      <c r="HR397" s="16"/>
      <c r="HS397" s="16"/>
      <c r="HT397" s="16"/>
      <c r="HU397" s="16"/>
      <c r="HV397" s="17"/>
      <c r="HZ397" s="24"/>
      <c r="IA397" s="60"/>
      <c r="IB397" s="16"/>
      <c r="IC397" s="16"/>
      <c r="ID397" s="16"/>
      <c r="IE397" s="16"/>
      <c r="IF397" s="16"/>
      <c r="IG397" s="17"/>
      <c r="IK397" s="24"/>
      <c r="IL397" s="60"/>
      <c r="IM397" s="16"/>
      <c r="IN397" s="16"/>
      <c r="IO397" s="16"/>
      <c r="IP397" s="16"/>
      <c r="IQ397" s="16"/>
      <c r="IR397" s="17"/>
      <c r="IV397" s="24"/>
      <c r="IW397" s="60"/>
      <c r="IX397" s="16"/>
      <c r="IY397" s="16"/>
      <c r="IZ397" s="16"/>
      <c r="JA397" s="16"/>
      <c r="JB397" s="16"/>
      <c r="JC397" s="17"/>
      <c r="JG397" s="24"/>
      <c r="JH397" s="60"/>
      <c r="JI397" s="16"/>
      <c r="JJ397" s="16"/>
      <c r="JK397" s="16"/>
      <c r="JL397" s="16"/>
      <c r="JM397" s="16"/>
      <c r="JN397" s="17"/>
      <c r="JR397" s="24"/>
      <c r="JS397" s="60"/>
      <c r="JT397" s="16"/>
      <c r="JU397" s="16"/>
      <c r="JV397" s="16"/>
      <c r="JW397" s="16"/>
      <c r="JX397" s="16"/>
      <c r="JY397" s="17"/>
      <c r="KC397" s="24"/>
      <c r="KD397" s="60"/>
      <c r="KE397" s="16"/>
      <c r="KF397" s="16"/>
      <c r="KG397" s="16"/>
      <c r="KH397" s="16"/>
      <c r="KI397" s="16"/>
      <c r="KJ397" s="17"/>
      <c r="KN397" s="24"/>
      <c r="KO397" s="60"/>
      <c r="KP397" s="16"/>
      <c r="KQ397" s="16"/>
      <c r="KR397" s="16"/>
      <c r="KS397" s="16"/>
      <c r="KT397" s="16"/>
      <c r="KU397" s="17"/>
      <c r="KY397" s="24"/>
      <c r="KZ397" s="60"/>
      <c r="LA397" s="16"/>
      <c r="LB397" s="16"/>
      <c r="LC397" s="16"/>
      <c r="LD397" s="16"/>
      <c r="LE397" s="16"/>
      <c r="LF397" s="17"/>
      <c r="LJ397" s="24"/>
      <c r="LK397" s="60"/>
      <c r="LL397" s="16"/>
      <c r="LM397" s="16"/>
      <c r="LN397" s="16"/>
      <c r="LO397" s="16"/>
      <c r="LP397" s="16"/>
      <c r="LQ397" s="17"/>
    </row>
    <row r="398">
      <c r="C398" s="31"/>
      <c r="D398" s="61"/>
      <c r="E398" s="16"/>
      <c r="F398" s="16"/>
      <c r="G398" s="21"/>
      <c r="H398" s="16"/>
      <c r="I398" s="16"/>
      <c r="J398" s="17"/>
      <c r="N398" s="17"/>
      <c r="O398" s="61"/>
      <c r="P398" s="16"/>
      <c r="Q398" s="16"/>
      <c r="R398" s="16"/>
      <c r="S398" s="16"/>
      <c r="T398" s="16"/>
      <c r="U398" s="17"/>
      <c r="Y398" s="24"/>
      <c r="Z398" s="61"/>
      <c r="AA398" s="16"/>
      <c r="AB398" s="16"/>
      <c r="AC398" s="16"/>
      <c r="AD398" s="16"/>
      <c r="AE398" s="16"/>
      <c r="AF398" s="17"/>
      <c r="AJ398" s="24"/>
      <c r="AK398" s="61"/>
      <c r="AL398" s="16"/>
      <c r="AM398" s="16"/>
      <c r="AN398" s="16"/>
      <c r="AO398" s="16"/>
      <c r="AP398" s="16"/>
      <c r="AQ398" s="17"/>
      <c r="AU398" s="24"/>
      <c r="AV398" s="61"/>
      <c r="AW398" s="16"/>
      <c r="AX398" s="16"/>
      <c r="AY398" s="16"/>
      <c r="AZ398" s="16"/>
      <c r="BA398" s="16"/>
      <c r="BB398" s="17"/>
      <c r="BF398" s="24"/>
      <c r="BG398" s="61"/>
      <c r="BH398" s="16"/>
      <c r="BI398" s="16"/>
      <c r="BJ398" s="16"/>
      <c r="BK398" s="16"/>
      <c r="BL398" s="16"/>
      <c r="BM398" s="17"/>
      <c r="BQ398" s="24"/>
      <c r="BR398" s="61"/>
      <c r="BS398" s="16"/>
      <c r="BT398" s="16"/>
      <c r="BU398" s="16"/>
      <c r="BV398" s="16"/>
      <c r="BW398" s="16"/>
      <c r="BX398" s="17"/>
      <c r="CB398" s="24"/>
      <c r="CC398" s="61"/>
      <c r="CD398" s="16"/>
      <c r="CE398" s="16"/>
      <c r="CF398" s="16"/>
      <c r="CG398" s="16"/>
      <c r="CH398" s="16"/>
      <c r="CI398" s="17"/>
      <c r="CM398" s="24"/>
      <c r="CN398" s="61"/>
      <c r="CO398" s="16"/>
      <c r="CP398" s="16"/>
      <c r="CQ398" s="16"/>
      <c r="CR398" s="16"/>
      <c r="CS398" s="16"/>
      <c r="CT398" s="17"/>
      <c r="CX398" s="24"/>
      <c r="CY398" s="60"/>
      <c r="CZ398" s="16"/>
      <c r="DA398" s="16"/>
      <c r="DB398" s="16"/>
      <c r="DC398" s="16"/>
      <c r="DD398" s="16"/>
      <c r="DE398" s="17"/>
      <c r="DI398" s="24"/>
      <c r="DJ398" s="60"/>
      <c r="DK398" s="16"/>
      <c r="DL398" s="16"/>
      <c r="DM398" s="16"/>
      <c r="DN398" s="16"/>
      <c r="DO398" s="16"/>
      <c r="DP398" s="17"/>
      <c r="DT398" s="24"/>
      <c r="DU398" s="60"/>
      <c r="DV398" s="16"/>
      <c r="DW398" s="16"/>
      <c r="DX398" s="16"/>
      <c r="DY398" s="16"/>
      <c r="DZ398" s="16"/>
      <c r="EA398" s="17"/>
      <c r="EE398" s="24"/>
      <c r="EF398" s="60"/>
      <c r="EG398" s="16"/>
      <c r="EH398" s="16"/>
      <c r="EI398" s="16"/>
      <c r="EJ398" s="16"/>
      <c r="EK398" s="16"/>
      <c r="EL398" s="17"/>
      <c r="EP398" s="24"/>
      <c r="EQ398" s="60"/>
      <c r="ER398" s="16"/>
      <c r="ES398" s="16"/>
      <c r="ET398" s="16"/>
      <c r="EU398" s="16"/>
      <c r="EV398" s="16"/>
      <c r="EW398" s="17"/>
      <c r="FA398" s="24"/>
      <c r="FB398" s="60"/>
      <c r="FC398" s="16"/>
      <c r="FD398" s="16"/>
      <c r="FE398" s="16"/>
      <c r="FF398" s="16"/>
      <c r="FG398" s="16"/>
      <c r="FH398" s="17"/>
      <c r="FL398" s="24"/>
      <c r="FM398" s="60"/>
      <c r="FN398" s="16"/>
      <c r="FO398" s="16"/>
      <c r="FP398" s="16"/>
      <c r="FQ398" s="16"/>
      <c r="FR398" s="16"/>
      <c r="FS398" s="17"/>
      <c r="FW398" s="24"/>
      <c r="FX398" s="60"/>
      <c r="FY398" s="16"/>
      <c r="FZ398" s="16"/>
      <c r="GA398" s="16"/>
      <c r="GB398" s="16"/>
      <c r="GC398" s="16"/>
      <c r="GD398" s="17"/>
      <c r="GH398" s="24"/>
      <c r="GI398" s="60"/>
      <c r="GJ398" s="16"/>
      <c r="GK398" s="16"/>
      <c r="GL398" s="16"/>
      <c r="GM398" s="16"/>
      <c r="GN398" s="16"/>
      <c r="GO398" s="17"/>
      <c r="GS398" s="24"/>
      <c r="GT398" s="60"/>
      <c r="GU398" s="16"/>
      <c r="GV398" s="16"/>
      <c r="GW398" s="16"/>
      <c r="GX398" s="16"/>
      <c r="GY398" s="16"/>
      <c r="GZ398" s="17"/>
      <c r="HD398" s="24"/>
      <c r="HE398" s="60"/>
      <c r="HF398" s="16"/>
      <c r="HG398" s="16"/>
      <c r="HH398" s="16"/>
      <c r="HI398" s="16"/>
      <c r="HJ398" s="16"/>
      <c r="HK398" s="17"/>
      <c r="HO398" s="24"/>
      <c r="HP398" s="60"/>
      <c r="HQ398" s="16"/>
      <c r="HR398" s="16"/>
      <c r="HS398" s="16"/>
      <c r="HT398" s="16"/>
      <c r="HU398" s="16"/>
      <c r="HV398" s="17"/>
      <c r="HZ398" s="24"/>
      <c r="IA398" s="60"/>
      <c r="IB398" s="16"/>
      <c r="IC398" s="16"/>
      <c r="ID398" s="16"/>
      <c r="IE398" s="16"/>
      <c r="IF398" s="16"/>
      <c r="IG398" s="17"/>
      <c r="IK398" s="24"/>
      <c r="IL398" s="60"/>
      <c r="IM398" s="16"/>
      <c r="IN398" s="16"/>
      <c r="IO398" s="16"/>
      <c r="IP398" s="16"/>
      <c r="IQ398" s="16"/>
      <c r="IR398" s="17"/>
      <c r="IV398" s="24"/>
      <c r="IW398" s="60"/>
      <c r="IX398" s="16"/>
      <c r="IY398" s="16"/>
      <c r="IZ398" s="16"/>
      <c r="JA398" s="16"/>
      <c r="JB398" s="16"/>
      <c r="JC398" s="17"/>
      <c r="JG398" s="24"/>
      <c r="JH398" s="60"/>
      <c r="JI398" s="16"/>
      <c r="JJ398" s="16"/>
      <c r="JK398" s="16"/>
      <c r="JL398" s="16"/>
      <c r="JM398" s="16"/>
      <c r="JN398" s="17"/>
      <c r="JR398" s="24"/>
      <c r="JS398" s="60"/>
      <c r="JT398" s="16"/>
      <c r="JU398" s="16"/>
      <c r="JV398" s="16"/>
      <c r="JW398" s="16"/>
      <c r="JX398" s="16"/>
      <c r="JY398" s="17"/>
      <c r="KC398" s="24"/>
      <c r="KD398" s="60"/>
      <c r="KE398" s="16"/>
      <c r="KF398" s="16"/>
      <c r="KG398" s="16"/>
      <c r="KH398" s="16"/>
      <c r="KI398" s="16"/>
      <c r="KJ398" s="17"/>
      <c r="KN398" s="24"/>
      <c r="KO398" s="60"/>
      <c r="KP398" s="16"/>
      <c r="KQ398" s="16"/>
      <c r="KR398" s="16"/>
      <c r="KS398" s="16"/>
      <c r="KT398" s="16"/>
      <c r="KU398" s="17"/>
      <c r="KY398" s="24"/>
      <c r="KZ398" s="60"/>
      <c r="LA398" s="16"/>
      <c r="LB398" s="16"/>
      <c r="LC398" s="16"/>
      <c r="LD398" s="16"/>
      <c r="LE398" s="16"/>
      <c r="LF398" s="17"/>
      <c r="LJ398" s="24"/>
      <c r="LK398" s="60"/>
      <c r="LL398" s="16"/>
      <c r="LM398" s="16"/>
      <c r="LN398" s="16"/>
      <c r="LO398" s="16"/>
      <c r="LP398" s="16"/>
      <c r="LQ398" s="17"/>
    </row>
    <row r="399">
      <c r="C399" s="31"/>
      <c r="D399" s="61"/>
      <c r="E399" s="16"/>
      <c r="F399" s="16"/>
      <c r="G399" s="21"/>
      <c r="H399" s="16"/>
      <c r="I399" s="16"/>
      <c r="J399" s="17"/>
      <c r="N399" s="17"/>
      <c r="O399" s="61"/>
      <c r="P399" s="16"/>
      <c r="Q399" s="16"/>
      <c r="R399" s="16"/>
      <c r="S399" s="16"/>
      <c r="T399" s="16"/>
      <c r="U399" s="17"/>
      <c r="Y399" s="24"/>
      <c r="Z399" s="61"/>
      <c r="AA399" s="16"/>
      <c r="AB399" s="16"/>
      <c r="AC399" s="16"/>
      <c r="AD399" s="16"/>
      <c r="AE399" s="16"/>
      <c r="AF399" s="17"/>
      <c r="AJ399" s="24"/>
      <c r="AK399" s="61"/>
      <c r="AL399" s="16"/>
      <c r="AM399" s="16"/>
      <c r="AN399" s="16"/>
      <c r="AO399" s="16"/>
      <c r="AP399" s="16"/>
      <c r="AQ399" s="17"/>
      <c r="AU399" s="24"/>
      <c r="AV399" s="61"/>
      <c r="AW399" s="16"/>
      <c r="AX399" s="16"/>
      <c r="AY399" s="16"/>
      <c r="AZ399" s="16"/>
      <c r="BA399" s="16"/>
      <c r="BB399" s="17"/>
      <c r="BF399" s="24"/>
      <c r="BG399" s="61"/>
      <c r="BH399" s="16"/>
      <c r="BI399" s="16"/>
      <c r="BJ399" s="16"/>
      <c r="BK399" s="16"/>
      <c r="BL399" s="16"/>
      <c r="BM399" s="17"/>
      <c r="BQ399" s="24"/>
      <c r="BR399" s="61"/>
      <c r="BS399" s="16"/>
      <c r="BT399" s="16"/>
      <c r="BU399" s="16"/>
      <c r="BV399" s="16"/>
      <c r="BW399" s="16"/>
      <c r="BX399" s="17"/>
      <c r="CB399" s="24"/>
      <c r="CC399" s="61"/>
      <c r="CD399" s="16"/>
      <c r="CE399" s="16"/>
      <c r="CF399" s="16"/>
      <c r="CG399" s="16"/>
      <c r="CH399" s="16"/>
      <c r="CI399" s="17"/>
      <c r="CM399" s="24"/>
      <c r="CN399" s="61"/>
      <c r="CO399" s="16"/>
      <c r="CP399" s="16"/>
      <c r="CQ399" s="16"/>
      <c r="CR399" s="16"/>
      <c r="CS399" s="16"/>
      <c r="CT399" s="17"/>
      <c r="CX399" s="24"/>
      <c r="CY399" s="60"/>
      <c r="CZ399" s="16"/>
      <c r="DA399" s="16"/>
      <c r="DB399" s="16"/>
      <c r="DC399" s="16"/>
      <c r="DD399" s="16"/>
      <c r="DE399" s="17"/>
      <c r="DI399" s="24"/>
      <c r="DJ399" s="60"/>
      <c r="DK399" s="16"/>
      <c r="DL399" s="16"/>
      <c r="DM399" s="16"/>
      <c r="DN399" s="16"/>
      <c r="DO399" s="16"/>
      <c r="DP399" s="17"/>
      <c r="DT399" s="24"/>
      <c r="DU399" s="60"/>
      <c r="DV399" s="16"/>
      <c r="DW399" s="16"/>
      <c r="DX399" s="16"/>
      <c r="DY399" s="16"/>
      <c r="DZ399" s="16"/>
      <c r="EA399" s="17"/>
      <c r="EE399" s="24"/>
      <c r="EF399" s="60"/>
      <c r="EG399" s="16"/>
      <c r="EH399" s="16"/>
      <c r="EI399" s="16"/>
      <c r="EJ399" s="16"/>
      <c r="EK399" s="16"/>
      <c r="EL399" s="17"/>
      <c r="EP399" s="24"/>
      <c r="EQ399" s="60"/>
      <c r="ER399" s="16"/>
      <c r="ES399" s="16"/>
      <c r="ET399" s="16"/>
      <c r="EU399" s="16"/>
      <c r="EV399" s="16"/>
      <c r="EW399" s="17"/>
      <c r="FA399" s="24"/>
      <c r="FB399" s="60"/>
      <c r="FC399" s="16"/>
      <c r="FD399" s="16"/>
      <c r="FE399" s="16"/>
      <c r="FF399" s="16"/>
      <c r="FG399" s="16"/>
      <c r="FH399" s="17"/>
      <c r="FL399" s="24"/>
      <c r="FM399" s="60"/>
      <c r="FN399" s="16"/>
      <c r="FO399" s="16"/>
      <c r="FP399" s="16"/>
      <c r="FQ399" s="16"/>
      <c r="FR399" s="16"/>
      <c r="FS399" s="17"/>
      <c r="FW399" s="24"/>
      <c r="FX399" s="60"/>
      <c r="FY399" s="16"/>
      <c r="FZ399" s="16"/>
      <c r="GA399" s="16"/>
      <c r="GB399" s="16"/>
      <c r="GC399" s="16"/>
      <c r="GD399" s="17"/>
      <c r="GH399" s="24"/>
      <c r="GI399" s="60"/>
      <c r="GJ399" s="16"/>
      <c r="GK399" s="16"/>
      <c r="GL399" s="16"/>
      <c r="GM399" s="16"/>
      <c r="GN399" s="16"/>
      <c r="GO399" s="17"/>
      <c r="GS399" s="24"/>
      <c r="GT399" s="60"/>
      <c r="GU399" s="16"/>
      <c r="GV399" s="16"/>
      <c r="GW399" s="16"/>
      <c r="GX399" s="16"/>
      <c r="GY399" s="16"/>
      <c r="GZ399" s="17"/>
      <c r="HD399" s="24"/>
      <c r="HE399" s="60"/>
      <c r="HF399" s="16"/>
      <c r="HG399" s="16"/>
      <c r="HH399" s="16"/>
      <c r="HI399" s="16"/>
      <c r="HJ399" s="16"/>
      <c r="HK399" s="17"/>
      <c r="HO399" s="24"/>
      <c r="HP399" s="60"/>
      <c r="HQ399" s="16"/>
      <c r="HR399" s="16"/>
      <c r="HS399" s="16"/>
      <c r="HT399" s="16"/>
      <c r="HU399" s="16"/>
      <c r="HV399" s="17"/>
      <c r="HZ399" s="24"/>
      <c r="IA399" s="60"/>
      <c r="IB399" s="16"/>
      <c r="IC399" s="16"/>
      <c r="ID399" s="16"/>
      <c r="IE399" s="16"/>
      <c r="IF399" s="16"/>
      <c r="IG399" s="17"/>
      <c r="IK399" s="24"/>
      <c r="IL399" s="60"/>
      <c r="IM399" s="16"/>
      <c r="IN399" s="16"/>
      <c r="IO399" s="16"/>
      <c r="IP399" s="16"/>
      <c r="IQ399" s="16"/>
      <c r="IR399" s="17"/>
      <c r="IV399" s="24"/>
      <c r="IW399" s="60"/>
      <c r="IX399" s="16"/>
      <c r="IY399" s="16"/>
      <c r="IZ399" s="16"/>
      <c r="JA399" s="16"/>
      <c r="JB399" s="16"/>
      <c r="JC399" s="17"/>
      <c r="JG399" s="24"/>
      <c r="JH399" s="60"/>
      <c r="JI399" s="16"/>
      <c r="JJ399" s="16"/>
      <c r="JK399" s="16"/>
      <c r="JL399" s="16"/>
      <c r="JM399" s="16"/>
      <c r="JN399" s="17"/>
      <c r="JR399" s="24"/>
      <c r="JS399" s="60"/>
      <c r="JT399" s="16"/>
      <c r="JU399" s="16"/>
      <c r="JV399" s="16"/>
      <c r="JW399" s="16"/>
      <c r="JX399" s="16"/>
      <c r="JY399" s="17"/>
      <c r="KC399" s="24"/>
      <c r="KD399" s="60"/>
      <c r="KE399" s="16"/>
      <c r="KF399" s="16"/>
      <c r="KG399" s="16"/>
      <c r="KH399" s="16"/>
      <c r="KI399" s="16"/>
      <c r="KJ399" s="17"/>
      <c r="KN399" s="24"/>
      <c r="KO399" s="60"/>
      <c r="KP399" s="16"/>
      <c r="KQ399" s="16"/>
      <c r="KR399" s="16"/>
      <c r="KS399" s="16"/>
      <c r="KT399" s="16"/>
      <c r="KU399" s="17"/>
      <c r="KY399" s="24"/>
      <c r="KZ399" s="60"/>
      <c r="LA399" s="16"/>
      <c r="LB399" s="16"/>
      <c r="LC399" s="16"/>
      <c r="LD399" s="16"/>
      <c r="LE399" s="16"/>
      <c r="LF399" s="17"/>
      <c r="LJ399" s="24"/>
      <c r="LK399" s="60"/>
      <c r="LL399" s="16"/>
      <c r="LM399" s="16"/>
      <c r="LN399" s="16"/>
      <c r="LO399" s="16"/>
      <c r="LP399" s="16"/>
      <c r="LQ399" s="17"/>
    </row>
    <row r="400">
      <c r="C400" s="31"/>
      <c r="D400" s="61"/>
      <c r="E400" s="16"/>
      <c r="F400" s="16"/>
      <c r="G400" s="21"/>
      <c r="H400" s="16"/>
      <c r="I400" s="16"/>
      <c r="J400" s="17"/>
      <c r="N400" s="17"/>
      <c r="O400" s="61"/>
      <c r="P400" s="16"/>
      <c r="Q400" s="16"/>
      <c r="R400" s="16"/>
      <c r="S400" s="16"/>
      <c r="T400" s="16"/>
      <c r="U400" s="17"/>
      <c r="Y400" s="24"/>
      <c r="Z400" s="61"/>
      <c r="AA400" s="16"/>
      <c r="AB400" s="16"/>
      <c r="AC400" s="16"/>
      <c r="AD400" s="16"/>
      <c r="AE400" s="16"/>
      <c r="AF400" s="17"/>
      <c r="AJ400" s="24"/>
      <c r="AK400" s="61"/>
      <c r="AL400" s="16"/>
      <c r="AM400" s="16"/>
      <c r="AN400" s="16"/>
      <c r="AO400" s="16"/>
      <c r="AP400" s="16"/>
      <c r="AQ400" s="17"/>
      <c r="AU400" s="24"/>
      <c r="AV400" s="61"/>
      <c r="AW400" s="16"/>
      <c r="AX400" s="16"/>
      <c r="AY400" s="16"/>
      <c r="AZ400" s="16"/>
      <c r="BA400" s="16"/>
      <c r="BB400" s="17"/>
      <c r="BF400" s="24"/>
      <c r="BG400" s="61"/>
      <c r="BH400" s="16"/>
      <c r="BI400" s="16"/>
      <c r="BJ400" s="16"/>
      <c r="BK400" s="16"/>
      <c r="BL400" s="16"/>
      <c r="BM400" s="17"/>
      <c r="BQ400" s="24"/>
      <c r="BR400" s="61"/>
      <c r="BS400" s="16"/>
      <c r="BT400" s="16"/>
      <c r="BU400" s="16"/>
      <c r="BV400" s="16"/>
      <c r="BW400" s="16"/>
      <c r="BX400" s="17"/>
      <c r="CB400" s="24"/>
      <c r="CC400" s="61"/>
      <c r="CD400" s="16"/>
      <c r="CE400" s="16"/>
      <c r="CF400" s="16"/>
      <c r="CG400" s="16"/>
      <c r="CH400" s="16"/>
      <c r="CI400" s="17"/>
      <c r="CM400" s="24"/>
      <c r="CN400" s="61"/>
      <c r="CO400" s="16"/>
      <c r="CP400" s="16"/>
      <c r="CQ400" s="16"/>
      <c r="CR400" s="16"/>
      <c r="CS400" s="16"/>
      <c r="CT400" s="17"/>
      <c r="CX400" s="24"/>
      <c r="CY400" s="60"/>
      <c r="CZ400" s="16"/>
      <c r="DA400" s="16"/>
      <c r="DB400" s="16"/>
      <c r="DC400" s="16"/>
      <c r="DD400" s="16"/>
      <c r="DE400" s="17"/>
      <c r="DI400" s="24"/>
      <c r="DJ400" s="60"/>
      <c r="DK400" s="16"/>
      <c r="DL400" s="16"/>
      <c r="DM400" s="16"/>
      <c r="DN400" s="16"/>
      <c r="DO400" s="16"/>
      <c r="DP400" s="17"/>
      <c r="DT400" s="24"/>
      <c r="DU400" s="60"/>
      <c r="DV400" s="16"/>
      <c r="DW400" s="16"/>
      <c r="DX400" s="16"/>
      <c r="DY400" s="16"/>
      <c r="DZ400" s="16"/>
      <c r="EA400" s="17"/>
      <c r="EE400" s="24"/>
      <c r="EF400" s="60"/>
      <c r="EG400" s="16"/>
      <c r="EH400" s="16"/>
      <c r="EI400" s="16"/>
      <c r="EJ400" s="16"/>
      <c r="EK400" s="16"/>
      <c r="EL400" s="17"/>
      <c r="EP400" s="24"/>
      <c r="EQ400" s="60"/>
      <c r="ER400" s="16"/>
      <c r="ES400" s="16"/>
      <c r="ET400" s="16"/>
      <c r="EU400" s="16"/>
      <c r="EV400" s="16"/>
      <c r="EW400" s="17"/>
      <c r="FA400" s="24"/>
      <c r="FB400" s="60"/>
      <c r="FC400" s="16"/>
      <c r="FD400" s="16"/>
      <c r="FE400" s="16"/>
      <c r="FF400" s="16"/>
      <c r="FG400" s="16"/>
      <c r="FH400" s="17"/>
      <c r="FL400" s="24"/>
      <c r="FM400" s="60"/>
      <c r="FN400" s="16"/>
      <c r="FO400" s="16"/>
      <c r="FP400" s="16"/>
      <c r="FQ400" s="16"/>
      <c r="FR400" s="16"/>
      <c r="FS400" s="17"/>
      <c r="FW400" s="24"/>
      <c r="FX400" s="60"/>
      <c r="FY400" s="16"/>
      <c r="FZ400" s="16"/>
      <c r="GA400" s="16"/>
      <c r="GB400" s="16"/>
      <c r="GC400" s="16"/>
      <c r="GD400" s="17"/>
      <c r="GH400" s="24"/>
      <c r="GI400" s="60"/>
      <c r="GJ400" s="16"/>
      <c r="GK400" s="16"/>
      <c r="GL400" s="16"/>
      <c r="GM400" s="16"/>
      <c r="GN400" s="16"/>
      <c r="GO400" s="17"/>
      <c r="GS400" s="24"/>
      <c r="GT400" s="60"/>
      <c r="GU400" s="16"/>
      <c r="GV400" s="16"/>
      <c r="GW400" s="16"/>
      <c r="GX400" s="16"/>
      <c r="GY400" s="16"/>
      <c r="GZ400" s="17"/>
      <c r="HD400" s="24"/>
      <c r="HE400" s="60"/>
      <c r="HF400" s="16"/>
      <c r="HG400" s="16"/>
      <c r="HH400" s="16"/>
      <c r="HI400" s="16"/>
      <c r="HJ400" s="16"/>
      <c r="HK400" s="17"/>
      <c r="HO400" s="24"/>
      <c r="HP400" s="60"/>
      <c r="HQ400" s="16"/>
      <c r="HR400" s="16"/>
      <c r="HS400" s="16"/>
      <c r="HT400" s="16"/>
      <c r="HU400" s="16"/>
      <c r="HV400" s="17"/>
      <c r="HZ400" s="24"/>
      <c r="IA400" s="60"/>
      <c r="IB400" s="16"/>
      <c r="IC400" s="16"/>
      <c r="ID400" s="16"/>
      <c r="IE400" s="16"/>
      <c r="IF400" s="16"/>
      <c r="IG400" s="17"/>
      <c r="IK400" s="24"/>
      <c r="IL400" s="60"/>
      <c r="IM400" s="16"/>
      <c r="IN400" s="16"/>
      <c r="IO400" s="16"/>
      <c r="IP400" s="16"/>
      <c r="IQ400" s="16"/>
      <c r="IR400" s="17"/>
      <c r="IV400" s="24"/>
      <c r="IW400" s="60"/>
      <c r="IX400" s="16"/>
      <c r="IY400" s="16"/>
      <c r="IZ400" s="16"/>
      <c r="JA400" s="16"/>
      <c r="JB400" s="16"/>
      <c r="JC400" s="17"/>
      <c r="JG400" s="24"/>
      <c r="JH400" s="60"/>
      <c r="JI400" s="16"/>
      <c r="JJ400" s="16"/>
      <c r="JK400" s="16"/>
      <c r="JL400" s="16"/>
      <c r="JM400" s="16"/>
      <c r="JN400" s="17"/>
      <c r="JR400" s="24"/>
      <c r="JS400" s="60"/>
      <c r="JT400" s="16"/>
      <c r="JU400" s="16"/>
      <c r="JV400" s="16"/>
      <c r="JW400" s="16"/>
      <c r="JX400" s="16"/>
      <c r="JY400" s="17"/>
      <c r="KC400" s="24"/>
      <c r="KD400" s="60"/>
      <c r="KE400" s="16"/>
      <c r="KF400" s="16"/>
      <c r="KG400" s="16"/>
      <c r="KH400" s="16"/>
      <c r="KI400" s="16"/>
      <c r="KJ400" s="17"/>
      <c r="KN400" s="24"/>
      <c r="KO400" s="60"/>
      <c r="KP400" s="16"/>
      <c r="KQ400" s="16"/>
      <c r="KR400" s="16"/>
      <c r="KS400" s="16"/>
      <c r="KT400" s="16"/>
      <c r="KU400" s="17"/>
      <c r="KY400" s="24"/>
      <c r="KZ400" s="60"/>
      <c r="LA400" s="16"/>
      <c r="LB400" s="16"/>
      <c r="LC400" s="16"/>
      <c r="LD400" s="16"/>
      <c r="LE400" s="16"/>
      <c r="LF400" s="17"/>
      <c r="LJ400" s="24"/>
      <c r="LK400" s="60"/>
      <c r="LL400" s="16"/>
      <c r="LM400" s="16"/>
      <c r="LN400" s="16"/>
      <c r="LO400" s="16"/>
      <c r="LP400" s="16"/>
      <c r="LQ400" s="17"/>
    </row>
    <row r="401">
      <c r="C401" s="31"/>
      <c r="D401" s="61"/>
      <c r="E401" s="16"/>
      <c r="F401" s="16"/>
      <c r="G401" s="21"/>
      <c r="H401" s="16"/>
      <c r="I401" s="16"/>
      <c r="J401" s="17"/>
      <c r="N401" s="17"/>
      <c r="O401" s="61"/>
      <c r="P401" s="16"/>
      <c r="Q401" s="16"/>
      <c r="R401" s="16"/>
      <c r="S401" s="16"/>
      <c r="T401" s="16"/>
      <c r="U401" s="17"/>
      <c r="Y401" s="24"/>
      <c r="Z401" s="61"/>
      <c r="AA401" s="16"/>
      <c r="AB401" s="16"/>
      <c r="AC401" s="16"/>
      <c r="AD401" s="16"/>
      <c r="AE401" s="16"/>
      <c r="AF401" s="17"/>
      <c r="AJ401" s="24"/>
      <c r="AK401" s="61"/>
      <c r="AL401" s="16"/>
      <c r="AM401" s="16"/>
      <c r="AN401" s="16"/>
      <c r="AO401" s="16"/>
      <c r="AP401" s="16"/>
      <c r="AQ401" s="17"/>
      <c r="AU401" s="24"/>
      <c r="AV401" s="61"/>
      <c r="AW401" s="16"/>
      <c r="AX401" s="16"/>
      <c r="AY401" s="16"/>
      <c r="AZ401" s="16"/>
      <c r="BA401" s="16"/>
      <c r="BB401" s="17"/>
      <c r="BF401" s="24"/>
      <c r="BG401" s="61"/>
      <c r="BH401" s="16"/>
      <c r="BI401" s="16"/>
      <c r="BJ401" s="16"/>
      <c r="BK401" s="16"/>
      <c r="BL401" s="16"/>
      <c r="BM401" s="17"/>
      <c r="BQ401" s="24"/>
      <c r="BR401" s="61"/>
      <c r="BS401" s="16"/>
      <c r="BT401" s="16"/>
      <c r="BU401" s="16"/>
      <c r="BV401" s="16"/>
      <c r="BW401" s="16"/>
      <c r="BX401" s="17"/>
      <c r="CB401" s="24"/>
      <c r="CC401" s="61"/>
      <c r="CD401" s="16"/>
      <c r="CE401" s="16"/>
      <c r="CF401" s="16"/>
      <c r="CG401" s="16"/>
      <c r="CH401" s="16"/>
      <c r="CI401" s="17"/>
      <c r="CM401" s="24"/>
      <c r="CN401" s="61"/>
      <c r="CO401" s="16"/>
      <c r="CP401" s="16"/>
      <c r="CQ401" s="16"/>
      <c r="CR401" s="16"/>
      <c r="CS401" s="16"/>
      <c r="CT401" s="17"/>
      <c r="CX401" s="24"/>
      <c r="CY401" s="60"/>
      <c r="CZ401" s="16"/>
      <c r="DA401" s="16"/>
      <c r="DB401" s="16"/>
      <c r="DC401" s="16"/>
      <c r="DD401" s="16"/>
      <c r="DE401" s="17"/>
      <c r="DI401" s="24"/>
      <c r="DJ401" s="60"/>
      <c r="DK401" s="16"/>
      <c r="DL401" s="16"/>
      <c r="DM401" s="16"/>
      <c r="DN401" s="16"/>
      <c r="DO401" s="16"/>
      <c r="DP401" s="17"/>
      <c r="DT401" s="24"/>
      <c r="DU401" s="60"/>
      <c r="DV401" s="16"/>
      <c r="DW401" s="16"/>
      <c r="DX401" s="16"/>
      <c r="DY401" s="16"/>
      <c r="DZ401" s="16"/>
      <c r="EA401" s="17"/>
      <c r="EE401" s="24"/>
      <c r="EF401" s="60"/>
      <c r="EG401" s="16"/>
      <c r="EH401" s="16"/>
      <c r="EI401" s="16"/>
      <c r="EJ401" s="16"/>
      <c r="EK401" s="16"/>
      <c r="EL401" s="17"/>
      <c r="EP401" s="24"/>
      <c r="EQ401" s="60"/>
      <c r="ER401" s="16"/>
      <c r="ES401" s="16"/>
      <c r="ET401" s="16"/>
      <c r="EU401" s="16"/>
      <c r="EV401" s="16"/>
      <c r="EW401" s="17"/>
      <c r="FA401" s="24"/>
      <c r="FB401" s="60"/>
      <c r="FC401" s="16"/>
      <c r="FD401" s="16"/>
      <c r="FE401" s="16"/>
      <c r="FF401" s="16"/>
      <c r="FG401" s="16"/>
      <c r="FH401" s="17"/>
      <c r="FL401" s="24"/>
      <c r="FM401" s="60"/>
      <c r="FN401" s="16"/>
      <c r="FO401" s="16"/>
      <c r="FP401" s="16"/>
      <c r="FQ401" s="16"/>
      <c r="FR401" s="16"/>
      <c r="FS401" s="17"/>
      <c r="FW401" s="24"/>
      <c r="FX401" s="60"/>
      <c r="FY401" s="16"/>
      <c r="FZ401" s="16"/>
      <c r="GA401" s="16"/>
      <c r="GB401" s="16"/>
      <c r="GC401" s="16"/>
      <c r="GD401" s="17"/>
      <c r="GH401" s="24"/>
      <c r="GI401" s="60"/>
      <c r="GJ401" s="16"/>
      <c r="GK401" s="16"/>
      <c r="GL401" s="16"/>
      <c r="GM401" s="16"/>
      <c r="GN401" s="16"/>
      <c r="GO401" s="17"/>
      <c r="GS401" s="24"/>
      <c r="GT401" s="60"/>
      <c r="GU401" s="16"/>
      <c r="GV401" s="16"/>
      <c r="GW401" s="16"/>
      <c r="GX401" s="16"/>
      <c r="GY401" s="16"/>
      <c r="GZ401" s="17"/>
      <c r="HD401" s="24"/>
      <c r="HE401" s="60"/>
      <c r="HF401" s="16"/>
      <c r="HG401" s="16"/>
      <c r="HH401" s="16"/>
      <c r="HI401" s="16"/>
      <c r="HJ401" s="16"/>
      <c r="HK401" s="17"/>
      <c r="HO401" s="24"/>
      <c r="HP401" s="60"/>
      <c r="HQ401" s="16"/>
      <c r="HR401" s="16"/>
      <c r="HS401" s="16"/>
      <c r="HT401" s="16"/>
      <c r="HU401" s="16"/>
      <c r="HV401" s="17"/>
      <c r="HZ401" s="24"/>
      <c r="IA401" s="60"/>
      <c r="IB401" s="16"/>
      <c r="IC401" s="16"/>
      <c r="ID401" s="16"/>
      <c r="IE401" s="16"/>
      <c r="IF401" s="16"/>
      <c r="IG401" s="17"/>
      <c r="IK401" s="24"/>
      <c r="IL401" s="60"/>
      <c r="IM401" s="16"/>
      <c r="IN401" s="16"/>
      <c r="IO401" s="16"/>
      <c r="IP401" s="16"/>
      <c r="IQ401" s="16"/>
      <c r="IR401" s="17"/>
      <c r="IV401" s="24"/>
      <c r="IW401" s="60"/>
      <c r="IX401" s="16"/>
      <c r="IY401" s="16"/>
      <c r="IZ401" s="16"/>
      <c r="JA401" s="16"/>
      <c r="JB401" s="16"/>
      <c r="JC401" s="17"/>
      <c r="JG401" s="24"/>
      <c r="JH401" s="60"/>
      <c r="JI401" s="16"/>
      <c r="JJ401" s="16"/>
      <c r="JK401" s="16"/>
      <c r="JL401" s="16"/>
      <c r="JM401" s="16"/>
      <c r="JN401" s="17"/>
      <c r="JR401" s="24"/>
      <c r="JS401" s="60"/>
      <c r="JT401" s="16"/>
      <c r="JU401" s="16"/>
      <c r="JV401" s="16"/>
      <c r="JW401" s="16"/>
      <c r="JX401" s="16"/>
      <c r="JY401" s="17"/>
      <c r="KC401" s="24"/>
      <c r="KD401" s="60"/>
      <c r="KE401" s="16"/>
      <c r="KF401" s="16"/>
      <c r="KG401" s="16"/>
      <c r="KH401" s="16"/>
      <c r="KI401" s="16"/>
      <c r="KJ401" s="17"/>
      <c r="KN401" s="24"/>
      <c r="KO401" s="60"/>
      <c r="KP401" s="16"/>
      <c r="KQ401" s="16"/>
      <c r="KR401" s="16"/>
      <c r="KS401" s="16"/>
      <c r="KT401" s="16"/>
      <c r="KU401" s="17"/>
      <c r="KY401" s="24"/>
      <c r="KZ401" s="60"/>
      <c r="LA401" s="16"/>
      <c r="LB401" s="16"/>
      <c r="LC401" s="16"/>
      <c r="LD401" s="16"/>
      <c r="LE401" s="16"/>
      <c r="LF401" s="17"/>
      <c r="LJ401" s="24"/>
      <c r="LK401" s="60"/>
      <c r="LL401" s="16"/>
      <c r="LM401" s="16"/>
      <c r="LN401" s="16"/>
      <c r="LO401" s="16"/>
      <c r="LP401" s="16"/>
      <c r="LQ401" s="17"/>
    </row>
    <row r="402">
      <c r="C402" s="31"/>
      <c r="D402" s="61"/>
      <c r="E402" s="16"/>
      <c r="F402" s="16"/>
      <c r="G402" s="21"/>
      <c r="H402" s="16"/>
      <c r="I402" s="16"/>
      <c r="J402" s="17"/>
      <c r="N402" s="17"/>
      <c r="O402" s="61"/>
      <c r="P402" s="16"/>
      <c r="Q402" s="16"/>
      <c r="R402" s="16"/>
      <c r="S402" s="16"/>
      <c r="T402" s="16"/>
      <c r="U402" s="17"/>
      <c r="Y402" s="24"/>
      <c r="Z402" s="61"/>
      <c r="AA402" s="16"/>
      <c r="AB402" s="16"/>
      <c r="AC402" s="16"/>
      <c r="AD402" s="16"/>
      <c r="AE402" s="16"/>
      <c r="AF402" s="17"/>
      <c r="AJ402" s="24"/>
      <c r="AK402" s="61"/>
      <c r="AL402" s="16"/>
      <c r="AM402" s="16"/>
      <c r="AN402" s="16"/>
      <c r="AO402" s="16"/>
      <c r="AP402" s="16"/>
      <c r="AQ402" s="17"/>
      <c r="AU402" s="24"/>
      <c r="AV402" s="61"/>
      <c r="AW402" s="16"/>
      <c r="AX402" s="16"/>
      <c r="AY402" s="16"/>
      <c r="AZ402" s="16"/>
      <c r="BA402" s="16"/>
      <c r="BB402" s="17"/>
      <c r="BF402" s="24"/>
      <c r="BG402" s="61"/>
      <c r="BH402" s="16"/>
      <c r="BI402" s="16"/>
      <c r="BJ402" s="16"/>
      <c r="BK402" s="16"/>
      <c r="BL402" s="16"/>
      <c r="BM402" s="17"/>
      <c r="BQ402" s="24"/>
      <c r="BR402" s="61"/>
      <c r="BS402" s="16"/>
      <c r="BT402" s="16"/>
      <c r="BU402" s="16"/>
      <c r="BV402" s="16"/>
      <c r="BW402" s="16"/>
      <c r="BX402" s="17"/>
      <c r="CB402" s="24"/>
      <c r="CC402" s="61"/>
      <c r="CD402" s="16"/>
      <c r="CE402" s="16"/>
      <c r="CF402" s="16"/>
      <c r="CG402" s="16"/>
      <c r="CH402" s="16"/>
      <c r="CI402" s="17"/>
      <c r="CM402" s="24"/>
      <c r="CN402" s="61"/>
      <c r="CO402" s="16"/>
      <c r="CP402" s="16"/>
      <c r="CQ402" s="16"/>
      <c r="CR402" s="16"/>
      <c r="CS402" s="16"/>
      <c r="CT402" s="17"/>
      <c r="CX402" s="24"/>
      <c r="CY402" s="60"/>
      <c r="CZ402" s="16"/>
      <c r="DA402" s="16"/>
      <c r="DB402" s="16"/>
      <c r="DC402" s="16"/>
      <c r="DD402" s="16"/>
      <c r="DE402" s="17"/>
      <c r="DI402" s="24"/>
      <c r="DJ402" s="60"/>
      <c r="DK402" s="16"/>
      <c r="DL402" s="16"/>
      <c r="DM402" s="16"/>
      <c r="DN402" s="16"/>
      <c r="DO402" s="16"/>
      <c r="DP402" s="17"/>
      <c r="DT402" s="24"/>
      <c r="DU402" s="60"/>
      <c r="DV402" s="16"/>
      <c r="DW402" s="16"/>
      <c r="DX402" s="16"/>
      <c r="DY402" s="16"/>
      <c r="DZ402" s="16"/>
      <c r="EA402" s="17"/>
      <c r="EE402" s="24"/>
      <c r="EF402" s="60"/>
      <c r="EG402" s="16"/>
      <c r="EH402" s="16"/>
      <c r="EI402" s="16"/>
      <c r="EJ402" s="16"/>
      <c r="EK402" s="16"/>
      <c r="EL402" s="17"/>
      <c r="EP402" s="24"/>
      <c r="EQ402" s="60"/>
      <c r="ER402" s="16"/>
      <c r="ES402" s="16"/>
      <c r="ET402" s="16"/>
      <c r="EU402" s="16"/>
      <c r="EV402" s="16"/>
      <c r="EW402" s="17"/>
      <c r="FA402" s="24"/>
      <c r="FB402" s="60"/>
      <c r="FC402" s="16"/>
      <c r="FD402" s="16"/>
      <c r="FE402" s="16"/>
      <c r="FF402" s="16"/>
      <c r="FG402" s="16"/>
      <c r="FH402" s="17"/>
      <c r="FL402" s="24"/>
      <c r="FM402" s="60"/>
      <c r="FN402" s="16"/>
      <c r="FO402" s="16"/>
      <c r="FP402" s="16"/>
      <c r="FQ402" s="16"/>
      <c r="FR402" s="16"/>
      <c r="FS402" s="17"/>
      <c r="FW402" s="24"/>
      <c r="FX402" s="60"/>
      <c r="FY402" s="16"/>
      <c r="FZ402" s="16"/>
      <c r="GA402" s="16"/>
      <c r="GB402" s="16"/>
      <c r="GC402" s="16"/>
      <c r="GD402" s="17"/>
      <c r="GH402" s="24"/>
      <c r="GI402" s="60"/>
      <c r="GJ402" s="16"/>
      <c r="GK402" s="16"/>
      <c r="GL402" s="16"/>
      <c r="GM402" s="16"/>
      <c r="GN402" s="16"/>
      <c r="GO402" s="17"/>
      <c r="GS402" s="24"/>
      <c r="GT402" s="60"/>
      <c r="GU402" s="16"/>
      <c r="GV402" s="16"/>
      <c r="GW402" s="16"/>
      <c r="GX402" s="16"/>
      <c r="GY402" s="16"/>
      <c r="GZ402" s="17"/>
      <c r="HD402" s="24"/>
      <c r="HE402" s="60"/>
      <c r="HF402" s="16"/>
      <c r="HG402" s="16"/>
      <c r="HH402" s="16"/>
      <c r="HI402" s="16"/>
      <c r="HJ402" s="16"/>
      <c r="HK402" s="17"/>
      <c r="HO402" s="24"/>
      <c r="HP402" s="60"/>
      <c r="HQ402" s="16"/>
      <c r="HR402" s="16"/>
      <c r="HS402" s="16"/>
      <c r="HT402" s="16"/>
      <c r="HU402" s="16"/>
      <c r="HV402" s="17"/>
      <c r="HZ402" s="24"/>
      <c r="IA402" s="60"/>
      <c r="IB402" s="16"/>
      <c r="IC402" s="16"/>
      <c r="ID402" s="16"/>
      <c r="IE402" s="16"/>
      <c r="IF402" s="16"/>
      <c r="IG402" s="17"/>
      <c r="IK402" s="24"/>
      <c r="IL402" s="60"/>
      <c r="IM402" s="16"/>
      <c r="IN402" s="16"/>
      <c r="IO402" s="16"/>
      <c r="IP402" s="16"/>
      <c r="IQ402" s="16"/>
      <c r="IR402" s="17"/>
      <c r="IV402" s="24"/>
      <c r="IW402" s="60"/>
      <c r="IX402" s="16"/>
      <c r="IY402" s="16"/>
      <c r="IZ402" s="16"/>
      <c r="JA402" s="16"/>
      <c r="JB402" s="16"/>
      <c r="JC402" s="17"/>
      <c r="JG402" s="24"/>
      <c r="JH402" s="60"/>
      <c r="JI402" s="16"/>
      <c r="JJ402" s="16"/>
      <c r="JK402" s="16"/>
      <c r="JL402" s="16"/>
      <c r="JM402" s="16"/>
      <c r="JN402" s="17"/>
      <c r="JR402" s="24"/>
      <c r="JS402" s="60"/>
      <c r="JT402" s="16"/>
      <c r="JU402" s="16"/>
      <c r="JV402" s="16"/>
      <c r="JW402" s="16"/>
      <c r="JX402" s="16"/>
      <c r="JY402" s="17"/>
      <c r="KC402" s="24"/>
      <c r="KD402" s="60"/>
      <c r="KE402" s="16"/>
      <c r="KF402" s="16"/>
      <c r="KG402" s="16"/>
      <c r="KH402" s="16"/>
      <c r="KI402" s="16"/>
      <c r="KJ402" s="17"/>
      <c r="KN402" s="24"/>
      <c r="KO402" s="60"/>
      <c r="KP402" s="16"/>
      <c r="KQ402" s="16"/>
      <c r="KR402" s="16"/>
      <c r="KS402" s="16"/>
      <c r="KT402" s="16"/>
      <c r="KU402" s="17"/>
      <c r="KY402" s="24"/>
      <c r="KZ402" s="60"/>
      <c r="LA402" s="16"/>
      <c r="LB402" s="16"/>
      <c r="LC402" s="16"/>
      <c r="LD402" s="16"/>
      <c r="LE402" s="16"/>
      <c r="LF402" s="17"/>
      <c r="LJ402" s="24"/>
      <c r="LK402" s="60"/>
      <c r="LL402" s="16"/>
      <c r="LM402" s="16"/>
      <c r="LN402" s="16"/>
      <c r="LO402" s="16"/>
      <c r="LP402" s="16"/>
      <c r="LQ402" s="17"/>
    </row>
    <row r="403">
      <c r="C403" s="31"/>
      <c r="D403" s="61"/>
      <c r="E403" s="16"/>
      <c r="F403" s="16"/>
      <c r="G403" s="21"/>
      <c r="H403" s="16"/>
      <c r="I403" s="16"/>
      <c r="J403" s="17"/>
      <c r="N403" s="17"/>
      <c r="O403" s="61"/>
      <c r="P403" s="16"/>
      <c r="Q403" s="16"/>
      <c r="R403" s="16"/>
      <c r="S403" s="16"/>
      <c r="T403" s="16"/>
      <c r="U403" s="17"/>
      <c r="Y403" s="24"/>
      <c r="Z403" s="61"/>
      <c r="AA403" s="16"/>
      <c r="AB403" s="16"/>
      <c r="AC403" s="16"/>
      <c r="AD403" s="16"/>
      <c r="AE403" s="16"/>
      <c r="AF403" s="17"/>
      <c r="AJ403" s="24"/>
      <c r="AK403" s="61"/>
      <c r="AL403" s="16"/>
      <c r="AM403" s="16"/>
      <c r="AN403" s="16"/>
      <c r="AO403" s="16"/>
      <c r="AP403" s="16"/>
      <c r="AQ403" s="17"/>
      <c r="AU403" s="24"/>
      <c r="AV403" s="61"/>
      <c r="AW403" s="16"/>
      <c r="AX403" s="16"/>
      <c r="AY403" s="16"/>
      <c r="AZ403" s="16"/>
      <c r="BA403" s="16"/>
      <c r="BB403" s="17"/>
      <c r="BF403" s="24"/>
      <c r="BG403" s="61"/>
      <c r="BH403" s="16"/>
      <c r="BI403" s="16"/>
      <c r="BJ403" s="16"/>
      <c r="BK403" s="16"/>
      <c r="BL403" s="16"/>
      <c r="BM403" s="17"/>
      <c r="BQ403" s="24"/>
      <c r="BR403" s="61"/>
      <c r="BS403" s="16"/>
      <c r="BT403" s="16"/>
      <c r="BU403" s="16"/>
      <c r="BV403" s="16"/>
      <c r="BW403" s="16"/>
      <c r="BX403" s="17"/>
      <c r="CB403" s="24"/>
      <c r="CC403" s="61"/>
      <c r="CD403" s="16"/>
      <c r="CE403" s="16"/>
      <c r="CF403" s="16"/>
      <c r="CG403" s="16"/>
      <c r="CH403" s="16"/>
      <c r="CI403" s="17"/>
      <c r="CM403" s="24"/>
      <c r="CN403" s="61"/>
      <c r="CO403" s="16"/>
      <c r="CP403" s="16"/>
      <c r="CQ403" s="16"/>
      <c r="CR403" s="16"/>
      <c r="CS403" s="16"/>
      <c r="CT403" s="17"/>
      <c r="CX403" s="24"/>
      <c r="CY403" s="60"/>
      <c r="CZ403" s="16"/>
      <c r="DA403" s="16"/>
      <c r="DB403" s="16"/>
      <c r="DC403" s="16"/>
      <c r="DD403" s="16"/>
      <c r="DE403" s="17"/>
      <c r="DI403" s="24"/>
      <c r="DJ403" s="60"/>
      <c r="DK403" s="16"/>
      <c r="DL403" s="16"/>
      <c r="DM403" s="16"/>
      <c r="DN403" s="16"/>
      <c r="DO403" s="16"/>
      <c r="DP403" s="17"/>
      <c r="DT403" s="24"/>
      <c r="DU403" s="60"/>
      <c r="DV403" s="16"/>
      <c r="DW403" s="16"/>
      <c r="DX403" s="16"/>
      <c r="DY403" s="16"/>
      <c r="DZ403" s="16"/>
      <c r="EA403" s="17"/>
      <c r="EE403" s="24"/>
      <c r="EF403" s="60"/>
      <c r="EG403" s="16"/>
      <c r="EH403" s="16"/>
      <c r="EI403" s="16"/>
      <c r="EJ403" s="16"/>
      <c r="EK403" s="16"/>
      <c r="EL403" s="17"/>
      <c r="EP403" s="24"/>
      <c r="EQ403" s="60"/>
      <c r="ER403" s="16"/>
      <c r="ES403" s="16"/>
      <c r="ET403" s="16"/>
      <c r="EU403" s="16"/>
      <c r="EV403" s="16"/>
      <c r="EW403" s="17"/>
      <c r="FA403" s="24"/>
      <c r="FB403" s="60"/>
      <c r="FC403" s="16"/>
      <c r="FD403" s="16"/>
      <c r="FE403" s="16"/>
      <c r="FF403" s="16"/>
      <c r="FG403" s="16"/>
      <c r="FH403" s="17"/>
      <c r="FL403" s="24"/>
      <c r="FM403" s="60"/>
      <c r="FN403" s="16"/>
      <c r="FO403" s="16"/>
      <c r="FP403" s="16"/>
      <c r="FQ403" s="16"/>
      <c r="FR403" s="16"/>
      <c r="FS403" s="17"/>
      <c r="FW403" s="24"/>
      <c r="FX403" s="60"/>
      <c r="FY403" s="16"/>
      <c r="FZ403" s="16"/>
      <c r="GA403" s="16"/>
      <c r="GB403" s="16"/>
      <c r="GC403" s="16"/>
      <c r="GD403" s="17"/>
      <c r="GH403" s="24"/>
      <c r="GI403" s="60"/>
      <c r="GJ403" s="16"/>
      <c r="GK403" s="16"/>
      <c r="GL403" s="16"/>
      <c r="GM403" s="16"/>
      <c r="GN403" s="16"/>
      <c r="GO403" s="17"/>
      <c r="GS403" s="24"/>
      <c r="GT403" s="60"/>
      <c r="GU403" s="16"/>
      <c r="GV403" s="16"/>
      <c r="GW403" s="16"/>
      <c r="GX403" s="16"/>
      <c r="GY403" s="16"/>
      <c r="GZ403" s="17"/>
      <c r="HD403" s="24"/>
      <c r="HE403" s="60"/>
      <c r="HF403" s="16"/>
      <c r="HG403" s="16"/>
      <c r="HH403" s="16"/>
      <c r="HI403" s="16"/>
      <c r="HJ403" s="16"/>
      <c r="HK403" s="17"/>
      <c r="HO403" s="24"/>
      <c r="HP403" s="60"/>
      <c r="HQ403" s="16"/>
      <c r="HR403" s="16"/>
      <c r="HS403" s="16"/>
      <c r="HT403" s="16"/>
      <c r="HU403" s="16"/>
      <c r="HV403" s="17"/>
      <c r="HZ403" s="24"/>
      <c r="IA403" s="60"/>
      <c r="IB403" s="16"/>
      <c r="IC403" s="16"/>
      <c r="ID403" s="16"/>
      <c r="IE403" s="16"/>
      <c r="IF403" s="16"/>
      <c r="IG403" s="17"/>
      <c r="IK403" s="24"/>
      <c r="IL403" s="60"/>
      <c r="IM403" s="16"/>
      <c r="IN403" s="16"/>
      <c r="IO403" s="16"/>
      <c r="IP403" s="16"/>
      <c r="IQ403" s="16"/>
      <c r="IR403" s="17"/>
      <c r="IV403" s="24"/>
      <c r="IW403" s="60"/>
      <c r="IX403" s="16"/>
      <c r="IY403" s="16"/>
      <c r="IZ403" s="16"/>
      <c r="JA403" s="16"/>
      <c r="JB403" s="16"/>
      <c r="JC403" s="17"/>
      <c r="JG403" s="24"/>
      <c r="JH403" s="60"/>
      <c r="JI403" s="16"/>
      <c r="JJ403" s="16"/>
      <c r="JK403" s="16"/>
      <c r="JL403" s="16"/>
      <c r="JM403" s="16"/>
      <c r="JN403" s="17"/>
      <c r="JR403" s="24"/>
      <c r="JS403" s="60"/>
      <c r="JT403" s="16"/>
      <c r="JU403" s="16"/>
      <c r="JV403" s="16"/>
      <c r="JW403" s="16"/>
      <c r="JX403" s="16"/>
      <c r="JY403" s="17"/>
      <c r="KC403" s="24"/>
      <c r="KD403" s="60"/>
      <c r="KE403" s="16"/>
      <c r="KF403" s="16"/>
      <c r="KG403" s="16"/>
      <c r="KH403" s="16"/>
      <c r="KI403" s="16"/>
      <c r="KJ403" s="17"/>
      <c r="KN403" s="24"/>
      <c r="KO403" s="60"/>
      <c r="KP403" s="16"/>
      <c r="KQ403" s="16"/>
      <c r="KR403" s="16"/>
      <c r="KS403" s="16"/>
      <c r="KT403" s="16"/>
      <c r="KU403" s="17"/>
      <c r="KY403" s="24"/>
      <c r="KZ403" s="60"/>
      <c r="LA403" s="16"/>
      <c r="LB403" s="16"/>
      <c r="LC403" s="16"/>
      <c r="LD403" s="16"/>
      <c r="LE403" s="16"/>
      <c r="LF403" s="17"/>
      <c r="LJ403" s="24"/>
      <c r="LK403" s="60"/>
      <c r="LL403" s="16"/>
      <c r="LM403" s="16"/>
      <c r="LN403" s="16"/>
      <c r="LO403" s="16"/>
      <c r="LP403" s="16"/>
      <c r="LQ403" s="17"/>
    </row>
    <row r="404">
      <c r="C404" s="31"/>
      <c r="D404" s="61"/>
      <c r="E404" s="16"/>
      <c r="F404" s="16"/>
      <c r="G404" s="21"/>
      <c r="H404" s="16"/>
      <c r="I404" s="16"/>
      <c r="J404" s="17"/>
      <c r="N404" s="17"/>
      <c r="O404" s="61"/>
      <c r="P404" s="16"/>
      <c r="Q404" s="16"/>
      <c r="R404" s="16"/>
      <c r="S404" s="16"/>
      <c r="T404" s="16"/>
      <c r="U404" s="17"/>
      <c r="Y404" s="24"/>
      <c r="Z404" s="61"/>
      <c r="AA404" s="16"/>
      <c r="AB404" s="16"/>
      <c r="AC404" s="16"/>
      <c r="AD404" s="16"/>
      <c r="AE404" s="16"/>
      <c r="AF404" s="17"/>
      <c r="AJ404" s="24"/>
      <c r="AK404" s="61"/>
      <c r="AL404" s="16"/>
      <c r="AM404" s="16"/>
      <c r="AN404" s="16"/>
      <c r="AO404" s="16"/>
      <c r="AP404" s="16"/>
      <c r="AQ404" s="17"/>
      <c r="AU404" s="24"/>
      <c r="AV404" s="61"/>
      <c r="AW404" s="16"/>
      <c r="AX404" s="16"/>
      <c r="AY404" s="16"/>
      <c r="AZ404" s="16"/>
      <c r="BA404" s="16"/>
      <c r="BB404" s="17"/>
      <c r="BF404" s="24"/>
      <c r="BG404" s="61"/>
      <c r="BH404" s="16"/>
      <c r="BI404" s="16"/>
      <c r="BJ404" s="16"/>
      <c r="BK404" s="16"/>
      <c r="BL404" s="16"/>
      <c r="BM404" s="17"/>
      <c r="BQ404" s="24"/>
      <c r="BR404" s="61"/>
      <c r="BS404" s="16"/>
      <c r="BT404" s="16"/>
      <c r="BU404" s="16"/>
      <c r="BV404" s="16"/>
      <c r="BW404" s="16"/>
      <c r="BX404" s="17"/>
      <c r="CB404" s="24"/>
      <c r="CC404" s="61"/>
      <c r="CD404" s="16"/>
      <c r="CE404" s="16"/>
      <c r="CF404" s="16"/>
      <c r="CG404" s="16"/>
      <c r="CH404" s="16"/>
      <c r="CI404" s="17"/>
      <c r="CM404" s="24"/>
      <c r="CN404" s="61"/>
      <c r="CO404" s="16"/>
      <c r="CP404" s="16"/>
      <c r="CQ404" s="16"/>
      <c r="CR404" s="16"/>
      <c r="CS404" s="16"/>
      <c r="CT404" s="17"/>
      <c r="CX404" s="24"/>
      <c r="CY404" s="60"/>
      <c r="CZ404" s="16"/>
      <c r="DA404" s="16"/>
      <c r="DB404" s="16"/>
      <c r="DC404" s="16"/>
      <c r="DD404" s="16"/>
      <c r="DE404" s="17"/>
      <c r="DI404" s="24"/>
      <c r="DJ404" s="60"/>
      <c r="DK404" s="16"/>
      <c r="DL404" s="16"/>
      <c r="DM404" s="16"/>
      <c r="DN404" s="16"/>
      <c r="DO404" s="16"/>
      <c r="DP404" s="17"/>
      <c r="DT404" s="24"/>
      <c r="DU404" s="60"/>
      <c r="DV404" s="16"/>
      <c r="DW404" s="16"/>
      <c r="DX404" s="16"/>
      <c r="DY404" s="16"/>
      <c r="DZ404" s="16"/>
      <c r="EA404" s="17"/>
      <c r="EE404" s="24"/>
      <c r="EF404" s="60"/>
      <c r="EG404" s="16"/>
      <c r="EH404" s="16"/>
      <c r="EI404" s="16"/>
      <c r="EJ404" s="16"/>
      <c r="EK404" s="16"/>
      <c r="EL404" s="17"/>
      <c r="EP404" s="24"/>
      <c r="EQ404" s="60"/>
      <c r="ER404" s="16"/>
      <c r="ES404" s="16"/>
      <c r="ET404" s="16"/>
      <c r="EU404" s="16"/>
      <c r="EV404" s="16"/>
      <c r="EW404" s="17"/>
      <c r="FA404" s="24"/>
      <c r="FB404" s="60"/>
      <c r="FC404" s="16"/>
      <c r="FD404" s="16"/>
      <c r="FE404" s="16"/>
      <c r="FF404" s="16"/>
      <c r="FG404" s="16"/>
      <c r="FH404" s="17"/>
      <c r="FL404" s="24"/>
      <c r="FM404" s="60"/>
      <c r="FN404" s="16"/>
      <c r="FO404" s="16"/>
      <c r="FP404" s="16"/>
      <c r="FQ404" s="16"/>
      <c r="FR404" s="16"/>
      <c r="FS404" s="17"/>
      <c r="FW404" s="24"/>
      <c r="FX404" s="60"/>
      <c r="FY404" s="16"/>
      <c r="FZ404" s="16"/>
      <c r="GA404" s="16"/>
      <c r="GB404" s="16"/>
      <c r="GC404" s="16"/>
      <c r="GD404" s="17"/>
      <c r="GH404" s="24"/>
      <c r="GI404" s="60"/>
      <c r="GJ404" s="16"/>
      <c r="GK404" s="16"/>
      <c r="GL404" s="16"/>
      <c r="GM404" s="16"/>
      <c r="GN404" s="16"/>
      <c r="GO404" s="17"/>
      <c r="GS404" s="24"/>
      <c r="GT404" s="60"/>
      <c r="GU404" s="16"/>
      <c r="GV404" s="16"/>
      <c r="GW404" s="16"/>
      <c r="GX404" s="16"/>
      <c r="GY404" s="16"/>
      <c r="GZ404" s="17"/>
      <c r="HD404" s="24"/>
      <c r="HE404" s="60"/>
      <c r="HF404" s="16"/>
      <c r="HG404" s="16"/>
      <c r="HH404" s="16"/>
      <c r="HI404" s="16"/>
      <c r="HJ404" s="16"/>
      <c r="HK404" s="17"/>
      <c r="HO404" s="24"/>
      <c r="HP404" s="60"/>
      <c r="HQ404" s="16"/>
      <c r="HR404" s="16"/>
      <c r="HS404" s="16"/>
      <c r="HT404" s="16"/>
      <c r="HU404" s="16"/>
      <c r="HV404" s="17"/>
      <c r="HZ404" s="24"/>
      <c r="IA404" s="60"/>
      <c r="IB404" s="16"/>
      <c r="IC404" s="16"/>
      <c r="ID404" s="16"/>
      <c r="IE404" s="16"/>
      <c r="IF404" s="16"/>
      <c r="IG404" s="17"/>
      <c r="IK404" s="24"/>
      <c r="IL404" s="60"/>
      <c r="IM404" s="16"/>
      <c r="IN404" s="16"/>
      <c r="IO404" s="16"/>
      <c r="IP404" s="16"/>
      <c r="IQ404" s="16"/>
      <c r="IR404" s="17"/>
      <c r="IV404" s="24"/>
      <c r="IW404" s="60"/>
      <c r="IX404" s="16"/>
      <c r="IY404" s="16"/>
      <c r="IZ404" s="16"/>
      <c r="JA404" s="16"/>
      <c r="JB404" s="16"/>
      <c r="JC404" s="17"/>
      <c r="JG404" s="24"/>
      <c r="JH404" s="60"/>
      <c r="JI404" s="16"/>
      <c r="JJ404" s="16"/>
      <c r="JK404" s="16"/>
      <c r="JL404" s="16"/>
      <c r="JM404" s="16"/>
      <c r="JN404" s="17"/>
      <c r="JR404" s="24"/>
      <c r="JS404" s="60"/>
      <c r="JT404" s="16"/>
      <c r="JU404" s="16"/>
      <c r="JV404" s="16"/>
      <c r="JW404" s="16"/>
      <c r="JX404" s="16"/>
      <c r="JY404" s="17"/>
      <c r="KC404" s="24"/>
      <c r="KD404" s="60"/>
      <c r="KE404" s="16"/>
      <c r="KF404" s="16"/>
      <c r="KG404" s="16"/>
      <c r="KH404" s="16"/>
      <c r="KI404" s="16"/>
      <c r="KJ404" s="17"/>
      <c r="KN404" s="24"/>
      <c r="KO404" s="60"/>
      <c r="KP404" s="16"/>
      <c r="KQ404" s="16"/>
      <c r="KR404" s="16"/>
      <c r="KS404" s="16"/>
      <c r="KT404" s="16"/>
      <c r="KU404" s="17"/>
      <c r="KY404" s="24"/>
      <c r="KZ404" s="60"/>
      <c r="LA404" s="16"/>
      <c r="LB404" s="16"/>
      <c r="LC404" s="16"/>
      <c r="LD404" s="16"/>
      <c r="LE404" s="16"/>
      <c r="LF404" s="17"/>
      <c r="LJ404" s="24"/>
      <c r="LK404" s="60"/>
      <c r="LL404" s="16"/>
      <c r="LM404" s="16"/>
      <c r="LN404" s="16"/>
      <c r="LO404" s="16"/>
      <c r="LP404" s="16"/>
      <c r="LQ404" s="17"/>
    </row>
    <row r="405">
      <c r="C405" s="31"/>
      <c r="D405" s="61"/>
      <c r="E405" s="16"/>
      <c r="F405" s="16"/>
      <c r="G405" s="21"/>
      <c r="H405" s="16"/>
      <c r="I405" s="16"/>
      <c r="J405" s="17"/>
      <c r="N405" s="17"/>
      <c r="O405" s="61"/>
      <c r="P405" s="16"/>
      <c r="Q405" s="16"/>
      <c r="R405" s="16"/>
      <c r="S405" s="16"/>
      <c r="T405" s="16"/>
      <c r="U405" s="17"/>
      <c r="Y405" s="24"/>
      <c r="Z405" s="61"/>
      <c r="AA405" s="16"/>
      <c r="AB405" s="16"/>
      <c r="AC405" s="16"/>
      <c r="AD405" s="16"/>
      <c r="AE405" s="16"/>
      <c r="AF405" s="17"/>
      <c r="AJ405" s="24"/>
      <c r="AK405" s="61"/>
      <c r="AL405" s="16"/>
      <c r="AM405" s="16"/>
      <c r="AN405" s="16"/>
      <c r="AO405" s="16"/>
      <c r="AP405" s="16"/>
      <c r="AQ405" s="17"/>
      <c r="AU405" s="24"/>
      <c r="AV405" s="61"/>
      <c r="AW405" s="16"/>
      <c r="AX405" s="16"/>
      <c r="AY405" s="16"/>
      <c r="AZ405" s="16"/>
      <c r="BA405" s="16"/>
      <c r="BB405" s="17"/>
      <c r="BF405" s="24"/>
      <c r="BG405" s="61"/>
      <c r="BH405" s="16"/>
      <c r="BI405" s="16"/>
      <c r="BJ405" s="16"/>
      <c r="BK405" s="16"/>
      <c r="BL405" s="16"/>
      <c r="BM405" s="17"/>
      <c r="BQ405" s="24"/>
      <c r="BR405" s="61"/>
      <c r="BS405" s="16"/>
      <c r="BT405" s="16"/>
      <c r="BU405" s="16"/>
      <c r="BV405" s="16"/>
      <c r="BW405" s="16"/>
      <c r="BX405" s="17"/>
      <c r="CB405" s="24"/>
      <c r="CC405" s="61"/>
      <c r="CD405" s="16"/>
      <c r="CE405" s="16"/>
      <c r="CF405" s="16"/>
      <c r="CG405" s="16"/>
      <c r="CH405" s="16"/>
      <c r="CI405" s="17"/>
      <c r="CM405" s="24"/>
      <c r="CN405" s="61"/>
      <c r="CO405" s="16"/>
      <c r="CP405" s="16"/>
      <c r="CQ405" s="16"/>
      <c r="CR405" s="16"/>
      <c r="CS405" s="16"/>
      <c r="CT405" s="17"/>
      <c r="CX405" s="24"/>
      <c r="CY405" s="60"/>
      <c r="CZ405" s="16"/>
      <c r="DA405" s="16"/>
      <c r="DB405" s="16"/>
      <c r="DC405" s="16"/>
      <c r="DD405" s="16"/>
      <c r="DE405" s="17"/>
      <c r="DI405" s="24"/>
      <c r="DJ405" s="60"/>
      <c r="DK405" s="16"/>
      <c r="DL405" s="16"/>
      <c r="DM405" s="16"/>
      <c r="DN405" s="16"/>
      <c r="DO405" s="16"/>
      <c r="DP405" s="17"/>
      <c r="DT405" s="24"/>
      <c r="DU405" s="60"/>
      <c r="DV405" s="16"/>
      <c r="DW405" s="16"/>
      <c r="DX405" s="16"/>
      <c r="DY405" s="16"/>
      <c r="DZ405" s="16"/>
      <c r="EA405" s="17"/>
      <c r="EE405" s="24"/>
      <c r="EF405" s="60"/>
      <c r="EG405" s="16"/>
      <c r="EH405" s="16"/>
      <c r="EI405" s="16"/>
      <c r="EJ405" s="16"/>
      <c r="EK405" s="16"/>
      <c r="EL405" s="17"/>
      <c r="EP405" s="24"/>
      <c r="EQ405" s="60"/>
      <c r="ER405" s="16"/>
      <c r="ES405" s="16"/>
      <c r="ET405" s="16"/>
      <c r="EU405" s="16"/>
      <c r="EV405" s="16"/>
      <c r="EW405" s="17"/>
      <c r="FA405" s="24"/>
      <c r="FB405" s="60"/>
      <c r="FC405" s="16"/>
      <c r="FD405" s="16"/>
      <c r="FE405" s="16"/>
      <c r="FF405" s="16"/>
      <c r="FG405" s="16"/>
      <c r="FH405" s="17"/>
      <c r="FL405" s="24"/>
      <c r="FM405" s="60"/>
      <c r="FN405" s="16"/>
      <c r="FO405" s="16"/>
      <c r="FP405" s="16"/>
      <c r="FQ405" s="16"/>
      <c r="FR405" s="16"/>
      <c r="FS405" s="17"/>
      <c r="FW405" s="24"/>
      <c r="FX405" s="60"/>
      <c r="FY405" s="16"/>
      <c r="FZ405" s="16"/>
      <c r="GA405" s="16"/>
      <c r="GB405" s="16"/>
      <c r="GC405" s="16"/>
      <c r="GD405" s="17"/>
      <c r="GH405" s="24"/>
      <c r="GI405" s="60"/>
      <c r="GJ405" s="16"/>
      <c r="GK405" s="16"/>
      <c r="GL405" s="16"/>
      <c r="GM405" s="16"/>
      <c r="GN405" s="16"/>
      <c r="GO405" s="17"/>
      <c r="GS405" s="24"/>
      <c r="GT405" s="60"/>
      <c r="GU405" s="16"/>
      <c r="GV405" s="16"/>
      <c r="GW405" s="16"/>
      <c r="GX405" s="16"/>
      <c r="GY405" s="16"/>
      <c r="GZ405" s="17"/>
      <c r="HD405" s="24"/>
      <c r="HE405" s="60"/>
      <c r="HF405" s="16"/>
      <c r="HG405" s="16"/>
      <c r="HH405" s="16"/>
      <c r="HI405" s="16"/>
      <c r="HJ405" s="16"/>
      <c r="HK405" s="17"/>
      <c r="HO405" s="24"/>
      <c r="HP405" s="60"/>
      <c r="HQ405" s="16"/>
      <c r="HR405" s="16"/>
      <c r="HS405" s="16"/>
      <c r="HT405" s="16"/>
      <c r="HU405" s="16"/>
      <c r="HV405" s="17"/>
      <c r="HZ405" s="24"/>
      <c r="IA405" s="60"/>
      <c r="IB405" s="16"/>
      <c r="IC405" s="16"/>
      <c r="ID405" s="16"/>
      <c r="IE405" s="16"/>
      <c r="IF405" s="16"/>
      <c r="IG405" s="17"/>
      <c r="IK405" s="24"/>
      <c r="IL405" s="60"/>
      <c r="IM405" s="16"/>
      <c r="IN405" s="16"/>
      <c r="IO405" s="16"/>
      <c r="IP405" s="16"/>
      <c r="IQ405" s="16"/>
      <c r="IR405" s="17"/>
      <c r="IV405" s="24"/>
      <c r="IW405" s="60"/>
      <c r="IX405" s="16"/>
      <c r="IY405" s="16"/>
      <c r="IZ405" s="16"/>
      <c r="JA405" s="16"/>
      <c r="JB405" s="16"/>
      <c r="JC405" s="17"/>
      <c r="JG405" s="24"/>
      <c r="JH405" s="60"/>
      <c r="JI405" s="16"/>
      <c r="JJ405" s="16"/>
      <c r="JK405" s="16"/>
      <c r="JL405" s="16"/>
      <c r="JM405" s="16"/>
      <c r="JN405" s="17"/>
      <c r="JR405" s="24"/>
      <c r="JS405" s="60"/>
      <c r="JT405" s="16"/>
      <c r="JU405" s="16"/>
      <c r="JV405" s="16"/>
      <c r="JW405" s="16"/>
      <c r="JX405" s="16"/>
      <c r="JY405" s="17"/>
      <c r="KC405" s="24"/>
      <c r="KD405" s="60"/>
      <c r="KE405" s="16"/>
      <c r="KF405" s="16"/>
      <c r="KG405" s="16"/>
      <c r="KH405" s="16"/>
      <c r="KI405" s="16"/>
      <c r="KJ405" s="17"/>
      <c r="KN405" s="24"/>
      <c r="KO405" s="60"/>
      <c r="KP405" s="16"/>
      <c r="KQ405" s="16"/>
      <c r="KR405" s="16"/>
      <c r="KS405" s="16"/>
      <c r="KT405" s="16"/>
      <c r="KU405" s="17"/>
      <c r="KY405" s="24"/>
      <c r="KZ405" s="60"/>
      <c r="LA405" s="16"/>
      <c r="LB405" s="16"/>
      <c r="LC405" s="16"/>
      <c r="LD405" s="16"/>
      <c r="LE405" s="16"/>
      <c r="LF405" s="17"/>
      <c r="LJ405" s="24"/>
      <c r="LK405" s="60"/>
      <c r="LL405" s="16"/>
      <c r="LM405" s="16"/>
      <c r="LN405" s="16"/>
      <c r="LO405" s="16"/>
      <c r="LP405" s="16"/>
      <c r="LQ405" s="17"/>
    </row>
    <row r="406">
      <c r="C406" s="31"/>
      <c r="D406" s="61"/>
      <c r="E406" s="16"/>
      <c r="F406" s="16"/>
      <c r="G406" s="21"/>
      <c r="H406" s="16"/>
      <c r="I406" s="16"/>
      <c r="J406" s="17"/>
      <c r="N406" s="17"/>
      <c r="O406" s="61"/>
      <c r="P406" s="16"/>
      <c r="Q406" s="16"/>
      <c r="R406" s="16"/>
      <c r="S406" s="16"/>
      <c r="T406" s="16"/>
      <c r="U406" s="17"/>
      <c r="Y406" s="24"/>
      <c r="Z406" s="61"/>
      <c r="AA406" s="16"/>
      <c r="AB406" s="16"/>
      <c r="AC406" s="16"/>
      <c r="AD406" s="16"/>
      <c r="AE406" s="16"/>
      <c r="AF406" s="17"/>
      <c r="AJ406" s="24"/>
      <c r="AK406" s="61"/>
      <c r="AL406" s="16"/>
      <c r="AM406" s="16"/>
      <c r="AN406" s="16"/>
      <c r="AO406" s="16"/>
      <c r="AP406" s="16"/>
      <c r="AQ406" s="17"/>
      <c r="AU406" s="24"/>
      <c r="AV406" s="61"/>
      <c r="AW406" s="16"/>
      <c r="AX406" s="16"/>
      <c r="AY406" s="16"/>
      <c r="AZ406" s="16"/>
      <c r="BA406" s="16"/>
      <c r="BB406" s="17"/>
      <c r="BF406" s="24"/>
      <c r="BG406" s="61"/>
      <c r="BH406" s="16"/>
      <c r="BI406" s="16"/>
      <c r="BJ406" s="16"/>
      <c r="BK406" s="16"/>
      <c r="BL406" s="16"/>
      <c r="BM406" s="17"/>
      <c r="BQ406" s="24"/>
      <c r="BR406" s="61"/>
      <c r="BS406" s="16"/>
      <c r="BT406" s="16"/>
      <c r="BU406" s="16"/>
      <c r="BV406" s="16"/>
      <c r="BW406" s="16"/>
      <c r="BX406" s="17"/>
      <c r="CB406" s="24"/>
      <c r="CC406" s="61"/>
      <c r="CD406" s="16"/>
      <c r="CE406" s="16"/>
      <c r="CF406" s="16"/>
      <c r="CG406" s="16"/>
      <c r="CH406" s="16"/>
      <c r="CI406" s="17"/>
      <c r="CM406" s="24"/>
      <c r="CN406" s="61"/>
      <c r="CO406" s="16"/>
      <c r="CP406" s="16"/>
      <c r="CQ406" s="16"/>
      <c r="CR406" s="16"/>
      <c r="CS406" s="16"/>
      <c r="CT406" s="17"/>
      <c r="CX406" s="24"/>
      <c r="CY406" s="60"/>
      <c r="CZ406" s="16"/>
      <c r="DA406" s="16"/>
      <c r="DB406" s="16"/>
      <c r="DC406" s="16"/>
      <c r="DD406" s="16"/>
      <c r="DE406" s="17"/>
      <c r="DI406" s="24"/>
      <c r="DJ406" s="60"/>
      <c r="DK406" s="16"/>
      <c r="DL406" s="16"/>
      <c r="DM406" s="16"/>
      <c r="DN406" s="16"/>
      <c r="DO406" s="16"/>
      <c r="DP406" s="17"/>
      <c r="DT406" s="24"/>
      <c r="DU406" s="60"/>
      <c r="DV406" s="16"/>
      <c r="DW406" s="16"/>
      <c r="DX406" s="16"/>
      <c r="DY406" s="16"/>
      <c r="DZ406" s="16"/>
      <c r="EA406" s="17"/>
      <c r="EE406" s="24"/>
      <c r="EF406" s="60"/>
      <c r="EG406" s="16"/>
      <c r="EH406" s="16"/>
      <c r="EI406" s="16"/>
      <c r="EJ406" s="16"/>
      <c r="EK406" s="16"/>
      <c r="EL406" s="17"/>
      <c r="EP406" s="24"/>
      <c r="EQ406" s="60"/>
      <c r="ER406" s="16"/>
      <c r="ES406" s="16"/>
      <c r="ET406" s="16"/>
      <c r="EU406" s="16"/>
      <c r="EV406" s="16"/>
      <c r="EW406" s="17"/>
      <c r="FA406" s="24"/>
      <c r="FB406" s="60"/>
      <c r="FC406" s="16"/>
      <c r="FD406" s="16"/>
      <c r="FE406" s="16"/>
      <c r="FF406" s="16"/>
      <c r="FG406" s="16"/>
      <c r="FH406" s="17"/>
      <c r="FL406" s="24"/>
      <c r="FM406" s="60"/>
      <c r="FN406" s="16"/>
      <c r="FO406" s="16"/>
      <c r="FP406" s="16"/>
      <c r="FQ406" s="16"/>
      <c r="FR406" s="16"/>
      <c r="FS406" s="17"/>
      <c r="FW406" s="24"/>
      <c r="FX406" s="60"/>
      <c r="FY406" s="16"/>
      <c r="FZ406" s="16"/>
      <c r="GA406" s="16"/>
      <c r="GB406" s="16"/>
      <c r="GC406" s="16"/>
      <c r="GD406" s="17"/>
      <c r="GH406" s="24"/>
      <c r="GI406" s="60"/>
      <c r="GJ406" s="16"/>
      <c r="GK406" s="16"/>
      <c r="GL406" s="16"/>
      <c r="GM406" s="16"/>
      <c r="GN406" s="16"/>
      <c r="GO406" s="17"/>
      <c r="GS406" s="24"/>
      <c r="GT406" s="60"/>
      <c r="GU406" s="16"/>
      <c r="GV406" s="16"/>
      <c r="GW406" s="16"/>
      <c r="GX406" s="16"/>
      <c r="GY406" s="16"/>
      <c r="GZ406" s="17"/>
      <c r="HD406" s="24"/>
      <c r="HE406" s="60"/>
      <c r="HF406" s="16"/>
      <c r="HG406" s="16"/>
      <c r="HH406" s="16"/>
      <c r="HI406" s="16"/>
      <c r="HJ406" s="16"/>
      <c r="HK406" s="17"/>
      <c r="HO406" s="24"/>
      <c r="HP406" s="60"/>
      <c r="HQ406" s="16"/>
      <c r="HR406" s="16"/>
      <c r="HS406" s="16"/>
      <c r="HT406" s="16"/>
      <c r="HU406" s="16"/>
      <c r="HV406" s="17"/>
      <c r="HZ406" s="24"/>
      <c r="IA406" s="60"/>
      <c r="IB406" s="16"/>
      <c r="IC406" s="16"/>
      <c r="ID406" s="16"/>
      <c r="IE406" s="16"/>
      <c r="IF406" s="16"/>
      <c r="IG406" s="17"/>
      <c r="IK406" s="24"/>
      <c r="IL406" s="60"/>
      <c r="IM406" s="16"/>
      <c r="IN406" s="16"/>
      <c r="IO406" s="16"/>
      <c r="IP406" s="16"/>
      <c r="IQ406" s="16"/>
      <c r="IR406" s="17"/>
      <c r="IV406" s="24"/>
      <c r="IW406" s="60"/>
      <c r="IX406" s="16"/>
      <c r="IY406" s="16"/>
      <c r="IZ406" s="16"/>
      <c r="JA406" s="16"/>
      <c r="JB406" s="16"/>
      <c r="JC406" s="17"/>
      <c r="JG406" s="24"/>
      <c r="JH406" s="60"/>
      <c r="JI406" s="16"/>
      <c r="JJ406" s="16"/>
      <c r="JK406" s="16"/>
      <c r="JL406" s="16"/>
      <c r="JM406" s="16"/>
      <c r="JN406" s="17"/>
      <c r="JR406" s="24"/>
      <c r="JS406" s="60"/>
      <c r="JT406" s="16"/>
      <c r="JU406" s="16"/>
      <c r="JV406" s="16"/>
      <c r="JW406" s="16"/>
      <c r="JX406" s="16"/>
      <c r="JY406" s="17"/>
      <c r="KC406" s="24"/>
      <c r="KD406" s="60"/>
      <c r="KE406" s="16"/>
      <c r="KF406" s="16"/>
      <c r="KG406" s="16"/>
      <c r="KH406" s="16"/>
      <c r="KI406" s="16"/>
      <c r="KJ406" s="17"/>
      <c r="KN406" s="24"/>
      <c r="KO406" s="60"/>
      <c r="KP406" s="16"/>
      <c r="KQ406" s="16"/>
      <c r="KR406" s="16"/>
      <c r="KS406" s="16"/>
      <c r="KT406" s="16"/>
      <c r="KU406" s="17"/>
      <c r="KY406" s="24"/>
      <c r="KZ406" s="60"/>
      <c r="LA406" s="16"/>
      <c r="LB406" s="16"/>
      <c r="LC406" s="16"/>
      <c r="LD406" s="16"/>
      <c r="LE406" s="16"/>
      <c r="LF406" s="17"/>
      <c r="LJ406" s="24"/>
      <c r="LK406" s="60"/>
      <c r="LL406" s="16"/>
      <c r="LM406" s="16"/>
      <c r="LN406" s="16"/>
      <c r="LO406" s="16"/>
      <c r="LP406" s="16"/>
      <c r="LQ406" s="17"/>
    </row>
    <row r="407">
      <c r="C407" s="31"/>
      <c r="D407" s="61"/>
      <c r="E407" s="16"/>
      <c r="F407" s="16"/>
      <c r="G407" s="21"/>
      <c r="H407" s="16"/>
      <c r="I407" s="16"/>
      <c r="J407" s="17"/>
      <c r="N407" s="17"/>
      <c r="O407" s="61"/>
      <c r="P407" s="16"/>
      <c r="Q407" s="16"/>
      <c r="R407" s="16"/>
      <c r="S407" s="16"/>
      <c r="T407" s="16"/>
      <c r="U407" s="17"/>
      <c r="Y407" s="24"/>
      <c r="Z407" s="61"/>
      <c r="AA407" s="16"/>
      <c r="AB407" s="16"/>
      <c r="AC407" s="16"/>
      <c r="AD407" s="16"/>
      <c r="AE407" s="16"/>
      <c r="AF407" s="17"/>
      <c r="AJ407" s="24"/>
      <c r="AK407" s="61"/>
      <c r="AL407" s="16"/>
      <c r="AM407" s="16"/>
      <c r="AN407" s="16"/>
      <c r="AO407" s="16"/>
      <c r="AP407" s="16"/>
      <c r="AQ407" s="17"/>
      <c r="AU407" s="24"/>
      <c r="AV407" s="61"/>
      <c r="AW407" s="16"/>
      <c r="AX407" s="16"/>
      <c r="AY407" s="16"/>
      <c r="AZ407" s="16"/>
      <c r="BA407" s="16"/>
      <c r="BB407" s="17"/>
      <c r="BF407" s="24"/>
      <c r="BG407" s="61"/>
      <c r="BH407" s="16"/>
      <c r="BI407" s="16"/>
      <c r="BJ407" s="16"/>
      <c r="BK407" s="16"/>
      <c r="BL407" s="16"/>
      <c r="BM407" s="17"/>
      <c r="BQ407" s="24"/>
      <c r="BR407" s="61"/>
      <c r="BS407" s="16"/>
      <c r="BT407" s="16"/>
      <c r="BU407" s="16"/>
      <c r="BV407" s="16"/>
      <c r="BW407" s="16"/>
      <c r="BX407" s="17"/>
      <c r="CB407" s="24"/>
      <c r="CC407" s="61"/>
      <c r="CD407" s="16"/>
      <c r="CE407" s="16"/>
      <c r="CF407" s="16"/>
      <c r="CG407" s="16"/>
      <c r="CH407" s="16"/>
      <c r="CI407" s="17"/>
      <c r="CM407" s="24"/>
      <c r="CN407" s="61"/>
      <c r="CO407" s="16"/>
      <c r="CP407" s="16"/>
      <c r="CQ407" s="16"/>
      <c r="CR407" s="16"/>
      <c r="CS407" s="16"/>
      <c r="CT407" s="17"/>
      <c r="CX407" s="24"/>
      <c r="CY407" s="60"/>
      <c r="CZ407" s="16"/>
      <c r="DA407" s="16"/>
      <c r="DB407" s="16"/>
      <c r="DC407" s="16"/>
      <c r="DD407" s="16"/>
      <c r="DE407" s="17"/>
      <c r="DI407" s="24"/>
      <c r="DJ407" s="60"/>
      <c r="DK407" s="16"/>
      <c r="DL407" s="16"/>
      <c r="DM407" s="16"/>
      <c r="DN407" s="16"/>
      <c r="DO407" s="16"/>
      <c r="DP407" s="17"/>
      <c r="DT407" s="24"/>
      <c r="DU407" s="60"/>
      <c r="DV407" s="16"/>
      <c r="DW407" s="16"/>
      <c r="DX407" s="16"/>
      <c r="DY407" s="16"/>
      <c r="DZ407" s="16"/>
      <c r="EA407" s="17"/>
      <c r="EE407" s="24"/>
      <c r="EF407" s="60"/>
      <c r="EG407" s="16"/>
      <c r="EH407" s="16"/>
      <c r="EI407" s="16"/>
      <c r="EJ407" s="16"/>
      <c r="EK407" s="16"/>
      <c r="EL407" s="17"/>
      <c r="EP407" s="24"/>
      <c r="EQ407" s="60"/>
      <c r="ER407" s="16"/>
      <c r="ES407" s="16"/>
      <c r="ET407" s="16"/>
      <c r="EU407" s="16"/>
      <c r="EV407" s="16"/>
      <c r="EW407" s="17"/>
      <c r="FA407" s="24"/>
      <c r="FB407" s="60"/>
      <c r="FC407" s="16"/>
      <c r="FD407" s="16"/>
      <c r="FE407" s="16"/>
      <c r="FF407" s="16"/>
      <c r="FG407" s="16"/>
      <c r="FH407" s="17"/>
      <c r="FL407" s="24"/>
      <c r="FM407" s="60"/>
      <c r="FN407" s="16"/>
      <c r="FO407" s="16"/>
      <c r="FP407" s="16"/>
      <c r="FQ407" s="16"/>
      <c r="FR407" s="16"/>
      <c r="FS407" s="17"/>
      <c r="FW407" s="24"/>
      <c r="FX407" s="60"/>
      <c r="FY407" s="16"/>
      <c r="FZ407" s="16"/>
      <c r="GA407" s="16"/>
      <c r="GB407" s="16"/>
      <c r="GC407" s="16"/>
      <c r="GD407" s="17"/>
      <c r="GH407" s="24"/>
      <c r="GI407" s="60"/>
      <c r="GJ407" s="16"/>
      <c r="GK407" s="16"/>
      <c r="GL407" s="16"/>
      <c r="GM407" s="16"/>
      <c r="GN407" s="16"/>
      <c r="GO407" s="17"/>
      <c r="GS407" s="24"/>
      <c r="GT407" s="60"/>
      <c r="GU407" s="16"/>
      <c r="GV407" s="16"/>
      <c r="GW407" s="16"/>
      <c r="GX407" s="16"/>
      <c r="GY407" s="16"/>
      <c r="GZ407" s="17"/>
      <c r="HD407" s="24"/>
      <c r="HE407" s="60"/>
      <c r="HF407" s="16"/>
      <c r="HG407" s="16"/>
      <c r="HH407" s="16"/>
      <c r="HI407" s="16"/>
      <c r="HJ407" s="16"/>
      <c r="HK407" s="17"/>
      <c r="HO407" s="24"/>
      <c r="HP407" s="60"/>
      <c r="HQ407" s="16"/>
      <c r="HR407" s="16"/>
      <c r="HS407" s="16"/>
      <c r="HT407" s="16"/>
      <c r="HU407" s="16"/>
      <c r="HV407" s="17"/>
      <c r="HZ407" s="24"/>
      <c r="IA407" s="60"/>
      <c r="IB407" s="16"/>
      <c r="IC407" s="16"/>
      <c r="ID407" s="16"/>
      <c r="IE407" s="16"/>
      <c r="IF407" s="16"/>
      <c r="IG407" s="17"/>
      <c r="IK407" s="24"/>
      <c r="IL407" s="60"/>
      <c r="IM407" s="16"/>
      <c r="IN407" s="16"/>
      <c r="IO407" s="16"/>
      <c r="IP407" s="16"/>
      <c r="IQ407" s="16"/>
      <c r="IR407" s="17"/>
      <c r="IV407" s="24"/>
      <c r="IW407" s="60"/>
      <c r="IX407" s="16"/>
      <c r="IY407" s="16"/>
      <c r="IZ407" s="16"/>
      <c r="JA407" s="16"/>
      <c r="JB407" s="16"/>
      <c r="JC407" s="17"/>
      <c r="JG407" s="24"/>
      <c r="JH407" s="60"/>
      <c r="JI407" s="16"/>
      <c r="JJ407" s="16"/>
      <c r="JK407" s="16"/>
      <c r="JL407" s="16"/>
      <c r="JM407" s="16"/>
      <c r="JN407" s="17"/>
      <c r="JR407" s="24"/>
      <c r="JS407" s="60"/>
      <c r="JT407" s="16"/>
      <c r="JU407" s="16"/>
      <c r="JV407" s="16"/>
      <c r="JW407" s="16"/>
      <c r="JX407" s="16"/>
      <c r="JY407" s="17"/>
      <c r="KC407" s="24"/>
      <c r="KD407" s="60"/>
      <c r="KE407" s="16"/>
      <c r="KF407" s="16"/>
      <c r="KG407" s="16"/>
      <c r="KH407" s="16"/>
      <c r="KI407" s="16"/>
      <c r="KJ407" s="17"/>
      <c r="KN407" s="24"/>
      <c r="KO407" s="60"/>
      <c r="KP407" s="16"/>
      <c r="KQ407" s="16"/>
      <c r="KR407" s="16"/>
      <c r="KS407" s="16"/>
      <c r="KT407" s="16"/>
      <c r="KU407" s="17"/>
      <c r="KY407" s="24"/>
      <c r="KZ407" s="60"/>
      <c r="LA407" s="16"/>
      <c r="LB407" s="16"/>
      <c r="LC407" s="16"/>
      <c r="LD407" s="16"/>
      <c r="LE407" s="16"/>
      <c r="LF407" s="17"/>
      <c r="LJ407" s="24"/>
      <c r="LK407" s="60"/>
      <c r="LL407" s="16"/>
      <c r="LM407" s="16"/>
      <c r="LN407" s="16"/>
      <c r="LO407" s="16"/>
      <c r="LP407" s="16"/>
      <c r="LQ407" s="17"/>
    </row>
    <row r="408">
      <c r="C408" s="31"/>
      <c r="D408" s="61"/>
      <c r="E408" s="16"/>
      <c r="F408" s="16"/>
      <c r="G408" s="21"/>
      <c r="H408" s="16"/>
      <c r="I408" s="16"/>
      <c r="J408" s="17"/>
      <c r="N408" s="17"/>
      <c r="O408" s="61"/>
      <c r="P408" s="16"/>
      <c r="Q408" s="16"/>
      <c r="R408" s="16"/>
      <c r="S408" s="16"/>
      <c r="T408" s="16"/>
      <c r="U408" s="17"/>
      <c r="Y408" s="24"/>
      <c r="Z408" s="61"/>
      <c r="AA408" s="16"/>
      <c r="AB408" s="16"/>
      <c r="AC408" s="16"/>
      <c r="AD408" s="16"/>
      <c r="AE408" s="16"/>
      <c r="AF408" s="17"/>
      <c r="AJ408" s="24"/>
      <c r="AK408" s="61"/>
      <c r="AL408" s="16"/>
      <c r="AM408" s="16"/>
      <c r="AN408" s="16"/>
      <c r="AO408" s="16"/>
      <c r="AP408" s="16"/>
      <c r="AQ408" s="17"/>
      <c r="AU408" s="24"/>
      <c r="AV408" s="61"/>
      <c r="AW408" s="16"/>
      <c r="AX408" s="16"/>
      <c r="AY408" s="16"/>
      <c r="AZ408" s="16"/>
      <c r="BA408" s="16"/>
      <c r="BB408" s="17"/>
      <c r="BF408" s="24"/>
      <c r="BG408" s="61"/>
      <c r="BH408" s="16"/>
      <c r="BI408" s="16"/>
      <c r="BJ408" s="16"/>
      <c r="BK408" s="16"/>
      <c r="BL408" s="16"/>
      <c r="BM408" s="17"/>
      <c r="BQ408" s="24"/>
      <c r="BR408" s="61"/>
      <c r="BS408" s="16"/>
      <c r="BT408" s="16"/>
      <c r="BU408" s="16"/>
      <c r="BV408" s="16"/>
      <c r="BW408" s="16"/>
      <c r="BX408" s="17"/>
      <c r="CB408" s="24"/>
      <c r="CC408" s="61"/>
      <c r="CD408" s="16"/>
      <c r="CE408" s="16"/>
      <c r="CF408" s="16"/>
      <c r="CG408" s="16"/>
      <c r="CH408" s="16"/>
      <c r="CI408" s="17"/>
      <c r="CM408" s="24"/>
      <c r="CN408" s="61"/>
      <c r="CO408" s="16"/>
      <c r="CP408" s="16"/>
      <c r="CQ408" s="16"/>
      <c r="CR408" s="16"/>
      <c r="CS408" s="16"/>
      <c r="CT408" s="17"/>
      <c r="CX408" s="24"/>
      <c r="CY408" s="60"/>
      <c r="CZ408" s="16"/>
      <c r="DA408" s="16"/>
      <c r="DB408" s="16"/>
      <c r="DC408" s="16"/>
      <c r="DD408" s="16"/>
      <c r="DE408" s="17"/>
      <c r="DI408" s="24"/>
      <c r="DJ408" s="60"/>
      <c r="DK408" s="16"/>
      <c r="DL408" s="16"/>
      <c r="DM408" s="16"/>
      <c r="DN408" s="16"/>
      <c r="DO408" s="16"/>
      <c r="DP408" s="17"/>
      <c r="DT408" s="24"/>
      <c r="DU408" s="60"/>
      <c r="DV408" s="16"/>
      <c r="DW408" s="16"/>
      <c r="DX408" s="16"/>
      <c r="DY408" s="16"/>
      <c r="DZ408" s="16"/>
      <c r="EA408" s="17"/>
      <c r="EE408" s="24"/>
      <c r="EF408" s="60"/>
      <c r="EG408" s="16"/>
      <c r="EH408" s="16"/>
      <c r="EI408" s="16"/>
      <c r="EJ408" s="16"/>
      <c r="EK408" s="16"/>
      <c r="EL408" s="17"/>
      <c r="EP408" s="24"/>
      <c r="EQ408" s="60"/>
      <c r="ER408" s="16"/>
      <c r="ES408" s="16"/>
      <c r="ET408" s="16"/>
      <c r="EU408" s="16"/>
      <c r="EV408" s="16"/>
      <c r="EW408" s="17"/>
      <c r="FA408" s="24"/>
      <c r="FB408" s="60"/>
      <c r="FC408" s="16"/>
      <c r="FD408" s="16"/>
      <c r="FE408" s="16"/>
      <c r="FF408" s="16"/>
      <c r="FG408" s="16"/>
      <c r="FH408" s="17"/>
      <c r="FL408" s="24"/>
      <c r="FM408" s="60"/>
      <c r="FN408" s="16"/>
      <c r="FO408" s="16"/>
      <c r="FP408" s="16"/>
      <c r="FQ408" s="16"/>
      <c r="FR408" s="16"/>
      <c r="FS408" s="17"/>
      <c r="FW408" s="24"/>
      <c r="FX408" s="60"/>
      <c r="FY408" s="16"/>
      <c r="FZ408" s="16"/>
      <c r="GA408" s="16"/>
      <c r="GB408" s="16"/>
      <c r="GC408" s="16"/>
      <c r="GD408" s="17"/>
      <c r="GH408" s="24"/>
      <c r="GI408" s="60"/>
      <c r="GJ408" s="16"/>
      <c r="GK408" s="16"/>
      <c r="GL408" s="16"/>
      <c r="GM408" s="16"/>
      <c r="GN408" s="16"/>
      <c r="GO408" s="17"/>
      <c r="GS408" s="24"/>
      <c r="GT408" s="60"/>
      <c r="GU408" s="16"/>
      <c r="GV408" s="16"/>
      <c r="GW408" s="16"/>
      <c r="GX408" s="16"/>
      <c r="GY408" s="16"/>
      <c r="GZ408" s="17"/>
      <c r="HD408" s="24"/>
      <c r="HE408" s="60"/>
      <c r="HF408" s="16"/>
      <c r="HG408" s="16"/>
      <c r="HH408" s="16"/>
      <c r="HI408" s="16"/>
      <c r="HJ408" s="16"/>
      <c r="HK408" s="17"/>
      <c r="HO408" s="24"/>
      <c r="HP408" s="60"/>
      <c r="HQ408" s="16"/>
      <c r="HR408" s="16"/>
      <c r="HS408" s="16"/>
      <c r="HT408" s="16"/>
      <c r="HU408" s="16"/>
      <c r="HV408" s="17"/>
      <c r="HZ408" s="24"/>
      <c r="IA408" s="60"/>
      <c r="IB408" s="16"/>
      <c r="IC408" s="16"/>
      <c r="ID408" s="16"/>
      <c r="IE408" s="16"/>
      <c r="IF408" s="16"/>
      <c r="IG408" s="17"/>
      <c r="IK408" s="24"/>
      <c r="IL408" s="60"/>
      <c r="IM408" s="16"/>
      <c r="IN408" s="16"/>
      <c r="IO408" s="16"/>
      <c r="IP408" s="16"/>
      <c r="IQ408" s="16"/>
      <c r="IR408" s="17"/>
      <c r="IV408" s="24"/>
      <c r="IW408" s="60"/>
      <c r="IX408" s="16"/>
      <c r="IY408" s="16"/>
      <c r="IZ408" s="16"/>
      <c r="JA408" s="16"/>
      <c r="JB408" s="16"/>
      <c r="JC408" s="17"/>
      <c r="JG408" s="24"/>
      <c r="JH408" s="60"/>
      <c r="JI408" s="16"/>
      <c r="JJ408" s="16"/>
      <c r="JK408" s="16"/>
      <c r="JL408" s="16"/>
      <c r="JM408" s="16"/>
      <c r="JN408" s="17"/>
      <c r="JR408" s="24"/>
      <c r="JS408" s="60"/>
      <c r="JT408" s="16"/>
      <c r="JU408" s="16"/>
      <c r="JV408" s="16"/>
      <c r="JW408" s="16"/>
      <c r="JX408" s="16"/>
      <c r="JY408" s="17"/>
      <c r="KC408" s="24"/>
      <c r="KD408" s="60"/>
      <c r="KE408" s="16"/>
      <c r="KF408" s="16"/>
      <c r="KG408" s="16"/>
      <c r="KH408" s="16"/>
      <c r="KI408" s="16"/>
      <c r="KJ408" s="17"/>
      <c r="KN408" s="24"/>
      <c r="KO408" s="60"/>
      <c r="KP408" s="16"/>
      <c r="KQ408" s="16"/>
      <c r="KR408" s="16"/>
      <c r="KS408" s="16"/>
      <c r="KT408" s="16"/>
      <c r="KU408" s="17"/>
      <c r="KY408" s="24"/>
      <c r="KZ408" s="60"/>
      <c r="LA408" s="16"/>
      <c r="LB408" s="16"/>
      <c r="LC408" s="16"/>
      <c r="LD408" s="16"/>
      <c r="LE408" s="16"/>
      <c r="LF408" s="17"/>
      <c r="LJ408" s="24"/>
      <c r="LK408" s="60"/>
      <c r="LL408" s="16"/>
      <c r="LM408" s="16"/>
      <c r="LN408" s="16"/>
      <c r="LO408" s="16"/>
      <c r="LP408" s="16"/>
      <c r="LQ408" s="17"/>
    </row>
    <row r="409">
      <c r="C409" s="31"/>
      <c r="D409" s="61"/>
      <c r="E409" s="16"/>
      <c r="F409" s="16"/>
      <c r="G409" s="21"/>
      <c r="H409" s="16"/>
      <c r="I409" s="16"/>
      <c r="J409" s="17"/>
      <c r="N409" s="17"/>
      <c r="O409" s="61"/>
      <c r="P409" s="16"/>
      <c r="Q409" s="16"/>
      <c r="R409" s="16"/>
      <c r="S409" s="16"/>
      <c r="T409" s="16"/>
      <c r="U409" s="17"/>
      <c r="Y409" s="24"/>
      <c r="Z409" s="61"/>
      <c r="AA409" s="16"/>
      <c r="AB409" s="16"/>
      <c r="AC409" s="16"/>
      <c r="AD409" s="16"/>
      <c r="AE409" s="16"/>
      <c r="AF409" s="17"/>
      <c r="AJ409" s="24"/>
      <c r="AK409" s="61"/>
      <c r="AL409" s="16"/>
      <c r="AM409" s="16"/>
      <c r="AN409" s="16"/>
      <c r="AO409" s="16"/>
      <c r="AP409" s="16"/>
      <c r="AQ409" s="17"/>
      <c r="AU409" s="24"/>
      <c r="AV409" s="61"/>
      <c r="AW409" s="16"/>
      <c r="AX409" s="16"/>
      <c r="AY409" s="16"/>
      <c r="AZ409" s="16"/>
      <c r="BA409" s="16"/>
      <c r="BB409" s="17"/>
      <c r="BF409" s="24"/>
      <c r="BG409" s="61"/>
      <c r="BH409" s="16"/>
      <c r="BI409" s="16"/>
      <c r="BJ409" s="16"/>
      <c r="BK409" s="16"/>
      <c r="BL409" s="16"/>
      <c r="BM409" s="17"/>
      <c r="BQ409" s="24"/>
      <c r="BR409" s="61"/>
      <c r="BS409" s="16"/>
      <c r="BT409" s="16"/>
      <c r="BU409" s="16"/>
      <c r="BV409" s="16"/>
      <c r="BW409" s="16"/>
      <c r="BX409" s="17"/>
      <c r="CB409" s="24"/>
      <c r="CC409" s="61"/>
      <c r="CD409" s="16"/>
      <c r="CE409" s="16"/>
      <c r="CF409" s="16"/>
      <c r="CG409" s="16"/>
      <c r="CH409" s="16"/>
      <c r="CI409" s="17"/>
      <c r="CM409" s="24"/>
      <c r="CN409" s="61"/>
      <c r="CO409" s="16"/>
      <c r="CP409" s="16"/>
      <c r="CQ409" s="16"/>
      <c r="CR409" s="16"/>
      <c r="CS409" s="16"/>
      <c r="CT409" s="17"/>
      <c r="CX409" s="24"/>
      <c r="CY409" s="60"/>
      <c r="CZ409" s="16"/>
      <c r="DA409" s="16"/>
      <c r="DB409" s="16"/>
      <c r="DC409" s="16"/>
      <c r="DD409" s="16"/>
      <c r="DE409" s="17"/>
      <c r="DI409" s="24"/>
      <c r="DJ409" s="60"/>
      <c r="DK409" s="16"/>
      <c r="DL409" s="16"/>
      <c r="DM409" s="16"/>
      <c r="DN409" s="16"/>
      <c r="DO409" s="16"/>
      <c r="DP409" s="17"/>
      <c r="DT409" s="24"/>
      <c r="DU409" s="60"/>
      <c r="DV409" s="16"/>
      <c r="DW409" s="16"/>
      <c r="DX409" s="16"/>
      <c r="DY409" s="16"/>
      <c r="DZ409" s="16"/>
      <c r="EA409" s="17"/>
      <c r="EE409" s="24"/>
      <c r="EF409" s="60"/>
      <c r="EG409" s="16"/>
      <c r="EH409" s="16"/>
      <c r="EI409" s="16"/>
      <c r="EJ409" s="16"/>
      <c r="EK409" s="16"/>
      <c r="EL409" s="17"/>
      <c r="EP409" s="24"/>
      <c r="EQ409" s="60"/>
      <c r="ER409" s="16"/>
      <c r="ES409" s="16"/>
      <c r="ET409" s="16"/>
      <c r="EU409" s="16"/>
      <c r="EV409" s="16"/>
      <c r="EW409" s="17"/>
      <c r="FA409" s="24"/>
      <c r="FB409" s="60"/>
      <c r="FC409" s="16"/>
      <c r="FD409" s="16"/>
      <c r="FE409" s="16"/>
      <c r="FF409" s="16"/>
      <c r="FG409" s="16"/>
      <c r="FH409" s="17"/>
      <c r="FL409" s="24"/>
      <c r="FM409" s="60"/>
      <c r="FN409" s="16"/>
      <c r="FO409" s="16"/>
      <c r="FP409" s="16"/>
      <c r="FQ409" s="16"/>
      <c r="FR409" s="16"/>
      <c r="FS409" s="17"/>
      <c r="FW409" s="24"/>
      <c r="FX409" s="60"/>
      <c r="FY409" s="16"/>
      <c r="FZ409" s="16"/>
      <c r="GA409" s="16"/>
      <c r="GB409" s="16"/>
      <c r="GC409" s="16"/>
      <c r="GD409" s="17"/>
      <c r="GH409" s="24"/>
      <c r="GI409" s="60"/>
      <c r="GJ409" s="16"/>
      <c r="GK409" s="16"/>
      <c r="GL409" s="16"/>
      <c r="GM409" s="16"/>
      <c r="GN409" s="16"/>
      <c r="GO409" s="17"/>
      <c r="GS409" s="24"/>
      <c r="GT409" s="60"/>
      <c r="GU409" s="16"/>
      <c r="GV409" s="16"/>
      <c r="GW409" s="16"/>
      <c r="GX409" s="16"/>
      <c r="GY409" s="16"/>
      <c r="GZ409" s="17"/>
      <c r="HD409" s="24"/>
      <c r="HE409" s="60"/>
      <c r="HF409" s="16"/>
      <c r="HG409" s="16"/>
      <c r="HH409" s="16"/>
      <c r="HI409" s="16"/>
      <c r="HJ409" s="16"/>
      <c r="HK409" s="17"/>
      <c r="HO409" s="24"/>
      <c r="HP409" s="60"/>
      <c r="HQ409" s="16"/>
      <c r="HR409" s="16"/>
      <c r="HS409" s="16"/>
      <c r="HT409" s="16"/>
      <c r="HU409" s="16"/>
      <c r="HV409" s="17"/>
      <c r="HZ409" s="24"/>
      <c r="IA409" s="60"/>
      <c r="IB409" s="16"/>
      <c r="IC409" s="16"/>
      <c r="ID409" s="16"/>
      <c r="IE409" s="16"/>
      <c r="IF409" s="16"/>
      <c r="IG409" s="17"/>
      <c r="IK409" s="24"/>
      <c r="IL409" s="60"/>
      <c r="IM409" s="16"/>
      <c r="IN409" s="16"/>
      <c r="IO409" s="16"/>
      <c r="IP409" s="16"/>
      <c r="IQ409" s="16"/>
      <c r="IR409" s="17"/>
      <c r="IV409" s="24"/>
      <c r="IW409" s="60"/>
      <c r="IX409" s="16"/>
      <c r="IY409" s="16"/>
      <c r="IZ409" s="16"/>
      <c r="JA409" s="16"/>
      <c r="JB409" s="16"/>
      <c r="JC409" s="17"/>
      <c r="JG409" s="24"/>
      <c r="JH409" s="60"/>
      <c r="JI409" s="16"/>
      <c r="JJ409" s="16"/>
      <c r="JK409" s="16"/>
      <c r="JL409" s="16"/>
      <c r="JM409" s="16"/>
      <c r="JN409" s="17"/>
      <c r="JR409" s="24"/>
      <c r="JS409" s="60"/>
      <c r="JT409" s="16"/>
      <c r="JU409" s="16"/>
      <c r="JV409" s="16"/>
      <c r="JW409" s="16"/>
      <c r="JX409" s="16"/>
      <c r="JY409" s="17"/>
      <c r="KC409" s="24"/>
      <c r="KD409" s="60"/>
      <c r="KE409" s="16"/>
      <c r="KF409" s="16"/>
      <c r="KG409" s="16"/>
      <c r="KH409" s="16"/>
      <c r="KI409" s="16"/>
      <c r="KJ409" s="17"/>
      <c r="KN409" s="24"/>
      <c r="KO409" s="60"/>
      <c r="KP409" s="16"/>
      <c r="KQ409" s="16"/>
      <c r="KR409" s="16"/>
      <c r="KS409" s="16"/>
      <c r="KT409" s="16"/>
      <c r="KU409" s="17"/>
      <c r="KY409" s="24"/>
      <c r="KZ409" s="60"/>
      <c r="LA409" s="16"/>
      <c r="LB409" s="16"/>
      <c r="LC409" s="16"/>
      <c r="LD409" s="16"/>
      <c r="LE409" s="16"/>
      <c r="LF409" s="17"/>
      <c r="LJ409" s="24"/>
      <c r="LK409" s="60"/>
      <c r="LL409" s="16"/>
      <c r="LM409" s="16"/>
      <c r="LN409" s="16"/>
      <c r="LO409" s="16"/>
      <c r="LP409" s="16"/>
      <c r="LQ409" s="17"/>
    </row>
    <row r="410">
      <c r="C410" s="31"/>
      <c r="D410" s="61"/>
      <c r="E410" s="16"/>
      <c r="F410" s="16"/>
      <c r="G410" s="21"/>
      <c r="H410" s="16"/>
      <c r="I410" s="16"/>
      <c r="J410" s="17"/>
      <c r="N410" s="17"/>
      <c r="O410" s="61"/>
      <c r="P410" s="16"/>
      <c r="Q410" s="16"/>
      <c r="R410" s="16"/>
      <c r="S410" s="16"/>
      <c r="T410" s="16"/>
      <c r="U410" s="17"/>
      <c r="Y410" s="24"/>
      <c r="Z410" s="61"/>
      <c r="AA410" s="16"/>
      <c r="AB410" s="16"/>
      <c r="AC410" s="16"/>
      <c r="AD410" s="16"/>
      <c r="AE410" s="16"/>
      <c r="AF410" s="17"/>
      <c r="AJ410" s="24"/>
      <c r="AK410" s="61"/>
      <c r="AL410" s="16"/>
      <c r="AM410" s="16"/>
      <c r="AN410" s="16"/>
      <c r="AO410" s="16"/>
      <c r="AP410" s="16"/>
      <c r="AQ410" s="17"/>
      <c r="AU410" s="24"/>
      <c r="AV410" s="61"/>
      <c r="AW410" s="16"/>
      <c r="AX410" s="16"/>
      <c r="AY410" s="16"/>
      <c r="AZ410" s="16"/>
      <c r="BA410" s="16"/>
      <c r="BB410" s="17"/>
      <c r="BF410" s="24"/>
      <c r="BG410" s="61"/>
      <c r="BH410" s="16"/>
      <c r="BI410" s="16"/>
      <c r="BJ410" s="16"/>
      <c r="BK410" s="16"/>
      <c r="BL410" s="16"/>
      <c r="BM410" s="17"/>
      <c r="BQ410" s="24"/>
      <c r="BR410" s="61"/>
      <c r="BS410" s="16"/>
      <c r="BT410" s="16"/>
      <c r="BU410" s="16"/>
      <c r="BV410" s="16"/>
      <c r="BW410" s="16"/>
      <c r="BX410" s="17"/>
      <c r="CB410" s="24"/>
      <c r="CC410" s="61"/>
      <c r="CD410" s="16"/>
      <c r="CE410" s="16"/>
      <c r="CF410" s="16"/>
      <c r="CG410" s="16"/>
      <c r="CH410" s="16"/>
      <c r="CI410" s="17"/>
      <c r="CM410" s="24"/>
      <c r="CN410" s="61"/>
      <c r="CO410" s="16"/>
      <c r="CP410" s="16"/>
      <c r="CQ410" s="16"/>
      <c r="CR410" s="16"/>
      <c r="CS410" s="16"/>
      <c r="CT410" s="17"/>
      <c r="CX410" s="24"/>
      <c r="CY410" s="60"/>
      <c r="CZ410" s="16"/>
      <c r="DA410" s="16"/>
      <c r="DB410" s="16"/>
      <c r="DC410" s="16"/>
      <c r="DD410" s="16"/>
      <c r="DE410" s="17"/>
      <c r="DI410" s="24"/>
      <c r="DJ410" s="60"/>
      <c r="DK410" s="16"/>
      <c r="DL410" s="16"/>
      <c r="DM410" s="16"/>
      <c r="DN410" s="16"/>
      <c r="DO410" s="16"/>
      <c r="DP410" s="17"/>
      <c r="DT410" s="24"/>
      <c r="DU410" s="60"/>
      <c r="DV410" s="16"/>
      <c r="DW410" s="16"/>
      <c r="DX410" s="16"/>
      <c r="DY410" s="16"/>
      <c r="DZ410" s="16"/>
      <c r="EA410" s="17"/>
      <c r="EE410" s="24"/>
      <c r="EF410" s="60"/>
      <c r="EG410" s="16"/>
      <c r="EH410" s="16"/>
      <c r="EI410" s="16"/>
      <c r="EJ410" s="16"/>
      <c r="EK410" s="16"/>
      <c r="EL410" s="17"/>
      <c r="EP410" s="24"/>
      <c r="EQ410" s="60"/>
      <c r="ER410" s="16"/>
      <c r="ES410" s="16"/>
      <c r="ET410" s="16"/>
      <c r="EU410" s="16"/>
      <c r="EV410" s="16"/>
      <c r="EW410" s="17"/>
      <c r="FA410" s="24"/>
      <c r="FB410" s="60"/>
      <c r="FC410" s="16"/>
      <c r="FD410" s="16"/>
      <c r="FE410" s="16"/>
      <c r="FF410" s="16"/>
      <c r="FG410" s="16"/>
      <c r="FH410" s="17"/>
      <c r="FL410" s="24"/>
      <c r="FM410" s="60"/>
      <c r="FN410" s="16"/>
      <c r="FO410" s="16"/>
      <c r="FP410" s="16"/>
      <c r="FQ410" s="16"/>
      <c r="FR410" s="16"/>
      <c r="FS410" s="17"/>
      <c r="FW410" s="24"/>
      <c r="FX410" s="60"/>
      <c r="FY410" s="16"/>
      <c r="FZ410" s="16"/>
      <c r="GA410" s="16"/>
      <c r="GB410" s="16"/>
      <c r="GC410" s="16"/>
      <c r="GD410" s="17"/>
      <c r="GH410" s="24"/>
      <c r="GI410" s="60"/>
      <c r="GJ410" s="16"/>
      <c r="GK410" s="16"/>
      <c r="GL410" s="16"/>
      <c r="GM410" s="16"/>
      <c r="GN410" s="16"/>
      <c r="GO410" s="17"/>
      <c r="GS410" s="24"/>
      <c r="GT410" s="60"/>
      <c r="GU410" s="16"/>
      <c r="GV410" s="16"/>
      <c r="GW410" s="16"/>
      <c r="GX410" s="16"/>
      <c r="GY410" s="16"/>
      <c r="GZ410" s="17"/>
      <c r="HD410" s="24"/>
      <c r="HE410" s="60"/>
      <c r="HF410" s="16"/>
      <c r="HG410" s="16"/>
      <c r="HH410" s="16"/>
      <c r="HI410" s="16"/>
      <c r="HJ410" s="16"/>
      <c r="HK410" s="17"/>
      <c r="HO410" s="24"/>
      <c r="HP410" s="60"/>
      <c r="HQ410" s="16"/>
      <c r="HR410" s="16"/>
      <c r="HS410" s="16"/>
      <c r="HT410" s="16"/>
      <c r="HU410" s="16"/>
      <c r="HV410" s="17"/>
      <c r="HZ410" s="24"/>
      <c r="IA410" s="60"/>
      <c r="IB410" s="16"/>
      <c r="IC410" s="16"/>
      <c r="ID410" s="16"/>
      <c r="IE410" s="16"/>
      <c r="IF410" s="16"/>
      <c r="IG410" s="17"/>
      <c r="IK410" s="24"/>
      <c r="IL410" s="60"/>
      <c r="IM410" s="16"/>
      <c r="IN410" s="16"/>
      <c r="IO410" s="16"/>
      <c r="IP410" s="16"/>
      <c r="IQ410" s="16"/>
      <c r="IR410" s="17"/>
      <c r="IV410" s="24"/>
      <c r="IW410" s="60"/>
      <c r="IX410" s="16"/>
      <c r="IY410" s="16"/>
      <c r="IZ410" s="16"/>
      <c r="JA410" s="16"/>
      <c r="JB410" s="16"/>
      <c r="JC410" s="17"/>
      <c r="JG410" s="24"/>
      <c r="JH410" s="60"/>
      <c r="JI410" s="16"/>
      <c r="JJ410" s="16"/>
      <c r="JK410" s="16"/>
      <c r="JL410" s="16"/>
      <c r="JM410" s="16"/>
      <c r="JN410" s="17"/>
      <c r="JR410" s="24"/>
      <c r="JS410" s="60"/>
      <c r="JT410" s="16"/>
      <c r="JU410" s="16"/>
      <c r="JV410" s="16"/>
      <c r="JW410" s="16"/>
      <c r="JX410" s="16"/>
      <c r="JY410" s="17"/>
      <c r="KC410" s="24"/>
      <c r="KD410" s="60"/>
      <c r="KE410" s="16"/>
      <c r="KF410" s="16"/>
      <c r="KG410" s="16"/>
      <c r="KH410" s="16"/>
      <c r="KI410" s="16"/>
      <c r="KJ410" s="17"/>
      <c r="KN410" s="24"/>
      <c r="KO410" s="60"/>
      <c r="KP410" s="16"/>
      <c r="KQ410" s="16"/>
      <c r="KR410" s="16"/>
      <c r="KS410" s="16"/>
      <c r="KT410" s="16"/>
      <c r="KU410" s="17"/>
      <c r="KY410" s="24"/>
      <c r="KZ410" s="60"/>
      <c r="LA410" s="16"/>
      <c r="LB410" s="16"/>
      <c r="LC410" s="16"/>
      <c r="LD410" s="16"/>
      <c r="LE410" s="16"/>
      <c r="LF410" s="17"/>
      <c r="LJ410" s="24"/>
      <c r="LK410" s="60"/>
      <c r="LL410" s="16"/>
      <c r="LM410" s="16"/>
      <c r="LN410" s="16"/>
      <c r="LO410" s="16"/>
      <c r="LP410" s="16"/>
      <c r="LQ410" s="17"/>
    </row>
    <row r="411">
      <c r="C411" s="31"/>
      <c r="D411" s="61"/>
      <c r="E411" s="16"/>
      <c r="F411" s="16"/>
      <c r="G411" s="21"/>
      <c r="H411" s="16"/>
      <c r="I411" s="16"/>
      <c r="J411" s="17"/>
      <c r="N411" s="17"/>
      <c r="O411" s="61"/>
      <c r="P411" s="16"/>
      <c r="Q411" s="16"/>
      <c r="R411" s="16"/>
      <c r="S411" s="16"/>
      <c r="T411" s="16"/>
      <c r="U411" s="17"/>
      <c r="Y411" s="24"/>
      <c r="Z411" s="61"/>
      <c r="AA411" s="16"/>
      <c r="AB411" s="16"/>
      <c r="AC411" s="16"/>
      <c r="AD411" s="16"/>
      <c r="AE411" s="16"/>
      <c r="AF411" s="17"/>
      <c r="AJ411" s="24"/>
      <c r="AK411" s="61"/>
      <c r="AL411" s="16"/>
      <c r="AM411" s="16"/>
      <c r="AN411" s="16"/>
      <c r="AO411" s="16"/>
      <c r="AP411" s="16"/>
      <c r="AQ411" s="17"/>
      <c r="AU411" s="24"/>
      <c r="AV411" s="61"/>
      <c r="AW411" s="16"/>
      <c r="AX411" s="16"/>
      <c r="AY411" s="16"/>
      <c r="AZ411" s="16"/>
      <c r="BA411" s="16"/>
      <c r="BB411" s="17"/>
      <c r="BF411" s="24"/>
      <c r="BG411" s="61"/>
      <c r="BH411" s="16"/>
      <c r="BI411" s="16"/>
      <c r="BJ411" s="16"/>
      <c r="BK411" s="16"/>
      <c r="BL411" s="16"/>
      <c r="BM411" s="17"/>
      <c r="BQ411" s="24"/>
      <c r="BR411" s="61"/>
      <c r="BS411" s="16"/>
      <c r="BT411" s="16"/>
      <c r="BU411" s="16"/>
      <c r="BV411" s="16"/>
      <c r="BW411" s="16"/>
      <c r="BX411" s="17"/>
      <c r="CB411" s="24"/>
      <c r="CC411" s="61"/>
      <c r="CD411" s="16"/>
      <c r="CE411" s="16"/>
      <c r="CF411" s="16"/>
      <c r="CG411" s="16"/>
      <c r="CH411" s="16"/>
      <c r="CI411" s="17"/>
      <c r="CM411" s="24"/>
      <c r="CN411" s="61"/>
      <c r="CO411" s="16"/>
      <c r="CP411" s="16"/>
      <c r="CQ411" s="16"/>
      <c r="CR411" s="16"/>
      <c r="CS411" s="16"/>
      <c r="CT411" s="17"/>
      <c r="CX411" s="24"/>
      <c r="CY411" s="60"/>
      <c r="CZ411" s="16"/>
      <c r="DA411" s="16"/>
      <c r="DB411" s="16"/>
      <c r="DC411" s="16"/>
      <c r="DD411" s="16"/>
      <c r="DE411" s="17"/>
      <c r="DI411" s="24"/>
      <c r="DJ411" s="60"/>
      <c r="DK411" s="16"/>
      <c r="DL411" s="16"/>
      <c r="DM411" s="16"/>
      <c r="DN411" s="16"/>
      <c r="DO411" s="16"/>
      <c r="DP411" s="17"/>
      <c r="DT411" s="24"/>
      <c r="DU411" s="60"/>
      <c r="DV411" s="16"/>
      <c r="DW411" s="16"/>
      <c r="DX411" s="16"/>
      <c r="DY411" s="16"/>
      <c r="DZ411" s="16"/>
      <c r="EA411" s="17"/>
      <c r="EE411" s="24"/>
      <c r="EF411" s="60"/>
      <c r="EG411" s="16"/>
      <c r="EH411" s="16"/>
      <c r="EI411" s="16"/>
      <c r="EJ411" s="16"/>
      <c r="EK411" s="16"/>
      <c r="EL411" s="17"/>
      <c r="EP411" s="24"/>
      <c r="EQ411" s="60"/>
      <c r="ER411" s="16"/>
      <c r="ES411" s="16"/>
      <c r="ET411" s="16"/>
      <c r="EU411" s="16"/>
      <c r="EV411" s="16"/>
      <c r="EW411" s="17"/>
      <c r="FA411" s="24"/>
      <c r="FB411" s="60"/>
      <c r="FC411" s="16"/>
      <c r="FD411" s="16"/>
      <c r="FE411" s="16"/>
      <c r="FF411" s="16"/>
      <c r="FG411" s="16"/>
      <c r="FH411" s="17"/>
      <c r="FL411" s="24"/>
      <c r="FM411" s="60"/>
      <c r="FN411" s="16"/>
      <c r="FO411" s="16"/>
      <c r="FP411" s="16"/>
      <c r="FQ411" s="16"/>
      <c r="FR411" s="16"/>
      <c r="FS411" s="17"/>
      <c r="FW411" s="24"/>
      <c r="FX411" s="60"/>
      <c r="FY411" s="16"/>
      <c r="FZ411" s="16"/>
      <c r="GA411" s="16"/>
      <c r="GB411" s="16"/>
      <c r="GC411" s="16"/>
      <c r="GD411" s="17"/>
      <c r="GH411" s="24"/>
      <c r="GI411" s="60"/>
      <c r="GJ411" s="16"/>
      <c r="GK411" s="16"/>
      <c r="GL411" s="16"/>
      <c r="GM411" s="16"/>
      <c r="GN411" s="16"/>
      <c r="GO411" s="17"/>
      <c r="GS411" s="24"/>
      <c r="GT411" s="60"/>
      <c r="GU411" s="16"/>
      <c r="GV411" s="16"/>
      <c r="GW411" s="16"/>
      <c r="GX411" s="16"/>
      <c r="GY411" s="16"/>
      <c r="GZ411" s="17"/>
      <c r="HD411" s="24"/>
      <c r="HE411" s="60"/>
      <c r="HF411" s="16"/>
      <c r="HG411" s="16"/>
      <c r="HH411" s="16"/>
      <c r="HI411" s="16"/>
      <c r="HJ411" s="16"/>
      <c r="HK411" s="17"/>
      <c r="HO411" s="24"/>
      <c r="HP411" s="60"/>
      <c r="HQ411" s="16"/>
      <c r="HR411" s="16"/>
      <c r="HS411" s="16"/>
      <c r="HT411" s="16"/>
      <c r="HU411" s="16"/>
      <c r="HV411" s="17"/>
      <c r="HZ411" s="24"/>
      <c r="IA411" s="60"/>
      <c r="IB411" s="16"/>
      <c r="IC411" s="16"/>
      <c r="ID411" s="16"/>
      <c r="IE411" s="16"/>
      <c r="IF411" s="16"/>
      <c r="IG411" s="17"/>
      <c r="IK411" s="24"/>
      <c r="IL411" s="60"/>
      <c r="IM411" s="16"/>
      <c r="IN411" s="16"/>
      <c r="IO411" s="16"/>
      <c r="IP411" s="16"/>
      <c r="IQ411" s="16"/>
      <c r="IR411" s="17"/>
      <c r="IV411" s="24"/>
      <c r="IW411" s="60"/>
      <c r="IX411" s="16"/>
      <c r="IY411" s="16"/>
      <c r="IZ411" s="16"/>
      <c r="JA411" s="16"/>
      <c r="JB411" s="16"/>
      <c r="JC411" s="17"/>
      <c r="JG411" s="24"/>
      <c r="JH411" s="60"/>
      <c r="JI411" s="16"/>
      <c r="JJ411" s="16"/>
      <c r="JK411" s="16"/>
      <c r="JL411" s="16"/>
      <c r="JM411" s="16"/>
      <c r="JN411" s="17"/>
      <c r="JR411" s="24"/>
      <c r="JS411" s="60"/>
      <c r="JT411" s="16"/>
      <c r="JU411" s="16"/>
      <c r="JV411" s="16"/>
      <c r="JW411" s="16"/>
      <c r="JX411" s="16"/>
      <c r="JY411" s="17"/>
      <c r="KC411" s="24"/>
      <c r="KD411" s="60"/>
      <c r="KE411" s="16"/>
      <c r="KF411" s="16"/>
      <c r="KG411" s="16"/>
      <c r="KH411" s="16"/>
      <c r="KI411" s="16"/>
      <c r="KJ411" s="17"/>
      <c r="KN411" s="24"/>
      <c r="KO411" s="60"/>
      <c r="KP411" s="16"/>
      <c r="KQ411" s="16"/>
      <c r="KR411" s="16"/>
      <c r="KS411" s="16"/>
      <c r="KT411" s="16"/>
      <c r="KU411" s="17"/>
      <c r="KY411" s="24"/>
      <c r="KZ411" s="60"/>
      <c r="LA411" s="16"/>
      <c r="LB411" s="16"/>
      <c r="LC411" s="16"/>
      <c r="LD411" s="16"/>
      <c r="LE411" s="16"/>
      <c r="LF411" s="17"/>
      <c r="LJ411" s="24"/>
      <c r="LK411" s="60"/>
      <c r="LL411" s="16"/>
      <c r="LM411" s="16"/>
      <c r="LN411" s="16"/>
      <c r="LO411" s="16"/>
      <c r="LP411" s="16"/>
      <c r="LQ411" s="17"/>
    </row>
    <row r="412">
      <c r="C412" s="31"/>
      <c r="D412" s="61"/>
      <c r="E412" s="16"/>
      <c r="F412" s="16"/>
      <c r="G412" s="21"/>
      <c r="H412" s="16"/>
      <c r="I412" s="16"/>
      <c r="J412" s="17"/>
      <c r="N412" s="17"/>
      <c r="O412" s="61"/>
      <c r="P412" s="16"/>
      <c r="Q412" s="16"/>
      <c r="R412" s="16"/>
      <c r="S412" s="16"/>
      <c r="T412" s="16"/>
      <c r="U412" s="17"/>
      <c r="Y412" s="24"/>
      <c r="Z412" s="61"/>
      <c r="AA412" s="16"/>
      <c r="AB412" s="16"/>
      <c r="AC412" s="16"/>
      <c r="AD412" s="16"/>
      <c r="AE412" s="16"/>
      <c r="AF412" s="17"/>
      <c r="AJ412" s="24"/>
      <c r="AK412" s="61"/>
      <c r="AL412" s="16"/>
      <c r="AM412" s="16"/>
      <c r="AN412" s="16"/>
      <c r="AO412" s="16"/>
      <c r="AP412" s="16"/>
      <c r="AQ412" s="17"/>
      <c r="AU412" s="24"/>
      <c r="AV412" s="61"/>
      <c r="AW412" s="16"/>
      <c r="AX412" s="16"/>
      <c r="AY412" s="16"/>
      <c r="AZ412" s="16"/>
      <c r="BA412" s="16"/>
      <c r="BB412" s="17"/>
      <c r="BF412" s="24"/>
      <c r="BG412" s="61"/>
      <c r="BH412" s="16"/>
      <c r="BI412" s="16"/>
      <c r="BJ412" s="16"/>
      <c r="BK412" s="16"/>
      <c r="BL412" s="16"/>
      <c r="BM412" s="17"/>
      <c r="BQ412" s="24"/>
      <c r="BR412" s="61"/>
      <c r="BS412" s="16"/>
      <c r="BT412" s="16"/>
      <c r="BU412" s="16"/>
      <c r="BV412" s="16"/>
      <c r="BW412" s="16"/>
      <c r="BX412" s="17"/>
      <c r="CB412" s="24"/>
      <c r="CC412" s="61"/>
      <c r="CD412" s="16"/>
      <c r="CE412" s="16"/>
      <c r="CF412" s="16"/>
      <c r="CG412" s="16"/>
      <c r="CH412" s="16"/>
      <c r="CI412" s="17"/>
      <c r="CM412" s="24"/>
      <c r="CN412" s="61"/>
      <c r="CO412" s="16"/>
      <c r="CP412" s="16"/>
      <c r="CQ412" s="16"/>
      <c r="CR412" s="16"/>
      <c r="CS412" s="16"/>
      <c r="CT412" s="17"/>
      <c r="CX412" s="24"/>
      <c r="CY412" s="60"/>
      <c r="CZ412" s="16"/>
      <c r="DA412" s="16"/>
      <c r="DB412" s="16"/>
      <c r="DC412" s="16"/>
      <c r="DD412" s="16"/>
      <c r="DE412" s="17"/>
      <c r="DI412" s="24"/>
      <c r="DJ412" s="60"/>
      <c r="DK412" s="16"/>
      <c r="DL412" s="16"/>
      <c r="DM412" s="16"/>
      <c r="DN412" s="16"/>
      <c r="DO412" s="16"/>
      <c r="DP412" s="17"/>
      <c r="DT412" s="24"/>
      <c r="DU412" s="60"/>
      <c r="DV412" s="16"/>
      <c r="DW412" s="16"/>
      <c r="DX412" s="16"/>
      <c r="DY412" s="16"/>
      <c r="DZ412" s="16"/>
      <c r="EA412" s="17"/>
      <c r="EE412" s="24"/>
      <c r="EF412" s="60"/>
      <c r="EG412" s="16"/>
      <c r="EH412" s="16"/>
      <c r="EI412" s="16"/>
      <c r="EJ412" s="16"/>
      <c r="EK412" s="16"/>
      <c r="EL412" s="17"/>
      <c r="EP412" s="24"/>
      <c r="EQ412" s="60"/>
      <c r="ER412" s="16"/>
      <c r="ES412" s="16"/>
      <c r="ET412" s="16"/>
      <c r="EU412" s="16"/>
      <c r="EV412" s="16"/>
      <c r="EW412" s="17"/>
      <c r="FA412" s="24"/>
      <c r="FB412" s="60"/>
      <c r="FC412" s="16"/>
      <c r="FD412" s="16"/>
      <c r="FE412" s="16"/>
      <c r="FF412" s="16"/>
      <c r="FG412" s="16"/>
      <c r="FH412" s="17"/>
      <c r="FL412" s="24"/>
      <c r="FM412" s="60"/>
      <c r="FN412" s="16"/>
      <c r="FO412" s="16"/>
      <c r="FP412" s="16"/>
      <c r="FQ412" s="16"/>
      <c r="FR412" s="16"/>
      <c r="FS412" s="17"/>
      <c r="FW412" s="24"/>
      <c r="FX412" s="60"/>
      <c r="FY412" s="16"/>
      <c r="FZ412" s="16"/>
      <c r="GA412" s="16"/>
      <c r="GB412" s="16"/>
      <c r="GC412" s="16"/>
      <c r="GD412" s="17"/>
      <c r="GH412" s="24"/>
      <c r="GI412" s="60"/>
      <c r="GJ412" s="16"/>
      <c r="GK412" s="16"/>
      <c r="GL412" s="16"/>
      <c r="GM412" s="16"/>
      <c r="GN412" s="16"/>
      <c r="GO412" s="17"/>
      <c r="GS412" s="24"/>
      <c r="GT412" s="60"/>
      <c r="GU412" s="16"/>
      <c r="GV412" s="16"/>
      <c r="GW412" s="16"/>
      <c r="GX412" s="16"/>
      <c r="GY412" s="16"/>
      <c r="GZ412" s="17"/>
      <c r="HD412" s="24"/>
      <c r="HE412" s="60"/>
      <c r="HF412" s="16"/>
      <c r="HG412" s="16"/>
      <c r="HH412" s="16"/>
      <c r="HI412" s="16"/>
      <c r="HJ412" s="16"/>
      <c r="HK412" s="17"/>
      <c r="HO412" s="24"/>
      <c r="HP412" s="60"/>
      <c r="HQ412" s="16"/>
      <c r="HR412" s="16"/>
      <c r="HS412" s="16"/>
      <c r="HT412" s="16"/>
      <c r="HU412" s="16"/>
      <c r="HV412" s="17"/>
      <c r="HZ412" s="24"/>
      <c r="IA412" s="60"/>
      <c r="IB412" s="16"/>
      <c r="IC412" s="16"/>
      <c r="ID412" s="16"/>
      <c r="IE412" s="16"/>
      <c r="IF412" s="16"/>
      <c r="IG412" s="17"/>
      <c r="IK412" s="24"/>
      <c r="IL412" s="60"/>
      <c r="IM412" s="16"/>
      <c r="IN412" s="16"/>
      <c r="IO412" s="16"/>
      <c r="IP412" s="16"/>
      <c r="IQ412" s="16"/>
      <c r="IR412" s="17"/>
      <c r="IV412" s="24"/>
      <c r="IW412" s="60"/>
      <c r="IX412" s="16"/>
      <c r="IY412" s="16"/>
      <c r="IZ412" s="16"/>
      <c r="JA412" s="16"/>
      <c r="JB412" s="16"/>
      <c r="JC412" s="17"/>
      <c r="JG412" s="24"/>
      <c r="JH412" s="60"/>
      <c r="JI412" s="16"/>
      <c r="JJ412" s="16"/>
      <c r="JK412" s="16"/>
      <c r="JL412" s="16"/>
      <c r="JM412" s="16"/>
      <c r="JN412" s="17"/>
      <c r="JR412" s="24"/>
      <c r="JS412" s="60"/>
      <c r="JT412" s="16"/>
      <c r="JU412" s="16"/>
      <c r="JV412" s="16"/>
      <c r="JW412" s="16"/>
      <c r="JX412" s="16"/>
      <c r="JY412" s="17"/>
      <c r="KC412" s="24"/>
      <c r="KD412" s="60"/>
      <c r="KE412" s="16"/>
      <c r="KF412" s="16"/>
      <c r="KG412" s="16"/>
      <c r="KH412" s="16"/>
      <c r="KI412" s="16"/>
      <c r="KJ412" s="17"/>
      <c r="KN412" s="24"/>
      <c r="KO412" s="60"/>
      <c r="KP412" s="16"/>
      <c r="KQ412" s="16"/>
      <c r="KR412" s="16"/>
      <c r="KS412" s="16"/>
      <c r="KT412" s="16"/>
      <c r="KU412" s="17"/>
      <c r="KY412" s="24"/>
      <c r="KZ412" s="60"/>
      <c r="LA412" s="16"/>
      <c r="LB412" s="16"/>
      <c r="LC412" s="16"/>
      <c r="LD412" s="16"/>
      <c r="LE412" s="16"/>
      <c r="LF412" s="17"/>
      <c r="LJ412" s="24"/>
      <c r="LK412" s="60"/>
      <c r="LL412" s="16"/>
      <c r="LM412" s="16"/>
      <c r="LN412" s="16"/>
      <c r="LO412" s="16"/>
      <c r="LP412" s="16"/>
      <c r="LQ412" s="17"/>
    </row>
    <row r="413">
      <c r="C413" s="31"/>
      <c r="D413" s="61"/>
      <c r="E413" s="16"/>
      <c r="F413" s="16"/>
      <c r="G413" s="21"/>
      <c r="H413" s="16"/>
      <c r="I413" s="16"/>
      <c r="J413" s="17"/>
      <c r="N413" s="17"/>
      <c r="O413" s="61"/>
      <c r="P413" s="16"/>
      <c r="Q413" s="16"/>
      <c r="R413" s="16"/>
      <c r="S413" s="16"/>
      <c r="T413" s="16"/>
      <c r="U413" s="17"/>
      <c r="Y413" s="24"/>
      <c r="Z413" s="61"/>
      <c r="AA413" s="16"/>
      <c r="AB413" s="16"/>
      <c r="AC413" s="16"/>
      <c r="AD413" s="16"/>
      <c r="AE413" s="16"/>
      <c r="AF413" s="17"/>
      <c r="AJ413" s="24"/>
      <c r="AK413" s="61"/>
      <c r="AL413" s="16"/>
      <c r="AM413" s="16"/>
      <c r="AN413" s="16"/>
      <c r="AO413" s="16"/>
      <c r="AP413" s="16"/>
      <c r="AQ413" s="17"/>
      <c r="AU413" s="24"/>
      <c r="AV413" s="61"/>
      <c r="AW413" s="16"/>
      <c r="AX413" s="16"/>
      <c r="AY413" s="16"/>
      <c r="AZ413" s="16"/>
      <c r="BA413" s="16"/>
      <c r="BB413" s="17"/>
      <c r="BF413" s="24"/>
      <c r="BG413" s="61"/>
      <c r="BH413" s="16"/>
      <c r="BI413" s="16"/>
      <c r="BJ413" s="16"/>
      <c r="BK413" s="16"/>
      <c r="BL413" s="16"/>
      <c r="BM413" s="17"/>
      <c r="BQ413" s="24"/>
      <c r="BR413" s="61"/>
      <c r="BS413" s="16"/>
      <c r="BT413" s="16"/>
      <c r="BU413" s="16"/>
      <c r="BV413" s="16"/>
      <c r="BW413" s="16"/>
      <c r="BX413" s="17"/>
      <c r="CB413" s="24"/>
      <c r="CC413" s="61"/>
      <c r="CD413" s="16"/>
      <c r="CE413" s="16"/>
      <c r="CF413" s="16"/>
      <c r="CG413" s="16"/>
      <c r="CH413" s="16"/>
      <c r="CI413" s="17"/>
      <c r="CM413" s="24"/>
      <c r="CN413" s="61"/>
      <c r="CO413" s="16"/>
      <c r="CP413" s="16"/>
      <c r="CQ413" s="16"/>
      <c r="CR413" s="16"/>
      <c r="CS413" s="16"/>
      <c r="CT413" s="17"/>
      <c r="CX413" s="24"/>
      <c r="CY413" s="60"/>
      <c r="CZ413" s="16"/>
      <c r="DA413" s="16"/>
      <c r="DB413" s="16"/>
      <c r="DC413" s="16"/>
      <c r="DD413" s="16"/>
      <c r="DE413" s="17"/>
      <c r="DI413" s="24"/>
      <c r="DJ413" s="60"/>
      <c r="DK413" s="16"/>
      <c r="DL413" s="16"/>
      <c r="DM413" s="16"/>
      <c r="DN413" s="16"/>
      <c r="DO413" s="16"/>
      <c r="DP413" s="17"/>
      <c r="DT413" s="24"/>
      <c r="DU413" s="60"/>
      <c r="DV413" s="16"/>
      <c r="DW413" s="16"/>
      <c r="DX413" s="16"/>
      <c r="DY413" s="16"/>
      <c r="DZ413" s="16"/>
      <c r="EA413" s="17"/>
      <c r="EE413" s="24"/>
      <c r="EF413" s="60"/>
      <c r="EG413" s="16"/>
      <c r="EH413" s="16"/>
      <c r="EI413" s="16"/>
      <c r="EJ413" s="16"/>
      <c r="EK413" s="16"/>
      <c r="EL413" s="17"/>
      <c r="EP413" s="24"/>
      <c r="EQ413" s="60"/>
      <c r="ER413" s="16"/>
      <c r="ES413" s="16"/>
      <c r="ET413" s="16"/>
      <c r="EU413" s="16"/>
      <c r="EV413" s="16"/>
      <c r="EW413" s="17"/>
      <c r="FA413" s="24"/>
      <c r="FB413" s="60"/>
      <c r="FC413" s="16"/>
      <c r="FD413" s="16"/>
      <c r="FE413" s="16"/>
      <c r="FF413" s="16"/>
      <c r="FG413" s="16"/>
      <c r="FH413" s="17"/>
      <c r="FL413" s="24"/>
      <c r="FM413" s="60"/>
      <c r="FN413" s="16"/>
      <c r="FO413" s="16"/>
      <c r="FP413" s="16"/>
      <c r="FQ413" s="16"/>
      <c r="FR413" s="16"/>
      <c r="FS413" s="17"/>
      <c r="FW413" s="24"/>
      <c r="FX413" s="60"/>
      <c r="FY413" s="16"/>
      <c r="FZ413" s="16"/>
      <c r="GA413" s="16"/>
      <c r="GB413" s="16"/>
      <c r="GC413" s="16"/>
      <c r="GD413" s="17"/>
      <c r="GH413" s="24"/>
      <c r="GI413" s="60"/>
      <c r="GJ413" s="16"/>
      <c r="GK413" s="16"/>
      <c r="GL413" s="16"/>
      <c r="GM413" s="16"/>
      <c r="GN413" s="16"/>
      <c r="GO413" s="17"/>
      <c r="GS413" s="24"/>
      <c r="GT413" s="60"/>
      <c r="GU413" s="16"/>
      <c r="GV413" s="16"/>
      <c r="GW413" s="16"/>
      <c r="GX413" s="16"/>
      <c r="GY413" s="16"/>
      <c r="GZ413" s="17"/>
      <c r="HD413" s="24"/>
      <c r="HE413" s="60"/>
      <c r="HF413" s="16"/>
      <c r="HG413" s="16"/>
      <c r="HH413" s="16"/>
      <c r="HI413" s="16"/>
      <c r="HJ413" s="16"/>
      <c r="HK413" s="17"/>
      <c r="HO413" s="24"/>
      <c r="HP413" s="60"/>
      <c r="HQ413" s="16"/>
      <c r="HR413" s="16"/>
      <c r="HS413" s="16"/>
      <c r="HT413" s="16"/>
      <c r="HU413" s="16"/>
      <c r="HV413" s="17"/>
      <c r="HZ413" s="24"/>
      <c r="IA413" s="60"/>
      <c r="IB413" s="16"/>
      <c r="IC413" s="16"/>
      <c r="ID413" s="16"/>
      <c r="IE413" s="16"/>
      <c r="IF413" s="16"/>
      <c r="IG413" s="17"/>
      <c r="IK413" s="24"/>
      <c r="IL413" s="60"/>
      <c r="IM413" s="16"/>
      <c r="IN413" s="16"/>
      <c r="IO413" s="16"/>
      <c r="IP413" s="16"/>
      <c r="IQ413" s="16"/>
      <c r="IR413" s="17"/>
      <c r="IV413" s="24"/>
      <c r="IW413" s="60"/>
      <c r="IX413" s="16"/>
      <c r="IY413" s="16"/>
      <c r="IZ413" s="16"/>
      <c r="JA413" s="16"/>
      <c r="JB413" s="16"/>
      <c r="JC413" s="17"/>
      <c r="JG413" s="24"/>
      <c r="JH413" s="60"/>
      <c r="JI413" s="16"/>
      <c r="JJ413" s="16"/>
      <c r="JK413" s="16"/>
      <c r="JL413" s="16"/>
      <c r="JM413" s="16"/>
      <c r="JN413" s="17"/>
      <c r="JR413" s="24"/>
      <c r="JS413" s="60"/>
      <c r="JT413" s="16"/>
      <c r="JU413" s="16"/>
      <c r="JV413" s="16"/>
      <c r="JW413" s="16"/>
      <c r="JX413" s="16"/>
      <c r="JY413" s="17"/>
      <c r="KC413" s="24"/>
      <c r="KD413" s="60"/>
      <c r="KE413" s="16"/>
      <c r="KF413" s="16"/>
      <c r="KG413" s="16"/>
      <c r="KH413" s="16"/>
      <c r="KI413" s="16"/>
      <c r="KJ413" s="17"/>
      <c r="KN413" s="24"/>
      <c r="KO413" s="60"/>
      <c r="KP413" s="16"/>
      <c r="KQ413" s="16"/>
      <c r="KR413" s="16"/>
      <c r="KS413" s="16"/>
      <c r="KT413" s="16"/>
      <c r="KU413" s="17"/>
      <c r="KY413" s="24"/>
      <c r="KZ413" s="60"/>
      <c r="LA413" s="16"/>
      <c r="LB413" s="16"/>
      <c r="LC413" s="16"/>
      <c r="LD413" s="16"/>
      <c r="LE413" s="16"/>
      <c r="LF413" s="17"/>
      <c r="LJ413" s="24"/>
      <c r="LK413" s="60"/>
      <c r="LL413" s="16"/>
      <c r="LM413" s="16"/>
      <c r="LN413" s="16"/>
      <c r="LO413" s="16"/>
      <c r="LP413" s="16"/>
      <c r="LQ413" s="17"/>
    </row>
    <row r="414">
      <c r="C414" s="31"/>
      <c r="D414" s="61"/>
      <c r="E414" s="16"/>
      <c r="F414" s="16"/>
      <c r="G414" s="21"/>
      <c r="H414" s="16"/>
      <c r="I414" s="16"/>
      <c r="J414" s="17"/>
      <c r="N414" s="17"/>
      <c r="O414" s="61"/>
      <c r="P414" s="16"/>
      <c r="Q414" s="16"/>
      <c r="R414" s="16"/>
      <c r="S414" s="16"/>
      <c r="T414" s="16"/>
      <c r="U414" s="17"/>
      <c r="Y414" s="24"/>
      <c r="Z414" s="61"/>
      <c r="AA414" s="16"/>
      <c r="AB414" s="16"/>
      <c r="AC414" s="16"/>
      <c r="AD414" s="16"/>
      <c r="AE414" s="16"/>
      <c r="AF414" s="17"/>
      <c r="AJ414" s="24"/>
      <c r="AK414" s="61"/>
      <c r="AL414" s="16"/>
      <c r="AM414" s="16"/>
      <c r="AN414" s="16"/>
      <c r="AO414" s="16"/>
      <c r="AP414" s="16"/>
      <c r="AQ414" s="17"/>
      <c r="AU414" s="24"/>
      <c r="AV414" s="61"/>
      <c r="AW414" s="16"/>
      <c r="AX414" s="16"/>
      <c r="AY414" s="16"/>
      <c r="AZ414" s="16"/>
      <c r="BA414" s="16"/>
      <c r="BB414" s="17"/>
      <c r="BF414" s="24"/>
      <c r="BG414" s="61"/>
      <c r="BH414" s="16"/>
      <c r="BI414" s="16"/>
      <c r="BJ414" s="16"/>
      <c r="BK414" s="16"/>
      <c r="BL414" s="16"/>
      <c r="BM414" s="17"/>
      <c r="BQ414" s="24"/>
      <c r="BR414" s="61"/>
      <c r="BS414" s="16"/>
      <c r="BT414" s="16"/>
      <c r="BU414" s="16"/>
      <c r="BV414" s="16"/>
      <c r="BW414" s="16"/>
      <c r="BX414" s="17"/>
      <c r="CB414" s="24"/>
      <c r="CC414" s="61"/>
      <c r="CD414" s="16"/>
      <c r="CE414" s="16"/>
      <c r="CF414" s="16"/>
      <c r="CG414" s="16"/>
      <c r="CH414" s="16"/>
      <c r="CI414" s="17"/>
      <c r="CM414" s="24"/>
      <c r="CN414" s="61"/>
      <c r="CO414" s="16"/>
      <c r="CP414" s="16"/>
      <c r="CQ414" s="16"/>
      <c r="CR414" s="16"/>
      <c r="CS414" s="16"/>
      <c r="CT414" s="17"/>
      <c r="CX414" s="24"/>
      <c r="CY414" s="60"/>
      <c r="CZ414" s="16"/>
      <c r="DA414" s="16"/>
      <c r="DB414" s="16"/>
      <c r="DC414" s="16"/>
      <c r="DD414" s="16"/>
      <c r="DE414" s="17"/>
      <c r="DI414" s="24"/>
      <c r="DJ414" s="60"/>
      <c r="DK414" s="16"/>
      <c r="DL414" s="16"/>
      <c r="DM414" s="16"/>
      <c r="DN414" s="16"/>
      <c r="DO414" s="16"/>
      <c r="DP414" s="17"/>
      <c r="DT414" s="24"/>
      <c r="DU414" s="60"/>
      <c r="DV414" s="16"/>
      <c r="DW414" s="16"/>
      <c r="DX414" s="16"/>
      <c r="DY414" s="16"/>
      <c r="DZ414" s="16"/>
      <c r="EA414" s="17"/>
      <c r="EE414" s="24"/>
      <c r="EF414" s="60"/>
      <c r="EG414" s="16"/>
      <c r="EH414" s="16"/>
      <c r="EI414" s="16"/>
      <c r="EJ414" s="16"/>
      <c r="EK414" s="16"/>
      <c r="EL414" s="17"/>
      <c r="EP414" s="24"/>
      <c r="EQ414" s="60"/>
      <c r="ER414" s="16"/>
      <c r="ES414" s="16"/>
      <c r="ET414" s="16"/>
      <c r="EU414" s="16"/>
      <c r="EV414" s="16"/>
      <c r="EW414" s="17"/>
      <c r="FA414" s="24"/>
      <c r="FB414" s="60"/>
      <c r="FC414" s="16"/>
      <c r="FD414" s="16"/>
      <c r="FE414" s="16"/>
      <c r="FF414" s="16"/>
      <c r="FG414" s="16"/>
      <c r="FH414" s="17"/>
      <c r="FL414" s="24"/>
      <c r="FM414" s="60"/>
      <c r="FN414" s="16"/>
      <c r="FO414" s="16"/>
      <c r="FP414" s="16"/>
      <c r="FQ414" s="16"/>
      <c r="FR414" s="16"/>
      <c r="FS414" s="17"/>
      <c r="FW414" s="24"/>
      <c r="FX414" s="60"/>
      <c r="FY414" s="16"/>
      <c r="FZ414" s="16"/>
      <c r="GA414" s="16"/>
      <c r="GB414" s="16"/>
      <c r="GC414" s="16"/>
      <c r="GD414" s="17"/>
      <c r="GH414" s="24"/>
      <c r="GI414" s="60"/>
      <c r="GJ414" s="16"/>
      <c r="GK414" s="16"/>
      <c r="GL414" s="16"/>
      <c r="GM414" s="16"/>
      <c r="GN414" s="16"/>
      <c r="GO414" s="17"/>
      <c r="GS414" s="24"/>
      <c r="GT414" s="60"/>
      <c r="GU414" s="16"/>
      <c r="GV414" s="16"/>
      <c r="GW414" s="16"/>
      <c r="GX414" s="16"/>
      <c r="GY414" s="16"/>
      <c r="GZ414" s="17"/>
      <c r="HD414" s="24"/>
      <c r="HE414" s="60"/>
      <c r="HF414" s="16"/>
      <c r="HG414" s="16"/>
      <c r="HH414" s="16"/>
      <c r="HI414" s="16"/>
      <c r="HJ414" s="16"/>
      <c r="HK414" s="17"/>
      <c r="HO414" s="24"/>
      <c r="HP414" s="60"/>
      <c r="HQ414" s="16"/>
      <c r="HR414" s="16"/>
      <c r="HS414" s="16"/>
      <c r="HT414" s="16"/>
      <c r="HU414" s="16"/>
      <c r="HV414" s="17"/>
      <c r="HZ414" s="24"/>
      <c r="IA414" s="60"/>
      <c r="IB414" s="16"/>
      <c r="IC414" s="16"/>
      <c r="ID414" s="16"/>
      <c r="IE414" s="16"/>
      <c r="IF414" s="16"/>
      <c r="IG414" s="17"/>
      <c r="IK414" s="24"/>
      <c r="IL414" s="60"/>
      <c r="IM414" s="16"/>
      <c r="IN414" s="16"/>
      <c r="IO414" s="16"/>
      <c r="IP414" s="16"/>
      <c r="IQ414" s="16"/>
      <c r="IR414" s="17"/>
      <c r="IV414" s="24"/>
      <c r="IW414" s="60"/>
      <c r="IX414" s="16"/>
      <c r="IY414" s="16"/>
      <c r="IZ414" s="16"/>
      <c r="JA414" s="16"/>
      <c r="JB414" s="16"/>
      <c r="JC414" s="17"/>
      <c r="JG414" s="24"/>
      <c r="JH414" s="60"/>
      <c r="JI414" s="16"/>
      <c r="JJ414" s="16"/>
      <c r="JK414" s="16"/>
      <c r="JL414" s="16"/>
      <c r="JM414" s="16"/>
      <c r="JN414" s="17"/>
      <c r="JR414" s="24"/>
      <c r="JS414" s="60"/>
      <c r="JT414" s="16"/>
      <c r="JU414" s="16"/>
      <c r="JV414" s="16"/>
      <c r="JW414" s="16"/>
      <c r="JX414" s="16"/>
      <c r="JY414" s="17"/>
      <c r="KC414" s="24"/>
      <c r="KD414" s="60"/>
      <c r="KE414" s="16"/>
      <c r="KF414" s="16"/>
      <c r="KG414" s="16"/>
      <c r="KH414" s="16"/>
      <c r="KI414" s="16"/>
      <c r="KJ414" s="17"/>
      <c r="KN414" s="24"/>
      <c r="KO414" s="60"/>
      <c r="KP414" s="16"/>
      <c r="KQ414" s="16"/>
      <c r="KR414" s="16"/>
      <c r="KS414" s="16"/>
      <c r="KT414" s="16"/>
      <c r="KU414" s="17"/>
      <c r="KY414" s="24"/>
      <c r="KZ414" s="60"/>
      <c r="LA414" s="16"/>
      <c r="LB414" s="16"/>
      <c r="LC414" s="16"/>
      <c r="LD414" s="16"/>
      <c r="LE414" s="16"/>
      <c r="LF414" s="17"/>
      <c r="LJ414" s="24"/>
      <c r="LK414" s="60"/>
      <c r="LL414" s="16"/>
      <c r="LM414" s="16"/>
      <c r="LN414" s="16"/>
      <c r="LO414" s="16"/>
      <c r="LP414" s="16"/>
      <c r="LQ414" s="17"/>
    </row>
    <row r="415">
      <c r="C415" s="31"/>
      <c r="D415" s="61"/>
      <c r="E415" s="16"/>
      <c r="F415" s="16"/>
      <c r="G415" s="21"/>
      <c r="H415" s="16"/>
      <c r="I415" s="16"/>
      <c r="J415" s="17"/>
      <c r="N415" s="17"/>
      <c r="O415" s="61"/>
      <c r="P415" s="16"/>
      <c r="Q415" s="16"/>
      <c r="R415" s="16"/>
      <c r="S415" s="16"/>
      <c r="T415" s="16"/>
      <c r="U415" s="17"/>
      <c r="Y415" s="24"/>
      <c r="Z415" s="61"/>
      <c r="AA415" s="16"/>
      <c r="AB415" s="16"/>
      <c r="AC415" s="16"/>
      <c r="AD415" s="16"/>
      <c r="AE415" s="16"/>
      <c r="AF415" s="17"/>
      <c r="AJ415" s="24"/>
      <c r="AK415" s="61"/>
      <c r="AL415" s="16"/>
      <c r="AM415" s="16"/>
      <c r="AN415" s="16"/>
      <c r="AO415" s="16"/>
      <c r="AP415" s="16"/>
      <c r="AQ415" s="17"/>
      <c r="AU415" s="24"/>
      <c r="AV415" s="61"/>
      <c r="AW415" s="16"/>
      <c r="AX415" s="16"/>
      <c r="AY415" s="16"/>
      <c r="AZ415" s="16"/>
      <c r="BA415" s="16"/>
      <c r="BB415" s="17"/>
      <c r="BF415" s="24"/>
      <c r="BG415" s="61"/>
      <c r="BH415" s="16"/>
      <c r="BI415" s="16"/>
      <c r="BJ415" s="16"/>
      <c r="BK415" s="16"/>
      <c r="BL415" s="16"/>
      <c r="BM415" s="17"/>
      <c r="BQ415" s="24"/>
      <c r="BR415" s="61"/>
      <c r="BS415" s="16"/>
      <c r="BT415" s="16"/>
      <c r="BU415" s="16"/>
      <c r="BV415" s="16"/>
      <c r="BW415" s="16"/>
      <c r="BX415" s="17"/>
      <c r="CB415" s="24"/>
      <c r="CC415" s="61"/>
      <c r="CD415" s="16"/>
      <c r="CE415" s="16"/>
      <c r="CF415" s="16"/>
      <c r="CG415" s="16"/>
      <c r="CH415" s="16"/>
      <c r="CI415" s="17"/>
      <c r="CM415" s="24"/>
      <c r="CN415" s="61"/>
      <c r="CO415" s="16"/>
      <c r="CP415" s="16"/>
      <c r="CQ415" s="16"/>
      <c r="CR415" s="16"/>
      <c r="CS415" s="16"/>
      <c r="CT415" s="17"/>
      <c r="CX415" s="24"/>
      <c r="CY415" s="60"/>
      <c r="CZ415" s="16"/>
      <c r="DA415" s="16"/>
      <c r="DB415" s="16"/>
      <c r="DC415" s="16"/>
      <c r="DD415" s="16"/>
      <c r="DE415" s="17"/>
      <c r="DI415" s="24"/>
      <c r="DJ415" s="60"/>
      <c r="DK415" s="16"/>
      <c r="DL415" s="16"/>
      <c r="DM415" s="16"/>
      <c r="DN415" s="16"/>
      <c r="DO415" s="16"/>
      <c r="DP415" s="17"/>
      <c r="DT415" s="24"/>
      <c r="DU415" s="60"/>
      <c r="DV415" s="16"/>
      <c r="DW415" s="16"/>
      <c r="DX415" s="16"/>
      <c r="DY415" s="16"/>
      <c r="DZ415" s="16"/>
      <c r="EA415" s="17"/>
      <c r="EE415" s="24"/>
      <c r="EF415" s="60"/>
      <c r="EG415" s="16"/>
      <c r="EH415" s="16"/>
      <c r="EI415" s="16"/>
      <c r="EJ415" s="16"/>
      <c r="EK415" s="16"/>
      <c r="EL415" s="17"/>
      <c r="EP415" s="24"/>
      <c r="EQ415" s="60"/>
      <c r="ER415" s="16"/>
      <c r="ES415" s="16"/>
      <c r="ET415" s="16"/>
      <c r="EU415" s="16"/>
      <c r="EV415" s="16"/>
      <c r="EW415" s="17"/>
      <c r="FA415" s="24"/>
      <c r="FB415" s="60"/>
      <c r="FC415" s="16"/>
      <c r="FD415" s="16"/>
      <c r="FE415" s="16"/>
      <c r="FF415" s="16"/>
      <c r="FG415" s="16"/>
      <c r="FH415" s="17"/>
      <c r="FL415" s="24"/>
      <c r="FM415" s="60"/>
      <c r="FN415" s="16"/>
      <c r="FO415" s="16"/>
      <c r="FP415" s="16"/>
      <c r="FQ415" s="16"/>
      <c r="FR415" s="16"/>
      <c r="FS415" s="17"/>
      <c r="FW415" s="24"/>
      <c r="FX415" s="60"/>
      <c r="FY415" s="16"/>
      <c r="FZ415" s="16"/>
      <c r="GA415" s="16"/>
      <c r="GB415" s="16"/>
      <c r="GC415" s="16"/>
      <c r="GD415" s="17"/>
      <c r="GH415" s="24"/>
      <c r="GI415" s="60"/>
      <c r="GJ415" s="16"/>
      <c r="GK415" s="16"/>
      <c r="GL415" s="16"/>
      <c r="GM415" s="16"/>
      <c r="GN415" s="16"/>
      <c r="GO415" s="17"/>
      <c r="GS415" s="24"/>
      <c r="GT415" s="60"/>
      <c r="GU415" s="16"/>
      <c r="GV415" s="16"/>
      <c r="GW415" s="16"/>
      <c r="GX415" s="16"/>
      <c r="GY415" s="16"/>
      <c r="GZ415" s="17"/>
      <c r="HD415" s="24"/>
      <c r="HE415" s="60"/>
      <c r="HF415" s="16"/>
      <c r="HG415" s="16"/>
      <c r="HH415" s="16"/>
      <c r="HI415" s="16"/>
      <c r="HJ415" s="16"/>
      <c r="HK415" s="17"/>
      <c r="HO415" s="24"/>
      <c r="HP415" s="60"/>
      <c r="HQ415" s="16"/>
      <c r="HR415" s="16"/>
      <c r="HS415" s="16"/>
      <c r="HT415" s="16"/>
      <c r="HU415" s="16"/>
      <c r="HV415" s="17"/>
      <c r="HZ415" s="24"/>
      <c r="IA415" s="60"/>
      <c r="IB415" s="16"/>
      <c r="IC415" s="16"/>
      <c r="ID415" s="16"/>
      <c r="IE415" s="16"/>
      <c r="IF415" s="16"/>
      <c r="IG415" s="17"/>
      <c r="IK415" s="24"/>
      <c r="IL415" s="60"/>
      <c r="IM415" s="16"/>
      <c r="IN415" s="16"/>
      <c r="IO415" s="16"/>
      <c r="IP415" s="16"/>
      <c r="IQ415" s="16"/>
      <c r="IR415" s="17"/>
      <c r="IV415" s="24"/>
      <c r="IW415" s="60"/>
      <c r="IX415" s="16"/>
      <c r="IY415" s="16"/>
      <c r="IZ415" s="16"/>
      <c r="JA415" s="16"/>
      <c r="JB415" s="16"/>
      <c r="JC415" s="17"/>
      <c r="JG415" s="24"/>
      <c r="JH415" s="60"/>
      <c r="JI415" s="16"/>
      <c r="JJ415" s="16"/>
      <c r="JK415" s="16"/>
      <c r="JL415" s="16"/>
      <c r="JM415" s="16"/>
      <c r="JN415" s="17"/>
      <c r="JR415" s="24"/>
      <c r="JS415" s="60"/>
      <c r="JT415" s="16"/>
      <c r="JU415" s="16"/>
      <c r="JV415" s="16"/>
      <c r="JW415" s="16"/>
      <c r="JX415" s="16"/>
      <c r="JY415" s="17"/>
      <c r="KC415" s="24"/>
      <c r="KD415" s="60"/>
      <c r="KE415" s="16"/>
      <c r="KF415" s="16"/>
      <c r="KG415" s="16"/>
      <c r="KH415" s="16"/>
      <c r="KI415" s="16"/>
      <c r="KJ415" s="17"/>
      <c r="KN415" s="24"/>
      <c r="KO415" s="60"/>
      <c r="KP415" s="16"/>
      <c r="KQ415" s="16"/>
      <c r="KR415" s="16"/>
      <c r="KS415" s="16"/>
      <c r="KT415" s="16"/>
      <c r="KU415" s="17"/>
      <c r="KY415" s="24"/>
      <c r="KZ415" s="60"/>
      <c r="LA415" s="16"/>
      <c r="LB415" s="16"/>
      <c r="LC415" s="16"/>
      <c r="LD415" s="16"/>
      <c r="LE415" s="16"/>
      <c r="LF415" s="17"/>
      <c r="LJ415" s="24"/>
      <c r="LK415" s="60"/>
      <c r="LL415" s="16"/>
      <c r="LM415" s="16"/>
      <c r="LN415" s="16"/>
      <c r="LO415" s="16"/>
      <c r="LP415" s="16"/>
      <c r="LQ415" s="17"/>
    </row>
    <row r="416">
      <c r="C416" s="31"/>
      <c r="D416" s="61"/>
      <c r="E416" s="16"/>
      <c r="F416" s="16"/>
      <c r="G416" s="21"/>
      <c r="H416" s="16"/>
      <c r="I416" s="16"/>
      <c r="J416" s="17"/>
      <c r="N416" s="17"/>
      <c r="O416" s="61"/>
      <c r="P416" s="16"/>
      <c r="Q416" s="16"/>
      <c r="R416" s="16"/>
      <c r="S416" s="16"/>
      <c r="T416" s="16"/>
      <c r="U416" s="17"/>
      <c r="Y416" s="24"/>
      <c r="Z416" s="61"/>
      <c r="AA416" s="16"/>
      <c r="AB416" s="16"/>
      <c r="AC416" s="16"/>
      <c r="AD416" s="16"/>
      <c r="AE416" s="16"/>
      <c r="AF416" s="17"/>
      <c r="AJ416" s="24"/>
      <c r="AK416" s="61"/>
      <c r="AL416" s="16"/>
      <c r="AM416" s="16"/>
      <c r="AN416" s="16"/>
      <c r="AO416" s="16"/>
      <c r="AP416" s="16"/>
      <c r="AQ416" s="17"/>
      <c r="AU416" s="24"/>
      <c r="AV416" s="61"/>
      <c r="AW416" s="16"/>
      <c r="AX416" s="16"/>
      <c r="AY416" s="16"/>
      <c r="AZ416" s="16"/>
      <c r="BA416" s="16"/>
      <c r="BB416" s="17"/>
      <c r="BF416" s="24"/>
      <c r="BG416" s="61"/>
      <c r="BH416" s="16"/>
      <c r="BI416" s="16"/>
      <c r="BJ416" s="16"/>
      <c r="BK416" s="16"/>
      <c r="BL416" s="16"/>
      <c r="BM416" s="17"/>
      <c r="BQ416" s="24"/>
      <c r="BR416" s="61"/>
      <c r="BS416" s="16"/>
      <c r="BT416" s="16"/>
      <c r="BU416" s="16"/>
      <c r="BV416" s="16"/>
      <c r="BW416" s="16"/>
      <c r="BX416" s="17"/>
      <c r="CB416" s="24"/>
      <c r="CC416" s="61"/>
      <c r="CD416" s="16"/>
      <c r="CE416" s="16"/>
      <c r="CF416" s="16"/>
      <c r="CG416" s="16"/>
      <c r="CH416" s="16"/>
      <c r="CI416" s="17"/>
      <c r="CM416" s="24"/>
      <c r="CN416" s="61"/>
      <c r="CO416" s="16"/>
      <c r="CP416" s="16"/>
      <c r="CQ416" s="16"/>
      <c r="CR416" s="16"/>
      <c r="CS416" s="16"/>
      <c r="CT416" s="17"/>
      <c r="CX416" s="24"/>
      <c r="CY416" s="60"/>
      <c r="CZ416" s="16"/>
      <c r="DA416" s="16"/>
      <c r="DB416" s="16"/>
      <c r="DC416" s="16"/>
      <c r="DD416" s="16"/>
      <c r="DE416" s="17"/>
      <c r="DI416" s="24"/>
      <c r="DJ416" s="60"/>
      <c r="DK416" s="16"/>
      <c r="DL416" s="16"/>
      <c r="DM416" s="16"/>
      <c r="DN416" s="16"/>
      <c r="DO416" s="16"/>
      <c r="DP416" s="17"/>
      <c r="DT416" s="24"/>
      <c r="DU416" s="60"/>
      <c r="DV416" s="16"/>
      <c r="DW416" s="16"/>
      <c r="DX416" s="16"/>
      <c r="DY416" s="16"/>
      <c r="DZ416" s="16"/>
      <c r="EA416" s="17"/>
      <c r="EE416" s="24"/>
      <c r="EF416" s="60"/>
      <c r="EG416" s="16"/>
      <c r="EH416" s="16"/>
      <c r="EI416" s="16"/>
      <c r="EJ416" s="16"/>
      <c r="EK416" s="16"/>
      <c r="EL416" s="17"/>
      <c r="EP416" s="24"/>
      <c r="EQ416" s="60"/>
      <c r="ER416" s="16"/>
      <c r="ES416" s="16"/>
      <c r="ET416" s="16"/>
      <c r="EU416" s="16"/>
      <c r="EV416" s="16"/>
      <c r="EW416" s="17"/>
      <c r="FA416" s="24"/>
      <c r="FB416" s="60"/>
      <c r="FC416" s="16"/>
      <c r="FD416" s="16"/>
      <c r="FE416" s="16"/>
      <c r="FF416" s="16"/>
      <c r="FG416" s="16"/>
      <c r="FH416" s="17"/>
      <c r="FL416" s="24"/>
      <c r="FM416" s="60"/>
      <c r="FN416" s="16"/>
      <c r="FO416" s="16"/>
      <c r="FP416" s="16"/>
      <c r="FQ416" s="16"/>
      <c r="FR416" s="16"/>
      <c r="FS416" s="17"/>
      <c r="FW416" s="24"/>
      <c r="FX416" s="60"/>
      <c r="FY416" s="16"/>
      <c r="FZ416" s="16"/>
      <c r="GA416" s="16"/>
      <c r="GB416" s="16"/>
      <c r="GC416" s="16"/>
      <c r="GD416" s="17"/>
      <c r="GH416" s="24"/>
      <c r="GI416" s="60"/>
      <c r="GJ416" s="16"/>
      <c r="GK416" s="16"/>
      <c r="GL416" s="16"/>
      <c r="GM416" s="16"/>
      <c r="GN416" s="16"/>
      <c r="GO416" s="17"/>
      <c r="GS416" s="24"/>
      <c r="GT416" s="60"/>
      <c r="GU416" s="16"/>
      <c r="GV416" s="16"/>
      <c r="GW416" s="16"/>
      <c r="GX416" s="16"/>
      <c r="GY416" s="16"/>
      <c r="GZ416" s="17"/>
      <c r="HD416" s="24"/>
      <c r="HE416" s="60"/>
      <c r="HF416" s="16"/>
      <c r="HG416" s="16"/>
      <c r="HH416" s="16"/>
      <c r="HI416" s="16"/>
      <c r="HJ416" s="16"/>
      <c r="HK416" s="17"/>
      <c r="HO416" s="24"/>
      <c r="HP416" s="60"/>
      <c r="HQ416" s="16"/>
      <c r="HR416" s="16"/>
      <c r="HS416" s="16"/>
      <c r="HT416" s="16"/>
      <c r="HU416" s="16"/>
      <c r="HV416" s="17"/>
      <c r="HZ416" s="24"/>
      <c r="IA416" s="60"/>
      <c r="IB416" s="16"/>
      <c r="IC416" s="16"/>
      <c r="ID416" s="16"/>
      <c r="IE416" s="16"/>
      <c r="IF416" s="16"/>
      <c r="IG416" s="17"/>
      <c r="IK416" s="24"/>
      <c r="IL416" s="60"/>
      <c r="IM416" s="16"/>
      <c r="IN416" s="16"/>
      <c r="IO416" s="16"/>
      <c r="IP416" s="16"/>
      <c r="IQ416" s="16"/>
      <c r="IR416" s="17"/>
      <c r="IV416" s="24"/>
      <c r="IW416" s="60"/>
      <c r="IX416" s="16"/>
      <c r="IY416" s="16"/>
      <c r="IZ416" s="16"/>
      <c r="JA416" s="16"/>
      <c r="JB416" s="16"/>
      <c r="JC416" s="17"/>
      <c r="JG416" s="24"/>
      <c r="JH416" s="60"/>
      <c r="JI416" s="16"/>
      <c r="JJ416" s="16"/>
      <c r="JK416" s="16"/>
      <c r="JL416" s="16"/>
      <c r="JM416" s="16"/>
      <c r="JN416" s="17"/>
      <c r="JR416" s="24"/>
      <c r="JS416" s="60"/>
      <c r="JT416" s="16"/>
      <c r="JU416" s="16"/>
      <c r="JV416" s="16"/>
      <c r="JW416" s="16"/>
      <c r="JX416" s="16"/>
      <c r="JY416" s="17"/>
      <c r="KC416" s="24"/>
      <c r="KD416" s="60"/>
      <c r="KE416" s="16"/>
      <c r="KF416" s="16"/>
      <c r="KG416" s="16"/>
      <c r="KH416" s="16"/>
      <c r="KI416" s="16"/>
      <c r="KJ416" s="17"/>
      <c r="KN416" s="24"/>
      <c r="KO416" s="60"/>
      <c r="KP416" s="16"/>
      <c r="KQ416" s="16"/>
      <c r="KR416" s="16"/>
      <c r="KS416" s="16"/>
      <c r="KT416" s="16"/>
      <c r="KU416" s="17"/>
      <c r="KY416" s="24"/>
      <c r="KZ416" s="60"/>
      <c r="LA416" s="16"/>
      <c r="LB416" s="16"/>
      <c r="LC416" s="16"/>
      <c r="LD416" s="16"/>
      <c r="LE416" s="16"/>
      <c r="LF416" s="17"/>
      <c r="LJ416" s="24"/>
      <c r="LK416" s="60"/>
      <c r="LL416" s="16"/>
      <c r="LM416" s="16"/>
      <c r="LN416" s="16"/>
      <c r="LO416" s="16"/>
      <c r="LP416" s="16"/>
      <c r="LQ416" s="17"/>
    </row>
    <row r="417">
      <c r="C417" s="31"/>
      <c r="D417" s="61"/>
      <c r="E417" s="16"/>
      <c r="F417" s="16"/>
      <c r="G417" s="21"/>
      <c r="H417" s="16"/>
      <c r="I417" s="16"/>
      <c r="J417" s="17"/>
      <c r="N417" s="17"/>
      <c r="O417" s="61"/>
      <c r="P417" s="16"/>
      <c r="Q417" s="16"/>
      <c r="R417" s="16"/>
      <c r="S417" s="16"/>
      <c r="T417" s="16"/>
      <c r="U417" s="17"/>
      <c r="Y417" s="24"/>
      <c r="Z417" s="61"/>
      <c r="AA417" s="16"/>
      <c r="AB417" s="16"/>
      <c r="AC417" s="16"/>
      <c r="AD417" s="16"/>
      <c r="AE417" s="16"/>
      <c r="AF417" s="17"/>
      <c r="AJ417" s="24"/>
      <c r="AK417" s="61"/>
      <c r="AL417" s="16"/>
      <c r="AM417" s="16"/>
      <c r="AN417" s="16"/>
      <c r="AO417" s="16"/>
      <c r="AP417" s="16"/>
      <c r="AQ417" s="17"/>
      <c r="AU417" s="24"/>
      <c r="AV417" s="61"/>
      <c r="AW417" s="16"/>
      <c r="AX417" s="16"/>
      <c r="AY417" s="16"/>
      <c r="AZ417" s="16"/>
      <c r="BA417" s="16"/>
      <c r="BB417" s="17"/>
      <c r="BF417" s="24"/>
      <c r="BG417" s="61"/>
      <c r="BH417" s="16"/>
      <c r="BI417" s="16"/>
      <c r="BJ417" s="16"/>
      <c r="BK417" s="16"/>
      <c r="BL417" s="16"/>
      <c r="BM417" s="17"/>
      <c r="BQ417" s="24"/>
      <c r="BR417" s="61"/>
      <c r="BS417" s="16"/>
      <c r="BT417" s="16"/>
      <c r="BU417" s="16"/>
      <c r="BV417" s="16"/>
      <c r="BW417" s="16"/>
      <c r="BX417" s="17"/>
      <c r="CB417" s="24"/>
      <c r="CC417" s="61"/>
      <c r="CD417" s="16"/>
      <c r="CE417" s="16"/>
      <c r="CF417" s="16"/>
      <c r="CG417" s="16"/>
      <c r="CH417" s="16"/>
      <c r="CI417" s="17"/>
      <c r="CM417" s="24"/>
      <c r="CN417" s="61"/>
      <c r="CO417" s="16"/>
      <c r="CP417" s="16"/>
      <c r="CQ417" s="16"/>
      <c r="CR417" s="16"/>
      <c r="CS417" s="16"/>
      <c r="CT417" s="17"/>
      <c r="CX417" s="24"/>
      <c r="CY417" s="60"/>
      <c r="CZ417" s="16"/>
      <c r="DA417" s="16"/>
      <c r="DB417" s="16"/>
      <c r="DC417" s="16"/>
      <c r="DD417" s="16"/>
      <c r="DE417" s="17"/>
      <c r="DI417" s="24"/>
      <c r="DJ417" s="60"/>
      <c r="DK417" s="16"/>
      <c r="DL417" s="16"/>
      <c r="DM417" s="16"/>
      <c r="DN417" s="16"/>
      <c r="DO417" s="16"/>
      <c r="DP417" s="17"/>
      <c r="DT417" s="24"/>
      <c r="DU417" s="60"/>
      <c r="DV417" s="16"/>
      <c r="DW417" s="16"/>
      <c r="DX417" s="16"/>
      <c r="DY417" s="16"/>
      <c r="DZ417" s="16"/>
      <c r="EA417" s="17"/>
      <c r="EE417" s="24"/>
      <c r="EF417" s="60"/>
      <c r="EG417" s="16"/>
      <c r="EH417" s="16"/>
      <c r="EI417" s="16"/>
      <c r="EJ417" s="16"/>
      <c r="EK417" s="16"/>
      <c r="EL417" s="17"/>
      <c r="EP417" s="24"/>
      <c r="EQ417" s="60"/>
      <c r="ER417" s="16"/>
      <c r="ES417" s="16"/>
      <c r="ET417" s="16"/>
      <c r="EU417" s="16"/>
      <c r="EV417" s="16"/>
      <c r="EW417" s="17"/>
      <c r="FA417" s="24"/>
      <c r="FB417" s="60"/>
      <c r="FC417" s="16"/>
      <c r="FD417" s="16"/>
      <c r="FE417" s="16"/>
      <c r="FF417" s="16"/>
      <c r="FG417" s="16"/>
      <c r="FH417" s="17"/>
      <c r="FL417" s="24"/>
      <c r="FM417" s="60"/>
      <c r="FN417" s="16"/>
      <c r="FO417" s="16"/>
      <c r="FP417" s="16"/>
      <c r="FQ417" s="16"/>
      <c r="FR417" s="16"/>
      <c r="FS417" s="17"/>
      <c r="FW417" s="24"/>
      <c r="FX417" s="60"/>
      <c r="FY417" s="16"/>
      <c r="FZ417" s="16"/>
      <c r="GA417" s="16"/>
      <c r="GB417" s="16"/>
      <c r="GC417" s="16"/>
      <c r="GD417" s="17"/>
      <c r="GH417" s="24"/>
      <c r="GI417" s="60"/>
      <c r="GJ417" s="16"/>
      <c r="GK417" s="16"/>
      <c r="GL417" s="16"/>
      <c r="GM417" s="16"/>
      <c r="GN417" s="16"/>
      <c r="GO417" s="17"/>
      <c r="GS417" s="24"/>
      <c r="GT417" s="60"/>
      <c r="GU417" s="16"/>
      <c r="GV417" s="16"/>
      <c r="GW417" s="16"/>
      <c r="GX417" s="16"/>
      <c r="GY417" s="16"/>
      <c r="GZ417" s="17"/>
      <c r="HD417" s="24"/>
      <c r="HE417" s="60"/>
      <c r="HF417" s="16"/>
      <c r="HG417" s="16"/>
      <c r="HH417" s="16"/>
      <c r="HI417" s="16"/>
      <c r="HJ417" s="16"/>
      <c r="HK417" s="17"/>
      <c r="HO417" s="24"/>
      <c r="HP417" s="60"/>
      <c r="HQ417" s="16"/>
      <c r="HR417" s="16"/>
      <c r="HS417" s="16"/>
      <c r="HT417" s="16"/>
      <c r="HU417" s="16"/>
      <c r="HV417" s="17"/>
      <c r="HZ417" s="24"/>
      <c r="IA417" s="60"/>
      <c r="IB417" s="16"/>
      <c r="IC417" s="16"/>
      <c r="ID417" s="16"/>
      <c r="IE417" s="16"/>
      <c r="IF417" s="16"/>
      <c r="IG417" s="17"/>
      <c r="IK417" s="24"/>
      <c r="IL417" s="60"/>
      <c r="IM417" s="16"/>
      <c r="IN417" s="16"/>
      <c r="IO417" s="16"/>
      <c r="IP417" s="16"/>
      <c r="IQ417" s="16"/>
      <c r="IR417" s="17"/>
      <c r="IV417" s="24"/>
      <c r="IW417" s="60"/>
      <c r="IX417" s="16"/>
      <c r="IY417" s="16"/>
      <c r="IZ417" s="16"/>
      <c r="JA417" s="16"/>
      <c r="JB417" s="16"/>
      <c r="JC417" s="17"/>
      <c r="JG417" s="24"/>
      <c r="JH417" s="60"/>
      <c r="JI417" s="16"/>
      <c r="JJ417" s="16"/>
      <c r="JK417" s="16"/>
      <c r="JL417" s="16"/>
      <c r="JM417" s="16"/>
      <c r="JN417" s="17"/>
      <c r="JR417" s="24"/>
      <c r="JS417" s="60"/>
      <c r="JT417" s="16"/>
      <c r="JU417" s="16"/>
      <c r="JV417" s="16"/>
      <c r="JW417" s="16"/>
      <c r="JX417" s="16"/>
      <c r="JY417" s="17"/>
      <c r="KC417" s="24"/>
      <c r="KD417" s="60"/>
      <c r="KE417" s="16"/>
      <c r="KF417" s="16"/>
      <c r="KG417" s="16"/>
      <c r="KH417" s="16"/>
      <c r="KI417" s="16"/>
      <c r="KJ417" s="17"/>
      <c r="KN417" s="24"/>
      <c r="KO417" s="60"/>
      <c r="KP417" s="16"/>
      <c r="KQ417" s="16"/>
      <c r="KR417" s="16"/>
      <c r="KS417" s="16"/>
      <c r="KT417" s="16"/>
      <c r="KU417" s="17"/>
      <c r="KY417" s="24"/>
      <c r="KZ417" s="60"/>
      <c r="LA417" s="16"/>
      <c r="LB417" s="16"/>
      <c r="LC417" s="16"/>
      <c r="LD417" s="16"/>
      <c r="LE417" s="16"/>
      <c r="LF417" s="17"/>
      <c r="LJ417" s="24"/>
      <c r="LK417" s="60"/>
      <c r="LL417" s="16"/>
      <c r="LM417" s="16"/>
      <c r="LN417" s="16"/>
      <c r="LO417" s="16"/>
      <c r="LP417" s="16"/>
      <c r="LQ417" s="17"/>
    </row>
    <row r="418">
      <c r="C418" s="31"/>
      <c r="D418" s="61"/>
      <c r="E418" s="16"/>
      <c r="F418" s="16"/>
      <c r="G418" s="21"/>
      <c r="H418" s="16"/>
      <c r="I418" s="16"/>
      <c r="J418" s="17"/>
      <c r="N418" s="17"/>
      <c r="O418" s="61"/>
      <c r="P418" s="16"/>
      <c r="Q418" s="16"/>
      <c r="R418" s="16"/>
      <c r="S418" s="16"/>
      <c r="T418" s="16"/>
      <c r="U418" s="17"/>
      <c r="Y418" s="24"/>
      <c r="Z418" s="61"/>
      <c r="AA418" s="16"/>
      <c r="AB418" s="16"/>
      <c r="AC418" s="16"/>
      <c r="AD418" s="16"/>
      <c r="AE418" s="16"/>
      <c r="AF418" s="17"/>
      <c r="AJ418" s="24"/>
      <c r="AK418" s="61"/>
      <c r="AL418" s="16"/>
      <c r="AM418" s="16"/>
      <c r="AN418" s="16"/>
      <c r="AO418" s="16"/>
      <c r="AP418" s="16"/>
      <c r="AQ418" s="17"/>
      <c r="AU418" s="24"/>
      <c r="AV418" s="61"/>
      <c r="AW418" s="16"/>
      <c r="AX418" s="16"/>
      <c r="AY418" s="16"/>
      <c r="AZ418" s="16"/>
      <c r="BA418" s="16"/>
      <c r="BB418" s="17"/>
      <c r="BF418" s="24"/>
      <c r="BG418" s="61"/>
      <c r="BH418" s="16"/>
      <c r="BI418" s="16"/>
      <c r="BJ418" s="16"/>
      <c r="BK418" s="16"/>
      <c r="BL418" s="16"/>
      <c r="BM418" s="17"/>
      <c r="BQ418" s="24"/>
      <c r="BR418" s="61"/>
      <c r="BS418" s="16"/>
      <c r="BT418" s="16"/>
      <c r="BU418" s="16"/>
      <c r="BV418" s="16"/>
      <c r="BW418" s="16"/>
      <c r="BX418" s="17"/>
      <c r="CB418" s="24"/>
      <c r="CC418" s="61"/>
      <c r="CD418" s="16"/>
      <c r="CE418" s="16"/>
      <c r="CF418" s="16"/>
      <c r="CG418" s="16"/>
      <c r="CH418" s="16"/>
      <c r="CI418" s="17"/>
      <c r="CM418" s="24"/>
      <c r="CN418" s="61"/>
      <c r="CO418" s="16"/>
      <c r="CP418" s="16"/>
      <c r="CQ418" s="16"/>
      <c r="CR418" s="16"/>
      <c r="CS418" s="16"/>
      <c r="CT418" s="17"/>
      <c r="CX418" s="24"/>
      <c r="CY418" s="60"/>
      <c r="CZ418" s="16"/>
      <c r="DA418" s="16"/>
      <c r="DB418" s="16"/>
      <c r="DC418" s="16"/>
      <c r="DD418" s="16"/>
      <c r="DE418" s="17"/>
      <c r="DI418" s="24"/>
      <c r="DJ418" s="60"/>
      <c r="DK418" s="16"/>
      <c r="DL418" s="16"/>
      <c r="DM418" s="16"/>
      <c r="DN418" s="16"/>
      <c r="DO418" s="16"/>
      <c r="DP418" s="17"/>
      <c r="DT418" s="24"/>
      <c r="DU418" s="60"/>
      <c r="DV418" s="16"/>
      <c r="DW418" s="16"/>
      <c r="DX418" s="16"/>
      <c r="DY418" s="16"/>
      <c r="DZ418" s="16"/>
      <c r="EA418" s="17"/>
      <c r="EE418" s="24"/>
      <c r="EF418" s="60"/>
      <c r="EG418" s="16"/>
      <c r="EH418" s="16"/>
      <c r="EI418" s="16"/>
      <c r="EJ418" s="16"/>
      <c r="EK418" s="16"/>
      <c r="EL418" s="17"/>
      <c r="EP418" s="24"/>
      <c r="EQ418" s="60"/>
      <c r="ER418" s="16"/>
      <c r="ES418" s="16"/>
      <c r="ET418" s="16"/>
      <c r="EU418" s="16"/>
      <c r="EV418" s="16"/>
      <c r="EW418" s="17"/>
      <c r="FA418" s="24"/>
      <c r="FB418" s="60"/>
      <c r="FC418" s="16"/>
      <c r="FD418" s="16"/>
      <c r="FE418" s="16"/>
      <c r="FF418" s="16"/>
      <c r="FG418" s="16"/>
      <c r="FH418" s="17"/>
      <c r="FL418" s="24"/>
      <c r="FM418" s="60"/>
      <c r="FN418" s="16"/>
      <c r="FO418" s="16"/>
      <c r="FP418" s="16"/>
      <c r="FQ418" s="16"/>
      <c r="FR418" s="16"/>
      <c r="FS418" s="17"/>
      <c r="FW418" s="24"/>
      <c r="FX418" s="60"/>
      <c r="FY418" s="16"/>
      <c r="FZ418" s="16"/>
      <c r="GA418" s="16"/>
      <c r="GB418" s="16"/>
      <c r="GC418" s="16"/>
      <c r="GD418" s="17"/>
      <c r="GH418" s="24"/>
      <c r="GI418" s="60"/>
      <c r="GJ418" s="16"/>
      <c r="GK418" s="16"/>
      <c r="GL418" s="16"/>
      <c r="GM418" s="16"/>
      <c r="GN418" s="16"/>
      <c r="GO418" s="17"/>
      <c r="GS418" s="24"/>
      <c r="GT418" s="60"/>
      <c r="GU418" s="16"/>
      <c r="GV418" s="16"/>
      <c r="GW418" s="16"/>
      <c r="GX418" s="16"/>
      <c r="GY418" s="16"/>
      <c r="GZ418" s="17"/>
      <c r="HD418" s="24"/>
      <c r="HE418" s="60"/>
      <c r="HF418" s="16"/>
      <c r="HG418" s="16"/>
      <c r="HH418" s="16"/>
      <c r="HI418" s="16"/>
      <c r="HJ418" s="16"/>
      <c r="HK418" s="17"/>
      <c r="HO418" s="24"/>
      <c r="HP418" s="60"/>
      <c r="HQ418" s="16"/>
      <c r="HR418" s="16"/>
      <c r="HS418" s="16"/>
      <c r="HT418" s="16"/>
      <c r="HU418" s="16"/>
      <c r="HV418" s="17"/>
      <c r="HZ418" s="24"/>
      <c r="IA418" s="60"/>
      <c r="IB418" s="16"/>
      <c r="IC418" s="16"/>
      <c r="ID418" s="16"/>
      <c r="IE418" s="16"/>
      <c r="IF418" s="16"/>
      <c r="IG418" s="17"/>
      <c r="IK418" s="24"/>
      <c r="IL418" s="60"/>
      <c r="IM418" s="16"/>
      <c r="IN418" s="16"/>
      <c r="IO418" s="16"/>
      <c r="IP418" s="16"/>
      <c r="IQ418" s="16"/>
      <c r="IR418" s="17"/>
      <c r="IV418" s="24"/>
      <c r="IW418" s="60"/>
      <c r="IX418" s="16"/>
      <c r="IY418" s="16"/>
      <c r="IZ418" s="16"/>
      <c r="JA418" s="16"/>
      <c r="JB418" s="16"/>
      <c r="JC418" s="17"/>
      <c r="JG418" s="24"/>
      <c r="JH418" s="60"/>
      <c r="JI418" s="16"/>
      <c r="JJ418" s="16"/>
      <c r="JK418" s="16"/>
      <c r="JL418" s="16"/>
      <c r="JM418" s="16"/>
      <c r="JN418" s="17"/>
      <c r="JR418" s="24"/>
      <c r="JS418" s="60"/>
      <c r="JT418" s="16"/>
      <c r="JU418" s="16"/>
      <c r="JV418" s="16"/>
      <c r="JW418" s="16"/>
      <c r="JX418" s="16"/>
      <c r="JY418" s="17"/>
      <c r="KC418" s="24"/>
      <c r="KD418" s="60"/>
      <c r="KE418" s="16"/>
      <c r="KF418" s="16"/>
      <c r="KG418" s="16"/>
      <c r="KH418" s="16"/>
      <c r="KI418" s="16"/>
      <c r="KJ418" s="17"/>
      <c r="KN418" s="24"/>
      <c r="KO418" s="60"/>
      <c r="KP418" s="16"/>
      <c r="KQ418" s="16"/>
      <c r="KR418" s="16"/>
      <c r="KS418" s="16"/>
      <c r="KT418" s="16"/>
      <c r="KU418" s="17"/>
      <c r="KY418" s="24"/>
      <c r="KZ418" s="60"/>
      <c r="LA418" s="16"/>
      <c r="LB418" s="16"/>
      <c r="LC418" s="16"/>
      <c r="LD418" s="16"/>
      <c r="LE418" s="16"/>
      <c r="LF418" s="17"/>
      <c r="LJ418" s="24"/>
      <c r="LK418" s="60"/>
      <c r="LL418" s="16"/>
      <c r="LM418" s="16"/>
      <c r="LN418" s="16"/>
      <c r="LO418" s="16"/>
      <c r="LP418" s="16"/>
      <c r="LQ418" s="17"/>
    </row>
    <row r="419">
      <c r="C419" s="31"/>
      <c r="D419" s="61"/>
      <c r="E419" s="16"/>
      <c r="F419" s="16"/>
      <c r="G419" s="21"/>
      <c r="H419" s="16"/>
      <c r="I419" s="16"/>
      <c r="J419" s="17"/>
      <c r="N419" s="17"/>
      <c r="O419" s="61"/>
      <c r="P419" s="16"/>
      <c r="Q419" s="16"/>
      <c r="R419" s="16"/>
      <c r="S419" s="16"/>
      <c r="T419" s="16"/>
      <c r="U419" s="17"/>
      <c r="Y419" s="24"/>
      <c r="Z419" s="61"/>
      <c r="AA419" s="16"/>
      <c r="AB419" s="16"/>
      <c r="AC419" s="16"/>
      <c r="AD419" s="16"/>
      <c r="AE419" s="16"/>
      <c r="AF419" s="17"/>
      <c r="AJ419" s="24"/>
      <c r="AK419" s="61"/>
      <c r="AL419" s="16"/>
      <c r="AM419" s="16"/>
      <c r="AN419" s="16"/>
      <c r="AO419" s="16"/>
      <c r="AP419" s="16"/>
      <c r="AQ419" s="17"/>
      <c r="AU419" s="24"/>
      <c r="AV419" s="61"/>
      <c r="AW419" s="16"/>
      <c r="AX419" s="16"/>
      <c r="AY419" s="16"/>
      <c r="AZ419" s="16"/>
      <c r="BA419" s="16"/>
      <c r="BB419" s="17"/>
      <c r="BF419" s="24"/>
      <c r="BG419" s="61"/>
      <c r="BH419" s="16"/>
      <c r="BI419" s="16"/>
      <c r="BJ419" s="16"/>
      <c r="BK419" s="16"/>
      <c r="BL419" s="16"/>
      <c r="BM419" s="17"/>
      <c r="BQ419" s="24"/>
      <c r="BR419" s="61"/>
      <c r="BS419" s="16"/>
      <c r="BT419" s="16"/>
      <c r="BU419" s="16"/>
      <c r="BV419" s="16"/>
      <c r="BW419" s="16"/>
      <c r="BX419" s="17"/>
      <c r="CB419" s="24"/>
      <c r="CC419" s="61"/>
      <c r="CD419" s="16"/>
      <c r="CE419" s="16"/>
      <c r="CF419" s="16"/>
      <c r="CG419" s="16"/>
      <c r="CH419" s="16"/>
      <c r="CI419" s="17"/>
      <c r="CM419" s="24"/>
      <c r="CN419" s="61"/>
      <c r="CO419" s="16"/>
      <c r="CP419" s="16"/>
      <c r="CQ419" s="16"/>
      <c r="CR419" s="16"/>
      <c r="CS419" s="16"/>
      <c r="CT419" s="17"/>
      <c r="CX419" s="24"/>
      <c r="CY419" s="60"/>
      <c r="CZ419" s="16"/>
      <c r="DA419" s="16"/>
      <c r="DB419" s="16"/>
      <c r="DC419" s="16"/>
      <c r="DD419" s="16"/>
      <c r="DE419" s="17"/>
      <c r="DI419" s="24"/>
      <c r="DJ419" s="60"/>
      <c r="DK419" s="16"/>
      <c r="DL419" s="16"/>
      <c r="DM419" s="16"/>
      <c r="DN419" s="16"/>
      <c r="DO419" s="16"/>
      <c r="DP419" s="17"/>
      <c r="DT419" s="24"/>
      <c r="DU419" s="60"/>
      <c r="DV419" s="16"/>
      <c r="DW419" s="16"/>
      <c r="DX419" s="16"/>
      <c r="DY419" s="16"/>
      <c r="DZ419" s="16"/>
      <c r="EA419" s="17"/>
      <c r="EE419" s="24"/>
      <c r="EF419" s="60"/>
      <c r="EG419" s="16"/>
      <c r="EH419" s="16"/>
      <c r="EI419" s="16"/>
      <c r="EJ419" s="16"/>
      <c r="EK419" s="16"/>
      <c r="EL419" s="17"/>
      <c r="EP419" s="24"/>
      <c r="EQ419" s="60"/>
      <c r="ER419" s="16"/>
      <c r="ES419" s="16"/>
      <c r="ET419" s="16"/>
      <c r="EU419" s="16"/>
      <c r="EV419" s="16"/>
      <c r="EW419" s="17"/>
      <c r="FA419" s="24"/>
      <c r="FB419" s="60"/>
      <c r="FC419" s="16"/>
      <c r="FD419" s="16"/>
      <c r="FE419" s="16"/>
      <c r="FF419" s="16"/>
      <c r="FG419" s="16"/>
      <c r="FH419" s="17"/>
      <c r="FL419" s="24"/>
      <c r="FM419" s="60"/>
      <c r="FN419" s="16"/>
      <c r="FO419" s="16"/>
      <c r="FP419" s="16"/>
      <c r="FQ419" s="16"/>
      <c r="FR419" s="16"/>
      <c r="FS419" s="17"/>
      <c r="FW419" s="24"/>
      <c r="FX419" s="60"/>
      <c r="FY419" s="16"/>
      <c r="FZ419" s="16"/>
      <c r="GA419" s="16"/>
      <c r="GB419" s="16"/>
      <c r="GC419" s="16"/>
      <c r="GD419" s="17"/>
      <c r="GH419" s="24"/>
      <c r="GI419" s="60"/>
      <c r="GJ419" s="16"/>
      <c r="GK419" s="16"/>
      <c r="GL419" s="16"/>
      <c r="GM419" s="16"/>
      <c r="GN419" s="16"/>
      <c r="GO419" s="17"/>
      <c r="GS419" s="24"/>
      <c r="GT419" s="60"/>
      <c r="GU419" s="16"/>
      <c r="GV419" s="16"/>
      <c r="GW419" s="16"/>
      <c r="GX419" s="16"/>
      <c r="GY419" s="16"/>
      <c r="GZ419" s="17"/>
      <c r="HD419" s="24"/>
      <c r="HE419" s="60"/>
      <c r="HF419" s="16"/>
      <c r="HG419" s="16"/>
      <c r="HH419" s="16"/>
      <c r="HI419" s="16"/>
      <c r="HJ419" s="16"/>
      <c r="HK419" s="17"/>
      <c r="HO419" s="24"/>
      <c r="HP419" s="60"/>
      <c r="HQ419" s="16"/>
      <c r="HR419" s="16"/>
      <c r="HS419" s="16"/>
      <c r="HT419" s="16"/>
      <c r="HU419" s="16"/>
      <c r="HV419" s="17"/>
      <c r="HZ419" s="24"/>
      <c r="IA419" s="60"/>
      <c r="IB419" s="16"/>
      <c r="IC419" s="16"/>
      <c r="ID419" s="16"/>
      <c r="IE419" s="16"/>
      <c r="IF419" s="16"/>
      <c r="IG419" s="17"/>
      <c r="IK419" s="24"/>
      <c r="IL419" s="60"/>
      <c r="IM419" s="16"/>
      <c r="IN419" s="16"/>
      <c r="IO419" s="16"/>
      <c r="IP419" s="16"/>
      <c r="IQ419" s="16"/>
      <c r="IR419" s="17"/>
      <c r="IV419" s="24"/>
      <c r="IW419" s="60"/>
      <c r="IX419" s="16"/>
      <c r="IY419" s="16"/>
      <c r="IZ419" s="16"/>
      <c r="JA419" s="16"/>
      <c r="JB419" s="16"/>
      <c r="JC419" s="17"/>
      <c r="JG419" s="24"/>
      <c r="JH419" s="60"/>
      <c r="JI419" s="16"/>
      <c r="JJ419" s="16"/>
      <c r="JK419" s="16"/>
      <c r="JL419" s="16"/>
      <c r="JM419" s="16"/>
      <c r="JN419" s="17"/>
      <c r="JR419" s="24"/>
      <c r="JS419" s="60"/>
      <c r="JT419" s="16"/>
      <c r="JU419" s="16"/>
      <c r="JV419" s="16"/>
      <c r="JW419" s="16"/>
      <c r="JX419" s="16"/>
      <c r="JY419" s="17"/>
      <c r="KC419" s="24"/>
      <c r="KD419" s="60"/>
      <c r="KE419" s="16"/>
      <c r="KF419" s="16"/>
      <c r="KG419" s="16"/>
      <c r="KH419" s="16"/>
      <c r="KI419" s="16"/>
      <c r="KJ419" s="17"/>
      <c r="KN419" s="24"/>
      <c r="KO419" s="60"/>
      <c r="KP419" s="16"/>
      <c r="KQ419" s="16"/>
      <c r="KR419" s="16"/>
      <c r="KS419" s="16"/>
      <c r="KT419" s="16"/>
      <c r="KU419" s="17"/>
      <c r="KY419" s="24"/>
      <c r="KZ419" s="60"/>
      <c r="LA419" s="16"/>
      <c r="LB419" s="16"/>
      <c r="LC419" s="16"/>
      <c r="LD419" s="16"/>
      <c r="LE419" s="16"/>
      <c r="LF419" s="17"/>
      <c r="LJ419" s="24"/>
      <c r="LK419" s="60"/>
      <c r="LL419" s="16"/>
      <c r="LM419" s="16"/>
      <c r="LN419" s="16"/>
      <c r="LO419" s="16"/>
      <c r="LP419" s="16"/>
      <c r="LQ419" s="17"/>
    </row>
    <row r="420">
      <c r="C420" s="31"/>
      <c r="D420" s="61"/>
      <c r="E420" s="16"/>
      <c r="F420" s="16"/>
      <c r="G420" s="21"/>
      <c r="H420" s="16"/>
      <c r="I420" s="16"/>
      <c r="J420" s="17"/>
      <c r="N420" s="17"/>
      <c r="O420" s="61"/>
      <c r="P420" s="16"/>
      <c r="Q420" s="16"/>
      <c r="R420" s="16"/>
      <c r="S420" s="16"/>
      <c r="T420" s="16"/>
      <c r="U420" s="17"/>
      <c r="Y420" s="24"/>
      <c r="Z420" s="61"/>
      <c r="AA420" s="16"/>
      <c r="AB420" s="16"/>
      <c r="AC420" s="16"/>
      <c r="AD420" s="16"/>
      <c r="AE420" s="16"/>
      <c r="AF420" s="17"/>
      <c r="AJ420" s="24"/>
      <c r="AK420" s="61"/>
      <c r="AL420" s="16"/>
      <c r="AM420" s="16"/>
      <c r="AN420" s="16"/>
      <c r="AO420" s="16"/>
      <c r="AP420" s="16"/>
      <c r="AQ420" s="17"/>
      <c r="AU420" s="24"/>
      <c r="AV420" s="61"/>
      <c r="AW420" s="16"/>
      <c r="AX420" s="16"/>
      <c r="AY420" s="16"/>
      <c r="AZ420" s="16"/>
      <c r="BA420" s="16"/>
      <c r="BB420" s="17"/>
      <c r="BF420" s="24"/>
      <c r="BG420" s="61"/>
      <c r="BH420" s="16"/>
      <c r="BI420" s="16"/>
      <c r="BJ420" s="16"/>
      <c r="BK420" s="16"/>
      <c r="BL420" s="16"/>
      <c r="BM420" s="17"/>
      <c r="BQ420" s="24"/>
      <c r="BR420" s="61"/>
      <c r="BS420" s="16"/>
      <c r="BT420" s="16"/>
      <c r="BU420" s="16"/>
      <c r="BV420" s="16"/>
      <c r="BW420" s="16"/>
      <c r="BX420" s="17"/>
      <c r="CB420" s="24"/>
      <c r="CC420" s="61"/>
      <c r="CD420" s="16"/>
      <c r="CE420" s="16"/>
      <c r="CF420" s="16"/>
      <c r="CG420" s="16"/>
      <c r="CH420" s="16"/>
      <c r="CI420" s="17"/>
      <c r="CM420" s="24"/>
      <c r="CN420" s="61"/>
      <c r="CO420" s="16"/>
      <c r="CP420" s="16"/>
      <c r="CQ420" s="16"/>
      <c r="CR420" s="16"/>
      <c r="CS420" s="16"/>
      <c r="CT420" s="17"/>
      <c r="CX420" s="24"/>
      <c r="CY420" s="60"/>
      <c r="CZ420" s="16"/>
      <c r="DA420" s="16"/>
      <c r="DB420" s="16"/>
      <c r="DC420" s="16"/>
      <c r="DD420" s="16"/>
      <c r="DE420" s="17"/>
      <c r="DI420" s="24"/>
      <c r="DJ420" s="60"/>
      <c r="DK420" s="16"/>
      <c r="DL420" s="16"/>
      <c r="DM420" s="16"/>
      <c r="DN420" s="16"/>
      <c r="DO420" s="16"/>
      <c r="DP420" s="17"/>
      <c r="DT420" s="24"/>
      <c r="DU420" s="60"/>
      <c r="DV420" s="16"/>
      <c r="DW420" s="16"/>
      <c r="DX420" s="16"/>
      <c r="DY420" s="16"/>
      <c r="DZ420" s="16"/>
      <c r="EA420" s="17"/>
      <c r="EE420" s="24"/>
      <c r="EF420" s="60"/>
      <c r="EG420" s="16"/>
      <c r="EH420" s="16"/>
      <c r="EI420" s="16"/>
      <c r="EJ420" s="16"/>
      <c r="EK420" s="16"/>
      <c r="EL420" s="17"/>
      <c r="EP420" s="24"/>
      <c r="EQ420" s="60"/>
      <c r="ER420" s="16"/>
      <c r="ES420" s="16"/>
      <c r="ET420" s="16"/>
      <c r="EU420" s="16"/>
      <c r="EV420" s="16"/>
      <c r="EW420" s="17"/>
      <c r="FA420" s="24"/>
      <c r="FB420" s="60"/>
      <c r="FC420" s="16"/>
      <c r="FD420" s="16"/>
      <c r="FE420" s="16"/>
      <c r="FF420" s="16"/>
      <c r="FG420" s="16"/>
      <c r="FH420" s="17"/>
      <c r="FL420" s="24"/>
      <c r="FM420" s="60"/>
      <c r="FN420" s="16"/>
      <c r="FO420" s="16"/>
      <c r="FP420" s="16"/>
      <c r="FQ420" s="16"/>
      <c r="FR420" s="16"/>
      <c r="FS420" s="17"/>
      <c r="FW420" s="24"/>
      <c r="FX420" s="60"/>
      <c r="FY420" s="16"/>
      <c r="FZ420" s="16"/>
      <c r="GA420" s="16"/>
      <c r="GB420" s="16"/>
      <c r="GC420" s="16"/>
      <c r="GD420" s="17"/>
      <c r="GH420" s="24"/>
      <c r="GI420" s="60"/>
      <c r="GJ420" s="16"/>
      <c r="GK420" s="16"/>
      <c r="GL420" s="16"/>
      <c r="GM420" s="16"/>
      <c r="GN420" s="16"/>
      <c r="GO420" s="17"/>
      <c r="GS420" s="24"/>
      <c r="GT420" s="60"/>
      <c r="GU420" s="16"/>
      <c r="GV420" s="16"/>
      <c r="GW420" s="16"/>
      <c r="GX420" s="16"/>
      <c r="GY420" s="16"/>
      <c r="GZ420" s="17"/>
      <c r="HD420" s="24"/>
      <c r="HE420" s="60"/>
      <c r="HF420" s="16"/>
      <c r="HG420" s="16"/>
      <c r="HH420" s="16"/>
      <c r="HI420" s="16"/>
      <c r="HJ420" s="16"/>
      <c r="HK420" s="17"/>
      <c r="HO420" s="24"/>
      <c r="HP420" s="60"/>
      <c r="HQ420" s="16"/>
      <c r="HR420" s="16"/>
      <c r="HS420" s="16"/>
      <c r="HT420" s="16"/>
      <c r="HU420" s="16"/>
      <c r="HV420" s="17"/>
      <c r="HZ420" s="24"/>
      <c r="IA420" s="60"/>
      <c r="IB420" s="16"/>
      <c r="IC420" s="16"/>
      <c r="ID420" s="16"/>
      <c r="IE420" s="16"/>
      <c r="IF420" s="16"/>
      <c r="IG420" s="17"/>
      <c r="IK420" s="24"/>
      <c r="IL420" s="60"/>
      <c r="IM420" s="16"/>
      <c r="IN420" s="16"/>
      <c r="IO420" s="16"/>
      <c r="IP420" s="16"/>
      <c r="IQ420" s="16"/>
      <c r="IR420" s="17"/>
      <c r="IV420" s="24"/>
      <c r="IW420" s="60"/>
      <c r="IX420" s="16"/>
      <c r="IY420" s="16"/>
      <c r="IZ420" s="16"/>
      <c r="JA420" s="16"/>
      <c r="JB420" s="16"/>
      <c r="JC420" s="17"/>
      <c r="JG420" s="24"/>
      <c r="JH420" s="60"/>
      <c r="JI420" s="16"/>
      <c r="JJ420" s="16"/>
      <c r="JK420" s="16"/>
      <c r="JL420" s="16"/>
      <c r="JM420" s="16"/>
      <c r="JN420" s="17"/>
      <c r="JR420" s="24"/>
      <c r="JS420" s="60"/>
      <c r="JT420" s="16"/>
      <c r="JU420" s="16"/>
      <c r="JV420" s="16"/>
      <c r="JW420" s="16"/>
      <c r="JX420" s="16"/>
      <c r="JY420" s="17"/>
      <c r="KC420" s="24"/>
      <c r="KD420" s="60"/>
      <c r="KE420" s="16"/>
      <c r="KF420" s="16"/>
      <c r="KG420" s="16"/>
      <c r="KH420" s="16"/>
      <c r="KI420" s="16"/>
      <c r="KJ420" s="17"/>
      <c r="KN420" s="24"/>
      <c r="KO420" s="60"/>
      <c r="KP420" s="16"/>
      <c r="KQ420" s="16"/>
      <c r="KR420" s="16"/>
      <c r="KS420" s="16"/>
      <c r="KT420" s="16"/>
      <c r="KU420" s="17"/>
      <c r="KY420" s="24"/>
      <c r="KZ420" s="60"/>
      <c r="LA420" s="16"/>
      <c r="LB420" s="16"/>
      <c r="LC420" s="16"/>
      <c r="LD420" s="16"/>
      <c r="LE420" s="16"/>
      <c r="LF420" s="17"/>
      <c r="LJ420" s="24"/>
      <c r="LK420" s="60"/>
      <c r="LL420" s="16"/>
      <c r="LM420" s="16"/>
      <c r="LN420" s="16"/>
      <c r="LO420" s="16"/>
      <c r="LP420" s="16"/>
      <c r="LQ420" s="17"/>
    </row>
    <row r="421">
      <c r="C421" s="31"/>
      <c r="D421" s="61"/>
      <c r="E421" s="16"/>
      <c r="F421" s="16"/>
      <c r="G421" s="21"/>
      <c r="H421" s="16"/>
      <c r="I421" s="16"/>
      <c r="J421" s="17"/>
      <c r="N421" s="17"/>
      <c r="O421" s="61"/>
      <c r="P421" s="16"/>
      <c r="Q421" s="16"/>
      <c r="R421" s="16"/>
      <c r="S421" s="16"/>
      <c r="T421" s="16"/>
      <c r="U421" s="17"/>
      <c r="Y421" s="24"/>
      <c r="Z421" s="61"/>
      <c r="AA421" s="16"/>
      <c r="AB421" s="16"/>
      <c r="AC421" s="16"/>
      <c r="AD421" s="16"/>
      <c r="AE421" s="16"/>
      <c r="AF421" s="17"/>
      <c r="AJ421" s="24"/>
      <c r="AK421" s="61"/>
      <c r="AL421" s="16"/>
      <c r="AM421" s="16"/>
      <c r="AN421" s="16"/>
      <c r="AO421" s="16"/>
      <c r="AP421" s="16"/>
      <c r="AQ421" s="17"/>
      <c r="AU421" s="24"/>
      <c r="AV421" s="61"/>
      <c r="AW421" s="16"/>
      <c r="AX421" s="16"/>
      <c r="AY421" s="16"/>
      <c r="AZ421" s="16"/>
      <c r="BA421" s="16"/>
      <c r="BB421" s="17"/>
      <c r="BF421" s="24"/>
      <c r="BG421" s="61"/>
      <c r="BH421" s="16"/>
      <c r="BI421" s="16"/>
      <c r="BJ421" s="16"/>
      <c r="BK421" s="16"/>
      <c r="BL421" s="16"/>
      <c r="BM421" s="17"/>
      <c r="BQ421" s="24"/>
      <c r="BR421" s="61"/>
      <c r="BS421" s="16"/>
      <c r="BT421" s="16"/>
      <c r="BU421" s="16"/>
      <c r="BV421" s="16"/>
      <c r="BW421" s="16"/>
      <c r="BX421" s="17"/>
      <c r="CB421" s="24"/>
      <c r="CC421" s="61"/>
      <c r="CD421" s="16"/>
      <c r="CE421" s="16"/>
      <c r="CF421" s="16"/>
      <c r="CG421" s="16"/>
      <c r="CH421" s="16"/>
      <c r="CI421" s="17"/>
      <c r="CM421" s="24"/>
      <c r="CN421" s="61"/>
      <c r="CO421" s="16"/>
      <c r="CP421" s="16"/>
      <c r="CQ421" s="16"/>
      <c r="CR421" s="16"/>
      <c r="CS421" s="16"/>
      <c r="CT421" s="17"/>
      <c r="CX421" s="24"/>
      <c r="CY421" s="60"/>
      <c r="CZ421" s="16"/>
      <c r="DA421" s="16"/>
      <c r="DB421" s="16"/>
      <c r="DC421" s="16"/>
      <c r="DD421" s="16"/>
      <c r="DE421" s="17"/>
      <c r="DI421" s="24"/>
      <c r="DJ421" s="60"/>
      <c r="DK421" s="16"/>
      <c r="DL421" s="16"/>
      <c r="DM421" s="16"/>
      <c r="DN421" s="16"/>
      <c r="DO421" s="16"/>
      <c r="DP421" s="17"/>
      <c r="DT421" s="24"/>
      <c r="DU421" s="60"/>
      <c r="DV421" s="16"/>
      <c r="DW421" s="16"/>
      <c r="DX421" s="16"/>
      <c r="DY421" s="16"/>
      <c r="DZ421" s="16"/>
      <c r="EA421" s="17"/>
      <c r="EE421" s="24"/>
      <c r="EF421" s="60"/>
      <c r="EG421" s="16"/>
      <c r="EH421" s="16"/>
      <c r="EI421" s="16"/>
      <c r="EJ421" s="16"/>
      <c r="EK421" s="16"/>
      <c r="EL421" s="17"/>
      <c r="EP421" s="24"/>
      <c r="EQ421" s="60"/>
      <c r="ER421" s="16"/>
      <c r="ES421" s="16"/>
      <c r="ET421" s="16"/>
      <c r="EU421" s="16"/>
      <c r="EV421" s="16"/>
      <c r="EW421" s="17"/>
      <c r="FA421" s="24"/>
      <c r="FB421" s="60"/>
      <c r="FC421" s="16"/>
      <c r="FD421" s="16"/>
      <c r="FE421" s="16"/>
      <c r="FF421" s="16"/>
      <c r="FG421" s="16"/>
      <c r="FH421" s="17"/>
      <c r="FL421" s="24"/>
      <c r="FM421" s="60"/>
      <c r="FN421" s="16"/>
      <c r="FO421" s="16"/>
      <c r="FP421" s="16"/>
      <c r="FQ421" s="16"/>
      <c r="FR421" s="16"/>
      <c r="FS421" s="17"/>
      <c r="FW421" s="24"/>
      <c r="FX421" s="60"/>
      <c r="FY421" s="16"/>
      <c r="FZ421" s="16"/>
      <c r="GA421" s="16"/>
      <c r="GB421" s="16"/>
      <c r="GC421" s="16"/>
      <c r="GD421" s="17"/>
      <c r="GH421" s="24"/>
      <c r="GI421" s="60"/>
      <c r="GJ421" s="16"/>
      <c r="GK421" s="16"/>
      <c r="GL421" s="16"/>
      <c r="GM421" s="16"/>
      <c r="GN421" s="16"/>
      <c r="GO421" s="17"/>
      <c r="GS421" s="24"/>
      <c r="GT421" s="60"/>
      <c r="GU421" s="16"/>
      <c r="GV421" s="16"/>
      <c r="GW421" s="16"/>
      <c r="GX421" s="16"/>
      <c r="GY421" s="16"/>
      <c r="GZ421" s="17"/>
      <c r="HD421" s="24"/>
      <c r="HE421" s="60"/>
      <c r="HF421" s="16"/>
      <c r="HG421" s="16"/>
      <c r="HH421" s="16"/>
      <c r="HI421" s="16"/>
      <c r="HJ421" s="16"/>
      <c r="HK421" s="17"/>
      <c r="HO421" s="24"/>
      <c r="HP421" s="60"/>
      <c r="HQ421" s="16"/>
      <c r="HR421" s="16"/>
      <c r="HS421" s="16"/>
      <c r="HT421" s="16"/>
      <c r="HU421" s="16"/>
      <c r="HV421" s="17"/>
      <c r="HZ421" s="24"/>
      <c r="IA421" s="60"/>
      <c r="IB421" s="16"/>
      <c r="IC421" s="16"/>
      <c r="ID421" s="16"/>
      <c r="IE421" s="16"/>
      <c r="IF421" s="16"/>
      <c r="IG421" s="17"/>
      <c r="IK421" s="24"/>
      <c r="IL421" s="60"/>
      <c r="IM421" s="16"/>
      <c r="IN421" s="16"/>
      <c r="IO421" s="16"/>
      <c r="IP421" s="16"/>
      <c r="IQ421" s="16"/>
      <c r="IR421" s="17"/>
      <c r="IV421" s="24"/>
      <c r="IW421" s="60"/>
      <c r="IX421" s="16"/>
      <c r="IY421" s="16"/>
      <c r="IZ421" s="16"/>
      <c r="JA421" s="16"/>
      <c r="JB421" s="16"/>
      <c r="JC421" s="17"/>
      <c r="JG421" s="24"/>
      <c r="JH421" s="60"/>
      <c r="JI421" s="16"/>
      <c r="JJ421" s="16"/>
      <c r="JK421" s="16"/>
      <c r="JL421" s="16"/>
      <c r="JM421" s="16"/>
      <c r="JN421" s="17"/>
      <c r="JR421" s="24"/>
      <c r="JS421" s="60"/>
      <c r="JT421" s="16"/>
      <c r="JU421" s="16"/>
      <c r="JV421" s="16"/>
      <c r="JW421" s="16"/>
      <c r="JX421" s="16"/>
      <c r="JY421" s="17"/>
      <c r="KC421" s="24"/>
      <c r="KD421" s="60"/>
      <c r="KE421" s="16"/>
      <c r="KF421" s="16"/>
      <c r="KG421" s="16"/>
      <c r="KH421" s="16"/>
      <c r="KI421" s="16"/>
      <c r="KJ421" s="17"/>
      <c r="KN421" s="24"/>
      <c r="KO421" s="60"/>
      <c r="KP421" s="16"/>
      <c r="KQ421" s="16"/>
      <c r="KR421" s="16"/>
      <c r="KS421" s="16"/>
      <c r="KT421" s="16"/>
      <c r="KU421" s="17"/>
      <c r="KY421" s="24"/>
      <c r="KZ421" s="60"/>
      <c r="LA421" s="16"/>
      <c r="LB421" s="16"/>
      <c r="LC421" s="16"/>
      <c r="LD421" s="16"/>
      <c r="LE421" s="16"/>
      <c r="LF421" s="17"/>
      <c r="LJ421" s="24"/>
      <c r="LK421" s="60"/>
      <c r="LL421" s="16"/>
      <c r="LM421" s="16"/>
      <c r="LN421" s="16"/>
      <c r="LO421" s="16"/>
      <c r="LP421" s="16"/>
      <c r="LQ421" s="17"/>
    </row>
    <row r="422">
      <c r="C422" s="31"/>
      <c r="D422" s="61"/>
      <c r="E422" s="16"/>
      <c r="F422" s="16"/>
      <c r="G422" s="21"/>
      <c r="H422" s="16"/>
      <c r="I422" s="16"/>
      <c r="J422" s="17"/>
      <c r="N422" s="17"/>
      <c r="O422" s="61"/>
      <c r="P422" s="16"/>
      <c r="Q422" s="16"/>
      <c r="R422" s="16"/>
      <c r="S422" s="16"/>
      <c r="T422" s="16"/>
      <c r="U422" s="17"/>
      <c r="Y422" s="24"/>
      <c r="Z422" s="61"/>
      <c r="AA422" s="16"/>
      <c r="AB422" s="16"/>
      <c r="AC422" s="16"/>
      <c r="AD422" s="16"/>
      <c r="AE422" s="16"/>
      <c r="AF422" s="17"/>
      <c r="AJ422" s="24"/>
      <c r="AK422" s="61"/>
      <c r="AL422" s="16"/>
      <c r="AM422" s="16"/>
      <c r="AN422" s="16"/>
      <c r="AO422" s="16"/>
      <c r="AP422" s="16"/>
      <c r="AQ422" s="17"/>
      <c r="AU422" s="24"/>
      <c r="AV422" s="61"/>
      <c r="AW422" s="16"/>
      <c r="AX422" s="16"/>
      <c r="AY422" s="16"/>
      <c r="AZ422" s="16"/>
      <c r="BA422" s="16"/>
      <c r="BB422" s="17"/>
      <c r="BF422" s="24"/>
      <c r="BG422" s="61"/>
      <c r="BH422" s="16"/>
      <c r="BI422" s="16"/>
      <c r="BJ422" s="16"/>
      <c r="BK422" s="16"/>
      <c r="BL422" s="16"/>
      <c r="BM422" s="17"/>
      <c r="BQ422" s="24"/>
      <c r="BR422" s="61"/>
      <c r="BS422" s="16"/>
      <c r="BT422" s="16"/>
      <c r="BU422" s="16"/>
      <c r="BV422" s="16"/>
      <c r="BW422" s="16"/>
      <c r="BX422" s="17"/>
      <c r="CB422" s="24"/>
      <c r="CC422" s="61"/>
      <c r="CD422" s="16"/>
      <c r="CE422" s="16"/>
      <c r="CF422" s="16"/>
      <c r="CG422" s="16"/>
      <c r="CH422" s="16"/>
      <c r="CI422" s="17"/>
      <c r="CM422" s="24"/>
      <c r="CN422" s="61"/>
      <c r="CO422" s="16"/>
      <c r="CP422" s="16"/>
      <c r="CQ422" s="16"/>
      <c r="CR422" s="16"/>
      <c r="CS422" s="16"/>
      <c r="CT422" s="17"/>
      <c r="CX422" s="24"/>
      <c r="CY422" s="60"/>
      <c r="CZ422" s="16"/>
      <c r="DA422" s="16"/>
      <c r="DB422" s="16"/>
      <c r="DC422" s="16"/>
      <c r="DD422" s="16"/>
      <c r="DE422" s="17"/>
      <c r="DI422" s="24"/>
      <c r="DJ422" s="60"/>
      <c r="DK422" s="16"/>
      <c r="DL422" s="16"/>
      <c r="DM422" s="16"/>
      <c r="DN422" s="16"/>
      <c r="DO422" s="16"/>
      <c r="DP422" s="17"/>
      <c r="DT422" s="24"/>
      <c r="DU422" s="60"/>
      <c r="DV422" s="16"/>
      <c r="DW422" s="16"/>
      <c r="DX422" s="16"/>
      <c r="DY422" s="16"/>
      <c r="DZ422" s="16"/>
      <c r="EA422" s="17"/>
      <c r="EE422" s="24"/>
      <c r="EF422" s="60"/>
      <c r="EG422" s="16"/>
      <c r="EH422" s="16"/>
      <c r="EI422" s="16"/>
      <c r="EJ422" s="16"/>
      <c r="EK422" s="16"/>
      <c r="EL422" s="17"/>
      <c r="EP422" s="24"/>
      <c r="EQ422" s="60"/>
      <c r="ER422" s="16"/>
      <c r="ES422" s="16"/>
      <c r="ET422" s="16"/>
      <c r="EU422" s="16"/>
      <c r="EV422" s="16"/>
      <c r="EW422" s="17"/>
      <c r="FA422" s="24"/>
      <c r="FB422" s="60"/>
      <c r="FC422" s="16"/>
      <c r="FD422" s="16"/>
      <c r="FE422" s="16"/>
      <c r="FF422" s="16"/>
      <c r="FG422" s="16"/>
      <c r="FH422" s="17"/>
      <c r="FL422" s="24"/>
      <c r="FM422" s="60"/>
      <c r="FN422" s="16"/>
      <c r="FO422" s="16"/>
      <c r="FP422" s="16"/>
      <c r="FQ422" s="16"/>
      <c r="FR422" s="16"/>
      <c r="FS422" s="17"/>
      <c r="FW422" s="24"/>
      <c r="FX422" s="60"/>
      <c r="FY422" s="16"/>
      <c r="FZ422" s="16"/>
      <c r="GA422" s="16"/>
      <c r="GB422" s="16"/>
      <c r="GC422" s="16"/>
      <c r="GD422" s="17"/>
      <c r="GH422" s="24"/>
      <c r="GI422" s="60"/>
      <c r="GJ422" s="16"/>
      <c r="GK422" s="16"/>
      <c r="GL422" s="16"/>
      <c r="GM422" s="16"/>
      <c r="GN422" s="16"/>
      <c r="GO422" s="17"/>
      <c r="GS422" s="24"/>
      <c r="GT422" s="60"/>
      <c r="GU422" s="16"/>
      <c r="GV422" s="16"/>
      <c r="GW422" s="16"/>
      <c r="GX422" s="16"/>
      <c r="GY422" s="16"/>
      <c r="GZ422" s="17"/>
      <c r="HD422" s="24"/>
      <c r="HE422" s="60"/>
      <c r="HF422" s="16"/>
      <c r="HG422" s="16"/>
      <c r="HH422" s="16"/>
      <c r="HI422" s="16"/>
      <c r="HJ422" s="16"/>
      <c r="HK422" s="17"/>
      <c r="HO422" s="24"/>
      <c r="HP422" s="60"/>
      <c r="HQ422" s="16"/>
      <c r="HR422" s="16"/>
      <c r="HS422" s="16"/>
      <c r="HT422" s="16"/>
      <c r="HU422" s="16"/>
      <c r="HV422" s="17"/>
      <c r="HZ422" s="24"/>
      <c r="IA422" s="60"/>
      <c r="IB422" s="16"/>
      <c r="IC422" s="16"/>
      <c r="ID422" s="16"/>
      <c r="IE422" s="16"/>
      <c r="IF422" s="16"/>
      <c r="IG422" s="17"/>
      <c r="IK422" s="24"/>
      <c r="IL422" s="60"/>
      <c r="IM422" s="16"/>
      <c r="IN422" s="16"/>
      <c r="IO422" s="16"/>
      <c r="IP422" s="16"/>
      <c r="IQ422" s="16"/>
      <c r="IR422" s="17"/>
      <c r="IV422" s="24"/>
      <c r="IW422" s="60"/>
      <c r="IX422" s="16"/>
      <c r="IY422" s="16"/>
      <c r="IZ422" s="16"/>
      <c r="JA422" s="16"/>
      <c r="JB422" s="16"/>
      <c r="JC422" s="17"/>
      <c r="JG422" s="24"/>
      <c r="JH422" s="60"/>
      <c r="JI422" s="16"/>
      <c r="JJ422" s="16"/>
      <c r="JK422" s="16"/>
      <c r="JL422" s="16"/>
      <c r="JM422" s="16"/>
      <c r="JN422" s="17"/>
      <c r="JR422" s="24"/>
      <c r="JS422" s="60"/>
      <c r="JT422" s="16"/>
      <c r="JU422" s="16"/>
      <c r="JV422" s="16"/>
      <c r="JW422" s="16"/>
      <c r="JX422" s="16"/>
      <c r="JY422" s="17"/>
      <c r="KC422" s="24"/>
      <c r="KD422" s="60"/>
      <c r="KE422" s="16"/>
      <c r="KF422" s="16"/>
      <c r="KG422" s="16"/>
      <c r="KH422" s="16"/>
      <c r="KI422" s="16"/>
      <c r="KJ422" s="17"/>
      <c r="KN422" s="24"/>
      <c r="KO422" s="60"/>
      <c r="KP422" s="16"/>
      <c r="KQ422" s="16"/>
      <c r="KR422" s="16"/>
      <c r="KS422" s="16"/>
      <c r="KT422" s="16"/>
      <c r="KU422" s="17"/>
      <c r="KY422" s="24"/>
      <c r="KZ422" s="60"/>
      <c r="LA422" s="16"/>
      <c r="LB422" s="16"/>
      <c r="LC422" s="16"/>
      <c r="LD422" s="16"/>
      <c r="LE422" s="16"/>
      <c r="LF422" s="17"/>
      <c r="LJ422" s="24"/>
      <c r="LK422" s="60"/>
      <c r="LL422" s="16"/>
      <c r="LM422" s="16"/>
      <c r="LN422" s="16"/>
      <c r="LO422" s="16"/>
      <c r="LP422" s="16"/>
      <c r="LQ422" s="17"/>
    </row>
    <row r="423">
      <c r="C423" s="31"/>
      <c r="D423" s="61"/>
      <c r="E423" s="16"/>
      <c r="F423" s="16"/>
      <c r="G423" s="21"/>
      <c r="H423" s="16"/>
      <c r="I423" s="16"/>
      <c r="J423" s="17"/>
      <c r="N423" s="17"/>
      <c r="O423" s="61"/>
      <c r="P423" s="16"/>
      <c r="Q423" s="16"/>
      <c r="R423" s="16"/>
      <c r="S423" s="16"/>
      <c r="T423" s="16"/>
      <c r="U423" s="17"/>
      <c r="Y423" s="24"/>
      <c r="Z423" s="61"/>
      <c r="AA423" s="16"/>
      <c r="AB423" s="16"/>
      <c r="AC423" s="16"/>
      <c r="AD423" s="16"/>
      <c r="AE423" s="16"/>
      <c r="AF423" s="17"/>
      <c r="AJ423" s="24"/>
      <c r="AK423" s="61"/>
      <c r="AL423" s="16"/>
      <c r="AM423" s="16"/>
      <c r="AN423" s="16"/>
      <c r="AO423" s="16"/>
      <c r="AP423" s="16"/>
      <c r="AQ423" s="17"/>
      <c r="AU423" s="24"/>
      <c r="AV423" s="61"/>
      <c r="AW423" s="16"/>
      <c r="AX423" s="16"/>
      <c r="AY423" s="16"/>
      <c r="AZ423" s="16"/>
      <c r="BA423" s="16"/>
      <c r="BB423" s="17"/>
      <c r="BF423" s="24"/>
      <c r="BG423" s="61"/>
      <c r="BH423" s="16"/>
      <c r="BI423" s="16"/>
      <c r="BJ423" s="16"/>
      <c r="BK423" s="16"/>
      <c r="BL423" s="16"/>
      <c r="BM423" s="17"/>
      <c r="BQ423" s="24"/>
      <c r="BR423" s="61"/>
      <c r="BS423" s="16"/>
      <c r="BT423" s="16"/>
      <c r="BU423" s="16"/>
      <c r="BV423" s="16"/>
      <c r="BW423" s="16"/>
      <c r="BX423" s="17"/>
      <c r="CB423" s="24"/>
      <c r="CC423" s="61"/>
      <c r="CD423" s="16"/>
      <c r="CE423" s="16"/>
      <c r="CF423" s="16"/>
      <c r="CG423" s="16"/>
      <c r="CH423" s="16"/>
      <c r="CI423" s="17"/>
      <c r="CM423" s="24"/>
      <c r="CN423" s="61"/>
      <c r="CO423" s="16"/>
      <c r="CP423" s="16"/>
      <c r="CQ423" s="16"/>
      <c r="CR423" s="16"/>
      <c r="CS423" s="16"/>
      <c r="CT423" s="17"/>
      <c r="CX423" s="24"/>
      <c r="CY423" s="60"/>
      <c r="CZ423" s="16"/>
      <c r="DA423" s="16"/>
      <c r="DB423" s="16"/>
      <c r="DC423" s="16"/>
      <c r="DD423" s="16"/>
      <c r="DE423" s="17"/>
      <c r="DI423" s="24"/>
      <c r="DJ423" s="60"/>
      <c r="DK423" s="16"/>
      <c r="DL423" s="16"/>
      <c r="DM423" s="16"/>
      <c r="DN423" s="16"/>
      <c r="DO423" s="16"/>
      <c r="DP423" s="17"/>
      <c r="DT423" s="24"/>
      <c r="DU423" s="60"/>
      <c r="DV423" s="16"/>
      <c r="DW423" s="16"/>
      <c r="DX423" s="16"/>
      <c r="DY423" s="16"/>
      <c r="DZ423" s="16"/>
      <c r="EA423" s="17"/>
      <c r="EE423" s="24"/>
      <c r="EF423" s="60"/>
      <c r="EG423" s="16"/>
      <c r="EH423" s="16"/>
      <c r="EI423" s="16"/>
      <c r="EJ423" s="16"/>
      <c r="EK423" s="16"/>
      <c r="EL423" s="17"/>
      <c r="EP423" s="24"/>
      <c r="EQ423" s="60"/>
      <c r="ER423" s="16"/>
      <c r="ES423" s="16"/>
      <c r="ET423" s="16"/>
      <c r="EU423" s="16"/>
      <c r="EV423" s="16"/>
      <c r="EW423" s="17"/>
      <c r="FA423" s="24"/>
      <c r="FB423" s="60"/>
      <c r="FC423" s="16"/>
      <c r="FD423" s="16"/>
      <c r="FE423" s="16"/>
      <c r="FF423" s="16"/>
      <c r="FG423" s="16"/>
      <c r="FH423" s="17"/>
      <c r="FL423" s="24"/>
      <c r="FM423" s="60"/>
      <c r="FN423" s="16"/>
      <c r="FO423" s="16"/>
      <c r="FP423" s="16"/>
      <c r="FQ423" s="16"/>
      <c r="FR423" s="16"/>
      <c r="FS423" s="17"/>
      <c r="FW423" s="24"/>
      <c r="FX423" s="60"/>
      <c r="FY423" s="16"/>
      <c r="FZ423" s="16"/>
      <c r="GA423" s="16"/>
      <c r="GB423" s="16"/>
      <c r="GC423" s="16"/>
      <c r="GD423" s="17"/>
      <c r="GH423" s="24"/>
      <c r="GI423" s="60"/>
      <c r="GJ423" s="16"/>
      <c r="GK423" s="16"/>
      <c r="GL423" s="16"/>
      <c r="GM423" s="16"/>
      <c r="GN423" s="16"/>
      <c r="GO423" s="17"/>
      <c r="GS423" s="24"/>
      <c r="GT423" s="60"/>
      <c r="GU423" s="16"/>
      <c r="GV423" s="16"/>
      <c r="GW423" s="16"/>
      <c r="GX423" s="16"/>
      <c r="GY423" s="16"/>
      <c r="GZ423" s="17"/>
      <c r="HD423" s="24"/>
      <c r="HE423" s="60"/>
      <c r="HF423" s="16"/>
      <c r="HG423" s="16"/>
      <c r="HH423" s="16"/>
      <c r="HI423" s="16"/>
      <c r="HJ423" s="16"/>
      <c r="HK423" s="17"/>
      <c r="HO423" s="24"/>
      <c r="HP423" s="60"/>
      <c r="HQ423" s="16"/>
      <c r="HR423" s="16"/>
      <c r="HS423" s="16"/>
      <c r="HT423" s="16"/>
      <c r="HU423" s="16"/>
      <c r="HV423" s="17"/>
      <c r="HZ423" s="24"/>
      <c r="IA423" s="60"/>
      <c r="IB423" s="16"/>
      <c r="IC423" s="16"/>
      <c r="ID423" s="16"/>
      <c r="IE423" s="16"/>
      <c r="IF423" s="16"/>
      <c r="IG423" s="17"/>
      <c r="IK423" s="24"/>
      <c r="IL423" s="60"/>
      <c r="IM423" s="16"/>
      <c r="IN423" s="16"/>
      <c r="IO423" s="16"/>
      <c r="IP423" s="16"/>
      <c r="IQ423" s="16"/>
      <c r="IR423" s="17"/>
      <c r="IV423" s="24"/>
      <c r="IW423" s="60"/>
      <c r="IX423" s="16"/>
      <c r="IY423" s="16"/>
      <c r="IZ423" s="16"/>
      <c r="JA423" s="16"/>
      <c r="JB423" s="16"/>
      <c r="JC423" s="17"/>
      <c r="JG423" s="24"/>
      <c r="JH423" s="60"/>
      <c r="JI423" s="16"/>
      <c r="JJ423" s="16"/>
      <c r="JK423" s="16"/>
      <c r="JL423" s="16"/>
      <c r="JM423" s="16"/>
      <c r="JN423" s="17"/>
      <c r="JR423" s="24"/>
      <c r="JS423" s="60"/>
      <c r="JT423" s="16"/>
      <c r="JU423" s="16"/>
      <c r="JV423" s="16"/>
      <c r="JW423" s="16"/>
      <c r="JX423" s="16"/>
      <c r="JY423" s="17"/>
      <c r="KC423" s="24"/>
      <c r="KD423" s="60"/>
      <c r="KE423" s="16"/>
      <c r="KF423" s="16"/>
      <c r="KG423" s="16"/>
      <c r="KH423" s="16"/>
      <c r="KI423" s="16"/>
      <c r="KJ423" s="17"/>
      <c r="KN423" s="24"/>
      <c r="KO423" s="60"/>
      <c r="KP423" s="16"/>
      <c r="KQ423" s="16"/>
      <c r="KR423" s="16"/>
      <c r="KS423" s="16"/>
      <c r="KT423" s="16"/>
      <c r="KU423" s="17"/>
      <c r="KY423" s="24"/>
      <c r="KZ423" s="60"/>
      <c r="LA423" s="16"/>
      <c r="LB423" s="16"/>
      <c r="LC423" s="16"/>
      <c r="LD423" s="16"/>
      <c r="LE423" s="16"/>
      <c r="LF423" s="17"/>
      <c r="LJ423" s="24"/>
      <c r="LK423" s="60"/>
      <c r="LL423" s="16"/>
      <c r="LM423" s="16"/>
      <c r="LN423" s="16"/>
      <c r="LO423" s="16"/>
      <c r="LP423" s="16"/>
      <c r="LQ423" s="17"/>
    </row>
    <row r="424">
      <c r="C424" s="31"/>
      <c r="D424" s="61"/>
      <c r="E424" s="16"/>
      <c r="F424" s="16"/>
      <c r="G424" s="21"/>
      <c r="H424" s="16"/>
      <c r="I424" s="16"/>
      <c r="J424" s="17"/>
      <c r="N424" s="17"/>
      <c r="O424" s="61"/>
      <c r="P424" s="16"/>
      <c r="Q424" s="16"/>
      <c r="R424" s="16"/>
      <c r="S424" s="16"/>
      <c r="T424" s="16"/>
      <c r="U424" s="17"/>
      <c r="Y424" s="24"/>
      <c r="Z424" s="61"/>
      <c r="AA424" s="16"/>
      <c r="AB424" s="16"/>
      <c r="AC424" s="16"/>
      <c r="AD424" s="16"/>
      <c r="AE424" s="16"/>
      <c r="AF424" s="17"/>
      <c r="AJ424" s="24"/>
      <c r="AK424" s="61"/>
      <c r="AL424" s="16"/>
      <c r="AM424" s="16"/>
      <c r="AN424" s="16"/>
      <c r="AO424" s="16"/>
      <c r="AP424" s="16"/>
      <c r="AQ424" s="17"/>
      <c r="AU424" s="24"/>
      <c r="AV424" s="61"/>
      <c r="AW424" s="16"/>
      <c r="AX424" s="16"/>
      <c r="AY424" s="16"/>
      <c r="AZ424" s="16"/>
      <c r="BA424" s="16"/>
      <c r="BB424" s="17"/>
      <c r="BF424" s="24"/>
      <c r="BG424" s="61"/>
      <c r="BH424" s="16"/>
      <c r="BI424" s="16"/>
      <c r="BJ424" s="16"/>
      <c r="BK424" s="16"/>
      <c r="BL424" s="16"/>
      <c r="BM424" s="17"/>
      <c r="BQ424" s="24"/>
      <c r="BR424" s="61"/>
      <c r="BS424" s="16"/>
      <c r="BT424" s="16"/>
      <c r="BU424" s="16"/>
      <c r="BV424" s="16"/>
      <c r="BW424" s="16"/>
      <c r="BX424" s="17"/>
      <c r="CB424" s="24"/>
      <c r="CC424" s="61"/>
      <c r="CD424" s="16"/>
      <c r="CE424" s="16"/>
      <c r="CF424" s="16"/>
      <c r="CG424" s="16"/>
      <c r="CH424" s="16"/>
      <c r="CI424" s="17"/>
      <c r="CM424" s="24"/>
      <c r="CN424" s="61"/>
      <c r="CO424" s="16"/>
      <c r="CP424" s="16"/>
      <c r="CQ424" s="16"/>
      <c r="CR424" s="16"/>
      <c r="CS424" s="16"/>
      <c r="CT424" s="17"/>
      <c r="CX424" s="24"/>
      <c r="CY424" s="60"/>
      <c r="CZ424" s="16"/>
      <c r="DA424" s="16"/>
      <c r="DB424" s="16"/>
      <c r="DC424" s="16"/>
      <c r="DD424" s="16"/>
      <c r="DE424" s="17"/>
      <c r="DI424" s="24"/>
      <c r="DJ424" s="60"/>
      <c r="DK424" s="16"/>
      <c r="DL424" s="16"/>
      <c r="DM424" s="16"/>
      <c r="DN424" s="16"/>
      <c r="DO424" s="16"/>
      <c r="DP424" s="17"/>
      <c r="DT424" s="24"/>
      <c r="DU424" s="60"/>
      <c r="DV424" s="16"/>
      <c r="DW424" s="16"/>
      <c r="DX424" s="16"/>
      <c r="DY424" s="16"/>
      <c r="DZ424" s="16"/>
      <c r="EA424" s="17"/>
      <c r="EE424" s="24"/>
      <c r="EF424" s="60"/>
      <c r="EG424" s="16"/>
      <c r="EH424" s="16"/>
      <c r="EI424" s="16"/>
      <c r="EJ424" s="16"/>
      <c r="EK424" s="16"/>
      <c r="EL424" s="17"/>
      <c r="EP424" s="24"/>
      <c r="EQ424" s="60"/>
      <c r="ER424" s="16"/>
      <c r="ES424" s="16"/>
      <c r="ET424" s="16"/>
      <c r="EU424" s="16"/>
      <c r="EV424" s="16"/>
      <c r="EW424" s="17"/>
      <c r="FA424" s="24"/>
      <c r="FB424" s="60"/>
      <c r="FC424" s="16"/>
      <c r="FD424" s="16"/>
      <c r="FE424" s="16"/>
      <c r="FF424" s="16"/>
      <c r="FG424" s="16"/>
      <c r="FH424" s="17"/>
      <c r="FL424" s="24"/>
      <c r="FM424" s="60"/>
      <c r="FN424" s="16"/>
      <c r="FO424" s="16"/>
      <c r="FP424" s="16"/>
      <c r="FQ424" s="16"/>
      <c r="FR424" s="16"/>
      <c r="FS424" s="17"/>
      <c r="FW424" s="24"/>
      <c r="FX424" s="60"/>
      <c r="FY424" s="16"/>
      <c r="FZ424" s="16"/>
      <c r="GA424" s="16"/>
      <c r="GB424" s="16"/>
      <c r="GC424" s="16"/>
      <c r="GD424" s="17"/>
      <c r="GH424" s="24"/>
      <c r="GI424" s="60"/>
      <c r="GJ424" s="16"/>
      <c r="GK424" s="16"/>
      <c r="GL424" s="16"/>
      <c r="GM424" s="16"/>
      <c r="GN424" s="16"/>
      <c r="GO424" s="17"/>
      <c r="GS424" s="24"/>
      <c r="GT424" s="60"/>
      <c r="GU424" s="16"/>
      <c r="GV424" s="16"/>
      <c r="GW424" s="16"/>
      <c r="GX424" s="16"/>
      <c r="GY424" s="16"/>
      <c r="GZ424" s="17"/>
      <c r="HD424" s="24"/>
      <c r="HE424" s="60"/>
      <c r="HF424" s="16"/>
      <c r="HG424" s="16"/>
      <c r="HH424" s="16"/>
      <c r="HI424" s="16"/>
      <c r="HJ424" s="16"/>
      <c r="HK424" s="17"/>
      <c r="HO424" s="24"/>
      <c r="HP424" s="60"/>
      <c r="HQ424" s="16"/>
      <c r="HR424" s="16"/>
      <c r="HS424" s="16"/>
      <c r="HT424" s="16"/>
      <c r="HU424" s="16"/>
      <c r="HV424" s="17"/>
      <c r="HZ424" s="24"/>
      <c r="IA424" s="60"/>
      <c r="IB424" s="16"/>
      <c r="IC424" s="16"/>
      <c r="ID424" s="16"/>
      <c r="IE424" s="16"/>
      <c r="IF424" s="16"/>
      <c r="IG424" s="17"/>
      <c r="IK424" s="24"/>
      <c r="IL424" s="60"/>
      <c r="IM424" s="16"/>
      <c r="IN424" s="16"/>
      <c r="IO424" s="16"/>
      <c r="IP424" s="16"/>
      <c r="IQ424" s="16"/>
      <c r="IR424" s="17"/>
      <c r="IV424" s="24"/>
      <c r="IW424" s="60"/>
      <c r="IX424" s="16"/>
      <c r="IY424" s="16"/>
      <c r="IZ424" s="16"/>
      <c r="JA424" s="16"/>
      <c r="JB424" s="16"/>
      <c r="JC424" s="17"/>
      <c r="JG424" s="24"/>
      <c r="JH424" s="60"/>
      <c r="JI424" s="16"/>
      <c r="JJ424" s="16"/>
      <c r="JK424" s="16"/>
      <c r="JL424" s="16"/>
      <c r="JM424" s="16"/>
      <c r="JN424" s="17"/>
      <c r="JR424" s="24"/>
      <c r="JS424" s="60"/>
      <c r="JT424" s="16"/>
      <c r="JU424" s="16"/>
      <c r="JV424" s="16"/>
      <c r="JW424" s="16"/>
      <c r="JX424" s="16"/>
      <c r="JY424" s="17"/>
      <c r="KC424" s="24"/>
      <c r="KD424" s="60"/>
      <c r="KE424" s="16"/>
      <c r="KF424" s="16"/>
      <c r="KG424" s="16"/>
      <c r="KH424" s="16"/>
      <c r="KI424" s="16"/>
      <c r="KJ424" s="17"/>
      <c r="KN424" s="24"/>
      <c r="KO424" s="60"/>
      <c r="KP424" s="16"/>
      <c r="KQ424" s="16"/>
      <c r="KR424" s="16"/>
      <c r="KS424" s="16"/>
      <c r="KT424" s="16"/>
      <c r="KU424" s="17"/>
      <c r="KY424" s="24"/>
      <c r="KZ424" s="60"/>
      <c r="LA424" s="16"/>
      <c r="LB424" s="16"/>
      <c r="LC424" s="16"/>
      <c r="LD424" s="16"/>
      <c r="LE424" s="16"/>
      <c r="LF424" s="17"/>
      <c r="LJ424" s="24"/>
      <c r="LK424" s="60"/>
      <c r="LL424" s="16"/>
      <c r="LM424" s="16"/>
      <c r="LN424" s="16"/>
      <c r="LO424" s="16"/>
      <c r="LP424" s="16"/>
      <c r="LQ424" s="17"/>
    </row>
    <row r="425">
      <c r="C425" s="31"/>
      <c r="D425" s="61"/>
      <c r="E425" s="16"/>
      <c r="F425" s="16"/>
      <c r="G425" s="21"/>
      <c r="H425" s="16"/>
      <c r="I425" s="16"/>
      <c r="J425" s="17"/>
      <c r="N425" s="17"/>
      <c r="O425" s="61"/>
      <c r="P425" s="16"/>
      <c r="Q425" s="16"/>
      <c r="R425" s="16"/>
      <c r="S425" s="16"/>
      <c r="T425" s="16"/>
      <c r="U425" s="17"/>
      <c r="Y425" s="24"/>
      <c r="Z425" s="61"/>
      <c r="AA425" s="16"/>
      <c r="AB425" s="16"/>
      <c r="AC425" s="16"/>
      <c r="AD425" s="16"/>
      <c r="AE425" s="16"/>
      <c r="AF425" s="17"/>
      <c r="AJ425" s="24"/>
      <c r="AK425" s="61"/>
      <c r="AL425" s="16"/>
      <c r="AM425" s="16"/>
      <c r="AN425" s="16"/>
      <c r="AO425" s="16"/>
      <c r="AP425" s="16"/>
      <c r="AQ425" s="17"/>
      <c r="AU425" s="24"/>
      <c r="AV425" s="61"/>
      <c r="AW425" s="16"/>
      <c r="AX425" s="16"/>
      <c r="AY425" s="16"/>
      <c r="AZ425" s="16"/>
      <c r="BA425" s="16"/>
      <c r="BB425" s="17"/>
      <c r="BF425" s="24"/>
      <c r="BG425" s="61"/>
      <c r="BH425" s="16"/>
      <c r="BI425" s="16"/>
      <c r="BJ425" s="16"/>
      <c r="BK425" s="16"/>
      <c r="BL425" s="16"/>
      <c r="BM425" s="17"/>
      <c r="BQ425" s="24"/>
      <c r="BR425" s="61"/>
      <c r="BS425" s="16"/>
      <c r="BT425" s="16"/>
      <c r="BU425" s="16"/>
      <c r="BV425" s="16"/>
      <c r="BW425" s="16"/>
      <c r="BX425" s="17"/>
      <c r="CB425" s="24"/>
      <c r="CC425" s="61"/>
      <c r="CD425" s="16"/>
      <c r="CE425" s="16"/>
      <c r="CF425" s="16"/>
      <c r="CG425" s="16"/>
      <c r="CH425" s="16"/>
      <c r="CI425" s="17"/>
      <c r="CM425" s="24"/>
      <c r="CN425" s="61"/>
      <c r="CO425" s="16"/>
      <c r="CP425" s="16"/>
      <c r="CQ425" s="16"/>
      <c r="CR425" s="16"/>
      <c r="CS425" s="16"/>
      <c r="CT425" s="17"/>
      <c r="CX425" s="24"/>
      <c r="CY425" s="60"/>
      <c r="CZ425" s="16"/>
      <c r="DA425" s="16"/>
      <c r="DB425" s="16"/>
      <c r="DC425" s="16"/>
      <c r="DD425" s="16"/>
      <c r="DE425" s="17"/>
      <c r="DI425" s="24"/>
      <c r="DJ425" s="60"/>
      <c r="DK425" s="16"/>
      <c r="DL425" s="16"/>
      <c r="DM425" s="16"/>
      <c r="DN425" s="16"/>
      <c r="DO425" s="16"/>
      <c r="DP425" s="17"/>
      <c r="DT425" s="24"/>
      <c r="DU425" s="60"/>
      <c r="DV425" s="16"/>
      <c r="DW425" s="16"/>
      <c r="DX425" s="16"/>
      <c r="DY425" s="16"/>
      <c r="DZ425" s="16"/>
      <c r="EA425" s="17"/>
      <c r="EE425" s="24"/>
      <c r="EF425" s="60"/>
      <c r="EG425" s="16"/>
      <c r="EH425" s="16"/>
      <c r="EI425" s="16"/>
      <c r="EJ425" s="16"/>
      <c r="EK425" s="16"/>
      <c r="EL425" s="17"/>
      <c r="EP425" s="24"/>
      <c r="EQ425" s="60"/>
      <c r="ER425" s="16"/>
      <c r="ES425" s="16"/>
      <c r="ET425" s="16"/>
      <c r="EU425" s="16"/>
      <c r="EV425" s="16"/>
      <c r="EW425" s="17"/>
      <c r="FA425" s="24"/>
      <c r="FB425" s="60"/>
      <c r="FC425" s="16"/>
      <c r="FD425" s="16"/>
      <c r="FE425" s="16"/>
      <c r="FF425" s="16"/>
      <c r="FG425" s="16"/>
      <c r="FH425" s="17"/>
      <c r="FL425" s="24"/>
      <c r="FM425" s="60"/>
      <c r="FN425" s="16"/>
      <c r="FO425" s="16"/>
      <c r="FP425" s="16"/>
      <c r="FQ425" s="16"/>
      <c r="FR425" s="16"/>
      <c r="FS425" s="17"/>
      <c r="FW425" s="24"/>
      <c r="FX425" s="60"/>
      <c r="FY425" s="16"/>
      <c r="FZ425" s="16"/>
      <c r="GA425" s="16"/>
      <c r="GB425" s="16"/>
      <c r="GC425" s="16"/>
      <c r="GD425" s="17"/>
      <c r="GH425" s="24"/>
      <c r="GI425" s="60"/>
      <c r="GJ425" s="16"/>
      <c r="GK425" s="16"/>
      <c r="GL425" s="16"/>
      <c r="GM425" s="16"/>
      <c r="GN425" s="16"/>
      <c r="GO425" s="17"/>
      <c r="GS425" s="24"/>
      <c r="GT425" s="60"/>
      <c r="GU425" s="16"/>
      <c r="GV425" s="16"/>
      <c r="GW425" s="16"/>
      <c r="GX425" s="16"/>
      <c r="GY425" s="16"/>
      <c r="GZ425" s="17"/>
      <c r="HD425" s="24"/>
      <c r="HE425" s="60"/>
      <c r="HF425" s="16"/>
      <c r="HG425" s="16"/>
      <c r="HH425" s="16"/>
      <c r="HI425" s="16"/>
      <c r="HJ425" s="16"/>
      <c r="HK425" s="17"/>
      <c r="HO425" s="24"/>
      <c r="HP425" s="60"/>
      <c r="HQ425" s="16"/>
      <c r="HR425" s="16"/>
      <c r="HS425" s="16"/>
      <c r="HT425" s="16"/>
      <c r="HU425" s="16"/>
      <c r="HV425" s="17"/>
      <c r="HZ425" s="24"/>
      <c r="IA425" s="60"/>
      <c r="IB425" s="16"/>
      <c r="IC425" s="16"/>
      <c r="ID425" s="16"/>
      <c r="IE425" s="16"/>
      <c r="IF425" s="16"/>
      <c r="IG425" s="17"/>
      <c r="IK425" s="24"/>
      <c r="IL425" s="60"/>
      <c r="IM425" s="16"/>
      <c r="IN425" s="16"/>
      <c r="IO425" s="16"/>
      <c r="IP425" s="16"/>
      <c r="IQ425" s="16"/>
      <c r="IR425" s="17"/>
      <c r="IV425" s="24"/>
      <c r="IW425" s="60"/>
      <c r="IX425" s="16"/>
      <c r="IY425" s="16"/>
      <c r="IZ425" s="16"/>
      <c r="JA425" s="16"/>
      <c r="JB425" s="16"/>
      <c r="JC425" s="17"/>
      <c r="JG425" s="24"/>
      <c r="JH425" s="60"/>
      <c r="JI425" s="16"/>
      <c r="JJ425" s="16"/>
      <c r="JK425" s="16"/>
      <c r="JL425" s="16"/>
      <c r="JM425" s="16"/>
      <c r="JN425" s="17"/>
      <c r="JR425" s="24"/>
      <c r="JS425" s="60"/>
      <c r="JT425" s="16"/>
      <c r="JU425" s="16"/>
      <c r="JV425" s="16"/>
      <c r="JW425" s="16"/>
      <c r="JX425" s="16"/>
      <c r="JY425" s="17"/>
      <c r="KC425" s="24"/>
      <c r="KD425" s="60"/>
      <c r="KE425" s="16"/>
      <c r="KF425" s="16"/>
      <c r="KG425" s="16"/>
      <c r="KH425" s="16"/>
      <c r="KI425" s="16"/>
      <c r="KJ425" s="17"/>
      <c r="KN425" s="24"/>
      <c r="KO425" s="60"/>
      <c r="KP425" s="16"/>
      <c r="KQ425" s="16"/>
      <c r="KR425" s="16"/>
      <c r="KS425" s="16"/>
      <c r="KT425" s="16"/>
      <c r="KU425" s="17"/>
      <c r="KY425" s="24"/>
      <c r="KZ425" s="60"/>
      <c r="LA425" s="16"/>
      <c r="LB425" s="16"/>
      <c r="LC425" s="16"/>
      <c r="LD425" s="16"/>
      <c r="LE425" s="16"/>
      <c r="LF425" s="17"/>
      <c r="LJ425" s="24"/>
      <c r="LK425" s="60"/>
      <c r="LL425" s="16"/>
      <c r="LM425" s="16"/>
      <c r="LN425" s="16"/>
      <c r="LO425" s="16"/>
      <c r="LP425" s="16"/>
      <c r="LQ425" s="17"/>
    </row>
    <row r="426">
      <c r="C426" s="31"/>
      <c r="D426" s="61"/>
      <c r="E426" s="16"/>
      <c r="F426" s="16"/>
      <c r="G426" s="21"/>
      <c r="H426" s="16"/>
      <c r="I426" s="16"/>
      <c r="J426" s="17"/>
      <c r="N426" s="17"/>
      <c r="O426" s="61"/>
      <c r="P426" s="16"/>
      <c r="Q426" s="16"/>
      <c r="R426" s="16"/>
      <c r="S426" s="16"/>
      <c r="T426" s="16"/>
      <c r="U426" s="17"/>
      <c r="Y426" s="24"/>
      <c r="Z426" s="61"/>
      <c r="AA426" s="16"/>
      <c r="AB426" s="16"/>
      <c r="AC426" s="16"/>
      <c r="AD426" s="16"/>
      <c r="AE426" s="16"/>
      <c r="AF426" s="17"/>
      <c r="AJ426" s="24"/>
      <c r="AK426" s="61"/>
      <c r="AL426" s="16"/>
      <c r="AM426" s="16"/>
      <c r="AN426" s="16"/>
      <c r="AO426" s="16"/>
      <c r="AP426" s="16"/>
      <c r="AQ426" s="17"/>
      <c r="AU426" s="24"/>
      <c r="AV426" s="61"/>
      <c r="AW426" s="16"/>
      <c r="AX426" s="16"/>
      <c r="AY426" s="16"/>
      <c r="AZ426" s="16"/>
      <c r="BA426" s="16"/>
      <c r="BB426" s="17"/>
      <c r="BF426" s="24"/>
      <c r="BG426" s="61"/>
      <c r="BH426" s="16"/>
      <c r="BI426" s="16"/>
      <c r="BJ426" s="16"/>
      <c r="BK426" s="16"/>
      <c r="BL426" s="16"/>
      <c r="BM426" s="17"/>
      <c r="BQ426" s="24"/>
      <c r="BR426" s="61"/>
      <c r="BS426" s="16"/>
      <c r="BT426" s="16"/>
      <c r="BU426" s="16"/>
      <c r="BV426" s="16"/>
      <c r="BW426" s="16"/>
      <c r="BX426" s="17"/>
      <c r="CB426" s="24"/>
      <c r="CC426" s="61"/>
      <c r="CD426" s="16"/>
      <c r="CE426" s="16"/>
      <c r="CF426" s="16"/>
      <c r="CG426" s="16"/>
      <c r="CH426" s="16"/>
      <c r="CI426" s="17"/>
      <c r="CM426" s="24"/>
      <c r="CN426" s="61"/>
      <c r="CO426" s="16"/>
      <c r="CP426" s="16"/>
      <c r="CQ426" s="16"/>
      <c r="CR426" s="16"/>
      <c r="CS426" s="16"/>
      <c r="CT426" s="17"/>
      <c r="CX426" s="24"/>
      <c r="CY426" s="60"/>
      <c r="CZ426" s="16"/>
      <c r="DA426" s="16"/>
      <c r="DB426" s="16"/>
      <c r="DC426" s="16"/>
      <c r="DD426" s="16"/>
      <c r="DE426" s="17"/>
      <c r="DI426" s="24"/>
      <c r="DJ426" s="60"/>
      <c r="DK426" s="16"/>
      <c r="DL426" s="16"/>
      <c r="DM426" s="16"/>
      <c r="DN426" s="16"/>
      <c r="DO426" s="16"/>
      <c r="DP426" s="17"/>
      <c r="DT426" s="24"/>
      <c r="DU426" s="60"/>
      <c r="DV426" s="16"/>
      <c r="DW426" s="16"/>
      <c r="DX426" s="16"/>
      <c r="DY426" s="16"/>
      <c r="DZ426" s="16"/>
      <c r="EA426" s="17"/>
      <c r="EE426" s="24"/>
      <c r="EF426" s="60"/>
      <c r="EG426" s="16"/>
      <c r="EH426" s="16"/>
      <c r="EI426" s="16"/>
      <c r="EJ426" s="16"/>
      <c r="EK426" s="16"/>
      <c r="EL426" s="17"/>
      <c r="EP426" s="24"/>
      <c r="EQ426" s="60"/>
      <c r="ER426" s="16"/>
      <c r="ES426" s="16"/>
      <c r="ET426" s="16"/>
      <c r="EU426" s="16"/>
      <c r="EV426" s="16"/>
      <c r="EW426" s="17"/>
      <c r="FA426" s="24"/>
      <c r="FB426" s="60"/>
      <c r="FC426" s="16"/>
      <c r="FD426" s="16"/>
      <c r="FE426" s="16"/>
      <c r="FF426" s="16"/>
      <c r="FG426" s="16"/>
      <c r="FH426" s="17"/>
      <c r="FL426" s="24"/>
      <c r="FM426" s="60"/>
      <c r="FN426" s="16"/>
      <c r="FO426" s="16"/>
      <c r="FP426" s="16"/>
      <c r="FQ426" s="16"/>
      <c r="FR426" s="16"/>
      <c r="FS426" s="17"/>
      <c r="FW426" s="24"/>
      <c r="FX426" s="60"/>
      <c r="FY426" s="16"/>
      <c r="FZ426" s="16"/>
      <c r="GA426" s="16"/>
      <c r="GB426" s="16"/>
      <c r="GC426" s="16"/>
      <c r="GD426" s="17"/>
      <c r="GH426" s="24"/>
      <c r="GI426" s="60"/>
      <c r="GJ426" s="16"/>
      <c r="GK426" s="16"/>
      <c r="GL426" s="16"/>
      <c r="GM426" s="16"/>
      <c r="GN426" s="16"/>
      <c r="GO426" s="17"/>
      <c r="GS426" s="24"/>
      <c r="GT426" s="60"/>
      <c r="GU426" s="16"/>
      <c r="GV426" s="16"/>
      <c r="GW426" s="16"/>
      <c r="GX426" s="16"/>
      <c r="GY426" s="16"/>
      <c r="GZ426" s="17"/>
      <c r="HD426" s="24"/>
      <c r="HE426" s="60"/>
      <c r="HF426" s="16"/>
      <c r="HG426" s="16"/>
      <c r="HH426" s="16"/>
      <c r="HI426" s="16"/>
      <c r="HJ426" s="16"/>
      <c r="HK426" s="17"/>
      <c r="HO426" s="24"/>
      <c r="HP426" s="60"/>
      <c r="HQ426" s="16"/>
      <c r="HR426" s="16"/>
      <c r="HS426" s="16"/>
      <c r="HT426" s="16"/>
      <c r="HU426" s="16"/>
      <c r="HV426" s="17"/>
      <c r="HZ426" s="24"/>
      <c r="IA426" s="60"/>
      <c r="IB426" s="16"/>
      <c r="IC426" s="16"/>
      <c r="ID426" s="16"/>
      <c r="IE426" s="16"/>
      <c r="IF426" s="16"/>
      <c r="IG426" s="17"/>
      <c r="IK426" s="24"/>
      <c r="IL426" s="60"/>
      <c r="IM426" s="16"/>
      <c r="IN426" s="16"/>
      <c r="IO426" s="16"/>
      <c r="IP426" s="16"/>
      <c r="IQ426" s="16"/>
      <c r="IR426" s="17"/>
      <c r="IV426" s="24"/>
      <c r="IW426" s="60"/>
      <c r="IX426" s="16"/>
      <c r="IY426" s="16"/>
      <c r="IZ426" s="16"/>
      <c r="JA426" s="16"/>
      <c r="JB426" s="16"/>
      <c r="JC426" s="17"/>
      <c r="JG426" s="24"/>
      <c r="JH426" s="60"/>
      <c r="JI426" s="16"/>
      <c r="JJ426" s="16"/>
      <c r="JK426" s="16"/>
      <c r="JL426" s="16"/>
      <c r="JM426" s="16"/>
      <c r="JN426" s="17"/>
      <c r="JR426" s="24"/>
      <c r="JS426" s="60"/>
      <c r="JT426" s="16"/>
      <c r="JU426" s="16"/>
      <c r="JV426" s="16"/>
      <c r="JW426" s="16"/>
      <c r="JX426" s="16"/>
      <c r="JY426" s="17"/>
      <c r="KC426" s="24"/>
      <c r="KD426" s="60"/>
      <c r="KE426" s="16"/>
      <c r="KF426" s="16"/>
      <c r="KG426" s="16"/>
      <c r="KH426" s="16"/>
      <c r="KI426" s="16"/>
      <c r="KJ426" s="17"/>
      <c r="KN426" s="24"/>
      <c r="KO426" s="60"/>
      <c r="KP426" s="16"/>
      <c r="KQ426" s="16"/>
      <c r="KR426" s="16"/>
      <c r="KS426" s="16"/>
      <c r="KT426" s="16"/>
      <c r="KU426" s="17"/>
      <c r="KY426" s="24"/>
      <c r="KZ426" s="60"/>
      <c r="LA426" s="16"/>
      <c r="LB426" s="16"/>
      <c r="LC426" s="16"/>
      <c r="LD426" s="16"/>
      <c r="LE426" s="16"/>
      <c r="LF426" s="17"/>
      <c r="LJ426" s="24"/>
      <c r="LK426" s="60"/>
      <c r="LL426" s="16"/>
      <c r="LM426" s="16"/>
      <c r="LN426" s="16"/>
      <c r="LO426" s="16"/>
      <c r="LP426" s="16"/>
      <c r="LQ426" s="17"/>
    </row>
    <row r="427">
      <c r="C427" s="31"/>
      <c r="D427" s="61"/>
      <c r="E427" s="16"/>
      <c r="F427" s="16"/>
      <c r="G427" s="21"/>
      <c r="H427" s="16"/>
      <c r="I427" s="16"/>
      <c r="J427" s="17"/>
      <c r="N427" s="17"/>
      <c r="O427" s="61"/>
      <c r="P427" s="16"/>
      <c r="Q427" s="16"/>
      <c r="R427" s="16"/>
      <c r="S427" s="16"/>
      <c r="T427" s="16"/>
      <c r="U427" s="17"/>
      <c r="Y427" s="24"/>
      <c r="Z427" s="61"/>
      <c r="AA427" s="16"/>
      <c r="AB427" s="16"/>
      <c r="AC427" s="16"/>
      <c r="AD427" s="16"/>
      <c r="AE427" s="16"/>
      <c r="AF427" s="17"/>
      <c r="AJ427" s="24"/>
      <c r="AK427" s="61"/>
      <c r="AL427" s="16"/>
      <c r="AM427" s="16"/>
      <c r="AN427" s="16"/>
      <c r="AO427" s="16"/>
      <c r="AP427" s="16"/>
      <c r="AQ427" s="17"/>
      <c r="AU427" s="24"/>
      <c r="AV427" s="61"/>
      <c r="AW427" s="16"/>
      <c r="AX427" s="16"/>
      <c r="AY427" s="16"/>
      <c r="AZ427" s="16"/>
      <c r="BA427" s="16"/>
      <c r="BB427" s="17"/>
      <c r="BF427" s="24"/>
      <c r="BG427" s="61"/>
      <c r="BH427" s="16"/>
      <c r="BI427" s="16"/>
      <c r="BJ427" s="16"/>
      <c r="BK427" s="16"/>
      <c r="BL427" s="16"/>
      <c r="BM427" s="17"/>
      <c r="BQ427" s="24"/>
      <c r="BR427" s="61"/>
      <c r="BS427" s="16"/>
      <c r="BT427" s="16"/>
      <c r="BU427" s="16"/>
      <c r="BV427" s="16"/>
      <c r="BW427" s="16"/>
      <c r="BX427" s="17"/>
      <c r="CB427" s="24"/>
      <c r="CC427" s="61"/>
      <c r="CD427" s="16"/>
      <c r="CE427" s="16"/>
      <c r="CF427" s="16"/>
      <c r="CG427" s="16"/>
      <c r="CH427" s="16"/>
      <c r="CI427" s="17"/>
      <c r="CM427" s="24"/>
      <c r="CN427" s="61"/>
      <c r="CO427" s="16"/>
      <c r="CP427" s="16"/>
      <c r="CQ427" s="16"/>
      <c r="CR427" s="16"/>
      <c r="CS427" s="16"/>
      <c r="CT427" s="17"/>
      <c r="CX427" s="24"/>
      <c r="CY427" s="60"/>
      <c r="CZ427" s="16"/>
      <c r="DA427" s="16"/>
      <c r="DB427" s="16"/>
      <c r="DC427" s="16"/>
      <c r="DD427" s="16"/>
      <c r="DE427" s="17"/>
      <c r="DI427" s="24"/>
      <c r="DJ427" s="60"/>
      <c r="DK427" s="16"/>
      <c r="DL427" s="16"/>
      <c r="DM427" s="16"/>
      <c r="DN427" s="16"/>
      <c r="DO427" s="16"/>
      <c r="DP427" s="17"/>
      <c r="DT427" s="24"/>
      <c r="DU427" s="60"/>
      <c r="DV427" s="16"/>
      <c r="DW427" s="16"/>
      <c r="DX427" s="16"/>
      <c r="DY427" s="16"/>
      <c r="DZ427" s="16"/>
      <c r="EA427" s="17"/>
      <c r="EE427" s="24"/>
      <c r="EF427" s="60"/>
      <c r="EG427" s="16"/>
      <c r="EH427" s="16"/>
      <c r="EI427" s="16"/>
      <c r="EJ427" s="16"/>
      <c r="EK427" s="16"/>
      <c r="EL427" s="17"/>
      <c r="EP427" s="24"/>
      <c r="EQ427" s="60"/>
      <c r="ER427" s="16"/>
      <c r="ES427" s="16"/>
      <c r="ET427" s="16"/>
      <c r="EU427" s="16"/>
      <c r="EV427" s="16"/>
      <c r="EW427" s="17"/>
      <c r="FA427" s="24"/>
      <c r="FB427" s="60"/>
      <c r="FC427" s="16"/>
      <c r="FD427" s="16"/>
      <c r="FE427" s="16"/>
      <c r="FF427" s="16"/>
      <c r="FG427" s="16"/>
      <c r="FH427" s="17"/>
      <c r="FL427" s="24"/>
      <c r="FM427" s="60"/>
      <c r="FN427" s="16"/>
      <c r="FO427" s="16"/>
      <c r="FP427" s="16"/>
      <c r="FQ427" s="16"/>
      <c r="FR427" s="16"/>
      <c r="FS427" s="17"/>
      <c r="FW427" s="24"/>
      <c r="FX427" s="60"/>
      <c r="FY427" s="16"/>
      <c r="FZ427" s="16"/>
      <c r="GA427" s="16"/>
      <c r="GB427" s="16"/>
      <c r="GC427" s="16"/>
      <c r="GD427" s="17"/>
      <c r="GH427" s="24"/>
      <c r="GI427" s="60"/>
      <c r="GJ427" s="16"/>
      <c r="GK427" s="16"/>
      <c r="GL427" s="16"/>
      <c r="GM427" s="16"/>
      <c r="GN427" s="16"/>
      <c r="GO427" s="17"/>
      <c r="GS427" s="24"/>
      <c r="GT427" s="60"/>
      <c r="GU427" s="16"/>
      <c r="GV427" s="16"/>
      <c r="GW427" s="16"/>
      <c r="GX427" s="16"/>
      <c r="GY427" s="16"/>
      <c r="GZ427" s="17"/>
      <c r="HD427" s="24"/>
      <c r="HE427" s="60"/>
      <c r="HF427" s="16"/>
      <c r="HG427" s="16"/>
      <c r="HH427" s="16"/>
      <c r="HI427" s="16"/>
      <c r="HJ427" s="16"/>
      <c r="HK427" s="17"/>
      <c r="HO427" s="24"/>
      <c r="HP427" s="60"/>
      <c r="HQ427" s="16"/>
      <c r="HR427" s="16"/>
      <c r="HS427" s="16"/>
      <c r="HT427" s="16"/>
      <c r="HU427" s="16"/>
      <c r="HV427" s="17"/>
      <c r="HZ427" s="24"/>
      <c r="IA427" s="60"/>
      <c r="IB427" s="16"/>
      <c r="IC427" s="16"/>
      <c r="ID427" s="16"/>
      <c r="IE427" s="16"/>
      <c r="IF427" s="16"/>
      <c r="IG427" s="17"/>
      <c r="IK427" s="24"/>
      <c r="IL427" s="60"/>
      <c r="IM427" s="16"/>
      <c r="IN427" s="16"/>
      <c r="IO427" s="16"/>
      <c r="IP427" s="16"/>
      <c r="IQ427" s="16"/>
      <c r="IR427" s="17"/>
      <c r="IV427" s="24"/>
      <c r="IW427" s="60"/>
      <c r="IX427" s="16"/>
      <c r="IY427" s="16"/>
      <c r="IZ427" s="16"/>
      <c r="JA427" s="16"/>
      <c r="JB427" s="16"/>
      <c r="JC427" s="17"/>
      <c r="JG427" s="24"/>
      <c r="JH427" s="60"/>
      <c r="JI427" s="16"/>
      <c r="JJ427" s="16"/>
      <c r="JK427" s="16"/>
      <c r="JL427" s="16"/>
      <c r="JM427" s="16"/>
      <c r="JN427" s="17"/>
      <c r="JR427" s="24"/>
      <c r="JS427" s="60"/>
      <c r="JT427" s="16"/>
      <c r="JU427" s="16"/>
      <c r="JV427" s="16"/>
      <c r="JW427" s="16"/>
      <c r="JX427" s="16"/>
      <c r="JY427" s="17"/>
      <c r="KC427" s="24"/>
      <c r="KD427" s="60"/>
      <c r="KE427" s="16"/>
      <c r="KF427" s="16"/>
      <c r="KG427" s="16"/>
      <c r="KH427" s="16"/>
      <c r="KI427" s="16"/>
      <c r="KJ427" s="17"/>
      <c r="KN427" s="24"/>
      <c r="KO427" s="60"/>
      <c r="KP427" s="16"/>
      <c r="KQ427" s="16"/>
      <c r="KR427" s="16"/>
      <c r="KS427" s="16"/>
      <c r="KT427" s="16"/>
      <c r="KU427" s="17"/>
      <c r="KY427" s="24"/>
      <c r="KZ427" s="60"/>
      <c r="LA427" s="16"/>
      <c r="LB427" s="16"/>
      <c r="LC427" s="16"/>
      <c r="LD427" s="16"/>
      <c r="LE427" s="16"/>
      <c r="LF427" s="17"/>
      <c r="LJ427" s="24"/>
      <c r="LK427" s="60"/>
      <c r="LL427" s="16"/>
      <c r="LM427" s="16"/>
      <c r="LN427" s="16"/>
      <c r="LO427" s="16"/>
      <c r="LP427" s="16"/>
      <c r="LQ427" s="17"/>
    </row>
    <row r="428">
      <c r="C428" s="31"/>
      <c r="D428" s="61"/>
      <c r="E428" s="16"/>
      <c r="F428" s="16"/>
      <c r="G428" s="21"/>
      <c r="H428" s="16"/>
      <c r="I428" s="16"/>
      <c r="J428" s="17"/>
      <c r="N428" s="17"/>
      <c r="O428" s="61"/>
      <c r="P428" s="16"/>
      <c r="Q428" s="16"/>
      <c r="R428" s="16"/>
      <c r="S428" s="16"/>
      <c r="T428" s="16"/>
      <c r="U428" s="17"/>
      <c r="Y428" s="24"/>
      <c r="Z428" s="61"/>
      <c r="AA428" s="16"/>
      <c r="AB428" s="16"/>
      <c r="AC428" s="16"/>
      <c r="AD428" s="16"/>
      <c r="AE428" s="16"/>
      <c r="AF428" s="17"/>
      <c r="AJ428" s="24"/>
      <c r="AK428" s="61"/>
      <c r="AL428" s="16"/>
      <c r="AM428" s="16"/>
      <c r="AN428" s="16"/>
      <c r="AO428" s="16"/>
      <c r="AP428" s="16"/>
      <c r="AQ428" s="17"/>
      <c r="AU428" s="24"/>
      <c r="AV428" s="61"/>
      <c r="AW428" s="16"/>
      <c r="AX428" s="16"/>
      <c r="AY428" s="16"/>
      <c r="AZ428" s="16"/>
      <c r="BA428" s="16"/>
      <c r="BB428" s="17"/>
      <c r="BF428" s="24"/>
      <c r="BG428" s="61"/>
      <c r="BH428" s="16"/>
      <c r="BI428" s="16"/>
      <c r="BJ428" s="16"/>
      <c r="BK428" s="16"/>
      <c r="BL428" s="16"/>
      <c r="BM428" s="17"/>
      <c r="BQ428" s="24"/>
      <c r="BR428" s="61"/>
      <c r="BS428" s="16"/>
      <c r="BT428" s="16"/>
      <c r="BU428" s="16"/>
      <c r="BV428" s="16"/>
      <c r="BW428" s="16"/>
      <c r="BX428" s="17"/>
      <c r="CB428" s="24"/>
      <c r="CC428" s="61"/>
      <c r="CD428" s="16"/>
      <c r="CE428" s="16"/>
      <c r="CF428" s="16"/>
      <c r="CG428" s="16"/>
      <c r="CH428" s="16"/>
      <c r="CI428" s="17"/>
      <c r="CM428" s="24"/>
      <c r="CN428" s="61"/>
      <c r="CO428" s="16"/>
      <c r="CP428" s="16"/>
      <c r="CQ428" s="16"/>
      <c r="CR428" s="16"/>
      <c r="CS428" s="16"/>
      <c r="CT428" s="17"/>
      <c r="CX428" s="24"/>
      <c r="CY428" s="60"/>
      <c r="CZ428" s="16"/>
      <c r="DA428" s="16"/>
      <c r="DB428" s="16"/>
      <c r="DC428" s="16"/>
      <c r="DD428" s="16"/>
      <c r="DE428" s="17"/>
      <c r="DI428" s="24"/>
      <c r="DJ428" s="60"/>
      <c r="DK428" s="16"/>
      <c r="DL428" s="16"/>
      <c r="DM428" s="16"/>
      <c r="DN428" s="16"/>
      <c r="DO428" s="16"/>
      <c r="DP428" s="17"/>
      <c r="DT428" s="24"/>
      <c r="DU428" s="60"/>
      <c r="DV428" s="16"/>
      <c r="DW428" s="16"/>
      <c r="DX428" s="16"/>
      <c r="DY428" s="16"/>
      <c r="DZ428" s="16"/>
      <c r="EA428" s="17"/>
      <c r="EE428" s="24"/>
      <c r="EF428" s="60"/>
      <c r="EG428" s="16"/>
      <c r="EH428" s="16"/>
      <c r="EI428" s="16"/>
      <c r="EJ428" s="16"/>
      <c r="EK428" s="16"/>
      <c r="EL428" s="17"/>
      <c r="EP428" s="24"/>
      <c r="EQ428" s="60"/>
      <c r="ER428" s="16"/>
      <c r="ES428" s="16"/>
      <c r="ET428" s="16"/>
      <c r="EU428" s="16"/>
      <c r="EV428" s="16"/>
      <c r="EW428" s="17"/>
      <c r="FA428" s="24"/>
      <c r="FB428" s="60"/>
      <c r="FC428" s="16"/>
      <c r="FD428" s="16"/>
      <c r="FE428" s="16"/>
      <c r="FF428" s="16"/>
      <c r="FG428" s="16"/>
      <c r="FH428" s="17"/>
      <c r="FL428" s="24"/>
      <c r="FM428" s="60"/>
      <c r="FN428" s="16"/>
      <c r="FO428" s="16"/>
      <c r="FP428" s="16"/>
      <c r="FQ428" s="16"/>
      <c r="FR428" s="16"/>
      <c r="FS428" s="17"/>
      <c r="FW428" s="24"/>
      <c r="FX428" s="60"/>
      <c r="FY428" s="16"/>
      <c r="FZ428" s="16"/>
      <c r="GA428" s="16"/>
      <c r="GB428" s="16"/>
      <c r="GC428" s="16"/>
      <c r="GD428" s="17"/>
      <c r="GH428" s="24"/>
      <c r="GI428" s="60"/>
      <c r="GJ428" s="16"/>
      <c r="GK428" s="16"/>
      <c r="GL428" s="16"/>
      <c r="GM428" s="16"/>
      <c r="GN428" s="16"/>
      <c r="GO428" s="17"/>
      <c r="GS428" s="24"/>
      <c r="GT428" s="60"/>
      <c r="GU428" s="16"/>
      <c r="GV428" s="16"/>
      <c r="GW428" s="16"/>
      <c r="GX428" s="16"/>
      <c r="GY428" s="16"/>
      <c r="GZ428" s="17"/>
      <c r="HD428" s="24"/>
      <c r="HE428" s="60"/>
      <c r="HF428" s="16"/>
      <c r="HG428" s="16"/>
      <c r="HH428" s="16"/>
      <c r="HI428" s="16"/>
      <c r="HJ428" s="16"/>
      <c r="HK428" s="17"/>
      <c r="HO428" s="24"/>
      <c r="HP428" s="60"/>
      <c r="HQ428" s="16"/>
      <c r="HR428" s="16"/>
      <c r="HS428" s="16"/>
      <c r="HT428" s="16"/>
      <c r="HU428" s="16"/>
      <c r="HV428" s="17"/>
      <c r="HZ428" s="24"/>
      <c r="IA428" s="60"/>
      <c r="IB428" s="16"/>
      <c r="IC428" s="16"/>
      <c r="ID428" s="16"/>
      <c r="IE428" s="16"/>
      <c r="IF428" s="16"/>
      <c r="IG428" s="17"/>
      <c r="IK428" s="24"/>
      <c r="IL428" s="60"/>
      <c r="IM428" s="16"/>
      <c r="IN428" s="16"/>
      <c r="IO428" s="16"/>
      <c r="IP428" s="16"/>
      <c r="IQ428" s="16"/>
      <c r="IR428" s="17"/>
      <c r="IV428" s="24"/>
      <c r="IW428" s="60"/>
      <c r="IX428" s="16"/>
      <c r="IY428" s="16"/>
      <c r="IZ428" s="16"/>
      <c r="JA428" s="16"/>
      <c r="JB428" s="16"/>
      <c r="JC428" s="17"/>
      <c r="JG428" s="24"/>
      <c r="JH428" s="60"/>
      <c r="JI428" s="16"/>
      <c r="JJ428" s="16"/>
      <c r="JK428" s="16"/>
      <c r="JL428" s="16"/>
      <c r="JM428" s="16"/>
      <c r="JN428" s="17"/>
      <c r="JR428" s="24"/>
      <c r="JS428" s="60"/>
      <c r="JT428" s="16"/>
      <c r="JU428" s="16"/>
      <c r="JV428" s="16"/>
      <c r="JW428" s="16"/>
      <c r="JX428" s="16"/>
      <c r="JY428" s="17"/>
      <c r="KC428" s="24"/>
      <c r="KD428" s="60"/>
      <c r="KE428" s="16"/>
      <c r="KF428" s="16"/>
      <c r="KG428" s="16"/>
      <c r="KH428" s="16"/>
      <c r="KI428" s="16"/>
      <c r="KJ428" s="17"/>
      <c r="KN428" s="24"/>
      <c r="KO428" s="60"/>
      <c r="KP428" s="16"/>
      <c r="KQ428" s="16"/>
      <c r="KR428" s="16"/>
      <c r="KS428" s="16"/>
      <c r="KT428" s="16"/>
      <c r="KU428" s="17"/>
      <c r="KY428" s="24"/>
      <c r="KZ428" s="60"/>
      <c r="LA428" s="16"/>
      <c r="LB428" s="16"/>
      <c r="LC428" s="16"/>
      <c r="LD428" s="16"/>
      <c r="LE428" s="16"/>
      <c r="LF428" s="17"/>
      <c r="LJ428" s="24"/>
      <c r="LK428" s="60"/>
      <c r="LL428" s="16"/>
      <c r="LM428" s="16"/>
      <c r="LN428" s="16"/>
      <c r="LO428" s="16"/>
      <c r="LP428" s="16"/>
      <c r="LQ428" s="17"/>
    </row>
    <row r="429">
      <c r="C429" s="31"/>
      <c r="D429" s="61"/>
      <c r="E429" s="16"/>
      <c r="F429" s="16"/>
      <c r="G429" s="21"/>
      <c r="H429" s="16"/>
      <c r="I429" s="16"/>
      <c r="J429" s="17"/>
      <c r="N429" s="17"/>
      <c r="O429" s="61"/>
      <c r="P429" s="16"/>
      <c r="Q429" s="16"/>
      <c r="R429" s="16"/>
      <c r="S429" s="16"/>
      <c r="T429" s="16"/>
      <c r="U429" s="17"/>
      <c r="Y429" s="24"/>
      <c r="Z429" s="61"/>
      <c r="AA429" s="16"/>
      <c r="AB429" s="16"/>
      <c r="AC429" s="16"/>
      <c r="AD429" s="16"/>
      <c r="AE429" s="16"/>
      <c r="AF429" s="17"/>
      <c r="AJ429" s="24"/>
      <c r="AK429" s="61"/>
      <c r="AL429" s="16"/>
      <c r="AM429" s="16"/>
      <c r="AN429" s="16"/>
      <c r="AO429" s="16"/>
      <c r="AP429" s="16"/>
      <c r="AQ429" s="17"/>
      <c r="AU429" s="24"/>
      <c r="AV429" s="61"/>
      <c r="AW429" s="16"/>
      <c r="AX429" s="16"/>
      <c r="AY429" s="16"/>
      <c r="AZ429" s="16"/>
      <c r="BA429" s="16"/>
      <c r="BB429" s="17"/>
      <c r="BF429" s="24"/>
      <c r="BG429" s="61"/>
      <c r="BH429" s="16"/>
      <c r="BI429" s="16"/>
      <c r="BJ429" s="16"/>
      <c r="BK429" s="16"/>
      <c r="BL429" s="16"/>
      <c r="BM429" s="17"/>
      <c r="BQ429" s="24"/>
      <c r="BR429" s="61"/>
      <c r="BS429" s="16"/>
      <c r="BT429" s="16"/>
      <c r="BU429" s="16"/>
      <c r="BV429" s="16"/>
      <c r="BW429" s="16"/>
      <c r="BX429" s="17"/>
      <c r="CB429" s="24"/>
      <c r="CC429" s="61"/>
      <c r="CD429" s="16"/>
      <c r="CE429" s="16"/>
      <c r="CF429" s="16"/>
      <c r="CG429" s="16"/>
      <c r="CH429" s="16"/>
      <c r="CI429" s="17"/>
      <c r="CM429" s="24"/>
      <c r="CN429" s="61"/>
      <c r="CO429" s="16"/>
      <c r="CP429" s="16"/>
      <c r="CQ429" s="16"/>
      <c r="CR429" s="16"/>
      <c r="CS429" s="16"/>
      <c r="CT429" s="17"/>
      <c r="CX429" s="24"/>
      <c r="CY429" s="60"/>
      <c r="CZ429" s="16"/>
      <c r="DA429" s="16"/>
      <c r="DB429" s="16"/>
      <c r="DC429" s="16"/>
      <c r="DD429" s="16"/>
      <c r="DE429" s="17"/>
      <c r="DI429" s="24"/>
      <c r="DJ429" s="60"/>
      <c r="DK429" s="16"/>
      <c r="DL429" s="16"/>
      <c r="DM429" s="16"/>
      <c r="DN429" s="16"/>
      <c r="DO429" s="16"/>
      <c r="DP429" s="17"/>
      <c r="DT429" s="24"/>
      <c r="DU429" s="60"/>
      <c r="DV429" s="16"/>
      <c r="DW429" s="16"/>
      <c r="DX429" s="16"/>
      <c r="DY429" s="16"/>
      <c r="DZ429" s="16"/>
      <c r="EA429" s="17"/>
      <c r="EE429" s="24"/>
      <c r="EF429" s="60"/>
      <c r="EG429" s="16"/>
      <c r="EH429" s="16"/>
      <c r="EI429" s="16"/>
      <c r="EJ429" s="16"/>
      <c r="EK429" s="16"/>
      <c r="EL429" s="17"/>
      <c r="EP429" s="24"/>
      <c r="EQ429" s="60"/>
      <c r="ER429" s="16"/>
      <c r="ES429" s="16"/>
      <c r="ET429" s="16"/>
      <c r="EU429" s="16"/>
      <c r="EV429" s="16"/>
      <c r="EW429" s="17"/>
      <c r="FA429" s="24"/>
      <c r="FB429" s="60"/>
      <c r="FC429" s="16"/>
      <c r="FD429" s="16"/>
      <c r="FE429" s="16"/>
      <c r="FF429" s="16"/>
      <c r="FG429" s="16"/>
      <c r="FH429" s="17"/>
      <c r="FL429" s="24"/>
      <c r="FM429" s="60"/>
      <c r="FN429" s="16"/>
      <c r="FO429" s="16"/>
      <c r="FP429" s="16"/>
      <c r="FQ429" s="16"/>
      <c r="FR429" s="16"/>
      <c r="FS429" s="17"/>
      <c r="FW429" s="24"/>
      <c r="FX429" s="60"/>
      <c r="FY429" s="16"/>
      <c r="FZ429" s="16"/>
      <c r="GA429" s="16"/>
      <c r="GB429" s="16"/>
      <c r="GC429" s="16"/>
      <c r="GD429" s="17"/>
      <c r="GH429" s="24"/>
      <c r="GI429" s="60"/>
      <c r="GJ429" s="16"/>
      <c r="GK429" s="16"/>
      <c r="GL429" s="16"/>
      <c r="GM429" s="16"/>
      <c r="GN429" s="16"/>
      <c r="GO429" s="17"/>
      <c r="GS429" s="24"/>
      <c r="GT429" s="60"/>
      <c r="GU429" s="16"/>
      <c r="GV429" s="16"/>
      <c r="GW429" s="16"/>
      <c r="GX429" s="16"/>
      <c r="GY429" s="16"/>
      <c r="GZ429" s="17"/>
      <c r="HD429" s="24"/>
      <c r="HE429" s="60"/>
      <c r="HF429" s="16"/>
      <c r="HG429" s="16"/>
      <c r="HH429" s="16"/>
      <c r="HI429" s="16"/>
      <c r="HJ429" s="16"/>
      <c r="HK429" s="17"/>
      <c r="HO429" s="24"/>
      <c r="HP429" s="60"/>
      <c r="HQ429" s="16"/>
      <c r="HR429" s="16"/>
      <c r="HS429" s="16"/>
      <c r="HT429" s="16"/>
      <c r="HU429" s="16"/>
      <c r="HV429" s="17"/>
      <c r="HZ429" s="24"/>
      <c r="IA429" s="60"/>
      <c r="IB429" s="16"/>
      <c r="IC429" s="16"/>
      <c r="ID429" s="16"/>
      <c r="IE429" s="16"/>
      <c r="IF429" s="16"/>
      <c r="IG429" s="17"/>
      <c r="IK429" s="24"/>
      <c r="IL429" s="60"/>
      <c r="IM429" s="16"/>
      <c r="IN429" s="16"/>
      <c r="IO429" s="16"/>
      <c r="IP429" s="16"/>
      <c r="IQ429" s="16"/>
      <c r="IR429" s="17"/>
      <c r="IV429" s="24"/>
      <c r="IW429" s="60"/>
      <c r="IX429" s="16"/>
      <c r="IY429" s="16"/>
      <c r="IZ429" s="16"/>
      <c r="JA429" s="16"/>
      <c r="JB429" s="16"/>
      <c r="JC429" s="17"/>
      <c r="JG429" s="24"/>
      <c r="JH429" s="60"/>
      <c r="JI429" s="16"/>
      <c r="JJ429" s="16"/>
      <c r="JK429" s="16"/>
      <c r="JL429" s="16"/>
      <c r="JM429" s="16"/>
      <c r="JN429" s="17"/>
      <c r="JR429" s="24"/>
      <c r="JS429" s="60"/>
      <c r="JT429" s="16"/>
      <c r="JU429" s="16"/>
      <c r="JV429" s="16"/>
      <c r="JW429" s="16"/>
      <c r="JX429" s="16"/>
      <c r="JY429" s="17"/>
      <c r="KC429" s="24"/>
      <c r="KD429" s="60"/>
      <c r="KE429" s="16"/>
      <c r="KF429" s="16"/>
      <c r="KG429" s="16"/>
      <c r="KH429" s="16"/>
      <c r="KI429" s="16"/>
      <c r="KJ429" s="17"/>
      <c r="KN429" s="24"/>
      <c r="KO429" s="60"/>
      <c r="KP429" s="16"/>
      <c r="KQ429" s="16"/>
      <c r="KR429" s="16"/>
      <c r="KS429" s="16"/>
      <c r="KT429" s="16"/>
      <c r="KU429" s="17"/>
      <c r="KY429" s="24"/>
      <c r="KZ429" s="60"/>
      <c r="LA429" s="16"/>
      <c r="LB429" s="16"/>
      <c r="LC429" s="16"/>
      <c r="LD429" s="16"/>
      <c r="LE429" s="16"/>
      <c r="LF429" s="17"/>
      <c r="LJ429" s="24"/>
      <c r="LK429" s="60"/>
      <c r="LL429" s="16"/>
      <c r="LM429" s="16"/>
      <c r="LN429" s="16"/>
      <c r="LO429" s="16"/>
      <c r="LP429" s="16"/>
      <c r="LQ429" s="17"/>
    </row>
    <row r="430">
      <c r="C430" s="31"/>
      <c r="D430" s="61"/>
      <c r="E430" s="16"/>
      <c r="F430" s="16"/>
      <c r="G430" s="21"/>
      <c r="H430" s="16"/>
      <c r="I430" s="16"/>
      <c r="J430" s="17"/>
      <c r="N430" s="17"/>
      <c r="O430" s="61"/>
      <c r="P430" s="16"/>
      <c r="Q430" s="16"/>
      <c r="R430" s="16"/>
      <c r="S430" s="16"/>
      <c r="T430" s="16"/>
      <c r="U430" s="17"/>
      <c r="Y430" s="24"/>
      <c r="Z430" s="61"/>
      <c r="AA430" s="16"/>
      <c r="AB430" s="16"/>
      <c r="AC430" s="16"/>
      <c r="AD430" s="16"/>
      <c r="AE430" s="16"/>
      <c r="AF430" s="17"/>
      <c r="AJ430" s="24"/>
      <c r="AK430" s="61"/>
      <c r="AL430" s="16"/>
      <c r="AM430" s="16"/>
      <c r="AN430" s="16"/>
      <c r="AO430" s="16"/>
      <c r="AP430" s="16"/>
      <c r="AQ430" s="17"/>
      <c r="AU430" s="24"/>
      <c r="AV430" s="61"/>
      <c r="AW430" s="16"/>
      <c r="AX430" s="16"/>
      <c r="AY430" s="16"/>
      <c r="AZ430" s="16"/>
      <c r="BA430" s="16"/>
      <c r="BB430" s="17"/>
      <c r="BF430" s="24"/>
      <c r="BG430" s="61"/>
      <c r="BH430" s="16"/>
      <c r="BI430" s="16"/>
      <c r="BJ430" s="16"/>
      <c r="BK430" s="16"/>
      <c r="BL430" s="16"/>
      <c r="BM430" s="17"/>
      <c r="BQ430" s="24"/>
      <c r="BR430" s="61"/>
      <c r="BS430" s="16"/>
      <c r="BT430" s="16"/>
      <c r="BU430" s="16"/>
      <c r="BV430" s="16"/>
      <c r="BW430" s="16"/>
      <c r="BX430" s="17"/>
      <c r="CB430" s="24"/>
      <c r="CC430" s="61"/>
      <c r="CD430" s="16"/>
      <c r="CE430" s="16"/>
      <c r="CF430" s="16"/>
      <c r="CG430" s="16"/>
      <c r="CH430" s="16"/>
      <c r="CI430" s="17"/>
      <c r="CM430" s="24"/>
      <c r="CN430" s="61"/>
      <c r="CO430" s="16"/>
      <c r="CP430" s="16"/>
      <c r="CQ430" s="16"/>
      <c r="CR430" s="16"/>
      <c r="CS430" s="16"/>
      <c r="CT430" s="17"/>
      <c r="CX430" s="24"/>
      <c r="CY430" s="60"/>
      <c r="CZ430" s="16"/>
      <c r="DA430" s="16"/>
      <c r="DB430" s="16"/>
      <c r="DC430" s="16"/>
      <c r="DD430" s="16"/>
      <c r="DE430" s="17"/>
      <c r="DI430" s="24"/>
      <c r="DJ430" s="60"/>
      <c r="DK430" s="16"/>
      <c r="DL430" s="16"/>
      <c r="DM430" s="16"/>
      <c r="DN430" s="16"/>
      <c r="DO430" s="16"/>
      <c r="DP430" s="17"/>
      <c r="DT430" s="24"/>
      <c r="DU430" s="60"/>
      <c r="DV430" s="16"/>
      <c r="DW430" s="16"/>
      <c r="DX430" s="16"/>
      <c r="DY430" s="16"/>
      <c r="DZ430" s="16"/>
      <c r="EA430" s="17"/>
      <c r="EE430" s="24"/>
      <c r="EF430" s="60"/>
      <c r="EG430" s="16"/>
      <c r="EH430" s="16"/>
      <c r="EI430" s="16"/>
      <c r="EJ430" s="16"/>
      <c r="EK430" s="16"/>
      <c r="EL430" s="17"/>
      <c r="EP430" s="24"/>
      <c r="EQ430" s="60"/>
      <c r="ER430" s="16"/>
      <c r="ES430" s="16"/>
      <c r="ET430" s="16"/>
      <c r="EU430" s="16"/>
      <c r="EV430" s="16"/>
      <c r="EW430" s="17"/>
      <c r="FA430" s="24"/>
      <c r="FB430" s="60"/>
      <c r="FC430" s="16"/>
      <c r="FD430" s="16"/>
      <c r="FE430" s="16"/>
      <c r="FF430" s="16"/>
      <c r="FG430" s="16"/>
      <c r="FH430" s="17"/>
      <c r="FL430" s="24"/>
      <c r="FM430" s="60"/>
      <c r="FN430" s="16"/>
      <c r="FO430" s="16"/>
      <c r="FP430" s="16"/>
      <c r="FQ430" s="16"/>
      <c r="FR430" s="16"/>
      <c r="FS430" s="17"/>
      <c r="FW430" s="24"/>
      <c r="FX430" s="60"/>
      <c r="FY430" s="16"/>
      <c r="FZ430" s="16"/>
      <c r="GA430" s="16"/>
      <c r="GB430" s="16"/>
      <c r="GC430" s="16"/>
      <c r="GD430" s="17"/>
      <c r="GH430" s="24"/>
      <c r="GI430" s="60"/>
      <c r="GJ430" s="16"/>
      <c r="GK430" s="16"/>
      <c r="GL430" s="16"/>
      <c r="GM430" s="16"/>
      <c r="GN430" s="16"/>
      <c r="GO430" s="17"/>
      <c r="GS430" s="24"/>
      <c r="GT430" s="60"/>
      <c r="GU430" s="16"/>
      <c r="GV430" s="16"/>
      <c r="GW430" s="16"/>
      <c r="GX430" s="16"/>
      <c r="GY430" s="16"/>
      <c r="GZ430" s="17"/>
      <c r="HD430" s="24"/>
      <c r="HE430" s="60"/>
      <c r="HF430" s="16"/>
      <c r="HG430" s="16"/>
      <c r="HH430" s="16"/>
      <c r="HI430" s="16"/>
      <c r="HJ430" s="16"/>
      <c r="HK430" s="17"/>
      <c r="HO430" s="24"/>
      <c r="HP430" s="60"/>
      <c r="HQ430" s="16"/>
      <c r="HR430" s="16"/>
      <c r="HS430" s="16"/>
      <c r="HT430" s="16"/>
      <c r="HU430" s="16"/>
      <c r="HV430" s="17"/>
      <c r="HZ430" s="24"/>
      <c r="IA430" s="60"/>
      <c r="IB430" s="16"/>
      <c r="IC430" s="16"/>
      <c r="ID430" s="16"/>
      <c r="IE430" s="16"/>
      <c r="IF430" s="16"/>
      <c r="IG430" s="17"/>
      <c r="IK430" s="24"/>
      <c r="IL430" s="60"/>
      <c r="IM430" s="16"/>
      <c r="IN430" s="16"/>
      <c r="IO430" s="16"/>
      <c r="IP430" s="16"/>
      <c r="IQ430" s="16"/>
      <c r="IR430" s="17"/>
      <c r="IV430" s="24"/>
      <c r="IW430" s="60"/>
      <c r="IX430" s="16"/>
      <c r="IY430" s="16"/>
      <c r="IZ430" s="16"/>
      <c r="JA430" s="16"/>
      <c r="JB430" s="16"/>
      <c r="JC430" s="17"/>
      <c r="JG430" s="24"/>
      <c r="JH430" s="60"/>
      <c r="JI430" s="16"/>
      <c r="JJ430" s="16"/>
      <c r="JK430" s="16"/>
      <c r="JL430" s="16"/>
      <c r="JM430" s="16"/>
      <c r="JN430" s="17"/>
      <c r="JR430" s="24"/>
      <c r="JS430" s="60"/>
      <c r="JT430" s="16"/>
      <c r="JU430" s="16"/>
      <c r="JV430" s="16"/>
      <c r="JW430" s="16"/>
      <c r="JX430" s="16"/>
      <c r="JY430" s="17"/>
      <c r="KC430" s="24"/>
      <c r="KD430" s="60"/>
      <c r="KE430" s="16"/>
      <c r="KF430" s="16"/>
      <c r="KG430" s="16"/>
      <c r="KH430" s="16"/>
      <c r="KI430" s="16"/>
      <c r="KJ430" s="17"/>
      <c r="KN430" s="24"/>
      <c r="KO430" s="60"/>
      <c r="KP430" s="16"/>
      <c r="KQ430" s="16"/>
      <c r="KR430" s="16"/>
      <c r="KS430" s="16"/>
      <c r="KT430" s="16"/>
      <c r="KU430" s="17"/>
      <c r="KY430" s="24"/>
      <c r="KZ430" s="60"/>
      <c r="LA430" s="16"/>
      <c r="LB430" s="16"/>
      <c r="LC430" s="16"/>
      <c r="LD430" s="16"/>
      <c r="LE430" s="16"/>
      <c r="LF430" s="17"/>
      <c r="LJ430" s="24"/>
      <c r="LK430" s="60"/>
      <c r="LL430" s="16"/>
      <c r="LM430" s="16"/>
      <c r="LN430" s="16"/>
      <c r="LO430" s="16"/>
      <c r="LP430" s="16"/>
      <c r="LQ430" s="17"/>
    </row>
    <row r="431">
      <c r="C431" s="31"/>
      <c r="D431" s="61"/>
      <c r="E431" s="16"/>
      <c r="F431" s="16"/>
      <c r="G431" s="21"/>
      <c r="H431" s="16"/>
      <c r="I431" s="16"/>
      <c r="J431" s="17"/>
      <c r="N431" s="17"/>
      <c r="O431" s="61"/>
      <c r="P431" s="16"/>
      <c r="Q431" s="16"/>
      <c r="R431" s="16"/>
      <c r="S431" s="16"/>
      <c r="T431" s="16"/>
      <c r="U431" s="17"/>
      <c r="Y431" s="24"/>
      <c r="Z431" s="61"/>
      <c r="AA431" s="16"/>
      <c r="AB431" s="16"/>
      <c r="AC431" s="16"/>
      <c r="AD431" s="16"/>
      <c r="AE431" s="16"/>
      <c r="AF431" s="17"/>
      <c r="AJ431" s="24"/>
      <c r="AK431" s="61"/>
      <c r="AL431" s="16"/>
      <c r="AM431" s="16"/>
      <c r="AN431" s="16"/>
      <c r="AO431" s="16"/>
      <c r="AP431" s="16"/>
      <c r="AQ431" s="17"/>
      <c r="AU431" s="24"/>
      <c r="AV431" s="61"/>
      <c r="AW431" s="16"/>
      <c r="AX431" s="16"/>
      <c r="AY431" s="16"/>
      <c r="AZ431" s="16"/>
      <c r="BA431" s="16"/>
      <c r="BB431" s="17"/>
      <c r="BF431" s="24"/>
      <c r="BG431" s="61"/>
      <c r="BH431" s="16"/>
      <c r="BI431" s="16"/>
      <c r="BJ431" s="16"/>
      <c r="BK431" s="16"/>
      <c r="BL431" s="16"/>
      <c r="BM431" s="17"/>
      <c r="BQ431" s="24"/>
      <c r="BR431" s="61"/>
      <c r="BS431" s="16"/>
      <c r="BT431" s="16"/>
      <c r="BU431" s="16"/>
      <c r="BV431" s="16"/>
      <c r="BW431" s="16"/>
      <c r="BX431" s="17"/>
      <c r="CB431" s="24"/>
      <c r="CC431" s="61"/>
      <c r="CD431" s="16"/>
      <c r="CE431" s="16"/>
      <c r="CF431" s="16"/>
      <c r="CG431" s="16"/>
      <c r="CH431" s="16"/>
      <c r="CI431" s="17"/>
      <c r="CM431" s="24"/>
      <c r="CN431" s="61"/>
      <c r="CO431" s="16"/>
      <c r="CP431" s="16"/>
      <c r="CQ431" s="16"/>
      <c r="CR431" s="16"/>
      <c r="CS431" s="16"/>
      <c r="CT431" s="17"/>
      <c r="CX431" s="24"/>
      <c r="CY431" s="60"/>
      <c r="CZ431" s="16"/>
      <c r="DA431" s="16"/>
      <c r="DB431" s="16"/>
      <c r="DC431" s="16"/>
      <c r="DD431" s="16"/>
      <c r="DE431" s="17"/>
      <c r="DI431" s="24"/>
      <c r="DJ431" s="60"/>
      <c r="DK431" s="16"/>
      <c r="DL431" s="16"/>
      <c r="DM431" s="16"/>
      <c r="DN431" s="16"/>
      <c r="DO431" s="16"/>
      <c r="DP431" s="17"/>
      <c r="DT431" s="24"/>
      <c r="DU431" s="60"/>
      <c r="DV431" s="16"/>
      <c r="DW431" s="16"/>
      <c r="DX431" s="16"/>
      <c r="DY431" s="16"/>
      <c r="DZ431" s="16"/>
      <c r="EA431" s="17"/>
      <c r="EE431" s="24"/>
      <c r="EF431" s="60"/>
      <c r="EG431" s="16"/>
      <c r="EH431" s="16"/>
      <c r="EI431" s="16"/>
      <c r="EJ431" s="16"/>
      <c r="EK431" s="16"/>
      <c r="EL431" s="17"/>
      <c r="EP431" s="24"/>
      <c r="EQ431" s="60"/>
      <c r="ER431" s="16"/>
      <c r="ES431" s="16"/>
      <c r="ET431" s="16"/>
      <c r="EU431" s="16"/>
      <c r="EV431" s="16"/>
      <c r="EW431" s="17"/>
      <c r="FA431" s="24"/>
      <c r="FB431" s="60"/>
      <c r="FC431" s="16"/>
      <c r="FD431" s="16"/>
      <c r="FE431" s="16"/>
      <c r="FF431" s="16"/>
      <c r="FG431" s="16"/>
      <c r="FH431" s="17"/>
      <c r="FL431" s="24"/>
      <c r="FM431" s="60"/>
      <c r="FN431" s="16"/>
      <c r="FO431" s="16"/>
      <c r="FP431" s="16"/>
      <c r="FQ431" s="16"/>
      <c r="FR431" s="16"/>
      <c r="FS431" s="17"/>
      <c r="FW431" s="24"/>
      <c r="FX431" s="60"/>
      <c r="FY431" s="16"/>
      <c r="FZ431" s="16"/>
      <c r="GA431" s="16"/>
      <c r="GB431" s="16"/>
      <c r="GC431" s="16"/>
      <c r="GD431" s="17"/>
      <c r="GH431" s="24"/>
      <c r="GI431" s="60"/>
      <c r="GJ431" s="16"/>
      <c r="GK431" s="16"/>
      <c r="GL431" s="16"/>
      <c r="GM431" s="16"/>
      <c r="GN431" s="16"/>
      <c r="GO431" s="17"/>
      <c r="GS431" s="24"/>
      <c r="GT431" s="60"/>
      <c r="GU431" s="16"/>
      <c r="GV431" s="16"/>
      <c r="GW431" s="16"/>
      <c r="GX431" s="16"/>
      <c r="GY431" s="16"/>
      <c r="GZ431" s="17"/>
      <c r="HD431" s="24"/>
      <c r="HE431" s="60"/>
      <c r="HF431" s="16"/>
      <c r="HG431" s="16"/>
      <c r="HH431" s="16"/>
      <c r="HI431" s="16"/>
      <c r="HJ431" s="16"/>
      <c r="HK431" s="17"/>
      <c r="HO431" s="24"/>
      <c r="HP431" s="60"/>
      <c r="HQ431" s="16"/>
      <c r="HR431" s="16"/>
      <c r="HS431" s="16"/>
      <c r="HT431" s="16"/>
      <c r="HU431" s="16"/>
      <c r="HV431" s="17"/>
      <c r="HZ431" s="24"/>
      <c r="IA431" s="60"/>
      <c r="IB431" s="16"/>
      <c r="IC431" s="16"/>
      <c r="ID431" s="16"/>
      <c r="IE431" s="16"/>
      <c r="IF431" s="16"/>
      <c r="IG431" s="17"/>
      <c r="IK431" s="24"/>
      <c r="IL431" s="60"/>
      <c r="IM431" s="16"/>
      <c r="IN431" s="16"/>
      <c r="IO431" s="16"/>
      <c r="IP431" s="16"/>
      <c r="IQ431" s="16"/>
      <c r="IR431" s="17"/>
      <c r="IV431" s="24"/>
      <c r="IW431" s="60"/>
      <c r="IX431" s="16"/>
      <c r="IY431" s="16"/>
      <c r="IZ431" s="16"/>
      <c r="JA431" s="16"/>
      <c r="JB431" s="16"/>
      <c r="JC431" s="17"/>
      <c r="JG431" s="24"/>
      <c r="JH431" s="60"/>
      <c r="JI431" s="16"/>
      <c r="JJ431" s="16"/>
      <c r="JK431" s="16"/>
      <c r="JL431" s="16"/>
      <c r="JM431" s="16"/>
      <c r="JN431" s="17"/>
      <c r="JR431" s="24"/>
      <c r="JS431" s="60"/>
      <c r="JT431" s="16"/>
      <c r="JU431" s="16"/>
      <c r="JV431" s="16"/>
      <c r="JW431" s="16"/>
      <c r="JX431" s="16"/>
      <c r="JY431" s="17"/>
      <c r="KC431" s="24"/>
      <c r="KD431" s="60"/>
      <c r="KE431" s="16"/>
      <c r="KF431" s="16"/>
      <c r="KG431" s="16"/>
      <c r="KH431" s="16"/>
      <c r="KI431" s="16"/>
      <c r="KJ431" s="17"/>
      <c r="KN431" s="24"/>
      <c r="KO431" s="60"/>
      <c r="KP431" s="16"/>
      <c r="KQ431" s="16"/>
      <c r="KR431" s="16"/>
      <c r="KS431" s="16"/>
      <c r="KT431" s="16"/>
      <c r="KU431" s="17"/>
      <c r="KY431" s="24"/>
      <c r="KZ431" s="60"/>
      <c r="LA431" s="16"/>
      <c r="LB431" s="16"/>
      <c r="LC431" s="16"/>
      <c r="LD431" s="16"/>
      <c r="LE431" s="16"/>
      <c r="LF431" s="17"/>
      <c r="LJ431" s="24"/>
      <c r="LK431" s="60"/>
      <c r="LL431" s="16"/>
      <c r="LM431" s="16"/>
      <c r="LN431" s="16"/>
      <c r="LO431" s="16"/>
      <c r="LP431" s="16"/>
      <c r="LQ431" s="17"/>
    </row>
    <row r="432">
      <c r="C432" s="31"/>
      <c r="D432" s="61"/>
      <c r="E432" s="16"/>
      <c r="F432" s="16"/>
      <c r="G432" s="21"/>
      <c r="H432" s="16"/>
      <c r="I432" s="16"/>
      <c r="J432" s="17"/>
      <c r="N432" s="17"/>
      <c r="O432" s="61"/>
      <c r="P432" s="16"/>
      <c r="Q432" s="16"/>
      <c r="R432" s="16"/>
      <c r="S432" s="16"/>
      <c r="T432" s="16"/>
      <c r="U432" s="17"/>
      <c r="Y432" s="24"/>
      <c r="Z432" s="61"/>
      <c r="AA432" s="16"/>
      <c r="AB432" s="16"/>
      <c r="AC432" s="16"/>
      <c r="AD432" s="16"/>
      <c r="AE432" s="16"/>
      <c r="AF432" s="17"/>
      <c r="AJ432" s="24"/>
      <c r="AK432" s="61"/>
      <c r="AL432" s="16"/>
      <c r="AM432" s="16"/>
      <c r="AN432" s="16"/>
      <c r="AO432" s="16"/>
      <c r="AP432" s="16"/>
      <c r="AQ432" s="17"/>
      <c r="AU432" s="24"/>
      <c r="AV432" s="61"/>
      <c r="AW432" s="16"/>
      <c r="AX432" s="16"/>
      <c r="AY432" s="16"/>
      <c r="AZ432" s="16"/>
      <c r="BA432" s="16"/>
      <c r="BB432" s="17"/>
      <c r="BF432" s="24"/>
      <c r="BG432" s="61"/>
      <c r="BH432" s="16"/>
      <c r="BI432" s="16"/>
      <c r="BJ432" s="16"/>
      <c r="BK432" s="16"/>
      <c r="BL432" s="16"/>
      <c r="BM432" s="17"/>
      <c r="BQ432" s="24"/>
      <c r="BR432" s="61"/>
      <c r="BS432" s="16"/>
      <c r="BT432" s="16"/>
      <c r="BU432" s="16"/>
      <c r="BV432" s="16"/>
      <c r="BW432" s="16"/>
      <c r="BX432" s="17"/>
      <c r="CB432" s="24"/>
      <c r="CC432" s="61"/>
      <c r="CD432" s="16"/>
      <c r="CE432" s="16"/>
      <c r="CF432" s="16"/>
      <c r="CG432" s="16"/>
      <c r="CH432" s="16"/>
      <c r="CI432" s="17"/>
      <c r="CM432" s="24"/>
      <c r="CN432" s="61"/>
      <c r="CO432" s="16"/>
      <c r="CP432" s="16"/>
      <c r="CQ432" s="16"/>
      <c r="CR432" s="16"/>
      <c r="CS432" s="16"/>
      <c r="CT432" s="17"/>
      <c r="CX432" s="24"/>
      <c r="CY432" s="60"/>
      <c r="CZ432" s="16"/>
      <c r="DA432" s="16"/>
      <c r="DB432" s="16"/>
      <c r="DC432" s="16"/>
      <c r="DD432" s="16"/>
      <c r="DE432" s="17"/>
      <c r="DI432" s="24"/>
      <c r="DJ432" s="60"/>
      <c r="DK432" s="16"/>
      <c r="DL432" s="16"/>
      <c r="DM432" s="16"/>
      <c r="DN432" s="16"/>
      <c r="DO432" s="16"/>
      <c r="DP432" s="17"/>
      <c r="DT432" s="24"/>
      <c r="DU432" s="60"/>
      <c r="DV432" s="16"/>
      <c r="DW432" s="16"/>
      <c r="DX432" s="16"/>
      <c r="DY432" s="16"/>
      <c r="DZ432" s="16"/>
      <c r="EA432" s="17"/>
      <c r="EE432" s="24"/>
      <c r="EF432" s="60"/>
      <c r="EG432" s="16"/>
      <c r="EH432" s="16"/>
      <c r="EI432" s="16"/>
      <c r="EJ432" s="16"/>
      <c r="EK432" s="16"/>
      <c r="EL432" s="17"/>
      <c r="EP432" s="24"/>
      <c r="EQ432" s="60"/>
      <c r="ER432" s="16"/>
      <c r="ES432" s="16"/>
      <c r="ET432" s="16"/>
      <c r="EU432" s="16"/>
      <c r="EV432" s="16"/>
      <c r="EW432" s="17"/>
      <c r="FA432" s="24"/>
      <c r="FB432" s="60"/>
      <c r="FC432" s="16"/>
      <c r="FD432" s="16"/>
      <c r="FE432" s="16"/>
      <c r="FF432" s="16"/>
      <c r="FG432" s="16"/>
      <c r="FH432" s="17"/>
      <c r="FL432" s="24"/>
      <c r="FM432" s="60"/>
      <c r="FN432" s="16"/>
      <c r="FO432" s="16"/>
      <c r="FP432" s="16"/>
      <c r="FQ432" s="16"/>
      <c r="FR432" s="16"/>
      <c r="FS432" s="17"/>
      <c r="FW432" s="24"/>
      <c r="FX432" s="60"/>
      <c r="FY432" s="16"/>
      <c r="FZ432" s="16"/>
      <c r="GA432" s="16"/>
      <c r="GB432" s="16"/>
      <c r="GC432" s="16"/>
      <c r="GD432" s="17"/>
      <c r="GH432" s="24"/>
      <c r="GI432" s="60"/>
      <c r="GJ432" s="16"/>
      <c r="GK432" s="16"/>
      <c r="GL432" s="16"/>
      <c r="GM432" s="16"/>
      <c r="GN432" s="16"/>
      <c r="GO432" s="17"/>
      <c r="GS432" s="24"/>
      <c r="GT432" s="60"/>
      <c r="GU432" s="16"/>
      <c r="GV432" s="16"/>
      <c r="GW432" s="16"/>
      <c r="GX432" s="16"/>
      <c r="GY432" s="16"/>
      <c r="GZ432" s="17"/>
      <c r="HD432" s="24"/>
      <c r="HE432" s="60"/>
      <c r="HF432" s="16"/>
      <c r="HG432" s="16"/>
      <c r="HH432" s="16"/>
      <c r="HI432" s="16"/>
      <c r="HJ432" s="16"/>
      <c r="HK432" s="17"/>
      <c r="HO432" s="24"/>
      <c r="HP432" s="60"/>
      <c r="HQ432" s="16"/>
      <c r="HR432" s="16"/>
      <c r="HS432" s="16"/>
      <c r="HT432" s="16"/>
      <c r="HU432" s="16"/>
      <c r="HV432" s="17"/>
      <c r="HZ432" s="24"/>
      <c r="IA432" s="60"/>
      <c r="IB432" s="16"/>
      <c r="IC432" s="16"/>
      <c r="ID432" s="16"/>
      <c r="IE432" s="16"/>
      <c r="IF432" s="16"/>
      <c r="IG432" s="17"/>
      <c r="IK432" s="24"/>
      <c r="IL432" s="60"/>
      <c r="IM432" s="16"/>
      <c r="IN432" s="16"/>
      <c r="IO432" s="16"/>
      <c r="IP432" s="16"/>
      <c r="IQ432" s="16"/>
      <c r="IR432" s="17"/>
      <c r="IV432" s="24"/>
      <c r="IW432" s="60"/>
      <c r="IX432" s="16"/>
      <c r="IY432" s="16"/>
      <c r="IZ432" s="16"/>
      <c r="JA432" s="16"/>
      <c r="JB432" s="16"/>
      <c r="JC432" s="17"/>
      <c r="JG432" s="24"/>
      <c r="JH432" s="60"/>
      <c r="JI432" s="16"/>
      <c r="JJ432" s="16"/>
      <c r="JK432" s="16"/>
      <c r="JL432" s="16"/>
      <c r="JM432" s="16"/>
      <c r="JN432" s="17"/>
      <c r="JR432" s="24"/>
      <c r="JS432" s="60"/>
      <c r="JT432" s="16"/>
      <c r="JU432" s="16"/>
      <c r="JV432" s="16"/>
      <c r="JW432" s="16"/>
      <c r="JX432" s="16"/>
      <c r="JY432" s="17"/>
      <c r="KC432" s="24"/>
      <c r="KD432" s="60"/>
      <c r="KE432" s="16"/>
      <c r="KF432" s="16"/>
      <c r="KG432" s="16"/>
      <c r="KH432" s="16"/>
      <c r="KI432" s="16"/>
      <c r="KJ432" s="17"/>
      <c r="KN432" s="24"/>
      <c r="KO432" s="60"/>
      <c r="KP432" s="16"/>
      <c r="KQ432" s="16"/>
      <c r="KR432" s="16"/>
      <c r="KS432" s="16"/>
      <c r="KT432" s="16"/>
      <c r="KU432" s="17"/>
      <c r="KY432" s="24"/>
      <c r="KZ432" s="60"/>
      <c r="LA432" s="16"/>
      <c r="LB432" s="16"/>
      <c r="LC432" s="16"/>
      <c r="LD432" s="16"/>
      <c r="LE432" s="16"/>
      <c r="LF432" s="17"/>
      <c r="LJ432" s="24"/>
      <c r="LK432" s="60"/>
      <c r="LL432" s="16"/>
      <c r="LM432" s="16"/>
      <c r="LN432" s="16"/>
      <c r="LO432" s="16"/>
      <c r="LP432" s="16"/>
      <c r="LQ432" s="17"/>
    </row>
    <row r="433">
      <c r="C433" s="31"/>
      <c r="D433" s="61"/>
      <c r="E433" s="16"/>
      <c r="F433" s="16"/>
      <c r="G433" s="21"/>
      <c r="H433" s="16"/>
      <c r="I433" s="16"/>
      <c r="J433" s="17"/>
      <c r="N433" s="17"/>
      <c r="O433" s="61"/>
      <c r="P433" s="16"/>
      <c r="Q433" s="16"/>
      <c r="R433" s="16"/>
      <c r="S433" s="16"/>
      <c r="T433" s="16"/>
      <c r="U433" s="17"/>
      <c r="Y433" s="24"/>
      <c r="Z433" s="61"/>
      <c r="AA433" s="16"/>
      <c r="AB433" s="16"/>
      <c r="AC433" s="16"/>
      <c r="AD433" s="16"/>
      <c r="AE433" s="16"/>
      <c r="AF433" s="17"/>
      <c r="AJ433" s="24"/>
      <c r="AK433" s="61"/>
      <c r="AL433" s="16"/>
      <c r="AM433" s="16"/>
      <c r="AN433" s="16"/>
      <c r="AO433" s="16"/>
      <c r="AP433" s="16"/>
      <c r="AQ433" s="17"/>
      <c r="AU433" s="24"/>
      <c r="AV433" s="61"/>
      <c r="AW433" s="16"/>
      <c r="AX433" s="16"/>
      <c r="AY433" s="16"/>
      <c r="AZ433" s="16"/>
      <c r="BA433" s="16"/>
      <c r="BB433" s="17"/>
      <c r="BF433" s="24"/>
      <c r="BG433" s="61"/>
      <c r="BH433" s="16"/>
      <c r="BI433" s="16"/>
      <c r="BJ433" s="16"/>
      <c r="BK433" s="16"/>
      <c r="BL433" s="16"/>
      <c r="BM433" s="17"/>
      <c r="BQ433" s="24"/>
      <c r="BR433" s="61"/>
      <c r="BS433" s="16"/>
      <c r="BT433" s="16"/>
      <c r="BU433" s="16"/>
      <c r="BV433" s="16"/>
      <c r="BW433" s="16"/>
      <c r="BX433" s="17"/>
      <c r="CB433" s="24"/>
      <c r="CC433" s="61"/>
      <c r="CD433" s="16"/>
      <c r="CE433" s="16"/>
      <c r="CF433" s="16"/>
      <c r="CG433" s="16"/>
      <c r="CH433" s="16"/>
      <c r="CI433" s="17"/>
      <c r="CM433" s="24"/>
      <c r="CN433" s="61"/>
      <c r="CO433" s="16"/>
      <c r="CP433" s="16"/>
      <c r="CQ433" s="16"/>
      <c r="CR433" s="16"/>
      <c r="CS433" s="16"/>
      <c r="CT433" s="17"/>
      <c r="CX433" s="24"/>
      <c r="CY433" s="60"/>
      <c r="CZ433" s="16"/>
      <c r="DA433" s="16"/>
      <c r="DB433" s="16"/>
      <c r="DC433" s="16"/>
      <c r="DD433" s="16"/>
      <c r="DE433" s="17"/>
      <c r="DI433" s="24"/>
      <c r="DJ433" s="60"/>
      <c r="DK433" s="16"/>
      <c r="DL433" s="16"/>
      <c r="DM433" s="16"/>
      <c r="DN433" s="16"/>
      <c r="DO433" s="16"/>
      <c r="DP433" s="17"/>
      <c r="DT433" s="24"/>
      <c r="DU433" s="60"/>
      <c r="DV433" s="16"/>
      <c r="DW433" s="16"/>
      <c r="DX433" s="16"/>
      <c r="DY433" s="16"/>
      <c r="DZ433" s="16"/>
      <c r="EA433" s="17"/>
      <c r="EE433" s="24"/>
      <c r="EF433" s="60"/>
      <c r="EG433" s="16"/>
      <c r="EH433" s="16"/>
      <c r="EI433" s="16"/>
      <c r="EJ433" s="16"/>
      <c r="EK433" s="16"/>
      <c r="EL433" s="17"/>
      <c r="EP433" s="24"/>
      <c r="EQ433" s="60"/>
      <c r="ER433" s="16"/>
      <c r="ES433" s="16"/>
      <c r="ET433" s="16"/>
      <c r="EU433" s="16"/>
      <c r="EV433" s="16"/>
      <c r="EW433" s="17"/>
      <c r="FA433" s="24"/>
      <c r="FB433" s="60"/>
      <c r="FC433" s="16"/>
      <c r="FD433" s="16"/>
      <c r="FE433" s="16"/>
      <c r="FF433" s="16"/>
      <c r="FG433" s="16"/>
      <c r="FH433" s="17"/>
      <c r="FL433" s="24"/>
      <c r="FM433" s="60"/>
      <c r="FN433" s="16"/>
      <c r="FO433" s="16"/>
      <c r="FP433" s="16"/>
      <c r="FQ433" s="16"/>
      <c r="FR433" s="16"/>
      <c r="FS433" s="17"/>
      <c r="FW433" s="24"/>
      <c r="FX433" s="60"/>
      <c r="FY433" s="16"/>
      <c r="FZ433" s="16"/>
      <c r="GA433" s="16"/>
      <c r="GB433" s="16"/>
      <c r="GC433" s="16"/>
      <c r="GD433" s="17"/>
      <c r="GH433" s="24"/>
      <c r="GI433" s="60"/>
      <c r="GJ433" s="16"/>
      <c r="GK433" s="16"/>
      <c r="GL433" s="16"/>
      <c r="GM433" s="16"/>
      <c r="GN433" s="16"/>
      <c r="GO433" s="17"/>
      <c r="GS433" s="24"/>
      <c r="GT433" s="60"/>
      <c r="GU433" s="16"/>
      <c r="GV433" s="16"/>
      <c r="GW433" s="16"/>
      <c r="GX433" s="16"/>
      <c r="GY433" s="16"/>
      <c r="GZ433" s="17"/>
      <c r="HD433" s="24"/>
      <c r="HE433" s="60"/>
      <c r="HF433" s="16"/>
      <c r="HG433" s="16"/>
      <c r="HH433" s="16"/>
      <c r="HI433" s="16"/>
      <c r="HJ433" s="16"/>
      <c r="HK433" s="17"/>
      <c r="HO433" s="24"/>
      <c r="HP433" s="60"/>
      <c r="HQ433" s="16"/>
      <c r="HR433" s="16"/>
      <c r="HS433" s="16"/>
      <c r="HT433" s="16"/>
      <c r="HU433" s="16"/>
      <c r="HV433" s="17"/>
      <c r="HZ433" s="24"/>
      <c r="IA433" s="60"/>
      <c r="IB433" s="16"/>
      <c r="IC433" s="16"/>
      <c r="ID433" s="16"/>
      <c r="IE433" s="16"/>
      <c r="IF433" s="16"/>
      <c r="IG433" s="17"/>
      <c r="IK433" s="24"/>
      <c r="IL433" s="60"/>
      <c r="IM433" s="16"/>
      <c r="IN433" s="16"/>
      <c r="IO433" s="16"/>
      <c r="IP433" s="16"/>
      <c r="IQ433" s="16"/>
      <c r="IR433" s="17"/>
      <c r="IV433" s="24"/>
      <c r="IW433" s="60"/>
      <c r="IX433" s="16"/>
      <c r="IY433" s="16"/>
      <c r="IZ433" s="16"/>
      <c r="JA433" s="16"/>
      <c r="JB433" s="16"/>
      <c r="JC433" s="17"/>
      <c r="JG433" s="24"/>
      <c r="JH433" s="60"/>
      <c r="JI433" s="16"/>
      <c r="JJ433" s="16"/>
      <c r="JK433" s="16"/>
      <c r="JL433" s="16"/>
      <c r="JM433" s="16"/>
      <c r="JN433" s="17"/>
      <c r="JR433" s="24"/>
      <c r="JS433" s="60"/>
      <c r="JT433" s="16"/>
      <c r="JU433" s="16"/>
      <c r="JV433" s="16"/>
      <c r="JW433" s="16"/>
      <c r="JX433" s="16"/>
      <c r="JY433" s="17"/>
      <c r="KC433" s="24"/>
      <c r="KD433" s="60"/>
      <c r="KE433" s="16"/>
      <c r="KF433" s="16"/>
      <c r="KG433" s="16"/>
      <c r="KH433" s="16"/>
      <c r="KI433" s="16"/>
      <c r="KJ433" s="17"/>
      <c r="KN433" s="24"/>
      <c r="KO433" s="60"/>
      <c r="KP433" s="16"/>
      <c r="KQ433" s="16"/>
      <c r="KR433" s="16"/>
      <c r="KS433" s="16"/>
      <c r="KT433" s="16"/>
      <c r="KU433" s="17"/>
      <c r="KY433" s="24"/>
      <c r="KZ433" s="60"/>
      <c r="LA433" s="16"/>
      <c r="LB433" s="16"/>
      <c r="LC433" s="16"/>
      <c r="LD433" s="16"/>
      <c r="LE433" s="16"/>
      <c r="LF433" s="17"/>
      <c r="LJ433" s="24"/>
      <c r="LK433" s="60"/>
      <c r="LL433" s="16"/>
      <c r="LM433" s="16"/>
      <c r="LN433" s="16"/>
      <c r="LO433" s="16"/>
      <c r="LP433" s="16"/>
      <c r="LQ433" s="17"/>
    </row>
    <row r="434">
      <c r="C434" s="31"/>
      <c r="D434" s="61"/>
      <c r="E434" s="16"/>
      <c r="F434" s="16"/>
      <c r="G434" s="21"/>
      <c r="H434" s="16"/>
      <c r="I434" s="16"/>
      <c r="J434" s="17"/>
      <c r="N434" s="17"/>
      <c r="O434" s="61"/>
      <c r="P434" s="16"/>
      <c r="Q434" s="16"/>
      <c r="R434" s="16"/>
      <c r="S434" s="16"/>
      <c r="T434" s="16"/>
      <c r="U434" s="17"/>
      <c r="Y434" s="24"/>
      <c r="Z434" s="61"/>
      <c r="AA434" s="16"/>
      <c r="AB434" s="16"/>
      <c r="AC434" s="16"/>
      <c r="AD434" s="16"/>
      <c r="AE434" s="16"/>
      <c r="AF434" s="17"/>
      <c r="AJ434" s="24"/>
      <c r="AK434" s="61"/>
      <c r="AL434" s="16"/>
      <c r="AM434" s="16"/>
      <c r="AN434" s="16"/>
      <c r="AO434" s="16"/>
      <c r="AP434" s="16"/>
      <c r="AQ434" s="17"/>
      <c r="AU434" s="24"/>
      <c r="AV434" s="61"/>
      <c r="AW434" s="16"/>
      <c r="AX434" s="16"/>
      <c r="AY434" s="16"/>
      <c r="AZ434" s="16"/>
      <c r="BA434" s="16"/>
      <c r="BB434" s="17"/>
      <c r="BF434" s="24"/>
      <c r="BG434" s="61"/>
      <c r="BH434" s="16"/>
      <c r="BI434" s="16"/>
      <c r="BJ434" s="16"/>
      <c r="BK434" s="16"/>
      <c r="BL434" s="16"/>
      <c r="BM434" s="17"/>
      <c r="BQ434" s="24"/>
      <c r="BR434" s="61"/>
      <c r="BS434" s="16"/>
      <c r="BT434" s="16"/>
      <c r="BU434" s="16"/>
      <c r="BV434" s="16"/>
      <c r="BW434" s="16"/>
      <c r="BX434" s="17"/>
      <c r="CB434" s="24"/>
      <c r="CC434" s="61"/>
      <c r="CD434" s="16"/>
      <c r="CE434" s="16"/>
      <c r="CF434" s="16"/>
      <c r="CG434" s="16"/>
      <c r="CH434" s="16"/>
      <c r="CI434" s="17"/>
      <c r="CM434" s="24"/>
      <c r="CN434" s="61"/>
      <c r="CO434" s="16"/>
      <c r="CP434" s="16"/>
      <c r="CQ434" s="16"/>
      <c r="CR434" s="16"/>
      <c r="CS434" s="16"/>
      <c r="CT434" s="17"/>
      <c r="CX434" s="24"/>
      <c r="CY434" s="60"/>
      <c r="CZ434" s="16"/>
      <c r="DA434" s="16"/>
      <c r="DB434" s="16"/>
      <c r="DC434" s="16"/>
      <c r="DD434" s="16"/>
      <c r="DE434" s="17"/>
      <c r="DI434" s="24"/>
      <c r="DJ434" s="60"/>
      <c r="DK434" s="16"/>
      <c r="DL434" s="16"/>
      <c r="DM434" s="16"/>
      <c r="DN434" s="16"/>
      <c r="DO434" s="16"/>
      <c r="DP434" s="17"/>
      <c r="DT434" s="24"/>
      <c r="DU434" s="60"/>
      <c r="DV434" s="16"/>
      <c r="DW434" s="16"/>
      <c r="DX434" s="16"/>
      <c r="DY434" s="16"/>
      <c r="DZ434" s="16"/>
      <c r="EA434" s="17"/>
      <c r="EE434" s="24"/>
      <c r="EF434" s="60"/>
      <c r="EG434" s="16"/>
      <c r="EH434" s="16"/>
      <c r="EI434" s="16"/>
      <c r="EJ434" s="16"/>
      <c r="EK434" s="16"/>
      <c r="EL434" s="17"/>
      <c r="EP434" s="24"/>
      <c r="EQ434" s="60"/>
      <c r="ER434" s="16"/>
      <c r="ES434" s="16"/>
      <c r="ET434" s="16"/>
      <c r="EU434" s="16"/>
      <c r="EV434" s="16"/>
      <c r="EW434" s="17"/>
      <c r="FA434" s="24"/>
      <c r="FB434" s="60"/>
      <c r="FC434" s="16"/>
      <c r="FD434" s="16"/>
      <c r="FE434" s="16"/>
      <c r="FF434" s="16"/>
      <c r="FG434" s="16"/>
      <c r="FH434" s="17"/>
      <c r="FL434" s="24"/>
      <c r="FM434" s="60"/>
      <c r="FN434" s="16"/>
      <c r="FO434" s="16"/>
      <c r="FP434" s="16"/>
      <c r="FQ434" s="16"/>
      <c r="FR434" s="16"/>
      <c r="FS434" s="17"/>
      <c r="FW434" s="24"/>
      <c r="FX434" s="60"/>
      <c r="FY434" s="16"/>
      <c r="FZ434" s="16"/>
      <c r="GA434" s="16"/>
      <c r="GB434" s="16"/>
      <c r="GC434" s="16"/>
      <c r="GD434" s="17"/>
      <c r="GH434" s="24"/>
      <c r="GI434" s="60"/>
      <c r="GJ434" s="16"/>
      <c r="GK434" s="16"/>
      <c r="GL434" s="16"/>
      <c r="GM434" s="16"/>
      <c r="GN434" s="16"/>
      <c r="GO434" s="17"/>
      <c r="GS434" s="24"/>
      <c r="GT434" s="60"/>
      <c r="GU434" s="16"/>
      <c r="GV434" s="16"/>
      <c r="GW434" s="16"/>
      <c r="GX434" s="16"/>
      <c r="GY434" s="16"/>
      <c r="GZ434" s="17"/>
      <c r="HD434" s="24"/>
      <c r="HE434" s="60"/>
      <c r="HF434" s="16"/>
      <c r="HG434" s="16"/>
      <c r="HH434" s="16"/>
      <c r="HI434" s="16"/>
      <c r="HJ434" s="16"/>
      <c r="HK434" s="17"/>
      <c r="HO434" s="24"/>
      <c r="HP434" s="60"/>
      <c r="HQ434" s="16"/>
      <c r="HR434" s="16"/>
      <c r="HS434" s="16"/>
      <c r="HT434" s="16"/>
      <c r="HU434" s="16"/>
      <c r="HV434" s="17"/>
      <c r="HZ434" s="24"/>
      <c r="IA434" s="60"/>
      <c r="IB434" s="16"/>
      <c r="IC434" s="16"/>
      <c r="ID434" s="16"/>
      <c r="IE434" s="16"/>
      <c r="IF434" s="16"/>
      <c r="IG434" s="17"/>
      <c r="IK434" s="24"/>
      <c r="IL434" s="60"/>
      <c r="IM434" s="16"/>
      <c r="IN434" s="16"/>
      <c r="IO434" s="16"/>
      <c r="IP434" s="16"/>
      <c r="IQ434" s="16"/>
      <c r="IR434" s="17"/>
      <c r="IV434" s="24"/>
      <c r="IW434" s="60"/>
      <c r="IX434" s="16"/>
      <c r="IY434" s="16"/>
      <c r="IZ434" s="16"/>
      <c r="JA434" s="16"/>
      <c r="JB434" s="16"/>
      <c r="JC434" s="17"/>
      <c r="JG434" s="24"/>
      <c r="JH434" s="60"/>
      <c r="JI434" s="16"/>
      <c r="JJ434" s="16"/>
      <c r="JK434" s="16"/>
      <c r="JL434" s="16"/>
      <c r="JM434" s="16"/>
      <c r="JN434" s="17"/>
      <c r="JR434" s="24"/>
      <c r="JS434" s="60"/>
      <c r="JT434" s="16"/>
      <c r="JU434" s="16"/>
      <c r="JV434" s="16"/>
      <c r="JW434" s="16"/>
      <c r="JX434" s="16"/>
      <c r="JY434" s="17"/>
      <c r="KC434" s="24"/>
      <c r="KD434" s="60"/>
      <c r="KE434" s="16"/>
      <c r="KF434" s="16"/>
      <c r="KG434" s="16"/>
      <c r="KH434" s="16"/>
      <c r="KI434" s="16"/>
      <c r="KJ434" s="17"/>
      <c r="KN434" s="24"/>
      <c r="KO434" s="60"/>
      <c r="KP434" s="16"/>
      <c r="KQ434" s="16"/>
      <c r="KR434" s="16"/>
      <c r="KS434" s="16"/>
      <c r="KT434" s="16"/>
      <c r="KU434" s="17"/>
      <c r="KY434" s="24"/>
      <c r="KZ434" s="60"/>
      <c r="LA434" s="16"/>
      <c r="LB434" s="16"/>
      <c r="LC434" s="16"/>
      <c r="LD434" s="16"/>
      <c r="LE434" s="16"/>
      <c r="LF434" s="17"/>
      <c r="LJ434" s="24"/>
      <c r="LK434" s="60"/>
      <c r="LL434" s="16"/>
      <c r="LM434" s="16"/>
      <c r="LN434" s="16"/>
      <c r="LO434" s="16"/>
      <c r="LP434" s="16"/>
      <c r="LQ434" s="17"/>
    </row>
    <row r="435">
      <c r="C435" s="31"/>
      <c r="D435" s="61"/>
      <c r="E435" s="16"/>
      <c r="F435" s="16"/>
      <c r="G435" s="21"/>
      <c r="H435" s="16"/>
      <c r="I435" s="16"/>
      <c r="J435" s="17"/>
      <c r="N435" s="17"/>
      <c r="O435" s="61"/>
      <c r="P435" s="16"/>
      <c r="Q435" s="16"/>
      <c r="R435" s="16"/>
      <c r="S435" s="16"/>
      <c r="T435" s="16"/>
      <c r="U435" s="17"/>
      <c r="Y435" s="24"/>
      <c r="Z435" s="61"/>
      <c r="AA435" s="16"/>
      <c r="AB435" s="16"/>
      <c r="AC435" s="16"/>
      <c r="AD435" s="16"/>
      <c r="AE435" s="16"/>
      <c r="AF435" s="17"/>
      <c r="AJ435" s="24"/>
      <c r="AK435" s="61"/>
      <c r="AL435" s="16"/>
      <c r="AM435" s="16"/>
      <c r="AN435" s="16"/>
      <c r="AO435" s="16"/>
      <c r="AP435" s="16"/>
      <c r="AQ435" s="17"/>
      <c r="AU435" s="24"/>
      <c r="AV435" s="61"/>
      <c r="AW435" s="16"/>
      <c r="AX435" s="16"/>
      <c r="AY435" s="16"/>
      <c r="AZ435" s="16"/>
      <c r="BA435" s="16"/>
      <c r="BB435" s="17"/>
      <c r="BF435" s="24"/>
      <c r="BG435" s="61"/>
      <c r="BH435" s="16"/>
      <c r="BI435" s="16"/>
      <c r="BJ435" s="16"/>
      <c r="BK435" s="16"/>
      <c r="BL435" s="16"/>
      <c r="BM435" s="17"/>
      <c r="BQ435" s="24"/>
      <c r="BR435" s="61"/>
      <c r="BS435" s="16"/>
      <c r="BT435" s="16"/>
      <c r="BU435" s="16"/>
      <c r="BV435" s="16"/>
      <c r="BW435" s="16"/>
      <c r="BX435" s="17"/>
      <c r="CB435" s="24"/>
      <c r="CC435" s="61"/>
      <c r="CD435" s="16"/>
      <c r="CE435" s="16"/>
      <c r="CF435" s="16"/>
      <c r="CG435" s="16"/>
      <c r="CH435" s="16"/>
      <c r="CI435" s="17"/>
      <c r="CM435" s="24"/>
      <c r="CN435" s="61"/>
      <c r="CO435" s="16"/>
      <c r="CP435" s="16"/>
      <c r="CQ435" s="16"/>
      <c r="CR435" s="16"/>
      <c r="CS435" s="16"/>
      <c r="CT435" s="17"/>
      <c r="CX435" s="24"/>
      <c r="CY435" s="60"/>
      <c r="CZ435" s="16"/>
      <c r="DA435" s="16"/>
      <c r="DB435" s="16"/>
      <c r="DC435" s="16"/>
      <c r="DD435" s="16"/>
      <c r="DE435" s="17"/>
      <c r="DI435" s="24"/>
      <c r="DJ435" s="60"/>
      <c r="DK435" s="16"/>
      <c r="DL435" s="16"/>
      <c r="DM435" s="16"/>
      <c r="DN435" s="16"/>
      <c r="DO435" s="16"/>
      <c r="DP435" s="17"/>
      <c r="DT435" s="24"/>
      <c r="DU435" s="60"/>
      <c r="DV435" s="16"/>
      <c r="DW435" s="16"/>
      <c r="DX435" s="16"/>
      <c r="DY435" s="16"/>
      <c r="DZ435" s="16"/>
      <c r="EA435" s="17"/>
      <c r="EE435" s="24"/>
      <c r="EF435" s="60"/>
      <c r="EG435" s="16"/>
      <c r="EH435" s="16"/>
      <c r="EI435" s="16"/>
      <c r="EJ435" s="16"/>
      <c r="EK435" s="16"/>
      <c r="EL435" s="17"/>
      <c r="EP435" s="24"/>
      <c r="EQ435" s="60"/>
      <c r="ER435" s="16"/>
      <c r="ES435" s="16"/>
      <c r="ET435" s="16"/>
      <c r="EU435" s="16"/>
      <c r="EV435" s="16"/>
      <c r="EW435" s="17"/>
      <c r="FA435" s="24"/>
      <c r="FB435" s="60"/>
      <c r="FC435" s="16"/>
      <c r="FD435" s="16"/>
      <c r="FE435" s="16"/>
      <c r="FF435" s="16"/>
      <c r="FG435" s="16"/>
      <c r="FH435" s="17"/>
      <c r="FL435" s="24"/>
      <c r="FM435" s="60"/>
      <c r="FN435" s="16"/>
      <c r="FO435" s="16"/>
      <c r="FP435" s="16"/>
      <c r="FQ435" s="16"/>
      <c r="FR435" s="16"/>
      <c r="FS435" s="17"/>
      <c r="FW435" s="24"/>
      <c r="FX435" s="60"/>
      <c r="FY435" s="16"/>
      <c r="FZ435" s="16"/>
      <c r="GA435" s="16"/>
      <c r="GB435" s="16"/>
      <c r="GC435" s="16"/>
      <c r="GD435" s="17"/>
      <c r="GH435" s="24"/>
      <c r="GI435" s="60"/>
      <c r="GJ435" s="16"/>
      <c r="GK435" s="16"/>
      <c r="GL435" s="16"/>
      <c r="GM435" s="16"/>
      <c r="GN435" s="16"/>
      <c r="GO435" s="17"/>
      <c r="GS435" s="24"/>
      <c r="GT435" s="60"/>
      <c r="GU435" s="16"/>
      <c r="GV435" s="16"/>
      <c r="GW435" s="16"/>
      <c r="GX435" s="16"/>
      <c r="GY435" s="16"/>
      <c r="GZ435" s="17"/>
      <c r="HD435" s="24"/>
      <c r="HE435" s="60"/>
      <c r="HF435" s="16"/>
      <c r="HG435" s="16"/>
      <c r="HH435" s="16"/>
      <c r="HI435" s="16"/>
      <c r="HJ435" s="16"/>
      <c r="HK435" s="17"/>
      <c r="HO435" s="24"/>
      <c r="HP435" s="60"/>
      <c r="HQ435" s="16"/>
      <c r="HR435" s="16"/>
      <c r="HS435" s="16"/>
      <c r="HT435" s="16"/>
      <c r="HU435" s="16"/>
      <c r="HV435" s="17"/>
      <c r="HZ435" s="24"/>
      <c r="IA435" s="60"/>
      <c r="IB435" s="16"/>
      <c r="IC435" s="16"/>
      <c r="ID435" s="16"/>
      <c r="IE435" s="16"/>
      <c r="IF435" s="16"/>
      <c r="IG435" s="17"/>
      <c r="IK435" s="24"/>
      <c r="IL435" s="60"/>
      <c r="IM435" s="16"/>
      <c r="IN435" s="16"/>
      <c r="IO435" s="16"/>
      <c r="IP435" s="16"/>
      <c r="IQ435" s="16"/>
      <c r="IR435" s="17"/>
      <c r="IV435" s="24"/>
      <c r="IW435" s="60"/>
      <c r="IX435" s="16"/>
      <c r="IY435" s="16"/>
      <c r="IZ435" s="16"/>
      <c r="JA435" s="16"/>
      <c r="JB435" s="16"/>
      <c r="JC435" s="17"/>
      <c r="JG435" s="24"/>
      <c r="JH435" s="60"/>
      <c r="JI435" s="16"/>
      <c r="JJ435" s="16"/>
      <c r="JK435" s="16"/>
      <c r="JL435" s="16"/>
      <c r="JM435" s="16"/>
      <c r="JN435" s="17"/>
      <c r="JR435" s="24"/>
      <c r="JS435" s="60"/>
      <c r="JT435" s="16"/>
      <c r="JU435" s="16"/>
      <c r="JV435" s="16"/>
      <c r="JW435" s="16"/>
      <c r="JX435" s="16"/>
      <c r="JY435" s="17"/>
      <c r="KC435" s="24"/>
      <c r="KD435" s="60"/>
      <c r="KE435" s="16"/>
      <c r="KF435" s="16"/>
      <c r="KG435" s="16"/>
      <c r="KH435" s="16"/>
      <c r="KI435" s="16"/>
      <c r="KJ435" s="17"/>
      <c r="KN435" s="24"/>
      <c r="KO435" s="60"/>
      <c r="KP435" s="16"/>
      <c r="KQ435" s="16"/>
      <c r="KR435" s="16"/>
      <c r="KS435" s="16"/>
      <c r="KT435" s="16"/>
      <c r="KU435" s="17"/>
      <c r="KY435" s="24"/>
      <c r="KZ435" s="60"/>
      <c r="LA435" s="16"/>
      <c r="LB435" s="16"/>
      <c r="LC435" s="16"/>
      <c r="LD435" s="16"/>
      <c r="LE435" s="16"/>
      <c r="LF435" s="17"/>
      <c r="LJ435" s="24"/>
      <c r="LK435" s="60"/>
      <c r="LL435" s="16"/>
      <c r="LM435" s="16"/>
      <c r="LN435" s="16"/>
      <c r="LO435" s="16"/>
      <c r="LP435" s="16"/>
      <c r="LQ435" s="17"/>
    </row>
    <row r="436">
      <c r="C436" s="31"/>
      <c r="D436" s="61"/>
      <c r="E436" s="16"/>
      <c r="F436" s="16"/>
      <c r="G436" s="21"/>
      <c r="H436" s="16"/>
      <c r="I436" s="16"/>
      <c r="J436" s="17"/>
      <c r="N436" s="17"/>
      <c r="O436" s="61"/>
      <c r="P436" s="16"/>
      <c r="Q436" s="16"/>
      <c r="R436" s="16"/>
      <c r="S436" s="16"/>
      <c r="T436" s="16"/>
      <c r="U436" s="17"/>
      <c r="Y436" s="24"/>
      <c r="Z436" s="61"/>
      <c r="AA436" s="16"/>
      <c r="AB436" s="16"/>
      <c r="AC436" s="16"/>
      <c r="AD436" s="16"/>
      <c r="AE436" s="16"/>
      <c r="AF436" s="17"/>
      <c r="AJ436" s="24"/>
      <c r="AK436" s="61"/>
      <c r="AL436" s="16"/>
      <c r="AM436" s="16"/>
      <c r="AN436" s="16"/>
      <c r="AO436" s="16"/>
      <c r="AP436" s="16"/>
      <c r="AQ436" s="17"/>
      <c r="AU436" s="24"/>
      <c r="AV436" s="61"/>
      <c r="AW436" s="16"/>
      <c r="AX436" s="16"/>
      <c r="AY436" s="16"/>
      <c r="AZ436" s="16"/>
      <c r="BA436" s="16"/>
      <c r="BB436" s="17"/>
      <c r="BF436" s="24"/>
      <c r="BG436" s="61"/>
      <c r="BH436" s="16"/>
      <c r="BI436" s="16"/>
      <c r="BJ436" s="16"/>
      <c r="BK436" s="16"/>
      <c r="BL436" s="16"/>
      <c r="BM436" s="17"/>
      <c r="BQ436" s="24"/>
      <c r="BR436" s="61"/>
      <c r="BS436" s="16"/>
      <c r="BT436" s="16"/>
      <c r="BU436" s="16"/>
      <c r="BV436" s="16"/>
      <c r="BW436" s="16"/>
      <c r="BX436" s="17"/>
      <c r="CB436" s="24"/>
      <c r="CC436" s="61"/>
      <c r="CD436" s="16"/>
      <c r="CE436" s="16"/>
      <c r="CF436" s="16"/>
      <c r="CG436" s="16"/>
      <c r="CH436" s="16"/>
      <c r="CI436" s="17"/>
      <c r="CM436" s="24"/>
      <c r="CN436" s="61"/>
      <c r="CO436" s="16"/>
      <c r="CP436" s="16"/>
      <c r="CQ436" s="16"/>
      <c r="CR436" s="16"/>
      <c r="CS436" s="16"/>
      <c r="CT436" s="17"/>
      <c r="CX436" s="24"/>
      <c r="CY436" s="60"/>
      <c r="CZ436" s="16"/>
      <c r="DA436" s="16"/>
      <c r="DB436" s="16"/>
      <c r="DC436" s="16"/>
      <c r="DD436" s="16"/>
      <c r="DE436" s="17"/>
      <c r="DI436" s="24"/>
      <c r="DJ436" s="60"/>
      <c r="DK436" s="16"/>
      <c r="DL436" s="16"/>
      <c r="DM436" s="16"/>
      <c r="DN436" s="16"/>
      <c r="DO436" s="16"/>
      <c r="DP436" s="17"/>
      <c r="DT436" s="24"/>
      <c r="DU436" s="60"/>
      <c r="DV436" s="16"/>
      <c r="DW436" s="16"/>
      <c r="DX436" s="16"/>
      <c r="DY436" s="16"/>
      <c r="DZ436" s="16"/>
      <c r="EA436" s="17"/>
      <c r="EE436" s="24"/>
      <c r="EF436" s="60"/>
      <c r="EG436" s="16"/>
      <c r="EH436" s="16"/>
      <c r="EI436" s="16"/>
      <c r="EJ436" s="16"/>
      <c r="EK436" s="16"/>
      <c r="EL436" s="17"/>
      <c r="EP436" s="24"/>
      <c r="EQ436" s="60"/>
      <c r="ER436" s="16"/>
      <c r="ES436" s="16"/>
      <c r="ET436" s="16"/>
      <c r="EU436" s="16"/>
      <c r="EV436" s="16"/>
      <c r="EW436" s="17"/>
      <c r="FA436" s="24"/>
      <c r="FB436" s="60"/>
      <c r="FC436" s="16"/>
      <c r="FD436" s="16"/>
      <c r="FE436" s="16"/>
      <c r="FF436" s="16"/>
      <c r="FG436" s="16"/>
      <c r="FH436" s="17"/>
      <c r="FL436" s="24"/>
      <c r="FM436" s="60"/>
      <c r="FN436" s="16"/>
      <c r="FO436" s="16"/>
      <c r="FP436" s="16"/>
      <c r="FQ436" s="16"/>
      <c r="FR436" s="16"/>
      <c r="FS436" s="17"/>
      <c r="FW436" s="24"/>
      <c r="FX436" s="60"/>
      <c r="FY436" s="16"/>
      <c r="FZ436" s="16"/>
      <c r="GA436" s="16"/>
      <c r="GB436" s="16"/>
      <c r="GC436" s="16"/>
      <c r="GD436" s="17"/>
      <c r="GH436" s="24"/>
      <c r="GI436" s="60"/>
      <c r="GJ436" s="16"/>
      <c r="GK436" s="16"/>
      <c r="GL436" s="16"/>
      <c r="GM436" s="16"/>
      <c r="GN436" s="16"/>
      <c r="GO436" s="17"/>
      <c r="GS436" s="24"/>
      <c r="GT436" s="60"/>
      <c r="GU436" s="16"/>
      <c r="GV436" s="16"/>
      <c r="GW436" s="16"/>
      <c r="GX436" s="16"/>
      <c r="GY436" s="16"/>
      <c r="GZ436" s="17"/>
      <c r="HD436" s="24"/>
      <c r="HE436" s="60"/>
      <c r="HF436" s="16"/>
      <c r="HG436" s="16"/>
      <c r="HH436" s="16"/>
      <c r="HI436" s="16"/>
      <c r="HJ436" s="16"/>
      <c r="HK436" s="17"/>
      <c r="HO436" s="24"/>
      <c r="HP436" s="60"/>
      <c r="HQ436" s="16"/>
      <c r="HR436" s="16"/>
      <c r="HS436" s="16"/>
      <c r="HT436" s="16"/>
      <c r="HU436" s="16"/>
      <c r="HV436" s="17"/>
      <c r="HZ436" s="24"/>
      <c r="IA436" s="60"/>
      <c r="IB436" s="16"/>
      <c r="IC436" s="16"/>
      <c r="ID436" s="16"/>
      <c r="IE436" s="16"/>
      <c r="IF436" s="16"/>
      <c r="IG436" s="17"/>
      <c r="IK436" s="24"/>
      <c r="IL436" s="60"/>
      <c r="IM436" s="16"/>
      <c r="IN436" s="16"/>
      <c r="IO436" s="16"/>
      <c r="IP436" s="16"/>
      <c r="IQ436" s="16"/>
      <c r="IR436" s="17"/>
      <c r="IV436" s="24"/>
      <c r="IW436" s="60"/>
      <c r="IX436" s="16"/>
      <c r="IY436" s="16"/>
      <c r="IZ436" s="16"/>
      <c r="JA436" s="16"/>
      <c r="JB436" s="16"/>
      <c r="JC436" s="17"/>
      <c r="JG436" s="24"/>
      <c r="JH436" s="60"/>
      <c r="JI436" s="16"/>
      <c r="JJ436" s="16"/>
      <c r="JK436" s="16"/>
      <c r="JL436" s="16"/>
      <c r="JM436" s="16"/>
      <c r="JN436" s="17"/>
      <c r="JR436" s="24"/>
      <c r="JS436" s="60"/>
      <c r="JT436" s="16"/>
      <c r="JU436" s="16"/>
      <c r="JV436" s="16"/>
      <c r="JW436" s="16"/>
      <c r="JX436" s="16"/>
      <c r="JY436" s="17"/>
      <c r="KC436" s="24"/>
      <c r="KD436" s="60"/>
      <c r="KE436" s="16"/>
      <c r="KF436" s="16"/>
      <c r="KG436" s="16"/>
      <c r="KH436" s="16"/>
      <c r="KI436" s="16"/>
      <c r="KJ436" s="17"/>
      <c r="KN436" s="24"/>
      <c r="KO436" s="60"/>
      <c r="KP436" s="16"/>
      <c r="KQ436" s="16"/>
      <c r="KR436" s="16"/>
      <c r="KS436" s="16"/>
      <c r="KT436" s="16"/>
      <c r="KU436" s="17"/>
      <c r="KY436" s="24"/>
      <c r="KZ436" s="60"/>
      <c r="LA436" s="16"/>
      <c r="LB436" s="16"/>
      <c r="LC436" s="16"/>
      <c r="LD436" s="16"/>
      <c r="LE436" s="16"/>
      <c r="LF436" s="17"/>
      <c r="LJ436" s="24"/>
      <c r="LK436" s="60"/>
      <c r="LL436" s="16"/>
      <c r="LM436" s="16"/>
      <c r="LN436" s="16"/>
      <c r="LO436" s="16"/>
      <c r="LP436" s="16"/>
      <c r="LQ436" s="17"/>
    </row>
    <row r="437">
      <c r="C437" s="31"/>
      <c r="D437" s="61"/>
      <c r="E437" s="16"/>
      <c r="F437" s="16"/>
      <c r="G437" s="21"/>
      <c r="H437" s="16"/>
      <c r="I437" s="16"/>
      <c r="J437" s="17"/>
      <c r="N437" s="17"/>
      <c r="O437" s="61"/>
      <c r="P437" s="16"/>
      <c r="Q437" s="16"/>
      <c r="R437" s="16"/>
      <c r="S437" s="16"/>
      <c r="T437" s="16"/>
      <c r="U437" s="17"/>
      <c r="Y437" s="24"/>
      <c r="Z437" s="61"/>
      <c r="AA437" s="16"/>
      <c r="AB437" s="16"/>
      <c r="AC437" s="16"/>
      <c r="AD437" s="16"/>
      <c r="AE437" s="16"/>
      <c r="AF437" s="17"/>
      <c r="AJ437" s="24"/>
      <c r="AK437" s="61"/>
      <c r="AL437" s="16"/>
      <c r="AM437" s="16"/>
      <c r="AN437" s="16"/>
      <c r="AO437" s="16"/>
      <c r="AP437" s="16"/>
      <c r="AQ437" s="17"/>
      <c r="AU437" s="24"/>
      <c r="AV437" s="61"/>
      <c r="AW437" s="16"/>
      <c r="AX437" s="16"/>
      <c r="AY437" s="16"/>
      <c r="AZ437" s="16"/>
      <c r="BA437" s="16"/>
      <c r="BB437" s="17"/>
      <c r="BF437" s="24"/>
      <c r="BG437" s="61"/>
      <c r="BH437" s="16"/>
      <c r="BI437" s="16"/>
      <c r="BJ437" s="16"/>
      <c r="BK437" s="16"/>
      <c r="BL437" s="16"/>
      <c r="BM437" s="17"/>
      <c r="BQ437" s="24"/>
      <c r="BR437" s="61"/>
      <c r="BS437" s="16"/>
      <c r="BT437" s="16"/>
      <c r="BU437" s="16"/>
      <c r="BV437" s="16"/>
      <c r="BW437" s="16"/>
      <c r="BX437" s="17"/>
      <c r="CB437" s="24"/>
      <c r="CC437" s="61"/>
      <c r="CD437" s="16"/>
      <c r="CE437" s="16"/>
      <c r="CF437" s="16"/>
      <c r="CG437" s="16"/>
      <c r="CH437" s="16"/>
      <c r="CI437" s="17"/>
      <c r="CM437" s="24"/>
      <c r="CN437" s="61"/>
      <c r="CO437" s="16"/>
      <c r="CP437" s="16"/>
      <c r="CQ437" s="16"/>
      <c r="CR437" s="16"/>
      <c r="CS437" s="16"/>
      <c r="CT437" s="17"/>
      <c r="CX437" s="24"/>
      <c r="CY437" s="60"/>
      <c r="CZ437" s="16"/>
      <c r="DA437" s="16"/>
      <c r="DB437" s="16"/>
      <c r="DC437" s="16"/>
      <c r="DD437" s="16"/>
      <c r="DE437" s="17"/>
      <c r="DI437" s="24"/>
      <c r="DJ437" s="60"/>
      <c r="DK437" s="16"/>
      <c r="DL437" s="16"/>
      <c r="DM437" s="16"/>
      <c r="DN437" s="16"/>
      <c r="DO437" s="16"/>
      <c r="DP437" s="17"/>
      <c r="DT437" s="24"/>
      <c r="DU437" s="60"/>
      <c r="DV437" s="16"/>
      <c r="DW437" s="16"/>
      <c r="DX437" s="16"/>
      <c r="DY437" s="16"/>
      <c r="DZ437" s="16"/>
      <c r="EA437" s="17"/>
      <c r="EE437" s="24"/>
      <c r="EF437" s="60"/>
      <c r="EG437" s="16"/>
      <c r="EH437" s="16"/>
      <c r="EI437" s="16"/>
      <c r="EJ437" s="16"/>
      <c r="EK437" s="16"/>
      <c r="EL437" s="17"/>
      <c r="EP437" s="24"/>
      <c r="EQ437" s="60"/>
      <c r="ER437" s="16"/>
      <c r="ES437" s="16"/>
      <c r="ET437" s="16"/>
      <c r="EU437" s="16"/>
      <c r="EV437" s="16"/>
      <c r="EW437" s="17"/>
      <c r="FA437" s="24"/>
      <c r="FB437" s="60"/>
      <c r="FC437" s="16"/>
      <c r="FD437" s="16"/>
      <c r="FE437" s="16"/>
      <c r="FF437" s="16"/>
      <c r="FG437" s="16"/>
      <c r="FH437" s="17"/>
      <c r="FL437" s="24"/>
      <c r="FM437" s="60"/>
      <c r="FN437" s="16"/>
      <c r="FO437" s="16"/>
      <c r="FP437" s="16"/>
      <c r="FQ437" s="16"/>
      <c r="FR437" s="16"/>
      <c r="FS437" s="17"/>
      <c r="FW437" s="24"/>
      <c r="FX437" s="60"/>
      <c r="FY437" s="16"/>
      <c r="FZ437" s="16"/>
      <c r="GA437" s="16"/>
      <c r="GB437" s="16"/>
      <c r="GC437" s="16"/>
      <c r="GD437" s="17"/>
      <c r="GH437" s="24"/>
      <c r="GI437" s="60"/>
      <c r="GJ437" s="16"/>
      <c r="GK437" s="16"/>
      <c r="GL437" s="16"/>
      <c r="GM437" s="16"/>
      <c r="GN437" s="16"/>
      <c r="GO437" s="17"/>
      <c r="GS437" s="24"/>
      <c r="GT437" s="60"/>
      <c r="GU437" s="16"/>
      <c r="GV437" s="16"/>
      <c r="GW437" s="16"/>
      <c r="GX437" s="16"/>
      <c r="GY437" s="16"/>
      <c r="GZ437" s="17"/>
      <c r="HD437" s="24"/>
      <c r="HE437" s="60"/>
      <c r="HF437" s="16"/>
      <c r="HG437" s="16"/>
      <c r="HH437" s="16"/>
      <c r="HI437" s="16"/>
      <c r="HJ437" s="16"/>
      <c r="HK437" s="17"/>
      <c r="HO437" s="24"/>
      <c r="HP437" s="60"/>
      <c r="HQ437" s="16"/>
      <c r="HR437" s="16"/>
      <c r="HS437" s="16"/>
      <c r="HT437" s="16"/>
      <c r="HU437" s="16"/>
      <c r="HV437" s="17"/>
      <c r="HZ437" s="24"/>
      <c r="IA437" s="60"/>
      <c r="IB437" s="16"/>
      <c r="IC437" s="16"/>
      <c r="ID437" s="16"/>
      <c r="IE437" s="16"/>
      <c r="IF437" s="16"/>
      <c r="IG437" s="17"/>
      <c r="IK437" s="24"/>
      <c r="IL437" s="60"/>
      <c r="IM437" s="16"/>
      <c r="IN437" s="16"/>
      <c r="IO437" s="16"/>
      <c r="IP437" s="16"/>
      <c r="IQ437" s="16"/>
      <c r="IR437" s="17"/>
      <c r="IV437" s="24"/>
      <c r="IW437" s="60"/>
      <c r="IX437" s="16"/>
      <c r="IY437" s="16"/>
      <c r="IZ437" s="16"/>
      <c r="JA437" s="16"/>
      <c r="JB437" s="16"/>
      <c r="JC437" s="17"/>
      <c r="JG437" s="24"/>
      <c r="JH437" s="60"/>
      <c r="JI437" s="16"/>
      <c r="JJ437" s="16"/>
      <c r="JK437" s="16"/>
      <c r="JL437" s="16"/>
      <c r="JM437" s="16"/>
      <c r="JN437" s="17"/>
      <c r="JR437" s="24"/>
      <c r="JS437" s="60"/>
      <c r="JT437" s="16"/>
      <c r="JU437" s="16"/>
      <c r="JV437" s="16"/>
      <c r="JW437" s="16"/>
      <c r="JX437" s="16"/>
      <c r="JY437" s="17"/>
      <c r="KC437" s="24"/>
      <c r="KD437" s="60"/>
      <c r="KE437" s="16"/>
      <c r="KF437" s="16"/>
      <c r="KG437" s="16"/>
      <c r="KH437" s="16"/>
      <c r="KI437" s="16"/>
      <c r="KJ437" s="17"/>
      <c r="KN437" s="24"/>
      <c r="KO437" s="60"/>
      <c r="KP437" s="16"/>
      <c r="KQ437" s="16"/>
      <c r="KR437" s="16"/>
      <c r="KS437" s="16"/>
      <c r="KT437" s="16"/>
      <c r="KU437" s="17"/>
      <c r="KY437" s="24"/>
      <c r="KZ437" s="60"/>
      <c r="LA437" s="16"/>
      <c r="LB437" s="16"/>
      <c r="LC437" s="16"/>
      <c r="LD437" s="16"/>
      <c r="LE437" s="16"/>
      <c r="LF437" s="17"/>
      <c r="LJ437" s="24"/>
      <c r="LK437" s="60"/>
      <c r="LL437" s="16"/>
      <c r="LM437" s="16"/>
      <c r="LN437" s="16"/>
      <c r="LO437" s="16"/>
      <c r="LP437" s="16"/>
      <c r="LQ437" s="17"/>
    </row>
    <row r="438">
      <c r="C438" s="31"/>
      <c r="D438" s="61"/>
      <c r="E438" s="16"/>
      <c r="F438" s="16"/>
      <c r="G438" s="21"/>
      <c r="H438" s="16"/>
      <c r="I438" s="16"/>
      <c r="J438" s="17"/>
      <c r="N438" s="17"/>
      <c r="O438" s="61"/>
      <c r="P438" s="16"/>
      <c r="Q438" s="16"/>
      <c r="R438" s="16"/>
      <c r="S438" s="16"/>
      <c r="T438" s="16"/>
      <c r="U438" s="17"/>
      <c r="Y438" s="24"/>
      <c r="Z438" s="61"/>
      <c r="AA438" s="16"/>
      <c r="AB438" s="16"/>
      <c r="AC438" s="16"/>
      <c r="AD438" s="16"/>
      <c r="AE438" s="16"/>
      <c r="AF438" s="17"/>
      <c r="AJ438" s="24"/>
      <c r="AK438" s="61"/>
      <c r="AL438" s="16"/>
      <c r="AM438" s="16"/>
      <c r="AN438" s="16"/>
      <c r="AO438" s="16"/>
      <c r="AP438" s="16"/>
      <c r="AQ438" s="17"/>
      <c r="AU438" s="24"/>
      <c r="AV438" s="61"/>
      <c r="AW438" s="16"/>
      <c r="AX438" s="16"/>
      <c r="AY438" s="16"/>
      <c r="AZ438" s="16"/>
      <c r="BA438" s="16"/>
      <c r="BB438" s="17"/>
      <c r="BF438" s="24"/>
      <c r="BG438" s="61"/>
      <c r="BH438" s="16"/>
      <c r="BI438" s="16"/>
      <c r="BJ438" s="16"/>
      <c r="BK438" s="16"/>
      <c r="BL438" s="16"/>
      <c r="BM438" s="17"/>
      <c r="BQ438" s="24"/>
      <c r="BR438" s="61"/>
      <c r="BS438" s="16"/>
      <c r="BT438" s="16"/>
      <c r="BU438" s="16"/>
      <c r="BV438" s="16"/>
      <c r="BW438" s="16"/>
      <c r="BX438" s="17"/>
      <c r="CB438" s="24"/>
      <c r="CC438" s="61"/>
      <c r="CD438" s="16"/>
      <c r="CE438" s="16"/>
      <c r="CF438" s="16"/>
      <c r="CG438" s="16"/>
      <c r="CH438" s="16"/>
      <c r="CI438" s="17"/>
      <c r="CM438" s="24"/>
      <c r="CN438" s="61"/>
      <c r="CO438" s="16"/>
      <c r="CP438" s="16"/>
      <c r="CQ438" s="16"/>
      <c r="CR438" s="16"/>
      <c r="CS438" s="16"/>
      <c r="CT438" s="17"/>
      <c r="CX438" s="24"/>
      <c r="CY438" s="60"/>
      <c r="CZ438" s="16"/>
      <c r="DA438" s="16"/>
      <c r="DB438" s="16"/>
      <c r="DC438" s="16"/>
      <c r="DD438" s="16"/>
      <c r="DE438" s="17"/>
      <c r="DI438" s="24"/>
      <c r="DJ438" s="60"/>
      <c r="DK438" s="16"/>
      <c r="DL438" s="16"/>
      <c r="DM438" s="16"/>
      <c r="DN438" s="16"/>
      <c r="DO438" s="16"/>
      <c r="DP438" s="17"/>
      <c r="DT438" s="24"/>
      <c r="DU438" s="60"/>
      <c r="DV438" s="16"/>
      <c r="DW438" s="16"/>
      <c r="DX438" s="16"/>
      <c r="DY438" s="16"/>
      <c r="DZ438" s="16"/>
      <c r="EA438" s="17"/>
      <c r="EE438" s="24"/>
      <c r="EF438" s="60"/>
      <c r="EG438" s="16"/>
      <c r="EH438" s="16"/>
      <c r="EI438" s="16"/>
      <c r="EJ438" s="16"/>
      <c r="EK438" s="16"/>
      <c r="EL438" s="17"/>
      <c r="EP438" s="24"/>
      <c r="EQ438" s="60"/>
      <c r="ER438" s="16"/>
      <c r="ES438" s="16"/>
      <c r="ET438" s="16"/>
      <c r="EU438" s="16"/>
      <c r="EV438" s="16"/>
      <c r="EW438" s="17"/>
      <c r="FA438" s="24"/>
      <c r="FB438" s="60"/>
      <c r="FC438" s="16"/>
      <c r="FD438" s="16"/>
      <c r="FE438" s="16"/>
      <c r="FF438" s="16"/>
      <c r="FG438" s="16"/>
      <c r="FH438" s="17"/>
      <c r="FL438" s="24"/>
      <c r="FM438" s="60"/>
      <c r="FN438" s="16"/>
      <c r="FO438" s="16"/>
      <c r="FP438" s="16"/>
      <c r="FQ438" s="16"/>
      <c r="FR438" s="16"/>
      <c r="FS438" s="17"/>
      <c r="FW438" s="24"/>
      <c r="FX438" s="60"/>
      <c r="FY438" s="16"/>
      <c r="FZ438" s="16"/>
      <c r="GA438" s="16"/>
      <c r="GB438" s="16"/>
      <c r="GC438" s="16"/>
      <c r="GD438" s="17"/>
      <c r="GH438" s="24"/>
      <c r="GI438" s="60"/>
      <c r="GJ438" s="16"/>
      <c r="GK438" s="16"/>
      <c r="GL438" s="16"/>
      <c r="GM438" s="16"/>
      <c r="GN438" s="16"/>
      <c r="GO438" s="17"/>
      <c r="GS438" s="24"/>
      <c r="GT438" s="60"/>
      <c r="GU438" s="16"/>
      <c r="GV438" s="16"/>
      <c r="GW438" s="16"/>
      <c r="GX438" s="16"/>
      <c r="GY438" s="16"/>
      <c r="GZ438" s="17"/>
      <c r="HD438" s="24"/>
      <c r="HE438" s="60"/>
      <c r="HF438" s="16"/>
      <c r="HG438" s="16"/>
      <c r="HH438" s="16"/>
      <c r="HI438" s="16"/>
      <c r="HJ438" s="16"/>
      <c r="HK438" s="17"/>
      <c r="HO438" s="24"/>
      <c r="HP438" s="60"/>
      <c r="HQ438" s="16"/>
      <c r="HR438" s="16"/>
      <c r="HS438" s="16"/>
      <c r="HT438" s="16"/>
      <c r="HU438" s="16"/>
      <c r="HV438" s="17"/>
      <c r="HZ438" s="24"/>
      <c r="IA438" s="60"/>
      <c r="IB438" s="16"/>
      <c r="IC438" s="16"/>
      <c r="ID438" s="16"/>
      <c r="IE438" s="16"/>
      <c r="IF438" s="16"/>
      <c r="IG438" s="17"/>
      <c r="IK438" s="24"/>
      <c r="IL438" s="60"/>
      <c r="IM438" s="16"/>
      <c r="IN438" s="16"/>
      <c r="IO438" s="16"/>
      <c r="IP438" s="16"/>
      <c r="IQ438" s="16"/>
      <c r="IR438" s="17"/>
      <c r="IV438" s="24"/>
      <c r="IW438" s="60"/>
      <c r="IX438" s="16"/>
      <c r="IY438" s="16"/>
      <c r="IZ438" s="16"/>
      <c r="JA438" s="16"/>
      <c r="JB438" s="16"/>
      <c r="JC438" s="17"/>
      <c r="JG438" s="24"/>
      <c r="JH438" s="60"/>
      <c r="JI438" s="16"/>
      <c r="JJ438" s="16"/>
      <c r="JK438" s="16"/>
      <c r="JL438" s="16"/>
      <c r="JM438" s="16"/>
      <c r="JN438" s="17"/>
      <c r="JR438" s="24"/>
      <c r="JS438" s="60"/>
      <c r="JT438" s="16"/>
      <c r="JU438" s="16"/>
      <c r="JV438" s="16"/>
      <c r="JW438" s="16"/>
      <c r="JX438" s="16"/>
      <c r="JY438" s="17"/>
      <c r="KC438" s="24"/>
      <c r="KD438" s="60"/>
      <c r="KE438" s="16"/>
      <c r="KF438" s="16"/>
      <c r="KG438" s="16"/>
      <c r="KH438" s="16"/>
      <c r="KI438" s="16"/>
      <c r="KJ438" s="17"/>
      <c r="KN438" s="24"/>
      <c r="KO438" s="60"/>
      <c r="KP438" s="16"/>
      <c r="KQ438" s="16"/>
      <c r="KR438" s="16"/>
      <c r="KS438" s="16"/>
      <c r="KT438" s="16"/>
      <c r="KU438" s="17"/>
      <c r="KY438" s="24"/>
      <c r="KZ438" s="60"/>
      <c r="LA438" s="16"/>
      <c r="LB438" s="16"/>
      <c r="LC438" s="16"/>
      <c r="LD438" s="16"/>
      <c r="LE438" s="16"/>
      <c r="LF438" s="17"/>
      <c r="LJ438" s="24"/>
      <c r="LK438" s="60"/>
      <c r="LL438" s="16"/>
      <c r="LM438" s="16"/>
      <c r="LN438" s="16"/>
      <c r="LO438" s="16"/>
      <c r="LP438" s="16"/>
      <c r="LQ438" s="17"/>
    </row>
    <row r="439">
      <c r="C439" s="31"/>
      <c r="D439" s="61"/>
      <c r="E439" s="16"/>
      <c r="F439" s="16"/>
      <c r="G439" s="21"/>
      <c r="H439" s="16"/>
      <c r="I439" s="16"/>
      <c r="J439" s="17"/>
      <c r="N439" s="17"/>
      <c r="O439" s="61"/>
      <c r="P439" s="16"/>
      <c r="Q439" s="16"/>
      <c r="R439" s="16"/>
      <c r="S439" s="16"/>
      <c r="T439" s="16"/>
      <c r="U439" s="17"/>
      <c r="Y439" s="24"/>
      <c r="Z439" s="61"/>
      <c r="AA439" s="16"/>
      <c r="AB439" s="16"/>
      <c r="AC439" s="16"/>
      <c r="AD439" s="16"/>
      <c r="AE439" s="16"/>
      <c r="AF439" s="17"/>
      <c r="AJ439" s="24"/>
      <c r="AK439" s="61"/>
      <c r="AL439" s="16"/>
      <c r="AM439" s="16"/>
      <c r="AN439" s="16"/>
      <c r="AO439" s="16"/>
      <c r="AP439" s="16"/>
      <c r="AQ439" s="17"/>
      <c r="AU439" s="24"/>
      <c r="AV439" s="61"/>
      <c r="AW439" s="16"/>
      <c r="AX439" s="16"/>
      <c r="AY439" s="16"/>
      <c r="AZ439" s="16"/>
      <c r="BA439" s="16"/>
      <c r="BB439" s="17"/>
      <c r="BF439" s="24"/>
      <c r="BG439" s="61"/>
      <c r="BH439" s="16"/>
      <c r="BI439" s="16"/>
      <c r="BJ439" s="16"/>
      <c r="BK439" s="16"/>
      <c r="BL439" s="16"/>
      <c r="BM439" s="17"/>
      <c r="BQ439" s="24"/>
      <c r="BR439" s="61"/>
      <c r="BS439" s="16"/>
      <c r="BT439" s="16"/>
      <c r="BU439" s="16"/>
      <c r="BV439" s="16"/>
      <c r="BW439" s="16"/>
      <c r="BX439" s="17"/>
      <c r="CB439" s="24"/>
      <c r="CC439" s="61"/>
      <c r="CD439" s="16"/>
      <c r="CE439" s="16"/>
      <c r="CF439" s="16"/>
      <c r="CG439" s="16"/>
      <c r="CH439" s="16"/>
      <c r="CI439" s="17"/>
      <c r="CM439" s="24"/>
      <c r="CN439" s="61"/>
      <c r="CO439" s="16"/>
      <c r="CP439" s="16"/>
      <c r="CQ439" s="16"/>
      <c r="CR439" s="16"/>
      <c r="CS439" s="16"/>
      <c r="CT439" s="17"/>
      <c r="CX439" s="24"/>
      <c r="CY439" s="60"/>
      <c r="CZ439" s="16"/>
      <c r="DA439" s="16"/>
      <c r="DB439" s="16"/>
      <c r="DC439" s="16"/>
      <c r="DD439" s="16"/>
      <c r="DE439" s="17"/>
      <c r="DI439" s="24"/>
      <c r="DJ439" s="60"/>
      <c r="DK439" s="16"/>
      <c r="DL439" s="16"/>
      <c r="DM439" s="16"/>
      <c r="DN439" s="16"/>
      <c r="DO439" s="16"/>
      <c r="DP439" s="17"/>
      <c r="DT439" s="24"/>
      <c r="DU439" s="60"/>
      <c r="DV439" s="16"/>
      <c r="DW439" s="16"/>
      <c r="DX439" s="16"/>
      <c r="DY439" s="16"/>
      <c r="DZ439" s="16"/>
      <c r="EA439" s="17"/>
      <c r="EE439" s="24"/>
      <c r="EF439" s="60"/>
      <c r="EG439" s="16"/>
      <c r="EH439" s="16"/>
      <c r="EI439" s="16"/>
      <c r="EJ439" s="16"/>
      <c r="EK439" s="16"/>
      <c r="EL439" s="17"/>
      <c r="EP439" s="24"/>
      <c r="EQ439" s="60"/>
      <c r="ER439" s="16"/>
      <c r="ES439" s="16"/>
      <c r="ET439" s="16"/>
      <c r="EU439" s="16"/>
      <c r="EV439" s="16"/>
      <c r="EW439" s="17"/>
      <c r="FA439" s="24"/>
      <c r="FB439" s="60"/>
      <c r="FC439" s="16"/>
      <c r="FD439" s="16"/>
      <c r="FE439" s="16"/>
      <c r="FF439" s="16"/>
      <c r="FG439" s="16"/>
      <c r="FH439" s="17"/>
      <c r="FL439" s="24"/>
      <c r="FM439" s="60"/>
      <c r="FN439" s="16"/>
      <c r="FO439" s="16"/>
      <c r="FP439" s="16"/>
      <c r="FQ439" s="16"/>
      <c r="FR439" s="16"/>
      <c r="FS439" s="17"/>
      <c r="FW439" s="24"/>
      <c r="FX439" s="60"/>
      <c r="FY439" s="16"/>
      <c r="FZ439" s="16"/>
      <c r="GA439" s="16"/>
      <c r="GB439" s="16"/>
      <c r="GC439" s="16"/>
      <c r="GD439" s="17"/>
      <c r="GH439" s="24"/>
      <c r="GI439" s="60"/>
      <c r="GJ439" s="16"/>
      <c r="GK439" s="16"/>
      <c r="GL439" s="16"/>
      <c r="GM439" s="16"/>
      <c r="GN439" s="16"/>
      <c r="GO439" s="17"/>
      <c r="GS439" s="24"/>
      <c r="GT439" s="60"/>
      <c r="GU439" s="16"/>
      <c r="GV439" s="16"/>
      <c r="GW439" s="16"/>
      <c r="GX439" s="16"/>
      <c r="GY439" s="16"/>
      <c r="GZ439" s="17"/>
      <c r="HD439" s="24"/>
      <c r="HE439" s="60"/>
      <c r="HF439" s="16"/>
      <c r="HG439" s="16"/>
      <c r="HH439" s="16"/>
      <c r="HI439" s="16"/>
      <c r="HJ439" s="16"/>
      <c r="HK439" s="17"/>
      <c r="HO439" s="24"/>
      <c r="HP439" s="60"/>
      <c r="HQ439" s="16"/>
      <c r="HR439" s="16"/>
      <c r="HS439" s="16"/>
      <c r="HT439" s="16"/>
      <c r="HU439" s="16"/>
      <c r="HV439" s="17"/>
      <c r="HZ439" s="24"/>
      <c r="IA439" s="60"/>
      <c r="IB439" s="16"/>
      <c r="IC439" s="16"/>
      <c r="ID439" s="16"/>
      <c r="IE439" s="16"/>
      <c r="IF439" s="16"/>
      <c r="IG439" s="17"/>
      <c r="IK439" s="24"/>
      <c r="IL439" s="60"/>
      <c r="IM439" s="16"/>
      <c r="IN439" s="16"/>
      <c r="IO439" s="16"/>
      <c r="IP439" s="16"/>
      <c r="IQ439" s="16"/>
      <c r="IR439" s="17"/>
      <c r="IV439" s="24"/>
      <c r="IW439" s="60"/>
      <c r="IX439" s="16"/>
      <c r="IY439" s="16"/>
      <c r="IZ439" s="16"/>
      <c r="JA439" s="16"/>
      <c r="JB439" s="16"/>
      <c r="JC439" s="17"/>
      <c r="JG439" s="24"/>
      <c r="JH439" s="60"/>
      <c r="JI439" s="16"/>
      <c r="JJ439" s="16"/>
      <c r="JK439" s="16"/>
      <c r="JL439" s="16"/>
      <c r="JM439" s="16"/>
      <c r="JN439" s="17"/>
      <c r="JR439" s="24"/>
      <c r="JS439" s="60"/>
      <c r="JT439" s="16"/>
      <c r="JU439" s="16"/>
      <c r="JV439" s="16"/>
      <c r="JW439" s="16"/>
      <c r="JX439" s="16"/>
      <c r="JY439" s="17"/>
      <c r="KC439" s="24"/>
      <c r="KD439" s="60"/>
      <c r="KE439" s="16"/>
      <c r="KF439" s="16"/>
      <c r="KG439" s="16"/>
      <c r="KH439" s="16"/>
      <c r="KI439" s="16"/>
      <c r="KJ439" s="17"/>
      <c r="KN439" s="24"/>
      <c r="KO439" s="60"/>
      <c r="KP439" s="16"/>
      <c r="KQ439" s="16"/>
      <c r="KR439" s="16"/>
      <c r="KS439" s="16"/>
      <c r="KT439" s="16"/>
      <c r="KU439" s="17"/>
      <c r="KY439" s="24"/>
      <c r="KZ439" s="60"/>
      <c r="LA439" s="16"/>
      <c r="LB439" s="16"/>
      <c r="LC439" s="16"/>
      <c r="LD439" s="16"/>
      <c r="LE439" s="16"/>
      <c r="LF439" s="17"/>
      <c r="LJ439" s="24"/>
      <c r="LK439" s="60"/>
      <c r="LL439" s="16"/>
      <c r="LM439" s="16"/>
      <c r="LN439" s="16"/>
      <c r="LO439" s="16"/>
      <c r="LP439" s="16"/>
      <c r="LQ439" s="17"/>
    </row>
    <row r="440">
      <c r="C440" s="31"/>
      <c r="D440" s="61"/>
      <c r="E440" s="16"/>
      <c r="F440" s="16"/>
      <c r="G440" s="21"/>
      <c r="H440" s="16"/>
      <c r="I440" s="16"/>
      <c r="J440" s="17"/>
      <c r="N440" s="17"/>
      <c r="O440" s="61"/>
      <c r="P440" s="16"/>
      <c r="Q440" s="16"/>
      <c r="R440" s="16"/>
      <c r="S440" s="16"/>
      <c r="T440" s="16"/>
      <c r="U440" s="17"/>
      <c r="Y440" s="24"/>
      <c r="Z440" s="61"/>
      <c r="AA440" s="16"/>
      <c r="AB440" s="16"/>
      <c r="AC440" s="16"/>
      <c r="AD440" s="16"/>
      <c r="AE440" s="16"/>
      <c r="AF440" s="17"/>
      <c r="AJ440" s="24"/>
      <c r="AK440" s="61"/>
      <c r="AL440" s="16"/>
      <c r="AM440" s="16"/>
      <c r="AN440" s="16"/>
      <c r="AO440" s="16"/>
      <c r="AP440" s="16"/>
      <c r="AQ440" s="17"/>
      <c r="AU440" s="24"/>
      <c r="AV440" s="61"/>
      <c r="AW440" s="16"/>
      <c r="AX440" s="16"/>
      <c r="AY440" s="16"/>
      <c r="AZ440" s="16"/>
      <c r="BA440" s="16"/>
      <c r="BB440" s="17"/>
      <c r="BF440" s="24"/>
      <c r="BG440" s="61"/>
      <c r="BH440" s="16"/>
      <c r="BI440" s="16"/>
      <c r="BJ440" s="16"/>
      <c r="BK440" s="16"/>
      <c r="BL440" s="16"/>
      <c r="BM440" s="17"/>
      <c r="BQ440" s="24"/>
      <c r="BR440" s="61"/>
      <c r="BS440" s="16"/>
      <c r="BT440" s="16"/>
      <c r="BU440" s="16"/>
      <c r="BV440" s="16"/>
      <c r="BW440" s="16"/>
      <c r="BX440" s="17"/>
      <c r="CB440" s="24"/>
      <c r="CC440" s="61"/>
      <c r="CD440" s="16"/>
      <c r="CE440" s="16"/>
      <c r="CF440" s="16"/>
      <c r="CG440" s="16"/>
      <c r="CH440" s="16"/>
      <c r="CI440" s="17"/>
      <c r="CM440" s="24"/>
      <c r="CN440" s="61"/>
      <c r="CO440" s="16"/>
      <c r="CP440" s="16"/>
      <c r="CQ440" s="16"/>
      <c r="CR440" s="16"/>
      <c r="CS440" s="16"/>
      <c r="CT440" s="17"/>
      <c r="CX440" s="24"/>
      <c r="CY440" s="60"/>
      <c r="CZ440" s="16"/>
      <c r="DA440" s="16"/>
      <c r="DB440" s="16"/>
      <c r="DC440" s="16"/>
      <c r="DD440" s="16"/>
      <c r="DE440" s="17"/>
      <c r="DI440" s="24"/>
      <c r="DJ440" s="60"/>
      <c r="DK440" s="16"/>
      <c r="DL440" s="16"/>
      <c r="DM440" s="16"/>
      <c r="DN440" s="16"/>
      <c r="DO440" s="16"/>
      <c r="DP440" s="17"/>
      <c r="DT440" s="24"/>
      <c r="DU440" s="60"/>
      <c r="DV440" s="16"/>
      <c r="DW440" s="16"/>
      <c r="DX440" s="16"/>
      <c r="DY440" s="16"/>
      <c r="DZ440" s="16"/>
      <c r="EA440" s="17"/>
      <c r="EE440" s="24"/>
      <c r="EF440" s="60"/>
      <c r="EG440" s="16"/>
      <c r="EH440" s="16"/>
      <c r="EI440" s="16"/>
      <c r="EJ440" s="16"/>
      <c r="EK440" s="16"/>
      <c r="EL440" s="17"/>
      <c r="EP440" s="24"/>
      <c r="EQ440" s="60"/>
      <c r="ER440" s="16"/>
      <c r="ES440" s="16"/>
      <c r="ET440" s="16"/>
      <c r="EU440" s="16"/>
      <c r="EV440" s="16"/>
      <c r="EW440" s="17"/>
      <c r="FA440" s="24"/>
      <c r="FB440" s="60"/>
      <c r="FC440" s="16"/>
      <c r="FD440" s="16"/>
      <c r="FE440" s="16"/>
      <c r="FF440" s="16"/>
      <c r="FG440" s="16"/>
      <c r="FH440" s="17"/>
      <c r="FL440" s="24"/>
      <c r="FM440" s="60"/>
      <c r="FN440" s="16"/>
      <c r="FO440" s="16"/>
      <c r="FP440" s="16"/>
      <c r="FQ440" s="16"/>
      <c r="FR440" s="16"/>
      <c r="FS440" s="17"/>
      <c r="FW440" s="24"/>
      <c r="FX440" s="60"/>
      <c r="FY440" s="16"/>
      <c r="FZ440" s="16"/>
      <c r="GA440" s="16"/>
      <c r="GB440" s="16"/>
      <c r="GC440" s="16"/>
      <c r="GD440" s="17"/>
      <c r="GH440" s="24"/>
      <c r="GI440" s="60"/>
      <c r="GJ440" s="16"/>
      <c r="GK440" s="16"/>
      <c r="GL440" s="16"/>
      <c r="GM440" s="16"/>
      <c r="GN440" s="16"/>
      <c r="GO440" s="17"/>
      <c r="GS440" s="24"/>
      <c r="GT440" s="60"/>
      <c r="GU440" s="16"/>
      <c r="GV440" s="16"/>
      <c r="GW440" s="16"/>
      <c r="GX440" s="16"/>
      <c r="GY440" s="16"/>
      <c r="GZ440" s="17"/>
      <c r="HD440" s="24"/>
      <c r="HE440" s="60"/>
      <c r="HF440" s="16"/>
      <c r="HG440" s="16"/>
      <c r="HH440" s="16"/>
      <c r="HI440" s="16"/>
      <c r="HJ440" s="16"/>
      <c r="HK440" s="17"/>
      <c r="HO440" s="24"/>
      <c r="HP440" s="60"/>
      <c r="HQ440" s="16"/>
      <c r="HR440" s="16"/>
      <c r="HS440" s="16"/>
      <c r="HT440" s="16"/>
      <c r="HU440" s="16"/>
      <c r="HV440" s="17"/>
      <c r="HZ440" s="24"/>
      <c r="IA440" s="60"/>
      <c r="IB440" s="16"/>
      <c r="IC440" s="16"/>
      <c r="ID440" s="16"/>
      <c r="IE440" s="16"/>
      <c r="IF440" s="16"/>
      <c r="IG440" s="17"/>
      <c r="IK440" s="24"/>
      <c r="IL440" s="60"/>
      <c r="IM440" s="16"/>
      <c r="IN440" s="16"/>
      <c r="IO440" s="16"/>
      <c r="IP440" s="16"/>
      <c r="IQ440" s="16"/>
      <c r="IR440" s="17"/>
      <c r="IV440" s="24"/>
      <c r="IW440" s="60"/>
      <c r="IX440" s="16"/>
      <c r="IY440" s="16"/>
      <c r="IZ440" s="16"/>
      <c r="JA440" s="16"/>
      <c r="JB440" s="16"/>
      <c r="JC440" s="17"/>
      <c r="JG440" s="24"/>
      <c r="JH440" s="60"/>
      <c r="JI440" s="16"/>
      <c r="JJ440" s="16"/>
      <c r="JK440" s="16"/>
      <c r="JL440" s="16"/>
      <c r="JM440" s="16"/>
      <c r="JN440" s="17"/>
      <c r="JR440" s="24"/>
      <c r="JS440" s="60"/>
      <c r="JT440" s="16"/>
      <c r="JU440" s="16"/>
      <c r="JV440" s="16"/>
      <c r="JW440" s="16"/>
      <c r="JX440" s="16"/>
      <c r="JY440" s="17"/>
      <c r="KC440" s="24"/>
      <c r="KD440" s="60"/>
      <c r="KE440" s="16"/>
      <c r="KF440" s="16"/>
      <c r="KG440" s="16"/>
      <c r="KH440" s="16"/>
      <c r="KI440" s="16"/>
      <c r="KJ440" s="17"/>
      <c r="KN440" s="24"/>
      <c r="KO440" s="60"/>
      <c r="KP440" s="16"/>
      <c r="KQ440" s="16"/>
      <c r="KR440" s="16"/>
      <c r="KS440" s="16"/>
      <c r="KT440" s="16"/>
      <c r="KU440" s="17"/>
      <c r="KY440" s="24"/>
      <c r="KZ440" s="60"/>
      <c r="LA440" s="16"/>
      <c r="LB440" s="16"/>
      <c r="LC440" s="16"/>
      <c r="LD440" s="16"/>
      <c r="LE440" s="16"/>
      <c r="LF440" s="17"/>
      <c r="LJ440" s="24"/>
      <c r="LK440" s="60"/>
      <c r="LL440" s="16"/>
      <c r="LM440" s="16"/>
      <c r="LN440" s="16"/>
      <c r="LO440" s="16"/>
      <c r="LP440" s="16"/>
      <c r="LQ440" s="17"/>
    </row>
    <row r="441">
      <c r="C441" s="31"/>
      <c r="D441" s="61"/>
      <c r="E441" s="16"/>
      <c r="F441" s="16"/>
      <c r="G441" s="21"/>
      <c r="H441" s="16"/>
      <c r="I441" s="16"/>
      <c r="J441" s="17"/>
      <c r="N441" s="17"/>
      <c r="O441" s="61"/>
      <c r="P441" s="16"/>
      <c r="Q441" s="16"/>
      <c r="R441" s="16"/>
      <c r="S441" s="16"/>
      <c r="T441" s="16"/>
      <c r="U441" s="17"/>
      <c r="Y441" s="24"/>
      <c r="Z441" s="61"/>
      <c r="AA441" s="16"/>
      <c r="AB441" s="16"/>
      <c r="AC441" s="16"/>
      <c r="AD441" s="16"/>
      <c r="AE441" s="16"/>
      <c r="AF441" s="17"/>
      <c r="AJ441" s="24"/>
      <c r="AK441" s="61"/>
      <c r="AL441" s="16"/>
      <c r="AM441" s="16"/>
      <c r="AN441" s="16"/>
      <c r="AO441" s="16"/>
      <c r="AP441" s="16"/>
      <c r="AQ441" s="17"/>
      <c r="AU441" s="24"/>
      <c r="AV441" s="61"/>
      <c r="AW441" s="16"/>
      <c r="AX441" s="16"/>
      <c r="AY441" s="16"/>
      <c r="AZ441" s="16"/>
      <c r="BA441" s="16"/>
      <c r="BB441" s="17"/>
      <c r="BF441" s="24"/>
      <c r="BG441" s="61"/>
      <c r="BH441" s="16"/>
      <c r="BI441" s="16"/>
      <c r="BJ441" s="16"/>
      <c r="BK441" s="16"/>
      <c r="BL441" s="16"/>
      <c r="BM441" s="17"/>
      <c r="BQ441" s="24"/>
      <c r="BR441" s="61"/>
      <c r="BS441" s="16"/>
      <c r="BT441" s="16"/>
      <c r="BU441" s="16"/>
      <c r="BV441" s="16"/>
      <c r="BW441" s="16"/>
      <c r="BX441" s="17"/>
      <c r="CB441" s="24"/>
      <c r="CC441" s="61"/>
      <c r="CD441" s="16"/>
      <c r="CE441" s="16"/>
      <c r="CF441" s="16"/>
      <c r="CG441" s="16"/>
      <c r="CH441" s="16"/>
      <c r="CI441" s="17"/>
      <c r="CM441" s="24"/>
      <c r="CN441" s="61"/>
      <c r="CO441" s="16"/>
      <c r="CP441" s="16"/>
      <c r="CQ441" s="16"/>
      <c r="CR441" s="16"/>
      <c r="CS441" s="16"/>
      <c r="CT441" s="17"/>
      <c r="CX441" s="24"/>
      <c r="CY441" s="60"/>
      <c r="CZ441" s="16"/>
      <c r="DA441" s="16"/>
      <c r="DB441" s="16"/>
      <c r="DC441" s="16"/>
      <c r="DD441" s="16"/>
      <c r="DE441" s="17"/>
      <c r="DI441" s="24"/>
      <c r="DJ441" s="60"/>
      <c r="DK441" s="16"/>
      <c r="DL441" s="16"/>
      <c r="DM441" s="16"/>
      <c r="DN441" s="16"/>
      <c r="DO441" s="16"/>
      <c r="DP441" s="17"/>
      <c r="DT441" s="24"/>
      <c r="DU441" s="60"/>
      <c r="DV441" s="16"/>
      <c r="DW441" s="16"/>
      <c r="DX441" s="16"/>
      <c r="DY441" s="16"/>
      <c r="DZ441" s="16"/>
      <c r="EA441" s="17"/>
      <c r="EE441" s="24"/>
      <c r="EF441" s="60"/>
      <c r="EG441" s="16"/>
      <c r="EH441" s="16"/>
      <c r="EI441" s="16"/>
      <c r="EJ441" s="16"/>
      <c r="EK441" s="16"/>
      <c r="EL441" s="17"/>
      <c r="EP441" s="24"/>
      <c r="EQ441" s="60"/>
      <c r="ER441" s="16"/>
      <c r="ES441" s="16"/>
      <c r="ET441" s="16"/>
      <c r="EU441" s="16"/>
      <c r="EV441" s="16"/>
      <c r="EW441" s="17"/>
      <c r="FA441" s="24"/>
      <c r="FB441" s="60"/>
      <c r="FC441" s="16"/>
      <c r="FD441" s="16"/>
      <c r="FE441" s="16"/>
      <c r="FF441" s="16"/>
      <c r="FG441" s="16"/>
      <c r="FH441" s="17"/>
      <c r="FL441" s="24"/>
      <c r="FM441" s="60"/>
      <c r="FN441" s="16"/>
      <c r="FO441" s="16"/>
      <c r="FP441" s="16"/>
      <c r="FQ441" s="16"/>
      <c r="FR441" s="16"/>
      <c r="FS441" s="17"/>
      <c r="FW441" s="24"/>
      <c r="FX441" s="60"/>
      <c r="FY441" s="16"/>
      <c r="FZ441" s="16"/>
      <c r="GA441" s="16"/>
      <c r="GB441" s="16"/>
      <c r="GC441" s="16"/>
      <c r="GD441" s="17"/>
      <c r="GH441" s="24"/>
      <c r="GI441" s="60"/>
      <c r="GJ441" s="16"/>
      <c r="GK441" s="16"/>
      <c r="GL441" s="16"/>
      <c r="GM441" s="16"/>
      <c r="GN441" s="16"/>
      <c r="GO441" s="17"/>
      <c r="GS441" s="24"/>
      <c r="GT441" s="60"/>
      <c r="GU441" s="16"/>
      <c r="GV441" s="16"/>
      <c r="GW441" s="16"/>
      <c r="GX441" s="16"/>
      <c r="GY441" s="16"/>
      <c r="GZ441" s="17"/>
      <c r="HD441" s="24"/>
      <c r="HE441" s="60"/>
      <c r="HF441" s="16"/>
      <c r="HG441" s="16"/>
      <c r="HH441" s="16"/>
      <c r="HI441" s="16"/>
      <c r="HJ441" s="16"/>
      <c r="HK441" s="17"/>
      <c r="HO441" s="24"/>
      <c r="HP441" s="60"/>
      <c r="HQ441" s="16"/>
      <c r="HR441" s="16"/>
      <c r="HS441" s="16"/>
      <c r="HT441" s="16"/>
      <c r="HU441" s="16"/>
      <c r="HV441" s="17"/>
      <c r="HZ441" s="24"/>
      <c r="IA441" s="60"/>
      <c r="IB441" s="16"/>
      <c r="IC441" s="16"/>
      <c r="ID441" s="16"/>
      <c r="IE441" s="16"/>
      <c r="IF441" s="16"/>
      <c r="IG441" s="17"/>
      <c r="IK441" s="24"/>
      <c r="IL441" s="60"/>
      <c r="IM441" s="16"/>
      <c r="IN441" s="16"/>
      <c r="IO441" s="16"/>
      <c r="IP441" s="16"/>
      <c r="IQ441" s="16"/>
      <c r="IR441" s="17"/>
      <c r="IV441" s="24"/>
      <c r="IW441" s="60"/>
      <c r="IX441" s="16"/>
      <c r="IY441" s="16"/>
      <c r="IZ441" s="16"/>
      <c r="JA441" s="16"/>
      <c r="JB441" s="16"/>
      <c r="JC441" s="17"/>
      <c r="JG441" s="24"/>
      <c r="JH441" s="60"/>
      <c r="JI441" s="16"/>
      <c r="JJ441" s="16"/>
      <c r="JK441" s="16"/>
      <c r="JL441" s="16"/>
      <c r="JM441" s="16"/>
      <c r="JN441" s="17"/>
      <c r="JR441" s="24"/>
      <c r="JS441" s="60"/>
      <c r="JT441" s="16"/>
      <c r="JU441" s="16"/>
      <c r="JV441" s="16"/>
      <c r="JW441" s="16"/>
      <c r="JX441" s="16"/>
      <c r="JY441" s="17"/>
      <c r="KC441" s="24"/>
      <c r="KD441" s="60"/>
      <c r="KE441" s="16"/>
      <c r="KF441" s="16"/>
      <c r="KG441" s="16"/>
      <c r="KH441" s="16"/>
      <c r="KI441" s="16"/>
      <c r="KJ441" s="17"/>
      <c r="KN441" s="24"/>
      <c r="KO441" s="60"/>
      <c r="KP441" s="16"/>
      <c r="KQ441" s="16"/>
      <c r="KR441" s="16"/>
      <c r="KS441" s="16"/>
      <c r="KT441" s="16"/>
      <c r="KU441" s="17"/>
      <c r="KY441" s="24"/>
      <c r="KZ441" s="60"/>
      <c r="LA441" s="16"/>
      <c r="LB441" s="16"/>
      <c r="LC441" s="16"/>
      <c r="LD441" s="16"/>
      <c r="LE441" s="16"/>
      <c r="LF441" s="17"/>
      <c r="LJ441" s="24"/>
      <c r="LK441" s="60"/>
      <c r="LL441" s="16"/>
      <c r="LM441" s="16"/>
      <c r="LN441" s="16"/>
      <c r="LO441" s="16"/>
      <c r="LP441" s="16"/>
      <c r="LQ441" s="17"/>
    </row>
    <row r="442">
      <c r="C442" s="31"/>
      <c r="D442" s="61"/>
      <c r="E442" s="16"/>
      <c r="F442" s="16"/>
      <c r="G442" s="21"/>
      <c r="H442" s="16"/>
      <c r="I442" s="16"/>
      <c r="J442" s="17"/>
      <c r="N442" s="17"/>
      <c r="O442" s="61"/>
      <c r="P442" s="16"/>
      <c r="Q442" s="16"/>
      <c r="R442" s="16"/>
      <c r="S442" s="16"/>
      <c r="T442" s="16"/>
      <c r="U442" s="17"/>
      <c r="Y442" s="24"/>
      <c r="Z442" s="61"/>
      <c r="AA442" s="16"/>
      <c r="AB442" s="16"/>
      <c r="AC442" s="16"/>
      <c r="AD442" s="16"/>
      <c r="AE442" s="16"/>
      <c r="AF442" s="17"/>
      <c r="AJ442" s="24"/>
      <c r="AK442" s="61"/>
      <c r="AL442" s="16"/>
      <c r="AM442" s="16"/>
      <c r="AN442" s="16"/>
      <c r="AO442" s="16"/>
      <c r="AP442" s="16"/>
      <c r="AQ442" s="17"/>
      <c r="AU442" s="24"/>
      <c r="AV442" s="61"/>
      <c r="AW442" s="16"/>
      <c r="AX442" s="16"/>
      <c r="AY442" s="16"/>
      <c r="AZ442" s="16"/>
      <c r="BA442" s="16"/>
      <c r="BB442" s="17"/>
      <c r="BF442" s="24"/>
      <c r="BG442" s="61"/>
      <c r="BH442" s="16"/>
      <c r="BI442" s="16"/>
      <c r="BJ442" s="16"/>
      <c r="BK442" s="16"/>
      <c r="BL442" s="16"/>
      <c r="BM442" s="17"/>
      <c r="BQ442" s="24"/>
      <c r="BR442" s="61"/>
      <c r="BS442" s="16"/>
      <c r="BT442" s="16"/>
      <c r="BU442" s="16"/>
      <c r="BV442" s="16"/>
      <c r="BW442" s="16"/>
      <c r="BX442" s="17"/>
      <c r="CB442" s="24"/>
      <c r="CC442" s="61"/>
      <c r="CD442" s="16"/>
      <c r="CE442" s="16"/>
      <c r="CF442" s="16"/>
      <c r="CG442" s="16"/>
      <c r="CH442" s="16"/>
      <c r="CI442" s="17"/>
      <c r="CM442" s="24"/>
      <c r="CN442" s="61"/>
      <c r="CO442" s="16"/>
      <c r="CP442" s="16"/>
      <c r="CQ442" s="16"/>
      <c r="CR442" s="16"/>
      <c r="CS442" s="16"/>
      <c r="CT442" s="17"/>
      <c r="CX442" s="24"/>
      <c r="CY442" s="60"/>
      <c r="CZ442" s="16"/>
      <c r="DA442" s="16"/>
      <c r="DB442" s="16"/>
      <c r="DC442" s="16"/>
      <c r="DD442" s="16"/>
      <c r="DE442" s="17"/>
      <c r="DI442" s="24"/>
      <c r="DJ442" s="60"/>
      <c r="DK442" s="16"/>
      <c r="DL442" s="16"/>
      <c r="DM442" s="16"/>
      <c r="DN442" s="16"/>
      <c r="DO442" s="16"/>
      <c r="DP442" s="17"/>
      <c r="DT442" s="24"/>
      <c r="DU442" s="60"/>
      <c r="DV442" s="16"/>
      <c r="DW442" s="16"/>
      <c r="DX442" s="16"/>
      <c r="DY442" s="16"/>
      <c r="DZ442" s="16"/>
      <c r="EA442" s="17"/>
      <c r="EE442" s="24"/>
      <c r="EF442" s="60"/>
      <c r="EG442" s="16"/>
      <c r="EH442" s="16"/>
      <c r="EI442" s="16"/>
      <c r="EJ442" s="16"/>
      <c r="EK442" s="16"/>
      <c r="EL442" s="17"/>
      <c r="EP442" s="24"/>
      <c r="EQ442" s="60"/>
      <c r="ER442" s="16"/>
      <c r="ES442" s="16"/>
      <c r="ET442" s="16"/>
      <c r="EU442" s="16"/>
      <c r="EV442" s="16"/>
      <c r="EW442" s="17"/>
      <c r="FA442" s="24"/>
      <c r="FB442" s="60"/>
      <c r="FC442" s="16"/>
      <c r="FD442" s="16"/>
      <c r="FE442" s="16"/>
      <c r="FF442" s="16"/>
      <c r="FG442" s="16"/>
      <c r="FH442" s="17"/>
      <c r="FL442" s="24"/>
      <c r="FM442" s="60"/>
      <c r="FN442" s="16"/>
      <c r="FO442" s="16"/>
      <c r="FP442" s="16"/>
      <c r="FQ442" s="16"/>
      <c r="FR442" s="16"/>
      <c r="FS442" s="17"/>
      <c r="FW442" s="24"/>
      <c r="FX442" s="60"/>
      <c r="FY442" s="16"/>
      <c r="FZ442" s="16"/>
      <c r="GA442" s="16"/>
      <c r="GB442" s="16"/>
      <c r="GC442" s="16"/>
      <c r="GD442" s="17"/>
      <c r="GH442" s="24"/>
      <c r="GI442" s="60"/>
      <c r="GJ442" s="16"/>
      <c r="GK442" s="16"/>
      <c r="GL442" s="16"/>
      <c r="GM442" s="16"/>
      <c r="GN442" s="16"/>
      <c r="GO442" s="17"/>
      <c r="GS442" s="24"/>
      <c r="GT442" s="60"/>
      <c r="GU442" s="16"/>
      <c r="GV442" s="16"/>
      <c r="GW442" s="16"/>
      <c r="GX442" s="16"/>
      <c r="GY442" s="16"/>
      <c r="GZ442" s="17"/>
      <c r="HD442" s="24"/>
      <c r="HE442" s="60"/>
      <c r="HF442" s="16"/>
      <c r="HG442" s="16"/>
      <c r="HH442" s="16"/>
      <c r="HI442" s="16"/>
      <c r="HJ442" s="16"/>
      <c r="HK442" s="17"/>
      <c r="HO442" s="24"/>
      <c r="HP442" s="60"/>
      <c r="HQ442" s="16"/>
      <c r="HR442" s="16"/>
      <c r="HS442" s="16"/>
      <c r="HT442" s="16"/>
      <c r="HU442" s="16"/>
      <c r="HV442" s="17"/>
      <c r="HZ442" s="24"/>
      <c r="IA442" s="60"/>
      <c r="IB442" s="16"/>
      <c r="IC442" s="16"/>
      <c r="ID442" s="16"/>
      <c r="IE442" s="16"/>
      <c r="IF442" s="16"/>
      <c r="IG442" s="17"/>
      <c r="IK442" s="24"/>
      <c r="IL442" s="60"/>
      <c r="IM442" s="16"/>
      <c r="IN442" s="16"/>
      <c r="IO442" s="16"/>
      <c r="IP442" s="16"/>
      <c r="IQ442" s="16"/>
      <c r="IR442" s="17"/>
      <c r="IV442" s="24"/>
      <c r="IW442" s="60"/>
      <c r="IX442" s="16"/>
      <c r="IY442" s="16"/>
      <c r="IZ442" s="16"/>
      <c r="JA442" s="16"/>
      <c r="JB442" s="16"/>
      <c r="JC442" s="17"/>
      <c r="JG442" s="24"/>
      <c r="JH442" s="60"/>
      <c r="JI442" s="16"/>
      <c r="JJ442" s="16"/>
      <c r="JK442" s="16"/>
      <c r="JL442" s="16"/>
      <c r="JM442" s="16"/>
      <c r="JN442" s="17"/>
      <c r="JR442" s="24"/>
      <c r="JS442" s="60"/>
      <c r="JT442" s="16"/>
      <c r="JU442" s="16"/>
      <c r="JV442" s="16"/>
      <c r="JW442" s="16"/>
      <c r="JX442" s="16"/>
      <c r="JY442" s="17"/>
      <c r="KC442" s="24"/>
      <c r="KD442" s="60"/>
      <c r="KE442" s="16"/>
      <c r="KF442" s="16"/>
      <c r="KG442" s="16"/>
      <c r="KH442" s="16"/>
      <c r="KI442" s="16"/>
      <c r="KJ442" s="17"/>
      <c r="KN442" s="24"/>
      <c r="KO442" s="60"/>
      <c r="KP442" s="16"/>
      <c r="KQ442" s="16"/>
      <c r="KR442" s="16"/>
      <c r="KS442" s="16"/>
      <c r="KT442" s="16"/>
      <c r="KU442" s="17"/>
      <c r="KY442" s="24"/>
      <c r="KZ442" s="60"/>
      <c r="LA442" s="16"/>
      <c r="LB442" s="16"/>
      <c r="LC442" s="16"/>
      <c r="LD442" s="16"/>
      <c r="LE442" s="16"/>
      <c r="LF442" s="17"/>
      <c r="LJ442" s="24"/>
      <c r="LK442" s="60"/>
      <c r="LL442" s="16"/>
      <c r="LM442" s="16"/>
      <c r="LN442" s="16"/>
      <c r="LO442" s="16"/>
      <c r="LP442" s="16"/>
      <c r="LQ442" s="17"/>
    </row>
    <row r="443">
      <c r="C443" s="31"/>
      <c r="D443" s="61"/>
      <c r="E443" s="16"/>
      <c r="F443" s="16"/>
      <c r="G443" s="21"/>
      <c r="H443" s="16"/>
      <c r="I443" s="16"/>
      <c r="J443" s="17"/>
      <c r="N443" s="17"/>
      <c r="O443" s="61"/>
      <c r="P443" s="16"/>
      <c r="Q443" s="16"/>
      <c r="R443" s="16"/>
      <c r="S443" s="16"/>
      <c r="T443" s="16"/>
      <c r="U443" s="17"/>
      <c r="Y443" s="24"/>
      <c r="Z443" s="61"/>
      <c r="AA443" s="16"/>
      <c r="AB443" s="16"/>
      <c r="AC443" s="16"/>
      <c r="AD443" s="16"/>
      <c r="AE443" s="16"/>
      <c r="AF443" s="17"/>
      <c r="AJ443" s="24"/>
      <c r="AK443" s="61"/>
      <c r="AL443" s="16"/>
      <c r="AM443" s="16"/>
      <c r="AN443" s="16"/>
      <c r="AO443" s="16"/>
      <c r="AP443" s="16"/>
      <c r="AQ443" s="17"/>
      <c r="AU443" s="24"/>
      <c r="AV443" s="61"/>
      <c r="AW443" s="16"/>
      <c r="AX443" s="16"/>
      <c r="AY443" s="16"/>
      <c r="AZ443" s="16"/>
      <c r="BA443" s="16"/>
      <c r="BB443" s="17"/>
      <c r="BF443" s="24"/>
      <c r="BG443" s="61"/>
      <c r="BH443" s="16"/>
      <c r="BI443" s="16"/>
      <c r="BJ443" s="16"/>
      <c r="BK443" s="16"/>
      <c r="BL443" s="16"/>
      <c r="BM443" s="17"/>
      <c r="BQ443" s="24"/>
      <c r="BR443" s="61"/>
      <c r="BS443" s="16"/>
      <c r="BT443" s="16"/>
      <c r="BU443" s="16"/>
      <c r="BV443" s="16"/>
      <c r="BW443" s="16"/>
      <c r="BX443" s="17"/>
      <c r="CB443" s="24"/>
      <c r="CC443" s="61"/>
      <c r="CD443" s="16"/>
      <c r="CE443" s="16"/>
      <c r="CF443" s="16"/>
      <c r="CG443" s="16"/>
      <c r="CH443" s="16"/>
      <c r="CI443" s="17"/>
      <c r="CM443" s="24"/>
      <c r="CN443" s="61"/>
      <c r="CO443" s="16"/>
      <c r="CP443" s="16"/>
      <c r="CQ443" s="16"/>
      <c r="CR443" s="16"/>
      <c r="CS443" s="16"/>
      <c r="CT443" s="17"/>
      <c r="CX443" s="24"/>
      <c r="CY443" s="60"/>
      <c r="CZ443" s="16"/>
      <c r="DA443" s="16"/>
      <c r="DB443" s="16"/>
      <c r="DC443" s="16"/>
      <c r="DD443" s="16"/>
      <c r="DE443" s="17"/>
      <c r="DI443" s="24"/>
      <c r="DJ443" s="60"/>
      <c r="DK443" s="16"/>
      <c r="DL443" s="16"/>
      <c r="DM443" s="16"/>
      <c r="DN443" s="16"/>
      <c r="DO443" s="16"/>
      <c r="DP443" s="17"/>
      <c r="DT443" s="24"/>
      <c r="DU443" s="60"/>
      <c r="DV443" s="16"/>
      <c r="DW443" s="16"/>
      <c r="DX443" s="16"/>
      <c r="DY443" s="16"/>
      <c r="DZ443" s="16"/>
      <c r="EA443" s="17"/>
      <c r="EE443" s="24"/>
      <c r="EF443" s="60"/>
      <c r="EG443" s="16"/>
      <c r="EH443" s="16"/>
      <c r="EI443" s="16"/>
      <c r="EJ443" s="16"/>
      <c r="EK443" s="16"/>
      <c r="EL443" s="17"/>
      <c r="EP443" s="24"/>
      <c r="EQ443" s="60"/>
      <c r="ER443" s="16"/>
      <c r="ES443" s="16"/>
      <c r="ET443" s="16"/>
      <c r="EU443" s="16"/>
      <c r="EV443" s="16"/>
      <c r="EW443" s="17"/>
      <c r="FA443" s="24"/>
      <c r="FB443" s="60"/>
      <c r="FC443" s="16"/>
      <c r="FD443" s="16"/>
      <c r="FE443" s="16"/>
      <c r="FF443" s="16"/>
      <c r="FG443" s="16"/>
      <c r="FH443" s="17"/>
      <c r="FL443" s="24"/>
      <c r="FM443" s="60"/>
      <c r="FN443" s="16"/>
      <c r="FO443" s="16"/>
      <c r="FP443" s="16"/>
      <c r="FQ443" s="16"/>
      <c r="FR443" s="16"/>
      <c r="FS443" s="17"/>
      <c r="FW443" s="24"/>
      <c r="FX443" s="60"/>
      <c r="FY443" s="16"/>
      <c r="FZ443" s="16"/>
      <c r="GA443" s="16"/>
      <c r="GB443" s="16"/>
      <c r="GC443" s="16"/>
      <c r="GD443" s="17"/>
      <c r="GH443" s="24"/>
      <c r="GI443" s="60"/>
      <c r="GJ443" s="16"/>
      <c r="GK443" s="16"/>
      <c r="GL443" s="16"/>
      <c r="GM443" s="16"/>
      <c r="GN443" s="16"/>
      <c r="GO443" s="17"/>
      <c r="GS443" s="24"/>
      <c r="GT443" s="60"/>
      <c r="GU443" s="16"/>
      <c r="GV443" s="16"/>
      <c r="GW443" s="16"/>
      <c r="GX443" s="16"/>
      <c r="GY443" s="16"/>
      <c r="GZ443" s="17"/>
      <c r="HD443" s="24"/>
      <c r="HE443" s="60"/>
      <c r="HF443" s="16"/>
      <c r="HG443" s="16"/>
      <c r="HH443" s="16"/>
      <c r="HI443" s="16"/>
      <c r="HJ443" s="16"/>
      <c r="HK443" s="17"/>
      <c r="HO443" s="24"/>
      <c r="HP443" s="60"/>
      <c r="HQ443" s="16"/>
      <c r="HR443" s="16"/>
      <c r="HS443" s="16"/>
      <c r="HT443" s="16"/>
      <c r="HU443" s="16"/>
      <c r="HV443" s="17"/>
      <c r="HZ443" s="24"/>
      <c r="IA443" s="60"/>
      <c r="IB443" s="16"/>
      <c r="IC443" s="16"/>
      <c r="ID443" s="16"/>
      <c r="IE443" s="16"/>
      <c r="IF443" s="16"/>
      <c r="IG443" s="17"/>
      <c r="IK443" s="24"/>
      <c r="IL443" s="60"/>
      <c r="IM443" s="16"/>
      <c r="IN443" s="16"/>
      <c r="IO443" s="16"/>
      <c r="IP443" s="16"/>
      <c r="IQ443" s="16"/>
      <c r="IR443" s="17"/>
      <c r="IV443" s="24"/>
      <c r="IW443" s="60"/>
      <c r="IX443" s="16"/>
      <c r="IY443" s="16"/>
      <c r="IZ443" s="16"/>
      <c r="JA443" s="16"/>
      <c r="JB443" s="16"/>
      <c r="JC443" s="17"/>
      <c r="JG443" s="24"/>
      <c r="JH443" s="60"/>
      <c r="JI443" s="16"/>
      <c r="JJ443" s="16"/>
      <c r="JK443" s="16"/>
      <c r="JL443" s="16"/>
      <c r="JM443" s="16"/>
      <c r="JN443" s="17"/>
      <c r="JR443" s="24"/>
      <c r="JS443" s="60"/>
      <c r="JT443" s="16"/>
      <c r="JU443" s="16"/>
      <c r="JV443" s="16"/>
      <c r="JW443" s="16"/>
      <c r="JX443" s="16"/>
      <c r="JY443" s="17"/>
      <c r="KC443" s="24"/>
      <c r="KD443" s="60"/>
      <c r="KE443" s="16"/>
      <c r="KF443" s="16"/>
      <c r="KG443" s="16"/>
      <c r="KH443" s="16"/>
      <c r="KI443" s="16"/>
      <c r="KJ443" s="17"/>
      <c r="KN443" s="24"/>
      <c r="KO443" s="60"/>
      <c r="KP443" s="16"/>
      <c r="KQ443" s="16"/>
      <c r="KR443" s="16"/>
      <c r="KS443" s="16"/>
      <c r="KT443" s="16"/>
      <c r="KU443" s="17"/>
      <c r="KY443" s="24"/>
      <c r="KZ443" s="60"/>
      <c r="LA443" s="16"/>
      <c r="LB443" s="16"/>
      <c r="LC443" s="16"/>
      <c r="LD443" s="16"/>
      <c r="LE443" s="16"/>
      <c r="LF443" s="17"/>
      <c r="LJ443" s="24"/>
      <c r="LK443" s="60"/>
      <c r="LL443" s="16"/>
      <c r="LM443" s="16"/>
      <c r="LN443" s="16"/>
      <c r="LO443" s="16"/>
      <c r="LP443" s="16"/>
      <c r="LQ443" s="17"/>
    </row>
    <row r="444">
      <c r="C444" s="31"/>
      <c r="D444" s="61"/>
      <c r="E444" s="16"/>
      <c r="F444" s="16"/>
      <c r="G444" s="21"/>
      <c r="H444" s="16"/>
      <c r="I444" s="16"/>
      <c r="J444" s="17"/>
      <c r="N444" s="17"/>
      <c r="O444" s="61"/>
      <c r="P444" s="16"/>
      <c r="Q444" s="16"/>
      <c r="R444" s="16"/>
      <c r="S444" s="16"/>
      <c r="T444" s="16"/>
      <c r="U444" s="17"/>
      <c r="Y444" s="24"/>
      <c r="Z444" s="61"/>
      <c r="AA444" s="16"/>
      <c r="AB444" s="16"/>
      <c r="AC444" s="16"/>
      <c r="AD444" s="16"/>
      <c r="AE444" s="16"/>
      <c r="AF444" s="17"/>
      <c r="AJ444" s="24"/>
      <c r="AK444" s="61"/>
      <c r="AL444" s="16"/>
      <c r="AM444" s="16"/>
      <c r="AN444" s="16"/>
      <c r="AO444" s="16"/>
      <c r="AP444" s="16"/>
      <c r="AQ444" s="17"/>
      <c r="AU444" s="24"/>
      <c r="AV444" s="61"/>
      <c r="AW444" s="16"/>
      <c r="AX444" s="16"/>
      <c r="AY444" s="16"/>
      <c r="AZ444" s="16"/>
      <c r="BA444" s="16"/>
      <c r="BB444" s="17"/>
      <c r="BF444" s="24"/>
      <c r="BG444" s="61"/>
      <c r="BH444" s="16"/>
      <c r="BI444" s="16"/>
      <c r="BJ444" s="16"/>
      <c r="BK444" s="16"/>
      <c r="BL444" s="16"/>
      <c r="BM444" s="17"/>
      <c r="BQ444" s="24"/>
      <c r="BR444" s="61"/>
      <c r="BS444" s="16"/>
      <c r="BT444" s="16"/>
      <c r="BU444" s="16"/>
      <c r="BV444" s="16"/>
      <c r="BW444" s="16"/>
      <c r="BX444" s="17"/>
      <c r="CB444" s="24"/>
      <c r="CC444" s="61"/>
      <c r="CD444" s="16"/>
      <c r="CE444" s="16"/>
      <c r="CF444" s="16"/>
      <c r="CG444" s="16"/>
      <c r="CH444" s="16"/>
      <c r="CI444" s="17"/>
      <c r="CM444" s="24"/>
      <c r="CN444" s="61"/>
      <c r="CO444" s="16"/>
      <c r="CP444" s="16"/>
      <c r="CQ444" s="16"/>
      <c r="CR444" s="16"/>
      <c r="CS444" s="16"/>
      <c r="CT444" s="17"/>
      <c r="CX444" s="24"/>
      <c r="CY444" s="60"/>
      <c r="CZ444" s="16"/>
      <c r="DA444" s="16"/>
      <c r="DB444" s="16"/>
      <c r="DC444" s="16"/>
      <c r="DD444" s="16"/>
      <c r="DE444" s="17"/>
      <c r="DI444" s="24"/>
      <c r="DJ444" s="60"/>
      <c r="DK444" s="16"/>
      <c r="DL444" s="16"/>
      <c r="DM444" s="16"/>
      <c r="DN444" s="16"/>
      <c r="DO444" s="16"/>
      <c r="DP444" s="17"/>
      <c r="DT444" s="24"/>
      <c r="DU444" s="60"/>
      <c r="DV444" s="16"/>
      <c r="DW444" s="16"/>
      <c r="DX444" s="16"/>
      <c r="DY444" s="16"/>
      <c r="DZ444" s="16"/>
      <c r="EA444" s="17"/>
      <c r="EE444" s="24"/>
      <c r="EF444" s="60"/>
      <c r="EG444" s="16"/>
      <c r="EH444" s="16"/>
      <c r="EI444" s="16"/>
      <c r="EJ444" s="16"/>
      <c r="EK444" s="16"/>
      <c r="EL444" s="17"/>
      <c r="EP444" s="24"/>
      <c r="EQ444" s="60"/>
      <c r="ER444" s="16"/>
      <c r="ES444" s="16"/>
      <c r="ET444" s="16"/>
      <c r="EU444" s="16"/>
      <c r="EV444" s="16"/>
      <c r="EW444" s="17"/>
      <c r="FA444" s="24"/>
      <c r="FB444" s="60"/>
      <c r="FC444" s="16"/>
      <c r="FD444" s="16"/>
      <c r="FE444" s="16"/>
      <c r="FF444" s="16"/>
      <c r="FG444" s="16"/>
      <c r="FH444" s="17"/>
      <c r="FL444" s="24"/>
      <c r="FM444" s="60"/>
      <c r="FN444" s="16"/>
      <c r="FO444" s="16"/>
      <c r="FP444" s="16"/>
      <c r="FQ444" s="16"/>
      <c r="FR444" s="16"/>
      <c r="FS444" s="17"/>
      <c r="FW444" s="24"/>
      <c r="FX444" s="60"/>
      <c r="FY444" s="16"/>
      <c r="FZ444" s="16"/>
      <c r="GA444" s="16"/>
      <c r="GB444" s="16"/>
      <c r="GC444" s="16"/>
      <c r="GD444" s="17"/>
      <c r="GH444" s="24"/>
      <c r="GI444" s="60"/>
      <c r="GJ444" s="16"/>
      <c r="GK444" s="16"/>
      <c r="GL444" s="16"/>
      <c r="GM444" s="16"/>
      <c r="GN444" s="16"/>
      <c r="GO444" s="17"/>
      <c r="GS444" s="24"/>
      <c r="GT444" s="60"/>
      <c r="GU444" s="16"/>
      <c r="GV444" s="16"/>
      <c r="GW444" s="16"/>
      <c r="GX444" s="16"/>
      <c r="GY444" s="16"/>
      <c r="GZ444" s="17"/>
      <c r="HD444" s="24"/>
      <c r="HE444" s="60"/>
      <c r="HF444" s="16"/>
      <c r="HG444" s="16"/>
      <c r="HH444" s="16"/>
      <c r="HI444" s="16"/>
      <c r="HJ444" s="16"/>
      <c r="HK444" s="17"/>
      <c r="HO444" s="24"/>
      <c r="HP444" s="60"/>
      <c r="HQ444" s="16"/>
      <c r="HR444" s="16"/>
      <c r="HS444" s="16"/>
      <c r="HT444" s="16"/>
      <c r="HU444" s="16"/>
      <c r="HV444" s="17"/>
      <c r="HZ444" s="24"/>
      <c r="IA444" s="60"/>
      <c r="IB444" s="16"/>
      <c r="IC444" s="16"/>
      <c r="ID444" s="16"/>
      <c r="IE444" s="16"/>
      <c r="IF444" s="16"/>
      <c r="IG444" s="17"/>
      <c r="IK444" s="24"/>
      <c r="IL444" s="60"/>
      <c r="IM444" s="16"/>
      <c r="IN444" s="16"/>
      <c r="IO444" s="16"/>
      <c r="IP444" s="16"/>
      <c r="IQ444" s="16"/>
      <c r="IR444" s="17"/>
      <c r="IV444" s="24"/>
      <c r="IW444" s="60"/>
      <c r="IX444" s="16"/>
      <c r="IY444" s="16"/>
      <c r="IZ444" s="16"/>
      <c r="JA444" s="16"/>
      <c r="JB444" s="16"/>
      <c r="JC444" s="17"/>
      <c r="JG444" s="24"/>
      <c r="JH444" s="60"/>
      <c r="JI444" s="16"/>
      <c r="JJ444" s="16"/>
      <c r="JK444" s="16"/>
      <c r="JL444" s="16"/>
      <c r="JM444" s="16"/>
      <c r="JN444" s="17"/>
      <c r="JR444" s="24"/>
      <c r="JS444" s="60"/>
      <c r="JT444" s="16"/>
      <c r="JU444" s="16"/>
      <c r="JV444" s="16"/>
      <c r="JW444" s="16"/>
      <c r="JX444" s="16"/>
      <c r="JY444" s="17"/>
      <c r="KC444" s="24"/>
      <c r="KD444" s="60"/>
      <c r="KE444" s="16"/>
      <c r="KF444" s="16"/>
      <c r="KG444" s="16"/>
      <c r="KH444" s="16"/>
      <c r="KI444" s="16"/>
      <c r="KJ444" s="17"/>
      <c r="KN444" s="24"/>
      <c r="KO444" s="60"/>
      <c r="KP444" s="16"/>
      <c r="KQ444" s="16"/>
      <c r="KR444" s="16"/>
      <c r="KS444" s="16"/>
      <c r="KT444" s="16"/>
      <c r="KU444" s="17"/>
      <c r="KY444" s="24"/>
      <c r="KZ444" s="60"/>
      <c r="LA444" s="16"/>
      <c r="LB444" s="16"/>
      <c r="LC444" s="16"/>
      <c r="LD444" s="16"/>
      <c r="LE444" s="16"/>
      <c r="LF444" s="17"/>
      <c r="LJ444" s="24"/>
      <c r="LK444" s="60"/>
      <c r="LL444" s="16"/>
      <c r="LM444" s="16"/>
      <c r="LN444" s="16"/>
      <c r="LO444" s="16"/>
      <c r="LP444" s="16"/>
      <c r="LQ444" s="17"/>
    </row>
    <row r="445">
      <c r="C445" s="31"/>
      <c r="D445" s="61"/>
      <c r="E445" s="16"/>
      <c r="F445" s="16"/>
      <c r="G445" s="21"/>
      <c r="H445" s="16"/>
      <c r="I445" s="16"/>
      <c r="J445" s="17"/>
      <c r="N445" s="17"/>
      <c r="O445" s="61"/>
      <c r="P445" s="16"/>
      <c r="Q445" s="16"/>
      <c r="R445" s="16"/>
      <c r="S445" s="16"/>
      <c r="T445" s="16"/>
      <c r="U445" s="17"/>
      <c r="Y445" s="24"/>
      <c r="Z445" s="61"/>
      <c r="AA445" s="16"/>
      <c r="AB445" s="16"/>
      <c r="AC445" s="16"/>
      <c r="AD445" s="16"/>
      <c r="AE445" s="16"/>
      <c r="AF445" s="17"/>
      <c r="AJ445" s="24"/>
      <c r="AK445" s="61"/>
      <c r="AL445" s="16"/>
      <c r="AM445" s="16"/>
      <c r="AN445" s="16"/>
      <c r="AO445" s="16"/>
      <c r="AP445" s="16"/>
      <c r="AQ445" s="17"/>
      <c r="AU445" s="24"/>
      <c r="AV445" s="61"/>
      <c r="AW445" s="16"/>
      <c r="AX445" s="16"/>
      <c r="AY445" s="16"/>
      <c r="AZ445" s="16"/>
      <c r="BA445" s="16"/>
      <c r="BB445" s="17"/>
      <c r="BF445" s="24"/>
      <c r="BG445" s="61"/>
      <c r="BH445" s="16"/>
      <c r="BI445" s="16"/>
      <c r="BJ445" s="16"/>
      <c r="BK445" s="16"/>
      <c r="BL445" s="16"/>
      <c r="BM445" s="17"/>
      <c r="BQ445" s="24"/>
      <c r="BR445" s="61"/>
      <c r="BS445" s="16"/>
      <c r="BT445" s="16"/>
      <c r="BU445" s="16"/>
      <c r="BV445" s="16"/>
      <c r="BW445" s="16"/>
      <c r="BX445" s="17"/>
      <c r="CB445" s="24"/>
      <c r="CC445" s="61"/>
      <c r="CD445" s="16"/>
      <c r="CE445" s="16"/>
      <c r="CF445" s="16"/>
      <c r="CG445" s="16"/>
      <c r="CH445" s="16"/>
      <c r="CI445" s="17"/>
      <c r="CM445" s="24"/>
      <c r="CN445" s="61"/>
      <c r="CO445" s="16"/>
      <c r="CP445" s="16"/>
      <c r="CQ445" s="16"/>
      <c r="CR445" s="16"/>
      <c r="CS445" s="16"/>
      <c r="CT445" s="17"/>
      <c r="CX445" s="24"/>
      <c r="CY445" s="60"/>
      <c r="CZ445" s="16"/>
      <c r="DA445" s="16"/>
      <c r="DB445" s="16"/>
      <c r="DC445" s="16"/>
      <c r="DD445" s="16"/>
      <c r="DE445" s="17"/>
      <c r="DI445" s="24"/>
      <c r="DJ445" s="60"/>
      <c r="DK445" s="16"/>
      <c r="DL445" s="16"/>
      <c r="DM445" s="16"/>
      <c r="DN445" s="16"/>
      <c r="DO445" s="16"/>
      <c r="DP445" s="17"/>
      <c r="DT445" s="24"/>
      <c r="DU445" s="60"/>
      <c r="DV445" s="16"/>
      <c r="DW445" s="16"/>
      <c r="DX445" s="16"/>
      <c r="DY445" s="16"/>
      <c r="DZ445" s="16"/>
      <c r="EA445" s="17"/>
      <c r="EE445" s="24"/>
      <c r="EF445" s="60"/>
      <c r="EG445" s="16"/>
      <c r="EH445" s="16"/>
      <c r="EI445" s="16"/>
      <c r="EJ445" s="16"/>
      <c r="EK445" s="16"/>
      <c r="EL445" s="17"/>
      <c r="EP445" s="24"/>
      <c r="EQ445" s="60"/>
      <c r="ER445" s="16"/>
      <c r="ES445" s="16"/>
      <c r="ET445" s="16"/>
      <c r="EU445" s="16"/>
      <c r="EV445" s="16"/>
      <c r="EW445" s="17"/>
      <c r="FA445" s="24"/>
      <c r="FB445" s="60"/>
      <c r="FC445" s="16"/>
      <c r="FD445" s="16"/>
      <c r="FE445" s="16"/>
      <c r="FF445" s="16"/>
      <c r="FG445" s="16"/>
      <c r="FH445" s="17"/>
      <c r="FL445" s="24"/>
      <c r="FM445" s="60"/>
      <c r="FN445" s="16"/>
      <c r="FO445" s="16"/>
      <c r="FP445" s="16"/>
      <c r="FQ445" s="16"/>
      <c r="FR445" s="16"/>
      <c r="FS445" s="17"/>
      <c r="FW445" s="24"/>
      <c r="FX445" s="60"/>
      <c r="FY445" s="16"/>
      <c r="FZ445" s="16"/>
      <c r="GA445" s="16"/>
      <c r="GB445" s="16"/>
      <c r="GC445" s="16"/>
      <c r="GD445" s="17"/>
      <c r="GH445" s="24"/>
      <c r="GI445" s="60"/>
      <c r="GJ445" s="16"/>
      <c r="GK445" s="16"/>
      <c r="GL445" s="16"/>
      <c r="GM445" s="16"/>
      <c r="GN445" s="16"/>
      <c r="GO445" s="17"/>
      <c r="GS445" s="24"/>
      <c r="GT445" s="60"/>
      <c r="GU445" s="16"/>
      <c r="GV445" s="16"/>
      <c r="GW445" s="16"/>
      <c r="GX445" s="16"/>
      <c r="GY445" s="16"/>
      <c r="GZ445" s="17"/>
      <c r="HD445" s="24"/>
      <c r="HE445" s="60"/>
      <c r="HF445" s="16"/>
      <c r="HG445" s="16"/>
      <c r="HH445" s="16"/>
      <c r="HI445" s="16"/>
      <c r="HJ445" s="16"/>
      <c r="HK445" s="17"/>
      <c r="HO445" s="24"/>
      <c r="HP445" s="60"/>
      <c r="HQ445" s="16"/>
      <c r="HR445" s="16"/>
      <c r="HS445" s="16"/>
      <c r="HT445" s="16"/>
      <c r="HU445" s="16"/>
      <c r="HV445" s="17"/>
      <c r="HZ445" s="24"/>
      <c r="IA445" s="60"/>
      <c r="IB445" s="16"/>
      <c r="IC445" s="16"/>
      <c r="ID445" s="16"/>
      <c r="IE445" s="16"/>
      <c r="IF445" s="16"/>
      <c r="IG445" s="17"/>
      <c r="IK445" s="24"/>
      <c r="IL445" s="60"/>
      <c r="IM445" s="16"/>
      <c r="IN445" s="16"/>
      <c r="IO445" s="16"/>
      <c r="IP445" s="16"/>
      <c r="IQ445" s="16"/>
      <c r="IR445" s="17"/>
      <c r="IV445" s="24"/>
      <c r="IW445" s="60"/>
      <c r="IX445" s="16"/>
      <c r="IY445" s="16"/>
      <c r="IZ445" s="16"/>
      <c r="JA445" s="16"/>
      <c r="JB445" s="16"/>
      <c r="JC445" s="17"/>
      <c r="JG445" s="24"/>
      <c r="JH445" s="60"/>
      <c r="JI445" s="16"/>
      <c r="JJ445" s="16"/>
      <c r="JK445" s="16"/>
      <c r="JL445" s="16"/>
      <c r="JM445" s="16"/>
      <c r="JN445" s="17"/>
      <c r="JR445" s="24"/>
      <c r="JS445" s="60"/>
      <c r="JT445" s="16"/>
      <c r="JU445" s="16"/>
      <c r="JV445" s="16"/>
      <c r="JW445" s="16"/>
      <c r="JX445" s="16"/>
      <c r="JY445" s="17"/>
      <c r="KC445" s="24"/>
      <c r="KD445" s="60"/>
      <c r="KE445" s="16"/>
      <c r="KF445" s="16"/>
      <c r="KG445" s="16"/>
      <c r="KH445" s="16"/>
      <c r="KI445" s="16"/>
      <c r="KJ445" s="17"/>
      <c r="KN445" s="24"/>
      <c r="KO445" s="60"/>
      <c r="KP445" s="16"/>
      <c r="KQ445" s="16"/>
      <c r="KR445" s="16"/>
      <c r="KS445" s="16"/>
      <c r="KT445" s="16"/>
      <c r="KU445" s="17"/>
      <c r="KY445" s="24"/>
      <c r="KZ445" s="60"/>
      <c r="LA445" s="16"/>
      <c r="LB445" s="16"/>
      <c r="LC445" s="16"/>
      <c r="LD445" s="16"/>
      <c r="LE445" s="16"/>
      <c r="LF445" s="17"/>
      <c r="LJ445" s="24"/>
      <c r="LK445" s="60"/>
      <c r="LL445" s="16"/>
      <c r="LM445" s="16"/>
      <c r="LN445" s="16"/>
      <c r="LO445" s="16"/>
      <c r="LP445" s="16"/>
      <c r="LQ445" s="17"/>
    </row>
    <row r="446">
      <c r="C446" s="31"/>
      <c r="D446" s="61"/>
      <c r="E446" s="16"/>
      <c r="F446" s="16"/>
      <c r="G446" s="21"/>
      <c r="H446" s="16"/>
      <c r="I446" s="16"/>
      <c r="J446" s="17"/>
      <c r="N446" s="17"/>
      <c r="O446" s="61"/>
      <c r="P446" s="16"/>
      <c r="Q446" s="16"/>
      <c r="R446" s="16"/>
      <c r="S446" s="16"/>
      <c r="T446" s="16"/>
      <c r="U446" s="17"/>
      <c r="Y446" s="24"/>
      <c r="Z446" s="61"/>
      <c r="AA446" s="16"/>
      <c r="AB446" s="16"/>
      <c r="AC446" s="16"/>
      <c r="AD446" s="16"/>
      <c r="AE446" s="16"/>
      <c r="AF446" s="17"/>
      <c r="AJ446" s="24"/>
      <c r="AK446" s="61"/>
      <c r="AL446" s="16"/>
      <c r="AM446" s="16"/>
      <c r="AN446" s="16"/>
      <c r="AO446" s="16"/>
      <c r="AP446" s="16"/>
      <c r="AQ446" s="17"/>
      <c r="AU446" s="24"/>
      <c r="AV446" s="61"/>
      <c r="AW446" s="16"/>
      <c r="AX446" s="16"/>
      <c r="AY446" s="16"/>
      <c r="AZ446" s="16"/>
      <c r="BA446" s="16"/>
      <c r="BB446" s="17"/>
      <c r="BF446" s="24"/>
      <c r="BG446" s="61"/>
      <c r="BH446" s="16"/>
      <c r="BI446" s="16"/>
      <c r="BJ446" s="16"/>
      <c r="BK446" s="16"/>
      <c r="BL446" s="16"/>
      <c r="BM446" s="17"/>
      <c r="BQ446" s="24"/>
      <c r="BR446" s="61"/>
      <c r="BS446" s="16"/>
      <c r="BT446" s="16"/>
      <c r="BU446" s="16"/>
      <c r="BV446" s="16"/>
      <c r="BW446" s="16"/>
      <c r="BX446" s="17"/>
      <c r="CB446" s="24"/>
      <c r="CC446" s="61"/>
      <c r="CD446" s="16"/>
      <c r="CE446" s="16"/>
      <c r="CF446" s="16"/>
      <c r="CG446" s="16"/>
      <c r="CH446" s="16"/>
      <c r="CI446" s="17"/>
      <c r="CM446" s="24"/>
      <c r="CN446" s="61"/>
      <c r="CO446" s="16"/>
      <c r="CP446" s="16"/>
      <c r="CQ446" s="16"/>
      <c r="CR446" s="16"/>
      <c r="CS446" s="16"/>
      <c r="CT446" s="17"/>
      <c r="CX446" s="24"/>
      <c r="CY446" s="60"/>
      <c r="CZ446" s="16"/>
      <c r="DA446" s="16"/>
      <c r="DB446" s="16"/>
      <c r="DC446" s="16"/>
      <c r="DD446" s="16"/>
      <c r="DE446" s="17"/>
      <c r="DI446" s="24"/>
      <c r="DJ446" s="60"/>
      <c r="DK446" s="16"/>
      <c r="DL446" s="16"/>
      <c r="DM446" s="16"/>
      <c r="DN446" s="16"/>
      <c r="DO446" s="16"/>
      <c r="DP446" s="17"/>
      <c r="DT446" s="24"/>
      <c r="DU446" s="60"/>
      <c r="DV446" s="16"/>
      <c r="DW446" s="16"/>
      <c r="DX446" s="16"/>
      <c r="DY446" s="16"/>
      <c r="DZ446" s="16"/>
      <c r="EA446" s="17"/>
      <c r="EE446" s="24"/>
      <c r="EF446" s="60"/>
      <c r="EG446" s="16"/>
      <c r="EH446" s="16"/>
      <c r="EI446" s="16"/>
      <c r="EJ446" s="16"/>
      <c r="EK446" s="16"/>
      <c r="EL446" s="17"/>
      <c r="EP446" s="24"/>
      <c r="EQ446" s="60"/>
      <c r="ER446" s="16"/>
      <c r="ES446" s="16"/>
      <c r="ET446" s="16"/>
      <c r="EU446" s="16"/>
      <c r="EV446" s="16"/>
      <c r="EW446" s="17"/>
      <c r="FA446" s="24"/>
      <c r="FB446" s="60"/>
      <c r="FC446" s="16"/>
      <c r="FD446" s="16"/>
      <c r="FE446" s="16"/>
      <c r="FF446" s="16"/>
      <c r="FG446" s="16"/>
      <c r="FH446" s="17"/>
      <c r="FL446" s="24"/>
      <c r="FM446" s="60"/>
      <c r="FN446" s="16"/>
      <c r="FO446" s="16"/>
      <c r="FP446" s="16"/>
      <c r="FQ446" s="16"/>
      <c r="FR446" s="16"/>
      <c r="FS446" s="17"/>
      <c r="FW446" s="24"/>
      <c r="FX446" s="60"/>
      <c r="FY446" s="16"/>
      <c r="FZ446" s="16"/>
      <c r="GA446" s="16"/>
      <c r="GB446" s="16"/>
      <c r="GC446" s="16"/>
      <c r="GD446" s="17"/>
      <c r="GH446" s="24"/>
      <c r="GI446" s="60"/>
      <c r="GJ446" s="16"/>
      <c r="GK446" s="16"/>
      <c r="GL446" s="16"/>
      <c r="GM446" s="16"/>
      <c r="GN446" s="16"/>
      <c r="GO446" s="17"/>
      <c r="GS446" s="24"/>
      <c r="GT446" s="60"/>
      <c r="GU446" s="16"/>
      <c r="GV446" s="16"/>
      <c r="GW446" s="16"/>
      <c r="GX446" s="16"/>
      <c r="GY446" s="16"/>
      <c r="GZ446" s="17"/>
      <c r="HD446" s="24"/>
      <c r="HE446" s="60"/>
      <c r="HF446" s="16"/>
      <c r="HG446" s="16"/>
      <c r="HH446" s="16"/>
      <c r="HI446" s="16"/>
      <c r="HJ446" s="16"/>
      <c r="HK446" s="17"/>
      <c r="HO446" s="24"/>
      <c r="HP446" s="60"/>
      <c r="HQ446" s="16"/>
      <c r="HR446" s="16"/>
      <c r="HS446" s="16"/>
      <c r="HT446" s="16"/>
      <c r="HU446" s="16"/>
      <c r="HV446" s="17"/>
      <c r="HZ446" s="24"/>
      <c r="IA446" s="60"/>
      <c r="IB446" s="16"/>
      <c r="IC446" s="16"/>
      <c r="ID446" s="16"/>
      <c r="IE446" s="16"/>
      <c r="IF446" s="16"/>
      <c r="IG446" s="17"/>
      <c r="IK446" s="24"/>
      <c r="IL446" s="60"/>
      <c r="IM446" s="16"/>
      <c r="IN446" s="16"/>
      <c r="IO446" s="16"/>
      <c r="IP446" s="16"/>
      <c r="IQ446" s="16"/>
      <c r="IR446" s="17"/>
      <c r="IV446" s="24"/>
      <c r="IW446" s="60"/>
      <c r="IX446" s="16"/>
      <c r="IY446" s="16"/>
      <c r="IZ446" s="16"/>
      <c r="JA446" s="16"/>
      <c r="JB446" s="16"/>
      <c r="JC446" s="17"/>
      <c r="JG446" s="24"/>
      <c r="JH446" s="60"/>
      <c r="JI446" s="16"/>
      <c r="JJ446" s="16"/>
      <c r="JK446" s="16"/>
      <c r="JL446" s="16"/>
      <c r="JM446" s="16"/>
      <c r="JN446" s="17"/>
      <c r="JR446" s="24"/>
      <c r="JS446" s="60"/>
      <c r="JT446" s="16"/>
      <c r="JU446" s="16"/>
      <c r="JV446" s="16"/>
      <c r="JW446" s="16"/>
      <c r="JX446" s="16"/>
      <c r="JY446" s="17"/>
      <c r="KC446" s="24"/>
      <c r="KD446" s="60"/>
      <c r="KE446" s="16"/>
      <c r="KF446" s="16"/>
      <c r="KG446" s="16"/>
      <c r="KH446" s="16"/>
      <c r="KI446" s="16"/>
      <c r="KJ446" s="17"/>
      <c r="KN446" s="24"/>
      <c r="KO446" s="60"/>
      <c r="KP446" s="16"/>
      <c r="KQ446" s="16"/>
      <c r="KR446" s="16"/>
      <c r="KS446" s="16"/>
      <c r="KT446" s="16"/>
      <c r="KU446" s="17"/>
      <c r="KY446" s="24"/>
      <c r="KZ446" s="60"/>
      <c r="LA446" s="16"/>
      <c r="LB446" s="16"/>
      <c r="LC446" s="16"/>
      <c r="LD446" s="16"/>
      <c r="LE446" s="16"/>
      <c r="LF446" s="17"/>
      <c r="LJ446" s="24"/>
      <c r="LK446" s="60"/>
      <c r="LL446" s="16"/>
      <c r="LM446" s="16"/>
      <c r="LN446" s="16"/>
      <c r="LO446" s="16"/>
      <c r="LP446" s="16"/>
      <c r="LQ446" s="17"/>
    </row>
    <row r="447">
      <c r="C447" s="31"/>
      <c r="D447" s="61"/>
      <c r="E447" s="16"/>
      <c r="F447" s="16"/>
      <c r="G447" s="21"/>
      <c r="H447" s="16"/>
      <c r="I447" s="16"/>
      <c r="J447" s="17"/>
      <c r="N447" s="17"/>
      <c r="O447" s="61"/>
      <c r="P447" s="16"/>
      <c r="Q447" s="16"/>
      <c r="R447" s="16"/>
      <c r="S447" s="16"/>
      <c r="T447" s="16"/>
      <c r="U447" s="17"/>
      <c r="Y447" s="24"/>
      <c r="Z447" s="61"/>
      <c r="AA447" s="16"/>
      <c r="AB447" s="16"/>
      <c r="AC447" s="16"/>
      <c r="AD447" s="16"/>
      <c r="AE447" s="16"/>
      <c r="AF447" s="17"/>
      <c r="AJ447" s="24"/>
      <c r="AK447" s="61"/>
      <c r="AL447" s="16"/>
      <c r="AM447" s="16"/>
      <c r="AN447" s="16"/>
      <c r="AO447" s="16"/>
      <c r="AP447" s="16"/>
      <c r="AQ447" s="17"/>
      <c r="AU447" s="24"/>
      <c r="AV447" s="61"/>
      <c r="AW447" s="16"/>
      <c r="AX447" s="16"/>
      <c r="AY447" s="16"/>
      <c r="AZ447" s="16"/>
      <c r="BA447" s="16"/>
      <c r="BB447" s="17"/>
      <c r="BF447" s="24"/>
      <c r="BG447" s="61"/>
      <c r="BH447" s="16"/>
      <c r="BI447" s="16"/>
      <c r="BJ447" s="16"/>
      <c r="BK447" s="16"/>
      <c r="BL447" s="16"/>
      <c r="BM447" s="17"/>
      <c r="BQ447" s="24"/>
      <c r="BR447" s="61"/>
      <c r="BS447" s="16"/>
      <c r="BT447" s="16"/>
      <c r="BU447" s="16"/>
      <c r="BV447" s="16"/>
      <c r="BW447" s="16"/>
      <c r="BX447" s="17"/>
      <c r="CB447" s="24"/>
      <c r="CC447" s="61"/>
      <c r="CD447" s="16"/>
      <c r="CE447" s="16"/>
      <c r="CF447" s="16"/>
      <c r="CG447" s="16"/>
      <c r="CH447" s="16"/>
      <c r="CI447" s="17"/>
      <c r="CM447" s="24"/>
      <c r="CN447" s="61"/>
      <c r="CO447" s="16"/>
      <c r="CP447" s="16"/>
      <c r="CQ447" s="16"/>
      <c r="CR447" s="16"/>
      <c r="CS447" s="16"/>
      <c r="CT447" s="17"/>
      <c r="CX447" s="24"/>
      <c r="CY447" s="60"/>
      <c r="CZ447" s="16"/>
      <c r="DA447" s="16"/>
      <c r="DB447" s="16"/>
      <c r="DC447" s="16"/>
      <c r="DD447" s="16"/>
      <c r="DE447" s="17"/>
      <c r="DI447" s="24"/>
      <c r="DJ447" s="60"/>
      <c r="DK447" s="16"/>
      <c r="DL447" s="16"/>
      <c r="DM447" s="16"/>
      <c r="DN447" s="16"/>
      <c r="DO447" s="16"/>
      <c r="DP447" s="17"/>
      <c r="DT447" s="24"/>
      <c r="DU447" s="60"/>
      <c r="DV447" s="16"/>
      <c r="DW447" s="16"/>
      <c r="DX447" s="16"/>
      <c r="DY447" s="16"/>
      <c r="DZ447" s="16"/>
      <c r="EA447" s="17"/>
      <c r="EE447" s="24"/>
      <c r="EF447" s="60"/>
      <c r="EG447" s="16"/>
      <c r="EH447" s="16"/>
      <c r="EI447" s="16"/>
      <c r="EJ447" s="16"/>
      <c r="EK447" s="16"/>
      <c r="EL447" s="17"/>
      <c r="EP447" s="24"/>
      <c r="EQ447" s="60"/>
      <c r="ER447" s="16"/>
      <c r="ES447" s="16"/>
      <c r="ET447" s="16"/>
      <c r="EU447" s="16"/>
      <c r="EV447" s="16"/>
      <c r="EW447" s="17"/>
      <c r="FA447" s="24"/>
      <c r="FB447" s="60"/>
      <c r="FC447" s="16"/>
      <c r="FD447" s="16"/>
      <c r="FE447" s="16"/>
      <c r="FF447" s="16"/>
      <c r="FG447" s="16"/>
      <c r="FH447" s="17"/>
      <c r="FL447" s="24"/>
      <c r="FM447" s="60"/>
      <c r="FN447" s="16"/>
      <c r="FO447" s="16"/>
      <c r="FP447" s="16"/>
      <c r="FQ447" s="16"/>
      <c r="FR447" s="16"/>
      <c r="FS447" s="17"/>
      <c r="FW447" s="24"/>
      <c r="FX447" s="60"/>
      <c r="FY447" s="16"/>
      <c r="FZ447" s="16"/>
      <c r="GA447" s="16"/>
      <c r="GB447" s="16"/>
      <c r="GC447" s="16"/>
      <c r="GD447" s="17"/>
      <c r="GH447" s="24"/>
      <c r="GI447" s="60"/>
      <c r="GJ447" s="16"/>
      <c r="GK447" s="16"/>
      <c r="GL447" s="16"/>
      <c r="GM447" s="16"/>
      <c r="GN447" s="16"/>
      <c r="GO447" s="17"/>
      <c r="GS447" s="24"/>
      <c r="GT447" s="60"/>
      <c r="GU447" s="16"/>
      <c r="GV447" s="16"/>
      <c r="GW447" s="16"/>
      <c r="GX447" s="16"/>
      <c r="GY447" s="16"/>
      <c r="GZ447" s="17"/>
      <c r="HD447" s="24"/>
      <c r="HE447" s="60"/>
      <c r="HF447" s="16"/>
      <c r="HG447" s="16"/>
      <c r="HH447" s="16"/>
      <c r="HI447" s="16"/>
      <c r="HJ447" s="16"/>
      <c r="HK447" s="17"/>
      <c r="HO447" s="24"/>
      <c r="HP447" s="60"/>
      <c r="HQ447" s="16"/>
      <c r="HR447" s="16"/>
      <c r="HS447" s="16"/>
      <c r="HT447" s="16"/>
      <c r="HU447" s="16"/>
      <c r="HV447" s="17"/>
      <c r="HZ447" s="24"/>
      <c r="IA447" s="60"/>
      <c r="IB447" s="16"/>
      <c r="IC447" s="16"/>
      <c r="ID447" s="16"/>
      <c r="IE447" s="16"/>
      <c r="IF447" s="16"/>
      <c r="IG447" s="17"/>
      <c r="IK447" s="24"/>
      <c r="IL447" s="60"/>
      <c r="IM447" s="16"/>
      <c r="IN447" s="16"/>
      <c r="IO447" s="16"/>
      <c r="IP447" s="16"/>
      <c r="IQ447" s="16"/>
      <c r="IR447" s="17"/>
      <c r="IV447" s="24"/>
      <c r="IW447" s="60"/>
      <c r="IX447" s="16"/>
      <c r="IY447" s="16"/>
      <c r="IZ447" s="16"/>
      <c r="JA447" s="16"/>
      <c r="JB447" s="16"/>
      <c r="JC447" s="17"/>
      <c r="JG447" s="24"/>
      <c r="JH447" s="60"/>
      <c r="JI447" s="16"/>
      <c r="JJ447" s="16"/>
      <c r="JK447" s="16"/>
      <c r="JL447" s="16"/>
      <c r="JM447" s="16"/>
      <c r="JN447" s="17"/>
      <c r="JR447" s="24"/>
      <c r="JS447" s="60"/>
      <c r="JT447" s="16"/>
      <c r="JU447" s="16"/>
      <c r="JV447" s="16"/>
      <c r="JW447" s="16"/>
      <c r="JX447" s="16"/>
      <c r="JY447" s="17"/>
      <c r="KC447" s="24"/>
      <c r="KD447" s="60"/>
      <c r="KE447" s="16"/>
      <c r="KF447" s="16"/>
      <c r="KG447" s="16"/>
      <c r="KH447" s="16"/>
      <c r="KI447" s="16"/>
      <c r="KJ447" s="17"/>
      <c r="KN447" s="24"/>
      <c r="KO447" s="60"/>
      <c r="KP447" s="16"/>
      <c r="KQ447" s="16"/>
      <c r="KR447" s="16"/>
      <c r="KS447" s="16"/>
      <c r="KT447" s="16"/>
      <c r="KU447" s="17"/>
      <c r="KY447" s="24"/>
      <c r="KZ447" s="60"/>
      <c r="LA447" s="16"/>
      <c r="LB447" s="16"/>
      <c r="LC447" s="16"/>
      <c r="LD447" s="16"/>
      <c r="LE447" s="16"/>
      <c r="LF447" s="17"/>
      <c r="LJ447" s="24"/>
      <c r="LK447" s="60"/>
      <c r="LL447" s="16"/>
      <c r="LM447" s="16"/>
      <c r="LN447" s="16"/>
      <c r="LO447" s="16"/>
      <c r="LP447" s="16"/>
      <c r="LQ447" s="17"/>
    </row>
    <row r="448">
      <c r="C448" s="31"/>
      <c r="D448" s="61"/>
      <c r="E448" s="16"/>
      <c r="F448" s="16"/>
      <c r="G448" s="21"/>
      <c r="H448" s="16"/>
      <c r="I448" s="16"/>
      <c r="J448" s="17"/>
      <c r="N448" s="17"/>
      <c r="O448" s="61"/>
      <c r="P448" s="16"/>
      <c r="Q448" s="16"/>
      <c r="R448" s="16"/>
      <c r="S448" s="16"/>
      <c r="T448" s="16"/>
      <c r="U448" s="17"/>
      <c r="Y448" s="24"/>
      <c r="Z448" s="61"/>
      <c r="AA448" s="16"/>
      <c r="AB448" s="16"/>
      <c r="AC448" s="16"/>
      <c r="AD448" s="16"/>
      <c r="AE448" s="16"/>
      <c r="AF448" s="17"/>
      <c r="AJ448" s="24"/>
      <c r="AK448" s="61"/>
      <c r="AL448" s="16"/>
      <c r="AM448" s="16"/>
      <c r="AN448" s="16"/>
      <c r="AO448" s="16"/>
      <c r="AP448" s="16"/>
      <c r="AQ448" s="17"/>
      <c r="AU448" s="24"/>
      <c r="AV448" s="61"/>
      <c r="AW448" s="16"/>
      <c r="AX448" s="16"/>
      <c r="AY448" s="16"/>
      <c r="AZ448" s="16"/>
      <c r="BA448" s="16"/>
      <c r="BB448" s="17"/>
      <c r="BF448" s="24"/>
      <c r="BG448" s="61"/>
      <c r="BH448" s="16"/>
      <c r="BI448" s="16"/>
      <c r="BJ448" s="16"/>
      <c r="BK448" s="16"/>
      <c r="BL448" s="16"/>
      <c r="BM448" s="17"/>
      <c r="BQ448" s="24"/>
      <c r="BR448" s="61"/>
      <c r="BS448" s="16"/>
      <c r="BT448" s="16"/>
      <c r="BU448" s="16"/>
      <c r="BV448" s="16"/>
      <c r="BW448" s="16"/>
      <c r="BX448" s="17"/>
      <c r="CB448" s="24"/>
      <c r="CC448" s="61"/>
      <c r="CD448" s="16"/>
      <c r="CE448" s="16"/>
      <c r="CF448" s="16"/>
      <c r="CG448" s="16"/>
      <c r="CH448" s="16"/>
      <c r="CI448" s="17"/>
      <c r="CM448" s="24"/>
      <c r="CN448" s="61"/>
      <c r="CO448" s="16"/>
      <c r="CP448" s="16"/>
      <c r="CQ448" s="16"/>
      <c r="CR448" s="16"/>
      <c r="CS448" s="16"/>
      <c r="CT448" s="17"/>
      <c r="CX448" s="24"/>
      <c r="CY448" s="60"/>
      <c r="CZ448" s="16"/>
      <c r="DA448" s="16"/>
      <c r="DB448" s="16"/>
      <c r="DC448" s="16"/>
      <c r="DD448" s="16"/>
      <c r="DE448" s="17"/>
      <c r="DI448" s="24"/>
      <c r="DJ448" s="60"/>
      <c r="DK448" s="16"/>
      <c r="DL448" s="16"/>
      <c r="DM448" s="16"/>
      <c r="DN448" s="16"/>
      <c r="DO448" s="16"/>
      <c r="DP448" s="17"/>
      <c r="DT448" s="24"/>
      <c r="DU448" s="60"/>
      <c r="DV448" s="16"/>
      <c r="DW448" s="16"/>
      <c r="DX448" s="16"/>
      <c r="DY448" s="16"/>
      <c r="DZ448" s="16"/>
      <c r="EA448" s="17"/>
      <c r="EE448" s="24"/>
      <c r="EF448" s="60"/>
      <c r="EG448" s="16"/>
      <c r="EH448" s="16"/>
      <c r="EI448" s="16"/>
      <c r="EJ448" s="16"/>
      <c r="EK448" s="16"/>
      <c r="EL448" s="17"/>
      <c r="EP448" s="24"/>
      <c r="EQ448" s="60"/>
      <c r="ER448" s="16"/>
      <c r="ES448" s="16"/>
      <c r="ET448" s="16"/>
      <c r="EU448" s="16"/>
      <c r="EV448" s="16"/>
      <c r="EW448" s="17"/>
      <c r="FA448" s="24"/>
      <c r="FB448" s="60"/>
      <c r="FC448" s="16"/>
      <c r="FD448" s="16"/>
      <c r="FE448" s="16"/>
      <c r="FF448" s="16"/>
      <c r="FG448" s="16"/>
      <c r="FH448" s="17"/>
      <c r="FL448" s="24"/>
      <c r="FM448" s="60"/>
      <c r="FN448" s="16"/>
      <c r="FO448" s="16"/>
      <c r="FP448" s="16"/>
      <c r="FQ448" s="16"/>
      <c r="FR448" s="16"/>
      <c r="FS448" s="17"/>
      <c r="FW448" s="24"/>
      <c r="FX448" s="60"/>
      <c r="FY448" s="16"/>
      <c r="FZ448" s="16"/>
      <c r="GA448" s="16"/>
      <c r="GB448" s="16"/>
      <c r="GC448" s="16"/>
      <c r="GD448" s="17"/>
      <c r="GH448" s="24"/>
      <c r="GI448" s="60"/>
      <c r="GJ448" s="16"/>
      <c r="GK448" s="16"/>
      <c r="GL448" s="16"/>
      <c r="GM448" s="16"/>
      <c r="GN448" s="16"/>
      <c r="GO448" s="17"/>
      <c r="GS448" s="24"/>
      <c r="GT448" s="60"/>
      <c r="GU448" s="16"/>
      <c r="GV448" s="16"/>
      <c r="GW448" s="16"/>
      <c r="GX448" s="16"/>
      <c r="GY448" s="16"/>
      <c r="GZ448" s="17"/>
      <c r="HD448" s="24"/>
      <c r="HE448" s="60"/>
      <c r="HF448" s="16"/>
      <c r="HG448" s="16"/>
      <c r="HH448" s="16"/>
      <c r="HI448" s="16"/>
      <c r="HJ448" s="16"/>
      <c r="HK448" s="17"/>
      <c r="HO448" s="24"/>
      <c r="HP448" s="60"/>
      <c r="HQ448" s="16"/>
      <c r="HR448" s="16"/>
      <c r="HS448" s="16"/>
      <c r="HT448" s="16"/>
      <c r="HU448" s="16"/>
      <c r="HV448" s="17"/>
      <c r="HZ448" s="24"/>
      <c r="IA448" s="60"/>
      <c r="IB448" s="16"/>
      <c r="IC448" s="16"/>
      <c r="ID448" s="16"/>
      <c r="IE448" s="16"/>
      <c r="IF448" s="16"/>
      <c r="IG448" s="17"/>
      <c r="IK448" s="24"/>
      <c r="IL448" s="60"/>
      <c r="IM448" s="16"/>
      <c r="IN448" s="16"/>
      <c r="IO448" s="16"/>
      <c r="IP448" s="16"/>
      <c r="IQ448" s="16"/>
      <c r="IR448" s="17"/>
      <c r="IV448" s="24"/>
      <c r="IW448" s="60"/>
      <c r="IX448" s="16"/>
      <c r="IY448" s="16"/>
      <c r="IZ448" s="16"/>
      <c r="JA448" s="16"/>
      <c r="JB448" s="16"/>
      <c r="JC448" s="17"/>
      <c r="JG448" s="24"/>
      <c r="JH448" s="60"/>
      <c r="JI448" s="16"/>
      <c r="JJ448" s="16"/>
      <c r="JK448" s="16"/>
      <c r="JL448" s="16"/>
      <c r="JM448" s="16"/>
      <c r="JN448" s="17"/>
      <c r="JR448" s="24"/>
      <c r="JS448" s="60"/>
      <c r="JT448" s="16"/>
      <c r="JU448" s="16"/>
      <c r="JV448" s="16"/>
      <c r="JW448" s="16"/>
      <c r="JX448" s="16"/>
      <c r="JY448" s="17"/>
      <c r="KC448" s="24"/>
      <c r="KD448" s="60"/>
      <c r="KE448" s="16"/>
      <c r="KF448" s="16"/>
      <c r="KG448" s="16"/>
      <c r="KH448" s="16"/>
      <c r="KI448" s="16"/>
      <c r="KJ448" s="17"/>
      <c r="KN448" s="24"/>
      <c r="KO448" s="60"/>
      <c r="KP448" s="16"/>
      <c r="KQ448" s="16"/>
      <c r="KR448" s="16"/>
      <c r="KS448" s="16"/>
      <c r="KT448" s="16"/>
      <c r="KU448" s="17"/>
      <c r="KY448" s="24"/>
      <c r="KZ448" s="60"/>
      <c r="LA448" s="16"/>
      <c r="LB448" s="16"/>
      <c r="LC448" s="16"/>
      <c r="LD448" s="16"/>
      <c r="LE448" s="16"/>
      <c r="LF448" s="17"/>
      <c r="LJ448" s="24"/>
      <c r="LK448" s="60"/>
      <c r="LL448" s="16"/>
      <c r="LM448" s="16"/>
      <c r="LN448" s="16"/>
      <c r="LO448" s="16"/>
      <c r="LP448" s="16"/>
      <c r="LQ448" s="17"/>
    </row>
    <row r="449">
      <c r="C449" s="31"/>
      <c r="D449" s="61"/>
      <c r="E449" s="16"/>
      <c r="F449" s="16"/>
      <c r="G449" s="21"/>
      <c r="H449" s="16"/>
      <c r="I449" s="16"/>
      <c r="J449" s="17"/>
      <c r="N449" s="17"/>
      <c r="O449" s="61"/>
      <c r="P449" s="16"/>
      <c r="Q449" s="16"/>
      <c r="R449" s="16"/>
      <c r="S449" s="16"/>
      <c r="T449" s="16"/>
      <c r="U449" s="17"/>
      <c r="Y449" s="24"/>
      <c r="Z449" s="61"/>
      <c r="AA449" s="16"/>
      <c r="AB449" s="16"/>
      <c r="AC449" s="16"/>
      <c r="AD449" s="16"/>
      <c r="AE449" s="16"/>
      <c r="AF449" s="17"/>
      <c r="AJ449" s="24"/>
      <c r="AK449" s="61"/>
      <c r="AL449" s="16"/>
      <c r="AM449" s="16"/>
      <c r="AN449" s="16"/>
      <c r="AO449" s="16"/>
      <c r="AP449" s="16"/>
      <c r="AQ449" s="17"/>
      <c r="AU449" s="24"/>
      <c r="AV449" s="61"/>
      <c r="AW449" s="16"/>
      <c r="AX449" s="16"/>
      <c r="AY449" s="16"/>
      <c r="AZ449" s="16"/>
      <c r="BA449" s="16"/>
      <c r="BB449" s="17"/>
      <c r="BF449" s="24"/>
      <c r="BG449" s="61"/>
      <c r="BH449" s="16"/>
      <c r="BI449" s="16"/>
      <c r="BJ449" s="16"/>
      <c r="BK449" s="16"/>
      <c r="BL449" s="16"/>
      <c r="BM449" s="17"/>
      <c r="BQ449" s="24"/>
      <c r="BR449" s="61"/>
      <c r="BS449" s="16"/>
      <c r="BT449" s="16"/>
      <c r="BU449" s="16"/>
      <c r="BV449" s="16"/>
      <c r="BW449" s="16"/>
      <c r="BX449" s="17"/>
      <c r="CB449" s="24"/>
      <c r="CC449" s="61"/>
      <c r="CD449" s="16"/>
      <c r="CE449" s="16"/>
      <c r="CF449" s="16"/>
      <c r="CG449" s="16"/>
      <c r="CH449" s="16"/>
      <c r="CI449" s="17"/>
      <c r="CM449" s="24"/>
      <c r="CN449" s="61"/>
      <c r="CO449" s="16"/>
      <c r="CP449" s="16"/>
      <c r="CQ449" s="16"/>
      <c r="CR449" s="16"/>
      <c r="CS449" s="16"/>
      <c r="CT449" s="17"/>
      <c r="CX449" s="24"/>
      <c r="CY449" s="60"/>
      <c r="CZ449" s="16"/>
      <c r="DA449" s="16"/>
      <c r="DB449" s="16"/>
      <c r="DC449" s="16"/>
      <c r="DD449" s="16"/>
      <c r="DE449" s="17"/>
      <c r="DI449" s="24"/>
      <c r="DJ449" s="60"/>
      <c r="DK449" s="16"/>
      <c r="DL449" s="16"/>
      <c r="DM449" s="16"/>
      <c r="DN449" s="16"/>
      <c r="DO449" s="16"/>
      <c r="DP449" s="17"/>
      <c r="DT449" s="24"/>
      <c r="DU449" s="60"/>
      <c r="DV449" s="16"/>
      <c r="DW449" s="16"/>
      <c r="DX449" s="16"/>
      <c r="DY449" s="16"/>
      <c r="DZ449" s="16"/>
      <c r="EA449" s="17"/>
      <c r="EE449" s="24"/>
      <c r="EF449" s="60"/>
      <c r="EG449" s="16"/>
      <c r="EH449" s="16"/>
      <c r="EI449" s="16"/>
      <c r="EJ449" s="16"/>
      <c r="EK449" s="16"/>
      <c r="EL449" s="17"/>
      <c r="EP449" s="24"/>
      <c r="EQ449" s="60"/>
      <c r="ER449" s="16"/>
      <c r="ES449" s="16"/>
      <c r="ET449" s="16"/>
      <c r="EU449" s="16"/>
      <c r="EV449" s="16"/>
      <c r="EW449" s="17"/>
      <c r="FA449" s="24"/>
      <c r="FB449" s="60"/>
      <c r="FC449" s="16"/>
      <c r="FD449" s="16"/>
      <c r="FE449" s="16"/>
      <c r="FF449" s="16"/>
      <c r="FG449" s="16"/>
      <c r="FH449" s="17"/>
      <c r="FL449" s="24"/>
      <c r="FM449" s="60"/>
      <c r="FN449" s="16"/>
      <c r="FO449" s="16"/>
      <c r="FP449" s="16"/>
      <c r="FQ449" s="16"/>
      <c r="FR449" s="16"/>
      <c r="FS449" s="17"/>
      <c r="FW449" s="24"/>
      <c r="FX449" s="60"/>
      <c r="FY449" s="16"/>
      <c r="FZ449" s="16"/>
      <c r="GA449" s="16"/>
      <c r="GB449" s="16"/>
      <c r="GC449" s="16"/>
      <c r="GD449" s="17"/>
      <c r="GH449" s="24"/>
      <c r="GI449" s="60"/>
      <c r="GJ449" s="16"/>
      <c r="GK449" s="16"/>
      <c r="GL449" s="16"/>
      <c r="GM449" s="16"/>
      <c r="GN449" s="16"/>
      <c r="GO449" s="17"/>
      <c r="GS449" s="24"/>
      <c r="GT449" s="60"/>
      <c r="GU449" s="16"/>
      <c r="GV449" s="16"/>
      <c r="GW449" s="16"/>
      <c r="GX449" s="16"/>
      <c r="GY449" s="16"/>
      <c r="GZ449" s="17"/>
      <c r="HD449" s="24"/>
      <c r="HE449" s="60"/>
      <c r="HF449" s="16"/>
      <c r="HG449" s="16"/>
      <c r="HH449" s="16"/>
      <c r="HI449" s="16"/>
      <c r="HJ449" s="16"/>
      <c r="HK449" s="17"/>
      <c r="HO449" s="24"/>
      <c r="HP449" s="60"/>
      <c r="HQ449" s="16"/>
      <c r="HR449" s="16"/>
      <c r="HS449" s="16"/>
      <c r="HT449" s="16"/>
      <c r="HU449" s="16"/>
      <c r="HV449" s="17"/>
      <c r="HZ449" s="24"/>
      <c r="IA449" s="60"/>
      <c r="IB449" s="16"/>
      <c r="IC449" s="16"/>
      <c r="ID449" s="16"/>
      <c r="IE449" s="16"/>
      <c r="IF449" s="16"/>
      <c r="IG449" s="17"/>
      <c r="IK449" s="24"/>
      <c r="IL449" s="60"/>
      <c r="IM449" s="16"/>
      <c r="IN449" s="16"/>
      <c r="IO449" s="16"/>
      <c r="IP449" s="16"/>
      <c r="IQ449" s="16"/>
      <c r="IR449" s="17"/>
      <c r="IV449" s="24"/>
      <c r="IW449" s="60"/>
      <c r="IX449" s="16"/>
      <c r="IY449" s="16"/>
      <c r="IZ449" s="16"/>
      <c r="JA449" s="16"/>
      <c r="JB449" s="16"/>
      <c r="JC449" s="17"/>
      <c r="JG449" s="24"/>
      <c r="JH449" s="60"/>
      <c r="JI449" s="16"/>
      <c r="JJ449" s="16"/>
      <c r="JK449" s="16"/>
      <c r="JL449" s="16"/>
      <c r="JM449" s="16"/>
      <c r="JN449" s="17"/>
      <c r="JR449" s="24"/>
      <c r="JS449" s="60"/>
      <c r="JT449" s="16"/>
      <c r="JU449" s="16"/>
      <c r="JV449" s="16"/>
      <c r="JW449" s="16"/>
      <c r="JX449" s="16"/>
      <c r="JY449" s="17"/>
      <c r="KC449" s="24"/>
      <c r="KD449" s="60"/>
      <c r="KE449" s="16"/>
      <c r="KF449" s="16"/>
      <c r="KG449" s="16"/>
      <c r="KH449" s="16"/>
      <c r="KI449" s="16"/>
      <c r="KJ449" s="17"/>
      <c r="KN449" s="24"/>
      <c r="KO449" s="60"/>
      <c r="KP449" s="16"/>
      <c r="KQ449" s="16"/>
      <c r="KR449" s="16"/>
      <c r="KS449" s="16"/>
      <c r="KT449" s="16"/>
      <c r="KU449" s="17"/>
      <c r="KY449" s="24"/>
      <c r="KZ449" s="60"/>
      <c r="LA449" s="16"/>
      <c r="LB449" s="16"/>
      <c r="LC449" s="16"/>
      <c r="LD449" s="16"/>
      <c r="LE449" s="16"/>
      <c r="LF449" s="17"/>
      <c r="LJ449" s="24"/>
      <c r="LK449" s="60"/>
      <c r="LL449" s="16"/>
      <c r="LM449" s="16"/>
      <c r="LN449" s="16"/>
      <c r="LO449" s="16"/>
      <c r="LP449" s="16"/>
      <c r="LQ449" s="17"/>
    </row>
    <row r="450">
      <c r="C450" s="31"/>
      <c r="D450" s="61"/>
      <c r="E450" s="16"/>
      <c r="F450" s="16"/>
      <c r="G450" s="21"/>
      <c r="H450" s="16"/>
      <c r="I450" s="16"/>
      <c r="J450" s="17"/>
      <c r="N450" s="17"/>
      <c r="O450" s="61"/>
      <c r="P450" s="16"/>
      <c r="Q450" s="16"/>
      <c r="R450" s="16"/>
      <c r="S450" s="16"/>
      <c r="T450" s="16"/>
      <c r="U450" s="17"/>
      <c r="Y450" s="24"/>
      <c r="Z450" s="61"/>
      <c r="AA450" s="16"/>
      <c r="AB450" s="16"/>
      <c r="AC450" s="16"/>
      <c r="AD450" s="16"/>
      <c r="AE450" s="16"/>
      <c r="AF450" s="17"/>
      <c r="AJ450" s="24"/>
      <c r="AK450" s="61"/>
      <c r="AL450" s="16"/>
      <c r="AM450" s="16"/>
      <c r="AN450" s="16"/>
      <c r="AO450" s="16"/>
      <c r="AP450" s="16"/>
      <c r="AQ450" s="17"/>
      <c r="AU450" s="24"/>
      <c r="AV450" s="61"/>
      <c r="AW450" s="16"/>
      <c r="AX450" s="16"/>
      <c r="AY450" s="16"/>
      <c r="AZ450" s="16"/>
      <c r="BA450" s="16"/>
      <c r="BB450" s="17"/>
      <c r="BF450" s="24"/>
      <c r="BG450" s="61"/>
      <c r="BH450" s="16"/>
      <c r="BI450" s="16"/>
      <c r="BJ450" s="16"/>
      <c r="BK450" s="16"/>
      <c r="BL450" s="16"/>
      <c r="BM450" s="17"/>
      <c r="BQ450" s="24"/>
      <c r="BR450" s="61"/>
      <c r="BS450" s="16"/>
      <c r="BT450" s="16"/>
      <c r="BU450" s="16"/>
      <c r="BV450" s="16"/>
      <c r="BW450" s="16"/>
      <c r="BX450" s="17"/>
      <c r="CB450" s="24"/>
      <c r="CC450" s="61"/>
      <c r="CD450" s="16"/>
      <c r="CE450" s="16"/>
      <c r="CF450" s="16"/>
      <c r="CG450" s="16"/>
      <c r="CH450" s="16"/>
      <c r="CI450" s="17"/>
      <c r="CM450" s="24"/>
      <c r="CN450" s="61"/>
      <c r="CO450" s="16"/>
      <c r="CP450" s="16"/>
      <c r="CQ450" s="16"/>
      <c r="CR450" s="16"/>
      <c r="CS450" s="16"/>
      <c r="CT450" s="17"/>
      <c r="CX450" s="24"/>
      <c r="CY450" s="60"/>
      <c r="CZ450" s="16"/>
      <c r="DA450" s="16"/>
      <c r="DB450" s="16"/>
      <c r="DC450" s="16"/>
      <c r="DD450" s="16"/>
      <c r="DE450" s="17"/>
      <c r="DI450" s="24"/>
      <c r="DJ450" s="60"/>
      <c r="DK450" s="16"/>
      <c r="DL450" s="16"/>
      <c r="DM450" s="16"/>
      <c r="DN450" s="16"/>
      <c r="DO450" s="16"/>
      <c r="DP450" s="17"/>
      <c r="DT450" s="24"/>
      <c r="DU450" s="60"/>
      <c r="DV450" s="16"/>
      <c r="DW450" s="16"/>
      <c r="DX450" s="16"/>
      <c r="DY450" s="16"/>
      <c r="DZ450" s="16"/>
      <c r="EA450" s="17"/>
      <c r="EE450" s="24"/>
      <c r="EF450" s="60"/>
      <c r="EG450" s="16"/>
      <c r="EH450" s="16"/>
      <c r="EI450" s="16"/>
      <c r="EJ450" s="16"/>
      <c r="EK450" s="16"/>
      <c r="EL450" s="17"/>
      <c r="EP450" s="24"/>
      <c r="EQ450" s="60"/>
      <c r="ER450" s="16"/>
      <c r="ES450" s="16"/>
      <c r="ET450" s="16"/>
      <c r="EU450" s="16"/>
      <c r="EV450" s="16"/>
      <c r="EW450" s="17"/>
      <c r="FA450" s="24"/>
      <c r="FB450" s="60"/>
      <c r="FC450" s="16"/>
      <c r="FD450" s="16"/>
      <c r="FE450" s="16"/>
      <c r="FF450" s="16"/>
      <c r="FG450" s="16"/>
      <c r="FH450" s="17"/>
      <c r="FL450" s="24"/>
      <c r="FM450" s="60"/>
      <c r="FN450" s="16"/>
      <c r="FO450" s="16"/>
      <c r="FP450" s="16"/>
      <c r="FQ450" s="16"/>
      <c r="FR450" s="16"/>
      <c r="FS450" s="17"/>
      <c r="FW450" s="24"/>
      <c r="FX450" s="60"/>
      <c r="FY450" s="16"/>
      <c r="FZ450" s="16"/>
      <c r="GA450" s="16"/>
      <c r="GB450" s="16"/>
      <c r="GC450" s="16"/>
      <c r="GD450" s="17"/>
      <c r="GH450" s="24"/>
      <c r="GI450" s="60"/>
      <c r="GJ450" s="16"/>
      <c r="GK450" s="16"/>
      <c r="GL450" s="16"/>
      <c r="GM450" s="16"/>
      <c r="GN450" s="16"/>
      <c r="GO450" s="17"/>
      <c r="GS450" s="24"/>
      <c r="GT450" s="60"/>
      <c r="GU450" s="16"/>
      <c r="GV450" s="16"/>
      <c r="GW450" s="16"/>
      <c r="GX450" s="16"/>
      <c r="GY450" s="16"/>
      <c r="GZ450" s="17"/>
      <c r="HD450" s="24"/>
      <c r="HE450" s="60"/>
      <c r="HF450" s="16"/>
      <c r="HG450" s="16"/>
      <c r="HH450" s="16"/>
      <c r="HI450" s="16"/>
      <c r="HJ450" s="16"/>
      <c r="HK450" s="17"/>
      <c r="HO450" s="24"/>
      <c r="HP450" s="60"/>
      <c r="HQ450" s="16"/>
      <c r="HR450" s="16"/>
      <c r="HS450" s="16"/>
      <c r="HT450" s="16"/>
      <c r="HU450" s="16"/>
      <c r="HV450" s="17"/>
      <c r="HZ450" s="24"/>
      <c r="IA450" s="60"/>
      <c r="IB450" s="16"/>
      <c r="IC450" s="16"/>
      <c r="ID450" s="16"/>
      <c r="IE450" s="16"/>
      <c r="IF450" s="16"/>
      <c r="IG450" s="17"/>
      <c r="IK450" s="24"/>
      <c r="IL450" s="60"/>
      <c r="IM450" s="16"/>
      <c r="IN450" s="16"/>
      <c r="IO450" s="16"/>
      <c r="IP450" s="16"/>
      <c r="IQ450" s="16"/>
      <c r="IR450" s="17"/>
      <c r="IV450" s="24"/>
      <c r="IW450" s="60"/>
      <c r="IX450" s="16"/>
      <c r="IY450" s="16"/>
      <c r="IZ450" s="16"/>
      <c r="JA450" s="16"/>
      <c r="JB450" s="16"/>
      <c r="JC450" s="17"/>
      <c r="JG450" s="24"/>
      <c r="JH450" s="60"/>
      <c r="JI450" s="16"/>
      <c r="JJ450" s="16"/>
      <c r="JK450" s="16"/>
      <c r="JL450" s="16"/>
      <c r="JM450" s="16"/>
      <c r="JN450" s="17"/>
      <c r="JR450" s="24"/>
      <c r="JS450" s="60"/>
      <c r="JT450" s="16"/>
      <c r="JU450" s="16"/>
      <c r="JV450" s="16"/>
      <c r="JW450" s="16"/>
      <c r="JX450" s="16"/>
      <c r="JY450" s="17"/>
      <c r="KC450" s="24"/>
      <c r="KD450" s="60"/>
      <c r="KE450" s="16"/>
      <c r="KF450" s="16"/>
      <c r="KG450" s="16"/>
      <c r="KH450" s="16"/>
      <c r="KI450" s="16"/>
      <c r="KJ450" s="17"/>
      <c r="KN450" s="24"/>
      <c r="KO450" s="60"/>
      <c r="KP450" s="16"/>
      <c r="KQ450" s="16"/>
      <c r="KR450" s="16"/>
      <c r="KS450" s="16"/>
      <c r="KT450" s="16"/>
      <c r="KU450" s="17"/>
      <c r="KY450" s="24"/>
      <c r="KZ450" s="60"/>
      <c r="LA450" s="16"/>
      <c r="LB450" s="16"/>
      <c r="LC450" s="16"/>
      <c r="LD450" s="16"/>
      <c r="LE450" s="16"/>
      <c r="LF450" s="17"/>
      <c r="LJ450" s="24"/>
      <c r="LK450" s="60"/>
      <c r="LL450" s="16"/>
      <c r="LM450" s="16"/>
      <c r="LN450" s="16"/>
      <c r="LO450" s="16"/>
      <c r="LP450" s="16"/>
      <c r="LQ450" s="17"/>
    </row>
    <row r="451">
      <c r="C451" s="31"/>
      <c r="D451" s="61"/>
      <c r="E451" s="16"/>
      <c r="F451" s="16"/>
      <c r="G451" s="21"/>
      <c r="H451" s="16"/>
      <c r="I451" s="16"/>
      <c r="J451" s="17"/>
      <c r="N451" s="17"/>
      <c r="O451" s="61"/>
      <c r="P451" s="16"/>
      <c r="Q451" s="16"/>
      <c r="R451" s="16"/>
      <c r="S451" s="16"/>
      <c r="T451" s="16"/>
      <c r="U451" s="17"/>
      <c r="Y451" s="24"/>
      <c r="Z451" s="61"/>
      <c r="AA451" s="16"/>
      <c r="AB451" s="16"/>
      <c r="AC451" s="16"/>
      <c r="AD451" s="16"/>
      <c r="AE451" s="16"/>
      <c r="AF451" s="17"/>
      <c r="AJ451" s="24"/>
      <c r="AK451" s="61"/>
      <c r="AL451" s="16"/>
      <c r="AM451" s="16"/>
      <c r="AN451" s="16"/>
      <c r="AO451" s="16"/>
      <c r="AP451" s="16"/>
      <c r="AQ451" s="17"/>
      <c r="AU451" s="24"/>
      <c r="AV451" s="61"/>
      <c r="AW451" s="16"/>
      <c r="AX451" s="16"/>
      <c r="AY451" s="16"/>
      <c r="AZ451" s="16"/>
      <c r="BA451" s="16"/>
      <c r="BB451" s="17"/>
      <c r="BF451" s="24"/>
      <c r="BG451" s="61"/>
      <c r="BH451" s="16"/>
      <c r="BI451" s="16"/>
      <c r="BJ451" s="16"/>
      <c r="BK451" s="16"/>
      <c r="BL451" s="16"/>
      <c r="BM451" s="17"/>
      <c r="BQ451" s="24"/>
      <c r="BR451" s="61"/>
      <c r="BS451" s="16"/>
      <c r="BT451" s="16"/>
      <c r="BU451" s="16"/>
      <c r="BV451" s="16"/>
      <c r="BW451" s="16"/>
      <c r="BX451" s="17"/>
      <c r="CB451" s="24"/>
      <c r="CC451" s="61"/>
      <c r="CD451" s="16"/>
      <c r="CE451" s="16"/>
      <c r="CF451" s="16"/>
      <c r="CG451" s="16"/>
      <c r="CH451" s="16"/>
      <c r="CI451" s="17"/>
      <c r="CM451" s="24"/>
      <c r="CN451" s="61"/>
      <c r="CO451" s="16"/>
      <c r="CP451" s="16"/>
      <c r="CQ451" s="16"/>
      <c r="CR451" s="16"/>
      <c r="CS451" s="16"/>
      <c r="CT451" s="17"/>
      <c r="CX451" s="24"/>
      <c r="CY451" s="60"/>
      <c r="CZ451" s="16"/>
      <c r="DA451" s="16"/>
      <c r="DB451" s="16"/>
      <c r="DC451" s="16"/>
      <c r="DD451" s="16"/>
      <c r="DE451" s="17"/>
      <c r="DI451" s="24"/>
      <c r="DJ451" s="60"/>
      <c r="DK451" s="16"/>
      <c r="DL451" s="16"/>
      <c r="DM451" s="16"/>
      <c r="DN451" s="16"/>
      <c r="DO451" s="16"/>
      <c r="DP451" s="17"/>
      <c r="DT451" s="24"/>
      <c r="DU451" s="60"/>
      <c r="DV451" s="16"/>
      <c r="DW451" s="16"/>
      <c r="DX451" s="16"/>
      <c r="DY451" s="16"/>
      <c r="DZ451" s="16"/>
      <c r="EA451" s="17"/>
      <c r="EE451" s="24"/>
      <c r="EF451" s="60"/>
      <c r="EG451" s="16"/>
      <c r="EH451" s="16"/>
      <c r="EI451" s="16"/>
      <c r="EJ451" s="16"/>
      <c r="EK451" s="16"/>
      <c r="EL451" s="17"/>
      <c r="EP451" s="24"/>
      <c r="EQ451" s="60"/>
      <c r="ER451" s="16"/>
      <c r="ES451" s="16"/>
      <c r="ET451" s="16"/>
      <c r="EU451" s="16"/>
      <c r="EV451" s="16"/>
      <c r="EW451" s="17"/>
      <c r="FA451" s="24"/>
      <c r="FB451" s="60"/>
      <c r="FC451" s="16"/>
      <c r="FD451" s="16"/>
      <c r="FE451" s="16"/>
      <c r="FF451" s="16"/>
      <c r="FG451" s="16"/>
      <c r="FH451" s="17"/>
      <c r="FL451" s="24"/>
      <c r="FM451" s="60"/>
      <c r="FN451" s="16"/>
      <c r="FO451" s="16"/>
      <c r="FP451" s="16"/>
      <c r="FQ451" s="16"/>
      <c r="FR451" s="16"/>
      <c r="FS451" s="17"/>
      <c r="FW451" s="24"/>
      <c r="FX451" s="60"/>
      <c r="FY451" s="16"/>
      <c r="FZ451" s="16"/>
      <c r="GA451" s="16"/>
      <c r="GB451" s="16"/>
      <c r="GC451" s="16"/>
      <c r="GD451" s="17"/>
      <c r="GH451" s="24"/>
      <c r="GI451" s="60"/>
      <c r="GJ451" s="16"/>
      <c r="GK451" s="16"/>
      <c r="GL451" s="16"/>
      <c r="GM451" s="16"/>
      <c r="GN451" s="16"/>
      <c r="GO451" s="17"/>
      <c r="GS451" s="24"/>
      <c r="GT451" s="60"/>
      <c r="GU451" s="16"/>
      <c r="GV451" s="16"/>
      <c r="GW451" s="16"/>
      <c r="GX451" s="16"/>
      <c r="GY451" s="16"/>
      <c r="GZ451" s="17"/>
      <c r="HD451" s="24"/>
      <c r="HE451" s="60"/>
      <c r="HF451" s="16"/>
      <c r="HG451" s="16"/>
      <c r="HH451" s="16"/>
      <c r="HI451" s="16"/>
      <c r="HJ451" s="16"/>
      <c r="HK451" s="17"/>
      <c r="HO451" s="24"/>
      <c r="HP451" s="60"/>
      <c r="HQ451" s="16"/>
      <c r="HR451" s="16"/>
      <c r="HS451" s="16"/>
      <c r="HT451" s="16"/>
      <c r="HU451" s="16"/>
      <c r="HV451" s="17"/>
      <c r="HZ451" s="24"/>
      <c r="IA451" s="60"/>
      <c r="IB451" s="16"/>
      <c r="IC451" s="16"/>
      <c r="ID451" s="16"/>
      <c r="IE451" s="16"/>
      <c r="IF451" s="16"/>
      <c r="IG451" s="17"/>
      <c r="IK451" s="24"/>
      <c r="IL451" s="60"/>
      <c r="IM451" s="16"/>
      <c r="IN451" s="16"/>
      <c r="IO451" s="16"/>
      <c r="IP451" s="16"/>
      <c r="IQ451" s="16"/>
      <c r="IR451" s="17"/>
      <c r="IV451" s="24"/>
      <c r="IW451" s="60"/>
      <c r="IX451" s="16"/>
      <c r="IY451" s="16"/>
      <c r="IZ451" s="16"/>
      <c r="JA451" s="16"/>
      <c r="JB451" s="16"/>
      <c r="JC451" s="17"/>
      <c r="JG451" s="24"/>
      <c r="JH451" s="60"/>
      <c r="JI451" s="16"/>
      <c r="JJ451" s="16"/>
      <c r="JK451" s="16"/>
      <c r="JL451" s="16"/>
      <c r="JM451" s="16"/>
      <c r="JN451" s="17"/>
      <c r="JR451" s="24"/>
      <c r="JS451" s="60"/>
      <c r="JT451" s="16"/>
      <c r="JU451" s="16"/>
      <c r="JV451" s="16"/>
      <c r="JW451" s="16"/>
      <c r="JX451" s="16"/>
      <c r="JY451" s="17"/>
      <c r="KC451" s="24"/>
      <c r="KD451" s="60"/>
      <c r="KE451" s="16"/>
      <c r="KF451" s="16"/>
      <c r="KG451" s="16"/>
      <c r="KH451" s="16"/>
      <c r="KI451" s="16"/>
      <c r="KJ451" s="17"/>
      <c r="KN451" s="24"/>
      <c r="KO451" s="60"/>
      <c r="KP451" s="16"/>
      <c r="KQ451" s="16"/>
      <c r="KR451" s="16"/>
      <c r="KS451" s="16"/>
      <c r="KT451" s="16"/>
      <c r="KU451" s="17"/>
      <c r="KY451" s="24"/>
      <c r="KZ451" s="60"/>
      <c r="LA451" s="16"/>
      <c r="LB451" s="16"/>
      <c r="LC451" s="16"/>
      <c r="LD451" s="16"/>
      <c r="LE451" s="16"/>
      <c r="LF451" s="17"/>
      <c r="LJ451" s="24"/>
      <c r="LK451" s="60"/>
      <c r="LL451" s="16"/>
      <c r="LM451" s="16"/>
      <c r="LN451" s="16"/>
      <c r="LO451" s="16"/>
      <c r="LP451" s="16"/>
      <c r="LQ451" s="17"/>
    </row>
    <row r="452">
      <c r="C452" s="31"/>
      <c r="D452" s="61"/>
      <c r="E452" s="16"/>
      <c r="F452" s="16"/>
      <c r="G452" s="21"/>
      <c r="H452" s="16"/>
      <c r="I452" s="16"/>
      <c r="J452" s="17"/>
      <c r="N452" s="17"/>
      <c r="O452" s="61"/>
      <c r="P452" s="16"/>
      <c r="Q452" s="16"/>
      <c r="R452" s="16"/>
      <c r="S452" s="16"/>
      <c r="T452" s="16"/>
      <c r="U452" s="17"/>
      <c r="Y452" s="24"/>
      <c r="Z452" s="61"/>
      <c r="AA452" s="16"/>
      <c r="AB452" s="16"/>
      <c r="AC452" s="16"/>
      <c r="AD452" s="16"/>
      <c r="AE452" s="16"/>
      <c r="AF452" s="17"/>
      <c r="AJ452" s="24"/>
      <c r="AK452" s="61"/>
      <c r="AL452" s="16"/>
      <c r="AM452" s="16"/>
      <c r="AN452" s="16"/>
      <c r="AO452" s="16"/>
      <c r="AP452" s="16"/>
      <c r="AQ452" s="17"/>
      <c r="AU452" s="24"/>
      <c r="AV452" s="61"/>
      <c r="AW452" s="16"/>
      <c r="AX452" s="16"/>
      <c r="AY452" s="16"/>
      <c r="AZ452" s="16"/>
      <c r="BA452" s="16"/>
      <c r="BB452" s="17"/>
      <c r="BF452" s="24"/>
      <c r="BG452" s="61"/>
      <c r="BH452" s="16"/>
      <c r="BI452" s="16"/>
      <c r="BJ452" s="16"/>
      <c r="BK452" s="16"/>
      <c r="BL452" s="16"/>
      <c r="BM452" s="17"/>
      <c r="BQ452" s="24"/>
      <c r="BR452" s="61"/>
      <c r="BS452" s="16"/>
      <c r="BT452" s="16"/>
      <c r="BU452" s="16"/>
      <c r="BV452" s="16"/>
      <c r="BW452" s="16"/>
      <c r="BX452" s="17"/>
      <c r="CB452" s="24"/>
      <c r="CC452" s="61"/>
      <c r="CD452" s="16"/>
      <c r="CE452" s="16"/>
      <c r="CF452" s="16"/>
      <c r="CG452" s="16"/>
      <c r="CH452" s="16"/>
      <c r="CI452" s="17"/>
      <c r="CM452" s="24"/>
      <c r="CN452" s="61"/>
      <c r="CO452" s="16"/>
      <c r="CP452" s="16"/>
      <c r="CQ452" s="16"/>
      <c r="CR452" s="16"/>
      <c r="CS452" s="16"/>
      <c r="CT452" s="17"/>
      <c r="CX452" s="24"/>
      <c r="CY452" s="60"/>
      <c r="CZ452" s="16"/>
      <c r="DA452" s="16"/>
      <c r="DB452" s="16"/>
      <c r="DC452" s="16"/>
      <c r="DD452" s="16"/>
      <c r="DE452" s="17"/>
      <c r="DI452" s="24"/>
      <c r="DJ452" s="60"/>
      <c r="DK452" s="16"/>
      <c r="DL452" s="16"/>
      <c r="DM452" s="16"/>
      <c r="DN452" s="16"/>
      <c r="DO452" s="16"/>
      <c r="DP452" s="17"/>
      <c r="DT452" s="24"/>
      <c r="DU452" s="60"/>
      <c r="DV452" s="16"/>
      <c r="DW452" s="16"/>
      <c r="DX452" s="16"/>
      <c r="DY452" s="16"/>
      <c r="DZ452" s="16"/>
      <c r="EA452" s="17"/>
      <c r="EE452" s="24"/>
      <c r="EF452" s="60"/>
      <c r="EG452" s="16"/>
      <c r="EH452" s="16"/>
      <c r="EI452" s="16"/>
      <c r="EJ452" s="16"/>
      <c r="EK452" s="16"/>
      <c r="EL452" s="17"/>
      <c r="EP452" s="24"/>
      <c r="EQ452" s="60"/>
      <c r="ER452" s="16"/>
      <c r="ES452" s="16"/>
      <c r="ET452" s="16"/>
      <c r="EU452" s="16"/>
      <c r="EV452" s="16"/>
      <c r="EW452" s="17"/>
      <c r="FA452" s="24"/>
      <c r="FB452" s="60"/>
      <c r="FC452" s="16"/>
      <c r="FD452" s="16"/>
      <c r="FE452" s="16"/>
      <c r="FF452" s="16"/>
      <c r="FG452" s="16"/>
      <c r="FH452" s="17"/>
      <c r="FL452" s="24"/>
      <c r="FM452" s="60"/>
      <c r="FN452" s="16"/>
      <c r="FO452" s="16"/>
      <c r="FP452" s="16"/>
      <c r="FQ452" s="16"/>
      <c r="FR452" s="16"/>
      <c r="FS452" s="17"/>
      <c r="FW452" s="24"/>
      <c r="FX452" s="60"/>
      <c r="FY452" s="16"/>
      <c r="FZ452" s="16"/>
      <c r="GA452" s="16"/>
      <c r="GB452" s="16"/>
      <c r="GC452" s="16"/>
      <c r="GD452" s="17"/>
      <c r="GH452" s="24"/>
      <c r="GI452" s="60"/>
      <c r="GJ452" s="16"/>
      <c r="GK452" s="16"/>
      <c r="GL452" s="16"/>
      <c r="GM452" s="16"/>
      <c r="GN452" s="16"/>
      <c r="GO452" s="17"/>
      <c r="GS452" s="24"/>
      <c r="GT452" s="60"/>
      <c r="GU452" s="16"/>
      <c r="GV452" s="16"/>
      <c r="GW452" s="16"/>
      <c r="GX452" s="16"/>
      <c r="GY452" s="16"/>
      <c r="GZ452" s="17"/>
      <c r="HD452" s="24"/>
      <c r="HE452" s="60"/>
      <c r="HF452" s="16"/>
      <c r="HG452" s="16"/>
      <c r="HH452" s="16"/>
      <c r="HI452" s="16"/>
      <c r="HJ452" s="16"/>
      <c r="HK452" s="17"/>
      <c r="HO452" s="24"/>
      <c r="HP452" s="60"/>
      <c r="HQ452" s="16"/>
      <c r="HR452" s="16"/>
      <c r="HS452" s="16"/>
      <c r="HT452" s="16"/>
      <c r="HU452" s="16"/>
      <c r="HV452" s="17"/>
      <c r="HZ452" s="24"/>
      <c r="IA452" s="60"/>
      <c r="IB452" s="16"/>
      <c r="IC452" s="16"/>
      <c r="ID452" s="16"/>
      <c r="IE452" s="16"/>
      <c r="IF452" s="16"/>
      <c r="IG452" s="17"/>
      <c r="IK452" s="24"/>
      <c r="IL452" s="60"/>
      <c r="IM452" s="16"/>
      <c r="IN452" s="16"/>
      <c r="IO452" s="16"/>
      <c r="IP452" s="16"/>
      <c r="IQ452" s="16"/>
      <c r="IR452" s="17"/>
      <c r="IV452" s="24"/>
      <c r="IW452" s="60"/>
      <c r="IX452" s="16"/>
      <c r="IY452" s="16"/>
      <c r="IZ452" s="16"/>
      <c r="JA452" s="16"/>
      <c r="JB452" s="16"/>
      <c r="JC452" s="17"/>
      <c r="JG452" s="24"/>
      <c r="JH452" s="60"/>
      <c r="JI452" s="16"/>
      <c r="JJ452" s="16"/>
      <c r="JK452" s="16"/>
      <c r="JL452" s="16"/>
      <c r="JM452" s="16"/>
      <c r="JN452" s="17"/>
      <c r="JR452" s="24"/>
      <c r="JS452" s="60"/>
      <c r="JT452" s="16"/>
      <c r="JU452" s="16"/>
      <c r="JV452" s="16"/>
      <c r="JW452" s="16"/>
      <c r="JX452" s="16"/>
      <c r="JY452" s="17"/>
      <c r="KC452" s="24"/>
      <c r="KD452" s="60"/>
      <c r="KE452" s="16"/>
      <c r="KF452" s="16"/>
      <c r="KG452" s="16"/>
      <c r="KH452" s="16"/>
      <c r="KI452" s="16"/>
      <c r="KJ452" s="17"/>
      <c r="KN452" s="24"/>
      <c r="KO452" s="60"/>
      <c r="KP452" s="16"/>
      <c r="KQ452" s="16"/>
      <c r="KR452" s="16"/>
      <c r="KS452" s="16"/>
      <c r="KT452" s="16"/>
      <c r="KU452" s="17"/>
      <c r="KY452" s="24"/>
      <c r="KZ452" s="60"/>
      <c r="LA452" s="16"/>
      <c r="LB452" s="16"/>
      <c r="LC452" s="16"/>
      <c r="LD452" s="16"/>
      <c r="LE452" s="16"/>
      <c r="LF452" s="17"/>
      <c r="LJ452" s="24"/>
      <c r="LK452" s="60"/>
      <c r="LL452" s="16"/>
      <c r="LM452" s="16"/>
      <c r="LN452" s="16"/>
      <c r="LO452" s="16"/>
      <c r="LP452" s="16"/>
      <c r="LQ452" s="17"/>
    </row>
    <row r="453">
      <c r="C453" s="31"/>
      <c r="D453" s="61"/>
      <c r="E453" s="16"/>
      <c r="F453" s="16"/>
      <c r="G453" s="21"/>
      <c r="H453" s="16"/>
      <c r="I453" s="16"/>
      <c r="J453" s="17"/>
      <c r="N453" s="17"/>
      <c r="O453" s="61"/>
      <c r="P453" s="16"/>
      <c r="Q453" s="16"/>
      <c r="R453" s="16"/>
      <c r="S453" s="16"/>
      <c r="T453" s="16"/>
      <c r="U453" s="17"/>
      <c r="Y453" s="24"/>
      <c r="Z453" s="61"/>
      <c r="AA453" s="16"/>
      <c r="AB453" s="16"/>
      <c r="AC453" s="16"/>
      <c r="AD453" s="16"/>
      <c r="AE453" s="16"/>
      <c r="AF453" s="17"/>
      <c r="AJ453" s="24"/>
      <c r="AK453" s="61"/>
      <c r="AL453" s="16"/>
      <c r="AM453" s="16"/>
      <c r="AN453" s="16"/>
      <c r="AO453" s="16"/>
      <c r="AP453" s="16"/>
      <c r="AQ453" s="17"/>
      <c r="AU453" s="24"/>
      <c r="AV453" s="61"/>
      <c r="AW453" s="16"/>
      <c r="AX453" s="16"/>
      <c r="AY453" s="16"/>
      <c r="AZ453" s="16"/>
      <c r="BA453" s="16"/>
      <c r="BB453" s="17"/>
      <c r="BF453" s="24"/>
      <c r="BG453" s="61"/>
      <c r="BH453" s="16"/>
      <c r="BI453" s="16"/>
      <c r="BJ453" s="16"/>
      <c r="BK453" s="16"/>
      <c r="BL453" s="16"/>
      <c r="BM453" s="17"/>
      <c r="BQ453" s="24"/>
      <c r="BR453" s="61"/>
      <c r="BS453" s="16"/>
      <c r="BT453" s="16"/>
      <c r="BU453" s="16"/>
      <c r="BV453" s="16"/>
      <c r="BW453" s="16"/>
      <c r="BX453" s="17"/>
      <c r="CB453" s="24"/>
      <c r="CC453" s="61"/>
      <c r="CD453" s="16"/>
      <c r="CE453" s="16"/>
      <c r="CF453" s="16"/>
      <c r="CG453" s="16"/>
      <c r="CH453" s="16"/>
      <c r="CI453" s="17"/>
      <c r="CM453" s="24"/>
      <c r="CN453" s="61"/>
      <c r="CO453" s="16"/>
      <c r="CP453" s="16"/>
      <c r="CQ453" s="16"/>
      <c r="CR453" s="16"/>
      <c r="CS453" s="16"/>
      <c r="CT453" s="17"/>
      <c r="CX453" s="24"/>
      <c r="CY453" s="60"/>
      <c r="CZ453" s="16"/>
      <c r="DA453" s="16"/>
      <c r="DB453" s="16"/>
      <c r="DC453" s="16"/>
      <c r="DD453" s="16"/>
      <c r="DE453" s="17"/>
      <c r="DI453" s="24"/>
      <c r="DJ453" s="60"/>
      <c r="DK453" s="16"/>
      <c r="DL453" s="16"/>
      <c r="DM453" s="16"/>
      <c r="DN453" s="16"/>
      <c r="DO453" s="16"/>
      <c r="DP453" s="17"/>
      <c r="DT453" s="24"/>
      <c r="DU453" s="60"/>
      <c r="DV453" s="16"/>
      <c r="DW453" s="16"/>
      <c r="DX453" s="16"/>
      <c r="DY453" s="16"/>
      <c r="DZ453" s="16"/>
      <c r="EA453" s="17"/>
      <c r="EE453" s="24"/>
      <c r="EF453" s="60"/>
      <c r="EG453" s="16"/>
      <c r="EH453" s="16"/>
      <c r="EI453" s="16"/>
      <c r="EJ453" s="16"/>
      <c r="EK453" s="16"/>
      <c r="EL453" s="17"/>
      <c r="EP453" s="24"/>
      <c r="EQ453" s="60"/>
      <c r="ER453" s="16"/>
      <c r="ES453" s="16"/>
      <c r="ET453" s="16"/>
      <c r="EU453" s="16"/>
      <c r="EV453" s="16"/>
      <c r="EW453" s="17"/>
      <c r="FA453" s="24"/>
      <c r="FB453" s="60"/>
      <c r="FC453" s="16"/>
      <c r="FD453" s="16"/>
      <c r="FE453" s="16"/>
      <c r="FF453" s="16"/>
      <c r="FG453" s="16"/>
      <c r="FH453" s="17"/>
      <c r="FL453" s="24"/>
      <c r="FM453" s="60"/>
      <c r="FN453" s="16"/>
      <c r="FO453" s="16"/>
      <c r="FP453" s="16"/>
      <c r="FQ453" s="16"/>
      <c r="FR453" s="16"/>
      <c r="FS453" s="17"/>
      <c r="FW453" s="24"/>
      <c r="FX453" s="60"/>
      <c r="FY453" s="16"/>
      <c r="FZ453" s="16"/>
      <c r="GA453" s="16"/>
      <c r="GB453" s="16"/>
      <c r="GC453" s="16"/>
      <c r="GD453" s="17"/>
      <c r="GH453" s="24"/>
      <c r="GI453" s="60"/>
      <c r="GJ453" s="16"/>
      <c r="GK453" s="16"/>
      <c r="GL453" s="16"/>
      <c r="GM453" s="16"/>
      <c r="GN453" s="16"/>
      <c r="GO453" s="17"/>
      <c r="GS453" s="24"/>
      <c r="GT453" s="60"/>
      <c r="GU453" s="16"/>
      <c r="GV453" s="16"/>
      <c r="GW453" s="16"/>
      <c r="GX453" s="16"/>
      <c r="GY453" s="16"/>
      <c r="GZ453" s="17"/>
      <c r="HD453" s="24"/>
      <c r="HE453" s="60"/>
      <c r="HF453" s="16"/>
      <c r="HG453" s="16"/>
      <c r="HH453" s="16"/>
      <c r="HI453" s="16"/>
      <c r="HJ453" s="16"/>
      <c r="HK453" s="17"/>
      <c r="HO453" s="24"/>
      <c r="HP453" s="60"/>
      <c r="HQ453" s="16"/>
      <c r="HR453" s="16"/>
      <c r="HS453" s="16"/>
      <c r="HT453" s="16"/>
      <c r="HU453" s="16"/>
      <c r="HV453" s="17"/>
      <c r="HZ453" s="24"/>
      <c r="IA453" s="60"/>
      <c r="IB453" s="16"/>
      <c r="IC453" s="16"/>
      <c r="ID453" s="16"/>
      <c r="IE453" s="16"/>
      <c r="IF453" s="16"/>
      <c r="IG453" s="17"/>
      <c r="IK453" s="24"/>
      <c r="IL453" s="60"/>
      <c r="IM453" s="16"/>
      <c r="IN453" s="16"/>
      <c r="IO453" s="16"/>
      <c r="IP453" s="16"/>
      <c r="IQ453" s="16"/>
      <c r="IR453" s="17"/>
      <c r="IV453" s="24"/>
      <c r="IW453" s="60"/>
      <c r="IX453" s="16"/>
      <c r="IY453" s="16"/>
      <c r="IZ453" s="16"/>
      <c r="JA453" s="16"/>
      <c r="JB453" s="16"/>
      <c r="JC453" s="17"/>
      <c r="JG453" s="24"/>
      <c r="JH453" s="60"/>
      <c r="JI453" s="16"/>
      <c r="JJ453" s="16"/>
      <c r="JK453" s="16"/>
      <c r="JL453" s="16"/>
      <c r="JM453" s="16"/>
      <c r="JN453" s="17"/>
      <c r="JR453" s="24"/>
      <c r="JS453" s="60"/>
      <c r="JT453" s="16"/>
      <c r="JU453" s="16"/>
      <c r="JV453" s="16"/>
      <c r="JW453" s="16"/>
      <c r="JX453" s="16"/>
      <c r="JY453" s="17"/>
      <c r="KC453" s="24"/>
      <c r="KD453" s="60"/>
      <c r="KE453" s="16"/>
      <c r="KF453" s="16"/>
      <c r="KG453" s="16"/>
      <c r="KH453" s="16"/>
      <c r="KI453" s="16"/>
      <c r="KJ453" s="17"/>
      <c r="KN453" s="24"/>
      <c r="KO453" s="60"/>
      <c r="KP453" s="16"/>
      <c r="KQ453" s="16"/>
      <c r="KR453" s="16"/>
      <c r="KS453" s="16"/>
      <c r="KT453" s="16"/>
      <c r="KU453" s="17"/>
      <c r="KY453" s="24"/>
      <c r="KZ453" s="60"/>
      <c r="LA453" s="16"/>
      <c r="LB453" s="16"/>
      <c r="LC453" s="16"/>
      <c r="LD453" s="16"/>
      <c r="LE453" s="16"/>
      <c r="LF453" s="17"/>
      <c r="LJ453" s="24"/>
      <c r="LK453" s="60"/>
      <c r="LL453" s="16"/>
      <c r="LM453" s="16"/>
      <c r="LN453" s="16"/>
      <c r="LO453" s="16"/>
      <c r="LP453" s="16"/>
      <c r="LQ453" s="17"/>
    </row>
    <row r="454">
      <c r="C454" s="31"/>
      <c r="D454" s="61"/>
      <c r="E454" s="16"/>
      <c r="F454" s="16"/>
      <c r="G454" s="21"/>
      <c r="H454" s="16"/>
      <c r="I454" s="16"/>
      <c r="J454" s="17"/>
      <c r="N454" s="17"/>
      <c r="O454" s="61"/>
      <c r="P454" s="16"/>
      <c r="Q454" s="16"/>
      <c r="R454" s="16"/>
      <c r="S454" s="16"/>
      <c r="T454" s="16"/>
      <c r="U454" s="17"/>
      <c r="Y454" s="24"/>
      <c r="Z454" s="61"/>
      <c r="AA454" s="16"/>
      <c r="AB454" s="16"/>
      <c r="AC454" s="16"/>
      <c r="AD454" s="16"/>
      <c r="AE454" s="16"/>
      <c r="AF454" s="17"/>
      <c r="AJ454" s="24"/>
      <c r="AK454" s="61"/>
      <c r="AL454" s="16"/>
      <c r="AM454" s="16"/>
      <c r="AN454" s="16"/>
      <c r="AO454" s="16"/>
      <c r="AP454" s="16"/>
      <c r="AQ454" s="17"/>
      <c r="AU454" s="24"/>
      <c r="AV454" s="61"/>
      <c r="AW454" s="16"/>
      <c r="AX454" s="16"/>
      <c r="AY454" s="16"/>
      <c r="AZ454" s="16"/>
      <c r="BA454" s="16"/>
      <c r="BB454" s="17"/>
      <c r="BF454" s="24"/>
      <c r="BG454" s="61"/>
      <c r="BH454" s="16"/>
      <c r="BI454" s="16"/>
      <c r="BJ454" s="16"/>
      <c r="BK454" s="16"/>
      <c r="BL454" s="16"/>
      <c r="BM454" s="17"/>
      <c r="BQ454" s="24"/>
      <c r="BR454" s="61"/>
      <c r="BS454" s="16"/>
      <c r="BT454" s="16"/>
      <c r="BU454" s="16"/>
      <c r="BV454" s="16"/>
      <c r="BW454" s="16"/>
      <c r="BX454" s="17"/>
      <c r="CB454" s="24"/>
      <c r="CC454" s="61"/>
      <c r="CD454" s="16"/>
      <c r="CE454" s="16"/>
      <c r="CF454" s="16"/>
      <c r="CG454" s="16"/>
      <c r="CH454" s="16"/>
      <c r="CI454" s="17"/>
      <c r="CM454" s="24"/>
      <c r="CN454" s="61"/>
      <c r="CO454" s="16"/>
      <c r="CP454" s="16"/>
      <c r="CQ454" s="16"/>
      <c r="CR454" s="16"/>
      <c r="CS454" s="16"/>
      <c r="CT454" s="17"/>
      <c r="CX454" s="24"/>
      <c r="CY454" s="60"/>
      <c r="CZ454" s="16"/>
      <c r="DA454" s="16"/>
      <c r="DB454" s="16"/>
      <c r="DC454" s="16"/>
      <c r="DD454" s="16"/>
      <c r="DE454" s="17"/>
      <c r="DI454" s="24"/>
      <c r="DJ454" s="60"/>
      <c r="DK454" s="16"/>
      <c r="DL454" s="16"/>
      <c r="DM454" s="16"/>
      <c r="DN454" s="16"/>
      <c r="DO454" s="16"/>
      <c r="DP454" s="17"/>
      <c r="DT454" s="24"/>
      <c r="DU454" s="60"/>
      <c r="DV454" s="16"/>
      <c r="DW454" s="16"/>
      <c r="DX454" s="16"/>
      <c r="DY454" s="16"/>
      <c r="DZ454" s="16"/>
      <c r="EA454" s="17"/>
      <c r="EE454" s="24"/>
      <c r="EF454" s="60"/>
      <c r="EG454" s="16"/>
      <c r="EH454" s="16"/>
      <c r="EI454" s="16"/>
      <c r="EJ454" s="16"/>
      <c r="EK454" s="16"/>
      <c r="EL454" s="17"/>
      <c r="EP454" s="24"/>
      <c r="EQ454" s="60"/>
      <c r="ER454" s="16"/>
      <c r="ES454" s="16"/>
      <c r="ET454" s="16"/>
      <c r="EU454" s="16"/>
      <c r="EV454" s="16"/>
      <c r="EW454" s="17"/>
      <c r="FA454" s="24"/>
      <c r="FB454" s="60"/>
      <c r="FC454" s="16"/>
      <c r="FD454" s="16"/>
      <c r="FE454" s="16"/>
      <c r="FF454" s="16"/>
      <c r="FG454" s="16"/>
      <c r="FH454" s="17"/>
      <c r="FL454" s="24"/>
      <c r="FM454" s="60"/>
      <c r="FN454" s="16"/>
      <c r="FO454" s="16"/>
      <c r="FP454" s="16"/>
      <c r="FQ454" s="16"/>
      <c r="FR454" s="16"/>
      <c r="FS454" s="17"/>
      <c r="FW454" s="24"/>
      <c r="FX454" s="60"/>
      <c r="FY454" s="16"/>
      <c r="FZ454" s="16"/>
      <c r="GA454" s="16"/>
      <c r="GB454" s="16"/>
      <c r="GC454" s="16"/>
      <c r="GD454" s="17"/>
      <c r="GH454" s="24"/>
      <c r="GI454" s="60"/>
      <c r="GJ454" s="16"/>
      <c r="GK454" s="16"/>
      <c r="GL454" s="16"/>
      <c r="GM454" s="16"/>
      <c r="GN454" s="16"/>
      <c r="GO454" s="17"/>
      <c r="GS454" s="24"/>
      <c r="GT454" s="60"/>
      <c r="GU454" s="16"/>
      <c r="GV454" s="16"/>
      <c r="GW454" s="16"/>
      <c r="GX454" s="16"/>
      <c r="GY454" s="16"/>
      <c r="GZ454" s="17"/>
      <c r="HD454" s="24"/>
      <c r="HE454" s="60"/>
      <c r="HF454" s="16"/>
      <c r="HG454" s="16"/>
      <c r="HH454" s="16"/>
      <c r="HI454" s="16"/>
      <c r="HJ454" s="16"/>
      <c r="HK454" s="17"/>
      <c r="HO454" s="24"/>
      <c r="HP454" s="60"/>
      <c r="HQ454" s="16"/>
      <c r="HR454" s="16"/>
      <c r="HS454" s="16"/>
      <c r="HT454" s="16"/>
      <c r="HU454" s="16"/>
      <c r="HV454" s="17"/>
      <c r="HZ454" s="24"/>
      <c r="IA454" s="60"/>
      <c r="IB454" s="16"/>
      <c r="IC454" s="16"/>
      <c r="ID454" s="16"/>
      <c r="IE454" s="16"/>
      <c r="IF454" s="16"/>
      <c r="IG454" s="17"/>
      <c r="IK454" s="24"/>
      <c r="IL454" s="60"/>
      <c r="IM454" s="16"/>
      <c r="IN454" s="16"/>
      <c r="IO454" s="16"/>
      <c r="IP454" s="16"/>
      <c r="IQ454" s="16"/>
      <c r="IR454" s="17"/>
      <c r="IV454" s="24"/>
      <c r="IW454" s="60"/>
      <c r="IX454" s="16"/>
      <c r="IY454" s="16"/>
      <c r="IZ454" s="16"/>
      <c r="JA454" s="16"/>
      <c r="JB454" s="16"/>
      <c r="JC454" s="17"/>
      <c r="JG454" s="24"/>
      <c r="JH454" s="60"/>
      <c r="JI454" s="16"/>
      <c r="JJ454" s="16"/>
      <c r="JK454" s="16"/>
      <c r="JL454" s="16"/>
      <c r="JM454" s="16"/>
      <c r="JN454" s="17"/>
      <c r="JR454" s="24"/>
      <c r="JS454" s="60"/>
      <c r="JT454" s="16"/>
      <c r="JU454" s="16"/>
      <c r="JV454" s="16"/>
      <c r="JW454" s="16"/>
      <c r="JX454" s="16"/>
      <c r="JY454" s="17"/>
      <c r="KC454" s="24"/>
      <c r="KD454" s="60"/>
      <c r="KE454" s="16"/>
      <c r="KF454" s="16"/>
      <c r="KG454" s="16"/>
      <c r="KH454" s="16"/>
      <c r="KI454" s="16"/>
      <c r="KJ454" s="17"/>
      <c r="KN454" s="24"/>
      <c r="KO454" s="60"/>
      <c r="KP454" s="16"/>
      <c r="KQ454" s="16"/>
      <c r="KR454" s="16"/>
      <c r="KS454" s="16"/>
      <c r="KT454" s="16"/>
      <c r="KU454" s="17"/>
      <c r="KY454" s="24"/>
      <c r="KZ454" s="60"/>
      <c r="LA454" s="16"/>
      <c r="LB454" s="16"/>
      <c r="LC454" s="16"/>
      <c r="LD454" s="16"/>
      <c r="LE454" s="16"/>
      <c r="LF454" s="17"/>
      <c r="LJ454" s="24"/>
      <c r="LK454" s="60"/>
      <c r="LL454" s="16"/>
      <c r="LM454" s="16"/>
      <c r="LN454" s="16"/>
      <c r="LO454" s="16"/>
      <c r="LP454" s="16"/>
      <c r="LQ454" s="17"/>
    </row>
    <row r="455">
      <c r="C455" s="31"/>
      <c r="D455" s="61"/>
      <c r="E455" s="16"/>
      <c r="F455" s="16"/>
      <c r="G455" s="21"/>
      <c r="H455" s="16"/>
      <c r="I455" s="16"/>
      <c r="J455" s="17"/>
      <c r="N455" s="17"/>
      <c r="O455" s="61"/>
      <c r="P455" s="16"/>
      <c r="Q455" s="16"/>
      <c r="R455" s="16"/>
      <c r="S455" s="16"/>
      <c r="T455" s="16"/>
      <c r="U455" s="17"/>
      <c r="Y455" s="24"/>
      <c r="Z455" s="61"/>
      <c r="AA455" s="16"/>
      <c r="AB455" s="16"/>
      <c r="AC455" s="16"/>
      <c r="AD455" s="16"/>
      <c r="AE455" s="16"/>
      <c r="AF455" s="17"/>
      <c r="AJ455" s="24"/>
      <c r="AK455" s="61"/>
      <c r="AL455" s="16"/>
      <c r="AM455" s="16"/>
      <c r="AN455" s="16"/>
      <c r="AO455" s="16"/>
      <c r="AP455" s="16"/>
      <c r="AQ455" s="17"/>
      <c r="AU455" s="24"/>
      <c r="AV455" s="61"/>
      <c r="AW455" s="16"/>
      <c r="AX455" s="16"/>
      <c r="AY455" s="16"/>
      <c r="AZ455" s="16"/>
      <c r="BA455" s="16"/>
      <c r="BB455" s="17"/>
      <c r="BF455" s="24"/>
      <c r="BG455" s="61"/>
      <c r="BH455" s="16"/>
      <c r="BI455" s="16"/>
      <c r="BJ455" s="16"/>
      <c r="BK455" s="16"/>
      <c r="BL455" s="16"/>
      <c r="BM455" s="17"/>
      <c r="BQ455" s="24"/>
      <c r="BR455" s="61"/>
      <c r="BS455" s="16"/>
      <c r="BT455" s="16"/>
      <c r="BU455" s="16"/>
      <c r="BV455" s="16"/>
      <c r="BW455" s="16"/>
      <c r="BX455" s="17"/>
      <c r="CB455" s="24"/>
      <c r="CC455" s="61"/>
      <c r="CD455" s="16"/>
      <c r="CE455" s="16"/>
      <c r="CF455" s="16"/>
      <c r="CG455" s="16"/>
      <c r="CH455" s="16"/>
      <c r="CI455" s="17"/>
      <c r="CM455" s="24"/>
      <c r="CN455" s="61"/>
      <c r="CO455" s="16"/>
      <c r="CP455" s="16"/>
      <c r="CQ455" s="16"/>
      <c r="CR455" s="16"/>
      <c r="CS455" s="16"/>
      <c r="CT455" s="17"/>
      <c r="CX455" s="24"/>
      <c r="CY455" s="60"/>
      <c r="CZ455" s="16"/>
      <c r="DA455" s="16"/>
      <c r="DB455" s="16"/>
      <c r="DC455" s="16"/>
      <c r="DD455" s="16"/>
      <c r="DE455" s="17"/>
      <c r="DI455" s="24"/>
      <c r="DJ455" s="60"/>
      <c r="DK455" s="16"/>
      <c r="DL455" s="16"/>
      <c r="DM455" s="16"/>
      <c r="DN455" s="16"/>
      <c r="DO455" s="16"/>
      <c r="DP455" s="17"/>
      <c r="DT455" s="24"/>
      <c r="DU455" s="60"/>
      <c r="DV455" s="16"/>
      <c r="DW455" s="16"/>
      <c r="DX455" s="16"/>
      <c r="DY455" s="16"/>
      <c r="DZ455" s="16"/>
      <c r="EA455" s="17"/>
      <c r="EE455" s="24"/>
      <c r="EF455" s="60"/>
      <c r="EG455" s="16"/>
      <c r="EH455" s="16"/>
      <c r="EI455" s="16"/>
      <c r="EJ455" s="16"/>
      <c r="EK455" s="16"/>
      <c r="EL455" s="17"/>
      <c r="EP455" s="24"/>
      <c r="EQ455" s="60"/>
      <c r="ER455" s="16"/>
      <c r="ES455" s="16"/>
      <c r="ET455" s="16"/>
      <c r="EU455" s="16"/>
      <c r="EV455" s="16"/>
      <c r="EW455" s="17"/>
      <c r="FA455" s="24"/>
      <c r="FB455" s="60"/>
      <c r="FC455" s="16"/>
      <c r="FD455" s="16"/>
      <c r="FE455" s="16"/>
      <c r="FF455" s="16"/>
      <c r="FG455" s="16"/>
      <c r="FH455" s="17"/>
      <c r="FL455" s="24"/>
      <c r="FM455" s="60"/>
      <c r="FN455" s="16"/>
      <c r="FO455" s="16"/>
      <c r="FP455" s="16"/>
      <c r="FQ455" s="16"/>
      <c r="FR455" s="16"/>
      <c r="FS455" s="17"/>
      <c r="FW455" s="24"/>
      <c r="FX455" s="60"/>
      <c r="FY455" s="16"/>
      <c r="FZ455" s="16"/>
      <c r="GA455" s="16"/>
      <c r="GB455" s="16"/>
      <c r="GC455" s="16"/>
      <c r="GD455" s="17"/>
      <c r="GH455" s="24"/>
      <c r="GI455" s="60"/>
      <c r="GJ455" s="16"/>
      <c r="GK455" s="16"/>
      <c r="GL455" s="16"/>
      <c r="GM455" s="16"/>
      <c r="GN455" s="16"/>
      <c r="GO455" s="17"/>
      <c r="GS455" s="24"/>
      <c r="GT455" s="60"/>
      <c r="GU455" s="16"/>
      <c r="GV455" s="16"/>
      <c r="GW455" s="16"/>
      <c r="GX455" s="16"/>
      <c r="GY455" s="16"/>
      <c r="GZ455" s="17"/>
      <c r="HD455" s="24"/>
      <c r="HE455" s="60"/>
      <c r="HF455" s="16"/>
      <c r="HG455" s="16"/>
      <c r="HH455" s="16"/>
      <c r="HI455" s="16"/>
      <c r="HJ455" s="16"/>
      <c r="HK455" s="17"/>
      <c r="HO455" s="24"/>
      <c r="HP455" s="60"/>
      <c r="HQ455" s="16"/>
      <c r="HR455" s="16"/>
      <c r="HS455" s="16"/>
      <c r="HT455" s="16"/>
      <c r="HU455" s="16"/>
      <c r="HV455" s="17"/>
      <c r="HZ455" s="24"/>
      <c r="IA455" s="60"/>
      <c r="IB455" s="16"/>
      <c r="IC455" s="16"/>
      <c r="ID455" s="16"/>
      <c r="IE455" s="16"/>
      <c r="IF455" s="16"/>
      <c r="IG455" s="17"/>
      <c r="IK455" s="24"/>
      <c r="IL455" s="60"/>
      <c r="IM455" s="16"/>
      <c r="IN455" s="16"/>
      <c r="IO455" s="16"/>
      <c r="IP455" s="16"/>
      <c r="IQ455" s="16"/>
      <c r="IR455" s="17"/>
      <c r="IV455" s="24"/>
      <c r="IW455" s="60"/>
      <c r="IX455" s="16"/>
      <c r="IY455" s="16"/>
      <c r="IZ455" s="16"/>
      <c r="JA455" s="16"/>
      <c r="JB455" s="16"/>
      <c r="JC455" s="17"/>
      <c r="JG455" s="24"/>
      <c r="JH455" s="60"/>
      <c r="JI455" s="16"/>
      <c r="JJ455" s="16"/>
      <c r="JK455" s="16"/>
      <c r="JL455" s="16"/>
      <c r="JM455" s="16"/>
      <c r="JN455" s="17"/>
      <c r="JR455" s="24"/>
      <c r="JS455" s="60"/>
      <c r="JT455" s="16"/>
      <c r="JU455" s="16"/>
      <c r="JV455" s="16"/>
      <c r="JW455" s="16"/>
      <c r="JX455" s="16"/>
      <c r="JY455" s="17"/>
      <c r="KC455" s="24"/>
      <c r="KD455" s="60"/>
      <c r="KE455" s="16"/>
      <c r="KF455" s="16"/>
      <c r="KG455" s="16"/>
      <c r="KH455" s="16"/>
      <c r="KI455" s="16"/>
      <c r="KJ455" s="17"/>
      <c r="KN455" s="24"/>
      <c r="KO455" s="60"/>
      <c r="KP455" s="16"/>
      <c r="KQ455" s="16"/>
      <c r="KR455" s="16"/>
      <c r="KS455" s="16"/>
      <c r="KT455" s="16"/>
      <c r="KU455" s="17"/>
      <c r="KY455" s="24"/>
      <c r="KZ455" s="60"/>
      <c r="LA455" s="16"/>
      <c r="LB455" s="16"/>
      <c r="LC455" s="16"/>
      <c r="LD455" s="16"/>
      <c r="LE455" s="16"/>
      <c r="LF455" s="17"/>
      <c r="LJ455" s="24"/>
      <c r="LK455" s="60"/>
      <c r="LL455" s="16"/>
      <c r="LM455" s="16"/>
      <c r="LN455" s="16"/>
      <c r="LO455" s="16"/>
      <c r="LP455" s="16"/>
      <c r="LQ455" s="17"/>
    </row>
    <row r="456">
      <c r="C456" s="31"/>
      <c r="D456" s="61"/>
      <c r="E456" s="16"/>
      <c r="F456" s="16"/>
      <c r="G456" s="21"/>
      <c r="H456" s="16"/>
      <c r="I456" s="16"/>
      <c r="J456" s="17"/>
      <c r="N456" s="17"/>
      <c r="O456" s="61"/>
      <c r="P456" s="16"/>
      <c r="Q456" s="16"/>
      <c r="R456" s="16"/>
      <c r="S456" s="16"/>
      <c r="T456" s="16"/>
      <c r="U456" s="17"/>
      <c r="Y456" s="24"/>
      <c r="Z456" s="61"/>
      <c r="AA456" s="16"/>
      <c r="AB456" s="16"/>
      <c r="AC456" s="16"/>
      <c r="AD456" s="16"/>
      <c r="AE456" s="16"/>
      <c r="AF456" s="17"/>
      <c r="AJ456" s="24"/>
      <c r="AK456" s="61"/>
      <c r="AL456" s="16"/>
      <c r="AM456" s="16"/>
      <c r="AN456" s="16"/>
      <c r="AO456" s="16"/>
      <c r="AP456" s="16"/>
      <c r="AQ456" s="17"/>
      <c r="AU456" s="24"/>
      <c r="AV456" s="61"/>
      <c r="AW456" s="16"/>
      <c r="AX456" s="16"/>
      <c r="AY456" s="16"/>
      <c r="AZ456" s="16"/>
      <c r="BA456" s="16"/>
      <c r="BB456" s="17"/>
      <c r="BF456" s="24"/>
      <c r="BG456" s="61"/>
      <c r="BH456" s="16"/>
      <c r="BI456" s="16"/>
      <c r="BJ456" s="16"/>
      <c r="BK456" s="16"/>
      <c r="BL456" s="16"/>
      <c r="BM456" s="17"/>
      <c r="BQ456" s="24"/>
      <c r="BR456" s="61"/>
      <c r="BS456" s="16"/>
      <c r="BT456" s="16"/>
      <c r="BU456" s="16"/>
      <c r="BV456" s="16"/>
      <c r="BW456" s="16"/>
      <c r="BX456" s="17"/>
      <c r="CB456" s="24"/>
      <c r="CC456" s="61"/>
      <c r="CD456" s="16"/>
      <c r="CE456" s="16"/>
      <c r="CF456" s="16"/>
      <c r="CG456" s="16"/>
      <c r="CH456" s="16"/>
      <c r="CI456" s="17"/>
      <c r="CM456" s="24"/>
      <c r="CN456" s="61"/>
      <c r="CO456" s="16"/>
      <c r="CP456" s="16"/>
      <c r="CQ456" s="16"/>
      <c r="CR456" s="16"/>
      <c r="CS456" s="16"/>
      <c r="CT456" s="17"/>
      <c r="CX456" s="24"/>
      <c r="CY456" s="60"/>
      <c r="CZ456" s="16"/>
      <c r="DA456" s="16"/>
      <c r="DB456" s="16"/>
      <c r="DC456" s="16"/>
      <c r="DD456" s="16"/>
      <c r="DE456" s="17"/>
      <c r="DI456" s="24"/>
      <c r="DJ456" s="60"/>
      <c r="DK456" s="16"/>
      <c r="DL456" s="16"/>
      <c r="DM456" s="16"/>
      <c r="DN456" s="16"/>
      <c r="DO456" s="16"/>
      <c r="DP456" s="17"/>
      <c r="DT456" s="24"/>
      <c r="DU456" s="60"/>
      <c r="DV456" s="16"/>
      <c r="DW456" s="16"/>
      <c r="DX456" s="16"/>
      <c r="DY456" s="16"/>
      <c r="DZ456" s="16"/>
      <c r="EA456" s="17"/>
      <c r="EE456" s="24"/>
      <c r="EF456" s="60"/>
      <c r="EG456" s="16"/>
      <c r="EH456" s="16"/>
      <c r="EI456" s="16"/>
      <c r="EJ456" s="16"/>
      <c r="EK456" s="16"/>
      <c r="EL456" s="17"/>
      <c r="EP456" s="24"/>
      <c r="EQ456" s="60"/>
      <c r="ER456" s="16"/>
      <c r="ES456" s="16"/>
      <c r="ET456" s="16"/>
      <c r="EU456" s="16"/>
      <c r="EV456" s="16"/>
      <c r="EW456" s="17"/>
      <c r="FA456" s="24"/>
      <c r="FB456" s="60"/>
      <c r="FC456" s="16"/>
      <c r="FD456" s="16"/>
      <c r="FE456" s="16"/>
      <c r="FF456" s="16"/>
      <c r="FG456" s="16"/>
      <c r="FH456" s="17"/>
      <c r="FL456" s="24"/>
      <c r="FM456" s="60"/>
      <c r="FN456" s="16"/>
      <c r="FO456" s="16"/>
      <c r="FP456" s="16"/>
      <c r="FQ456" s="16"/>
      <c r="FR456" s="16"/>
      <c r="FS456" s="17"/>
      <c r="FW456" s="24"/>
      <c r="FX456" s="60"/>
      <c r="FY456" s="16"/>
      <c r="FZ456" s="16"/>
      <c r="GA456" s="16"/>
      <c r="GB456" s="16"/>
      <c r="GC456" s="16"/>
      <c r="GD456" s="17"/>
      <c r="GH456" s="24"/>
      <c r="GI456" s="60"/>
      <c r="GJ456" s="16"/>
      <c r="GK456" s="16"/>
      <c r="GL456" s="16"/>
      <c r="GM456" s="16"/>
      <c r="GN456" s="16"/>
      <c r="GO456" s="17"/>
      <c r="GS456" s="24"/>
      <c r="GT456" s="60"/>
      <c r="GU456" s="16"/>
      <c r="GV456" s="16"/>
      <c r="GW456" s="16"/>
      <c r="GX456" s="16"/>
      <c r="GY456" s="16"/>
      <c r="GZ456" s="17"/>
      <c r="HD456" s="24"/>
      <c r="HE456" s="60"/>
      <c r="HF456" s="16"/>
      <c r="HG456" s="16"/>
      <c r="HH456" s="16"/>
      <c r="HI456" s="16"/>
      <c r="HJ456" s="16"/>
      <c r="HK456" s="17"/>
      <c r="HO456" s="24"/>
      <c r="HP456" s="60"/>
      <c r="HQ456" s="16"/>
      <c r="HR456" s="16"/>
      <c r="HS456" s="16"/>
      <c r="HT456" s="16"/>
      <c r="HU456" s="16"/>
      <c r="HV456" s="17"/>
      <c r="HZ456" s="24"/>
      <c r="IA456" s="60"/>
      <c r="IB456" s="16"/>
      <c r="IC456" s="16"/>
      <c r="ID456" s="16"/>
      <c r="IE456" s="16"/>
      <c r="IF456" s="16"/>
      <c r="IG456" s="17"/>
      <c r="IK456" s="24"/>
      <c r="IL456" s="60"/>
      <c r="IM456" s="16"/>
      <c r="IN456" s="16"/>
      <c r="IO456" s="16"/>
      <c r="IP456" s="16"/>
      <c r="IQ456" s="16"/>
      <c r="IR456" s="17"/>
      <c r="IV456" s="24"/>
      <c r="IW456" s="60"/>
      <c r="IX456" s="16"/>
      <c r="IY456" s="16"/>
      <c r="IZ456" s="16"/>
      <c r="JA456" s="16"/>
      <c r="JB456" s="16"/>
      <c r="JC456" s="17"/>
      <c r="JG456" s="24"/>
      <c r="JH456" s="60"/>
      <c r="JI456" s="16"/>
      <c r="JJ456" s="16"/>
      <c r="JK456" s="16"/>
      <c r="JL456" s="16"/>
      <c r="JM456" s="16"/>
      <c r="JN456" s="17"/>
      <c r="JR456" s="24"/>
      <c r="JS456" s="60"/>
      <c r="JT456" s="16"/>
      <c r="JU456" s="16"/>
      <c r="JV456" s="16"/>
      <c r="JW456" s="16"/>
      <c r="JX456" s="16"/>
      <c r="JY456" s="17"/>
      <c r="KC456" s="24"/>
      <c r="KD456" s="60"/>
      <c r="KE456" s="16"/>
      <c r="KF456" s="16"/>
      <c r="KG456" s="16"/>
      <c r="KH456" s="16"/>
      <c r="KI456" s="16"/>
      <c r="KJ456" s="17"/>
      <c r="KN456" s="24"/>
      <c r="KO456" s="60"/>
      <c r="KP456" s="16"/>
      <c r="KQ456" s="16"/>
      <c r="KR456" s="16"/>
      <c r="KS456" s="16"/>
      <c r="KT456" s="16"/>
      <c r="KU456" s="17"/>
      <c r="KY456" s="24"/>
      <c r="KZ456" s="60"/>
      <c r="LA456" s="16"/>
      <c r="LB456" s="16"/>
      <c r="LC456" s="16"/>
      <c r="LD456" s="16"/>
      <c r="LE456" s="16"/>
      <c r="LF456" s="17"/>
      <c r="LJ456" s="24"/>
      <c r="LK456" s="60"/>
      <c r="LL456" s="16"/>
      <c r="LM456" s="16"/>
      <c r="LN456" s="16"/>
      <c r="LO456" s="16"/>
      <c r="LP456" s="16"/>
      <c r="LQ456" s="17"/>
    </row>
    <row r="457">
      <c r="C457" s="31"/>
      <c r="D457" s="61"/>
      <c r="E457" s="16"/>
      <c r="F457" s="16"/>
      <c r="G457" s="21"/>
      <c r="H457" s="16"/>
      <c r="I457" s="16"/>
      <c r="J457" s="17"/>
      <c r="N457" s="17"/>
      <c r="O457" s="61"/>
      <c r="P457" s="16"/>
      <c r="Q457" s="16"/>
      <c r="R457" s="16"/>
      <c r="S457" s="16"/>
      <c r="T457" s="16"/>
      <c r="U457" s="17"/>
      <c r="Y457" s="24"/>
      <c r="Z457" s="61"/>
      <c r="AA457" s="16"/>
      <c r="AB457" s="16"/>
      <c r="AC457" s="16"/>
      <c r="AD457" s="16"/>
      <c r="AE457" s="16"/>
      <c r="AF457" s="17"/>
      <c r="AJ457" s="24"/>
      <c r="AK457" s="61"/>
      <c r="AL457" s="16"/>
      <c r="AM457" s="16"/>
      <c r="AN457" s="16"/>
      <c r="AO457" s="16"/>
      <c r="AP457" s="16"/>
      <c r="AQ457" s="17"/>
      <c r="AU457" s="24"/>
      <c r="AV457" s="61"/>
      <c r="AW457" s="16"/>
      <c r="AX457" s="16"/>
      <c r="AY457" s="16"/>
      <c r="AZ457" s="16"/>
      <c r="BA457" s="16"/>
      <c r="BB457" s="17"/>
      <c r="BF457" s="24"/>
      <c r="BG457" s="61"/>
      <c r="BH457" s="16"/>
      <c r="BI457" s="16"/>
      <c r="BJ457" s="16"/>
      <c r="BK457" s="16"/>
      <c r="BL457" s="16"/>
      <c r="BM457" s="17"/>
      <c r="BQ457" s="24"/>
      <c r="BR457" s="61"/>
      <c r="BS457" s="16"/>
      <c r="BT457" s="16"/>
      <c r="BU457" s="16"/>
      <c r="BV457" s="16"/>
      <c r="BW457" s="16"/>
      <c r="BX457" s="17"/>
      <c r="CB457" s="24"/>
      <c r="CC457" s="61"/>
      <c r="CD457" s="16"/>
      <c r="CE457" s="16"/>
      <c r="CF457" s="16"/>
      <c r="CG457" s="16"/>
      <c r="CH457" s="16"/>
      <c r="CI457" s="17"/>
      <c r="CM457" s="24"/>
      <c r="CN457" s="61"/>
      <c r="CO457" s="16"/>
      <c r="CP457" s="16"/>
      <c r="CQ457" s="16"/>
      <c r="CR457" s="16"/>
      <c r="CS457" s="16"/>
      <c r="CT457" s="17"/>
      <c r="CX457" s="24"/>
      <c r="CY457" s="60"/>
      <c r="CZ457" s="16"/>
      <c r="DA457" s="16"/>
      <c r="DB457" s="16"/>
      <c r="DC457" s="16"/>
      <c r="DD457" s="16"/>
      <c r="DE457" s="17"/>
      <c r="DI457" s="24"/>
      <c r="DJ457" s="60"/>
      <c r="DK457" s="16"/>
      <c r="DL457" s="16"/>
      <c r="DM457" s="16"/>
      <c r="DN457" s="16"/>
      <c r="DO457" s="16"/>
      <c r="DP457" s="17"/>
      <c r="DT457" s="24"/>
      <c r="DU457" s="60"/>
      <c r="DV457" s="16"/>
      <c r="DW457" s="16"/>
      <c r="DX457" s="16"/>
      <c r="DY457" s="16"/>
      <c r="DZ457" s="16"/>
      <c r="EA457" s="17"/>
      <c r="EE457" s="24"/>
      <c r="EF457" s="60"/>
      <c r="EG457" s="16"/>
      <c r="EH457" s="16"/>
      <c r="EI457" s="16"/>
      <c r="EJ457" s="16"/>
      <c r="EK457" s="16"/>
      <c r="EL457" s="17"/>
      <c r="EP457" s="24"/>
      <c r="EQ457" s="60"/>
      <c r="ER457" s="16"/>
      <c r="ES457" s="16"/>
      <c r="ET457" s="16"/>
      <c r="EU457" s="16"/>
      <c r="EV457" s="16"/>
      <c r="EW457" s="17"/>
      <c r="FA457" s="24"/>
      <c r="FB457" s="60"/>
      <c r="FC457" s="16"/>
      <c r="FD457" s="16"/>
      <c r="FE457" s="16"/>
      <c r="FF457" s="16"/>
      <c r="FG457" s="16"/>
      <c r="FH457" s="17"/>
      <c r="FL457" s="24"/>
      <c r="FM457" s="60"/>
      <c r="FN457" s="16"/>
      <c r="FO457" s="16"/>
      <c r="FP457" s="16"/>
      <c r="FQ457" s="16"/>
      <c r="FR457" s="16"/>
      <c r="FS457" s="17"/>
      <c r="FW457" s="24"/>
      <c r="FX457" s="60"/>
      <c r="FY457" s="16"/>
      <c r="FZ457" s="16"/>
      <c r="GA457" s="16"/>
      <c r="GB457" s="16"/>
      <c r="GC457" s="16"/>
      <c r="GD457" s="17"/>
      <c r="GH457" s="24"/>
      <c r="GI457" s="60"/>
      <c r="GJ457" s="16"/>
      <c r="GK457" s="16"/>
      <c r="GL457" s="16"/>
      <c r="GM457" s="16"/>
      <c r="GN457" s="16"/>
      <c r="GO457" s="17"/>
      <c r="GS457" s="24"/>
      <c r="GT457" s="60"/>
      <c r="GU457" s="16"/>
      <c r="GV457" s="16"/>
      <c r="GW457" s="16"/>
      <c r="GX457" s="16"/>
      <c r="GY457" s="16"/>
      <c r="GZ457" s="17"/>
      <c r="HD457" s="24"/>
      <c r="HE457" s="60"/>
      <c r="HF457" s="16"/>
      <c r="HG457" s="16"/>
      <c r="HH457" s="16"/>
      <c r="HI457" s="16"/>
      <c r="HJ457" s="16"/>
      <c r="HK457" s="17"/>
      <c r="HO457" s="24"/>
      <c r="HP457" s="60"/>
      <c r="HQ457" s="16"/>
      <c r="HR457" s="16"/>
      <c r="HS457" s="16"/>
      <c r="HT457" s="16"/>
      <c r="HU457" s="16"/>
      <c r="HV457" s="17"/>
      <c r="HZ457" s="24"/>
      <c r="IA457" s="60"/>
      <c r="IB457" s="16"/>
      <c r="IC457" s="16"/>
      <c r="ID457" s="16"/>
      <c r="IE457" s="16"/>
      <c r="IF457" s="16"/>
      <c r="IG457" s="17"/>
      <c r="IK457" s="24"/>
      <c r="IL457" s="60"/>
      <c r="IM457" s="16"/>
      <c r="IN457" s="16"/>
      <c r="IO457" s="16"/>
      <c r="IP457" s="16"/>
      <c r="IQ457" s="16"/>
      <c r="IR457" s="17"/>
      <c r="IV457" s="24"/>
      <c r="IW457" s="60"/>
      <c r="IX457" s="16"/>
      <c r="IY457" s="16"/>
      <c r="IZ457" s="16"/>
      <c r="JA457" s="16"/>
      <c r="JB457" s="16"/>
      <c r="JC457" s="17"/>
      <c r="JG457" s="24"/>
      <c r="JH457" s="60"/>
      <c r="JI457" s="16"/>
      <c r="JJ457" s="16"/>
      <c r="JK457" s="16"/>
      <c r="JL457" s="16"/>
      <c r="JM457" s="16"/>
      <c r="JN457" s="17"/>
      <c r="JR457" s="24"/>
      <c r="JS457" s="60"/>
      <c r="JT457" s="16"/>
      <c r="JU457" s="16"/>
      <c r="JV457" s="16"/>
      <c r="JW457" s="16"/>
      <c r="JX457" s="16"/>
      <c r="JY457" s="17"/>
      <c r="KC457" s="24"/>
      <c r="KD457" s="60"/>
      <c r="KE457" s="16"/>
      <c r="KF457" s="16"/>
      <c r="KG457" s="16"/>
      <c r="KH457" s="16"/>
      <c r="KI457" s="16"/>
      <c r="KJ457" s="17"/>
      <c r="KN457" s="24"/>
      <c r="KO457" s="60"/>
      <c r="KP457" s="16"/>
      <c r="KQ457" s="16"/>
      <c r="KR457" s="16"/>
      <c r="KS457" s="16"/>
      <c r="KT457" s="16"/>
      <c r="KU457" s="17"/>
      <c r="KY457" s="24"/>
      <c r="KZ457" s="60"/>
      <c r="LA457" s="16"/>
      <c r="LB457" s="16"/>
      <c r="LC457" s="16"/>
      <c r="LD457" s="16"/>
      <c r="LE457" s="16"/>
      <c r="LF457" s="17"/>
      <c r="LJ457" s="24"/>
      <c r="LK457" s="60"/>
      <c r="LL457" s="16"/>
      <c r="LM457" s="16"/>
      <c r="LN457" s="16"/>
      <c r="LO457" s="16"/>
      <c r="LP457" s="16"/>
      <c r="LQ457" s="17"/>
    </row>
    <row r="458">
      <c r="C458" s="31"/>
      <c r="D458" s="61"/>
      <c r="E458" s="16"/>
      <c r="F458" s="16"/>
      <c r="G458" s="21"/>
      <c r="H458" s="16"/>
      <c r="I458" s="16"/>
      <c r="J458" s="17"/>
      <c r="N458" s="17"/>
      <c r="O458" s="61"/>
      <c r="P458" s="16"/>
      <c r="Q458" s="16"/>
      <c r="R458" s="16"/>
      <c r="S458" s="16"/>
      <c r="T458" s="16"/>
      <c r="U458" s="17"/>
      <c r="Y458" s="24"/>
      <c r="Z458" s="61"/>
      <c r="AA458" s="16"/>
      <c r="AB458" s="16"/>
      <c r="AC458" s="16"/>
      <c r="AD458" s="16"/>
      <c r="AE458" s="16"/>
      <c r="AF458" s="17"/>
      <c r="AJ458" s="24"/>
      <c r="AK458" s="61"/>
      <c r="AL458" s="16"/>
      <c r="AM458" s="16"/>
      <c r="AN458" s="16"/>
      <c r="AO458" s="16"/>
      <c r="AP458" s="16"/>
      <c r="AQ458" s="17"/>
      <c r="AU458" s="24"/>
      <c r="AV458" s="61"/>
      <c r="AW458" s="16"/>
      <c r="AX458" s="16"/>
      <c r="AY458" s="16"/>
      <c r="AZ458" s="16"/>
      <c r="BA458" s="16"/>
      <c r="BB458" s="17"/>
      <c r="BF458" s="24"/>
      <c r="BG458" s="61"/>
      <c r="BH458" s="16"/>
      <c r="BI458" s="16"/>
      <c r="BJ458" s="16"/>
      <c r="BK458" s="16"/>
      <c r="BL458" s="16"/>
      <c r="BM458" s="17"/>
      <c r="BQ458" s="24"/>
      <c r="BR458" s="61"/>
      <c r="BS458" s="16"/>
      <c r="BT458" s="16"/>
      <c r="BU458" s="16"/>
      <c r="BV458" s="16"/>
      <c r="BW458" s="16"/>
      <c r="BX458" s="17"/>
      <c r="CB458" s="24"/>
      <c r="CC458" s="61"/>
      <c r="CD458" s="16"/>
      <c r="CE458" s="16"/>
      <c r="CF458" s="16"/>
      <c r="CG458" s="16"/>
      <c r="CH458" s="16"/>
      <c r="CI458" s="17"/>
      <c r="CM458" s="24"/>
      <c r="CN458" s="61"/>
      <c r="CO458" s="16"/>
      <c r="CP458" s="16"/>
      <c r="CQ458" s="16"/>
      <c r="CR458" s="16"/>
      <c r="CS458" s="16"/>
      <c r="CT458" s="17"/>
      <c r="CX458" s="24"/>
      <c r="CY458" s="60"/>
      <c r="CZ458" s="16"/>
      <c r="DA458" s="16"/>
      <c r="DB458" s="16"/>
      <c r="DC458" s="16"/>
      <c r="DD458" s="16"/>
      <c r="DE458" s="17"/>
      <c r="DI458" s="24"/>
      <c r="DJ458" s="60"/>
      <c r="DK458" s="16"/>
      <c r="DL458" s="16"/>
      <c r="DM458" s="16"/>
      <c r="DN458" s="16"/>
      <c r="DO458" s="16"/>
      <c r="DP458" s="17"/>
      <c r="DT458" s="24"/>
      <c r="DU458" s="60"/>
      <c r="DV458" s="16"/>
      <c r="DW458" s="16"/>
      <c r="DX458" s="16"/>
      <c r="DY458" s="16"/>
      <c r="DZ458" s="16"/>
      <c r="EA458" s="17"/>
      <c r="EE458" s="24"/>
      <c r="EF458" s="60"/>
      <c r="EG458" s="16"/>
      <c r="EH458" s="16"/>
      <c r="EI458" s="16"/>
      <c r="EJ458" s="16"/>
      <c r="EK458" s="16"/>
      <c r="EL458" s="17"/>
      <c r="EP458" s="24"/>
      <c r="EQ458" s="60"/>
      <c r="ER458" s="16"/>
      <c r="ES458" s="16"/>
      <c r="ET458" s="16"/>
      <c r="EU458" s="16"/>
      <c r="EV458" s="16"/>
      <c r="EW458" s="17"/>
      <c r="FA458" s="24"/>
      <c r="FB458" s="60"/>
      <c r="FC458" s="16"/>
      <c r="FD458" s="16"/>
      <c r="FE458" s="16"/>
      <c r="FF458" s="16"/>
      <c r="FG458" s="16"/>
      <c r="FH458" s="17"/>
      <c r="FL458" s="24"/>
      <c r="FM458" s="60"/>
      <c r="FN458" s="16"/>
      <c r="FO458" s="16"/>
      <c r="FP458" s="16"/>
      <c r="FQ458" s="16"/>
      <c r="FR458" s="16"/>
      <c r="FS458" s="17"/>
      <c r="FW458" s="24"/>
      <c r="FX458" s="60"/>
      <c r="FY458" s="16"/>
      <c r="FZ458" s="16"/>
      <c r="GA458" s="16"/>
      <c r="GB458" s="16"/>
      <c r="GC458" s="16"/>
      <c r="GD458" s="17"/>
      <c r="GH458" s="24"/>
      <c r="GI458" s="60"/>
      <c r="GJ458" s="16"/>
      <c r="GK458" s="16"/>
      <c r="GL458" s="16"/>
      <c r="GM458" s="16"/>
      <c r="GN458" s="16"/>
      <c r="GO458" s="17"/>
      <c r="GS458" s="24"/>
      <c r="GT458" s="60"/>
      <c r="GU458" s="16"/>
      <c r="GV458" s="16"/>
      <c r="GW458" s="16"/>
      <c r="GX458" s="16"/>
      <c r="GY458" s="16"/>
      <c r="GZ458" s="17"/>
      <c r="HD458" s="24"/>
      <c r="HE458" s="60"/>
      <c r="HF458" s="16"/>
      <c r="HG458" s="16"/>
      <c r="HH458" s="16"/>
      <c r="HI458" s="16"/>
      <c r="HJ458" s="16"/>
      <c r="HK458" s="17"/>
      <c r="HO458" s="24"/>
      <c r="HP458" s="60"/>
      <c r="HQ458" s="16"/>
      <c r="HR458" s="16"/>
      <c r="HS458" s="16"/>
      <c r="HT458" s="16"/>
      <c r="HU458" s="16"/>
      <c r="HV458" s="17"/>
      <c r="HZ458" s="24"/>
      <c r="IA458" s="60"/>
      <c r="IB458" s="16"/>
      <c r="IC458" s="16"/>
      <c r="ID458" s="16"/>
      <c r="IE458" s="16"/>
      <c r="IF458" s="16"/>
      <c r="IG458" s="17"/>
      <c r="IK458" s="24"/>
      <c r="IL458" s="60"/>
      <c r="IM458" s="16"/>
      <c r="IN458" s="16"/>
      <c r="IO458" s="16"/>
      <c r="IP458" s="16"/>
      <c r="IQ458" s="16"/>
      <c r="IR458" s="17"/>
      <c r="IV458" s="24"/>
      <c r="IW458" s="60"/>
      <c r="IX458" s="16"/>
      <c r="IY458" s="16"/>
      <c r="IZ458" s="16"/>
      <c r="JA458" s="16"/>
      <c r="JB458" s="16"/>
      <c r="JC458" s="17"/>
      <c r="JG458" s="24"/>
      <c r="JH458" s="60"/>
      <c r="JI458" s="16"/>
      <c r="JJ458" s="16"/>
      <c r="JK458" s="16"/>
      <c r="JL458" s="16"/>
      <c r="JM458" s="16"/>
      <c r="JN458" s="17"/>
      <c r="JR458" s="24"/>
      <c r="JS458" s="60"/>
      <c r="JT458" s="16"/>
      <c r="JU458" s="16"/>
      <c r="JV458" s="16"/>
      <c r="JW458" s="16"/>
      <c r="JX458" s="16"/>
      <c r="JY458" s="17"/>
      <c r="KC458" s="24"/>
      <c r="KD458" s="60"/>
      <c r="KE458" s="16"/>
      <c r="KF458" s="16"/>
      <c r="KG458" s="16"/>
      <c r="KH458" s="16"/>
      <c r="KI458" s="16"/>
      <c r="KJ458" s="17"/>
      <c r="KN458" s="24"/>
      <c r="KO458" s="60"/>
      <c r="KP458" s="16"/>
      <c r="KQ458" s="16"/>
      <c r="KR458" s="16"/>
      <c r="KS458" s="16"/>
      <c r="KT458" s="16"/>
      <c r="KU458" s="17"/>
      <c r="KY458" s="24"/>
      <c r="KZ458" s="60"/>
      <c r="LA458" s="16"/>
      <c r="LB458" s="16"/>
      <c r="LC458" s="16"/>
      <c r="LD458" s="16"/>
      <c r="LE458" s="16"/>
      <c r="LF458" s="17"/>
      <c r="LJ458" s="24"/>
      <c r="LK458" s="60"/>
      <c r="LL458" s="16"/>
      <c r="LM458" s="16"/>
      <c r="LN458" s="16"/>
      <c r="LO458" s="16"/>
      <c r="LP458" s="16"/>
      <c r="LQ458" s="17"/>
    </row>
    <row r="459">
      <c r="C459" s="31"/>
      <c r="D459" s="61"/>
      <c r="E459" s="16"/>
      <c r="F459" s="16"/>
      <c r="G459" s="21"/>
      <c r="H459" s="16"/>
      <c r="I459" s="16"/>
      <c r="J459" s="17"/>
      <c r="N459" s="17"/>
      <c r="O459" s="61"/>
      <c r="P459" s="16"/>
      <c r="Q459" s="16"/>
      <c r="R459" s="16"/>
      <c r="S459" s="16"/>
      <c r="T459" s="16"/>
      <c r="U459" s="17"/>
      <c r="Y459" s="24"/>
      <c r="Z459" s="61"/>
      <c r="AA459" s="16"/>
      <c r="AB459" s="16"/>
      <c r="AC459" s="16"/>
      <c r="AD459" s="16"/>
      <c r="AE459" s="16"/>
      <c r="AF459" s="17"/>
      <c r="AJ459" s="24"/>
      <c r="AK459" s="61"/>
      <c r="AL459" s="16"/>
      <c r="AM459" s="16"/>
      <c r="AN459" s="16"/>
      <c r="AO459" s="16"/>
      <c r="AP459" s="16"/>
      <c r="AQ459" s="17"/>
      <c r="AU459" s="24"/>
      <c r="AV459" s="61"/>
      <c r="AW459" s="16"/>
      <c r="AX459" s="16"/>
      <c r="AY459" s="16"/>
      <c r="AZ459" s="16"/>
      <c r="BA459" s="16"/>
      <c r="BB459" s="17"/>
      <c r="BF459" s="24"/>
      <c r="BG459" s="61"/>
      <c r="BH459" s="16"/>
      <c r="BI459" s="16"/>
      <c r="BJ459" s="16"/>
      <c r="BK459" s="16"/>
      <c r="BL459" s="16"/>
      <c r="BM459" s="17"/>
      <c r="BQ459" s="24"/>
      <c r="BR459" s="61"/>
      <c r="BS459" s="16"/>
      <c r="BT459" s="16"/>
      <c r="BU459" s="16"/>
      <c r="BV459" s="16"/>
      <c r="BW459" s="16"/>
      <c r="BX459" s="17"/>
      <c r="CB459" s="24"/>
      <c r="CC459" s="61"/>
      <c r="CD459" s="16"/>
      <c r="CE459" s="16"/>
      <c r="CF459" s="16"/>
      <c r="CG459" s="16"/>
      <c r="CH459" s="16"/>
      <c r="CI459" s="17"/>
      <c r="CM459" s="24"/>
      <c r="CN459" s="61"/>
      <c r="CO459" s="16"/>
      <c r="CP459" s="16"/>
      <c r="CQ459" s="16"/>
      <c r="CR459" s="16"/>
      <c r="CS459" s="16"/>
      <c r="CT459" s="17"/>
      <c r="CX459" s="24"/>
      <c r="CY459" s="60"/>
      <c r="CZ459" s="16"/>
      <c r="DA459" s="16"/>
      <c r="DB459" s="16"/>
      <c r="DC459" s="16"/>
      <c r="DD459" s="16"/>
      <c r="DE459" s="17"/>
      <c r="DI459" s="24"/>
      <c r="DJ459" s="60"/>
      <c r="DK459" s="16"/>
      <c r="DL459" s="16"/>
      <c r="DM459" s="16"/>
      <c r="DN459" s="16"/>
      <c r="DO459" s="16"/>
      <c r="DP459" s="17"/>
      <c r="DT459" s="24"/>
      <c r="DU459" s="60"/>
      <c r="DV459" s="16"/>
      <c r="DW459" s="16"/>
      <c r="DX459" s="16"/>
      <c r="DY459" s="16"/>
      <c r="DZ459" s="16"/>
      <c r="EA459" s="17"/>
      <c r="EE459" s="24"/>
      <c r="EF459" s="60"/>
      <c r="EG459" s="16"/>
      <c r="EH459" s="16"/>
      <c r="EI459" s="16"/>
      <c r="EJ459" s="16"/>
      <c r="EK459" s="16"/>
      <c r="EL459" s="17"/>
      <c r="EP459" s="24"/>
      <c r="EQ459" s="60"/>
      <c r="ER459" s="16"/>
      <c r="ES459" s="16"/>
      <c r="ET459" s="16"/>
      <c r="EU459" s="16"/>
      <c r="EV459" s="16"/>
      <c r="EW459" s="17"/>
      <c r="FA459" s="24"/>
      <c r="FB459" s="60"/>
      <c r="FC459" s="16"/>
      <c r="FD459" s="16"/>
      <c r="FE459" s="16"/>
      <c r="FF459" s="16"/>
      <c r="FG459" s="16"/>
      <c r="FH459" s="17"/>
      <c r="FL459" s="24"/>
      <c r="FM459" s="60"/>
      <c r="FN459" s="16"/>
      <c r="FO459" s="16"/>
      <c r="FP459" s="16"/>
      <c r="FQ459" s="16"/>
      <c r="FR459" s="16"/>
      <c r="FS459" s="17"/>
      <c r="FW459" s="24"/>
      <c r="FX459" s="60"/>
      <c r="FY459" s="16"/>
      <c r="FZ459" s="16"/>
      <c r="GA459" s="16"/>
      <c r="GB459" s="16"/>
      <c r="GC459" s="16"/>
      <c r="GD459" s="17"/>
      <c r="GH459" s="24"/>
      <c r="GI459" s="60"/>
      <c r="GJ459" s="16"/>
      <c r="GK459" s="16"/>
      <c r="GL459" s="16"/>
      <c r="GM459" s="16"/>
      <c r="GN459" s="16"/>
      <c r="GO459" s="17"/>
      <c r="GS459" s="24"/>
      <c r="GT459" s="60"/>
      <c r="GU459" s="16"/>
      <c r="GV459" s="16"/>
      <c r="GW459" s="16"/>
      <c r="GX459" s="16"/>
      <c r="GY459" s="16"/>
      <c r="GZ459" s="17"/>
      <c r="HD459" s="24"/>
      <c r="HE459" s="60"/>
      <c r="HF459" s="16"/>
      <c r="HG459" s="16"/>
      <c r="HH459" s="16"/>
      <c r="HI459" s="16"/>
      <c r="HJ459" s="16"/>
      <c r="HK459" s="17"/>
      <c r="HO459" s="24"/>
      <c r="HP459" s="60"/>
      <c r="HQ459" s="16"/>
      <c r="HR459" s="16"/>
      <c r="HS459" s="16"/>
      <c r="HT459" s="16"/>
      <c r="HU459" s="16"/>
      <c r="HV459" s="17"/>
      <c r="HZ459" s="24"/>
      <c r="IA459" s="60"/>
      <c r="IB459" s="16"/>
      <c r="IC459" s="16"/>
      <c r="ID459" s="16"/>
      <c r="IE459" s="16"/>
      <c r="IF459" s="16"/>
      <c r="IG459" s="17"/>
      <c r="IK459" s="24"/>
      <c r="IL459" s="60"/>
      <c r="IM459" s="16"/>
      <c r="IN459" s="16"/>
      <c r="IO459" s="16"/>
      <c r="IP459" s="16"/>
      <c r="IQ459" s="16"/>
      <c r="IR459" s="17"/>
      <c r="IV459" s="24"/>
      <c r="IW459" s="60"/>
      <c r="IX459" s="16"/>
      <c r="IY459" s="16"/>
      <c r="IZ459" s="16"/>
      <c r="JA459" s="16"/>
      <c r="JB459" s="16"/>
      <c r="JC459" s="17"/>
      <c r="JG459" s="24"/>
      <c r="JH459" s="60"/>
      <c r="JI459" s="16"/>
      <c r="JJ459" s="16"/>
      <c r="JK459" s="16"/>
      <c r="JL459" s="16"/>
      <c r="JM459" s="16"/>
      <c r="JN459" s="17"/>
      <c r="JR459" s="24"/>
      <c r="JS459" s="60"/>
      <c r="JT459" s="16"/>
      <c r="JU459" s="16"/>
      <c r="JV459" s="16"/>
      <c r="JW459" s="16"/>
      <c r="JX459" s="16"/>
      <c r="JY459" s="17"/>
      <c r="KC459" s="24"/>
      <c r="KD459" s="60"/>
      <c r="KE459" s="16"/>
      <c r="KF459" s="16"/>
      <c r="KG459" s="16"/>
      <c r="KH459" s="16"/>
      <c r="KI459" s="16"/>
      <c r="KJ459" s="17"/>
      <c r="KN459" s="24"/>
      <c r="KO459" s="60"/>
      <c r="KP459" s="16"/>
      <c r="KQ459" s="16"/>
      <c r="KR459" s="16"/>
      <c r="KS459" s="16"/>
      <c r="KT459" s="16"/>
      <c r="KU459" s="17"/>
      <c r="KY459" s="24"/>
      <c r="KZ459" s="60"/>
      <c r="LA459" s="16"/>
      <c r="LB459" s="16"/>
      <c r="LC459" s="16"/>
      <c r="LD459" s="16"/>
      <c r="LE459" s="16"/>
      <c r="LF459" s="17"/>
      <c r="LJ459" s="24"/>
      <c r="LK459" s="60"/>
      <c r="LL459" s="16"/>
      <c r="LM459" s="16"/>
      <c r="LN459" s="16"/>
      <c r="LO459" s="16"/>
      <c r="LP459" s="16"/>
      <c r="LQ459" s="17"/>
    </row>
    <row r="460">
      <c r="C460" s="31"/>
      <c r="D460" s="61"/>
      <c r="E460" s="16"/>
      <c r="F460" s="16"/>
      <c r="G460" s="21"/>
      <c r="H460" s="16"/>
      <c r="I460" s="16"/>
      <c r="J460" s="17"/>
      <c r="N460" s="17"/>
      <c r="O460" s="61"/>
      <c r="P460" s="16"/>
      <c r="Q460" s="16"/>
      <c r="R460" s="16"/>
      <c r="S460" s="16"/>
      <c r="T460" s="16"/>
      <c r="U460" s="17"/>
      <c r="Y460" s="24"/>
      <c r="Z460" s="61"/>
      <c r="AA460" s="16"/>
      <c r="AB460" s="16"/>
      <c r="AC460" s="16"/>
      <c r="AD460" s="16"/>
      <c r="AE460" s="16"/>
      <c r="AF460" s="17"/>
      <c r="AJ460" s="24"/>
      <c r="AK460" s="61"/>
      <c r="AL460" s="16"/>
      <c r="AM460" s="16"/>
      <c r="AN460" s="16"/>
      <c r="AO460" s="16"/>
      <c r="AP460" s="16"/>
      <c r="AQ460" s="17"/>
      <c r="AU460" s="24"/>
      <c r="AV460" s="61"/>
      <c r="AW460" s="16"/>
      <c r="AX460" s="16"/>
      <c r="AY460" s="16"/>
      <c r="AZ460" s="16"/>
      <c r="BA460" s="16"/>
      <c r="BB460" s="17"/>
      <c r="BF460" s="24"/>
      <c r="BG460" s="61"/>
      <c r="BH460" s="16"/>
      <c r="BI460" s="16"/>
      <c r="BJ460" s="16"/>
      <c r="BK460" s="16"/>
      <c r="BL460" s="16"/>
      <c r="BM460" s="17"/>
      <c r="BQ460" s="24"/>
      <c r="BR460" s="61"/>
      <c r="BS460" s="16"/>
      <c r="BT460" s="16"/>
      <c r="BU460" s="16"/>
      <c r="BV460" s="16"/>
      <c r="BW460" s="16"/>
      <c r="BX460" s="17"/>
      <c r="CB460" s="24"/>
      <c r="CC460" s="61"/>
      <c r="CD460" s="16"/>
      <c r="CE460" s="16"/>
      <c r="CF460" s="16"/>
      <c r="CG460" s="16"/>
      <c r="CH460" s="16"/>
      <c r="CI460" s="17"/>
      <c r="CM460" s="24"/>
      <c r="CN460" s="61"/>
      <c r="CO460" s="16"/>
      <c r="CP460" s="16"/>
      <c r="CQ460" s="16"/>
      <c r="CR460" s="16"/>
      <c r="CS460" s="16"/>
      <c r="CT460" s="17"/>
      <c r="CX460" s="24"/>
      <c r="CY460" s="60"/>
      <c r="CZ460" s="16"/>
      <c r="DA460" s="16"/>
      <c r="DB460" s="16"/>
      <c r="DC460" s="16"/>
      <c r="DD460" s="16"/>
      <c r="DE460" s="17"/>
      <c r="DI460" s="24"/>
      <c r="DJ460" s="60"/>
      <c r="DK460" s="16"/>
      <c r="DL460" s="16"/>
      <c r="DM460" s="16"/>
      <c r="DN460" s="16"/>
      <c r="DO460" s="16"/>
      <c r="DP460" s="17"/>
      <c r="DT460" s="24"/>
      <c r="DU460" s="60"/>
      <c r="DV460" s="16"/>
      <c r="DW460" s="16"/>
      <c r="DX460" s="16"/>
      <c r="DY460" s="16"/>
      <c r="DZ460" s="16"/>
      <c r="EA460" s="17"/>
      <c r="EE460" s="24"/>
      <c r="EF460" s="60"/>
      <c r="EG460" s="16"/>
      <c r="EH460" s="16"/>
      <c r="EI460" s="16"/>
      <c r="EJ460" s="16"/>
      <c r="EK460" s="16"/>
      <c r="EL460" s="17"/>
      <c r="EP460" s="24"/>
      <c r="EQ460" s="60"/>
      <c r="ER460" s="16"/>
      <c r="ES460" s="16"/>
      <c r="ET460" s="16"/>
      <c r="EU460" s="16"/>
      <c r="EV460" s="16"/>
      <c r="EW460" s="17"/>
      <c r="FA460" s="24"/>
      <c r="FB460" s="60"/>
      <c r="FC460" s="16"/>
      <c r="FD460" s="16"/>
      <c r="FE460" s="16"/>
      <c r="FF460" s="16"/>
      <c r="FG460" s="16"/>
      <c r="FH460" s="17"/>
      <c r="FL460" s="24"/>
      <c r="FM460" s="60"/>
      <c r="FN460" s="16"/>
      <c r="FO460" s="16"/>
      <c r="FP460" s="16"/>
      <c r="FQ460" s="16"/>
      <c r="FR460" s="16"/>
      <c r="FS460" s="17"/>
      <c r="FW460" s="24"/>
      <c r="FX460" s="60"/>
      <c r="FY460" s="16"/>
      <c r="FZ460" s="16"/>
      <c r="GA460" s="16"/>
      <c r="GB460" s="16"/>
      <c r="GC460" s="16"/>
      <c r="GD460" s="17"/>
      <c r="GH460" s="24"/>
      <c r="GI460" s="60"/>
      <c r="GJ460" s="16"/>
      <c r="GK460" s="16"/>
      <c r="GL460" s="16"/>
      <c r="GM460" s="16"/>
      <c r="GN460" s="16"/>
      <c r="GO460" s="17"/>
      <c r="GS460" s="24"/>
      <c r="GT460" s="60"/>
      <c r="GU460" s="16"/>
      <c r="GV460" s="16"/>
      <c r="GW460" s="16"/>
      <c r="GX460" s="16"/>
      <c r="GY460" s="16"/>
      <c r="GZ460" s="17"/>
      <c r="HD460" s="24"/>
      <c r="HE460" s="60"/>
      <c r="HF460" s="16"/>
      <c r="HG460" s="16"/>
      <c r="HH460" s="16"/>
      <c r="HI460" s="16"/>
      <c r="HJ460" s="16"/>
      <c r="HK460" s="17"/>
      <c r="HO460" s="24"/>
      <c r="HP460" s="60"/>
      <c r="HQ460" s="16"/>
      <c r="HR460" s="16"/>
      <c r="HS460" s="16"/>
      <c r="HT460" s="16"/>
      <c r="HU460" s="16"/>
      <c r="HV460" s="17"/>
      <c r="HZ460" s="24"/>
      <c r="IA460" s="60"/>
      <c r="IB460" s="16"/>
      <c r="IC460" s="16"/>
      <c r="ID460" s="16"/>
      <c r="IE460" s="16"/>
      <c r="IF460" s="16"/>
      <c r="IG460" s="17"/>
      <c r="IK460" s="24"/>
      <c r="IL460" s="60"/>
      <c r="IM460" s="16"/>
      <c r="IN460" s="16"/>
      <c r="IO460" s="16"/>
      <c r="IP460" s="16"/>
      <c r="IQ460" s="16"/>
      <c r="IR460" s="17"/>
      <c r="IV460" s="24"/>
      <c r="IW460" s="60"/>
      <c r="IX460" s="16"/>
      <c r="IY460" s="16"/>
      <c r="IZ460" s="16"/>
      <c r="JA460" s="16"/>
      <c r="JB460" s="16"/>
      <c r="JC460" s="17"/>
      <c r="JG460" s="24"/>
      <c r="JH460" s="60"/>
      <c r="JI460" s="16"/>
      <c r="JJ460" s="16"/>
      <c r="JK460" s="16"/>
      <c r="JL460" s="16"/>
      <c r="JM460" s="16"/>
      <c r="JN460" s="17"/>
      <c r="JR460" s="24"/>
      <c r="JS460" s="60"/>
      <c r="JT460" s="16"/>
      <c r="JU460" s="16"/>
      <c r="JV460" s="16"/>
      <c r="JW460" s="16"/>
      <c r="JX460" s="16"/>
      <c r="JY460" s="17"/>
      <c r="KC460" s="24"/>
      <c r="KD460" s="60"/>
      <c r="KE460" s="16"/>
      <c r="KF460" s="16"/>
      <c r="KG460" s="16"/>
      <c r="KH460" s="16"/>
      <c r="KI460" s="16"/>
      <c r="KJ460" s="17"/>
      <c r="KN460" s="24"/>
      <c r="KO460" s="60"/>
      <c r="KP460" s="16"/>
      <c r="KQ460" s="16"/>
      <c r="KR460" s="16"/>
      <c r="KS460" s="16"/>
      <c r="KT460" s="16"/>
      <c r="KU460" s="17"/>
      <c r="KY460" s="24"/>
      <c r="KZ460" s="60"/>
      <c r="LA460" s="16"/>
      <c r="LB460" s="16"/>
      <c r="LC460" s="16"/>
      <c r="LD460" s="16"/>
      <c r="LE460" s="16"/>
      <c r="LF460" s="17"/>
      <c r="LJ460" s="24"/>
      <c r="LK460" s="60"/>
      <c r="LL460" s="16"/>
      <c r="LM460" s="16"/>
      <c r="LN460" s="16"/>
      <c r="LO460" s="16"/>
      <c r="LP460" s="16"/>
      <c r="LQ460" s="17"/>
    </row>
    <row r="461">
      <c r="C461" s="31"/>
      <c r="D461" s="61"/>
      <c r="E461" s="16"/>
      <c r="F461" s="16"/>
      <c r="G461" s="21"/>
      <c r="H461" s="16"/>
      <c r="I461" s="16"/>
      <c r="J461" s="17"/>
      <c r="N461" s="17"/>
      <c r="O461" s="61"/>
      <c r="P461" s="16"/>
      <c r="Q461" s="16"/>
      <c r="R461" s="16"/>
      <c r="S461" s="16"/>
      <c r="T461" s="16"/>
      <c r="U461" s="17"/>
      <c r="Y461" s="24"/>
      <c r="Z461" s="61"/>
      <c r="AA461" s="16"/>
      <c r="AB461" s="16"/>
      <c r="AC461" s="16"/>
      <c r="AD461" s="16"/>
      <c r="AE461" s="16"/>
      <c r="AF461" s="17"/>
      <c r="AJ461" s="24"/>
      <c r="AK461" s="61"/>
      <c r="AL461" s="16"/>
      <c r="AM461" s="16"/>
      <c r="AN461" s="16"/>
      <c r="AO461" s="16"/>
      <c r="AP461" s="16"/>
      <c r="AQ461" s="17"/>
      <c r="AU461" s="24"/>
      <c r="AV461" s="61"/>
      <c r="AW461" s="16"/>
      <c r="AX461" s="16"/>
      <c r="AY461" s="16"/>
      <c r="AZ461" s="16"/>
      <c r="BA461" s="16"/>
      <c r="BB461" s="17"/>
      <c r="BF461" s="24"/>
      <c r="BG461" s="61"/>
      <c r="BH461" s="16"/>
      <c r="BI461" s="16"/>
      <c r="BJ461" s="16"/>
      <c r="BK461" s="16"/>
      <c r="BL461" s="16"/>
      <c r="BM461" s="17"/>
      <c r="BQ461" s="24"/>
      <c r="BR461" s="61"/>
      <c r="BS461" s="16"/>
      <c r="BT461" s="16"/>
      <c r="BU461" s="16"/>
      <c r="BV461" s="16"/>
      <c r="BW461" s="16"/>
      <c r="BX461" s="17"/>
      <c r="CB461" s="24"/>
      <c r="CC461" s="61"/>
      <c r="CD461" s="16"/>
      <c r="CE461" s="16"/>
      <c r="CF461" s="16"/>
      <c r="CG461" s="16"/>
      <c r="CH461" s="16"/>
      <c r="CI461" s="17"/>
      <c r="CM461" s="24"/>
      <c r="CN461" s="61"/>
      <c r="CO461" s="16"/>
      <c r="CP461" s="16"/>
      <c r="CQ461" s="16"/>
      <c r="CR461" s="16"/>
      <c r="CS461" s="16"/>
      <c r="CT461" s="17"/>
      <c r="CX461" s="24"/>
      <c r="CY461" s="60"/>
      <c r="CZ461" s="16"/>
      <c r="DA461" s="16"/>
      <c r="DB461" s="16"/>
      <c r="DC461" s="16"/>
      <c r="DD461" s="16"/>
      <c r="DE461" s="17"/>
      <c r="DI461" s="24"/>
      <c r="DJ461" s="60"/>
      <c r="DK461" s="16"/>
      <c r="DL461" s="16"/>
      <c r="DM461" s="16"/>
      <c r="DN461" s="16"/>
      <c r="DO461" s="16"/>
      <c r="DP461" s="17"/>
      <c r="DT461" s="24"/>
      <c r="DU461" s="60"/>
      <c r="DV461" s="16"/>
      <c r="DW461" s="16"/>
      <c r="DX461" s="16"/>
      <c r="DY461" s="16"/>
      <c r="DZ461" s="16"/>
      <c r="EA461" s="17"/>
      <c r="EE461" s="24"/>
      <c r="EF461" s="60"/>
      <c r="EG461" s="16"/>
      <c r="EH461" s="16"/>
      <c r="EI461" s="16"/>
      <c r="EJ461" s="16"/>
      <c r="EK461" s="16"/>
      <c r="EL461" s="17"/>
      <c r="EP461" s="24"/>
      <c r="EQ461" s="60"/>
      <c r="ER461" s="16"/>
      <c r="ES461" s="16"/>
      <c r="ET461" s="16"/>
      <c r="EU461" s="16"/>
      <c r="EV461" s="16"/>
      <c r="EW461" s="17"/>
      <c r="FA461" s="24"/>
      <c r="FB461" s="60"/>
      <c r="FC461" s="16"/>
      <c r="FD461" s="16"/>
      <c r="FE461" s="16"/>
      <c r="FF461" s="16"/>
      <c r="FG461" s="16"/>
      <c r="FH461" s="17"/>
      <c r="FL461" s="24"/>
      <c r="FM461" s="60"/>
      <c r="FN461" s="16"/>
      <c r="FO461" s="16"/>
      <c r="FP461" s="16"/>
      <c r="FQ461" s="16"/>
      <c r="FR461" s="16"/>
      <c r="FS461" s="17"/>
      <c r="FW461" s="24"/>
      <c r="FX461" s="60"/>
      <c r="FY461" s="16"/>
      <c r="FZ461" s="16"/>
      <c r="GA461" s="16"/>
      <c r="GB461" s="16"/>
      <c r="GC461" s="16"/>
      <c r="GD461" s="17"/>
      <c r="GH461" s="24"/>
      <c r="GI461" s="60"/>
      <c r="GJ461" s="16"/>
      <c r="GK461" s="16"/>
      <c r="GL461" s="16"/>
      <c r="GM461" s="16"/>
      <c r="GN461" s="16"/>
      <c r="GO461" s="17"/>
      <c r="GS461" s="24"/>
      <c r="GT461" s="60"/>
      <c r="GU461" s="16"/>
      <c r="GV461" s="16"/>
      <c r="GW461" s="16"/>
      <c r="GX461" s="16"/>
      <c r="GY461" s="16"/>
      <c r="GZ461" s="17"/>
      <c r="HD461" s="24"/>
      <c r="HE461" s="60"/>
      <c r="HF461" s="16"/>
      <c r="HG461" s="16"/>
      <c r="HH461" s="16"/>
      <c r="HI461" s="16"/>
      <c r="HJ461" s="16"/>
      <c r="HK461" s="17"/>
      <c r="HO461" s="24"/>
      <c r="HP461" s="60"/>
      <c r="HQ461" s="16"/>
      <c r="HR461" s="16"/>
      <c r="HS461" s="16"/>
      <c r="HT461" s="16"/>
      <c r="HU461" s="16"/>
      <c r="HV461" s="17"/>
      <c r="HZ461" s="24"/>
      <c r="IA461" s="60"/>
      <c r="IB461" s="16"/>
      <c r="IC461" s="16"/>
      <c r="ID461" s="16"/>
      <c r="IE461" s="16"/>
      <c r="IF461" s="16"/>
      <c r="IG461" s="17"/>
      <c r="IK461" s="24"/>
      <c r="IL461" s="60"/>
      <c r="IM461" s="16"/>
      <c r="IN461" s="16"/>
      <c r="IO461" s="16"/>
      <c r="IP461" s="16"/>
      <c r="IQ461" s="16"/>
      <c r="IR461" s="17"/>
      <c r="IV461" s="24"/>
      <c r="IW461" s="60"/>
      <c r="IX461" s="16"/>
      <c r="IY461" s="16"/>
      <c r="IZ461" s="16"/>
      <c r="JA461" s="16"/>
      <c r="JB461" s="16"/>
      <c r="JC461" s="17"/>
      <c r="JG461" s="24"/>
      <c r="JH461" s="60"/>
      <c r="JI461" s="16"/>
      <c r="JJ461" s="16"/>
      <c r="JK461" s="16"/>
      <c r="JL461" s="16"/>
      <c r="JM461" s="16"/>
      <c r="JN461" s="17"/>
      <c r="JR461" s="24"/>
      <c r="JS461" s="60"/>
      <c r="JT461" s="16"/>
      <c r="JU461" s="16"/>
      <c r="JV461" s="16"/>
      <c r="JW461" s="16"/>
      <c r="JX461" s="16"/>
      <c r="JY461" s="17"/>
      <c r="KC461" s="24"/>
      <c r="KD461" s="60"/>
      <c r="KE461" s="16"/>
      <c r="KF461" s="16"/>
      <c r="KG461" s="16"/>
      <c r="KH461" s="16"/>
      <c r="KI461" s="16"/>
      <c r="KJ461" s="17"/>
      <c r="KN461" s="24"/>
      <c r="KO461" s="60"/>
      <c r="KP461" s="16"/>
      <c r="KQ461" s="16"/>
      <c r="KR461" s="16"/>
      <c r="KS461" s="16"/>
      <c r="KT461" s="16"/>
      <c r="KU461" s="17"/>
      <c r="KY461" s="24"/>
      <c r="KZ461" s="60"/>
      <c r="LA461" s="16"/>
      <c r="LB461" s="16"/>
      <c r="LC461" s="16"/>
      <c r="LD461" s="16"/>
      <c r="LE461" s="16"/>
      <c r="LF461" s="17"/>
      <c r="LJ461" s="24"/>
      <c r="LK461" s="60"/>
      <c r="LL461" s="16"/>
      <c r="LM461" s="16"/>
      <c r="LN461" s="16"/>
      <c r="LO461" s="16"/>
      <c r="LP461" s="16"/>
      <c r="LQ461" s="17"/>
    </row>
    <row r="462">
      <c r="C462" s="31"/>
      <c r="D462" s="61"/>
      <c r="E462" s="16"/>
      <c r="F462" s="16"/>
      <c r="G462" s="21"/>
      <c r="H462" s="16"/>
      <c r="I462" s="16"/>
      <c r="J462" s="17"/>
      <c r="N462" s="17"/>
      <c r="O462" s="61"/>
      <c r="P462" s="16"/>
      <c r="Q462" s="16"/>
      <c r="R462" s="16"/>
      <c r="S462" s="16"/>
      <c r="T462" s="16"/>
      <c r="U462" s="17"/>
      <c r="Y462" s="24"/>
      <c r="Z462" s="61"/>
      <c r="AA462" s="16"/>
      <c r="AB462" s="16"/>
      <c r="AC462" s="16"/>
      <c r="AD462" s="16"/>
      <c r="AE462" s="16"/>
      <c r="AF462" s="17"/>
      <c r="AJ462" s="24"/>
      <c r="AK462" s="61"/>
      <c r="AL462" s="16"/>
      <c r="AM462" s="16"/>
      <c r="AN462" s="16"/>
      <c r="AO462" s="16"/>
      <c r="AP462" s="16"/>
      <c r="AQ462" s="17"/>
      <c r="AU462" s="24"/>
      <c r="AV462" s="61"/>
      <c r="AW462" s="16"/>
      <c r="AX462" s="16"/>
      <c r="AY462" s="16"/>
      <c r="AZ462" s="16"/>
      <c r="BA462" s="16"/>
      <c r="BB462" s="17"/>
      <c r="BF462" s="24"/>
      <c r="BG462" s="61"/>
      <c r="BH462" s="16"/>
      <c r="BI462" s="16"/>
      <c r="BJ462" s="16"/>
      <c r="BK462" s="16"/>
      <c r="BL462" s="16"/>
      <c r="BM462" s="17"/>
      <c r="BQ462" s="24"/>
      <c r="BR462" s="61"/>
      <c r="BS462" s="16"/>
      <c r="BT462" s="16"/>
      <c r="BU462" s="16"/>
      <c r="BV462" s="16"/>
      <c r="BW462" s="16"/>
      <c r="BX462" s="17"/>
      <c r="CB462" s="24"/>
      <c r="CC462" s="61"/>
      <c r="CD462" s="16"/>
      <c r="CE462" s="16"/>
      <c r="CF462" s="16"/>
      <c r="CG462" s="16"/>
      <c r="CH462" s="16"/>
      <c r="CI462" s="17"/>
      <c r="CM462" s="24"/>
      <c r="CN462" s="61"/>
      <c r="CO462" s="16"/>
      <c r="CP462" s="16"/>
      <c r="CQ462" s="16"/>
      <c r="CR462" s="16"/>
      <c r="CS462" s="16"/>
      <c r="CT462" s="17"/>
      <c r="CX462" s="24"/>
      <c r="CY462" s="60"/>
      <c r="CZ462" s="16"/>
      <c r="DA462" s="16"/>
      <c r="DB462" s="16"/>
      <c r="DC462" s="16"/>
      <c r="DD462" s="16"/>
      <c r="DE462" s="17"/>
      <c r="DI462" s="24"/>
      <c r="DJ462" s="60"/>
      <c r="DK462" s="16"/>
      <c r="DL462" s="16"/>
      <c r="DM462" s="16"/>
      <c r="DN462" s="16"/>
      <c r="DO462" s="16"/>
      <c r="DP462" s="17"/>
      <c r="DT462" s="24"/>
      <c r="DU462" s="60"/>
      <c r="DV462" s="16"/>
      <c r="DW462" s="16"/>
      <c r="DX462" s="16"/>
      <c r="DY462" s="16"/>
      <c r="DZ462" s="16"/>
      <c r="EA462" s="17"/>
      <c r="EE462" s="24"/>
      <c r="EF462" s="60"/>
      <c r="EG462" s="16"/>
      <c r="EH462" s="16"/>
      <c r="EI462" s="16"/>
      <c r="EJ462" s="16"/>
      <c r="EK462" s="16"/>
      <c r="EL462" s="17"/>
      <c r="EP462" s="24"/>
      <c r="EQ462" s="60"/>
      <c r="ER462" s="16"/>
      <c r="ES462" s="16"/>
      <c r="ET462" s="16"/>
      <c r="EU462" s="16"/>
      <c r="EV462" s="16"/>
      <c r="EW462" s="17"/>
      <c r="FA462" s="24"/>
      <c r="FB462" s="60"/>
      <c r="FC462" s="16"/>
      <c r="FD462" s="16"/>
      <c r="FE462" s="16"/>
      <c r="FF462" s="16"/>
      <c r="FG462" s="16"/>
      <c r="FH462" s="17"/>
      <c r="FL462" s="24"/>
      <c r="FM462" s="60"/>
      <c r="FN462" s="16"/>
      <c r="FO462" s="16"/>
      <c r="FP462" s="16"/>
      <c r="FQ462" s="16"/>
      <c r="FR462" s="16"/>
      <c r="FS462" s="17"/>
      <c r="FW462" s="24"/>
      <c r="FX462" s="60"/>
      <c r="FY462" s="16"/>
      <c r="FZ462" s="16"/>
      <c r="GA462" s="16"/>
      <c r="GB462" s="16"/>
      <c r="GC462" s="16"/>
      <c r="GD462" s="17"/>
      <c r="GH462" s="24"/>
      <c r="GI462" s="60"/>
      <c r="GJ462" s="16"/>
      <c r="GK462" s="16"/>
      <c r="GL462" s="16"/>
      <c r="GM462" s="16"/>
      <c r="GN462" s="16"/>
      <c r="GO462" s="17"/>
      <c r="GS462" s="24"/>
      <c r="GT462" s="60"/>
      <c r="GU462" s="16"/>
      <c r="GV462" s="16"/>
      <c r="GW462" s="16"/>
      <c r="GX462" s="16"/>
      <c r="GY462" s="16"/>
      <c r="GZ462" s="17"/>
      <c r="HD462" s="24"/>
      <c r="HE462" s="60"/>
      <c r="HF462" s="16"/>
      <c r="HG462" s="16"/>
      <c r="HH462" s="16"/>
      <c r="HI462" s="16"/>
      <c r="HJ462" s="16"/>
      <c r="HK462" s="17"/>
      <c r="HO462" s="24"/>
      <c r="HP462" s="60"/>
      <c r="HQ462" s="16"/>
      <c r="HR462" s="16"/>
      <c r="HS462" s="16"/>
      <c r="HT462" s="16"/>
      <c r="HU462" s="16"/>
      <c r="HV462" s="17"/>
      <c r="HZ462" s="24"/>
      <c r="IA462" s="60"/>
      <c r="IB462" s="16"/>
      <c r="IC462" s="16"/>
      <c r="ID462" s="16"/>
      <c r="IE462" s="16"/>
      <c r="IF462" s="16"/>
      <c r="IG462" s="17"/>
      <c r="IK462" s="24"/>
      <c r="IL462" s="60"/>
      <c r="IM462" s="16"/>
      <c r="IN462" s="16"/>
      <c r="IO462" s="16"/>
      <c r="IP462" s="16"/>
      <c r="IQ462" s="16"/>
      <c r="IR462" s="17"/>
      <c r="IV462" s="24"/>
      <c r="IW462" s="60"/>
      <c r="IX462" s="16"/>
      <c r="IY462" s="16"/>
      <c r="IZ462" s="16"/>
      <c r="JA462" s="16"/>
      <c r="JB462" s="16"/>
      <c r="JC462" s="17"/>
      <c r="JG462" s="24"/>
      <c r="JH462" s="60"/>
      <c r="JI462" s="16"/>
      <c r="JJ462" s="16"/>
      <c r="JK462" s="16"/>
      <c r="JL462" s="16"/>
      <c r="JM462" s="16"/>
      <c r="JN462" s="17"/>
      <c r="JR462" s="24"/>
      <c r="JS462" s="60"/>
      <c r="JT462" s="16"/>
      <c r="JU462" s="16"/>
      <c r="JV462" s="16"/>
      <c r="JW462" s="16"/>
      <c r="JX462" s="16"/>
      <c r="JY462" s="17"/>
      <c r="KC462" s="24"/>
      <c r="KD462" s="60"/>
      <c r="KE462" s="16"/>
      <c r="KF462" s="16"/>
      <c r="KG462" s="16"/>
      <c r="KH462" s="16"/>
      <c r="KI462" s="16"/>
      <c r="KJ462" s="17"/>
      <c r="KN462" s="24"/>
      <c r="KO462" s="60"/>
      <c r="KP462" s="16"/>
      <c r="KQ462" s="16"/>
      <c r="KR462" s="16"/>
      <c r="KS462" s="16"/>
      <c r="KT462" s="16"/>
      <c r="KU462" s="17"/>
      <c r="KY462" s="24"/>
      <c r="KZ462" s="60"/>
      <c r="LA462" s="16"/>
      <c r="LB462" s="16"/>
      <c r="LC462" s="16"/>
      <c r="LD462" s="16"/>
      <c r="LE462" s="16"/>
      <c r="LF462" s="17"/>
      <c r="LJ462" s="24"/>
      <c r="LK462" s="60"/>
      <c r="LL462" s="16"/>
      <c r="LM462" s="16"/>
      <c r="LN462" s="16"/>
      <c r="LO462" s="16"/>
      <c r="LP462" s="16"/>
      <c r="LQ462" s="17"/>
    </row>
    <row r="463">
      <c r="C463" s="31"/>
      <c r="D463" s="61"/>
      <c r="E463" s="16"/>
      <c r="F463" s="16"/>
      <c r="G463" s="21"/>
      <c r="H463" s="16"/>
      <c r="I463" s="16"/>
      <c r="J463" s="17"/>
      <c r="N463" s="17"/>
      <c r="O463" s="61"/>
      <c r="P463" s="16"/>
      <c r="Q463" s="16"/>
      <c r="R463" s="16"/>
      <c r="S463" s="16"/>
      <c r="T463" s="16"/>
      <c r="U463" s="17"/>
      <c r="Y463" s="24"/>
      <c r="Z463" s="61"/>
      <c r="AA463" s="16"/>
      <c r="AB463" s="16"/>
      <c r="AC463" s="16"/>
      <c r="AD463" s="16"/>
      <c r="AE463" s="16"/>
      <c r="AF463" s="17"/>
      <c r="AJ463" s="24"/>
      <c r="AK463" s="61"/>
      <c r="AL463" s="16"/>
      <c r="AM463" s="16"/>
      <c r="AN463" s="16"/>
      <c r="AO463" s="16"/>
      <c r="AP463" s="16"/>
      <c r="AQ463" s="17"/>
      <c r="AU463" s="24"/>
      <c r="AV463" s="61"/>
      <c r="AW463" s="16"/>
      <c r="AX463" s="16"/>
      <c r="AY463" s="16"/>
      <c r="AZ463" s="16"/>
      <c r="BA463" s="16"/>
      <c r="BB463" s="17"/>
      <c r="BF463" s="24"/>
      <c r="BG463" s="61"/>
      <c r="BH463" s="16"/>
      <c r="BI463" s="16"/>
      <c r="BJ463" s="16"/>
      <c r="BK463" s="16"/>
      <c r="BL463" s="16"/>
      <c r="BM463" s="17"/>
      <c r="BQ463" s="24"/>
      <c r="BR463" s="61"/>
      <c r="BS463" s="16"/>
      <c r="BT463" s="16"/>
      <c r="BU463" s="16"/>
      <c r="BV463" s="16"/>
      <c r="BW463" s="16"/>
      <c r="BX463" s="17"/>
      <c r="CB463" s="24"/>
      <c r="CC463" s="61"/>
      <c r="CD463" s="16"/>
      <c r="CE463" s="16"/>
      <c r="CF463" s="16"/>
      <c r="CG463" s="16"/>
      <c r="CH463" s="16"/>
      <c r="CI463" s="17"/>
      <c r="CM463" s="24"/>
      <c r="CN463" s="61"/>
      <c r="CO463" s="16"/>
      <c r="CP463" s="16"/>
      <c r="CQ463" s="16"/>
      <c r="CR463" s="16"/>
      <c r="CS463" s="16"/>
      <c r="CT463" s="17"/>
      <c r="CX463" s="24"/>
      <c r="CY463" s="60"/>
      <c r="CZ463" s="16"/>
      <c r="DA463" s="16"/>
      <c r="DB463" s="16"/>
      <c r="DC463" s="16"/>
      <c r="DD463" s="16"/>
      <c r="DE463" s="17"/>
      <c r="DI463" s="24"/>
      <c r="DJ463" s="60"/>
      <c r="DK463" s="16"/>
      <c r="DL463" s="16"/>
      <c r="DM463" s="16"/>
      <c r="DN463" s="16"/>
      <c r="DO463" s="16"/>
      <c r="DP463" s="17"/>
      <c r="DT463" s="24"/>
      <c r="DU463" s="60"/>
      <c r="DV463" s="16"/>
      <c r="DW463" s="16"/>
      <c r="DX463" s="16"/>
      <c r="DY463" s="16"/>
      <c r="DZ463" s="16"/>
      <c r="EA463" s="17"/>
      <c r="EE463" s="24"/>
      <c r="EF463" s="60"/>
      <c r="EG463" s="16"/>
      <c r="EH463" s="16"/>
      <c r="EI463" s="16"/>
      <c r="EJ463" s="16"/>
      <c r="EK463" s="16"/>
      <c r="EL463" s="17"/>
      <c r="EP463" s="24"/>
      <c r="EQ463" s="60"/>
      <c r="ER463" s="16"/>
      <c r="ES463" s="16"/>
      <c r="ET463" s="16"/>
      <c r="EU463" s="16"/>
      <c r="EV463" s="16"/>
      <c r="EW463" s="17"/>
      <c r="FA463" s="24"/>
      <c r="FB463" s="60"/>
      <c r="FC463" s="16"/>
      <c r="FD463" s="16"/>
      <c r="FE463" s="16"/>
      <c r="FF463" s="16"/>
      <c r="FG463" s="16"/>
      <c r="FH463" s="17"/>
      <c r="FL463" s="24"/>
      <c r="FM463" s="60"/>
      <c r="FN463" s="16"/>
      <c r="FO463" s="16"/>
      <c r="FP463" s="16"/>
      <c r="FQ463" s="16"/>
      <c r="FR463" s="16"/>
      <c r="FS463" s="17"/>
      <c r="FW463" s="24"/>
      <c r="FX463" s="60"/>
      <c r="FY463" s="16"/>
      <c r="FZ463" s="16"/>
      <c r="GA463" s="16"/>
      <c r="GB463" s="16"/>
      <c r="GC463" s="16"/>
      <c r="GD463" s="17"/>
      <c r="GH463" s="24"/>
      <c r="GI463" s="60"/>
      <c r="GJ463" s="16"/>
      <c r="GK463" s="16"/>
      <c r="GL463" s="16"/>
      <c r="GM463" s="16"/>
      <c r="GN463" s="16"/>
      <c r="GO463" s="17"/>
      <c r="GS463" s="24"/>
      <c r="GT463" s="60"/>
      <c r="GU463" s="16"/>
      <c r="GV463" s="16"/>
      <c r="GW463" s="16"/>
      <c r="GX463" s="16"/>
      <c r="GY463" s="16"/>
      <c r="GZ463" s="17"/>
      <c r="HD463" s="24"/>
      <c r="HE463" s="60"/>
      <c r="HF463" s="16"/>
      <c r="HG463" s="16"/>
      <c r="HH463" s="16"/>
      <c r="HI463" s="16"/>
      <c r="HJ463" s="16"/>
      <c r="HK463" s="17"/>
      <c r="HO463" s="24"/>
      <c r="HP463" s="60"/>
      <c r="HQ463" s="16"/>
      <c r="HR463" s="16"/>
      <c r="HS463" s="16"/>
      <c r="HT463" s="16"/>
      <c r="HU463" s="16"/>
      <c r="HV463" s="17"/>
      <c r="HZ463" s="24"/>
      <c r="IA463" s="60"/>
      <c r="IB463" s="16"/>
      <c r="IC463" s="16"/>
      <c r="ID463" s="16"/>
      <c r="IE463" s="16"/>
      <c r="IF463" s="16"/>
      <c r="IG463" s="17"/>
      <c r="IK463" s="24"/>
      <c r="IL463" s="60"/>
      <c r="IM463" s="16"/>
      <c r="IN463" s="16"/>
      <c r="IO463" s="16"/>
      <c r="IP463" s="16"/>
      <c r="IQ463" s="16"/>
      <c r="IR463" s="17"/>
      <c r="IV463" s="24"/>
      <c r="IW463" s="60"/>
      <c r="IX463" s="16"/>
      <c r="IY463" s="16"/>
      <c r="IZ463" s="16"/>
      <c r="JA463" s="16"/>
      <c r="JB463" s="16"/>
      <c r="JC463" s="17"/>
      <c r="JG463" s="24"/>
      <c r="JH463" s="60"/>
      <c r="JI463" s="16"/>
      <c r="JJ463" s="16"/>
      <c r="JK463" s="16"/>
      <c r="JL463" s="16"/>
      <c r="JM463" s="16"/>
      <c r="JN463" s="17"/>
      <c r="JR463" s="24"/>
      <c r="JS463" s="60"/>
      <c r="JT463" s="16"/>
      <c r="JU463" s="16"/>
      <c r="JV463" s="16"/>
      <c r="JW463" s="16"/>
      <c r="JX463" s="16"/>
      <c r="JY463" s="17"/>
      <c r="KC463" s="24"/>
      <c r="KD463" s="60"/>
      <c r="KE463" s="16"/>
      <c r="KF463" s="16"/>
      <c r="KG463" s="16"/>
      <c r="KH463" s="16"/>
      <c r="KI463" s="16"/>
      <c r="KJ463" s="17"/>
      <c r="KN463" s="24"/>
      <c r="KO463" s="60"/>
      <c r="KP463" s="16"/>
      <c r="KQ463" s="16"/>
      <c r="KR463" s="16"/>
      <c r="KS463" s="16"/>
      <c r="KT463" s="16"/>
      <c r="KU463" s="17"/>
      <c r="KY463" s="24"/>
      <c r="KZ463" s="60"/>
      <c r="LA463" s="16"/>
      <c r="LB463" s="16"/>
      <c r="LC463" s="16"/>
      <c r="LD463" s="16"/>
      <c r="LE463" s="16"/>
      <c r="LF463" s="17"/>
      <c r="LJ463" s="24"/>
      <c r="LK463" s="60"/>
      <c r="LL463" s="16"/>
      <c r="LM463" s="16"/>
      <c r="LN463" s="16"/>
      <c r="LO463" s="16"/>
      <c r="LP463" s="16"/>
      <c r="LQ463" s="17"/>
    </row>
    <row r="464">
      <c r="C464" s="31"/>
      <c r="D464" s="61"/>
      <c r="E464" s="16"/>
      <c r="F464" s="16"/>
      <c r="G464" s="21"/>
      <c r="H464" s="16"/>
      <c r="I464" s="16"/>
      <c r="J464" s="17"/>
      <c r="N464" s="17"/>
      <c r="O464" s="61"/>
      <c r="P464" s="16"/>
      <c r="Q464" s="16"/>
      <c r="R464" s="16"/>
      <c r="S464" s="16"/>
      <c r="T464" s="16"/>
      <c r="U464" s="17"/>
      <c r="Y464" s="24"/>
      <c r="Z464" s="61"/>
      <c r="AA464" s="16"/>
      <c r="AB464" s="16"/>
      <c r="AC464" s="16"/>
      <c r="AD464" s="16"/>
      <c r="AE464" s="16"/>
      <c r="AF464" s="17"/>
      <c r="AJ464" s="24"/>
      <c r="AK464" s="61"/>
      <c r="AL464" s="16"/>
      <c r="AM464" s="16"/>
      <c r="AN464" s="16"/>
      <c r="AO464" s="16"/>
      <c r="AP464" s="16"/>
      <c r="AQ464" s="17"/>
      <c r="AU464" s="24"/>
      <c r="AV464" s="61"/>
      <c r="AW464" s="16"/>
      <c r="AX464" s="16"/>
      <c r="AY464" s="16"/>
      <c r="AZ464" s="16"/>
      <c r="BA464" s="16"/>
      <c r="BB464" s="17"/>
      <c r="BF464" s="24"/>
      <c r="BG464" s="61"/>
      <c r="BH464" s="16"/>
      <c r="BI464" s="16"/>
      <c r="BJ464" s="16"/>
      <c r="BK464" s="16"/>
      <c r="BL464" s="16"/>
      <c r="BM464" s="17"/>
      <c r="BQ464" s="24"/>
      <c r="BR464" s="61"/>
      <c r="BS464" s="16"/>
      <c r="BT464" s="16"/>
      <c r="BU464" s="16"/>
      <c r="BV464" s="16"/>
      <c r="BW464" s="16"/>
      <c r="BX464" s="17"/>
      <c r="CB464" s="24"/>
      <c r="CC464" s="61"/>
      <c r="CD464" s="16"/>
      <c r="CE464" s="16"/>
      <c r="CF464" s="16"/>
      <c r="CG464" s="16"/>
      <c r="CH464" s="16"/>
      <c r="CI464" s="17"/>
      <c r="CM464" s="24"/>
      <c r="CN464" s="61"/>
      <c r="CO464" s="16"/>
      <c r="CP464" s="16"/>
      <c r="CQ464" s="16"/>
      <c r="CR464" s="16"/>
      <c r="CS464" s="16"/>
      <c r="CT464" s="17"/>
      <c r="CX464" s="24"/>
      <c r="CY464" s="60"/>
      <c r="CZ464" s="16"/>
      <c r="DA464" s="16"/>
      <c r="DB464" s="16"/>
      <c r="DC464" s="16"/>
      <c r="DD464" s="16"/>
      <c r="DE464" s="17"/>
      <c r="DI464" s="24"/>
      <c r="DJ464" s="60"/>
      <c r="DK464" s="16"/>
      <c r="DL464" s="16"/>
      <c r="DM464" s="16"/>
      <c r="DN464" s="16"/>
      <c r="DO464" s="16"/>
      <c r="DP464" s="17"/>
      <c r="DT464" s="24"/>
      <c r="DU464" s="60"/>
      <c r="DV464" s="16"/>
      <c r="DW464" s="16"/>
      <c r="DX464" s="16"/>
      <c r="DY464" s="16"/>
      <c r="DZ464" s="16"/>
      <c r="EA464" s="17"/>
      <c r="EE464" s="24"/>
      <c r="EF464" s="60"/>
      <c r="EG464" s="16"/>
      <c r="EH464" s="16"/>
      <c r="EI464" s="16"/>
      <c r="EJ464" s="16"/>
      <c r="EK464" s="16"/>
      <c r="EL464" s="17"/>
      <c r="EP464" s="24"/>
      <c r="EQ464" s="60"/>
      <c r="ER464" s="16"/>
      <c r="ES464" s="16"/>
      <c r="ET464" s="16"/>
      <c r="EU464" s="16"/>
      <c r="EV464" s="16"/>
      <c r="EW464" s="17"/>
      <c r="FA464" s="24"/>
      <c r="FB464" s="60"/>
      <c r="FC464" s="16"/>
      <c r="FD464" s="16"/>
      <c r="FE464" s="16"/>
      <c r="FF464" s="16"/>
      <c r="FG464" s="16"/>
      <c r="FH464" s="17"/>
      <c r="FL464" s="24"/>
      <c r="FM464" s="60"/>
      <c r="FN464" s="16"/>
      <c r="FO464" s="16"/>
      <c r="FP464" s="16"/>
      <c r="FQ464" s="16"/>
      <c r="FR464" s="16"/>
      <c r="FS464" s="17"/>
      <c r="FW464" s="24"/>
      <c r="FX464" s="60"/>
      <c r="FY464" s="16"/>
      <c r="FZ464" s="16"/>
      <c r="GA464" s="16"/>
      <c r="GB464" s="16"/>
      <c r="GC464" s="16"/>
      <c r="GD464" s="17"/>
      <c r="GH464" s="24"/>
      <c r="GI464" s="60"/>
      <c r="GJ464" s="16"/>
      <c r="GK464" s="16"/>
      <c r="GL464" s="16"/>
      <c r="GM464" s="16"/>
      <c r="GN464" s="16"/>
      <c r="GO464" s="17"/>
      <c r="GS464" s="24"/>
      <c r="GT464" s="60"/>
      <c r="GU464" s="16"/>
      <c r="GV464" s="16"/>
      <c r="GW464" s="16"/>
      <c r="GX464" s="16"/>
      <c r="GY464" s="16"/>
      <c r="GZ464" s="17"/>
      <c r="HD464" s="24"/>
      <c r="HE464" s="60"/>
      <c r="HF464" s="16"/>
      <c r="HG464" s="16"/>
      <c r="HH464" s="16"/>
      <c r="HI464" s="16"/>
      <c r="HJ464" s="16"/>
      <c r="HK464" s="17"/>
      <c r="HO464" s="24"/>
      <c r="HP464" s="60"/>
      <c r="HQ464" s="16"/>
      <c r="HR464" s="16"/>
      <c r="HS464" s="16"/>
      <c r="HT464" s="16"/>
      <c r="HU464" s="16"/>
      <c r="HV464" s="17"/>
      <c r="HZ464" s="24"/>
      <c r="IA464" s="60"/>
      <c r="IB464" s="16"/>
      <c r="IC464" s="16"/>
      <c r="ID464" s="16"/>
      <c r="IE464" s="16"/>
      <c r="IF464" s="16"/>
      <c r="IG464" s="17"/>
      <c r="IK464" s="24"/>
      <c r="IL464" s="60"/>
      <c r="IM464" s="16"/>
      <c r="IN464" s="16"/>
      <c r="IO464" s="16"/>
      <c r="IP464" s="16"/>
      <c r="IQ464" s="16"/>
      <c r="IR464" s="17"/>
      <c r="IV464" s="24"/>
      <c r="IW464" s="60"/>
      <c r="IX464" s="16"/>
      <c r="IY464" s="16"/>
      <c r="IZ464" s="16"/>
      <c r="JA464" s="16"/>
      <c r="JB464" s="16"/>
      <c r="JC464" s="17"/>
      <c r="JG464" s="24"/>
      <c r="JH464" s="60"/>
      <c r="JI464" s="16"/>
      <c r="JJ464" s="16"/>
      <c r="JK464" s="16"/>
      <c r="JL464" s="16"/>
      <c r="JM464" s="16"/>
      <c r="JN464" s="17"/>
      <c r="JR464" s="24"/>
      <c r="JS464" s="60"/>
      <c r="JT464" s="16"/>
      <c r="JU464" s="16"/>
      <c r="JV464" s="16"/>
      <c r="JW464" s="16"/>
      <c r="JX464" s="16"/>
      <c r="JY464" s="17"/>
      <c r="KC464" s="24"/>
      <c r="KD464" s="60"/>
      <c r="KE464" s="16"/>
      <c r="KF464" s="16"/>
      <c r="KG464" s="16"/>
      <c r="KH464" s="16"/>
      <c r="KI464" s="16"/>
      <c r="KJ464" s="17"/>
      <c r="KN464" s="24"/>
      <c r="KO464" s="60"/>
      <c r="KP464" s="16"/>
      <c r="KQ464" s="16"/>
      <c r="KR464" s="16"/>
      <c r="KS464" s="16"/>
      <c r="KT464" s="16"/>
      <c r="KU464" s="17"/>
      <c r="KY464" s="24"/>
      <c r="KZ464" s="60"/>
      <c r="LA464" s="16"/>
      <c r="LB464" s="16"/>
      <c r="LC464" s="16"/>
      <c r="LD464" s="16"/>
      <c r="LE464" s="16"/>
      <c r="LF464" s="17"/>
      <c r="LJ464" s="24"/>
      <c r="LK464" s="60"/>
      <c r="LL464" s="16"/>
      <c r="LM464" s="16"/>
      <c r="LN464" s="16"/>
      <c r="LO464" s="16"/>
      <c r="LP464" s="16"/>
      <c r="LQ464" s="17"/>
    </row>
    <row r="465">
      <c r="C465" s="31"/>
      <c r="D465" s="61"/>
      <c r="E465" s="16"/>
      <c r="F465" s="16"/>
      <c r="G465" s="21"/>
      <c r="H465" s="16"/>
      <c r="I465" s="16"/>
      <c r="J465" s="17"/>
      <c r="N465" s="17"/>
      <c r="O465" s="61"/>
      <c r="P465" s="16"/>
      <c r="Q465" s="16"/>
      <c r="R465" s="16"/>
      <c r="S465" s="16"/>
      <c r="T465" s="16"/>
      <c r="U465" s="17"/>
      <c r="Y465" s="24"/>
      <c r="Z465" s="61"/>
      <c r="AA465" s="16"/>
      <c r="AB465" s="16"/>
      <c r="AC465" s="16"/>
      <c r="AD465" s="16"/>
      <c r="AE465" s="16"/>
      <c r="AF465" s="17"/>
      <c r="AJ465" s="24"/>
      <c r="AK465" s="61"/>
      <c r="AL465" s="16"/>
      <c r="AM465" s="16"/>
      <c r="AN465" s="16"/>
      <c r="AO465" s="16"/>
      <c r="AP465" s="16"/>
      <c r="AQ465" s="17"/>
      <c r="AU465" s="24"/>
      <c r="AV465" s="61"/>
      <c r="AW465" s="16"/>
      <c r="AX465" s="16"/>
      <c r="AY465" s="16"/>
      <c r="AZ465" s="16"/>
      <c r="BA465" s="16"/>
      <c r="BB465" s="17"/>
      <c r="BF465" s="24"/>
      <c r="BG465" s="61"/>
      <c r="BH465" s="16"/>
      <c r="BI465" s="16"/>
      <c r="BJ465" s="16"/>
      <c r="BK465" s="16"/>
      <c r="BL465" s="16"/>
      <c r="BM465" s="17"/>
      <c r="BQ465" s="24"/>
      <c r="BR465" s="61"/>
      <c r="BS465" s="16"/>
      <c r="BT465" s="16"/>
      <c r="BU465" s="16"/>
      <c r="BV465" s="16"/>
      <c r="BW465" s="16"/>
      <c r="BX465" s="17"/>
      <c r="CB465" s="24"/>
      <c r="CC465" s="61"/>
      <c r="CD465" s="16"/>
      <c r="CE465" s="16"/>
      <c r="CF465" s="16"/>
      <c r="CG465" s="16"/>
      <c r="CH465" s="16"/>
      <c r="CI465" s="17"/>
      <c r="CM465" s="24"/>
      <c r="CN465" s="61"/>
      <c r="CO465" s="16"/>
      <c r="CP465" s="16"/>
      <c r="CQ465" s="16"/>
      <c r="CR465" s="16"/>
      <c r="CS465" s="16"/>
      <c r="CT465" s="17"/>
      <c r="CX465" s="24"/>
      <c r="CY465" s="60"/>
      <c r="CZ465" s="16"/>
      <c r="DA465" s="16"/>
      <c r="DB465" s="16"/>
      <c r="DC465" s="16"/>
      <c r="DD465" s="16"/>
      <c r="DE465" s="17"/>
      <c r="DI465" s="24"/>
      <c r="DJ465" s="60"/>
      <c r="DK465" s="16"/>
      <c r="DL465" s="16"/>
      <c r="DM465" s="16"/>
      <c r="DN465" s="16"/>
      <c r="DO465" s="16"/>
      <c r="DP465" s="17"/>
      <c r="DT465" s="24"/>
      <c r="DU465" s="60"/>
      <c r="DV465" s="16"/>
      <c r="DW465" s="16"/>
      <c r="DX465" s="16"/>
      <c r="DY465" s="16"/>
      <c r="DZ465" s="16"/>
      <c r="EA465" s="17"/>
      <c r="EE465" s="24"/>
      <c r="EF465" s="60"/>
      <c r="EG465" s="16"/>
      <c r="EH465" s="16"/>
      <c r="EI465" s="16"/>
      <c r="EJ465" s="16"/>
      <c r="EK465" s="16"/>
      <c r="EL465" s="17"/>
      <c r="EP465" s="24"/>
      <c r="EQ465" s="60"/>
      <c r="ER465" s="16"/>
      <c r="ES465" s="16"/>
      <c r="ET465" s="16"/>
      <c r="EU465" s="16"/>
      <c r="EV465" s="16"/>
      <c r="EW465" s="17"/>
      <c r="FA465" s="24"/>
      <c r="FB465" s="60"/>
      <c r="FC465" s="16"/>
      <c r="FD465" s="16"/>
      <c r="FE465" s="16"/>
      <c r="FF465" s="16"/>
      <c r="FG465" s="16"/>
      <c r="FH465" s="17"/>
      <c r="FL465" s="24"/>
      <c r="FM465" s="60"/>
      <c r="FN465" s="16"/>
      <c r="FO465" s="16"/>
      <c r="FP465" s="16"/>
      <c r="FQ465" s="16"/>
      <c r="FR465" s="16"/>
      <c r="FS465" s="17"/>
      <c r="FW465" s="24"/>
      <c r="FX465" s="60"/>
      <c r="FY465" s="16"/>
      <c r="FZ465" s="16"/>
      <c r="GA465" s="16"/>
      <c r="GB465" s="16"/>
      <c r="GC465" s="16"/>
      <c r="GD465" s="17"/>
      <c r="GH465" s="24"/>
      <c r="GI465" s="60"/>
      <c r="GJ465" s="16"/>
      <c r="GK465" s="16"/>
      <c r="GL465" s="16"/>
      <c r="GM465" s="16"/>
      <c r="GN465" s="16"/>
      <c r="GO465" s="17"/>
      <c r="GS465" s="24"/>
      <c r="GT465" s="60"/>
      <c r="GU465" s="16"/>
      <c r="GV465" s="16"/>
      <c r="GW465" s="16"/>
      <c r="GX465" s="16"/>
      <c r="GY465" s="16"/>
      <c r="GZ465" s="17"/>
      <c r="HD465" s="24"/>
      <c r="HE465" s="60"/>
      <c r="HF465" s="16"/>
      <c r="HG465" s="16"/>
      <c r="HH465" s="16"/>
      <c r="HI465" s="16"/>
      <c r="HJ465" s="16"/>
      <c r="HK465" s="17"/>
      <c r="HO465" s="24"/>
      <c r="HP465" s="60"/>
      <c r="HQ465" s="16"/>
      <c r="HR465" s="16"/>
      <c r="HS465" s="16"/>
      <c r="HT465" s="16"/>
      <c r="HU465" s="16"/>
      <c r="HV465" s="17"/>
      <c r="HZ465" s="24"/>
      <c r="IA465" s="60"/>
      <c r="IB465" s="16"/>
      <c r="IC465" s="16"/>
      <c r="ID465" s="16"/>
      <c r="IE465" s="16"/>
      <c r="IF465" s="16"/>
      <c r="IG465" s="17"/>
      <c r="IK465" s="24"/>
      <c r="IL465" s="60"/>
      <c r="IM465" s="16"/>
      <c r="IN465" s="16"/>
      <c r="IO465" s="16"/>
      <c r="IP465" s="16"/>
      <c r="IQ465" s="16"/>
      <c r="IR465" s="17"/>
      <c r="IV465" s="24"/>
      <c r="IW465" s="60"/>
      <c r="IX465" s="16"/>
      <c r="IY465" s="16"/>
      <c r="IZ465" s="16"/>
      <c r="JA465" s="16"/>
      <c r="JB465" s="16"/>
      <c r="JC465" s="17"/>
      <c r="JG465" s="24"/>
      <c r="JH465" s="60"/>
      <c r="JI465" s="16"/>
      <c r="JJ465" s="16"/>
      <c r="JK465" s="16"/>
      <c r="JL465" s="16"/>
      <c r="JM465" s="16"/>
      <c r="JN465" s="17"/>
      <c r="JR465" s="24"/>
      <c r="JS465" s="60"/>
      <c r="JT465" s="16"/>
      <c r="JU465" s="16"/>
      <c r="JV465" s="16"/>
      <c r="JW465" s="16"/>
      <c r="JX465" s="16"/>
      <c r="JY465" s="17"/>
      <c r="KC465" s="24"/>
      <c r="KD465" s="60"/>
      <c r="KE465" s="16"/>
      <c r="KF465" s="16"/>
      <c r="KG465" s="16"/>
      <c r="KH465" s="16"/>
      <c r="KI465" s="16"/>
      <c r="KJ465" s="17"/>
      <c r="KN465" s="24"/>
      <c r="KO465" s="60"/>
      <c r="KP465" s="16"/>
      <c r="KQ465" s="16"/>
      <c r="KR465" s="16"/>
      <c r="KS465" s="16"/>
      <c r="KT465" s="16"/>
      <c r="KU465" s="17"/>
      <c r="KY465" s="24"/>
      <c r="KZ465" s="60"/>
      <c r="LA465" s="16"/>
      <c r="LB465" s="16"/>
      <c r="LC465" s="16"/>
      <c r="LD465" s="16"/>
      <c r="LE465" s="16"/>
      <c r="LF465" s="17"/>
      <c r="LJ465" s="24"/>
      <c r="LK465" s="60"/>
      <c r="LL465" s="16"/>
      <c r="LM465" s="16"/>
      <c r="LN465" s="16"/>
      <c r="LO465" s="16"/>
      <c r="LP465" s="16"/>
      <c r="LQ465" s="17"/>
    </row>
    <row r="466">
      <c r="C466" s="31"/>
      <c r="D466" s="61"/>
      <c r="E466" s="16"/>
      <c r="F466" s="16"/>
      <c r="G466" s="21"/>
      <c r="H466" s="16"/>
      <c r="I466" s="16"/>
      <c r="J466" s="17"/>
      <c r="N466" s="17"/>
      <c r="O466" s="61"/>
      <c r="P466" s="16"/>
      <c r="Q466" s="16"/>
      <c r="R466" s="16"/>
      <c r="S466" s="16"/>
      <c r="T466" s="16"/>
      <c r="U466" s="17"/>
      <c r="Y466" s="24"/>
      <c r="Z466" s="61"/>
      <c r="AA466" s="16"/>
      <c r="AB466" s="16"/>
      <c r="AC466" s="16"/>
      <c r="AD466" s="16"/>
      <c r="AE466" s="16"/>
      <c r="AF466" s="17"/>
      <c r="AJ466" s="24"/>
      <c r="AK466" s="61"/>
      <c r="AL466" s="16"/>
      <c r="AM466" s="16"/>
      <c r="AN466" s="16"/>
      <c r="AO466" s="16"/>
      <c r="AP466" s="16"/>
      <c r="AQ466" s="17"/>
      <c r="AU466" s="24"/>
      <c r="AV466" s="61"/>
      <c r="AW466" s="16"/>
      <c r="AX466" s="16"/>
      <c r="AY466" s="16"/>
      <c r="AZ466" s="16"/>
      <c r="BA466" s="16"/>
      <c r="BB466" s="17"/>
      <c r="BF466" s="24"/>
      <c r="BG466" s="61"/>
      <c r="BH466" s="16"/>
      <c r="BI466" s="16"/>
      <c r="BJ466" s="16"/>
      <c r="BK466" s="16"/>
      <c r="BL466" s="16"/>
      <c r="BM466" s="17"/>
      <c r="BQ466" s="24"/>
      <c r="BR466" s="61"/>
      <c r="BS466" s="16"/>
      <c r="BT466" s="16"/>
      <c r="BU466" s="16"/>
      <c r="BV466" s="16"/>
      <c r="BW466" s="16"/>
      <c r="BX466" s="17"/>
      <c r="CB466" s="24"/>
      <c r="CC466" s="61"/>
      <c r="CD466" s="16"/>
      <c r="CE466" s="16"/>
      <c r="CF466" s="16"/>
      <c r="CG466" s="16"/>
      <c r="CH466" s="16"/>
      <c r="CI466" s="17"/>
      <c r="CM466" s="24"/>
      <c r="CN466" s="61"/>
      <c r="CO466" s="16"/>
      <c r="CP466" s="16"/>
      <c r="CQ466" s="16"/>
      <c r="CR466" s="16"/>
      <c r="CS466" s="16"/>
      <c r="CT466" s="17"/>
      <c r="CX466" s="24"/>
      <c r="CY466" s="60"/>
      <c r="CZ466" s="16"/>
      <c r="DA466" s="16"/>
      <c r="DB466" s="16"/>
      <c r="DC466" s="16"/>
      <c r="DD466" s="16"/>
      <c r="DE466" s="17"/>
      <c r="DI466" s="24"/>
      <c r="DJ466" s="60"/>
      <c r="DK466" s="16"/>
      <c r="DL466" s="16"/>
      <c r="DM466" s="16"/>
      <c r="DN466" s="16"/>
      <c r="DO466" s="16"/>
      <c r="DP466" s="17"/>
      <c r="DT466" s="24"/>
      <c r="DU466" s="60"/>
      <c r="DV466" s="16"/>
      <c r="DW466" s="16"/>
      <c r="DX466" s="16"/>
      <c r="DY466" s="16"/>
      <c r="DZ466" s="16"/>
      <c r="EA466" s="17"/>
      <c r="EE466" s="24"/>
      <c r="EF466" s="60"/>
      <c r="EG466" s="16"/>
      <c r="EH466" s="16"/>
      <c r="EI466" s="16"/>
      <c r="EJ466" s="16"/>
      <c r="EK466" s="16"/>
      <c r="EL466" s="17"/>
      <c r="EP466" s="24"/>
      <c r="EQ466" s="60"/>
      <c r="ER466" s="16"/>
      <c r="ES466" s="16"/>
      <c r="ET466" s="16"/>
      <c r="EU466" s="16"/>
      <c r="EV466" s="16"/>
      <c r="EW466" s="17"/>
      <c r="FA466" s="24"/>
      <c r="FB466" s="60"/>
      <c r="FC466" s="16"/>
      <c r="FD466" s="16"/>
      <c r="FE466" s="16"/>
      <c r="FF466" s="16"/>
      <c r="FG466" s="16"/>
      <c r="FH466" s="17"/>
      <c r="FL466" s="24"/>
      <c r="FM466" s="60"/>
      <c r="FN466" s="16"/>
      <c r="FO466" s="16"/>
      <c r="FP466" s="16"/>
      <c r="FQ466" s="16"/>
      <c r="FR466" s="16"/>
      <c r="FS466" s="17"/>
      <c r="FW466" s="24"/>
      <c r="FX466" s="60"/>
      <c r="FY466" s="16"/>
      <c r="FZ466" s="16"/>
      <c r="GA466" s="16"/>
      <c r="GB466" s="16"/>
      <c r="GC466" s="16"/>
      <c r="GD466" s="17"/>
      <c r="GH466" s="24"/>
      <c r="GI466" s="60"/>
      <c r="GJ466" s="16"/>
      <c r="GK466" s="16"/>
      <c r="GL466" s="16"/>
      <c r="GM466" s="16"/>
      <c r="GN466" s="16"/>
      <c r="GO466" s="17"/>
      <c r="GS466" s="24"/>
      <c r="GT466" s="60"/>
      <c r="GU466" s="16"/>
      <c r="GV466" s="16"/>
      <c r="GW466" s="16"/>
      <c r="GX466" s="16"/>
      <c r="GY466" s="16"/>
      <c r="GZ466" s="17"/>
      <c r="HD466" s="24"/>
      <c r="HE466" s="60"/>
      <c r="HF466" s="16"/>
      <c r="HG466" s="16"/>
      <c r="HH466" s="16"/>
      <c r="HI466" s="16"/>
      <c r="HJ466" s="16"/>
      <c r="HK466" s="17"/>
      <c r="HO466" s="24"/>
      <c r="HP466" s="60"/>
      <c r="HQ466" s="16"/>
      <c r="HR466" s="16"/>
      <c r="HS466" s="16"/>
      <c r="HT466" s="16"/>
      <c r="HU466" s="16"/>
      <c r="HV466" s="17"/>
      <c r="HZ466" s="24"/>
      <c r="IA466" s="60"/>
      <c r="IB466" s="16"/>
      <c r="IC466" s="16"/>
      <c r="ID466" s="16"/>
      <c r="IE466" s="16"/>
      <c r="IF466" s="16"/>
      <c r="IG466" s="17"/>
      <c r="IK466" s="24"/>
      <c r="IL466" s="60"/>
      <c r="IM466" s="16"/>
      <c r="IN466" s="16"/>
      <c r="IO466" s="16"/>
      <c r="IP466" s="16"/>
      <c r="IQ466" s="16"/>
      <c r="IR466" s="17"/>
      <c r="IV466" s="24"/>
      <c r="IW466" s="60"/>
      <c r="IX466" s="16"/>
      <c r="IY466" s="16"/>
      <c r="IZ466" s="16"/>
      <c r="JA466" s="16"/>
      <c r="JB466" s="16"/>
      <c r="JC466" s="17"/>
      <c r="JG466" s="24"/>
      <c r="JH466" s="60"/>
      <c r="JI466" s="16"/>
      <c r="JJ466" s="16"/>
      <c r="JK466" s="16"/>
      <c r="JL466" s="16"/>
      <c r="JM466" s="16"/>
      <c r="JN466" s="17"/>
      <c r="JR466" s="24"/>
      <c r="JS466" s="60"/>
      <c r="JT466" s="16"/>
      <c r="JU466" s="16"/>
      <c r="JV466" s="16"/>
      <c r="JW466" s="16"/>
      <c r="JX466" s="16"/>
      <c r="JY466" s="17"/>
      <c r="KC466" s="24"/>
      <c r="KD466" s="60"/>
      <c r="KE466" s="16"/>
      <c r="KF466" s="16"/>
      <c r="KG466" s="16"/>
      <c r="KH466" s="16"/>
      <c r="KI466" s="16"/>
      <c r="KJ466" s="17"/>
      <c r="KN466" s="24"/>
      <c r="KO466" s="60"/>
      <c r="KP466" s="16"/>
      <c r="KQ466" s="16"/>
      <c r="KR466" s="16"/>
      <c r="KS466" s="16"/>
      <c r="KT466" s="16"/>
      <c r="KU466" s="17"/>
      <c r="KY466" s="24"/>
      <c r="KZ466" s="60"/>
      <c r="LA466" s="16"/>
      <c r="LB466" s="16"/>
      <c r="LC466" s="16"/>
      <c r="LD466" s="16"/>
      <c r="LE466" s="16"/>
      <c r="LF466" s="17"/>
      <c r="LJ466" s="24"/>
      <c r="LK466" s="60"/>
      <c r="LL466" s="16"/>
      <c r="LM466" s="16"/>
      <c r="LN466" s="16"/>
      <c r="LO466" s="16"/>
      <c r="LP466" s="16"/>
      <c r="LQ466" s="17"/>
    </row>
    <row r="467">
      <c r="C467" s="31"/>
      <c r="D467" s="61"/>
      <c r="E467" s="16"/>
      <c r="F467" s="16"/>
      <c r="G467" s="21"/>
      <c r="H467" s="16"/>
      <c r="I467" s="16"/>
      <c r="J467" s="17"/>
      <c r="N467" s="17"/>
      <c r="O467" s="61"/>
      <c r="P467" s="16"/>
      <c r="Q467" s="16"/>
      <c r="R467" s="16"/>
      <c r="S467" s="16"/>
      <c r="T467" s="16"/>
      <c r="U467" s="17"/>
      <c r="Y467" s="24"/>
      <c r="Z467" s="61"/>
      <c r="AA467" s="16"/>
      <c r="AB467" s="16"/>
      <c r="AC467" s="16"/>
      <c r="AD467" s="16"/>
      <c r="AE467" s="16"/>
      <c r="AF467" s="17"/>
      <c r="AJ467" s="24"/>
      <c r="AK467" s="61"/>
      <c r="AL467" s="16"/>
      <c r="AM467" s="16"/>
      <c r="AN467" s="16"/>
      <c r="AO467" s="16"/>
      <c r="AP467" s="16"/>
      <c r="AQ467" s="17"/>
      <c r="AU467" s="24"/>
      <c r="AV467" s="61"/>
      <c r="AW467" s="16"/>
      <c r="AX467" s="16"/>
      <c r="AY467" s="16"/>
      <c r="AZ467" s="16"/>
      <c r="BA467" s="16"/>
      <c r="BB467" s="17"/>
      <c r="BF467" s="24"/>
      <c r="BG467" s="61"/>
      <c r="BH467" s="16"/>
      <c r="BI467" s="16"/>
      <c r="BJ467" s="16"/>
      <c r="BK467" s="16"/>
      <c r="BL467" s="16"/>
      <c r="BM467" s="17"/>
      <c r="BQ467" s="24"/>
      <c r="BR467" s="61"/>
      <c r="BS467" s="16"/>
      <c r="BT467" s="16"/>
      <c r="BU467" s="16"/>
      <c r="BV467" s="16"/>
      <c r="BW467" s="16"/>
      <c r="BX467" s="17"/>
      <c r="CB467" s="24"/>
      <c r="CC467" s="61"/>
      <c r="CD467" s="16"/>
      <c r="CE467" s="16"/>
      <c r="CF467" s="16"/>
      <c r="CG467" s="16"/>
      <c r="CH467" s="16"/>
      <c r="CI467" s="17"/>
      <c r="CM467" s="24"/>
      <c r="CN467" s="61"/>
      <c r="CO467" s="16"/>
      <c r="CP467" s="16"/>
      <c r="CQ467" s="16"/>
      <c r="CR467" s="16"/>
      <c r="CS467" s="16"/>
      <c r="CT467" s="17"/>
      <c r="CX467" s="24"/>
      <c r="CY467" s="60"/>
      <c r="CZ467" s="16"/>
      <c r="DA467" s="16"/>
      <c r="DB467" s="16"/>
      <c r="DC467" s="16"/>
      <c r="DD467" s="16"/>
      <c r="DE467" s="17"/>
      <c r="DI467" s="24"/>
      <c r="DJ467" s="60"/>
      <c r="DK467" s="16"/>
      <c r="DL467" s="16"/>
      <c r="DM467" s="16"/>
      <c r="DN467" s="16"/>
      <c r="DO467" s="16"/>
      <c r="DP467" s="17"/>
      <c r="DT467" s="24"/>
      <c r="DU467" s="60"/>
      <c r="DV467" s="16"/>
      <c r="DW467" s="16"/>
      <c r="DX467" s="16"/>
      <c r="DY467" s="16"/>
      <c r="DZ467" s="16"/>
      <c r="EA467" s="17"/>
      <c r="EE467" s="24"/>
      <c r="EF467" s="60"/>
      <c r="EG467" s="16"/>
      <c r="EH467" s="16"/>
      <c r="EI467" s="16"/>
      <c r="EJ467" s="16"/>
      <c r="EK467" s="16"/>
      <c r="EL467" s="17"/>
      <c r="EP467" s="24"/>
      <c r="EQ467" s="60"/>
      <c r="ER467" s="16"/>
      <c r="ES467" s="16"/>
      <c r="ET467" s="16"/>
      <c r="EU467" s="16"/>
      <c r="EV467" s="16"/>
      <c r="EW467" s="17"/>
      <c r="FA467" s="24"/>
      <c r="FB467" s="60"/>
      <c r="FC467" s="16"/>
      <c r="FD467" s="16"/>
      <c r="FE467" s="16"/>
      <c r="FF467" s="16"/>
      <c r="FG467" s="16"/>
      <c r="FH467" s="17"/>
      <c r="FL467" s="24"/>
      <c r="FM467" s="60"/>
      <c r="FN467" s="16"/>
      <c r="FO467" s="16"/>
      <c r="FP467" s="16"/>
      <c r="FQ467" s="16"/>
      <c r="FR467" s="16"/>
      <c r="FS467" s="17"/>
      <c r="FW467" s="24"/>
      <c r="FX467" s="60"/>
      <c r="FY467" s="16"/>
      <c r="FZ467" s="16"/>
      <c r="GA467" s="16"/>
      <c r="GB467" s="16"/>
      <c r="GC467" s="16"/>
      <c r="GD467" s="17"/>
      <c r="GH467" s="24"/>
      <c r="GI467" s="60"/>
      <c r="GJ467" s="16"/>
      <c r="GK467" s="16"/>
      <c r="GL467" s="16"/>
      <c r="GM467" s="16"/>
      <c r="GN467" s="16"/>
      <c r="GO467" s="17"/>
      <c r="GS467" s="24"/>
      <c r="GT467" s="60"/>
      <c r="GU467" s="16"/>
      <c r="GV467" s="16"/>
      <c r="GW467" s="16"/>
      <c r="GX467" s="16"/>
      <c r="GY467" s="16"/>
      <c r="GZ467" s="17"/>
      <c r="HD467" s="24"/>
      <c r="HE467" s="60"/>
      <c r="HF467" s="16"/>
      <c r="HG467" s="16"/>
      <c r="HH467" s="16"/>
      <c r="HI467" s="16"/>
      <c r="HJ467" s="16"/>
      <c r="HK467" s="17"/>
      <c r="HO467" s="24"/>
      <c r="HP467" s="60"/>
      <c r="HQ467" s="16"/>
      <c r="HR467" s="16"/>
      <c r="HS467" s="16"/>
      <c r="HT467" s="16"/>
      <c r="HU467" s="16"/>
      <c r="HV467" s="17"/>
      <c r="HZ467" s="24"/>
      <c r="IA467" s="60"/>
      <c r="IB467" s="16"/>
      <c r="IC467" s="16"/>
      <c r="ID467" s="16"/>
      <c r="IE467" s="16"/>
      <c r="IF467" s="16"/>
      <c r="IG467" s="17"/>
      <c r="IK467" s="24"/>
      <c r="IL467" s="60"/>
      <c r="IM467" s="16"/>
      <c r="IN467" s="16"/>
      <c r="IO467" s="16"/>
      <c r="IP467" s="16"/>
      <c r="IQ467" s="16"/>
      <c r="IR467" s="17"/>
      <c r="IV467" s="24"/>
      <c r="IW467" s="60"/>
      <c r="IX467" s="16"/>
      <c r="IY467" s="16"/>
      <c r="IZ467" s="16"/>
      <c r="JA467" s="16"/>
      <c r="JB467" s="16"/>
      <c r="JC467" s="17"/>
      <c r="JG467" s="24"/>
      <c r="JH467" s="60"/>
      <c r="JI467" s="16"/>
      <c r="JJ467" s="16"/>
      <c r="JK467" s="16"/>
      <c r="JL467" s="16"/>
      <c r="JM467" s="16"/>
      <c r="JN467" s="17"/>
      <c r="JR467" s="24"/>
      <c r="JS467" s="60"/>
      <c r="JT467" s="16"/>
      <c r="JU467" s="16"/>
      <c r="JV467" s="16"/>
      <c r="JW467" s="16"/>
      <c r="JX467" s="16"/>
      <c r="JY467" s="17"/>
      <c r="KC467" s="24"/>
      <c r="KD467" s="60"/>
      <c r="KE467" s="16"/>
      <c r="KF467" s="16"/>
      <c r="KG467" s="16"/>
      <c r="KH467" s="16"/>
      <c r="KI467" s="16"/>
      <c r="KJ467" s="17"/>
      <c r="KN467" s="24"/>
      <c r="KO467" s="60"/>
      <c r="KP467" s="16"/>
      <c r="KQ467" s="16"/>
      <c r="KR467" s="16"/>
      <c r="KS467" s="16"/>
      <c r="KT467" s="16"/>
      <c r="KU467" s="17"/>
      <c r="KY467" s="24"/>
      <c r="KZ467" s="60"/>
      <c r="LA467" s="16"/>
      <c r="LB467" s="16"/>
      <c r="LC467" s="16"/>
      <c r="LD467" s="16"/>
      <c r="LE467" s="16"/>
      <c r="LF467" s="17"/>
      <c r="LJ467" s="24"/>
      <c r="LK467" s="60"/>
      <c r="LL467" s="16"/>
      <c r="LM467" s="16"/>
      <c r="LN467" s="16"/>
      <c r="LO467" s="16"/>
      <c r="LP467" s="16"/>
      <c r="LQ467" s="17"/>
    </row>
    <row r="468">
      <c r="C468" s="31"/>
      <c r="D468" s="61"/>
      <c r="E468" s="16"/>
      <c r="F468" s="16"/>
      <c r="G468" s="21"/>
      <c r="H468" s="16"/>
      <c r="I468" s="16"/>
      <c r="J468" s="17"/>
      <c r="N468" s="17"/>
      <c r="O468" s="61"/>
      <c r="P468" s="16"/>
      <c r="Q468" s="16"/>
      <c r="R468" s="16"/>
      <c r="S468" s="16"/>
      <c r="T468" s="16"/>
      <c r="U468" s="17"/>
      <c r="Y468" s="24"/>
      <c r="Z468" s="61"/>
      <c r="AA468" s="16"/>
      <c r="AB468" s="16"/>
      <c r="AC468" s="16"/>
      <c r="AD468" s="16"/>
      <c r="AE468" s="16"/>
      <c r="AF468" s="17"/>
      <c r="AJ468" s="24"/>
      <c r="AK468" s="61"/>
      <c r="AL468" s="16"/>
      <c r="AM468" s="16"/>
      <c r="AN468" s="16"/>
      <c r="AO468" s="16"/>
      <c r="AP468" s="16"/>
      <c r="AQ468" s="17"/>
      <c r="AU468" s="24"/>
      <c r="AV468" s="61"/>
      <c r="AW468" s="16"/>
      <c r="AX468" s="16"/>
      <c r="AY468" s="16"/>
      <c r="AZ468" s="16"/>
      <c r="BA468" s="16"/>
      <c r="BB468" s="17"/>
      <c r="BF468" s="24"/>
      <c r="BG468" s="61"/>
      <c r="BH468" s="16"/>
      <c r="BI468" s="16"/>
      <c r="BJ468" s="16"/>
      <c r="BK468" s="16"/>
      <c r="BL468" s="16"/>
      <c r="BM468" s="17"/>
      <c r="BQ468" s="24"/>
      <c r="BR468" s="61"/>
      <c r="BS468" s="16"/>
      <c r="BT468" s="16"/>
      <c r="BU468" s="16"/>
      <c r="BV468" s="16"/>
      <c r="BW468" s="16"/>
      <c r="BX468" s="17"/>
      <c r="CB468" s="24"/>
      <c r="CC468" s="61"/>
      <c r="CD468" s="16"/>
      <c r="CE468" s="16"/>
      <c r="CF468" s="16"/>
      <c r="CG468" s="16"/>
      <c r="CH468" s="16"/>
      <c r="CI468" s="17"/>
      <c r="CM468" s="24"/>
      <c r="CN468" s="61"/>
      <c r="CO468" s="16"/>
      <c r="CP468" s="16"/>
      <c r="CQ468" s="16"/>
      <c r="CR468" s="16"/>
      <c r="CS468" s="16"/>
      <c r="CT468" s="17"/>
      <c r="CX468" s="24"/>
      <c r="CY468" s="60"/>
      <c r="CZ468" s="16"/>
      <c r="DA468" s="16"/>
      <c r="DB468" s="16"/>
      <c r="DC468" s="16"/>
      <c r="DD468" s="16"/>
      <c r="DE468" s="17"/>
      <c r="DI468" s="24"/>
      <c r="DJ468" s="60"/>
      <c r="DK468" s="16"/>
      <c r="DL468" s="16"/>
      <c r="DM468" s="16"/>
      <c r="DN468" s="16"/>
      <c r="DO468" s="16"/>
      <c r="DP468" s="17"/>
      <c r="DT468" s="24"/>
      <c r="DU468" s="60"/>
      <c r="DV468" s="16"/>
      <c r="DW468" s="16"/>
      <c r="DX468" s="16"/>
      <c r="DY468" s="16"/>
      <c r="DZ468" s="16"/>
      <c r="EA468" s="17"/>
      <c r="EE468" s="24"/>
      <c r="EF468" s="60"/>
      <c r="EG468" s="16"/>
      <c r="EH468" s="16"/>
      <c r="EI468" s="16"/>
      <c r="EJ468" s="16"/>
      <c r="EK468" s="16"/>
      <c r="EL468" s="17"/>
      <c r="EP468" s="24"/>
      <c r="EQ468" s="60"/>
      <c r="ER468" s="16"/>
      <c r="ES468" s="16"/>
      <c r="ET468" s="16"/>
      <c r="EU468" s="16"/>
      <c r="EV468" s="16"/>
      <c r="EW468" s="17"/>
      <c r="FA468" s="24"/>
      <c r="FB468" s="60"/>
      <c r="FC468" s="16"/>
      <c r="FD468" s="16"/>
      <c r="FE468" s="16"/>
      <c r="FF468" s="16"/>
      <c r="FG468" s="16"/>
      <c r="FH468" s="17"/>
      <c r="FL468" s="24"/>
      <c r="FM468" s="60"/>
      <c r="FN468" s="16"/>
      <c r="FO468" s="16"/>
      <c r="FP468" s="16"/>
      <c r="FQ468" s="16"/>
      <c r="FR468" s="16"/>
      <c r="FS468" s="17"/>
      <c r="FW468" s="24"/>
      <c r="FX468" s="60"/>
      <c r="FY468" s="16"/>
      <c r="FZ468" s="16"/>
      <c r="GA468" s="16"/>
      <c r="GB468" s="16"/>
      <c r="GC468" s="16"/>
      <c r="GD468" s="17"/>
      <c r="GH468" s="24"/>
      <c r="GI468" s="60"/>
      <c r="GJ468" s="16"/>
      <c r="GK468" s="16"/>
      <c r="GL468" s="16"/>
      <c r="GM468" s="16"/>
      <c r="GN468" s="16"/>
      <c r="GO468" s="17"/>
      <c r="GS468" s="24"/>
      <c r="GT468" s="60"/>
      <c r="GU468" s="16"/>
      <c r="GV468" s="16"/>
      <c r="GW468" s="16"/>
      <c r="GX468" s="16"/>
      <c r="GY468" s="16"/>
      <c r="GZ468" s="17"/>
      <c r="HD468" s="24"/>
      <c r="HE468" s="60"/>
      <c r="HF468" s="16"/>
      <c r="HG468" s="16"/>
      <c r="HH468" s="16"/>
      <c r="HI468" s="16"/>
      <c r="HJ468" s="16"/>
      <c r="HK468" s="17"/>
      <c r="HO468" s="24"/>
      <c r="HP468" s="60"/>
      <c r="HQ468" s="16"/>
      <c r="HR468" s="16"/>
      <c r="HS468" s="16"/>
      <c r="HT468" s="16"/>
      <c r="HU468" s="16"/>
      <c r="HV468" s="17"/>
      <c r="HZ468" s="24"/>
      <c r="IA468" s="60"/>
      <c r="IB468" s="16"/>
      <c r="IC468" s="16"/>
      <c r="ID468" s="16"/>
      <c r="IE468" s="16"/>
      <c r="IF468" s="16"/>
      <c r="IG468" s="17"/>
      <c r="IK468" s="24"/>
      <c r="IL468" s="60"/>
      <c r="IM468" s="16"/>
      <c r="IN468" s="16"/>
      <c r="IO468" s="16"/>
      <c r="IP468" s="16"/>
      <c r="IQ468" s="16"/>
      <c r="IR468" s="17"/>
      <c r="IV468" s="24"/>
      <c r="IW468" s="60"/>
      <c r="IX468" s="16"/>
      <c r="IY468" s="16"/>
      <c r="IZ468" s="16"/>
      <c r="JA468" s="16"/>
      <c r="JB468" s="16"/>
      <c r="JC468" s="17"/>
      <c r="JG468" s="24"/>
      <c r="JH468" s="60"/>
      <c r="JI468" s="16"/>
      <c r="JJ468" s="16"/>
      <c r="JK468" s="16"/>
      <c r="JL468" s="16"/>
      <c r="JM468" s="16"/>
      <c r="JN468" s="17"/>
      <c r="JR468" s="24"/>
      <c r="JS468" s="60"/>
      <c r="JT468" s="16"/>
      <c r="JU468" s="16"/>
      <c r="JV468" s="16"/>
      <c r="JW468" s="16"/>
      <c r="JX468" s="16"/>
      <c r="JY468" s="17"/>
      <c r="KC468" s="24"/>
      <c r="KD468" s="60"/>
      <c r="KE468" s="16"/>
      <c r="KF468" s="16"/>
      <c r="KG468" s="16"/>
      <c r="KH468" s="16"/>
      <c r="KI468" s="16"/>
      <c r="KJ468" s="17"/>
      <c r="KN468" s="24"/>
      <c r="KO468" s="60"/>
      <c r="KP468" s="16"/>
      <c r="KQ468" s="16"/>
      <c r="KR468" s="16"/>
      <c r="KS468" s="16"/>
      <c r="KT468" s="16"/>
      <c r="KU468" s="17"/>
      <c r="KY468" s="24"/>
      <c r="KZ468" s="60"/>
      <c r="LA468" s="16"/>
      <c r="LB468" s="16"/>
      <c r="LC468" s="16"/>
      <c r="LD468" s="16"/>
      <c r="LE468" s="16"/>
      <c r="LF468" s="17"/>
      <c r="LJ468" s="24"/>
      <c r="LK468" s="60"/>
      <c r="LL468" s="16"/>
      <c r="LM468" s="16"/>
      <c r="LN468" s="16"/>
      <c r="LO468" s="16"/>
      <c r="LP468" s="16"/>
      <c r="LQ468" s="17"/>
    </row>
    <row r="469">
      <c r="C469" s="31"/>
      <c r="D469" s="61"/>
      <c r="E469" s="16"/>
      <c r="F469" s="16"/>
      <c r="G469" s="21"/>
      <c r="H469" s="16"/>
      <c r="I469" s="16"/>
      <c r="J469" s="17"/>
      <c r="N469" s="17"/>
      <c r="O469" s="61"/>
      <c r="P469" s="16"/>
      <c r="Q469" s="16"/>
      <c r="R469" s="16"/>
      <c r="S469" s="16"/>
      <c r="T469" s="16"/>
      <c r="U469" s="17"/>
      <c r="Y469" s="24"/>
      <c r="Z469" s="61"/>
      <c r="AA469" s="16"/>
      <c r="AB469" s="16"/>
      <c r="AC469" s="16"/>
      <c r="AD469" s="16"/>
      <c r="AE469" s="16"/>
      <c r="AF469" s="17"/>
      <c r="AJ469" s="24"/>
      <c r="AK469" s="61"/>
      <c r="AL469" s="16"/>
      <c r="AM469" s="16"/>
      <c r="AN469" s="16"/>
      <c r="AO469" s="16"/>
      <c r="AP469" s="16"/>
      <c r="AQ469" s="17"/>
      <c r="AU469" s="24"/>
      <c r="AV469" s="61"/>
      <c r="AW469" s="16"/>
      <c r="AX469" s="16"/>
      <c r="AY469" s="16"/>
      <c r="AZ469" s="16"/>
      <c r="BA469" s="16"/>
      <c r="BB469" s="17"/>
      <c r="BF469" s="24"/>
      <c r="BG469" s="61"/>
      <c r="BH469" s="16"/>
      <c r="BI469" s="16"/>
      <c r="BJ469" s="16"/>
      <c r="BK469" s="16"/>
      <c r="BL469" s="16"/>
      <c r="BM469" s="17"/>
      <c r="BQ469" s="24"/>
      <c r="BR469" s="61"/>
      <c r="BS469" s="16"/>
      <c r="BT469" s="16"/>
      <c r="BU469" s="16"/>
      <c r="BV469" s="16"/>
      <c r="BW469" s="16"/>
      <c r="BX469" s="17"/>
      <c r="CB469" s="24"/>
      <c r="CC469" s="61"/>
      <c r="CD469" s="16"/>
      <c r="CE469" s="16"/>
      <c r="CF469" s="16"/>
      <c r="CG469" s="16"/>
      <c r="CH469" s="16"/>
      <c r="CI469" s="17"/>
      <c r="CM469" s="24"/>
      <c r="CN469" s="61"/>
      <c r="CO469" s="16"/>
      <c r="CP469" s="16"/>
      <c r="CQ469" s="16"/>
      <c r="CR469" s="16"/>
      <c r="CS469" s="16"/>
      <c r="CT469" s="17"/>
      <c r="CX469" s="24"/>
      <c r="CY469" s="60"/>
      <c r="CZ469" s="16"/>
      <c r="DA469" s="16"/>
      <c r="DB469" s="16"/>
      <c r="DC469" s="16"/>
      <c r="DD469" s="16"/>
      <c r="DE469" s="17"/>
      <c r="DI469" s="24"/>
      <c r="DJ469" s="60"/>
      <c r="DK469" s="16"/>
      <c r="DL469" s="16"/>
      <c r="DM469" s="16"/>
      <c r="DN469" s="16"/>
      <c r="DO469" s="16"/>
      <c r="DP469" s="17"/>
      <c r="DT469" s="24"/>
      <c r="DU469" s="60"/>
      <c r="DV469" s="16"/>
      <c r="DW469" s="16"/>
      <c r="DX469" s="16"/>
      <c r="DY469" s="16"/>
      <c r="DZ469" s="16"/>
      <c r="EA469" s="17"/>
      <c r="EE469" s="24"/>
      <c r="EF469" s="60"/>
      <c r="EG469" s="16"/>
      <c r="EH469" s="16"/>
      <c r="EI469" s="16"/>
      <c r="EJ469" s="16"/>
      <c r="EK469" s="16"/>
      <c r="EL469" s="17"/>
      <c r="EP469" s="24"/>
      <c r="EQ469" s="60"/>
      <c r="ER469" s="16"/>
      <c r="ES469" s="16"/>
      <c r="ET469" s="16"/>
      <c r="EU469" s="16"/>
      <c r="EV469" s="16"/>
      <c r="EW469" s="17"/>
      <c r="FA469" s="24"/>
      <c r="FB469" s="60"/>
      <c r="FC469" s="16"/>
      <c r="FD469" s="16"/>
      <c r="FE469" s="16"/>
      <c r="FF469" s="16"/>
      <c r="FG469" s="16"/>
      <c r="FH469" s="17"/>
      <c r="FL469" s="24"/>
      <c r="FM469" s="60"/>
      <c r="FN469" s="16"/>
      <c r="FO469" s="16"/>
      <c r="FP469" s="16"/>
      <c r="FQ469" s="16"/>
      <c r="FR469" s="16"/>
      <c r="FS469" s="17"/>
      <c r="FW469" s="24"/>
      <c r="FX469" s="60"/>
      <c r="FY469" s="16"/>
      <c r="FZ469" s="16"/>
      <c r="GA469" s="16"/>
      <c r="GB469" s="16"/>
      <c r="GC469" s="16"/>
      <c r="GD469" s="17"/>
      <c r="GH469" s="24"/>
      <c r="GI469" s="60"/>
      <c r="GJ469" s="16"/>
      <c r="GK469" s="16"/>
      <c r="GL469" s="16"/>
      <c r="GM469" s="16"/>
      <c r="GN469" s="16"/>
      <c r="GO469" s="17"/>
      <c r="GS469" s="24"/>
      <c r="GT469" s="60"/>
      <c r="GU469" s="16"/>
      <c r="GV469" s="16"/>
      <c r="GW469" s="16"/>
      <c r="GX469" s="16"/>
      <c r="GY469" s="16"/>
      <c r="GZ469" s="17"/>
      <c r="HD469" s="24"/>
      <c r="HE469" s="60"/>
      <c r="HF469" s="16"/>
      <c r="HG469" s="16"/>
      <c r="HH469" s="16"/>
      <c r="HI469" s="16"/>
      <c r="HJ469" s="16"/>
      <c r="HK469" s="17"/>
      <c r="HO469" s="24"/>
      <c r="HP469" s="60"/>
      <c r="HQ469" s="16"/>
      <c r="HR469" s="16"/>
      <c r="HS469" s="16"/>
      <c r="HT469" s="16"/>
      <c r="HU469" s="16"/>
      <c r="HV469" s="17"/>
      <c r="HZ469" s="24"/>
      <c r="IA469" s="60"/>
      <c r="IB469" s="16"/>
      <c r="IC469" s="16"/>
      <c r="ID469" s="16"/>
      <c r="IE469" s="16"/>
      <c r="IF469" s="16"/>
      <c r="IG469" s="17"/>
      <c r="IK469" s="24"/>
      <c r="IL469" s="60"/>
      <c r="IM469" s="16"/>
      <c r="IN469" s="16"/>
      <c r="IO469" s="16"/>
      <c r="IP469" s="16"/>
      <c r="IQ469" s="16"/>
      <c r="IR469" s="17"/>
      <c r="IV469" s="24"/>
      <c r="IW469" s="60"/>
      <c r="IX469" s="16"/>
      <c r="IY469" s="16"/>
      <c r="IZ469" s="16"/>
      <c r="JA469" s="16"/>
      <c r="JB469" s="16"/>
      <c r="JC469" s="17"/>
      <c r="JG469" s="24"/>
      <c r="JH469" s="60"/>
      <c r="JI469" s="16"/>
      <c r="JJ469" s="16"/>
      <c r="JK469" s="16"/>
      <c r="JL469" s="16"/>
      <c r="JM469" s="16"/>
      <c r="JN469" s="17"/>
      <c r="JR469" s="24"/>
      <c r="JS469" s="60"/>
      <c r="JT469" s="16"/>
      <c r="JU469" s="16"/>
      <c r="JV469" s="16"/>
      <c r="JW469" s="16"/>
      <c r="JX469" s="16"/>
      <c r="JY469" s="17"/>
      <c r="KC469" s="24"/>
      <c r="KD469" s="60"/>
      <c r="KE469" s="16"/>
      <c r="KF469" s="16"/>
      <c r="KG469" s="16"/>
      <c r="KH469" s="16"/>
      <c r="KI469" s="16"/>
      <c r="KJ469" s="17"/>
      <c r="KN469" s="24"/>
      <c r="KO469" s="60"/>
      <c r="KP469" s="16"/>
      <c r="KQ469" s="16"/>
      <c r="KR469" s="16"/>
      <c r="KS469" s="16"/>
      <c r="KT469" s="16"/>
      <c r="KU469" s="17"/>
      <c r="KY469" s="24"/>
      <c r="KZ469" s="60"/>
      <c r="LA469" s="16"/>
      <c r="LB469" s="16"/>
      <c r="LC469" s="16"/>
      <c r="LD469" s="16"/>
      <c r="LE469" s="16"/>
      <c r="LF469" s="17"/>
      <c r="LJ469" s="24"/>
      <c r="LK469" s="60"/>
      <c r="LL469" s="16"/>
      <c r="LM469" s="16"/>
      <c r="LN469" s="16"/>
      <c r="LO469" s="16"/>
      <c r="LP469" s="16"/>
      <c r="LQ469" s="17"/>
    </row>
    <row r="470">
      <c r="C470" s="31"/>
      <c r="D470" s="61"/>
      <c r="E470" s="16"/>
      <c r="F470" s="16"/>
      <c r="G470" s="21"/>
      <c r="H470" s="16"/>
      <c r="I470" s="16"/>
      <c r="J470" s="17"/>
      <c r="N470" s="17"/>
      <c r="O470" s="61"/>
      <c r="P470" s="16"/>
      <c r="Q470" s="16"/>
      <c r="R470" s="16"/>
      <c r="S470" s="16"/>
      <c r="T470" s="16"/>
      <c r="U470" s="17"/>
      <c r="Y470" s="24"/>
      <c r="Z470" s="61"/>
      <c r="AA470" s="16"/>
      <c r="AB470" s="16"/>
      <c r="AC470" s="16"/>
      <c r="AD470" s="16"/>
      <c r="AE470" s="16"/>
      <c r="AF470" s="17"/>
      <c r="AJ470" s="24"/>
      <c r="AK470" s="61"/>
      <c r="AL470" s="16"/>
      <c r="AM470" s="16"/>
      <c r="AN470" s="16"/>
      <c r="AO470" s="16"/>
      <c r="AP470" s="16"/>
      <c r="AQ470" s="17"/>
      <c r="AU470" s="24"/>
      <c r="AV470" s="61"/>
      <c r="AW470" s="16"/>
      <c r="AX470" s="16"/>
      <c r="AY470" s="16"/>
      <c r="AZ470" s="16"/>
      <c r="BA470" s="16"/>
      <c r="BB470" s="17"/>
      <c r="BF470" s="24"/>
      <c r="BG470" s="61"/>
      <c r="BH470" s="16"/>
      <c r="BI470" s="16"/>
      <c r="BJ470" s="16"/>
      <c r="BK470" s="16"/>
      <c r="BL470" s="16"/>
      <c r="BM470" s="17"/>
      <c r="BQ470" s="24"/>
      <c r="BR470" s="61"/>
      <c r="BS470" s="16"/>
      <c r="BT470" s="16"/>
      <c r="BU470" s="16"/>
      <c r="BV470" s="16"/>
      <c r="BW470" s="16"/>
      <c r="BX470" s="17"/>
      <c r="CB470" s="24"/>
      <c r="CC470" s="61"/>
      <c r="CD470" s="16"/>
      <c r="CE470" s="16"/>
      <c r="CF470" s="16"/>
      <c r="CG470" s="16"/>
      <c r="CH470" s="16"/>
      <c r="CI470" s="17"/>
      <c r="CM470" s="24"/>
      <c r="CN470" s="61"/>
      <c r="CO470" s="16"/>
      <c r="CP470" s="16"/>
      <c r="CQ470" s="16"/>
      <c r="CR470" s="16"/>
      <c r="CS470" s="16"/>
      <c r="CT470" s="17"/>
      <c r="CX470" s="24"/>
      <c r="CY470" s="60"/>
      <c r="CZ470" s="16"/>
      <c r="DA470" s="16"/>
      <c r="DB470" s="16"/>
      <c r="DC470" s="16"/>
      <c r="DD470" s="16"/>
      <c r="DE470" s="17"/>
      <c r="DI470" s="24"/>
      <c r="DJ470" s="60"/>
      <c r="DK470" s="16"/>
      <c r="DL470" s="16"/>
      <c r="DM470" s="16"/>
      <c r="DN470" s="16"/>
      <c r="DO470" s="16"/>
      <c r="DP470" s="17"/>
      <c r="DT470" s="24"/>
      <c r="DU470" s="60"/>
      <c r="DV470" s="16"/>
      <c r="DW470" s="16"/>
      <c r="DX470" s="16"/>
      <c r="DY470" s="16"/>
      <c r="DZ470" s="16"/>
      <c r="EA470" s="17"/>
      <c r="EE470" s="24"/>
      <c r="EF470" s="60"/>
      <c r="EG470" s="16"/>
      <c r="EH470" s="16"/>
      <c r="EI470" s="16"/>
      <c r="EJ470" s="16"/>
      <c r="EK470" s="16"/>
      <c r="EL470" s="17"/>
      <c r="EP470" s="24"/>
      <c r="EQ470" s="60"/>
      <c r="ER470" s="16"/>
      <c r="ES470" s="16"/>
      <c r="ET470" s="16"/>
      <c r="EU470" s="16"/>
      <c r="EV470" s="16"/>
      <c r="EW470" s="17"/>
      <c r="FA470" s="24"/>
      <c r="FB470" s="60"/>
      <c r="FC470" s="16"/>
      <c r="FD470" s="16"/>
      <c r="FE470" s="16"/>
      <c r="FF470" s="16"/>
      <c r="FG470" s="16"/>
      <c r="FH470" s="17"/>
      <c r="FL470" s="24"/>
      <c r="FM470" s="60"/>
      <c r="FN470" s="16"/>
      <c r="FO470" s="16"/>
      <c r="FP470" s="16"/>
      <c r="FQ470" s="16"/>
      <c r="FR470" s="16"/>
      <c r="FS470" s="17"/>
      <c r="FW470" s="24"/>
      <c r="FX470" s="60"/>
      <c r="FY470" s="16"/>
      <c r="FZ470" s="16"/>
      <c r="GA470" s="16"/>
      <c r="GB470" s="16"/>
      <c r="GC470" s="16"/>
      <c r="GD470" s="17"/>
      <c r="GH470" s="24"/>
      <c r="GI470" s="60"/>
      <c r="GJ470" s="16"/>
      <c r="GK470" s="16"/>
      <c r="GL470" s="16"/>
      <c r="GM470" s="16"/>
      <c r="GN470" s="16"/>
      <c r="GO470" s="17"/>
      <c r="GS470" s="24"/>
      <c r="GT470" s="60"/>
      <c r="GU470" s="16"/>
      <c r="GV470" s="16"/>
      <c r="GW470" s="16"/>
      <c r="GX470" s="16"/>
      <c r="GY470" s="16"/>
      <c r="GZ470" s="17"/>
      <c r="HD470" s="24"/>
      <c r="HE470" s="60"/>
      <c r="HF470" s="16"/>
      <c r="HG470" s="16"/>
      <c r="HH470" s="16"/>
      <c r="HI470" s="16"/>
      <c r="HJ470" s="16"/>
      <c r="HK470" s="17"/>
      <c r="HO470" s="24"/>
      <c r="HP470" s="60"/>
      <c r="HQ470" s="16"/>
      <c r="HR470" s="16"/>
      <c r="HS470" s="16"/>
      <c r="HT470" s="16"/>
      <c r="HU470" s="16"/>
      <c r="HV470" s="17"/>
      <c r="HZ470" s="24"/>
      <c r="IA470" s="60"/>
      <c r="IB470" s="16"/>
      <c r="IC470" s="16"/>
      <c r="ID470" s="16"/>
      <c r="IE470" s="16"/>
      <c r="IF470" s="16"/>
      <c r="IG470" s="17"/>
      <c r="IK470" s="24"/>
      <c r="IL470" s="60"/>
      <c r="IM470" s="16"/>
      <c r="IN470" s="16"/>
      <c r="IO470" s="16"/>
      <c r="IP470" s="16"/>
      <c r="IQ470" s="16"/>
      <c r="IR470" s="17"/>
      <c r="IV470" s="24"/>
      <c r="IW470" s="60"/>
      <c r="IX470" s="16"/>
      <c r="IY470" s="16"/>
      <c r="IZ470" s="16"/>
      <c r="JA470" s="16"/>
      <c r="JB470" s="16"/>
      <c r="JC470" s="17"/>
      <c r="JG470" s="24"/>
      <c r="JH470" s="60"/>
      <c r="JI470" s="16"/>
      <c r="JJ470" s="16"/>
      <c r="JK470" s="16"/>
      <c r="JL470" s="16"/>
      <c r="JM470" s="16"/>
      <c r="JN470" s="17"/>
      <c r="JR470" s="24"/>
      <c r="JS470" s="60"/>
      <c r="JT470" s="16"/>
      <c r="JU470" s="16"/>
      <c r="JV470" s="16"/>
      <c r="JW470" s="16"/>
      <c r="JX470" s="16"/>
      <c r="JY470" s="17"/>
      <c r="KC470" s="24"/>
      <c r="KD470" s="60"/>
      <c r="KE470" s="16"/>
      <c r="KF470" s="16"/>
      <c r="KG470" s="16"/>
      <c r="KH470" s="16"/>
      <c r="KI470" s="16"/>
      <c r="KJ470" s="17"/>
      <c r="KN470" s="24"/>
      <c r="KO470" s="60"/>
      <c r="KP470" s="16"/>
      <c r="KQ470" s="16"/>
      <c r="KR470" s="16"/>
      <c r="KS470" s="16"/>
      <c r="KT470" s="16"/>
      <c r="KU470" s="17"/>
      <c r="KY470" s="24"/>
      <c r="KZ470" s="60"/>
      <c r="LA470" s="16"/>
      <c r="LB470" s="16"/>
      <c r="LC470" s="16"/>
      <c r="LD470" s="16"/>
      <c r="LE470" s="16"/>
      <c r="LF470" s="17"/>
      <c r="LJ470" s="24"/>
      <c r="LK470" s="60"/>
      <c r="LL470" s="16"/>
      <c r="LM470" s="16"/>
      <c r="LN470" s="16"/>
      <c r="LO470" s="16"/>
      <c r="LP470" s="16"/>
      <c r="LQ470" s="17"/>
    </row>
    <row r="471">
      <c r="C471" s="31"/>
      <c r="D471" s="61"/>
      <c r="E471" s="16"/>
      <c r="F471" s="16"/>
      <c r="G471" s="21"/>
      <c r="H471" s="16"/>
      <c r="I471" s="16"/>
      <c r="J471" s="17"/>
      <c r="N471" s="17"/>
      <c r="O471" s="61"/>
      <c r="P471" s="16"/>
      <c r="Q471" s="16"/>
      <c r="R471" s="16"/>
      <c r="S471" s="16"/>
      <c r="T471" s="16"/>
      <c r="U471" s="17"/>
      <c r="Y471" s="24"/>
      <c r="Z471" s="61"/>
      <c r="AA471" s="16"/>
      <c r="AB471" s="16"/>
      <c r="AC471" s="16"/>
      <c r="AD471" s="16"/>
      <c r="AE471" s="16"/>
      <c r="AF471" s="17"/>
      <c r="AJ471" s="24"/>
      <c r="AK471" s="61"/>
      <c r="AL471" s="16"/>
      <c r="AM471" s="16"/>
      <c r="AN471" s="16"/>
      <c r="AO471" s="16"/>
      <c r="AP471" s="16"/>
      <c r="AQ471" s="17"/>
      <c r="AU471" s="24"/>
      <c r="AV471" s="61"/>
      <c r="AW471" s="16"/>
      <c r="AX471" s="16"/>
      <c r="AY471" s="16"/>
      <c r="AZ471" s="16"/>
      <c r="BA471" s="16"/>
      <c r="BB471" s="17"/>
      <c r="BF471" s="24"/>
      <c r="BG471" s="61"/>
      <c r="BH471" s="16"/>
      <c r="BI471" s="16"/>
      <c r="BJ471" s="16"/>
      <c r="BK471" s="16"/>
      <c r="BL471" s="16"/>
      <c r="BM471" s="17"/>
      <c r="BQ471" s="24"/>
      <c r="BR471" s="61"/>
      <c r="BS471" s="16"/>
      <c r="BT471" s="16"/>
      <c r="BU471" s="16"/>
      <c r="BV471" s="16"/>
      <c r="BW471" s="16"/>
      <c r="BX471" s="17"/>
      <c r="CB471" s="24"/>
      <c r="CC471" s="61"/>
      <c r="CD471" s="16"/>
      <c r="CE471" s="16"/>
      <c r="CF471" s="16"/>
      <c r="CG471" s="16"/>
      <c r="CH471" s="16"/>
      <c r="CI471" s="17"/>
      <c r="CM471" s="24"/>
      <c r="CN471" s="61"/>
      <c r="CO471" s="16"/>
      <c r="CP471" s="16"/>
      <c r="CQ471" s="16"/>
      <c r="CR471" s="16"/>
      <c r="CS471" s="16"/>
      <c r="CT471" s="17"/>
      <c r="CX471" s="24"/>
      <c r="CY471" s="60"/>
      <c r="CZ471" s="16"/>
      <c r="DA471" s="16"/>
      <c r="DB471" s="16"/>
      <c r="DC471" s="16"/>
      <c r="DD471" s="16"/>
      <c r="DE471" s="17"/>
      <c r="DI471" s="24"/>
      <c r="DJ471" s="60"/>
      <c r="DK471" s="16"/>
      <c r="DL471" s="16"/>
      <c r="DM471" s="16"/>
      <c r="DN471" s="16"/>
      <c r="DO471" s="16"/>
      <c r="DP471" s="17"/>
      <c r="DT471" s="24"/>
      <c r="DU471" s="60"/>
      <c r="DV471" s="16"/>
      <c r="DW471" s="16"/>
      <c r="DX471" s="16"/>
      <c r="DY471" s="16"/>
      <c r="DZ471" s="16"/>
      <c r="EA471" s="17"/>
      <c r="EE471" s="24"/>
      <c r="EF471" s="60"/>
      <c r="EG471" s="16"/>
      <c r="EH471" s="16"/>
      <c r="EI471" s="16"/>
      <c r="EJ471" s="16"/>
      <c r="EK471" s="16"/>
      <c r="EL471" s="17"/>
      <c r="EP471" s="24"/>
      <c r="EQ471" s="60"/>
      <c r="ER471" s="16"/>
      <c r="ES471" s="16"/>
      <c r="ET471" s="16"/>
      <c r="EU471" s="16"/>
      <c r="EV471" s="16"/>
      <c r="EW471" s="17"/>
      <c r="FA471" s="24"/>
      <c r="FB471" s="60"/>
      <c r="FC471" s="16"/>
      <c r="FD471" s="16"/>
      <c r="FE471" s="16"/>
      <c r="FF471" s="16"/>
      <c r="FG471" s="16"/>
      <c r="FH471" s="17"/>
      <c r="FL471" s="24"/>
      <c r="FM471" s="60"/>
      <c r="FN471" s="16"/>
      <c r="FO471" s="16"/>
      <c r="FP471" s="16"/>
      <c r="FQ471" s="16"/>
      <c r="FR471" s="16"/>
      <c r="FS471" s="17"/>
      <c r="FW471" s="24"/>
      <c r="FX471" s="60"/>
      <c r="FY471" s="16"/>
      <c r="FZ471" s="16"/>
      <c r="GA471" s="16"/>
      <c r="GB471" s="16"/>
      <c r="GC471" s="16"/>
      <c r="GD471" s="17"/>
      <c r="GH471" s="24"/>
      <c r="GI471" s="60"/>
      <c r="GJ471" s="16"/>
      <c r="GK471" s="16"/>
      <c r="GL471" s="16"/>
      <c r="GM471" s="16"/>
      <c r="GN471" s="16"/>
      <c r="GO471" s="17"/>
      <c r="GS471" s="24"/>
      <c r="GT471" s="60"/>
      <c r="GU471" s="16"/>
      <c r="GV471" s="16"/>
      <c r="GW471" s="16"/>
      <c r="GX471" s="16"/>
      <c r="GY471" s="16"/>
      <c r="GZ471" s="17"/>
      <c r="HD471" s="24"/>
      <c r="HE471" s="60"/>
      <c r="HF471" s="16"/>
      <c r="HG471" s="16"/>
      <c r="HH471" s="16"/>
      <c r="HI471" s="16"/>
      <c r="HJ471" s="16"/>
      <c r="HK471" s="17"/>
      <c r="HO471" s="24"/>
      <c r="HP471" s="60"/>
      <c r="HQ471" s="16"/>
      <c r="HR471" s="16"/>
      <c r="HS471" s="16"/>
      <c r="HT471" s="16"/>
      <c r="HU471" s="16"/>
      <c r="HV471" s="17"/>
      <c r="HZ471" s="24"/>
      <c r="IA471" s="60"/>
      <c r="IB471" s="16"/>
      <c r="IC471" s="16"/>
      <c r="ID471" s="16"/>
      <c r="IE471" s="16"/>
      <c r="IF471" s="16"/>
      <c r="IG471" s="17"/>
      <c r="IK471" s="24"/>
      <c r="IL471" s="60"/>
      <c r="IM471" s="16"/>
      <c r="IN471" s="16"/>
      <c r="IO471" s="16"/>
      <c r="IP471" s="16"/>
      <c r="IQ471" s="16"/>
      <c r="IR471" s="17"/>
      <c r="IV471" s="24"/>
      <c r="IW471" s="60"/>
      <c r="IX471" s="16"/>
      <c r="IY471" s="16"/>
      <c r="IZ471" s="16"/>
      <c r="JA471" s="16"/>
      <c r="JB471" s="16"/>
      <c r="JC471" s="17"/>
      <c r="JG471" s="24"/>
      <c r="JH471" s="60"/>
      <c r="JI471" s="16"/>
      <c r="JJ471" s="16"/>
      <c r="JK471" s="16"/>
      <c r="JL471" s="16"/>
      <c r="JM471" s="16"/>
      <c r="JN471" s="17"/>
      <c r="JR471" s="24"/>
      <c r="JS471" s="60"/>
      <c r="JT471" s="16"/>
      <c r="JU471" s="16"/>
      <c r="JV471" s="16"/>
      <c r="JW471" s="16"/>
      <c r="JX471" s="16"/>
      <c r="JY471" s="17"/>
      <c r="KC471" s="24"/>
      <c r="KD471" s="60"/>
      <c r="KE471" s="16"/>
      <c r="KF471" s="16"/>
      <c r="KG471" s="16"/>
      <c r="KH471" s="16"/>
      <c r="KI471" s="16"/>
      <c r="KJ471" s="17"/>
      <c r="KN471" s="24"/>
      <c r="KO471" s="60"/>
      <c r="KP471" s="16"/>
      <c r="KQ471" s="16"/>
      <c r="KR471" s="16"/>
      <c r="KS471" s="16"/>
      <c r="KT471" s="16"/>
      <c r="KU471" s="17"/>
      <c r="KY471" s="24"/>
      <c r="KZ471" s="60"/>
      <c r="LA471" s="16"/>
      <c r="LB471" s="16"/>
      <c r="LC471" s="16"/>
      <c r="LD471" s="16"/>
      <c r="LE471" s="16"/>
      <c r="LF471" s="17"/>
      <c r="LJ471" s="24"/>
      <c r="LK471" s="60"/>
      <c r="LL471" s="16"/>
      <c r="LM471" s="16"/>
      <c r="LN471" s="16"/>
      <c r="LO471" s="16"/>
      <c r="LP471" s="16"/>
      <c r="LQ471" s="17"/>
    </row>
    <row r="472">
      <c r="C472" s="31"/>
      <c r="D472" s="61"/>
      <c r="E472" s="16"/>
      <c r="F472" s="16"/>
      <c r="G472" s="21"/>
      <c r="H472" s="16"/>
      <c r="I472" s="16"/>
      <c r="J472" s="17"/>
      <c r="N472" s="17"/>
      <c r="O472" s="61"/>
      <c r="P472" s="16"/>
      <c r="Q472" s="16"/>
      <c r="R472" s="16"/>
      <c r="S472" s="16"/>
      <c r="T472" s="16"/>
      <c r="U472" s="17"/>
      <c r="Y472" s="24"/>
      <c r="Z472" s="61"/>
      <c r="AA472" s="16"/>
      <c r="AB472" s="16"/>
      <c r="AC472" s="16"/>
      <c r="AD472" s="16"/>
      <c r="AE472" s="16"/>
      <c r="AF472" s="17"/>
      <c r="AJ472" s="24"/>
      <c r="AK472" s="61"/>
      <c r="AL472" s="16"/>
      <c r="AM472" s="16"/>
      <c r="AN472" s="16"/>
      <c r="AO472" s="16"/>
      <c r="AP472" s="16"/>
      <c r="AQ472" s="17"/>
      <c r="AU472" s="24"/>
      <c r="AV472" s="61"/>
      <c r="AW472" s="16"/>
      <c r="AX472" s="16"/>
      <c r="AY472" s="16"/>
      <c r="AZ472" s="16"/>
      <c r="BA472" s="16"/>
      <c r="BB472" s="17"/>
      <c r="BF472" s="24"/>
      <c r="BG472" s="61"/>
      <c r="BH472" s="16"/>
      <c r="BI472" s="16"/>
      <c r="BJ472" s="16"/>
      <c r="BK472" s="16"/>
      <c r="BL472" s="16"/>
      <c r="BM472" s="17"/>
      <c r="BQ472" s="24"/>
      <c r="BR472" s="61"/>
      <c r="BS472" s="16"/>
      <c r="BT472" s="16"/>
      <c r="BU472" s="16"/>
      <c r="BV472" s="16"/>
      <c r="BW472" s="16"/>
      <c r="BX472" s="17"/>
      <c r="CB472" s="24"/>
      <c r="CC472" s="61"/>
      <c r="CD472" s="16"/>
      <c r="CE472" s="16"/>
      <c r="CF472" s="16"/>
      <c r="CG472" s="16"/>
      <c r="CH472" s="16"/>
      <c r="CI472" s="17"/>
      <c r="CM472" s="24"/>
      <c r="CN472" s="61"/>
      <c r="CO472" s="16"/>
      <c r="CP472" s="16"/>
      <c r="CQ472" s="16"/>
      <c r="CR472" s="16"/>
      <c r="CS472" s="16"/>
      <c r="CT472" s="17"/>
      <c r="CX472" s="24"/>
      <c r="CY472" s="60"/>
      <c r="CZ472" s="16"/>
      <c r="DA472" s="16"/>
      <c r="DB472" s="16"/>
      <c r="DC472" s="16"/>
      <c r="DD472" s="16"/>
      <c r="DE472" s="17"/>
      <c r="DI472" s="24"/>
      <c r="DJ472" s="60"/>
      <c r="DK472" s="16"/>
      <c r="DL472" s="16"/>
      <c r="DM472" s="16"/>
      <c r="DN472" s="16"/>
      <c r="DO472" s="16"/>
      <c r="DP472" s="17"/>
      <c r="DT472" s="24"/>
      <c r="DU472" s="60"/>
      <c r="DV472" s="16"/>
      <c r="DW472" s="16"/>
      <c r="DX472" s="16"/>
      <c r="DY472" s="16"/>
      <c r="DZ472" s="16"/>
      <c r="EA472" s="17"/>
      <c r="EE472" s="24"/>
      <c r="EF472" s="60"/>
      <c r="EG472" s="16"/>
      <c r="EH472" s="16"/>
      <c r="EI472" s="16"/>
      <c r="EJ472" s="16"/>
      <c r="EK472" s="16"/>
      <c r="EL472" s="17"/>
      <c r="EP472" s="24"/>
      <c r="EQ472" s="60"/>
      <c r="ER472" s="16"/>
      <c r="ES472" s="16"/>
      <c r="ET472" s="16"/>
      <c r="EU472" s="16"/>
      <c r="EV472" s="16"/>
      <c r="EW472" s="17"/>
      <c r="FA472" s="24"/>
      <c r="FB472" s="60"/>
      <c r="FC472" s="16"/>
      <c r="FD472" s="16"/>
      <c r="FE472" s="16"/>
      <c r="FF472" s="16"/>
      <c r="FG472" s="16"/>
      <c r="FH472" s="17"/>
      <c r="FL472" s="24"/>
      <c r="FM472" s="60"/>
      <c r="FN472" s="16"/>
      <c r="FO472" s="16"/>
      <c r="FP472" s="16"/>
      <c r="FQ472" s="16"/>
      <c r="FR472" s="16"/>
      <c r="FS472" s="17"/>
      <c r="FW472" s="24"/>
      <c r="FX472" s="60"/>
      <c r="FY472" s="16"/>
      <c r="FZ472" s="16"/>
      <c r="GA472" s="16"/>
      <c r="GB472" s="16"/>
      <c r="GC472" s="16"/>
      <c r="GD472" s="17"/>
      <c r="GH472" s="24"/>
      <c r="GI472" s="60"/>
      <c r="GJ472" s="16"/>
      <c r="GK472" s="16"/>
      <c r="GL472" s="16"/>
      <c r="GM472" s="16"/>
      <c r="GN472" s="16"/>
      <c r="GO472" s="17"/>
      <c r="GS472" s="24"/>
      <c r="GT472" s="60"/>
      <c r="GU472" s="16"/>
      <c r="GV472" s="16"/>
      <c r="GW472" s="16"/>
      <c r="GX472" s="16"/>
      <c r="GY472" s="16"/>
      <c r="GZ472" s="17"/>
      <c r="HD472" s="24"/>
      <c r="HE472" s="60"/>
      <c r="HF472" s="16"/>
      <c r="HG472" s="16"/>
      <c r="HH472" s="16"/>
      <c r="HI472" s="16"/>
      <c r="HJ472" s="16"/>
      <c r="HK472" s="17"/>
      <c r="HO472" s="24"/>
      <c r="HP472" s="60"/>
      <c r="HQ472" s="16"/>
      <c r="HR472" s="16"/>
      <c r="HS472" s="16"/>
      <c r="HT472" s="16"/>
      <c r="HU472" s="16"/>
      <c r="HV472" s="17"/>
      <c r="HZ472" s="24"/>
      <c r="IA472" s="60"/>
      <c r="IB472" s="16"/>
      <c r="IC472" s="16"/>
      <c r="ID472" s="16"/>
      <c r="IE472" s="16"/>
      <c r="IF472" s="16"/>
      <c r="IG472" s="17"/>
      <c r="IK472" s="24"/>
      <c r="IL472" s="60"/>
      <c r="IM472" s="16"/>
      <c r="IN472" s="16"/>
      <c r="IO472" s="16"/>
      <c r="IP472" s="16"/>
      <c r="IQ472" s="16"/>
      <c r="IR472" s="17"/>
      <c r="IV472" s="24"/>
      <c r="IW472" s="60"/>
      <c r="IX472" s="16"/>
      <c r="IY472" s="16"/>
      <c r="IZ472" s="16"/>
      <c r="JA472" s="16"/>
      <c r="JB472" s="16"/>
      <c r="JC472" s="17"/>
      <c r="JG472" s="24"/>
      <c r="JH472" s="60"/>
      <c r="JI472" s="16"/>
      <c r="JJ472" s="16"/>
      <c r="JK472" s="16"/>
      <c r="JL472" s="16"/>
      <c r="JM472" s="16"/>
      <c r="JN472" s="17"/>
      <c r="JR472" s="24"/>
      <c r="JS472" s="60"/>
      <c r="JT472" s="16"/>
      <c r="JU472" s="16"/>
      <c r="JV472" s="16"/>
      <c r="JW472" s="16"/>
      <c r="JX472" s="16"/>
      <c r="JY472" s="17"/>
      <c r="KC472" s="24"/>
      <c r="KD472" s="60"/>
      <c r="KE472" s="16"/>
      <c r="KF472" s="16"/>
      <c r="KG472" s="16"/>
      <c r="KH472" s="16"/>
      <c r="KI472" s="16"/>
      <c r="KJ472" s="17"/>
      <c r="KN472" s="24"/>
      <c r="KO472" s="60"/>
      <c r="KP472" s="16"/>
      <c r="KQ472" s="16"/>
      <c r="KR472" s="16"/>
      <c r="KS472" s="16"/>
      <c r="KT472" s="16"/>
      <c r="KU472" s="17"/>
      <c r="KY472" s="24"/>
      <c r="KZ472" s="60"/>
      <c r="LA472" s="16"/>
      <c r="LB472" s="16"/>
      <c r="LC472" s="16"/>
      <c r="LD472" s="16"/>
      <c r="LE472" s="16"/>
      <c r="LF472" s="17"/>
      <c r="LJ472" s="24"/>
      <c r="LK472" s="60"/>
      <c r="LL472" s="16"/>
      <c r="LM472" s="16"/>
      <c r="LN472" s="16"/>
      <c r="LO472" s="16"/>
      <c r="LP472" s="16"/>
      <c r="LQ472" s="17"/>
    </row>
    <row r="473">
      <c r="C473" s="31"/>
      <c r="D473" s="61"/>
      <c r="E473" s="16"/>
      <c r="F473" s="16"/>
      <c r="G473" s="21"/>
      <c r="H473" s="16"/>
      <c r="I473" s="16"/>
      <c r="J473" s="17"/>
      <c r="N473" s="17"/>
      <c r="O473" s="61"/>
      <c r="P473" s="16"/>
      <c r="Q473" s="16"/>
      <c r="R473" s="16"/>
      <c r="S473" s="16"/>
      <c r="T473" s="16"/>
      <c r="U473" s="17"/>
      <c r="Y473" s="24"/>
      <c r="Z473" s="61"/>
      <c r="AA473" s="16"/>
      <c r="AB473" s="16"/>
      <c r="AC473" s="16"/>
      <c r="AD473" s="16"/>
      <c r="AE473" s="16"/>
      <c r="AF473" s="17"/>
      <c r="AJ473" s="24"/>
      <c r="AK473" s="61"/>
      <c r="AL473" s="16"/>
      <c r="AM473" s="16"/>
      <c r="AN473" s="16"/>
      <c r="AO473" s="16"/>
      <c r="AP473" s="16"/>
      <c r="AQ473" s="17"/>
      <c r="AU473" s="24"/>
      <c r="AV473" s="61"/>
      <c r="AW473" s="16"/>
      <c r="AX473" s="16"/>
      <c r="AY473" s="16"/>
      <c r="AZ473" s="16"/>
      <c r="BA473" s="16"/>
      <c r="BB473" s="17"/>
      <c r="BF473" s="24"/>
      <c r="BG473" s="61"/>
      <c r="BH473" s="16"/>
      <c r="BI473" s="16"/>
      <c r="BJ473" s="16"/>
      <c r="BK473" s="16"/>
      <c r="BL473" s="16"/>
      <c r="BM473" s="17"/>
      <c r="BQ473" s="24"/>
      <c r="BR473" s="61"/>
      <c r="BS473" s="16"/>
      <c r="BT473" s="16"/>
      <c r="BU473" s="16"/>
      <c r="BV473" s="16"/>
      <c r="BW473" s="16"/>
      <c r="BX473" s="17"/>
      <c r="CB473" s="24"/>
      <c r="CC473" s="61"/>
      <c r="CD473" s="16"/>
      <c r="CE473" s="16"/>
      <c r="CF473" s="16"/>
      <c r="CG473" s="16"/>
      <c r="CH473" s="16"/>
      <c r="CI473" s="17"/>
      <c r="CM473" s="24"/>
      <c r="CN473" s="61"/>
      <c r="CO473" s="16"/>
      <c r="CP473" s="16"/>
      <c r="CQ473" s="16"/>
      <c r="CR473" s="16"/>
      <c r="CS473" s="16"/>
      <c r="CT473" s="17"/>
      <c r="CX473" s="24"/>
      <c r="CY473" s="60"/>
      <c r="CZ473" s="16"/>
      <c r="DA473" s="16"/>
      <c r="DB473" s="16"/>
      <c r="DC473" s="16"/>
      <c r="DD473" s="16"/>
      <c r="DE473" s="17"/>
      <c r="DI473" s="24"/>
      <c r="DJ473" s="60"/>
      <c r="DK473" s="16"/>
      <c r="DL473" s="16"/>
      <c r="DM473" s="16"/>
      <c r="DN473" s="16"/>
      <c r="DO473" s="16"/>
      <c r="DP473" s="17"/>
      <c r="DT473" s="24"/>
      <c r="DU473" s="60"/>
      <c r="DV473" s="16"/>
      <c r="DW473" s="16"/>
      <c r="DX473" s="16"/>
      <c r="DY473" s="16"/>
      <c r="DZ473" s="16"/>
      <c r="EA473" s="17"/>
      <c r="EE473" s="24"/>
      <c r="EF473" s="60"/>
      <c r="EG473" s="16"/>
      <c r="EH473" s="16"/>
      <c r="EI473" s="16"/>
      <c r="EJ473" s="16"/>
      <c r="EK473" s="16"/>
      <c r="EL473" s="17"/>
      <c r="EP473" s="24"/>
      <c r="EQ473" s="60"/>
      <c r="ER473" s="16"/>
      <c r="ES473" s="16"/>
      <c r="ET473" s="16"/>
      <c r="EU473" s="16"/>
      <c r="EV473" s="16"/>
      <c r="EW473" s="17"/>
      <c r="FA473" s="24"/>
      <c r="FB473" s="60"/>
      <c r="FC473" s="16"/>
      <c r="FD473" s="16"/>
      <c r="FE473" s="16"/>
      <c r="FF473" s="16"/>
      <c r="FG473" s="16"/>
      <c r="FH473" s="17"/>
      <c r="FL473" s="24"/>
      <c r="FM473" s="60"/>
      <c r="FN473" s="16"/>
      <c r="FO473" s="16"/>
      <c r="FP473" s="16"/>
      <c r="FQ473" s="16"/>
      <c r="FR473" s="16"/>
      <c r="FS473" s="17"/>
      <c r="FW473" s="24"/>
      <c r="FX473" s="60"/>
      <c r="FY473" s="16"/>
      <c r="FZ473" s="16"/>
      <c r="GA473" s="16"/>
      <c r="GB473" s="16"/>
      <c r="GC473" s="16"/>
      <c r="GD473" s="17"/>
      <c r="GH473" s="24"/>
      <c r="GI473" s="60"/>
      <c r="GJ473" s="16"/>
      <c r="GK473" s="16"/>
      <c r="GL473" s="16"/>
      <c r="GM473" s="16"/>
      <c r="GN473" s="16"/>
      <c r="GO473" s="17"/>
      <c r="GS473" s="24"/>
      <c r="GT473" s="60"/>
      <c r="GU473" s="16"/>
      <c r="GV473" s="16"/>
      <c r="GW473" s="16"/>
      <c r="GX473" s="16"/>
      <c r="GY473" s="16"/>
      <c r="GZ473" s="17"/>
      <c r="HD473" s="24"/>
      <c r="HE473" s="60"/>
      <c r="HF473" s="16"/>
      <c r="HG473" s="16"/>
      <c r="HH473" s="16"/>
      <c r="HI473" s="16"/>
      <c r="HJ473" s="16"/>
      <c r="HK473" s="17"/>
      <c r="HO473" s="24"/>
      <c r="HP473" s="60"/>
      <c r="HQ473" s="16"/>
      <c r="HR473" s="16"/>
      <c r="HS473" s="16"/>
      <c r="HT473" s="16"/>
      <c r="HU473" s="16"/>
      <c r="HV473" s="17"/>
      <c r="HZ473" s="24"/>
      <c r="IA473" s="60"/>
      <c r="IB473" s="16"/>
      <c r="IC473" s="16"/>
      <c r="ID473" s="16"/>
      <c r="IE473" s="16"/>
      <c r="IF473" s="16"/>
      <c r="IG473" s="17"/>
      <c r="IK473" s="24"/>
      <c r="IL473" s="60"/>
      <c r="IM473" s="16"/>
      <c r="IN473" s="16"/>
      <c r="IO473" s="16"/>
      <c r="IP473" s="16"/>
      <c r="IQ473" s="16"/>
      <c r="IR473" s="17"/>
      <c r="IV473" s="24"/>
      <c r="IW473" s="60"/>
      <c r="IX473" s="16"/>
      <c r="IY473" s="16"/>
      <c r="IZ473" s="16"/>
      <c r="JA473" s="16"/>
      <c r="JB473" s="16"/>
      <c r="JC473" s="17"/>
      <c r="JG473" s="24"/>
      <c r="JH473" s="60"/>
      <c r="JI473" s="16"/>
      <c r="JJ473" s="16"/>
      <c r="JK473" s="16"/>
      <c r="JL473" s="16"/>
      <c r="JM473" s="16"/>
      <c r="JN473" s="17"/>
      <c r="JR473" s="24"/>
      <c r="JS473" s="60"/>
      <c r="JT473" s="16"/>
      <c r="JU473" s="16"/>
      <c r="JV473" s="16"/>
      <c r="JW473" s="16"/>
      <c r="JX473" s="16"/>
      <c r="JY473" s="17"/>
      <c r="KC473" s="24"/>
      <c r="KD473" s="60"/>
      <c r="KE473" s="16"/>
      <c r="KF473" s="16"/>
      <c r="KG473" s="16"/>
      <c r="KH473" s="16"/>
      <c r="KI473" s="16"/>
      <c r="KJ473" s="17"/>
      <c r="KN473" s="24"/>
      <c r="KO473" s="60"/>
      <c r="KP473" s="16"/>
      <c r="KQ473" s="16"/>
      <c r="KR473" s="16"/>
      <c r="KS473" s="16"/>
      <c r="KT473" s="16"/>
      <c r="KU473" s="17"/>
      <c r="KY473" s="24"/>
      <c r="KZ473" s="60"/>
      <c r="LA473" s="16"/>
      <c r="LB473" s="16"/>
      <c r="LC473" s="16"/>
      <c r="LD473" s="16"/>
      <c r="LE473" s="16"/>
      <c r="LF473" s="17"/>
      <c r="LJ473" s="24"/>
      <c r="LK473" s="60"/>
      <c r="LL473" s="16"/>
      <c r="LM473" s="16"/>
      <c r="LN473" s="16"/>
      <c r="LO473" s="16"/>
      <c r="LP473" s="16"/>
      <c r="LQ473" s="17"/>
    </row>
    <row r="474">
      <c r="C474" s="31"/>
      <c r="D474" s="61"/>
      <c r="E474" s="16"/>
      <c r="F474" s="16"/>
      <c r="G474" s="21"/>
      <c r="H474" s="16"/>
      <c r="I474" s="16"/>
      <c r="J474" s="17"/>
      <c r="N474" s="17"/>
      <c r="O474" s="61"/>
      <c r="P474" s="16"/>
      <c r="Q474" s="16"/>
      <c r="R474" s="16"/>
      <c r="S474" s="16"/>
      <c r="T474" s="16"/>
      <c r="U474" s="17"/>
      <c r="Y474" s="24"/>
      <c r="Z474" s="61"/>
      <c r="AA474" s="16"/>
      <c r="AB474" s="16"/>
      <c r="AC474" s="16"/>
      <c r="AD474" s="16"/>
      <c r="AE474" s="16"/>
      <c r="AF474" s="17"/>
      <c r="AJ474" s="24"/>
      <c r="AK474" s="61"/>
      <c r="AL474" s="16"/>
      <c r="AM474" s="16"/>
      <c r="AN474" s="16"/>
      <c r="AO474" s="16"/>
      <c r="AP474" s="16"/>
      <c r="AQ474" s="17"/>
      <c r="AU474" s="24"/>
      <c r="AV474" s="61"/>
      <c r="AW474" s="16"/>
      <c r="AX474" s="16"/>
      <c r="AY474" s="16"/>
      <c r="AZ474" s="16"/>
      <c r="BA474" s="16"/>
      <c r="BB474" s="17"/>
      <c r="BF474" s="24"/>
      <c r="BG474" s="61"/>
      <c r="BH474" s="16"/>
      <c r="BI474" s="16"/>
      <c r="BJ474" s="16"/>
      <c r="BK474" s="16"/>
      <c r="BL474" s="16"/>
      <c r="BM474" s="17"/>
      <c r="BQ474" s="24"/>
      <c r="BR474" s="61"/>
      <c r="BS474" s="16"/>
      <c r="BT474" s="16"/>
      <c r="BU474" s="16"/>
      <c r="BV474" s="16"/>
      <c r="BW474" s="16"/>
      <c r="BX474" s="17"/>
      <c r="CB474" s="24"/>
      <c r="CC474" s="61"/>
      <c r="CD474" s="16"/>
      <c r="CE474" s="16"/>
      <c r="CF474" s="16"/>
      <c r="CG474" s="16"/>
      <c r="CH474" s="16"/>
      <c r="CI474" s="17"/>
      <c r="CM474" s="24"/>
      <c r="CN474" s="61"/>
      <c r="CO474" s="16"/>
      <c r="CP474" s="16"/>
      <c r="CQ474" s="16"/>
      <c r="CR474" s="16"/>
      <c r="CS474" s="16"/>
      <c r="CT474" s="17"/>
      <c r="CX474" s="24"/>
      <c r="CY474" s="60"/>
      <c r="CZ474" s="16"/>
      <c r="DA474" s="16"/>
      <c r="DB474" s="16"/>
      <c r="DC474" s="16"/>
      <c r="DD474" s="16"/>
      <c r="DE474" s="17"/>
      <c r="DI474" s="24"/>
      <c r="DJ474" s="60"/>
      <c r="DK474" s="16"/>
      <c r="DL474" s="16"/>
      <c r="DM474" s="16"/>
      <c r="DN474" s="16"/>
      <c r="DO474" s="16"/>
      <c r="DP474" s="17"/>
      <c r="DT474" s="24"/>
      <c r="DU474" s="60"/>
      <c r="DV474" s="16"/>
      <c r="DW474" s="16"/>
      <c r="DX474" s="16"/>
      <c r="DY474" s="16"/>
      <c r="DZ474" s="16"/>
      <c r="EA474" s="17"/>
      <c r="EE474" s="24"/>
      <c r="EF474" s="60"/>
      <c r="EG474" s="16"/>
      <c r="EH474" s="16"/>
      <c r="EI474" s="16"/>
      <c r="EJ474" s="16"/>
      <c r="EK474" s="16"/>
      <c r="EL474" s="17"/>
      <c r="EP474" s="24"/>
      <c r="EQ474" s="60"/>
      <c r="ER474" s="16"/>
      <c r="ES474" s="16"/>
      <c r="ET474" s="16"/>
      <c r="EU474" s="16"/>
      <c r="EV474" s="16"/>
      <c r="EW474" s="17"/>
      <c r="FA474" s="24"/>
      <c r="FB474" s="60"/>
      <c r="FC474" s="16"/>
      <c r="FD474" s="16"/>
      <c r="FE474" s="16"/>
      <c r="FF474" s="16"/>
      <c r="FG474" s="16"/>
      <c r="FH474" s="17"/>
      <c r="FL474" s="24"/>
      <c r="FM474" s="60"/>
      <c r="FN474" s="16"/>
      <c r="FO474" s="16"/>
      <c r="FP474" s="16"/>
      <c r="FQ474" s="16"/>
      <c r="FR474" s="16"/>
      <c r="FS474" s="17"/>
      <c r="FW474" s="24"/>
      <c r="FX474" s="60"/>
      <c r="FY474" s="16"/>
      <c r="FZ474" s="16"/>
      <c r="GA474" s="16"/>
      <c r="GB474" s="16"/>
      <c r="GC474" s="16"/>
      <c r="GD474" s="17"/>
      <c r="GH474" s="24"/>
      <c r="GI474" s="60"/>
      <c r="GJ474" s="16"/>
      <c r="GK474" s="16"/>
      <c r="GL474" s="16"/>
      <c r="GM474" s="16"/>
      <c r="GN474" s="16"/>
      <c r="GO474" s="17"/>
      <c r="GS474" s="24"/>
      <c r="GT474" s="60"/>
      <c r="GU474" s="16"/>
      <c r="GV474" s="16"/>
      <c r="GW474" s="16"/>
      <c r="GX474" s="16"/>
      <c r="GY474" s="16"/>
      <c r="GZ474" s="17"/>
      <c r="HD474" s="24"/>
      <c r="HE474" s="60"/>
      <c r="HF474" s="16"/>
      <c r="HG474" s="16"/>
      <c r="HH474" s="16"/>
      <c r="HI474" s="16"/>
      <c r="HJ474" s="16"/>
      <c r="HK474" s="17"/>
      <c r="HO474" s="24"/>
      <c r="HP474" s="60"/>
      <c r="HQ474" s="16"/>
      <c r="HR474" s="16"/>
      <c r="HS474" s="16"/>
      <c r="HT474" s="16"/>
      <c r="HU474" s="16"/>
      <c r="HV474" s="17"/>
      <c r="HZ474" s="24"/>
      <c r="IA474" s="60"/>
      <c r="IB474" s="16"/>
      <c r="IC474" s="16"/>
      <c r="ID474" s="16"/>
      <c r="IE474" s="16"/>
      <c r="IF474" s="16"/>
      <c r="IG474" s="17"/>
      <c r="IK474" s="24"/>
      <c r="IL474" s="60"/>
      <c r="IM474" s="16"/>
      <c r="IN474" s="16"/>
      <c r="IO474" s="16"/>
      <c r="IP474" s="16"/>
      <c r="IQ474" s="16"/>
      <c r="IR474" s="17"/>
      <c r="IV474" s="24"/>
      <c r="IW474" s="60"/>
      <c r="IX474" s="16"/>
      <c r="IY474" s="16"/>
      <c r="IZ474" s="16"/>
      <c r="JA474" s="16"/>
      <c r="JB474" s="16"/>
      <c r="JC474" s="17"/>
      <c r="JG474" s="24"/>
      <c r="JH474" s="60"/>
      <c r="JI474" s="16"/>
      <c r="JJ474" s="16"/>
      <c r="JK474" s="16"/>
      <c r="JL474" s="16"/>
      <c r="JM474" s="16"/>
      <c r="JN474" s="17"/>
      <c r="JR474" s="24"/>
      <c r="JS474" s="60"/>
      <c r="JT474" s="16"/>
      <c r="JU474" s="16"/>
      <c r="JV474" s="16"/>
      <c r="JW474" s="16"/>
      <c r="JX474" s="16"/>
      <c r="JY474" s="17"/>
      <c r="KC474" s="24"/>
      <c r="KD474" s="60"/>
      <c r="KE474" s="16"/>
      <c r="KF474" s="16"/>
      <c r="KG474" s="16"/>
      <c r="KH474" s="16"/>
      <c r="KI474" s="16"/>
      <c r="KJ474" s="17"/>
      <c r="KN474" s="24"/>
      <c r="KO474" s="60"/>
      <c r="KP474" s="16"/>
      <c r="KQ474" s="16"/>
      <c r="KR474" s="16"/>
      <c r="KS474" s="16"/>
      <c r="KT474" s="16"/>
      <c r="KU474" s="17"/>
      <c r="KY474" s="24"/>
      <c r="KZ474" s="60"/>
      <c r="LA474" s="16"/>
      <c r="LB474" s="16"/>
      <c r="LC474" s="16"/>
      <c r="LD474" s="16"/>
      <c r="LE474" s="16"/>
      <c r="LF474" s="17"/>
      <c r="LJ474" s="24"/>
      <c r="LK474" s="60"/>
      <c r="LL474" s="16"/>
      <c r="LM474" s="16"/>
      <c r="LN474" s="16"/>
      <c r="LO474" s="16"/>
      <c r="LP474" s="16"/>
      <c r="LQ474" s="17"/>
    </row>
    <row r="475">
      <c r="C475" s="31"/>
      <c r="D475" s="61"/>
      <c r="E475" s="16"/>
      <c r="F475" s="16"/>
      <c r="G475" s="21"/>
      <c r="H475" s="16"/>
      <c r="I475" s="16"/>
      <c r="J475" s="17"/>
      <c r="N475" s="17"/>
      <c r="O475" s="61"/>
      <c r="P475" s="16"/>
      <c r="Q475" s="16"/>
      <c r="R475" s="16"/>
      <c r="S475" s="16"/>
      <c r="T475" s="16"/>
      <c r="U475" s="17"/>
      <c r="Y475" s="24"/>
      <c r="Z475" s="61"/>
      <c r="AA475" s="16"/>
      <c r="AB475" s="16"/>
      <c r="AC475" s="16"/>
      <c r="AD475" s="16"/>
      <c r="AE475" s="16"/>
      <c r="AF475" s="17"/>
      <c r="AJ475" s="24"/>
      <c r="AK475" s="61"/>
      <c r="AL475" s="16"/>
      <c r="AM475" s="16"/>
      <c r="AN475" s="16"/>
      <c r="AO475" s="16"/>
      <c r="AP475" s="16"/>
      <c r="AQ475" s="17"/>
      <c r="AU475" s="24"/>
      <c r="AV475" s="61"/>
      <c r="AW475" s="16"/>
      <c r="AX475" s="16"/>
      <c r="AY475" s="16"/>
      <c r="AZ475" s="16"/>
      <c r="BA475" s="16"/>
      <c r="BB475" s="17"/>
      <c r="BF475" s="24"/>
      <c r="BG475" s="61"/>
      <c r="BH475" s="16"/>
      <c r="BI475" s="16"/>
      <c r="BJ475" s="16"/>
      <c r="BK475" s="16"/>
      <c r="BL475" s="16"/>
      <c r="BM475" s="17"/>
      <c r="BQ475" s="24"/>
      <c r="BR475" s="61"/>
      <c r="BS475" s="16"/>
      <c r="BT475" s="16"/>
      <c r="BU475" s="16"/>
      <c r="BV475" s="16"/>
      <c r="BW475" s="16"/>
      <c r="BX475" s="17"/>
      <c r="CB475" s="24"/>
      <c r="CC475" s="61"/>
      <c r="CD475" s="16"/>
      <c r="CE475" s="16"/>
      <c r="CF475" s="16"/>
      <c r="CG475" s="16"/>
      <c r="CH475" s="16"/>
      <c r="CI475" s="17"/>
      <c r="CM475" s="24"/>
      <c r="CN475" s="61"/>
      <c r="CO475" s="16"/>
      <c r="CP475" s="16"/>
      <c r="CQ475" s="16"/>
      <c r="CR475" s="16"/>
      <c r="CS475" s="16"/>
      <c r="CT475" s="17"/>
      <c r="CX475" s="24"/>
      <c r="CY475" s="60"/>
      <c r="CZ475" s="16"/>
      <c r="DA475" s="16"/>
      <c r="DB475" s="16"/>
      <c r="DC475" s="16"/>
      <c r="DD475" s="16"/>
      <c r="DE475" s="17"/>
      <c r="DI475" s="24"/>
      <c r="DJ475" s="60"/>
      <c r="DK475" s="16"/>
      <c r="DL475" s="16"/>
      <c r="DM475" s="16"/>
      <c r="DN475" s="16"/>
      <c r="DO475" s="16"/>
      <c r="DP475" s="17"/>
      <c r="DT475" s="24"/>
      <c r="DU475" s="60"/>
      <c r="DV475" s="16"/>
      <c r="DW475" s="16"/>
      <c r="DX475" s="16"/>
      <c r="DY475" s="16"/>
      <c r="DZ475" s="16"/>
      <c r="EA475" s="17"/>
      <c r="EE475" s="24"/>
      <c r="EF475" s="60"/>
      <c r="EG475" s="16"/>
      <c r="EH475" s="16"/>
      <c r="EI475" s="16"/>
      <c r="EJ475" s="16"/>
      <c r="EK475" s="16"/>
      <c r="EL475" s="17"/>
      <c r="EP475" s="24"/>
      <c r="EQ475" s="60"/>
      <c r="ER475" s="16"/>
      <c r="ES475" s="16"/>
      <c r="ET475" s="16"/>
      <c r="EU475" s="16"/>
      <c r="EV475" s="16"/>
      <c r="EW475" s="17"/>
      <c r="FA475" s="24"/>
      <c r="FB475" s="60"/>
      <c r="FC475" s="16"/>
      <c r="FD475" s="16"/>
      <c r="FE475" s="16"/>
      <c r="FF475" s="16"/>
      <c r="FG475" s="16"/>
      <c r="FH475" s="17"/>
      <c r="FL475" s="24"/>
      <c r="FM475" s="60"/>
      <c r="FN475" s="16"/>
      <c r="FO475" s="16"/>
      <c r="FP475" s="16"/>
      <c r="FQ475" s="16"/>
      <c r="FR475" s="16"/>
      <c r="FS475" s="17"/>
      <c r="FW475" s="24"/>
      <c r="FX475" s="60"/>
      <c r="FY475" s="16"/>
      <c r="FZ475" s="16"/>
      <c r="GA475" s="16"/>
      <c r="GB475" s="16"/>
      <c r="GC475" s="16"/>
      <c r="GD475" s="17"/>
      <c r="GH475" s="24"/>
      <c r="GI475" s="60"/>
      <c r="GJ475" s="16"/>
      <c r="GK475" s="16"/>
      <c r="GL475" s="16"/>
      <c r="GM475" s="16"/>
      <c r="GN475" s="16"/>
      <c r="GO475" s="17"/>
      <c r="GS475" s="24"/>
      <c r="GT475" s="60"/>
      <c r="GU475" s="16"/>
      <c r="GV475" s="16"/>
      <c r="GW475" s="16"/>
      <c r="GX475" s="16"/>
      <c r="GY475" s="16"/>
      <c r="GZ475" s="17"/>
      <c r="HD475" s="24"/>
      <c r="HE475" s="60"/>
      <c r="HF475" s="16"/>
      <c r="HG475" s="16"/>
      <c r="HH475" s="16"/>
      <c r="HI475" s="16"/>
      <c r="HJ475" s="16"/>
      <c r="HK475" s="17"/>
      <c r="HO475" s="24"/>
      <c r="HP475" s="60"/>
      <c r="HQ475" s="16"/>
      <c r="HR475" s="16"/>
      <c r="HS475" s="16"/>
      <c r="HT475" s="16"/>
      <c r="HU475" s="16"/>
      <c r="HV475" s="17"/>
      <c r="HZ475" s="24"/>
      <c r="IA475" s="60"/>
      <c r="IB475" s="16"/>
      <c r="IC475" s="16"/>
      <c r="ID475" s="16"/>
      <c r="IE475" s="16"/>
      <c r="IF475" s="16"/>
      <c r="IG475" s="17"/>
      <c r="IK475" s="24"/>
      <c r="IL475" s="60"/>
      <c r="IM475" s="16"/>
      <c r="IN475" s="16"/>
      <c r="IO475" s="16"/>
      <c r="IP475" s="16"/>
      <c r="IQ475" s="16"/>
      <c r="IR475" s="17"/>
      <c r="IV475" s="24"/>
      <c r="IW475" s="60"/>
      <c r="IX475" s="16"/>
      <c r="IY475" s="16"/>
      <c r="IZ475" s="16"/>
      <c r="JA475" s="16"/>
      <c r="JB475" s="16"/>
      <c r="JC475" s="17"/>
      <c r="JG475" s="24"/>
      <c r="JH475" s="60"/>
      <c r="JI475" s="16"/>
      <c r="JJ475" s="16"/>
      <c r="JK475" s="16"/>
      <c r="JL475" s="16"/>
      <c r="JM475" s="16"/>
      <c r="JN475" s="17"/>
      <c r="JR475" s="24"/>
      <c r="JS475" s="60"/>
      <c r="JT475" s="16"/>
      <c r="JU475" s="16"/>
      <c r="JV475" s="16"/>
      <c r="JW475" s="16"/>
      <c r="JX475" s="16"/>
      <c r="JY475" s="17"/>
      <c r="KC475" s="24"/>
      <c r="KD475" s="60"/>
      <c r="KE475" s="16"/>
      <c r="KF475" s="16"/>
      <c r="KG475" s="16"/>
      <c r="KH475" s="16"/>
      <c r="KI475" s="16"/>
      <c r="KJ475" s="17"/>
      <c r="KN475" s="24"/>
      <c r="KO475" s="60"/>
      <c r="KP475" s="16"/>
      <c r="KQ475" s="16"/>
      <c r="KR475" s="16"/>
      <c r="KS475" s="16"/>
      <c r="KT475" s="16"/>
      <c r="KU475" s="17"/>
      <c r="KY475" s="24"/>
      <c r="KZ475" s="60"/>
      <c r="LA475" s="16"/>
      <c r="LB475" s="16"/>
      <c r="LC475" s="16"/>
      <c r="LD475" s="16"/>
      <c r="LE475" s="16"/>
      <c r="LF475" s="17"/>
      <c r="LJ475" s="24"/>
      <c r="LK475" s="60"/>
      <c r="LL475" s="16"/>
      <c r="LM475" s="16"/>
      <c r="LN475" s="16"/>
      <c r="LO475" s="16"/>
      <c r="LP475" s="16"/>
      <c r="LQ475" s="17"/>
    </row>
    <row r="476">
      <c r="C476" s="31"/>
      <c r="D476" s="61"/>
      <c r="E476" s="16"/>
      <c r="F476" s="16"/>
      <c r="G476" s="21"/>
      <c r="H476" s="16"/>
      <c r="I476" s="16"/>
      <c r="J476" s="17"/>
      <c r="N476" s="17"/>
      <c r="O476" s="61"/>
      <c r="P476" s="16"/>
      <c r="Q476" s="16"/>
      <c r="R476" s="16"/>
      <c r="S476" s="16"/>
      <c r="T476" s="16"/>
      <c r="U476" s="17"/>
      <c r="Y476" s="24"/>
      <c r="Z476" s="61"/>
      <c r="AA476" s="16"/>
      <c r="AB476" s="16"/>
      <c r="AC476" s="16"/>
      <c r="AD476" s="16"/>
      <c r="AE476" s="16"/>
      <c r="AF476" s="17"/>
      <c r="AJ476" s="24"/>
      <c r="AK476" s="61"/>
      <c r="AL476" s="16"/>
      <c r="AM476" s="16"/>
      <c r="AN476" s="16"/>
      <c r="AO476" s="16"/>
      <c r="AP476" s="16"/>
      <c r="AQ476" s="17"/>
      <c r="AU476" s="24"/>
      <c r="AV476" s="61"/>
      <c r="AW476" s="16"/>
      <c r="AX476" s="16"/>
      <c r="AY476" s="16"/>
      <c r="AZ476" s="16"/>
      <c r="BA476" s="16"/>
      <c r="BB476" s="17"/>
      <c r="BF476" s="24"/>
      <c r="BG476" s="61"/>
      <c r="BH476" s="16"/>
      <c r="BI476" s="16"/>
      <c r="BJ476" s="16"/>
      <c r="BK476" s="16"/>
      <c r="BL476" s="16"/>
      <c r="BM476" s="17"/>
      <c r="BQ476" s="24"/>
      <c r="BR476" s="61"/>
      <c r="BS476" s="16"/>
      <c r="BT476" s="16"/>
      <c r="BU476" s="16"/>
      <c r="BV476" s="16"/>
      <c r="BW476" s="16"/>
      <c r="BX476" s="17"/>
      <c r="CB476" s="24"/>
      <c r="CC476" s="61"/>
      <c r="CD476" s="16"/>
      <c r="CE476" s="16"/>
      <c r="CF476" s="16"/>
      <c r="CG476" s="16"/>
      <c r="CH476" s="16"/>
      <c r="CI476" s="17"/>
      <c r="CM476" s="24"/>
      <c r="CN476" s="61"/>
      <c r="CO476" s="16"/>
      <c r="CP476" s="16"/>
      <c r="CQ476" s="16"/>
      <c r="CR476" s="16"/>
      <c r="CS476" s="16"/>
      <c r="CT476" s="17"/>
      <c r="CX476" s="24"/>
      <c r="CY476" s="60"/>
      <c r="CZ476" s="16"/>
      <c r="DA476" s="16"/>
      <c r="DB476" s="16"/>
      <c r="DC476" s="16"/>
      <c r="DD476" s="16"/>
      <c r="DE476" s="17"/>
      <c r="DI476" s="24"/>
      <c r="DJ476" s="60"/>
      <c r="DK476" s="16"/>
      <c r="DL476" s="16"/>
      <c r="DM476" s="16"/>
      <c r="DN476" s="16"/>
      <c r="DO476" s="16"/>
      <c r="DP476" s="17"/>
      <c r="DT476" s="24"/>
      <c r="DU476" s="60"/>
      <c r="DV476" s="16"/>
      <c r="DW476" s="16"/>
      <c r="DX476" s="16"/>
      <c r="DY476" s="16"/>
      <c r="DZ476" s="16"/>
      <c r="EA476" s="17"/>
      <c r="EE476" s="24"/>
      <c r="EF476" s="60"/>
      <c r="EG476" s="16"/>
      <c r="EH476" s="16"/>
      <c r="EI476" s="16"/>
      <c r="EJ476" s="16"/>
      <c r="EK476" s="16"/>
      <c r="EL476" s="17"/>
      <c r="EP476" s="24"/>
      <c r="EQ476" s="60"/>
      <c r="ER476" s="16"/>
      <c r="ES476" s="16"/>
      <c r="ET476" s="16"/>
      <c r="EU476" s="16"/>
      <c r="EV476" s="16"/>
      <c r="EW476" s="17"/>
      <c r="FA476" s="24"/>
      <c r="FB476" s="60"/>
      <c r="FC476" s="16"/>
      <c r="FD476" s="16"/>
      <c r="FE476" s="16"/>
      <c r="FF476" s="16"/>
      <c r="FG476" s="16"/>
      <c r="FH476" s="17"/>
      <c r="FL476" s="24"/>
      <c r="FM476" s="60"/>
      <c r="FN476" s="16"/>
      <c r="FO476" s="16"/>
      <c r="FP476" s="16"/>
      <c r="FQ476" s="16"/>
      <c r="FR476" s="16"/>
      <c r="FS476" s="17"/>
      <c r="FW476" s="24"/>
      <c r="FX476" s="60"/>
      <c r="FY476" s="16"/>
      <c r="FZ476" s="16"/>
      <c r="GA476" s="16"/>
      <c r="GB476" s="16"/>
      <c r="GC476" s="16"/>
      <c r="GD476" s="17"/>
      <c r="GH476" s="24"/>
      <c r="GI476" s="60"/>
      <c r="GJ476" s="16"/>
      <c r="GK476" s="16"/>
      <c r="GL476" s="16"/>
      <c r="GM476" s="16"/>
      <c r="GN476" s="16"/>
      <c r="GO476" s="17"/>
      <c r="GS476" s="24"/>
      <c r="GT476" s="60"/>
      <c r="GU476" s="16"/>
      <c r="GV476" s="16"/>
      <c r="GW476" s="16"/>
      <c r="GX476" s="16"/>
      <c r="GY476" s="16"/>
      <c r="GZ476" s="17"/>
      <c r="HD476" s="24"/>
      <c r="HE476" s="60"/>
      <c r="HF476" s="16"/>
      <c r="HG476" s="16"/>
      <c r="HH476" s="16"/>
      <c r="HI476" s="16"/>
      <c r="HJ476" s="16"/>
      <c r="HK476" s="17"/>
      <c r="HO476" s="24"/>
      <c r="HP476" s="60"/>
      <c r="HQ476" s="16"/>
      <c r="HR476" s="16"/>
      <c r="HS476" s="16"/>
      <c r="HT476" s="16"/>
      <c r="HU476" s="16"/>
      <c r="HV476" s="17"/>
      <c r="HZ476" s="24"/>
      <c r="IA476" s="60"/>
      <c r="IB476" s="16"/>
      <c r="IC476" s="16"/>
      <c r="ID476" s="16"/>
      <c r="IE476" s="16"/>
      <c r="IF476" s="16"/>
      <c r="IG476" s="17"/>
      <c r="IK476" s="24"/>
      <c r="IL476" s="60"/>
      <c r="IM476" s="16"/>
      <c r="IN476" s="16"/>
      <c r="IO476" s="16"/>
      <c r="IP476" s="16"/>
      <c r="IQ476" s="16"/>
      <c r="IR476" s="17"/>
      <c r="IV476" s="24"/>
      <c r="IW476" s="60"/>
      <c r="IX476" s="16"/>
      <c r="IY476" s="16"/>
      <c r="IZ476" s="16"/>
      <c r="JA476" s="16"/>
      <c r="JB476" s="16"/>
      <c r="JC476" s="17"/>
      <c r="JG476" s="24"/>
      <c r="JH476" s="60"/>
      <c r="JI476" s="16"/>
      <c r="JJ476" s="16"/>
      <c r="JK476" s="16"/>
      <c r="JL476" s="16"/>
      <c r="JM476" s="16"/>
      <c r="JN476" s="17"/>
      <c r="JR476" s="24"/>
      <c r="JS476" s="60"/>
      <c r="JT476" s="16"/>
      <c r="JU476" s="16"/>
      <c r="JV476" s="16"/>
      <c r="JW476" s="16"/>
      <c r="JX476" s="16"/>
      <c r="JY476" s="17"/>
      <c r="KC476" s="24"/>
      <c r="KD476" s="60"/>
      <c r="KE476" s="16"/>
      <c r="KF476" s="16"/>
      <c r="KG476" s="16"/>
      <c r="KH476" s="16"/>
      <c r="KI476" s="16"/>
      <c r="KJ476" s="17"/>
      <c r="KN476" s="24"/>
      <c r="KO476" s="60"/>
      <c r="KP476" s="16"/>
      <c r="KQ476" s="16"/>
      <c r="KR476" s="16"/>
      <c r="KS476" s="16"/>
      <c r="KT476" s="16"/>
      <c r="KU476" s="17"/>
      <c r="KY476" s="24"/>
      <c r="KZ476" s="60"/>
      <c r="LA476" s="16"/>
      <c r="LB476" s="16"/>
      <c r="LC476" s="16"/>
      <c r="LD476" s="16"/>
      <c r="LE476" s="16"/>
      <c r="LF476" s="17"/>
      <c r="LJ476" s="24"/>
      <c r="LK476" s="60"/>
      <c r="LL476" s="16"/>
      <c r="LM476" s="16"/>
      <c r="LN476" s="16"/>
      <c r="LO476" s="16"/>
      <c r="LP476" s="16"/>
      <c r="LQ476" s="17"/>
    </row>
    <row r="477">
      <c r="C477" s="31"/>
      <c r="D477" s="61"/>
      <c r="E477" s="16"/>
      <c r="F477" s="16"/>
      <c r="G477" s="21"/>
      <c r="H477" s="16"/>
      <c r="I477" s="16"/>
      <c r="J477" s="17"/>
      <c r="N477" s="17"/>
      <c r="O477" s="61"/>
      <c r="P477" s="16"/>
      <c r="Q477" s="16"/>
      <c r="R477" s="16"/>
      <c r="S477" s="16"/>
      <c r="T477" s="16"/>
      <c r="U477" s="17"/>
      <c r="Y477" s="24"/>
      <c r="Z477" s="61"/>
      <c r="AA477" s="16"/>
      <c r="AB477" s="16"/>
      <c r="AC477" s="16"/>
      <c r="AD477" s="16"/>
      <c r="AE477" s="16"/>
      <c r="AF477" s="17"/>
      <c r="AJ477" s="24"/>
      <c r="AK477" s="61"/>
      <c r="AL477" s="16"/>
      <c r="AM477" s="16"/>
      <c r="AN477" s="16"/>
      <c r="AO477" s="16"/>
      <c r="AP477" s="16"/>
      <c r="AQ477" s="17"/>
      <c r="AU477" s="24"/>
      <c r="AV477" s="61"/>
      <c r="AW477" s="16"/>
      <c r="AX477" s="16"/>
      <c r="AY477" s="16"/>
      <c r="AZ477" s="16"/>
      <c r="BA477" s="16"/>
      <c r="BB477" s="17"/>
      <c r="BF477" s="24"/>
      <c r="BG477" s="61"/>
      <c r="BH477" s="16"/>
      <c r="BI477" s="16"/>
      <c r="BJ477" s="16"/>
      <c r="BK477" s="16"/>
      <c r="BL477" s="16"/>
      <c r="BM477" s="17"/>
      <c r="BQ477" s="24"/>
      <c r="BR477" s="61"/>
      <c r="BS477" s="16"/>
      <c r="BT477" s="16"/>
      <c r="BU477" s="16"/>
      <c r="BV477" s="16"/>
      <c r="BW477" s="16"/>
      <c r="BX477" s="17"/>
      <c r="CB477" s="24"/>
      <c r="CC477" s="61"/>
      <c r="CD477" s="16"/>
      <c r="CE477" s="16"/>
      <c r="CF477" s="16"/>
      <c r="CG477" s="16"/>
      <c r="CH477" s="16"/>
      <c r="CI477" s="17"/>
      <c r="CM477" s="24"/>
      <c r="CN477" s="61"/>
      <c r="CO477" s="16"/>
      <c r="CP477" s="16"/>
      <c r="CQ477" s="16"/>
      <c r="CR477" s="16"/>
      <c r="CS477" s="16"/>
      <c r="CT477" s="17"/>
      <c r="CX477" s="24"/>
      <c r="CY477" s="60"/>
      <c r="CZ477" s="16"/>
      <c r="DA477" s="16"/>
      <c r="DB477" s="16"/>
      <c r="DC477" s="16"/>
      <c r="DD477" s="16"/>
      <c r="DE477" s="17"/>
      <c r="DI477" s="24"/>
      <c r="DJ477" s="60"/>
      <c r="DK477" s="16"/>
      <c r="DL477" s="16"/>
      <c r="DM477" s="16"/>
      <c r="DN477" s="16"/>
      <c r="DO477" s="16"/>
      <c r="DP477" s="17"/>
      <c r="DT477" s="24"/>
      <c r="DU477" s="60"/>
      <c r="DV477" s="16"/>
      <c r="DW477" s="16"/>
      <c r="DX477" s="16"/>
      <c r="DY477" s="16"/>
      <c r="DZ477" s="16"/>
      <c r="EA477" s="17"/>
      <c r="EE477" s="24"/>
      <c r="EF477" s="60"/>
      <c r="EG477" s="16"/>
      <c r="EH477" s="16"/>
      <c r="EI477" s="16"/>
      <c r="EJ477" s="16"/>
      <c r="EK477" s="16"/>
      <c r="EL477" s="17"/>
      <c r="EP477" s="24"/>
      <c r="EQ477" s="60"/>
      <c r="ER477" s="16"/>
      <c r="ES477" s="16"/>
      <c r="ET477" s="16"/>
      <c r="EU477" s="16"/>
      <c r="EV477" s="16"/>
      <c r="EW477" s="17"/>
      <c r="FA477" s="24"/>
      <c r="FB477" s="60"/>
      <c r="FC477" s="16"/>
      <c r="FD477" s="16"/>
      <c r="FE477" s="16"/>
      <c r="FF477" s="16"/>
      <c r="FG477" s="16"/>
      <c r="FH477" s="17"/>
      <c r="FL477" s="24"/>
      <c r="FM477" s="60"/>
      <c r="FN477" s="16"/>
      <c r="FO477" s="16"/>
      <c r="FP477" s="16"/>
      <c r="FQ477" s="16"/>
      <c r="FR477" s="16"/>
      <c r="FS477" s="17"/>
      <c r="FW477" s="24"/>
      <c r="FX477" s="60"/>
      <c r="FY477" s="16"/>
      <c r="FZ477" s="16"/>
      <c r="GA477" s="16"/>
      <c r="GB477" s="16"/>
      <c r="GC477" s="16"/>
      <c r="GD477" s="17"/>
      <c r="GH477" s="24"/>
      <c r="GI477" s="60"/>
      <c r="GJ477" s="16"/>
      <c r="GK477" s="16"/>
      <c r="GL477" s="16"/>
      <c r="GM477" s="16"/>
      <c r="GN477" s="16"/>
      <c r="GO477" s="17"/>
      <c r="GS477" s="24"/>
      <c r="GT477" s="60"/>
      <c r="GU477" s="16"/>
      <c r="GV477" s="16"/>
      <c r="GW477" s="16"/>
      <c r="GX477" s="16"/>
      <c r="GY477" s="16"/>
      <c r="GZ477" s="17"/>
      <c r="HD477" s="24"/>
      <c r="HE477" s="60"/>
      <c r="HF477" s="16"/>
      <c r="HG477" s="16"/>
      <c r="HH477" s="16"/>
      <c r="HI477" s="16"/>
      <c r="HJ477" s="16"/>
      <c r="HK477" s="17"/>
      <c r="HO477" s="24"/>
      <c r="HP477" s="60"/>
      <c r="HQ477" s="16"/>
      <c r="HR477" s="16"/>
      <c r="HS477" s="16"/>
      <c r="HT477" s="16"/>
      <c r="HU477" s="16"/>
      <c r="HV477" s="17"/>
      <c r="HZ477" s="24"/>
      <c r="IA477" s="60"/>
      <c r="IB477" s="16"/>
      <c r="IC477" s="16"/>
      <c r="ID477" s="16"/>
      <c r="IE477" s="16"/>
      <c r="IF477" s="16"/>
      <c r="IG477" s="17"/>
      <c r="IK477" s="24"/>
      <c r="IL477" s="60"/>
      <c r="IM477" s="16"/>
      <c r="IN477" s="16"/>
      <c r="IO477" s="16"/>
      <c r="IP477" s="16"/>
      <c r="IQ477" s="16"/>
      <c r="IR477" s="17"/>
      <c r="IV477" s="24"/>
      <c r="IW477" s="60"/>
      <c r="IX477" s="16"/>
      <c r="IY477" s="16"/>
      <c r="IZ477" s="16"/>
      <c r="JA477" s="16"/>
      <c r="JB477" s="16"/>
      <c r="JC477" s="17"/>
      <c r="JG477" s="24"/>
      <c r="JH477" s="60"/>
      <c r="JI477" s="16"/>
      <c r="JJ477" s="16"/>
      <c r="JK477" s="16"/>
      <c r="JL477" s="16"/>
      <c r="JM477" s="16"/>
      <c r="JN477" s="17"/>
      <c r="JR477" s="24"/>
      <c r="JS477" s="60"/>
      <c r="JT477" s="16"/>
      <c r="JU477" s="16"/>
      <c r="JV477" s="16"/>
      <c r="JW477" s="16"/>
      <c r="JX477" s="16"/>
      <c r="JY477" s="17"/>
      <c r="KC477" s="24"/>
      <c r="KD477" s="60"/>
      <c r="KE477" s="16"/>
      <c r="KF477" s="16"/>
      <c r="KG477" s="16"/>
      <c r="KH477" s="16"/>
      <c r="KI477" s="16"/>
      <c r="KJ477" s="17"/>
      <c r="KN477" s="24"/>
      <c r="KO477" s="60"/>
      <c r="KP477" s="16"/>
      <c r="KQ477" s="16"/>
      <c r="KR477" s="16"/>
      <c r="KS477" s="16"/>
      <c r="KT477" s="16"/>
      <c r="KU477" s="17"/>
      <c r="KY477" s="24"/>
      <c r="KZ477" s="60"/>
      <c r="LA477" s="16"/>
      <c r="LB477" s="16"/>
      <c r="LC477" s="16"/>
      <c r="LD477" s="16"/>
      <c r="LE477" s="16"/>
      <c r="LF477" s="17"/>
      <c r="LJ477" s="24"/>
      <c r="LK477" s="60"/>
      <c r="LL477" s="16"/>
      <c r="LM477" s="16"/>
      <c r="LN477" s="16"/>
      <c r="LO477" s="16"/>
      <c r="LP477" s="16"/>
      <c r="LQ477" s="17"/>
    </row>
    <row r="478">
      <c r="C478" s="31"/>
      <c r="D478" s="61"/>
      <c r="E478" s="16"/>
      <c r="F478" s="16"/>
      <c r="G478" s="21"/>
      <c r="H478" s="16"/>
      <c r="I478" s="16"/>
      <c r="J478" s="17"/>
      <c r="N478" s="17"/>
      <c r="O478" s="61"/>
      <c r="P478" s="16"/>
      <c r="Q478" s="16"/>
      <c r="R478" s="16"/>
      <c r="S478" s="16"/>
      <c r="T478" s="16"/>
      <c r="U478" s="17"/>
      <c r="Y478" s="24"/>
      <c r="Z478" s="61"/>
      <c r="AA478" s="16"/>
      <c r="AB478" s="16"/>
      <c r="AC478" s="16"/>
      <c r="AD478" s="16"/>
      <c r="AE478" s="16"/>
      <c r="AF478" s="17"/>
      <c r="AJ478" s="24"/>
      <c r="AK478" s="61"/>
      <c r="AL478" s="16"/>
      <c r="AM478" s="16"/>
      <c r="AN478" s="16"/>
      <c r="AO478" s="16"/>
      <c r="AP478" s="16"/>
      <c r="AQ478" s="17"/>
      <c r="AU478" s="24"/>
      <c r="AV478" s="61"/>
      <c r="AW478" s="16"/>
      <c r="AX478" s="16"/>
      <c r="AY478" s="16"/>
      <c r="AZ478" s="16"/>
      <c r="BA478" s="16"/>
      <c r="BB478" s="17"/>
      <c r="BF478" s="24"/>
      <c r="BG478" s="61"/>
      <c r="BH478" s="16"/>
      <c r="BI478" s="16"/>
      <c r="BJ478" s="16"/>
      <c r="BK478" s="16"/>
      <c r="BL478" s="16"/>
      <c r="BM478" s="17"/>
      <c r="BQ478" s="24"/>
      <c r="BR478" s="61"/>
      <c r="BS478" s="16"/>
      <c r="BT478" s="16"/>
      <c r="BU478" s="16"/>
      <c r="BV478" s="16"/>
      <c r="BW478" s="16"/>
      <c r="BX478" s="17"/>
      <c r="CB478" s="24"/>
      <c r="CC478" s="61"/>
      <c r="CD478" s="16"/>
      <c r="CE478" s="16"/>
      <c r="CF478" s="16"/>
      <c r="CG478" s="16"/>
      <c r="CH478" s="16"/>
      <c r="CI478" s="17"/>
      <c r="CM478" s="24"/>
      <c r="CN478" s="61"/>
      <c r="CO478" s="16"/>
      <c r="CP478" s="16"/>
      <c r="CQ478" s="16"/>
      <c r="CR478" s="16"/>
      <c r="CS478" s="16"/>
      <c r="CT478" s="17"/>
      <c r="CX478" s="24"/>
      <c r="CY478" s="60"/>
      <c r="CZ478" s="16"/>
      <c r="DA478" s="16"/>
      <c r="DB478" s="16"/>
      <c r="DC478" s="16"/>
      <c r="DD478" s="16"/>
      <c r="DE478" s="17"/>
      <c r="DI478" s="24"/>
      <c r="DJ478" s="60"/>
      <c r="DK478" s="16"/>
      <c r="DL478" s="16"/>
      <c r="DM478" s="16"/>
      <c r="DN478" s="16"/>
      <c r="DO478" s="16"/>
      <c r="DP478" s="17"/>
      <c r="DT478" s="24"/>
      <c r="DU478" s="60"/>
      <c r="DV478" s="16"/>
      <c r="DW478" s="16"/>
      <c r="DX478" s="16"/>
      <c r="DY478" s="16"/>
      <c r="DZ478" s="16"/>
      <c r="EA478" s="17"/>
      <c r="EE478" s="24"/>
      <c r="EF478" s="60"/>
      <c r="EG478" s="16"/>
      <c r="EH478" s="16"/>
      <c r="EI478" s="16"/>
      <c r="EJ478" s="16"/>
      <c r="EK478" s="16"/>
      <c r="EL478" s="17"/>
      <c r="EP478" s="24"/>
      <c r="EQ478" s="60"/>
      <c r="ER478" s="16"/>
      <c r="ES478" s="16"/>
      <c r="ET478" s="16"/>
      <c r="EU478" s="16"/>
      <c r="EV478" s="16"/>
      <c r="EW478" s="17"/>
      <c r="FA478" s="24"/>
      <c r="FB478" s="60"/>
      <c r="FC478" s="16"/>
      <c r="FD478" s="16"/>
      <c r="FE478" s="16"/>
      <c r="FF478" s="16"/>
      <c r="FG478" s="16"/>
      <c r="FH478" s="17"/>
      <c r="FL478" s="24"/>
      <c r="FM478" s="60"/>
      <c r="FN478" s="16"/>
      <c r="FO478" s="16"/>
      <c r="FP478" s="16"/>
      <c r="FQ478" s="16"/>
      <c r="FR478" s="16"/>
      <c r="FS478" s="17"/>
      <c r="FW478" s="24"/>
      <c r="FX478" s="60"/>
      <c r="FY478" s="16"/>
      <c r="FZ478" s="16"/>
      <c r="GA478" s="16"/>
      <c r="GB478" s="16"/>
      <c r="GC478" s="16"/>
      <c r="GD478" s="17"/>
      <c r="GH478" s="24"/>
      <c r="GI478" s="60"/>
      <c r="GJ478" s="16"/>
      <c r="GK478" s="16"/>
      <c r="GL478" s="16"/>
      <c r="GM478" s="16"/>
      <c r="GN478" s="16"/>
      <c r="GO478" s="17"/>
      <c r="GS478" s="24"/>
      <c r="GT478" s="60"/>
      <c r="GU478" s="16"/>
      <c r="GV478" s="16"/>
      <c r="GW478" s="16"/>
      <c r="GX478" s="16"/>
      <c r="GY478" s="16"/>
      <c r="GZ478" s="17"/>
      <c r="HD478" s="24"/>
      <c r="HE478" s="60"/>
      <c r="HF478" s="16"/>
      <c r="HG478" s="16"/>
      <c r="HH478" s="16"/>
      <c r="HI478" s="16"/>
      <c r="HJ478" s="16"/>
      <c r="HK478" s="17"/>
      <c r="HO478" s="24"/>
      <c r="HP478" s="60"/>
      <c r="HQ478" s="16"/>
      <c r="HR478" s="16"/>
      <c r="HS478" s="16"/>
      <c r="HT478" s="16"/>
      <c r="HU478" s="16"/>
      <c r="HV478" s="17"/>
      <c r="HZ478" s="24"/>
      <c r="IA478" s="60"/>
      <c r="IB478" s="16"/>
      <c r="IC478" s="16"/>
      <c r="ID478" s="16"/>
      <c r="IE478" s="16"/>
      <c r="IF478" s="16"/>
      <c r="IG478" s="17"/>
      <c r="IK478" s="24"/>
      <c r="IL478" s="60"/>
      <c r="IM478" s="16"/>
      <c r="IN478" s="16"/>
      <c r="IO478" s="16"/>
      <c r="IP478" s="16"/>
      <c r="IQ478" s="16"/>
      <c r="IR478" s="17"/>
      <c r="IV478" s="24"/>
      <c r="IW478" s="60"/>
      <c r="IX478" s="16"/>
      <c r="IY478" s="16"/>
      <c r="IZ478" s="16"/>
      <c r="JA478" s="16"/>
      <c r="JB478" s="16"/>
      <c r="JC478" s="17"/>
      <c r="JG478" s="24"/>
      <c r="JH478" s="60"/>
      <c r="JI478" s="16"/>
      <c r="JJ478" s="16"/>
      <c r="JK478" s="16"/>
      <c r="JL478" s="16"/>
      <c r="JM478" s="16"/>
      <c r="JN478" s="17"/>
      <c r="JR478" s="24"/>
      <c r="JS478" s="60"/>
      <c r="JT478" s="16"/>
      <c r="JU478" s="16"/>
      <c r="JV478" s="16"/>
      <c r="JW478" s="16"/>
      <c r="JX478" s="16"/>
      <c r="JY478" s="17"/>
      <c r="KC478" s="24"/>
      <c r="KD478" s="60"/>
      <c r="KE478" s="16"/>
      <c r="KF478" s="16"/>
      <c r="KG478" s="16"/>
      <c r="KH478" s="16"/>
      <c r="KI478" s="16"/>
      <c r="KJ478" s="17"/>
      <c r="KN478" s="24"/>
      <c r="KO478" s="60"/>
      <c r="KP478" s="16"/>
      <c r="KQ478" s="16"/>
      <c r="KR478" s="16"/>
      <c r="KS478" s="16"/>
      <c r="KT478" s="16"/>
      <c r="KU478" s="17"/>
      <c r="KY478" s="24"/>
      <c r="KZ478" s="60"/>
      <c r="LA478" s="16"/>
      <c r="LB478" s="16"/>
      <c r="LC478" s="16"/>
      <c r="LD478" s="16"/>
      <c r="LE478" s="16"/>
      <c r="LF478" s="17"/>
      <c r="LJ478" s="24"/>
      <c r="LK478" s="60"/>
      <c r="LL478" s="16"/>
      <c r="LM478" s="16"/>
      <c r="LN478" s="16"/>
      <c r="LO478" s="16"/>
      <c r="LP478" s="16"/>
      <c r="LQ478" s="17"/>
    </row>
    <row r="479">
      <c r="C479" s="31"/>
      <c r="D479" s="61"/>
      <c r="E479" s="16"/>
      <c r="F479" s="16"/>
      <c r="G479" s="21"/>
      <c r="H479" s="16"/>
      <c r="I479" s="16"/>
      <c r="J479" s="17"/>
      <c r="N479" s="17"/>
      <c r="O479" s="61"/>
      <c r="P479" s="16"/>
      <c r="Q479" s="16"/>
      <c r="R479" s="16"/>
      <c r="S479" s="16"/>
      <c r="T479" s="16"/>
      <c r="U479" s="17"/>
      <c r="Y479" s="24"/>
      <c r="Z479" s="61"/>
      <c r="AA479" s="16"/>
      <c r="AB479" s="16"/>
      <c r="AC479" s="16"/>
      <c r="AD479" s="16"/>
      <c r="AE479" s="16"/>
      <c r="AF479" s="17"/>
      <c r="AJ479" s="24"/>
      <c r="AK479" s="61"/>
      <c r="AL479" s="16"/>
      <c r="AM479" s="16"/>
      <c r="AN479" s="16"/>
      <c r="AO479" s="16"/>
      <c r="AP479" s="16"/>
      <c r="AQ479" s="17"/>
      <c r="AU479" s="24"/>
      <c r="AV479" s="61"/>
      <c r="AW479" s="16"/>
      <c r="AX479" s="16"/>
      <c r="AY479" s="16"/>
      <c r="AZ479" s="16"/>
      <c r="BA479" s="16"/>
      <c r="BB479" s="17"/>
      <c r="BF479" s="24"/>
      <c r="BG479" s="61"/>
      <c r="BH479" s="16"/>
      <c r="BI479" s="16"/>
      <c r="BJ479" s="16"/>
      <c r="BK479" s="16"/>
      <c r="BL479" s="16"/>
      <c r="BM479" s="17"/>
      <c r="BQ479" s="24"/>
      <c r="BR479" s="61"/>
      <c r="BS479" s="16"/>
      <c r="BT479" s="16"/>
      <c r="BU479" s="16"/>
      <c r="BV479" s="16"/>
      <c r="BW479" s="16"/>
      <c r="BX479" s="17"/>
      <c r="CB479" s="24"/>
      <c r="CC479" s="61"/>
      <c r="CD479" s="16"/>
      <c r="CE479" s="16"/>
      <c r="CF479" s="16"/>
      <c r="CG479" s="16"/>
      <c r="CH479" s="16"/>
      <c r="CI479" s="17"/>
      <c r="CM479" s="24"/>
      <c r="CN479" s="61"/>
      <c r="CO479" s="16"/>
      <c r="CP479" s="16"/>
      <c r="CQ479" s="16"/>
      <c r="CR479" s="16"/>
      <c r="CS479" s="16"/>
      <c r="CT479" s="17"/>
      <c r="CX479" s="24"/>
      <c r="CY479" s="60"/>
      <c r="CZ479" s="16"/>
      <c r="DA479" s="16"/>
      <c r="DB479" s="16"/>
      <c r="DC479" s="16"/>
      <c r="DD479" s="16"/>
      <c r="DE479" s="17"/>
      <c r="DI479" s="24"/>
      <c r="DJ479" s="60"/>
      <c r="DK479" s="16"/>
      <c r="DL479" s="16"/>
      <c r="DM479" s="16"/>
      <c r="DN479" s="16"/>
      <c r="DO479" s="16"/>
      <c r="DP479" s="17"/>
      <c r="DT479" s="24"/>
      <c r="DU479" s="60"/>
      <c r="DV479" s="16"/>
      <c r="DW479" s="16"/>
      <c r="DX479" s="16"/>
      <c r="DY479" s="16"/>
      <c r="DZ479" s="16"/>
      <c r="EA479" s="17"/>
      <c r="EE479" s="24"/>
      <c r="EF479" s="60"/>
      <c r="EG479" s="16"/>
      <c r="EH479" s="16"/>
      <c r="EI479" s="16"/>
      <c r="EJ479" s="16"/>
      <c r="EK479" s="16"/>
      <c r="EL479" s="17"/>
      <c r="EP479" s="24"/>
      <c r="EQ479" s="60"/>
      <c r="ER479" s="16"/>
      <c r="ES479" s="16"/>
      <c r="ET479" s="16"/>
      <c r="EU479" s="16"/>
      <c r="EV479" s="16"/>
      <c r="EW479" s="17"/>
      <c r="FA479" s="24"/>
      <c r="FB479" s="60"/>
      <c r="FC479" s="16"/>
      <c r="FD479" s="16"/>
      <c r="FE479" s="16"/>
      <c r="FF479" s="16"/>
      <c r="FG479" s="16"/>
      <c r="FH479" s="17"/>
      <c r="FL479" s="24"/>
      <c r="FM479" s="60"/>
      <c r="FN479" s="16"/>
      <c r="FO479" s="16"/>
      <c r="FP479" s="16"/>
      <c r="FQ479" s="16"/>
      <c r="FR479" s="16"/>
      <c r="FS479" s="17"/>
      <c r="FW479" s="24"/>
      <c r="FX479" s="60"/>
      <c r="FY479" s="16"/>
      <c r="FZ479" s="16"/>
      <c r="GA479" s="16"/>
      <c r="GB479" s="16"/>
      <c r="GC479" s="16"/>
      <c r="GD479" s="17"/>
      <c r="GH479" s="24"/>
      <c r="GI479" s="60"/>
      <c r="GJ479" s="16"/>
      <c r="GK479" s="16"/>
      <c r="GL479" s="16"/>
      <c r="GM479" s="16"/>
      <c r="GN479" s="16"/>
      <c r="GO479" s="17"/>
      <c r="GS479" s="24"/>
      <c r="GT479" s="60"/>
      <c r="GU479" s="16"/>
      <c r="GV479" s="16"/>
      <c r="GW479" s="16"/>
      <c r="GX479" s="16"/>
      <c r="GY479" s="16"/>
      <c r="GZ479" s="17"/>
      <c r="HD479" s="24"/>
      <c r="HE479" s="60"/>
      <c r="HF479" s="16"/>
      <c r="HG479" s="16"/>
      <c r="HH479" s="16"/>
      <c r="HI479" s="16"/>
      <c r="HJ479" s="16"/>
      <c r="HK479" s="17"/>
      <c r="HO479" s="24"/>
      <c r="HP479" s="60"/>
      <c r="HQ479" s="16"/>
      <c r="HR479" s="16"/>
      <c r="HS479" s="16"/>
      <c r="HT479" s="16"/>
      <c r="HU479" s="16"/>
      <c r="HV479" s="17"/>
      <c r="HZ479" s="24"/>
      <c r="IA479" s="60"/>
      <c r="IB479" s="16"/>
      <c r="IC479" s="16"/>
      <c r="ID479" s="16"/>
      <c r="IE479" s="16"/>
      <c r="IF479" s="16"/>
      <c r="IG479" s="17"/>
      <c r="IK479" s="24"/>
      <c r="IL479" s="60"/>
      <c r="IM479" s="16"/>
      <c r="IN479" s="16"/>
      <c r="IO479" s="16"/>
      <c r="IP479" s="16"/>
      <c r="IQ479" s="16"/>
      <c r="IR479" s="17"/>
      <c r="IV479" s="24"/>
      <c r="IW479" s="60"/>
      <c r="IX479" s="16"/>
      <c r="IY479" s="16"/>
      <c r="IZ479" s="16"/>
      <c r="JA479" s="16"/>
      <c r="JB479" s="16"/>
      <c r="JC479" s="17"/>
      <c r="JG479" s="24"/>
      <c r="JH479" s="60"/>
      <c r="JI479" s="16"/>
      <c r="JJ479" s="16"/>
      <c r="JK479" s="16"/>
      <c r="JL479" s="16"/>
      <c r="JM479" s="16"/>
      <c r="JN479" s="17"/>
      <c r="JR479" s="24"/>
      <c r="JS479" s="60"/>
      <c r="JT479" s="16"/>
      <c r="JU479" s="16"/>
      <c r="JV479" s="16"/>
      <c r="JW479" s="16"/>
      <c r="JX479" s="16"/>
      <c r="JY479" s="17"/>
      <c r="KC479" s="24"/>
      <c r="KD479" s="60"/>
      <c r="KE479" s="16"/>
      <c r="KF479" s="16"/>
      <c r="KG479" s="16"/>
      <c r="KH479" s="16"/>
      <c r="KI479" s="16"/>
      <c r="KJ479" s="17"/>
      <c r="KN479" s="24"/>
      <c r="KO479" s="60"/>
      <c r="KP479" s="16"/>
      <c r="KQ479" s="16"/>
      <c r="KR479" s="16"/>
      <c r="KS479" s="16"/>
      <c r="KT479" s="16"/>
      <c r="KU479" s="17"/>
      <c r="KY479" s="24"/>
      <c r="KZ479" s="60"/>
      <c r="LA479" s="16"/>
      <c r="LB479" s="16"/>
      <c r="LC479" s="16"/>
      <c r="LD479" s="16"/>
      <c r="LE479" s="16"/>
      <c r="LF479" s="17"/>
      <c r="LJ479" s="24"/>
      <c r="LK479" s="60"/>
      <c r="LL479" s="16"/>
      <c r="LM479" s="16"/>
      <c r="LN479" s="16"/>
      <c r="LO479" s="16"/>
      <c r="LP479" s="16"/>
      <c r="LQ479" s="17"/>
    </row>
    <row r="480">
      <c r="C480" s="31"/>
      <c r="D480" s="61"/>
      <c r="E480" s="16"/>
      <c r="F480" s="16"/>
      <c r="G480" s="21"/>
      <c r="H480" s="16"/>
      <c r="I480" s="16"/>
      <c r="J480" s="17"/>
      <c r="N480" s="17"/>
      <c r="O480" s="61"/>
      <c r="P480" s="16"/>
      <c r="Q480" s="16"/>
      <c r="R480" s="16"/>
      <c r="S480" s="16"/>
      <c r="T480" s="16"/>
      <c r="U480" s="17"/>
      <c r="Y480" s="24"/>
      <c r="Z480" s="61"/>
      <c r="AA480" s="16"/>
      <c r="AB480" s="16"/>
      <c r="AC480" s="16"/>
      <c r="AD480" s="16"/>
      <c r="AE480" s="16"/>
      <c r="AF480" s="17"/>
      <c r="AJ480" s="24"/>
      <c r="AK480" s="61"/>
      <c r="AL480" s="16"/>
      <c r="AM480" s="16"/>
      <c r="AN480" s="16"/>
      <c r="AO480" s="16"/>
      <c r="AP480" s="16"/>
      <c r="AQ480" s="17"/>
      <c r="AU480" s="24"/>
      <c r="AV480" s="61"/>
      <c r="AW480" s="16"/>
      <c r="AX480" s="16"/>
      <c r="AY480" s="16"/>
      <c r="AZ480" s="16"/>
      <c r="BA480" s="16"/>
      <c r="BB480" s="17"/>
      <c r="BF480" s="24"/>
      <c r="BG480" s="61"/>
      <c r="BH480" s="16"/>
      <c r="BI480" s="16"/>
      <c r="BJ480" s="16"/>
      <c r="BK480" s="16"/>
      <c r="BL480" s="16"/>
      <c r="BM480" s="17"/>
      <c r="BQ480" s="24"/>
      <c r="BR480" s="61"/>
      <c r="BS480" s="16"/>
      <c r="BT480" s="16"/>
      <c r="BU480" s="16"/>
      <c r="BV480" s="16"/>
      <c r="BW480" s="16"/>
      <c r="BX480" s="17"/>
      <c r="CB480" s="24"/>
      <c r="CC480" s="61"/>
      <c r="CD480" s="16"/>
      <c r="CE480" s="16"/>
      <c r="CF480" s="16"/>
      <c r="CG480" s="16"/>
      <c r="CH480" s="16"/>
      <c r="CI480" s="17"/>
      <c r="CM480" s="24"/>
      <c r="CN480" s="61"/>
      <c r="CO480" s="16"/>
      <c r="CP480" s="16"/>
      <c r="CQ480" s="16"/>
      <c r="CR480" s="16"/>
      <c r="CS480" s="16"/>
      <c r="CT480" s="17"/>
      <c r="CX480" s="24"/>
      <c r="CY480" s="60"/>
      <c r="CZ480" s="16"/>
      <c r="DA480" s="16"/>
      <c r="DB480" s="16"/>
      <c r="DC480" s="16"/>
      <c r="DD480" s="16"/>
      <c r="DE480" s="17"/>
      <c r="DI480" s="24"/>
      <c r="DJ480" s="60"/>
      <c r="DK480" s="16"/>
      <c r="DL480" s="16"/>
      <c r="DM480" s="16"/>
      <c r="DN480" s="16"/>
      <c r="DO480" s="16"/>
      <c r="DP480" s="17"/>
      <c r="DT480" s="24"/>
      <c r="DU480" s="60"/>
      <c r="DV480" s="16"/>
      <c r="DW480" s="16"/>
      <c r="DX480" s="16"/>
      <c r="DY480" s="16"/>
      <c r="DZ480" s="16"/>
      <c r="EA480" s="17"/>
      <c r="EE480" s="24"/>
      <c r="EF480" s="60"/>
      <c r="EG480" s="16"/>
      <c r="EH480" s="16"/>
      <c r="EI480" s="16"/>
      <c r="EJ480" s="16"/>
      <c r="EK480" s="16"/>
      <c r="EL480" s="17"/>
      <c r="EP480" s="24"/>
      <c r="EQ480" s="60"/>
      <c r="ER480" s="16"/>
      <c r="ES480" s="16"/>
      <c r="ET480" s="16"/>
      <c r="EU480" s="16"/>
      <c r="EV480" s="16"/>
      <c r="EW480" s="17"/>
      <c r="FA480" s="24"/>
      <c r="FB480" s="60"/>
      <c r="FC480" s="16"/>
      <c r="FD480" s="16"/>
      <c r="FE480" s="16"/>
      <c r="FF480" s="16"/>
      <c r="FG480" s="16"/>
      <c r="FH480" s="17"/>
      <c r="FL480" s="24"/>
      <c r="FM480" s="60"/>
      <c r="FN480" s="16"/>
      <c r="FO480" s="16"/>
      <c r="FP480" s="16"/>
      <c r="FQ480" s="16"/>
      <c r="FR480" s="16"/>
      <c r="FS480" s="17"/>
      <c r="FW480" s="24"/>
      <c r="FX480" s="60"/>
      <c r="FY480" s="16"/>
      <c r="FZ480" s="16"/>
      <c r="GA480" s="16"/>
      <c r="GB480" s="16"/>
      <c r="GC480" s="16"/>
      <c r="GD480" s="17"/>
      <c r="GH480" s="24"/>
      <c r="GI480" s="60"/>
      <c r="GJ480" s="16"/>
      <c r="GK480" s="16"/>
      <c r="GL480" s="16"/>
      <c r="GM480" s="16"/>
      <c r="GN480" s="16"/>
      <c r="GO480" s="17"/>
      <c r="GS480" s="24"/>
      <c r="GT480" s="60"/>
      <c r="GU480" s="16"/>
      <c r="GV480" s="16"/>
      <c r="GW480" s="16"/>
      <c r="GX480" s="16"/>
      <c r="GY480" s="16"/>
      <c r="GZ480" s="17"/>
      <c r="HD480" s="24"/>
      <c r="HE480" s="60"/>
      <c r="HF480" s="16"/>
      <c r="HG480" s="16"/>
      <c r="HH480" s="16"/>
      <c r="HI480" s="16"/>
      <c r="HJ480" s="16"/>
      <c r="HK480" s="17"/>
      <c r="HO480" s="24"/>
      <c r="HP480" s="60"/>
      <c r="HQ480" s="16"/>
      <c r="HR480" s="16"/>
      <c r="HS480" s="16"/>
      <c r="HT480" s="16"/>
      <c r="HU480" s="16"/>
      <c r="HV480" s="17"/>
      <c r="HZ480" s="24"/>
      <c r="IA480" s="60"/>
      <c r="IB480" s="16"/>
      <c r="IC480" s="16"/>
      <c r="ID480" s="16"/>
      <c r="IE480" s="16"/>
      <c r="IF480" s="16"/>
      <c r="IG480" s="17"/>
      <c r="IK480" s="24"/>
      <c r="IL480" s="60"/>
      <c r="IM480" s="16"/>
      <c r="IN480" s="16"/>
      <c r="IO480" s="16"/>
      <c r="IP480" s="16"/>
      <c r="IQ480" s="16"/>
      <c r="IR480" s="17"/>
      <c r="IV480" s="24"/>
      <c r="IW480" s="60"/>
      <c r="IX480" s="16"/>
      <c r="IY480" s="16"/>
      <c r="IZ480" s="16"/>
      <c r="JA480" s="16"/>
      <c r="JB480" s="16"/>
      <c r="JC480" s="17"/>
      <c r="JG480" s="24"/>
      <c r="JH480" s="60"/>
      <c r="JI480" s="16"/>
      <c r="JJ480" s="16"/>
      <c r="JK480" s="16"/>
      <c r="JL480" s="16"/>
      <c r="JM480" s="16"/>
      <c r="JN480" s="17"/>
      <c r="JR480" s="24"/>
      <c r="JS480" s="60"/>
      <c r="JT480" s="16"/>
      <c r="JU480" s="16"/>
      <c r="JV480" s="16"/>
      <c r="JW480" s="16"/>
      <c r="JX480" s="16"/>
      <c r="JY480" s="17"/>
      <c r="KC480" s="24"/>
      <c r="KD480" s="60"/>
      <c r="KE480" s="16"/>
      <c r="KF480" s="16"/>
      <c r="KG480" s="16"/>
      <c r="KH480" s="16"/>
      <c r="KI480" s="16"/>
      <c r="KJ480" s="17"/>
      <c r="KN480" s="24"/>
      <c r="KO480" s="60"/>
      <c r="KP480" s="16"/>
      <c r="KQ480" s="16"/>
      <c r="KR480" s="16"/>
      <c r="KS480" s="16"/>
      <c r="KT480" s="16"/>
      <c r="KU480" s="17"/>
      <c r="KY480" s="24"/>
      <c r="KZ480" s="60"/>
      <c r="LA480" s="16"/>
      <c r="LB480" s="16"/>
      <c r="LC480" s="16"/>
      <c r="LD480" s="16"/>
      <c r="LE480" s="16"/>
      <c r="LF480" s="17"/>
      <c r="LJ480" s="24"/>
      <c r="LK480" s="60"/>
      <c r="LL480" s="16"/>
      <c r="LM480" s="16"/>
      <c r="LN480" s="16"/>
      <c r="LO480" s="16"/>
      <c r="LP480" s="16"/>
      <c r="LQ480" s="17"/>
    </row>
    <row r="481">
      <c r="C481" s="31"/>
      <c r="D481" s="61"/>
      <c r="E481" s="16"/>
      <c r="F481" s="16"/>
      <c r="G481" s="21"/>
      <c r="H481" s="16"/>
      <c r="I481" s="16"/>
      <c r="J481" s="17"/>
      <c r="N481" s="17"/>
      <c r="O481" s="61"/>
      <c r="P481" s="16"/>
      <c r="Q481" s="16"/>
      <c r="R481" s="16"/>
      <c r="S481" s="16"/>
      <c r="T481" s="16"/>
      <c r="U481" s="17"/>
      <c r="Y481" s="24"/>
      <c r="Z481" s="61"/>
      <c r="AA481" s="16"/>
      <c r="AB481" s="16"/>
      <c r="AC481" s="16"/>
      <c r="AD481" s="16"/>
      <c r="AE481" s="16"/>
      <c r="AF481" s="17"/>
      <c r="AJ481" s="24"/>
      <c r="AK481" s="61"/>
      <c r="AL481" s="16"/>
      <c r="AM481" s="16"/>
      <c r="AN481" s="16"/>
      <c r="AO481" s="16"/>
      <c r="AP481" s="16"/>
      <c r="AQ481" s="17"/>
      <c r="AU481" s="24"/>
      <c r="AV481" s="61"/>
      <c r="AW481" s="16"/>
      <c r="AX481" s="16"/>
      <c r="AY481" s="16"/>
      <c r="AZ481" s="16"/>
      <c r="BA481" s="16"/>
      <c r="BB481" s="17"/>
      <c r="BF481" s="24"/>
      <c r="BG481" s="61"/>
      <c r="BH481" s="16"/>
      <c r="BI481" s="16"/>
      <c r="BJ481" s="16"/>
      <c r="BK481" s="16"/>
      <c r="BL481" s="16"/>
      <c r="BM481" s="17"/>
      <c r="BQ481" s="24"/>
      <c r="BR481" s="61"/>
      <c r="BS481" s="16"/>
      <c r="BT481" s="16"/>
      <c r="BU481" s="16"/>
      <c r="BV481" s="16"/>
      <c r="BW481" s="16"/>
      <c r="BX481" s="17"/>
      <c r="CB481" s="24"/>
      <c r="CC481" s="61"/>
      <c r="CD481" s="16"/>
      <c r="CE481" s="16"/>
      <c r="CF481" s="16"/>
      <c r="CG481" s="16"/>
      <c r="CH481" s="16"/>
      <c r="CI481" s="17"/>
      <c r="CM481" s="24"/>
      <c r="CN481" s="61"/>
      <c r="CO481" s="16"/>
      <c r="CP481" s="16"/>
      <c r="CQ481" s="16"/>
      <c r="CR481" s="16"/>
      <c r="CS481" s="16"/>
      <c r="CT481" s="17"/>
      <c r="CX481" s="24"/>
      <c r="CY481" s="60"/>
      <c r="CZ481" s="16"/>
      <c r="DA481" s="16"/>
      <c r="DB481" s="16"/>
      <c r="DC481" s="16"/>
      <c r="DD481" s="16"/>
      <c r="DE481" s="17"/>
      <c r="DI481" s="24"/>
      <c r="DJ481" s="60"/>
      <c r="DK481" s="16"/>
      <c r="DL481" s="16"/>
      <c r="DM481" s="16"/>
      <c r="DN481" s="16"/>
      <c r="DO481" s="16"/>
      <c r="DP481" s="17"/>
      <c r="DT481" s="24"/>
      <c r="DU481" s="60"/>
      <c r="DV481" s="16"/>
      <c r="DW481" s="16"/>
      <c r="DX481" s="16"/>
      <c r="DY481" s="16"/>
      <c r="DZ481" s="16"/>
      <c r="EA481" s="17"/>
      <c r="EE481" s="24"/>
      <c r="EF481" s="60"/>
      <c r="EG481" s="16"/>
      <c r="EH481" s="16"/>
      <c r="EI481" s="16"/>
      <c r="EJ481" s="16"/>
      <c r="EK481" s="16"/>
      <c r="EL481" s="17"/>
      <c r="EP481" s="24"/>
      <c r="EQ481" s="60"/>
      <c r="ER481" s="16"/>
      <c r="ES481" s="16"/>
      <c r="ET481" s="16"/>
      <c r="EU481" s="16"/>
      <c r="EV481" s="16"/>
      <c r="EW481" s="17"/>
      <c r="FA481" s="24"/>
      <c r="FB481" s="60"/>
      <c r="FC481" s="16"/>
      <c r="FD481" s="16"/>
      <c r="FE481" s="16"/>
      <c r="FF481" s="16"/>
      <c r="FG481" s="16"/>
      <c r="FH481" s="17"/>
      <c r="FL481" s="24"/>
      <c r="FM481" s="60"/>
      <c r="FN481" s="16"/>
      <c r="FO481" s="16"/>
      <c r="FP481" s="16"/>
      <c r="FQ481" s="16"/>
      <c r="FR481" s="16"/>
      <c r="FS481" s="17"/>
      <c r="FW481" s="24"/>
      <c r="FX481" s="60"/>
      <c r="FY481" s="16"/>
      <c r="FZ481" s="16"/>
      <c r="GA481" s="16"/>
      <c r="GB481" s="16"/>
      <c r="GC481" s="16"/>
      <c r="GD481" s="17"/>
      <c r="GH481" s="24"/>
      <c r="GI481" s="60"/>
      <c r="GJ481" s="16"/>
      <c r="GK481" s="16"/>
      <c r="GL481" s="16"/>
      <c r="GM481" s="16"/>
      <c r="GN481" s="16"/>
      <c r="GO481" s="17"/>
      <c r="GS481" s="24"/>
      <c r="GT481" s="60"/>
      <c r="GU481" s="16"/>
      <c r="GV481" s="16"/>
      <c r="GW481" s="16"/>
      <c r="GX481" s="16"/>
      <c r="GY481" s="16"/>
      <c r="GZ481" s="17"/>
      <c r="HD481" s="24"/>
      <c r="HE481" s="60"/>
      <c r="HF481" s="16"/>
      <c r="HG481" s="16"/>
      <c r="HH481" s="16"/>
      <c r="HI481" s="16"/>
      <c r="HJ481" s="16"/>
      <c r="HK481" s="17"/>
      <c r="HO481" s="24"/>
      <c r="HP481" s="60"/>
      <c r="HQ481" s="16"/>
      <c r="HR481" s="16"/>
      <c r="HS481" s="16"/>
      <c r="HT481" s="16"/>
      <c r="HU481" s="16"/>
      <c r="HV481" s="17"/>
      <c r="HZ481" s="24"/>
      <c r="IA481" s="60"/>
      <c r="IB481" s="16"/>
      <c r="IC481" s="16"/>
      <c r="ID481" s="16"/>
      <c r="IE481" s="16"/>
      <c r="IF481" s="16"/>
      <c r="IG481" s="17"/>
      <c r="IK481" s="24"/>
      <c r="IL481" s="60"/>
      <c r="IM481" s="16"/>
      <c r="IN481" s="16"/>
      <c r="IO481" s="16"/>
      <c r="IP481" s="16"/>
      <c r="IQ481" s="16"/>
      <c r="IR481" s="17"/>
      <c r="IV481" s="24"/>
      <c r="IW481" s="60"/>
      <c r="IX481" s="16"/>
      <c r="IY481" s="16"/>
      <c r="IZ481" s="16"/>
      <c r="JA481" s="16"/>
      <c r="JB481" s="16"/>
      <c r="JC481" s="17"/>
      <c r="JG481" s="24"/>
      <c r="JH481" s="60"/>
      <c r="JI481" s="16"/>
      <c r="JJ481" s="16"/>
      <c r="JK481" s="16"/>
      <c r="JL481" s="16"/>
      <c r="JM481" s="16"/>
      <c r="JN481" s="17"/>
      <c r="JR481" s="24"/>
      <c r="JS481" s="60"/>
      <c r="JT481" s="16"/>
      <c r="JU481" s="16"/>
      <c r="JV481" s="16"/>
      <c r="JW481" s="16"/>
      <c r="JX481" s="16"/>
      <c r="JY481" s="17"/>
      <c r="KC481" s="24"/>
      <c r="KD481" s="60"/>
      <c r="KE481" s="16"/>
      <c r="KF481" s="16"/>
      <c r="KG481" s="16"/>
      <c r="KH481" s="16"/>
      <c r="KI481" s="16"/>
      <c r="KJ481" s="17"/>
      <c r="KN481" s="24"/>
      <c r="KO481" s="60"/>
      <c r="KP481" s="16"/>
      <c r="KQ481" s="16"/>
      <c r="KR481" s="16"/>
      <c r="KS481" s="16"/>
      <c r="KT481" s="16"/>
      <c r="KU481" s="17"/>
      <c r="KY481" s="24"/>
      <c r="KZ481" s="60"/>
      <c r="LA481" s="16"/>
      <c r="LB481" s="16"/>
      <c r="LC481" s="16"/>
      <c r="LD481" s="16"/>
      <c r="LE481" s="16"/>
      <c r="LF481" s="17"/>
      <c r="LJ481" s="24"/>
      <c r="LK481" s="60"/>
      <c r="LL481" s="16"/>
      <c r="LM481" s="16"/>
      <c r="LN481" s="16"/>
      <c r="LO481" s="16"/>
      <c r="LP481" s="16"/>
      <c r="LQ481" s="17"/>
    </row>
    <row r="482">
      <c r="C482" s="31"/>
      <c r="D482" s="61"/>
      <c r="E482" s="16"/>
      <c r="F482" s="16"/>
      <c r="G482" s="21"/>
      <c r="H482" s="16"/>
      <c r="I482" s="16"/>
      <c r="J482" s="17"/>
      <c r="N482" s="17"/>
      <c r="O482" s="61"/>
      <c r="P482" s="16"/>
      <c r="Q482" s="16"/>
      <c r="R482" s="16"/>
      <c r="S482" s="16"/>
      <c r="T482" s="16"/>
      <c r="U482" s="17"/>
      <c r="Y482" s="24"/>
      <c r="Z482" s="61"/>
      <c r="AA482" s="16"/>
      <c r="AB482" s="16"/>
      <c r="AC482" s="16"/>
      <c r="AD482" s="16"/>
      <c r="AE482" s="16"/>
      <c r="AF482" s="17"/>
      <c r="AJ482" s="24"/>
      <c r="AK482" s="61"/>
      <c r="AL482" s="16"/>
      <c r="AM482" s="16"/>
      <c r="AN482" s="16"/>
      <c r="AO482" s="16"/>
      <c r="AP482" s="16"/>
      <c r="AQ482" s="17"/>
      <c r="AU482" s="24"/>
      <c r="AV482" s="61"/>
      <c r="AW482" s="16"/>
      <c r="AX482" s="16"/>
      <c r="AY482" s="16"/>
      <c r="AZ482" s="16"/>
      <c r="BA482" s="16"/>
      <c r="BB482" s="17"/>
      <c r="BF482" s="24"/>
      <c r="BG482" s="61"/>
      <c r="BH482" s="16"/>
      <c r="BI482" s="16"/>
      <c r="BJ482" s="16"/>
      <c r="BK482" s="16"/>
      <c r="BL482" s="16"/>
      <c r="BM482" s="17"/>
      <c r="BQ482" s="24"/>
      <c r="BR482" s="61"/>
      <c r="BS482" s="16"/>
      <c r="BT482" s="16"/>
      <c r="BU482" s="16"/>
      <c r="BV482" s="16"/>
      <c r="BW482" s="16"/>
      <c r="BX482" s="17"/>
      <c r="CB482" s="24"/>
      <c r="CC482" s="61"/>
      <c r="CD482" s="16"/>
      <c r="CE482" s="16"/>
      <c r="CF482" s="16"/>
      <c r="CG482" s="16"/>
      <c r="CH482" s="16"/>
      <c r="CI482" s="17"/>
      <c r="CM482" s="24"/>
      <c r="CN482" s="61"/>
      <c r="CO482" s="16"/>
      <c r="CP482" s="16"/>
      <c r="CQ482" s="16"/>
      <c r="CR482" s="16"/>
      <c r="CS482" s="16"/>
      <c r="CT482" s="17"/>
      <c r="CX482" s="24"/>
      <c r="CY482" s="60"/>
      <c r="CZ482" s="16"/>
      <c r="DA482" s="16"/>
      <c r="DB482" s="16"/>
      <c r="DC482" s="16"/>
      <c r="DD482" s="16"/>
      <c r="DE482" s="17"/>
      <c r="DI482" s="24"/>
      <c r="DJ482" s="60"/>
      <c r="DK482" s="16"/>
      <c r="DL482" s="16"/>
      <c r="DM482" s="16"/>
      <c r="DN482" s="16"/>
      <c r="DO482" s="16"/>
      <c r="DP482" s="17"/>
      <c r="DT482" s="24"/>
      <c r="DU482" s="60"/>
      <c r="DV482" s="16"/>
      <c r="DW482" s="16"/>
      <c r="DX482" s="16"/>
      <c r="DY482" s="16"/>
      <c r="DZ482" s="16"/>
      <c r="EA482" s="17"/>
      <c r="EE482" s="24"/>
      <c r="EF482" s="60"/>
      <c r="EG482" s="16"/>
      <c r="EH482" s="16"/>
      <c r="EI482" s="16"/>
      <c r="EJ482" s="16"/>
      <c r="EK482" s="16"/>
      <c r="EL482" s="17"/>
      <c r="EP482" s="24"/>
      <c r="EQ482" s="60"/>
      <c r="ER482" s="16"/>
      <c r="ES482" s="16"/>
      <c r="ET482" s="16"/>
      <c r="EU482" s="16"/>
      <c r="EV482" s="16"/>
      <c r="EW482" s="17"/>
      <c r="FA482" s="24"/>
      <c r="FB482" s="60"/>
      <c r="FC482" s="16"/>
      <c r="FD482" s="16"/>
      <c r="FE482" s="16"/>
      <c r="FF482" s="16"/>
      <c r="FG482" s="16"/>
      <c r="FH482" s="17"/>
      <c r="FL482" s="24"/>
      <c r="FM482" s="60"/>
      <c r="FN482" s="16"/>
      <c r="FO482" s="16"/>
      <c r="FP482" s="16"/>
      <c r="FQ482" s="16"/>
      <c r="FR482" s="16"/>
      <c r="FS482" s="17"/>
      <c r="FW482" s="24"/>
      <c r="FX482" s="60"/>
      <c r="FY482" s="16"/>
      <c r="FZ482" s="16"/>
      <c r="GA482" s="16"/>
      <c r="GB482" s="16"/>
      <c r="GC482" s="16"/>
      <c r="GD482" s="17"/>
      <c r="GH482" s="24"/>
      <c r="GI482" s="60"/>
      <c r="GJ482" s="16"/>
      <c r="GK482" s="16"/>
      <c r="GL482" s="16"/>
      <c r="GM482" s="16"/>
      <c r="GN482" s="16"/>
      <c r="GO482" s="17"/>
      <c r="GS482" s="24"/>
      <c r="GT482" s="60"/>
      <c r="GU482" s="16"/>
      <c r="GV482" s="16"/>
      <c r="GW482" s="16"/>
      <c r="GX482" s="16"/>
      <c r="GY482" s="16"/>
      <c r="GZ482" s="17"/>
      <c r="HD482" s="24"/>
      <c r="HE482" s="60"/>
      <c r="HF482" s="16"/>
      <c r="HG482" s="16"/>
      <c r="HH482" s="16"/>
      <c r="HI482" s="16"/>
      <c r="HJ482" s="16"/>
      <c r="HK482" s="17"/>
      <c r="HO482" s="24"/>
      <c r="HP482" s="60"/>
      <c r="HQ482" s="16"/>
      <c r="HR482" s="16"/>
      <c r="HS482" s="16"/>
      <c r="HT482" s="16"/>
      <c r="HU482" s="16"/>
      <c r="HV482" s="17"/>
      <c r="HZ482" s="24"/>
      <c r="IA482" s="60"/>
      <c r="IB482" s="16"/>
      <c r="IC482" s="16"/>
      <c r="ID482" s="16"/>
      <c r="IE482" s="16"/>
      <c r="IF482" s="16"/>
      <c r="IG482" s="17"/>
      <c r="IK482" s="24"/>
      <c r="IL482" s="60"/>
      <c r="IM482" s="16"/>
      <c r="IN482" s="16"/>
      <c r="IO482" s="16"/>
      <c r="IP482" s="16"/>
      <c r="IQ482" s="16"/>
      <c r="IR482" s="17"/>
      <c r="IV482" s="24"/>
      <c r="IW482" s="60"/>
      <c r="IX482" s="16"/>
      <c r="IY482" s="16"/>
      <c r="IZ482" s="16"/>
      <c r="JA482" s="16"/>
      <c r="JB482" s="16"/>
      <c r="JC482" s="17"/>
      <c r="JG482" s="24"/>
      <c r="JH482" s="60"/>
      <c r="JI482" s="16"/>
      <c r="JJ482" s="16"/>
      <c r="JK482" s="16"/>
      <c r="JL482" s="16"/>
      <c r="JM482" s="16"/>
      <c r="JN482" s="17"/>
      <c r="JR482" s="24"/>
      <c r="JS482" s="60"/>
      <c r="JT482" s="16"/>
      <c r="JU482" s="16"/>
      <c r="JV482" s="16"/>
      <c r="JW482" s="16"/>
      <c r="JX482" s="16"/>
      <c r="JY482" s="17"/>
      <c r="KC482" s="24"/>
      <c r="KD482" s="60"/>
      <c r="KE482" s="16"/>
      <c r="KF482" s="16"/>
      <c r="KG482" s="16"/>
      <c r="KH482" s="16"/>
      <c r="KI482" s="16"/>
      <c r="KJ482" s="17"/>
      <c r="KN482" s="24"/>
      <c r="KO482" s="60"/>
      <c r="KP482" s="16"/>
      <c r="KQ482" s="16"/>
      <c r="KR482" s="16"/>
      <c r="KS482" s="16"/>
      <c r="KT482" s="16"/>
      <c r="KU482" s="17"/>
      <c r="KY482" s="24"/>
      <c r="KZ482" s="60"/>
      <c r="LA482" s="16"/>
      <c r="LB482" s="16"/>
      <c r="LC482" s="16"/>
      <c r="LD482" s="16"/>
      <c r="LE482" s="16"/>
      <c r="LF482" s="17"/>
      <c r="LJ482" s="24"/>
      <c r="LK482" s="60"/>
      <c r="LL482" s="16"/>
      <c r="LM482" s="16"/>
      <c r="LN482" s="16"/>
      <c r="LO482" s="16"/>
      <c r="LP482" s="16"/>
      <c r="LQ482" s="17"/>
    </row>
    <row r="483">
      <c r="C483" s="31"/>
      <c r="D483" s="61"/>
      <c r="E483" s="16"/>
      <c r="F483" s="16"/>
      <c r="G483" s="21"/>
      <c r="H483" s="16"/>
      <c r="I483" s="16"/>
      <c r="J483" s="17"/>
      <c r="N483" s="17"/>
      <c r="O483" s="61"/>
      <c r="P483" s="16"/>
      <c r="Q483" s="16"/>
      <c r="R483" s="16"/>
      <c r="S483" s="16"/>
      <c r="T483" s="16"/>
      <c r="U483" s="17"/>
      <c r="Y483" s="24"/>
      <c r="Z483" s="61"/>
      <c r="AA483" s="16"/>
      <c r="AB483" s="16"/>
      <c r="AC483" s="16"/>
      <c r="AD483" s="16"/>
      <c r="AE483" s="16"/>
      <c r="AF483" s="17"/>
      <c r="AJ483" s="24"/>
      <c r="AK483" s="61"/>
      <c r="AL483" s="16"/>
      <c r="AM483" s="16"/>
      <c r="AN483" s="16"/>
      <c r="AO483" s="16"/>
      <c r="AP483" s="16"/>
      <c r="AQ483" s="17"/>
      <c r="AU483" s="24"/>
      <c r="AV483" s="61"/>
      <c r="AW483" s="16"/>
      <c r="AX483" s="16"/>
      <c r="AY483" s="16"/>
      <c r="AZ483" s="16"/>
      <c r="BA483" s="16"/>
      <c r="BB483" s="17"/>
      <c r="BF483" s="24"/>
      <c r="BG483" s="61"/>
      <c r="BH483" s="16"/>
      <c r="BI483" s="16"/>
      <c r="BJ483" s="16"/>
      <c r="BK483" s="16"/>
      <c r="BL483" s="16"/>
      <c r="BM483" s="17"/>
      <c r="BQ483" s="24"/>
      <c r="BR483" s="61"/>
      <c r="BS483" s="16"/>
      <c r="BT483" s="16"/>
      <c r="BU483" s="16"/>
      <c r="BV483" s="16"/>
      <c r="BW483" s="16"/>
      <c r="BX483" s="17"/>
      <c r="CB483" s="24"/>
      <c r="CC483" s="61"/>
      <c r="CD483" s="16"/>
      <c r="CE483" s="16"/>
      <c r="CF483" s="16"/>
      <c r="CG483" s="16"/>
      <c r="CH483" s="16"/>
      <c r="CI483" s="17"/>
      <c r="CM483" s="24"/>
      <c r="CN483" s="61"/>
      <c r="CO483" s="16"/>
      <c r="CP483" s="16"/>
      <c r="CQ483" s="16"/>
      <c r="CR483" s="16"/>
      <c r="CS483" s="16"/>
      <c r="CT483" s="17"/>
      <c r="CX483" s="24"/>
      <c r="CY483" s="60"/>
      <c r="CZ483" s="16"/>
      <c r="DA483" s="16"/>
      <c r="DB483" s="16"/>
      <c r="DC483" s="16"/>
      <c r="DD483" s="16"/>
      <c r="DE483" s="17"/>
      <c r="DI483" s="24"/>
      <c r="DJ483" s="60"/>
      <c r="DK483" s="16"/>
      <c r="DL483" s="16"/>
      <c r="DM483" s="16"/>
      <c r="DN483" s="16"/>
      <c r="DO483" s="16"/>
      <c r="DP483" s="17"/>
      <c r="DT483" s="24"/>
      <c r="DU483" s="60"/>
      <c r="DV483" s="16"/>
      <c r="DW483" s="16"/>
      <c r="DX483" s="16"/>
      <c r="DY483" s="16"/>
      <c r="DZ483" s="16"/>
      <c r="EA483" s="17"/>
      <c r="EE483" s="24"/>
      <c r="EF483" s="60"/>
      <c r="EG483" s="16"/>
      <c r="EH483" s="16"/>
      <c r="EI483" s="16"/>
      <c r="EJ483" s="16"/>
      <c r="EK483" s="16"/>
      <c r="EL483" s="17"/>
      <c r="EP483" s="24"/>
      <c r="EQ483" s="60"/>
      <c r="ER483" s="16"/>
      <c r="ES483" s="16"/>
      <c r="ET483" s="16"/>
      <c r="EU483" s="16"/>
      <c r="EV483" s="16"/>
      <c r="EW483" s="17"/>
      <c r="FA483" s="24"/>
      <c r="FB483" s="60"/>
      <c r="FC483" s="16"/>
      <c r="FD483" s="16"/>
      <c r="FE483" s="16"/>
      <c r="FF483" s="16"/>
      <c r="FG483" s="16"/>
      <c r="FH483" s="17"/>
      <c r="FL483" s="24"/>
      <c r="FM483" s="60"/>
      <c r="FN483" s="16"/>
      <c r="FO483" s="16"/>
      <c r="FP483" s="16"/>
      <c r="FQ483" s="16"/>
      <c r="FR483" s="16"/>
      <c r="FS483" s="17"/>
      <c r="FW483" s="24"/>
      <c r="FX483" s="60"/>
      <c r="FY483" s="16"/>
      <c r="FZ483" s="16"/>
      <c r="GA483" s="16"/>
      <c r="GB483" s="16"/>
      <c r="GC483" s="16"/>
      <c r="GD483" s="17"/>
      <c r="GH483" s="24"/>
      <c r="GI483" s="60"/>
      <c r="GJ483" s="16"/>
      <c r="GK483" s="16"/>
      <c r="GL483" s="16"/>
      <c r="GM483" s="16"/>
      <c r="GN483" s="16"/>
      <c r="GO483" s="17"/>
      <c r="GS483" s="24"/>
      <c r="GT483" s="60"/>
      <c r="GU483" s="16"/>
      <c r="GV483" s="16"/>
      <c r="GW483" s="16"/>
      <c r="GX483" s="16"/>
      <c r="GY483" s="16"/>
      <c r="GZ483" s="17"/>
      <c r="HD483" s="24"/>
      <c r="HE483" s="60"/>
      <c r="HF483" s="16"/>
      <c r="HG483" s="16"/>
      <c r="HH483" s="16"/>
      <c r="HI483" s="16"/>
      <c r="HJ483" s="16"/>
      <c r="HK483" s="17"/>
      <c r="HO483" s="24"/>
      <c r="HP483" s="60"/>
      <c r="HQ483" s="16"/>
      <c r="HR483" s="16"/>
      <c r="HS483" s="16"/>
      <c r="HT483" s="16"/>
      <c r="HU483" s="16"/>
      <c r="HV483" s="17"/>
      <c r="HZ483" s="24"/>
      <c r="IA483" s="60"/>
      <c r="IB483" s="16"/>
      <c r="IC483" s="16"/>
      <c r="ID483" s="16"/>
      <c r="IE483" s="16"/>
      <c r="IF483" s="16"/>
      <c r="IG483" s="17"/>
      <c r="IK483" s="24"/>
      <c r="IL483" s="60"/>
      <c r="IM483" s="16"/>
      <c r="IN483" s="16"/>
      <c r="IO483" s="16"/>
      <c r="IP483" s="16"/>
      <c r="IQ483" s="16"/>
      <c r="IR483" s="17"/>
      <c r="IV483" s="24"/>
      <c r="IW483" s="60"/>
      <c r="IX483" s="16"/>
      <c r="IY483" s="16"/>
      <c r="IZ483" s="16"/>
      <c r="JA483" s="16"/>
      <c r="JB483" s="16"/>
      <c r="JC483" s="17"/>
      <c r="JG483" s="24"/>
      <c r="JH483" s="60"/>
      <c r="JI483" s="16"/>
      <c r="JJ483" s="16"/>
      <c r="JK483" s="16"/>
      <c r="JL483" s="16"/>
      <c r="JM483" s="16"/>
      <c r="JN483" s="17"/>
      <c r="JR483" s="24"/>
      <c r="JS483" s="60"/>
      <c r="JT483" s="16"/>
      <c r="JU483" s="16"/>
      <c r="JV483" s="16"/>
      <c r="JW483" s="16"/>
      <c r="JX483" s="16"/>
      <c r="JY483" s="17"/>
      <c r="KC483" s="24"/>
      <c r="KD483" s="60"/>
      <c r="KE483" s="16"/>
      <c r="KF483" s="16"/>
      <c r="KG483" s="16"/>
      <c r="KH483" s="16"/>
      <c r="KI483" s="16"/>
      <c r="KJ483" s="17"/>
      <c r="KN483" s="24"/>
      <c r="KO483" s="60"/>
      <c r="KP483" s="16"/>
      <c r="KQ483" s="16"/>
      <c r="KR483" s="16"/>
      <c r="KS483" s="16"/>
      <c r="KT483" s="16"/>
      <c r="KU483" s="17"/>
      <c r="KY483" s="24"/>
      <c r="KZ483" s="60"/>
      <c r="LA483" s="16"/>
      <c r="LB483" s="16"/>
      <c r="LC483" s="16"/>
      <c r="LD483" s="16"/>
      <c r="LE483" s="16"/>
      <c r="LF483" s="17"/>
      <c r="LJ483" s="24"/>
      <c r="LK483" s="60"/>
      <c r="LL483" s="16"/>
      <c r="LM483" s="16"/>
      <c r="LN483" s="16"/>
      <c r="LO483" s="16"/>
      <c r="LP483" s="16"/>
      <c r="LQ483" s="17"/>
    </row>
    <row r="484">
      <c r="C484" s="31"/>
      <c r="D484" s="61"/>
      <c r="E484" s="16"/>
      <c r="F484" s="16"/>
      <c r="G484" s="21"/>
      <c r="H484" s="16"/>
      <c r="I484" s="16"/>
      <c r="J484" s="17"/>
      <c r="N484" s="17"/>
      <c r="O484" s="61"/>
      <c r="P484" s="16"/>
      <c r="Q484" s="16"/>
      <c r="R484" s="16"/>
      <c r="S484" s="16"/>
      <c r="T484" s="16"/>
      <c r="U484" s="17"/>
      <c r="Y484" s="24"/>
      <c r="Z484" s="61"/>
      <c r="AA484" s="16"/>
      <c r="AB484" s="16"/>
      <c r="AC484" s="16"/>
      <c r="AD484" s="16"/>
      <c r="AE484" s="16"/>
      <c r="AF484" s="17"/>
      <c r="AJ484" s="24"/>
      <c r="AK484" s="61"/>
      <c r="AL484" s="16"/>
      <c r="AM484" s="16"/>
      <c r="AN484" s="16"/>
      <c r="AO484" s="16"/>
      <c r="AP484" s="16"/>
      <c r="AQ484" s="17"/>
      <c r="AU484" s="24"/>
      <c r="AV484" s="61"/>
      <c r="AW484" s="16"/>
      <c r="AX484" s="16"/>
      <c r="AY484" s="16"/>
      <c r="AZ484" s="16"/>
      <c r="BA484" s="16"/>
      <c r="BB484" s="17"/>
      <c r="BF484" s="24"/>
      <c r="BG484" s="61"/>
      <c r="BH484" s="16"/>
      <c r="BI484" s="16"/>
      <c r="BJ484" s="16"/>
      <c r="BK484" s="16"/>
      <c r="BL484" s="16"/>
      <c r="BM484" s="17"/>
      <c r="BQ484" s="24"/>
      <c r="BR484" s="61"/>
      <c r="BS484" s="16"/>
      <c r="BT484" s="16"/>
      <c r="BU484" s="16"/>
      <c r="BV484" s="16"/>
      <c r="BW484" s="16"/>
      <c r="BX484" s="17"/>
      <c r="CB484" s="24"/>
      <c r="CC484" s="61"/>
      <c r="CD484" s="16"/>
      <c r="CE484" s="16"/>
      <c r="CF484" s="16"/>
      <c r="CG484" s="16"/>
      <c r="CH484" s="16"/>
      <c r="CI484" s="17"/>
      <c r="CM484" s="24"/>
      <c r="CN484" s="61"/>
      <c r="CO484" s="16"/>
      <c r="CP484" s="16"/>
      <c r="CQ484" s="16"/>
      <c r="CR484" s="16"/>
      <c r="CS484" s="16"/>
      <c r="CT484" s="17"/>
      <c r="CX484" s="24"/>
      <c r="CY484" s="60"/>
      <c r="CZ484" s="16"/>
      <c r="DA484" s="16"/>
      <c r="DB484" s="16"/>
      <c r="DC484" s="16"/>
      <c r="DD484" s="16"/>
      <c r="DE484" s="17"/>
      <c r="DI484" s="24"/>
      <c r="DJ484" s="60"/>
      <c r="DK484" s="16"/>
      <c r="DL484" s="16"/>
      <c r="DM484" s="16"/>
      <c r="DN484" s="16"/>
      <c r="DO484" s="16"/>
      <c r="DP484" s="17"/>
      <c r="DT484" s="24"/>
      <c r="DU484" s="60"/>
      <c r="DV484" s="16"/>
      <c r="DW484" s="16"/>
      <c r="DX484" s="16"/>
      <c r="DY484" s="16"/>
      <c r="DZ484" s="16"/>
      <c r="EA484" s="17"/>
      <c r="EE484" s="24"/>
      <c r="EF484" s="60"/>
      <c r="EG484" s="16"/>
      <c r="EH484" s="16"/>
      <c r="EI484" s="16"/>
      <c r="EJ484" s="16"/>
      <c r="EK484" s="16"/>
      <c r="EL484" s="17"/>
      <c r="EP484" s="24"/>
      <c r="EQ484" s="60"/>
      <c r="ER484" s="16"/>
      <c r="ES484" s="16"/>
      <c r="ET484" s="16"/>
      <c r="EU484" s="16"/>
      <c r="EV484" s="16"/>
      <c r="EW484" s="17"/>
      <c r="FA484" s="24"/>
      <c r="FB484" s="60"/>
      <c r="FC484" s="16"/>
      <c r="FD484" s="16"/>
      <c r="FE484" s="16"/>
      <c r="FF484" s="16"/>
      <c r="FG484" s="16"/>
      <c r="FH484" s="17"/>
      <c r="FL484" s="24"/>
      <c r="FM484" s="60"/>
      <c r="FN484" s="16"/>
      <c r="FO484" s="16"/>
      <c r="FP484" s="16"/>
      <c r="FQ484" s="16"/>
      <c r="FR484" s="16"/>
      <c r="FS484" s="17"/>
      <c r="FW484" s="24"/>
      <c r="FX484" s="60"/>
      <c r="FY484" s="16"/>
      <c r="FZ484" s="16"/>
      <c r="GA484" s="16"/>
      <c r="GB484" s="16"/>
      <c r="GC484" s="16"/>
      <c r="GD484" s="17"/>
      <c r="GH484" s="24"/>
      <c r="GI484" s="60"/>
      <c r="GJ484" s="16"/>
      <c r="GK484" s="16"/>
      <c r="GL484" s="16"/>
      <c r="GM484" s="16"/>
      <c r="GN484" s="16"/>
      <c r="GO484" s="17"/>
      <c r="GS484" s="24"/>
      <c r="GT484" s="60"/>
      <c r="GU484" s="16"/>
      <c r="GV484" s="16"/>
      <c r="GW484" s="16"/>
      <c r="GX484" s="16"/>
      <c r="GY484" s="16"/>
      <c r="GZ484" s="17"/>
      <c r="HD484" s="24"/>
      <c r="HE484" s="60"/>
      <c r="HF484" s="16"/>
      <c r="HG484" s="16"/>
      <c r="HH484" s="16"/>
      <c r="HI484" s="16"/>
      <c r="HJ484" s="16"/>
      <c r="HK484" s="17"/>
      <c r="HO484" s="24"/>
      <c r="HP484" s="60"/>
      <c r="HQ484" s="16"/>
      <c r="HR484" s="16"/>
      <c r="HS484" s="16"/>
      <c r="HT484" s="16"/>
      <c r="HU484" s="16"/>
      <c r="HV484" s="17"/>
      <c r="HZ484" s="24"/>
      <c r="IA484" s="60"/>
      <c r="IB484" s="16"/>
      <c r="IC484" s="16"/>
      <c r="ID484" s="16"/>
      <c r="IE484" s="16"/>
      <c r="IF484" s="16"/>
      <c r="IG484" s="17"/>
      <c r="IK484" s="24"/>
      <c r="IL484" s="60"/>
      <c r="IM484" s="16"/>
      <c r="IN484" s="16"/>
      <c r="IO484" s="16"/>
      <c r="IP484" s="16"/>
      <c r="IQ484" s="16"/>
      <c r="IR484" s="17"/>
      <c r="IV484" s="24"/>
      <c r="IW484" s="60"/>
      <c r="IX484" s="16"/>
      <c r="IY484" s="16"/>
      <c r="IZ484" s="16"/>
      <c r="JA484" s="16"/>
      <c r="JB484" s="16"/>
      <c r="JC484" s="17"/>
      <c r="JG484" s="24"/>
      <c r="JH484" s="60"/>
      <c r="JI484" s="16"/>
      <c r="JJ484" s="16"/>
      <c r="JK484" s="16"/>
      <c r="JL484" s="16"/>
      <c r="JM484" s="16"/>
      <c r="JN484" s="17"/>
      <c r="JR484" s="24"/>
      <c r="JS484" s="60"/>
      <c r="JT484" s="16"/>
      <c r="JU484" s="16"/>
      <c r="JV484" s="16"/>
      <c r="JW484" s="16"/>
      <c r="JX484" s="16"/>
      <c r="JY484" s="17"/>
      <c r="KC484" s="24"/>
      <c r="KD484" s="60"/>
      <c r="KE484" s="16"/>
      <c r="KF484" s="16"/>
      <c r="KG484" s="16"/>
      <c r="KH484" s="16"/>
      <c r="KI484" s="16"/>
      <c r="KJ484" s="17"/>
      <c r="KN484" s="24"/>
      <c r="KO484" s="60"/>
      <c r="KP484" s="16"/>
      <c r="KQ484" s="16"/>
      <c r="KR484" s="16"/>
      <c r="KS484" s="16"/>
      <c r="KT484" s="16"/>
      <c r="KU484" s="17"/>
      <c r="KY484" s="24"/>
      <c r="KZ484" s="60"/>
      <c r="LA484" s="16"/>
      <c r="LB484" s="16"/>
      <c r="LC484" s="16"/>
      <c r="LD484" s="16"/>
      <c r="LE484" s="16"/>
      <c r="LF484" s="17"/>
      <c r="LJ484" s="24"/>
      <c r="LK484" s="60"/>
      <c r="LL484" s="16"/>
      <c r="LM484" s="16"/>
      <c r="LN484" s="16"/>
      <c r="LO484" s="16"/>
      <c r="LP484" s="16"/>
      <c r="LQ484" s="17"/>
    </row>
    <row r="485">
      <c r="C485" s="31"/>
      <c r="D485" s="61"/>
      <c r="E485" s="16"/>
      <c r="F485" s="16"/>
      <c r="G485" s="21"/>
      <c r="H485" s="16"/>
      <c r="I485" s="16"/>
      <c r="J485" s="17"/>
      <c r="N485" s="17"/>
      <c r="O485" s="61"/>
      <c r="P485" s="16"/>
      <c r="Q485" s="16"/>
      <c r="R485" s="16"/>
      <c r="S485" s="16"/>
      <c r="T485" s="16"/>
      <c r="U485" s="17"/>
      <c r="Y485" s="24"/>
      <c r="Z485" s="61"/>
      <c r="AA485" s="16"/>
      <c r="AB485" s="16"/>
      <c r="AC485" s="16"/>
      <c r="AD485" s="16"/>
      <c r="AE485" s="16"/>
      <c r="AF485" s="17"/>
      <c r="AJ485" s="24"/>
      <c r="AK485" s="61"/>
      <c r="AL485" s="16"/>
      <c r="AM485" s="16"/>
      <c r="AN485" s="16"/>
      <c r="AO485" s="16"/>
      <c r="AP485" s="16"/>
      <c r="AQ485" s="17"/>
      <c r="AU485" s="24"/>
      <c r="AV485" s="61"/>
      <c r="AW485" s="16"/>
      <c r="AX485" s="16"/>
      <c r="AY485" s="16"/>
      <c r="AZ485" s="16"/>
      <c r="BA485" s="16"/>
      <c r="BB485" s="17"/>
      <c r="BF485" s="24"/>
      <c r="BG485" s="61"/>
      <c r="BH485" s="16"/>
      <c r="BI485" s="16"/>
      <c r="BJ485" s="16"/>
      <c r="BK485" s="16"/>
      <c r="BL485" s="16"/>
      <c r="BM485" s="17"/>
      <c r="BQ485" s="24"/>
      <c r="BR485" s="61"/>
      <c r="BS485" s="16"/>
      <c r="BT485" s="16"/>
      <c r="BU485" s="16"/>
      <c r="BV485" s="16"/>
      <c r="BW485" s="16"/>
      <c r="BX485" s="17"/>
      <c r="CB485" s="24"/>
      <c r="CC485" s="61"/>
      <c r="CD485" s="16"/>
      <c r="CE485" s="16"/>
      <c r="CF485" s="16"/>
      <c r="CG485" s="16"/>
      <c r="CH485" s="16"/>
      <c r="CI485" s="17"/>
      <c r="CM485" s="24"/>
      <c r="CN485" s="61"/>
      <c r="CO485" s="16"/>
      <c r="CP485" s="16"/>
      <c r="CQ485" s="16"/>
      <c r="CR485" s="16"/>
      <c r="CS485" s="16"/>
      <c r="CT485" s="17"/>
      <c r="CX485" s="24"/>
      <c r="CY485" s="60"/>
      <c r="CZ485" s="16"/>
      <c r="DA485" s="16"/>
      <c r="DB485" s="16"/>
      <c r="DC485" s="16"/>
      <c r="DD485" s="16"/>
      <c r="DE485" s="17"/>
      <c r="DI485" s="24"/>
      <c r="DJ485" s="60"/>
      <c r="DK485" s="16"/>
      <c r="DL485" s="16"/>
      <c r="DM485" s="16"/>
      <c r="DN485" s="16"/>
      <c r="DO485" s="16"/>
      <c r="DP485" s="17"/>
      <c r="DT485" s="24"/>
      <c r="DU485" s="60"/>
      <c r="DV485" s="16"/>
      <c r="DW485" s="16"/>
      <c r="DX485" s="16"/>
      <c r="DY485" s="16"/>
      <c r="DZ485" s="16"/>
      <c r="EA485" s="17"/>
      <c r="EE485" s="24"/>
      <c r="EF485" s="60"/>
      <c r="EG485" s="16"/>
      <c r="EH485" s="16"/>
      <c r="EI485" s="16"/>
      <c r="EJ485" s="16"/>
      <c r="EK485" s="16"/>
      <c r="EL485" s="17"/>
      <c r="EP485" s="24"/>
      <c r="EQ485" s="60"/>
      <c r="ER485" s="16"/>
      <c r="ES485" s="16"/>
      <c r="ET485" s="16"/>
      <c r="EU485" s="16"/>
      <c r="EV485" s="16"/>
      <c r="EW485" s="17"/>
      <c r="FA485" s="24"/>
      <c r="FB485" s="60"/>
      <c r="FC485" s="16"/>
      <c r="FD485" s="16"/>
      <c r="FE485" s="16"/>
      <c r="FF485" s="16"/>
      <c r="FG485" s="16"/>
      <c r="FH485" s="17"/>
      <c r="FL485" s="24"/>
      <c r="FM485" s="60"/>
      <c r="FN485" s="16"/>
      <c r="FO485" s="16"/>
      <c r="FP485" s="16"/>
      <c r="FQ485" s="16"/>
      <c r="FR485" s="16"/>
      <c r="FS485" s="17"/>
      <c r="FW485" s="24"/>
      <c r="FX485" s="60"/>
      <c r="FY485" s="16"/>
      <c r="FZ485" s="16"/>
      <c r="GA485" s="16"/>
      <c r="GB485" s="16"/>
      <c r="GC485" s="16"/>
      <c r="GD485" s="17"/>
      <c r="GH485" s="24"/>
      <c r="GI485" s="60"/>
      <c r="GJ485" s="16"/>
      <c r="GK485" s="16"/>
      <c r="GL485" s="16"/>
      <c r="GM485" s="16"/>
      <c r="GN485" s="16"/>
      <c r="GO485" s="17"/>
      <c r="GS485" s="24"/>
      <c r="GT485" s="60"/>
      <c r="GU485" s="16"/>
      <c r="GV485" s="16"/>
      <c r="GW485" s="16"/>
      <c r="GX485" s="16"/>
      <c r="GY485" s="16"/>
      <c r="GZ485" s="17"/>
      <c r="HD485" s="24"/>
      <c r="HE485" s="60"/>
      <c r="HF485" s="16"/>
      <c r="HG485" s="16"/>
      <c r="HH485" s="16"/>
      <c r="HI485" s="16"/>
      <c r="HJ485" s="16"/>
      <c r="HK485" s="17"/>
      <c r="HO485" s="24"/>
      <c r="HP485" s="60"/>
      <c r="HQ485" s="16"/>
      <c r="HR485" s="16"/>
      <c r="HS485" s="16"/>
      <c r="HT485" s="16"/>
      <c r="HU485" s="16"/>
      <c r="HV485" s="17"/>
      <c r="HZ485" s="24"/>
      <c r="IA485" s="60"/>
      <c r="IB485" s="16"/>
      <c r="IC485" s="16"/>
      <c r="ID485" s="16"/>
      <c r="IE485" s="16"/>
      <c r="IF485" s="16"/>
      <c r="IG485" s="17"/>
      <c r="IK485" s="24"/>
      <c r="IL485" s="60"/>
      <c r="IM485" s="16"/>
      <c r="IN485" s="16"/>
      <c r="IO485" s="16"/>
      <c r="IP485" s="16"/>
      <c r="IQ485" s="16"/>
      <c r="IR485" s="17"/>
      <c r="IV485" s="24"/>
      <c r="IW485" s="60"/>
      <c r="IX485" s="16"/>
      <c r="IY485" s="16"/>
      <c r="IZ485" s="16"/>
      <c r="JA485" s="16"/>
      <c r="JB485" s="16"/>
      <c r="JC485" s="17"/>
      <c r="JG485" s="24"/>
      <c r="JH485" s="60"/>
      <c r="JI485" s="16"/>
      <c r="JJ485" s="16"/>
      <c r="JK485" s="16"/>
      <c r="JL485" s="16"/>
      <c r="JM485" s="16"/>
      <c r="JN485" s="17"/>
      <c r="JR485" s="24"/>
      <c r="JS485" s="60"/>
      <c r="JT485" s="16"/>
      <c r="JU485" s="16"/>
      <c r="JV485" s="16"/>
      <c r="JW485" s="16"/>
      <c r="JX485" s="16"/>
      <c r="JY485" s="17"/>
      <c r="KC485" s="24"/>
      <c r="KD485" s="60"/>
      <c r="KE485" s="16"/>
      <c r="KF485" s="16"/>
      <c r="KG485" s="16"/>
      <c r="KH485" s="16"/>
      <c r="KI485" s="16"/>
      <c r="KJ485" s="17"/>
      <c r="KN485" s="24"/>
      <c r="KO485" s="60"/>
      <c r="KP485" s="16"/>
      <c r="KQ485" s="16"/>
      <c r="KR485" s="16"/>
      <c r="KS485" s="16"/>
      <c r="KT485" s="16"/>
      <c r="KU485" s="17"/>
      <c r="KY485" s="24"/>
      <c r="KZ485" s="60"/>
      <c r="LA485" s="16"/>
      <c r="LB485" s="16"/>
      <c r="LC485" s="16"/>
      <c r="LD485" s="16"/>
      <c r="LE485" s="16"/>
      <c r="LF485" s="17"/>
      <c r="LJ485" s="24"/>
      <c r="LK485" s="60"/>
      <c r="LL485" s="16"/>
      <c r="LM485" s="16"/>
      <c r="LN485" s="16"/>
      <c r="LO485" s="16"/>
      <c r="LP485" s="16"/>
      <c r="LQ485" s="17"/>
    </row>
    <row r="486">
      <c r="C486" s="31"/>
      <c r="D486" s="61"/>
      <c r="E486" s="16"/>
      <c r="F486" s="16"/>
      <c r="G486" s="21"/>
      <c r="H486" s="16"/>
      <c r="I486" s="16"/>
      <c r="J486" s="17"/>
      <c r="N486" s="17"/>
      <c r="O486" s="61"/>
      <c r="P486" s="16"/>
      <c r="Q486" s="16"/>
      <c r="R486" s="16"/>
      <c r="S486" s="16"/>
      <c r="T486" s="16"/>
      <c r="U486" s="17"/>
      <c r="Y486" s="24"/>
      <c r="Z486" s="61"/>
      <c r="AA486" s="16"/>
      <c r="AB486" s="16"/>
      <c r="AC486" s="16"/>
      <c r="AD486" s="16"/>
      <c r="AE486" s="16"/>
      <c r="AF486" s="17"/>
      <c r="AJ486" s="24"/>
      <c r="AK486" s="61"/>
      <c r="AL486" s="16"/>
      <c r="AM486" s="16"/>
      <c r="AN486" s="16"/>
      <c r="AO486" s="16"/>
      <c r="AP486" s="16"/>
      <c r="AQ486" s="17"/>
      <c r="AU486" s="24"/>
      <c r="AV486" s="61"/>
      <c r="AW486" s="16"/>
      <c r="AX486" s="16"/>
      <c r="AY486" s="16"/>
      <c r="AZ486" s="16"/>
      <c r="BA486" s="16"/>
      <c r="BB486" s="17"/>
      <c r="BF486" s="24"/>
      <c r="BG486" s="61"/>
      <c r="BH486" s="16"/>
      <c r="BI486" s="16"/>
      <c r="BJ486" s="16"/>
      <c r="BK486" s="16"/>
      <c r="BL486" s="16"/>
      <c r="BM486" s="17"/>
      <c r="BQ486" s="24"/>
      <c r="BR486" s="61"/>
      <c r="BS486" s="16"/>
      <c r="BT486" s="16"/>
      <c r="BU486" s="16"/>
      <c r="BV486" s="16"/>
      <c r="BW486" s="16"/>
      <c r="BX486" s="17"/>
      <c r="CB486" s="24"/>
      <c r="CC486" s="61"/>
      <c r="CD486" s="16"/>
      <c r="CE486" s="16"/>
      <c r="CF486" s="16"/>
      <c r="CG486" s="16"/>
      <c r="CH486" s="16"/>
      <c r="CI486" s="17"/>
      <c r="CM486" s="24"/>
      <c r="CN486" s="61"/>
      <c r="CO486" s="16"/>
      <c r="CP486" s="16"/>
      <c r="CQ486" s="16"/>
      <c r="CR486" s="16"/>
      <c r="CS486" s="16"/>
      <c r="CT486" s="17"/>
      <c r="CX486" s="24"/>
      <c r="CY486" s="60"/>
      <c r="CZ486" s="16"/>
      <c r="DA486" s="16"/>
      <c r="DB486" s="16"/>
      <c r="DC486" s="16"/>
      <c r="DD486" s="16"/>
      <c r="DE486" s="17"/>
      <c r="DI486" s="24"/>
      <c r="DJ486" s="60"/>
      <c r="DK486" s="16"/>
      <c r="DL486" s="16"/>
      <c r="DM486" s="16"/>
      <c r="DN486" s="16"/>
      <c r="DO486" s="16"/>
      <c r="DP486" s="17"/>
      <c r="DT486" s="24"/>
      <c r="DU486" s="60"/>
      <c r="DV486" s="16"/>
      <c r="DW486" s="16"/>
      <c r="DX486" s="16"/>
      <c r="DY486" s="16"/>
      <c r="DZ486" s="16"/>
      <c r="EA486" s="17"/>
      <c r="EE486" s="24"/>
      <c r="EF486" s="60"/>
      <c r="EG486" s="16"/>
      <c r="EH486" s="16"/>
      <c r="EI486" s="16"/>
      <c r="EJ486" s="16"/>
      <c r="EK486" s="16"/>
      <c r="EL486" s="17"/>
      <c r="EP486" s="24"/>
      <c r="EQ486" s="60"/>
      <c r="ER486" s="16"/>
      <c r="ES486" s="16"/>
      <c r="ET486" s="16"/>
      <c r="EU486" s="16"/>
      <c r="EV486" s="16"/>
      <c r="EW486" s="17"/>
      <c r="FA486" s="24"/>
      <c r="FB486" s="60"/>
      <c r="FC486" s="16"/>
      <c r="FD486" s="16"/>
      <c r="FE486" s="16"/>
      <c r="FF486" s="16"/>
      <c r="FG486" s="16"/>
      <c r="FH486" s="17"/>
      <c r="FL486" s="24"/>
      <c r="FM486" s="60"/>
      <c r="FN486" s="16"/>
      <c r="FO486" s="16"/>
      <c r="FP486" s="16"/>
      <c r="FQ486" s="16"/>
      <c r="FR486" s="16"/>
      <c r="FS486" s="17"/>
      <c r="FW486" s="24"/>
      <c r="FX486" s="60"/>
      <c r="FY486" s="16"/>
      <c r="FZ486" s="16"/>
      <c r="GA486" s="16"/>
      <c r="GB486" s="16"/>
      <c r="GC486" s="16"/>
      <c r="GD486" s="17"/>
      <c r="GH486" s="24"/>
      <c r="GI486" s="60"/>
      <c r="GJ486" s="16"/>
      <c r="GK486" s="16"/>
      <c r="GL486" s="16"/>
      <c r="GM486" s="16"/>
      <c r="GN486" s="16"/>
      <c r="GO486" s="17"/>
      <c r="GS486" s="24"/>
      <c r="GT486" s="60"/>
      <c r="GU486" s="16"/>
      <c r="GV486" s="16"/>
      <c r="GW486" s="16"/>
      <c r="GX486" s="16"/>
      <c r="GY486" s="16"/>
      <c r="GZ486" s="17"/>
      <c r="HD486" s="24"/>
      <c r="HE486" s="60"/>
      <c r="HF486" s="16"/>
      <c r="HG486" s="16"/>
      <c r="HH486" s="16"/>
      <c r="HI486" s="16"/>
      <c r="HJ486" s="16"/>
      <c r="HK486" s="17"/>
      <c r="HO486" s="24"/>
      <c r="HP486" s="60"/>
      <c r="HQ486" s="16"/>
      <c r="HR486" s="16"/>
      <c r="HS486" s="16"/>
      <c r="HT486" s="16"/>
      <c r="HU486" s="16"/>
      <c r="HV486" s="17"/>
      <c r="HZ486" s="24"/>
      <c r="IA486" s="60"/>
      <c r="IB486" s="16"/>
      <c r="IC486" s="16"/>
      <c r="ID486" s="16"/>
      <c r="IE486" s="16"/>
      <c r="IF486" s="16"/>
      <c r="IG486" s="17"/>
      <c r="IK486" s="24"/>
      <c r="IL486" s="60"/>
      <c r="IM486" s="16"/>
      <c r="IN486" s="16"/>
      <c r="IO486" s="16"/>
      <c r="IP486" s="16"/>
      <c r="IQ486" s="16"/>
      <c r="IR486" s="17"/>
      <c r="IV486" s="24"/>
      <c r="IW486" s="60"/>
      <c r="IX486" s="16"/>
      <c r="IY486" s="16"/>
      <c r="IZ486" s="16"/>
      <c r="JA486" s="16"/>
      <c r="JB486" s="16"/>
      <c r="JC486" s="17"/>
      <c r="JG486" s="24"/>
      <c r="JH486" s="60"/>
      <c r="JI486" s="16"/>
      <c r="JJ486" s="16"/>
      <c r="JK486" s="16"/>
      <c r="JL486" s="16"/>
      <c r="JM486" s="16"/>
      <c r="JN486" s="17"/>
      <c r="JR486" s="24"/>
      <c r="JS486" s="60"/>
      <c r="JT486" s="16"/>
      <c r="JU486" s="16"/>
      <c r="JV486" s="16"/>
      <c r="JW486" s="16"/>
      <c r="JX486" s="16"/>
      <c r="JY486" s="17"/>
      <c r="KC486" s="24"/>
      <c r="KD486" s="60"/>
      <c r="KE486" s="16"/>
      <c r="KF486" s="16"/>
      <c r="KG486" s="16"/>
      <c r="KH486" s="16"/>
      <c r="KI486" s="16"/>
      <c r="KJ486" s="17"/>
      <c r="KN486" s="24"/>
      <c r="KO486" s="60"/>
      <c r="KP486" s="16"/>
      <c r="KQ486" s="16"/>
      <c r="KR486" s="16"/>
      <c r="KS486" s="16"/>
      <c r="KT486" s="16"/>
      <c r="KU486" s="17"/>
      <c r="KY486" s="24"/>
      <c r="KZ486" s="60"/>
      <c r="LA486" s="16"/>
      <c r="LB486" s="16"/>
      <c r="LC486" s="16"/>
      <c r="LD486" s="16"/>
      <c r="LE486" s="16"/>
      <c r="LF486" s="17"/>
      <c r="LJ486" s="24"/>
      <c r="LK486" s="60"/>
      <c r="LL486" s="16"/>
      <c r="LM486" s="16"/>
      <c r="LN486" s="16"/>
      <c r="LO486" s="16"/>
      <c r="LP486" s="16"/>
      <c r="LQ486" s="17"/>
    </row>
    <row r="487">
      <c r="C487" s="31"/>
      <c r="D487" s="61"/>
      <c r="E487" s="16"/>
      <c r="F487" s="16"/>
      <c r="G487" s="21"/>
      <c r="H487" s="16"/>
      <c r="I487" s="16"/>
      <c r="J487" s="17"/>
      <c r="N487" s="17"/>
      <c r="O487" s="61"/>
      <c r="P487" s="16"/>
      <c r="Q487" s="16"/>
      <c r="R487" s="16"/>
      <c r="S487" s="16"/>
      <c r="T487" s="16"/>
      <c r="U487" s="17"/>
      <c r="Y487" s="24"/>
      <c r="Z487" s="61"/>
      <c r="AA487" s="16"/>
      <c r="AB487" s="16"/>
      <c r="AC487" s="16"/>
      <c r="AD487" s="16"/>
      <c r="AE487" s="16"/>
      <c r="AF487" s="17"/>
      <c r="AJ487" s="24"/>
      <c r="AK487" s="61"/>
      <c r="AL487" s="16"/>
      <c r="AM487" s="16"/>
      <c r="AN487" s="16"/>
      <c r="AO487" s="16"/>
      <c r="AP487" s="16"/>
      <c r="AQ487" s="17"/>
      <c r="AU487" s="24"/>
      <c r="AV487" s="61"/>
      <c r="AW487" s="16"/>
      <c r="AX487" s="16"/>
      <c r="AY487" s="16"/>
      <c r="AZ487" s="16"/>
      <c r="BA487" s="16"/>
      <c r="BB487" s="17"/>
      <c r="BF487" s="24"/>
      <c r="BG487" s="61"/>
      <c r="BH487" s="16"/>
      <c r="BI487" s="16"/>
      <c r="BJ487" s="16"/>
      <c r="BK487" s="16"/>
      <c r="BL487" s="16"/>
      <c r="BM487" s="17"/>
      <c r="BQ487" s="24"/>
      <c r="BR487" s="61"/>
      <c r="BS487" s="16"/>
      <c r="BT487" s="16"/>
      <c r="BU487" s="16"/>
      <c r="BV487" s="16"/>
      <c r="BW487" s="16"/>
      <c r="BX487" s="17"/>
      <c r="CB487" s="24"/>
      <c r="CC487" s="61"/>
      <c r="CD487" s="16"/>
      <c r="CE487" s="16"/>
      <c r="CF487" s="16"/>
      <c r="CG487" s="16"/>
      <c r="CH487" s="16"/>
      <c r="CI487" s="17"/>
      <c r="CM487" s="24"/>
      <c r="CN487" s="61"/>
      <c r="CO487" s="16"/>
      <c r="CP487" s="16"/>
      <c r="CQ487" s="16"/>
      <c r="CR487" s="16"/>
      <c r="CS487" s="16"/>
      <c r="CT487" s="17"/>
      <c r="CX487" s="24"/>
      <c r="CY487" s="60"/>
      <c r="CZ487" s="16"/>
      <c r="DA487" s="16"/>
      <c r="DB487" s="16"/>
      <c r="DC487" s="16"/>
      <c r="DD487" s="16"/>
      <c r="DE487" s="17"/>
      <c r="DI487" s="24"/>
      <c r="DJ487" s="60"/>
      <c r="DK487" s="16"/>
      <c r="DL487" s="16"/>
      <c r="DM487" s="16"/>
      <c r="DN487" s="16"/>
      <c r="DO487" s="16"/>
      <c r="DP487" s="17"/>
      <c r="DT487" s="24"/>
      <c r="DU487" s="60"/>
      <c r="DV487" s="16"/>
      <c r="DW487" s="16"/>
      <c r="DX487" s="16"/>
      <c r="DY487" s="16"/>
      <c r="DZ487" s="16"/>
      <c r="EA487" s="17"/>
      <c r="EE487" s="24"/>
      <c r="EF487" s="60"/>
      <c r="EG487" s="16"/>
      <c r="EH487" s="16"/>
      <c r="EI487" s="16"/>
      <c r="EJ487" s="16"/>
      <c r="EK487" s="16"/>
      <c r="EL487" s="17"/>
      <c r="EP487" s="24"/>
      <c r="EQ487" s="60"/>
      <c r="ER487" s="16"/>
      <c r="ES487" s="16"/>
      <c r="ET487" s="16"/>
      <c r="EU487" s="16"/>
      <c r="EV487" s="16"/>
      <c r="EW487" s="17"/>
      <c r="FA487" s="24"/>
      <c r="FB487" s="60"/>
      <c r="FC487" s="16"/>
      <c r="FD487" s="16"/>
      <c r="FE487" s="16"/>
      <c r="FF487" s="16"/>
      <c r="FG487" s="16"/>
      <c r="FH487" s="17"/>
      <c r="FL487" s="24"/>
      <c r="FM487" s="60"/>
      <c r="FN487" s="16"/>
      <c r="FO487" s="16"/>
      <c r="FP487" s="16"/>
      <c r="FQ487" s="16"/>
      <c r="FR487" s="16"/>
      <c r="FS487" s="17"/>
      <c r="FW487" s="24"/>
      <c r="FX487" s="60"/>
      <c r="FY487" s="16"/>
      <c r="FZ487" s="16"/>
      <c r="GA487" s="16"/>
      <c r="GB487" s="16"/>
      <c r="GC487" s="16"/>
      <c r="GD487" s="17"/>
      <c r="GH487" s="24"/>
      <c r="GI487" s="60"/>
      <c r="GJ487" s="16"/>
      <c r="GK487" s="16"/>
      <c r="GL487" s="16"/>
      <c r="GM487" s="16"/>
      <c r="GN487" s="16"/>
      <c r="GO487" s="17"/>
      <c r="GS487" s="24"/>
      <c r="GT487" s="60"/>
      <c r="GU487" s="16"/>
      <c r="GV487" s="16"/>
      <c r="GW487" s="16"/>
      <c r="GX487" s="16"/>
      <c r="GY487" s="16"/>
      <c r="GZ487" s="17"/>
      <c r="HD487" s="24"/>
      <c r="HE487" s="60"/>
      <c r="HF487" s="16"/>
      <c r="HG487" s="16"/>
      <c r="HH487" s="16"/>
      <c r="HI487" s="16"/>
      <c r="HJ487" s="16"/>
      <c r="HK487" s="17"/>
      <c r="HO487" s="24"/>
      <c r="HP487" s="60"/>
      <c r="HQ487" s="16"/>
      <c r="HR487" s="16"/>
      <c r="HS487" s="16"/>
      <c r="HT487" s="16"/>
      <c r="HU487" s="16"/>
      <c r="HV487" s="17"/>
      <c r="HZ487" s="24"/>
      <c r="IA487" s="60"/>
      <c r="IB487" s="16"/>
      <c r="IC487" s="16"/>
      <c r="ID487" s="16"/>
      <c r="IE487" s="16"/>
      <c r="IF487" s="16"/>
      <c r="IG487" s="17"/>
      <c r="IK487" s="24"/>
      <c r="IL487" s="60"/>
      <c r="IM487" s="16"/>
      <c r="IN487" s="16"/>
      <c r="IO487" s="16"/>
      <c r="IP487" s="16"/>
      <c r="IQ487" s="16"/>
      <c r="IR487" s="17"/>
      <c r="IV487" s="24"/>
      <c r="IW487" s="60"/>
      <c r="IX487" s="16"/>
      <c r="IY487" s="16"/>
      <c r="IZ487" s="16"/>
      <c r="JA487" s="16"/>
      <c r="JB487" s="16"/>
      <c r="JC487" s="17"/>
      <c r="JG487" s="24"/>
      <c r="JH487" s="60"/>
      <c r="JI487" s="16"/>
      <c r="JJ487" s="16"/>
      <c r="JK487" s="16"/>
      <c r="JL487" s="16"/>
      <c r="JM487" s="16"/>
      <c r="JN487" s="17"/>
      <c r="JR487" s="24"/>
      <c r="JS487" s="60"/>
      <c r="JT487" s="16"/>
      <c r="JU487" s="16"/>
      <c r="JV487" s="16"/>
      <c r="JW487" s="16"/>
      <c r="JX487" s="16"/>
      <c r="JY487" s="17"/>
      <c r="KC487" s="24"/>
      <c r="KD487" s="60"/>
      <c r="KE487" s="16"/>
      <c r="KF487" s="16"/>
      <c r="KG487" s="16"/>
      <c r="KH487" s="16"/>
      <c r="KI487" s="16"/>
      <c r="KJ487" s="17"/>
      <c r="KN487" s="24"/>
      <c r="KO487" s="60"/>
      <c r="KP487" s="16"/>
      <c r="KQ487" s="16"/>
      <c r="KR487" s="16"/>
      <c r="KS487" s="16"/>
      <c r="KT487" s="16"/>
      <c r="KU487" s="17"/>
      <c r="KY487" s="24"/>
      <c r="KZ487" s="60"/>
      <c r="LA487" s="16"/>
      <c r="LB487" s="16"/>
      <c r="LC487" s="16"/>
      <c r="LD487" s="16"/>
      <c r="LE487" s="16"/>
      <c r="LF487" s="17"/>
      <c r="LJ487" s="24"/>
      <c r="LK487" s="60"/>
      <c r="LL487" s="16"/>
      <c r="LM487" s="16"/>
      <c r="LN487" s="16"/>
      <c r="LO487" s="16"/>
      <c r="LP487" s="16"/>
      <c r="LQ487" s="17"/>
    </row>
    <row r="488">
      <c r="C488" s="31"/>
      <c r="D488" s="61"/>
      <c r="E488" s="16"/>
      <c r="F488" s="16"/>
      <c r="G488" s="21"/>
      <c r="H488" s="16"/>
      <c r="I488" s="16"/>
      <c r="J488" s="17"/>
      <c r="N488" s="17"/>
      <c r="O488" s="61"/>
      <c r="P488" s="16"/>
      <c r="Q488" s="16"/>
      <c r="R488" s="16"/>
      <c r="S488" s="16"/>
      <c r="T488" s="16"/>
      <c r="U488" s="17"/>
      <c r="Y488" s="24"/>
      <c r="Z488" s="61"/>
      <c r="AA488" s="16"/>
      <c r="AB488" s="16"/>
      <c r="AC488" s="16"/>
      <c r="AD488" s="16"/>
      <c r="AE488" s="16"/>
      <c r="AF488" s="17"/>
      <c r="AJ488" s="24"/>
      <c r="AK488" s="61"/>
      <c r="AL488" s="16"/>
      <c r="AM488" s="16"/>
      <c r="AN488" s="16"/>
      <c r="AO488" s="16"/>
      <c r="AP488" s="16"/>
      <c r="AQ488" s="17"/>
      <c r="AU488" s="24"/>
      <c r="AV488" s="61"/>
      <c r="AW488" s="16"/>
      <c r="AX488" s="16"/>
      <c r="AY488" s="16"/>
      <c r="AZ488" s="16"/>
      <c r="BA488" s="16"/>
      <c r="BB488" s="17"/>
      <c r="BF488" s="24"/>
      <c r="BG488" s="61"/>
      <c r="BH488" s="16"/>
      <c r="BI488" s="16"/>
      <c r="BJ488" s="16"/>
      <c r="BK488" s="16"/>
      <c r="BL488" s="16"/>
      <c r="BM488" s="17"/>
      <c r="BQ488" s="24"/>
      <c r="BR488" s="61"/>
      <c r="BS488" s="16"/>
      <c r="BT488" s="16"/>
      <c r="BU488" s="16"/>
      <c r="BV488" s="16"/>
      <c r="BW488" s="16"/>
      <c r="BX488" s="17"/>
      <c r="CB488" s="24"/>
      <c r="CC488" s="61"/>
      <c r="CD488" s="16"/>
      <c r="CE488" s="16"/>
      <c r="CF488" s="16"/>
      <c r="CG488" s="16"/>
      <c r="CH488" s="16"/>
      <c r="CI488" s="17"/>
      <c r="CM488" s="24"/>
      <c r="CN488" s="61"/>
      <c r="CO488" s="16"/>
      <c r="CP488" s="16"/>
      <c r="CQ488" s="16"/>
      <c r="CR488" s="16"/>
      <c r="CS488" s="16"/>
      <c r="CT488" s="17"/>
      <c r="CX488" s="24"/>
      <c r="CY488" s="60"/>
      <c r="CZ488" s="16"/>
      <c r="DA488" s="16"/>
      <c r="DB488" s="16"/>
      <c r="DC488" s="16"/>
      <c r="DD488" s="16"/>
      <c r="DE488" s="17"/>
      <c r="DI488" s="24"/>
      <c r="DJ488" s="60"/>
      <c r="DK488" s="16"/>
      <c r="DL488" s="16"/>
      <c r="DM488" s="16"/>
      <c r="DN488" s="16"/>
      <c r="DO488" s="16"/>
      <c r="DP488" s="17"/>
      <c r="DT488" s="24"/>
      <c r="DU488" s="60"/>
      <c r="DV488" s="16"/>
      <c r="DW488" s="16"/>
      <c r="DX488" s="16"/>
      <c r="DY488" s="16"/>
      <c r="DZ488" s="16"/>
      <c r="EA488" s="17"/>
      <c r="EE488" s="24"/>
      <c r="EF488" s="60"/>
      <c r="EG488" s="16"/>
      <c r="EH488" s="16"/>
      <c r="EI488" s="16"/>
      <c r="EJ488" s="16"/>
      <c r="EK488" s="16"/>
      <c r="EL488" s="17"/>
      <c r="EP488" s="24"/>
      <c r="EQ488" s="60"/>
      <c r="ER488" s="16"/>
      <c r="ES488" s="16"/>
      <c r="ET488" s="16"/>
      <c r="EU488" s="16"/>
      <c r="EV488" s="16"/>
      <c r="EW488" s="17"/>
      <c r="FA488" s="24"/>
      <c r="FB488" s="60"/>
      <c r="FC488" s="16"/>
      <c r="FD488" s="16"/>
      <c r="FE488" s="16"/>
      <c r="FF488" s="16"/>
      <c r="FG488" s="16"/>
      <c r="FH488" s="17"/>
      <c r="FL488" s="24"/>
      <c r="FM488" s="60"/>
      <c r="FN488" s="16"/>
      <c r="FO488" s="16"/>
      <c r="FP488" s="16"/>
      <c r="FQ488" s="16"/>
      <c r="FR488" s="16"/>
      <c r="FS488" s="17"/>
      <c r="FW488" s="24"/>
      <c r="FX488" s="60"/>
      <c r="FY488" s="16"/>
      <c r="FZ488" s="16"/>
      <c r="GA488" s="16"/>
      <c r="GB488" s="16"/>
      <c r="GC488" s="16"/>
      <c r="GD488" s="17"/>
      <c r="GH488" s="24"/>
      <c r="GI488" s="60"/>
      <c r="GJ488" s="16"/>
      <c r="GK488" s="16"/>
      <c r="GL488" s="16"/>
      <c r="GM488" s="16"/>
      <c r="GN488" s="16"/>
      <c r="GO488" s="17"/>
      <c r="GS488" s="24"/>
      <c r="GT488" s="60"/>
      <c r="GU488" s="16"/>
      <c r="GV488" s="16"/>
      <c r="GW488" s="16"/>
      <c r="GX488" s="16"/>
      <c r="GY488" s="16"/>
      <c r="GZ488" s="17"/>
      <c r="HD488" s="24"/>
      <c r="HE488" s="60"/>
      <c r="HF488" s="16"/>
      <c r="HG488" s="16"/>
      <c r="HH488" s="16"/>
      <c r="HI488" s="16"/>
      <c r="HJ488" s="16"/>
      <c r="HK488" s="17"/>
      <c r="HO488" s="24"/>
      <c r="HP488" s="60"/>
      <c r="HQ488" s="16"/>
      <c r="HR488" s="16"/>
      <c r="HS488" s="16"/>
      <c r="HT488" s="16"/>
      <c r="HU488" s="16"/>
      <c r="HV488" s="17"/>
      <c r="HZ488" s="24"/>
      <c r="IA488" s="60"/>
      <c r="IB488" s="16"/>
      <c r="IC488" s="16"/>
      <c r="ID488" s="16"/>
      <c r="IE488" s="16"/>
      <c r="IF488" s="16"/>
      <c r="IG488" s="17"/>
      <c r="IK488" s="24"/>
      <c r="IL488" s="60"/>
      <c r="IM488" s="16"/>
      <c r="IN488" s="16"/>
      <c r="IO488" s="16"/>
      <c r="IP488" s="16"/>
      <c r="IQ488" s="16"/>
      <c r="IR488" s="17"/>
      <c r="IV488" s="24"/>
      <c r="IW488" s="60"/>
      <c r="IX488" s="16"/>
      <c r="IY488" s="16"/>
      <c r="IZ488" s="16"/>
      <c r="JA488" s="16"/>
      <c r="JB488" s="16"/>
      <c r="JC488" s="17"/>
      <c r="JG488" s="24"/>
      <c r="JH488" s="60"/>
      <c r="JI488" s="16"/>
      <c r="JJ488" s="16"/>
      <c r="JK488" s="16"/>
      <c r="JL488" s="16"/>
      <c r="JM488" s="16"/>
      <c r="JN488" s="17"/>
      <c r="JR488" s="24"/>
      <c r="JS488" s="60"/>
      <c r="JT488" s="16"/>
      <c r="JU488" s="16"/>
      <c r="JV488" s="16"/>
      <c r="JW488" s="16"/>
      <c r="JX488" s="16"/>
      <c r="JY488" s="17"/>
      <c r="KC488" s="24"/>
      <c r="KD488" s="60"/>
      <c r="KE488" s="16"/>
      <c r="KF488" s="16"/>
      <c r="KG488" s="16"/>
      <c r="KH488" s="16"/>
      <c r="KI488" s="16"/>
      <c r="KJ488" s="17"/>
      <c r="KN488" s="24"/>
      <c r="KO488" s="60"/>
      <c r="KP488" s="16"/>
      <c r="KQ488" s="16"/>
      <c r="KR488" s="16"/>
      <c r="KS488" s="16"/>
      <c r="KT488" s="16"/>
      <c r="KU488" s="17"/>
      <c r="KY488" s="24"/>
      <c r="KZ488" s="60"/>
      <c r="LA488" s="16"/>
      <c r="LB488" s="16"/>
      <c r="LC488" s="16"/>
      <c r="LD488" s="16"/>
      <c r="LE488" s="16"/>
      <c r="LF488" s="17"/>
      <c r="LJ488" s="24"/>
      <c r="LK488" s="60"/>
      <c r="LL488" s="16"/>
      <c r="LM488" s="16"/>
      <c r="LN488" s="16"/>
      <c r="LO488" s="16"/>
      <c r="LP488" s="16"/>
      <c r="LQ488" s="17"/>
    </row>
    <row r="489">
      <c r="C489" s="31"/>
      <c r="D489" s="61"/>
      <c r="E489" s="16"/>
      <c r="F489" s="16"/>
      <c r="G489" s="21"/>
      <c r="H489" s="16"/>
      <c r="I489" s="16"/>
      <c r="J489" s="17"/>
      <c r="N489" s="17"/>
      <c r="O489" s="61"/>
      <c r="P489" s="16"/>
      <c r="Q489" s="16"/>
      <c r="R489" s="16"/>
      <c r="S489" s="16"/>
      <c r="T489" s="16"/>
      <c r="U489" s="17"/>
      <c r="Y489" s="24"/>
      <c r="Z489" s="61"/>
      <c r="AA489" s="16"/>
      <c r="AB489" s="16"/>
      <c r="AC489" s="16"/>
      <c r="AD489" s="16"/>
      <c r="AE489" s="16"/>
      <c r="AF489" s="17"/>
      <c r="AJ489" s="24"/>
      <c r="AK489" s="61"/>
      <c r="AL489" s="16"/>
      <c r="AM489" s="16"/>
      <c r="AN489" s="16"/>
      <c r="AO489" s="16"/>
      <c r="AP489" s="16"/>
      <c r="AQ489" s="17"/>
      <c r="AU489" s="24"/>
      <c r="AV489" s="61"/>
      <c r="AW489" s="16"/>
      <c r="AX489" s="16"/>
      <c r="AY489" s="16"/>
      <c r="AZ489" s="16"/>
      <c r="BA489" s="16"/>
      <c r="BB489" s="17"/>
      <c r="BF489" s="24"/>
      <c r="BG489" s="61"/>
      <c r="BH489" s="16"/>
      <c r="BI489" s="16"/>
      <c r="BJ489" s="16"/>
      <c r="BK489" s="16"/>
      <c r="BL489" s="16"/>
      <c r="BM489" s="17"/>
      <c r="BQ489" s="24"/>
      <c r="BR489" s="61"/>
      <c r="BS489" s="16"/>
      <c r="BT489" s="16"/>
      <c r="BU489" s="16"/>
      <c r="BV489" s="16"/>
      <c r="BW489" s="16"/>
      <c r="BX489" s="17"/>
      <c r="CB489" s="24"/>
      <c r="CC489" s="61"/>
      <c r="CD489" s="16"/>
      <c r="CE489" s="16"/>
      <c r="CF489" s="16"/>
      <c r="CG489" s="16"/>
      <c r="CH489" s="16"/>
      <c r="CI489" s="17"/>
      <c r="CM489" s="24"/>
      <c r="CN489" s="61"/>
      <c r="CO489" s="16"/>
      <c r="CP489" s="16"/>
      <c r="CQ489" s="16"/>
      <c r="CR489" s="16"/>
      <c r="CS489" s="16"/>
      <c r="CT489" s="17"/>
      <c r="CX489" s="24"/>
      <c r="CY489" s="60"/>
      <c r="CZ489" s="16"/>
      <c r="DA489" s="16"/>
      <c r="DB489" s="16"/>
      <c r="DC489" s="16"/>
      <c r="DD489" s="16"/>
      <c r="DE489" s="17"/>
      <c r="DI489" s="24"/>
      <c r="DJ489" s="60"/>
      <c r="DK489" s="16"/>
      <c r="DL489" s="16"/>
      <c r="DM489" s="16"/>
      <c r="DN489" s="16"/>
      <c r="DO489" s="16"/>
      <c r="DP489" s="17"/>
      <c r="DT489" s="24"/>
      <c r="DU489" s="60"/>
      <c r="DV489" s="16"/>
      <c r="DW489" s="16"/>
      <c r="DX489" s="16"/>
      <c r="DY489" s="16"/>
      <c r="DZ489" s="16"/>
      <c r="EA489" s="17"/>
      <c r="EE489" s="24"/>
      <c r="EF489" s="60"/>
      <c r="EG489" s="16"/>
      <c r="EH489" s="16"/>
      <c r="EI489" s="16"/>
      <c r="EJ489" s="16"/>
      <c r="EK489" s="16"/>
      <c r="EL489" s="17"/>
      <c r="EP489" s="24"/>
      <c r="EQ489" s="60"/>
      <c r="ER489" s="16"/>
      <c r="ES489" s="16"/>
      <c r="ET489" s="16"/>
      <c r="EU489" s="16"/>
      <c r="EV489" s="16"/>
      <c r="EW489" s="17"/>
      <c r="FA489" s="24"/>
      <c r="FB489" s="60"/>
      <c r="FC489" s="16"/>
      <c r="FD489" s="16"/>
      <c r="FE489" s="16"/>
      <c r="FF489" s="16"/>
      <c r="FG489" s="16"/>
      <c r="FH489" s="17"/>
      <c r="FL489" s="24"/>
      <c r="FM489" s="60"/>
      <c r="FN489" s="16"/>
      <c r="FO489" s="16"/>
      <c r="FP489" s="16"/>
      <c r="FQ489" s="16"/>
      <c r="FR489" s="16"/>
      <c r="FS489" s="17"/>
      <c r="FW489" s="24"/>
      <c r="FX489" s="60"/>
      <c r="FY489" s="16"/>
      <c r="FZ489" s="16"/>
      <c r="GA489" s="16"/>
      <c r="GB489" s="16"/>
      <c r="GC489" s="16"/>
      <c r="GD489" s="17"/>
      <c r="GH489" s="24"/>
      <c r="GI489" s="60"/>
      <c r="GJ489" s="16"/>
      <c r="GK489" s="16"/>
      <c r="GL489" s="16"/>
      <c r="GM489" s="16"/>
      <c r="GN489" s="16"/>
      <c r="GO489" s="17"/>
      <c r="GS489" s="24"/>
      <c r="GT489" s="60"/>
      <c r="GU489" s="16"/>
      <c r="GV489" s="16"/>
      <c r="GW489" s="16"/>
      <c r="GX489" s="16"/>
      <c r="GY489" s="16"/>
      <c r="GZ489" s="17"/>
      <c r="HD489" s="24"/>
      <c r="HE489" s="60"/>
      <c r="HF489" s="16"/>
      <c r="HG489" s="16"/>
      <c r="HH489" s="16"/>
      <c r="HI489" s="16"/>
      <c r="HJ489" s="16"/>
      <c r="HK489" s="17"/>
      <c r="HO489" s="24"/>
      <c r="HP489" s="60"/>
      <c r="HQ489" s="16"/>
      <c r="HR489" s="16"/>
      <c r="HS489" s="16"/>
      <c r="HT489" s="16"/>
      <c r="HU489" s="16"/>
      <c r="HV489" s="17"/>
      <c r="HZ489" s="24"/>
      <c r="IA489" s="60"/>
      <c r="IB489" s="16"/>
      <c r="IC489" s="16"/>
      <c r="ID489" s="16"/>
      <c r="IE489" s="16"/>
      <c r="IF489" s="16"/>
      <c r="IG489" s="17"/>
      <c r="IK489" s="24"/>
      <c r="IL489" s="60"/>
      <c r="IM489" s="16"/>
      <c r="IN489" s="16"/>
      <c r="IO489" s="16"/>
      <c r="IP489" s="16"/>
      <c r="IQ489" s="16"/>
      <c r="IR489" s="17"/>
      <c r="IV489" s="24"/>
      <c r="IW489" s="60"/>
      <c r="IX489" s="16"/>
      <c r="IY489" s="16"/>
      <c r="IZ489" s="16"/>
      <c r="JA489" s="16"/>
      <c r="JB489" s="16"/>
      <c r="JC489" s="17"/>
      <c r="JG489" s="24"/>
      <c r="JH489" s="60"/>
      <c r="JI489" s="16"/>
      <c r="JJ489" s="16"/>
      <c r="JK489" s="16"/>
      <c r="JL489" s="16"/>
      <c r="JM489" s="16"/>
      <c r="JN489" s="17"/>
      <c r="JR489" s="24"/>
      <c r="JS489" s="60"/>
      <c r="JT489" s="16"/>
      <c r="JU489" s="16"/>
      <c r="JV489" s="16"/>
      <c r="JW489" s="16"/>
      <c r="JX489" s="16"/>
      <c r="JY489" s="17"/>
      <c r="KC489" s="24"/>
      <c r="KD489" s="60"/>
      <c r="KE489" s="16"/>
      <c r="KF489" s="16"/>
      <c r="KG489" s="16"/>
      <c r="KH489" s="16"/>
      <c r="KI489" s="16"/>
      <c r="KJ489" s="17"/>
      <c r="KN489" s="24"/>
      <c r="KO489" s="60"/>
      <c r="KP489" s="16"/>
      <c r="KQ489" s="16"/>
      <c r="KR489" s="16"/>
      <c r="KS489" s="16"/>
      <c r="KT489" s="16"/>
      <c r="KU489" s="17"/>
      <c r="KY489" s="24"/>
      <c r="KZ489" s="60"/>
      <c r="LA489" s="16"/>
      <c r="LB489" s="16"/>
      <c r="LC489" s="16"/>
      <c r="LD489" s="16"/>
      <c r="LE489" s="16"/>
      <c r="LF489" s="17"/>
      <c r="LJ489" s="24"/>
      <c r="LK489" s="60"/>
      <c r="LL489" s="16"/>
      <c r="LM489" s="16"/>
      <c r="LN489" s="16"/>
      <c r="LO489" s="16"/>
      <c r="LP489" s="16"/>
      <c r="LQ489" s="17"/>
    </row>
    <row r="490">
      <c r="C490" s="31"/>
      <c r="D490" s="61"/>
      <c r="E490" s="16"/>
      <c r="F490" s="16"/>
      <c r="G490" s="21"/>
      <c r="H490" s="16"/>
      <c r="I490" s="16"/>
      <c r="J490" s="17"/>
      <c r="N490" s="17"/>
      <c r="O490" s="61"/>
      <c r="P490" s="16"/>
      <c r="Q490" s="16"/>
      <c r="R490" s="16"/>
      <c r="S490" s="16"/>
      <c r="T490" s="16"/>
      <c r="U490" s="17"/>
      <c r="Y490" s="24"/>
      <c r="Z490" s="61"/>
      <c r="AA490" s="16"/>
      <c r="AB490" s="16"/>
      <c r="AC490" s="16"/>
      <c r="AD490" s="16"/>
      <c r="AE490" s="16"/>
      <c r="AF490" s="17"/>
      <c r="AJ490" s="24"/>
      <c r="AK490" s="61"/>
      <c r="AL490" s="16"/>
      <c r="AM490" s="16"/>
      <c r="AN490" s="16"/>
      <c r="AO490" s="16"/>
      <c r="AP490" s="16"/>
      <c r="AQ490" s="17"/>
      <c r="AU490" s="24"/>
      <c r="AV490" s="61"/>
      <c r="AW490" s="16"/>
      <c r="AX490" s="16"/>
      <c r="AY490" s="16"/>
      <c r="AZ490" s="16"/>
      <c r="BA490" s="16"/>
      <c r="BB490" s="17"/>
      <c r="BF490" s="24"/>
      <c r="BG490" s="61"/>
      <c r="BH490" s="16"/>
      <c r="BI490" s="16"/>
      <c r="BJ490" s="16"/>
      <c r="BK490" s="16"/>
      <c r="BL490" s="16"/>
      <c r="BM490" s="17"/>
      <c r="BQ490" s="24"/>
      <c r="BR490" s="61"/>
      <c r="BS490" s="16"/>
      <c r="BT490" s="16"/>
      <c r="BU490" s="16"/>
      <c r="BV490" s="16"/>
      <c r="BW490" s="16"/>
      <c r="BX490" s="17"/>
      <c r="CB490" s="24"/>
      <c r="CC490" s="61"/>
      <c r="CD490" s="16"/>
      <c r="CE490" s="16"/>
      <c r="CF490" s="16"/>
      <c r="CG490" s="16"/>
      <c r="CH490" s="16"/>
      <c r="CI490" s="17"/>
      <c r="CM490" s="24"/>
      <c r="CN490" s="61"/>
      <c r="CO490" s="16"/>
      <c r="CP490" s="16"/>
      <c r="CQ490" s="16"/>
      <c r="CR490" s="16"/>
      <c r="CS490" s="16"/>
      <c r="CT490" s="17"/>
      <c r="CX490" s="24"/>
      <c r="CY490" s="60"/>
      <c r="CZ490" s="16"/>
      <c r="DA490" s="16"/>
      <c r="DB490" s="16"/>
      <c r="DC490" s="16"/>
      <c r="DD490" s="16"/>
      <c r="DE490" s="17"/>
      <c r="DI490" s="24"/>
      <c r="DJ490" s="60"/>
      <c r="DK490" s="16"/>
      <c r="DL490" s="16"/>
      <c r="DM490" s="16"/>
      <c r="DN490" s="16"/>
      <c r="DO490" s="16"/>
      <c r="DP490" s="17"/>
      <c r="DT490" s="24"/>
      <c r="DU490" s="60"/>
      <c r="DV490" s="16"/>
      <c r="DW490" s="16"/>
      <c r="DX490" s="16"/>
      <c r="DY490" s="16"/>
      <c r="DZ490" s="16"/>
      <c r="EA490" s="17"/>
      <c r="EE490" s="24"/>
      <c r="EF490" s="60"/>
      <c r="EG490" s="16"/>
      <c r="EH490" s="16"/>
      <c r="EI490" s="16"/>
      <c r="EJ490" s="16"/>
      <c r="EK490" s="16"/>
      <c r="EL490" s="17"/>
      <c r="EP490" s="24"/>
      <c r="EQ490" s="60"/>
      <c r="ER490" s="16"/>
      <c r="ES490" s="16"/>
      <c r="ET490" s="16"/>
      <c r="EU490" s="16"/>
      <c r="EV490" s="16"/>
      <c r="EW490" s="17"/>
      <c r="FA490" s="24"/>
      <c r="FB490" s="60"/>
      <c r="FC490" s="16"/>
      <c r="FD490" s="16"/>
      <c r="FE490" s="16"/>
      <c r="FF490" s="16"/>
      <c r="FG490" s="16"/>
      <c r="FH490" s="17"/>
      <c r="FL490" s="24"/>
      <c r="FM490" s="60"/>
      <c r="FN490" s="16"/>
      <c r="FO490" s="16"/>
      <c r="FP490" s="16"/>
      <c r="FQ490" s="16"/>
      <c r="FR490" s="16"/>
      <c r="FS490" s="17"/>
      <c r="FW490" s="24"/>
      <c r="FX490" s="60"/>
      <c r="FY490" s="16"/>
      <c r="FZ490" s="16"/>
      <c r="GA490" s="16"/>
      <c r="GB490" s="16"/>
      <c r="GC490" s="16"/>
      <c r="GD490" s="17"/>
      <c r="GH490" s="24"/>
      <c r="GI490" s="60"/>
      <c r="GJ490" s="16"/>
      <c r="GK490" s="16"/>
      <c r="GL490" s="16"/>
      <c r="GM490" s="16"/>
      <c r="GN490" s="16"/>
      <c r="GO490" s="17"/>
      <c r="GS490" s="24"/>
      <c r="GT490" s="60"/>
      <c r="GU490" s="16"/>
      <c r="GV490" s="16"/>
      <c r="GW490" s="16"/>
      <c r="GX490" s="16"/>
      <c r="GY490" s="16"/>
      <c r="GZ490" s="17"/>
      <c r="HD490" s="24"/>
      <c r="HE490" s="60"/>
      <c r="HF490" s="16"/>
      <c r="HG490" s="16"/>
      <c r="HH490" s="16"/>
      <c r="HI490" s="16"/>
      <c r="HJ490" s="16"/>
      <c r="HK490" s="17"/>
      <c r="HO490" s="24"/>
      <c r="HP490" s="60"/>
      <c r="HQ490" s="16"/>
      <c r="HR490" s="16"/>
      <c r="HS490" s="16"/>
      <c r="HT490" s="16"/>
      <c r="HU490" s="16"/>
      <c r="HV490" s="17"/>
      <c r="HZ490" s="24"/>
      <c r="IA490" s="60"/>
      <c r="IB490" s="16"/>
      <c r="IC490" s="16"/>
      <c r="ID490" s="16"/>
      <c r="IE490" s="16"/>
      <c r="IF490" s="16"/>
      <c r="IG490" s="17"/>
      <c r="IK490" s="24"/>
      <c r="IL490" s="60"/>
      <c r="IM490" s="16"/>
      <c r="IN490" s="16"/>
      <c r="IO490" s="16"/>
      <c r="IP490" s="16"/>
      <c r="IQ490" s="16"/>
      <c r="IR490" s="17"/>
      <c r="IV490" s="24"/>
      <c r="IW490" s="60"/>
      <c r="IX490" s="16"/>
      <c r="IY490" s="16"/>
      <c r="IZ490" s="16"/>
      <c r="JA490" s="16"/>
      <c r="JB490" s="16"/>
      <c r="JC490" s="17"/>
      <c r="JG490" s="24"/>
      <c r="JH490" s="60"/>
      <c r="JI490" s="16"/>
      <c r="JJ490" s="16"/>
      <c r="JK490" s="16"/>
      <c r="JL490" s="16"/>
      <c r="JM490" s="16"/>
      <c r="JN490" s="17"/>
      <c r="JR490" s="24"/>
      <c r="JS490" s="60"/>
      <c r="JT490" s="16"/>
      <c r="JU490" s="16"/>
      <c r="JV490" s="16"/>
      <c r="JW490" s="16"/>
      <c r="JX490" s="16"/>
      <c r="JY490" s="17"/>
      <c r="KC490" s="24"/>
      <c r="KD490" s="60"/>
      <c r="KE490" s="16"/>
      <c r="KF490" s="16"/>
      <c r="KG490" s="16"/>
      <c r="KH490" s="16"/>
      <c r="KI490" s="16"/>
      <c r="KJ490" s="17"/>
      <c r="KN490" s="24"/>
      <c r="KO490" s="60"/>
      <c r="KP490" s="16"/>
      <c r="KQ490" s="16"/>
      <c r="KR490" s="16"/>
      <c r="KS490" s="16"/>
      <c r="KT490" s="16"/>
      <c r="KU490" s="17"/>
      <c r="KY490" s="24"/>
      <c r="KZ490" s="60"/>
      <c r="LA490" s="16"/>
      <c r="LB490" s="16"/>
      <c r="LC490" s="16"/>
      <c r="LD490" s="16"/>
      <c r="LE490" s="16"/>
      <c r="LF490" s="17"/>
      <c r="LJ490" s="24"/>
      <c r="LK490" s="60"/>
      <c r="LL490" s="16"/>
      <c r="LM490" s="16"/>
      <c r="LN490" s="16"/>
      <c r="LO490" s="16"/>
      <c r="LP490" s="16"/>
      <c r="LQ490" s="17"/>
    </row>
    <row r="491">
      <c r="C491" s="31"/>
      <c r="D491" s="61"/>
      <c r="E491" s="16"/>
      <c r="F491" s="16"/>
      <c r="G491" s="21"/>
      <c r="H491" s="16"/>
      <c r="I491" s="16"/>
      <c r="J491" s="17"/>
      <c r="N491" s="17"/>
      <c r="O491" s="61"/>
      <c r="P491" s="16"/>
      <c r="Q491" s="16"/>
      <c r="R491" s="16"/>
      <c r="S491" s="16"/>
      <c r="T491" s="16"/>
      <c r="U491" s="17"/>
      <c r="Y491" s="24"/>
      <c r="Z491" s="61"/>
      <c r="AA491" s="16"/>
      <c r="AB491" s="16"/>
      <c r="AC491" s="16"/>
      <c r="AD491" s="16"/>
      <c r="AE491" s="16"/>
      <c r="AF491" s="17"/>
      <c r="AJ491" s="24"/>
      <c r="AK491" s="61"/>
      <c r="AL491" s="16"/>
      <c r="AM491" s="16"/>
      <c r="AN491" s="16"/>
      <c r="AO491" s="16"/>
      <c r="AP491" s="16"/>
      <c r="AQ491" s="17"/>
      <c r="AU491" s="24"/>
      <c r="AV491" s="61"/>
      <c r="AW491" s="16"/>
      <c r="AX491" s="16"/>
      <c r="AY491" s="16"/>
      <c r="AZ491" s="16"/>
      <c r="BA491" s="16"/>
      <c r="BB491" s="17"/>
      <c r="BF491" s="24"/>
      <c r="BG491" s="61"/>
      <c r="BH491" s="16"/>
      <c r="BI491" s="16"/>
      <c r="BJ491" s="16"/>
      <c r="BK491" s="16"/>
      <c r="BL491" s="16"/>
      <c r="BM491" s="17"/>
      <c r="BQ491" s="24"/>
      <c r="BR491" s="61"/>
      <c r="BS491" s="16"/>
      <c r="BT491" s="16"/>
      <c r="BU491" s="16"/>
      <c r="BV491" s="16"/>
      <c r="BW491" s="16"/>
      <c r="BX491" s="17"/>
      <c r="CB491" s="24"/>
      <c r="CC491" s="61"/>
      <c r="CD491" s="16"/>
      <c r="CE491" s="16"/>
      <c r="CF491" s="16"/>
      <c r="CG491" s="16"/>
      <c r="CH491" s="16"/>
      <c r="CI491" s="17"/>
      <c r="CM491" s="24"/>
      <c r="CN491" s="61"/>
      <c r="CO491" s="16"/>
      <c r="CP491" s="16"/>
      <c r="CQ491" s="16"/>
      <c r="CR491" s="16"/>
      <c r="CS491" s="16"/>
      <c r="CT491" s="17"/>
      <c r="CX491" s="24"/>
      <c r="CY491" s="60"/>
      <c r="CZ491" s="16"/>
      <c r="DA491" s="16"/>
      <c r="DB491" s="16"/>
      <c r="DC491" s="16"/>
      <c r="DD491" s="16"/>
      <c r="DE491" s="17"/>
      <c r="DI491" s="24"/>
      <c r="DJ491" s="60"/>
      <c r="DK491" s="16"/>
      <c r="DL491" s="16"/>
      <c r="DM491" s="16"/>
      <c r="DN491" s="16"/>
      <c r="DO491" s="16"/>
      <c r="DP491" s="17"/>
      <c r="DT491" s="24"/>
      <c r="DU491" s="60"/>
      <c r="DV491" s="16"/>
      <c r="DW491" s="16"/>
      <c r="DX491" s="16"/>
      <c r="DY491" s="16"/>
      <c r="DZ491" s="16"/>
      <c r="EA491" s="17"/>
      <c r="EE491" s="24"/>
      <c r="EF491" s="60"/>
      <c r="EG491" s="16"/>
      <c r="EH491" s="16"/>
      <c r="EI491" s="16"/>
      <c r="EJ491" s="16"/>
      <c r="EK491" s="16"/>
      <c r="EL491" s="17"/>
      <c r="EP491" s="24"/>
      <c r="EQ491" s="60"/>
      <c r="ER491" s="16"/>
      <c r="ES491" s="16"/>
      <c r="ET491" s="16"/>
      <c r="EU491" s="16"/>
      <c r="EV491" s="16"/>
      <c r="EW491" s="17"/>
      <c r="FA491" s="24"/>
      <c r="FB491" s="60"/>
      <c r="FC491" s="16"/>
      <c r="FD491" s="16"/>
      <c r="FE491" s="16"/>
      <c r="FF491" s="16"/>
      <c r="FG491" s="16"/>
      <c r="FH491" s="17"/>
      <c r="FL491" s="24"/>
      <c r="FM491" s="60"/>
      <c r="FN491" s="16"/>
      <c r="FO491" s="16"/>
      <c r="FP491" s="16"/>
      <c r="FQ491" s="16"/>
      <c r="FR491" s="16"/>
      <c r="FS491" s="17"/>
      <c r="FW491" s="24"/>
      <c r="FX491" s="60"/>
      <c r="FY491" s="16"/>
      <c r="FZ491" s="16"/>
      <c r="GA491" s="16"/>
      <c r="GB491" s="16"/>
      <c r="GC491" s="16"/>
      <c r="GD491" s="17"/>
      <c r="GH491" s="24"/>
      <c r="GI491" s="60"/>
      <c r="GJ491" s="16"/>
      <c r="GK491" s="16"/>
      <c r="GL491" s="16"/>
      <c r="GM491" s="16"/>
      <c r="GN491" s="16"/>
      <c r="GO491" s="17"/>
      <c r="GS491" s="24"/>
      <c r="GT491" s="60"/>
      <c r="GU491" s="16"/>
      <c r="GV491" s="16"/>
      <c r="GW491" s="16"/>
      <c r="GX491" s="16"/>
      <c r="GY491" s="16"/>
      <c r="GZ491" s="17"/>
      <c r="HD491" s="24"/>
      <c r="HE491" s="60"/>
      <c r="HF491" s="16"/>
      <c r="HG491" s="16"/>
      <c r="HH491" s="16"/>
      <c r="HI491" s="16"/>
      <c r="HJ491" s="16"/>
      <c r="HK491" s="17"/>
      <c r="HO491" s="24"/>
      <c r="HP491" s="60"/>
      <c r="HQ491" s="16"/>
      <c r="HR491" s="16"/>
      <c r="HS491" s="16"/>
      <c r="HT491" s="16"/>
      <c r="HU491" s="16"/>
      <c r="HV491" s="17"/>
      <c r="HZ491" s="24"/>
      <c r="IA491" s="60"/>
      <c r="IB491" s="16"/>
      <c r="IC491" s="16"/>
      <c r="ID491" s="16"/>
      <c r="IE491" s="16"/>
      <c r="IF491" s="16"/>
      <c r="IG491" s="17"/>
      <c r="IK491" s="24"/>
      <c r="IL491" s="60"/>
      <c r="IM491" s="16"/>
      <c r="IN491" s="16"/>
      <c r="IO491" s="16"/>
      <c r="IP491" s="16"/>
      <c r="IQ491" s="16"/>
      <c r="IR491" s="17"/>
      <c r="IV491" s="24"/>
      <c r="IW491" s="60"/>
      <c r="IX491" s="16"/>
      <c r="IY491" s="16"/>
      <c r="IZ491" s="16"/>
      <c r="JA491" s="16"/>
      <c r="JB491" s="16"/>
      <c r="JC491" s="17"/>
      <c r="JG491" s="24"/>
      <c r="JH491" s="60"/>
      <c r="JI491" s="16"/>
      <c r="JJ491" s="16"/>
      <c r="JK491" s="16"/>
      <c r="JL491" s="16"/>
      <c r="JM491" s="16"/>
      <c r="JN491" s="17"/>
      <c r="JR491" s="24"/>
      <c r="JS491" s="60"/>
      <c r="JT491" s="16"/>
      <c r="JU491" s="16"/>
      <c r="JV491" s="16"/>
      <c r="JW491" s="16"/>
      <c r="JX491" s="16"/>
      <c r="JY491" s="17"/>
      <c r="KC491" s="24"/>
      <c r="KD491" s="60"/>
      <c r="KE491" s="16"/>
      <c r="KF491" s="16"/>
      <c r="KG491" s="16"/>
      <c r="KH491" s="16"/>
      <c r="KI491" s="16"/>
      <c r="KJ491" s="17"/>
      <c r="KN491" s="24"/>
      <c r="KO491" s="60"/>
      <c r="KP491" s="16"/>
      <c r="KQ491" s="16"/>
      <c r="KR491" s="16"/>
      <c r="KS491" s="16"/>
      <c r="KT491" s="16"/>
      <c r="KU491" s="17"/>
      <c r="KY491" s="24"/>
      <c r="KZ491" s="60"/>
      <c r="LA491" s="16"/>
      <c r="LB491" s="16"/>
      <c r="LC491" s="16"/>
      <c r="LD491" s="16"/>
      <c r="LE491" s="16"/>
      <c r="LF491" s="17"/>
      <c r="LJ491" s="24"/>
      <c r="LK491" s="60"/>
      <c r="LL491" s="16"/>
      <c r="LM491" s="16"/>
      <c r="LN491" s="16"/>
      <c r="LO491" s="16"/>
      <c r="LP491" s="16"/>
      <c r="LQ491" s="17"/>
    </row>
    <row r="492">
      <c r="C492" s="31"/>
      <c r="D492" s="61"/>
      <c r="E492" s="16"/>
      <c r="F492" s="16"/>
      <c r="G492" s="21"/>
      <c r="H492" s="16"/>
      <c r="I492" s="16"/>
      <c r="J492" s="17"/>
      <c r="N492" s="17"/>
      <c r="O492" s="61"/>
      <c r="P492" s="16"/>
      <c r="Q492" s="16"/>
      <c r="R492" s="16"/>
      <c r="S492" s="16"/>
      <c r="T492" s="16"/>
      <c r="U492" s="17"/>
      <c r="Y492" s="24"/>
      <c r="Z492" s="61"/>
      <c r="AA492" s="16"/>
      <c r="AB492" s="16"/>
      <c r="AC492" s="16"/>
      <c r="AD492" s="16"/>
      <c r="AE492" s="16"/>
      <c r="AF492" s="17"/>
      <c r="AJ492" s="24"/>
      <c r="AK492" s="61"/>
      <c r="AL492" s="16"/>
      <c r="AM492" s="16"/>
      <c r="AN492" s="16"/>
      <c r="AO492" s="16"/>
      <c r="AP492" s="16"/>
      <c r="AQ492" s="17"/>
      <c r="AU492" s="24"/>
      <c r="AV492" s="61"/>
      <c r="AW492" s="16"/>
      <c r="AX492" s="16"/>
      <c r="AY492" s="16"/>
      <c r="AZ492" s="16"/>
      <c r="BA492" s="16"/>
      <c r="BB492" s="17"/>
      <c r="BF492" s="24"/>
      <c r="BG492" s="61"/>
      <c r="BH492" s="16"/>
      <c r="BI492" s="16"/>
      <c r="BJ492" s="16"/>
      <c r="BK492" s="16"/>
      <c r="BL492" s="16"/>
      <c r="BM492" s="17"/>
      <c r="BQ492" s="24"/>
      <c r="BR492" s="61"/>
      <c r="BS492" s="16"/>
      <c r="BT492" s="16"/>
      <c r="BU492" s="16"/>
      <c r="BV492" s="16"/>
      <c r="BW492" s="16"/>
      <c r="BX492" s="17"/>
      <c r="CB492" s="24"/>
      <c r="CC492" s="61"/>
      <c r="CD492" s="16"/>
      <c r="CE492" s="16"/>
      <c r="CF492" s="16"/>
      <c r="CG492" s="16"/>
      <c r="CH492" s="16"/>
      <c r="CI492" s="17"/>
      <c r="CM492" s="24"/>
      <c r="CN492" s="61"/>
      <c r="CO492" s="16"/>
      <c r="CP492" s="16"/>
      <c r="CQ492" s="16"/>
      <c r="CR492" s="16"/>
      <c r="CS492" s="16"/>
      <c r="CT492" s="17"/>
      <c r="CX492" s="24"/>
      <c r="CY492" s="60"/>
      <c r="CZ492" s="16"/>
      <c r="DA492" s="16"/>
      <c r="DB492" s="16"/>
      <c r="DC492" s="16"/>
      <c r="DD492" s="16"/>
      <c r="DE492" s="17"/>
      <c r="DI492" s="24"/>
      <c r="DJ492" s="60"/>
      <c r="DK492" s="16"/>
      <c r="DL492" s="16"/>
      <c r="DM492" s="16"/>
      <c r="DN492" s="16"/>
      <c r="DO492" s="16"/>
      <c r="DP492" s="17"/>
      <c r="DT492" s="24"/>
      <c r="DU492" s="60"/>
      <c r="DV492" s="16"/>
      <c r="DW492" s="16"/>
      <c r="DX492" s="16"/>
      <c r="DY492" s="16"/>
      <c r="DZ492" s="16"/>
      <c r="EA492" s="17"/>
      <c r="EE492" s="24"/>
      <c r="EF492" s="60"/>
      <c r="EG492" s="16"/>
      <c r="EH492" s="16"/>
      <c r="EI492" s="16"/>
      <c r="EJ492" s="16"/>
      <c r="EK492" s="16"/>
      <c r="EL492" s="17"/>
      <c r="EP492" s="24"/>
      <c r="EQ492" s="60"/>
      <c r="ER492" s="16"/>
      <c r="ES492" s="16"/>
      <c r="ET492" s="16"/>
      <c r="EU492" s="16"/>
      <c r="EV492" s="16"/>
      <c r="EW492" s="17"/>
      <c r="FA492" s="24"/>
      <c r="FB492" s="60"/>
      <c r="FC492" s="16"/>
      <c r="FD492" s="16"/>
      <c r="FE492" s="16"/>
      <c r="FF492" s="16"/>
      <c r="FG492" s="16"/>
      <c r="FH492" s="17"/>
      <c r="FL492" s="24"/>
      <c r="FM492" s="60"/>
      <c r="FN492" s="16"/>
      <c r="FO492" s="16"/>
      <c r="FP492" s="16"/>
      <c r="FQ492" s="16"/>
      <c r="FR492" s="16"/>
      <c r="FS492" s="17"/>
      <c r="FW492" s="24"/>
      <c r="FX492" s="60"/>
      <c r="FY492" s="16"/>
      <c r="FZ492" s="16"/>
      <c r="GA492" s="16"/>
      <c r="GB492" s="16"/>
      <c r="GC492" s="16"/>
      <c r="GD492" s="17"/>
      <c r="GH492" s="24"/>
      <c r="GI492" s="60"/>
      <c r="GJ492" s="16"/>
      <c r="GK492" s="16"/>
      <c r="GL492" s="16"/>
      <c r="GM492" s="16"/>
      <c r="GN492" s="16"/>
      <c r="GO492" s="17"/>
      <c r="GS492" s="24"/>
      <c r="GT492" s="60"/>
      <c r="GU492" s="16"/>
      <c r="GV492" s="16"/>
      <c r="GW492" s="16"/>
      <c r="GX492" s="16"/>
      <c r="GY492" s="16"/>
      <c r="GZ492" s="17"/>
      <c r="HD492" s="24"/>
      <c r="HE492" s="60"/>
      <c r="HF492" s="16"/>
      <c r="HG492" s="16"/>
      <c r="HH492" s="16"/>
      <c r="HI492" s="16"/>
      <c r="HJ492" s="16"/>
      <c r="HK492" s="17"/>
      <c r="HO492" s="24"/>
      <c r="HP492" s="60"/>
      <c r="HQ492" s="16"/>
      <c r="HR492" s="16"/>
      <c r="HS492" s="16"/>
      <c r="HT492" s="16"/>
      <c r="HU492" s="16"/>
      <c r="HV492" s="17"/>
      <c r="HZ492" s="24"/>
      <c r="IA492" s="60"/>
      <c r="IB492" s="16"/>
      <c r="IC492" s="16"/>
      <c r="ID492" s="16"/>
      <c r="IE492" s="16"/>
      <c r="IF492" s="16"/>
      <c r="IG492" s="17"/>
      <c r="IK492" s="24"/>
      <c r="IL492" s="60"/>
      <c r="IM492" s="16"/>
      <c r="IN492" s="16"/>
      <c r="IO492" s="16"/>
      <c r="IP492" s="16"/>
      <c r="IQ492" s="16"/>
      <c r="IR492" s="17"/>
      <c r="IV492" s="24"/>
      <c r="IW492" s="60"/>
      <c r="IX492" s="16"/>
      <c r="IY492" s="16"/>
      <c r="IZ492" s="16"/>
      <c r="JA492" s="16"/>
      <c r="JB492" s="16"/>
      <c r="JC492" s="17"/>
      <c r="JG492" s="24"/>
      <c r="JH492" s="60"/>
      <c r="JI492" s="16"/>
      <c r="JJ492" s="16"/>
      <c r="JK492" s="16"/>
      <c r="JL492" s="16"/>
      <c r="JM492" s="16"/>
      <c r="JN492" s="17"/>
      <c r="JR492" s="24"/>
      <c r="JS492" s="60"/>
      <c r="JT492" s="16"/>
      <c r="JU492" s="16"/>
      <c r="JV492" s="16"/>
      <c r="JW492" s="16"/>
      <c r="JX492" s="16"/>
      <c r="JY492" s="17"/>
      <c r="KC492" s="24"/>
      <c r="KD492" s="60"/>
      <c r="KE492" s="16"/>
      <c r="KF492" s="16"/>
      <c r="KG492" s="16"/>
      <c r="KH492" s="16"/>
      <c r="KI492" s="16"/>
      <c r="KJ492" s="17"/>
      <c r="KN492" s="24"/>
      <c r="KO492" s="60"/>
      <c r="KP492" s="16"/>
      <c r="KQ492" s="16"/>
      <c r="KR492" s="16"/>
      <c r="KS492" s="16"/>
      <c r="KT492" s="16"/>
      <c r="KU492" s="17"/>
      <c r="KY492" s="24"/>
      <c r="KZ492" s="60"/>
      <c r="LA492" s="16"/>
      <c r="LB492" s="16"/>
      <c r="LC492" s="16"/>
      <c r="LD492" s="16"/>
      <c r="LE492" s="16"/>
      <c r="LF492" s="17"/>
      <c r="LJ492" s="24"/>
      <c r="LK492" s="60"/>
      <c r="LL492" s="16"/>
      <c r="LM492" s="16"/>
      <c r="LN492" s="16"/>
      <c r="LO492" s="16"/>
      <c r="LP492" s="16"/>
      <c r="LQ492" s="17"/>
    </row>
    <row r="493">
      <c r="C493" s="31"/>
      <c r="D493" s="61"/>
      <c r="E493" s="16"/>
      <c r="F493" s="16"/>
      <c r="G493" s="21"/>
      <c r="H493" s="16"/>
      <c r="I493" s="16"/>
      <c r="J493" s="17"/>
      <c r="N493" s="17"/>
      <c r="O493" s="61"/>
      <c r="P493" s="16"/>
      <c r="Q493" s="16"/>
      <c r="R493" s="16"/>
      <c r="S493" s="16"/>
      <c r="T493" s="16"/>
      <c r="U493" s="17"/>
      <c r="Y493" s="24"/>
      <c r="Z493" s="61"/>
      <c r="AA493" s="16"/>
      <c r="AB493" s="16"/>
      <c r="AC493" s="16"/>
      <c r="AD493" s="16"/>
      <c r="AE493" s="16"/>
      <c r="AF493" s="17"/>
      <c r="AJ493" s="24"/>
      <c r="AK493" s="61"/>
      <c r="AL493" s="16"/>
      <c r="AM493" s="16"/>
      <c r="AN493" s="16"/>
      <c r="AO493" s="16"/>
      <c r="AP493" s="16"/>
      <c r="AQ493" s="17"/>
      <c r="AU493" s="24"/>
      <c r="AV493" s="61"/>
      <c r="AW493" s="16"/>
      <c r="AX493" s="16"/>
      <c r="AY493" s="16"/>
      <c r="AZ493" s="16"/>
      <c r="BA493" s="16"/>
      <c r="BB493" s="17"/>
      <c r="BF493" s="24"/>
      <c r="BG493" s="61"/>
      <c r="BH493" s="16"/>
      <c r="BI493" s="16"/>
      <c r="BJ493" s="16"/>
      <c r="BK493" s="16"/>
      <c r="BL493" s="16"/>
      <c r="BM493" s="17"/>
      <c r="BQ493" s="24"/>
      <c r="BR493" s="61"/>
      <c r="BS493" s="16"/>
      <c r="BT493" s="16"/>
      <c r="BU493" s="16"/>
      <c r="BV493" s="16"/>
      <c r="BW493" s="16"/>
      <c r="BX493" s="17"/>
      <c r="CB493" s="24"/>
      <c r="CC493" s="61"/>
      <c r="CD493" s="16"/>
      <c r="CE493" s="16"/>
      <c r="CF493" s="16"/>
      <c r="CG493" s="16"/>
      <c r="CH493" s="16"/>
      <c r="CI493" s="17"/>
      <c r="CM493" s="24"/>
      <c r="CN493" s="61"/>
      <c r="CO493" s="16"/>
      <c r="CP493" s="16"/>
      <c r="CQ493" s="16"/>
      <c r="CR493" s="16"/>
      <c r="CS493" s="16"/>
      <c r="CT493" s="17"/>
      <c r="CX493" s="24"/>
      <c r="CY493" s="60"/>
      <c r="CZ493" s="16"/>
      <c r="DA493" s="16"/>
      <c r="DB493" s="16"/>
      <c r="DC493" s="16"/>
      <c r="DD493" s="16"/>
      <c r="DE493" s="17"/>
      <c r="DI493" s="24"/>
      <c r="DJ493" s="60"/>
      <c r="DK493" s="16"/>
      <c r="DL493" s="16"/>
      <c r="DM493" s="16"/>
      <c r="DN493" s="16"/>
      <c r="DO493" s="16"/>
      <c r="DP493" s="17"/>
      <c r="DT493" s="24"/>
      <c r="DU493" s="60"/>
      <c r="DV493" s="16"/>
      <c r="DW493" s="16"/>
      <c r="DX493" s="16"/>
      <c r="DY493" s="16"/>
      <c r="DZ493" s="16"/>
      <c r="EA493" s="17"/>
      <c r="EE493" s="24"/>
      <c r="EF493" s="60"/>
      <c r="EG493" s="16"/>
      <c r="EH493" s="16"/>
      <c r="EI493" s="16"/>
      <c r="EJ493" s="16"/>
      <c r="EK493" s="16"/>
      <c r="EL493" s="17"/>
      <c r="EP493" s="24"/>
      <c r="EQ493" s="60"/>
      <c r="ER493" s="16"/>
      <c r="ES493" s="16"/>
      <c r="ET493" s="16"/>
      <c r="EU493" s="16"/>
      <c r="EV493" s="16"/>
      <c r="EW493" s="17"/>
      <c r="FA493" s="24"/>
      <c r="FB493" s="60"/>
      <c r="FC493" s="16"/>
      <c r="FD493" s="16"/>
      <c r="FE493" s="16"/>
      <c r="FF493" s="16"/>
      <c r="FG493" s="16"/>
      <c r="FH493" s="17"/>
      <c r="FL493" s="24"/>
      <c r="FM493" s="60"/>
      <c r="FN493" s="16"/>
      <c r="FO493" s="16"/>
      <c r="FP493" s="16"/>
      <c r="FQ493" s="16"/>
      <c r="FR493" s="16"/>
      <c r="FS493" s="17"/>
      <c r="FW493" s="24"/>
      <c r="FX493" s="60"/>
      <c r="FY493" s="16"/>
      <c r="FZ493" s="16"/>
      <c r="GA493" s="16"/>
      <c r="GB493" s="16"/>
      <c r="GC493" s="16"/>
      <c r="GD493" s="17"/>
      <c r="GH493" s="24"/>
      <c r="GI493" s="60"/>
      <c r="GJ493" s="16"/>
      <c r="GK493" s="16"/>
      <c r="GL493" s="16"/>
      <c r="GM493" s="16"/>
      <c r="GN493" s="16"/>
      <c r="GO493" s="17"/>
      <c r="GS493" s="24"/>
      <c r="GT493" s="60"/>
      <c r="GU493" s="16"/>
      <c r="GV493" s="16"/>
      <c r="GW493" s="16"/>
      <c r="GX493" s="16"/>
      <c r="GY493" s="16"/>
      <c r="GZ493" s="17"/>
      <c r="HD493" s="24"/>
      <c r="HE493" s="60"/>
      <c r="HF493" s="16"/>
      <c r="HG493" s="16"/>
      <c r="HH493" s="16"/>
      <c r="HI493" s="16"/>
      <c r="HJ493" s="16"/>
      <c r="HK493" s="17"/>
      <c r="HO493" s="24"/>
      <c r="HP493" s="60"/>
      <c r="HQ493" s="16"/>
      <c r="HR493" s="16"/>
      <c r="HS493" s="16"/>
      <c r="HT493" s="16"/>
      <c r="HU493" s="16"/>
      <c r="HV493" s="17"/>
      <c r="HZ493" s="24"/>
      <c r="IA493" s="60"/>
      <c r="IB493" s="16"/>
      <c r="IC493" s="16"/>
      <c r="ID493" s="16"/>
      <c r="IE493" s="16"/>
      <c r="IF493" s="16"/>
      <c r="IG493" s="17"/>
      <c r="IK493" s="24"/>
      <c r="IL493" s="60"/>
      <c r="IM493" s="16"/>
      <c r="IN493" s="16"/>
      <c r="IO493" s="16"/>
      <c r="IP493" s="16"/>
      <c r="IQ493" s="16"/>
      <c r="IR493" s="17"/>
      <c r="IV493" s="24"/>
      <c r="IW493" s="60"/>
      <c r="IX493" s="16"/>
      <c r="IY493" s="16"/>
      <c r="IZ493" s="16"/>
      <c r="JA493" s="16"/>
      <c r="JB493" s="16"/>
      <c r="JC493" s="17"/>
      <c r="JG493" s="24"/>
      <c r="JH493" s="60"/>
      <c r="JI493" s="16"/>
      <c r="JJ493" s="16"/>
      <c r="JK493" s="16"/>
      <c r="JL493" s="16"/>
      <c r="JM493" s="16"/>
      <c r="JN493" s="17"/>
      <c r="JR493" s="24"/>
      <c r="JS493" s="60"/>
      <c r="JT493" s="16"/>
      <c r="JU493" s="16"/>
      <c r="JV493" s="16"/>
      <c r="JW493" s="16"/>
      <c r="JX493" s="16"/>
      <c r="JY493" s="17"/>
      <c r="KC493" s="24"/>
      <c r="KD493" s="60"/>
      <c r="KE493" s="16"/>
      <c r="KF493" s="16"/>
      <c r="KG493" s="16"/>
      <c r="KH493" s="16"/>
      <c r="KI493" s="16"/>
      <c r="KJ493" s="17"/>
      <c r="KN493" s="24"/>
      <c r="KO493" s="60"/>
      <c r="KP493" s="16"/>
      <c r="KQ493" s="16"/>
      <c r="KR493" s="16"/>
      <c r="KS493" s="16"/>
      <c r="KT493" s="16"/>
      <c r="KU493" s="17"/>
      <c r="KY493" s="24"/>
      <c r="KZ493" s="60"/>
      <c r="LA493" s="16"/>
      <c r="LB493" s="16"/>
      <c r="LC493" s="16"/>
      <c r="LD493" s="16"/>
      <c r="LE493" s="16"/>
      <c r="LF493" s="17"/>
      <c r="LJ493" s="24"/>
      <c r="LK493" s="60"/>
      <c r="LL493" s="16"/>
      <c r="LM493" s="16"/>
      <c r="LN493" s="16"/>
      <c r="LO493" s="16"/>
      <c r="LP493" s="16"/>
      <c r="LQ493" s="17"/>
    </row>
    <row r="494">
      <c r="C494" s="31"/>
      <c r="D494" s="61"/>
      <c r="E494" s="16"/>
      <c r="F494" s="16"/>
      <c r="G494" s="21"/>
      <c r="H494" s="16"/>
      <c r="I494" s="16"/>
      <c r="J494" s="17"/>
      <c r="N494" s="17"/>
      <c r="O494" s="61"/>
      <c r="P494" s="16"/>
      <c r="Q494" s="16"/>
      <c r="R494" s="16"/>
      <c r="S494" s="16"/>
      <c r="T494" s="16"/>
      <c r="U494" s="17"/>
      <c r="Y494" s="24"/>
      <c r="Z494" s="61"/>
      <c r="AA494" s="16"/>
      <c r="AB494" s="16"/>
      <c r="AC494" s="16"/>
      <c r="AD494" s="16"/>
      <c r="AE494" s="16"/>
      <c r="AF494" s="17"/>
      <c r="AJ494" s="24"/>
      <c r="AK494" s="61"/>
      <c r="AL494" s="16"/>
      <c r="AM494" s="16"/>
      <c r="AN494" s="16"/>
      <c r="AO494" s="16"/>
      <c r="AP494" s="16"/>
      <c r="AQ494" s="17"/>
      <c r="AU494" s="24"/>
      <c r="AV494" s="61"/>
      <c r="AW494" s="16"/>
      <c r="AX494" s="16"/>
      <c r="AY494" s="16"/>
      <c r="AZ494" s="16"/>
      <c r="BA494" s="16"/>
      <c r="BB494" s="17"/>
      <c r="BF494" s="24"/>
      <c r="BG494" s="61"/>
      <c r="BH494" s="16"/>
      <c r="BI494" s="16"/>
      <c r="BJ494" s="16"/>
      <c r="BK494" s="16"/>
      <c r="BL494" s="16"/>
      <c r="BM494" s="17"/>
      <c r="BQ494" s="24"/>
      <c r="BR494" s="61"/>
      <c r="BS494" s="16"/>
      <c r="BT494" s="16"/>
      <c r="BU494" s="16"/>
      <c r="BV494" s="16"/>
      <c r="BW494" s="16"/>
      <c r="BX494" s="17"/>
      <c r="CB494" s="24"/>
      <c r="CC494" s="61"/>
      <c r="CD494" s="16"/>
      <c r="CE494" s="16"/>
      <c r="CF494" s="16"/>
      <c r="CG494" s="16"/>
      <c r="CH494" s="16"/>
      <c r="CI494" s="17"/>
      <c r="CM494" s="24"/>
      <c r="CN494" s="61"/>
      <c r="CO494" s="16"/>
      <c r="CP494" s="16"/>
      <c r="CQ494" s="16"/>
      <c r="CR494" s="16"/>
      <c r="CS494" s="16"/>
      <c r="CT494" s="17"/>
      <c r="CX494" s="24"/>
      <c r="CY494" s="60"/>
      <c r="CZ494" s="16"/>
      <c r="DA494" s="16"/>
      <c r="DB494" s="16"/>
      <c r="DC494" s="16"/>
      <c r="DD494" s="16"/>
      <c r="DE494" s="17"/>
      <c r="DI494" s="24"/>
      <c r="DJ494" s="60"/>
      <c r="DK494" s="16"/>
      <c r="DL494" s="16"/>
      <c r="DM494" s="16"/>
      <c r="DN494" s="16"/>
      <c r="DO494" s="16"/>
      <c r="DP494" s="17"/>
      <c r="DT494" s="24"/>
      <c r="DU494" s="60"/>
      <c r="DV494" s="16"/>
      <c r="DW494" s="16"/>
      <c r="DX494" s="16"/>
      <c r="DY494" s="16"/>
      <c r="DZ494" s="16"/>
      <c r="EA494" s="17"/>
      <c r="EE494" s="24"/>
      <c r="EF494" s="60"/>
      <c r="EG494" s="16"/>
      <c r="EH494" s="16"/>
      <c r="EI494" s="16"/>
      <c r="EJ494" s="16"/>
      <c r="EK494" s="16"/>
      <c r="EL494" s="17"/>
      <c r="EP494" s="24"/>
      <c r="EQ494" s="60"/>
      <c r="ER494" s="16"/>
      <c r="ES494" s="16"/>
      <c r="ET494" s="16"/>
      <c r="EU494" s="16"/>
      <c r="EV494" s="16"/>
      <c r="EW494" s="17"/>
      <c r="FA494" s="24"/>
      <c r="FB494" s="60"/>
      <c r="FC494" s="16"/>
      <c r="FD494" s="16"/>
      <c r="FE494" s="16"/>
      <c r="FF494" s="16"/>
      <c r="FG494" s="16"/>
      <c r="FH494" s="17"/>
      <c r="FL494" s="24"/>
      <c r="FM494" s="60"/>
      <c r="FN494" s="16"/>
      <c r="FO494" s="16"/>
      <c r="FP494" s="16"/>
      <c r="FQ494" s="16"/>
      <c r="FR494" s="16"/>
      <c r="FS494" s="17"/>
      <c r="FW494" s="24"/>
      <c r="FX494" s="60"/>
      <c r="FY494" s="16"/>
      <c r="FZ494" s="16"/>
      <c r="GA494" s="16"/>
      <c r="GB494" s="16"/>
      <c r="GC494" s="16"/>
      <c r="GD494" s="17"/>
      <c r="GH494" s="24"/>
      <c r="GI494" s="60"/>
      <c r="GJ494" s="16"/>
      <c r="GK494" s="16"/>
      <c r="GL494" s="16"/>
      <c r="GM494" s="16"/>
      <c r="GN494" s="16"/>
      <c r="GO494" s="17"/>
      <c r="GS494" s="24"/>
      <c r="GT494" s="60"/>
      <c r="GU494" s="16"/>
      <c r="GV494" s="16"/>
      <c r="GW494" s="16"/>
      <c r="GX494" s="16"/>
      <c r="GY494" s="16"/>
      <c r="GZ494" s="17"/>
      <c r="HD494" s="24"/>
      <c r="HE494" s="60"/>
      <c r="HF494" s="16"/>
      <c r="HG494" s="16"/>
      <c r="HH494" s="16"/>
      <c r="HI494" s="16"/>
      <c r="HJ494" s="16"/>
      <c r="HK494" s="17"/>
      <c r="HO494" s="24"/>
      <c r="HP494" s="60"/>
      <c r="HQ494" s="16"/>
      <c r="HR494" s="16"/>
      <c r="HS494" s="16"/>
      <c r="HT494" s="16"/>
      <c r="HU494" s="16"/>
      <c r="HV494" s="17"/>
      <c r="HZ494" s="24"/>
      <c r="IA494" s="60"/>
      <c r="IB494" s="16"/>
      <c r="IC494" s="16"/>
      <c r="ID494" s="16"/>
      <c r="IE494" s="16"/>
      <c r="IF494" s="16"/>
      <c r="IG494" s="17"/>
      <c r="IK494" s="24"/>
      <c r="IL494" s="60"/>
      <c r="IM494" s="16"/>
      <c r="IN494" s="16"/>
      <c r="IO494" s="16"/>
      <c r="IP494" s="16"/>
      <c r="IQ494" s="16"/>
      <c r="IR494" s="17"/>
      <c r="IV494" s="24"/>
      <c r="IW494" s="60"/>
      <c r="IX494" s="16"/>
      <c r="IY494" s="16"/>
      <c r="IZ494" s="16"/>
      <c r="JA494" s="16"/>
      <c r="JB494" s="16"/>
      <c r="JC494" s="17"/>
      <c r="JG494" s="24"/>
      <c r="JH494" s="60"/>
      <c r="JI494" s="16"/>
      <c r="JJ494" s="16"/>
      <c r="JK494" s="16"/>
      <c r="JL494" s="16"/>
      <c r="JM494" s="16"/>
      <c r="JN494" s="17"/>
      <c r="JR494" s="24"/>
      <c r="JS494" s="60"/>
      <c r="JT494" s="16"/>
      <c r="JU494" s="16"/>
      <c r="JV494" s="16"/>
      <c r="JW494" s="16"/>
      <c r="JX494" s="16"/>
      <c r="JY494" s="17"/>
      <c r="KC494" s="24"/>
      <c r="KD494" s="60"/>
      <c r="KE494" s="16"/>
      <c r="KF494" s="16"/>
      <c r="KG494" s="16"/>
      <c r="KH494" s="16"/>
      <c r="KI494" s="16"/>
      <c r="KJ494" s="17"/>
      <c r="KN494" s="24"/>
      <c r="KO494" s="60"/>
      <c r="KP494" s="16"/>
      <c r="KQ494" s="16"/>
      <c r="KR494" s="16"/>
      <c r="KS494" s="16"/>
      <c r="KT494" s="16"/>
      <c r="KU494" s="17"/>
      <c r="KY494" s="24"/>
      <c r="KZ494" s="60"/>
      <c r="LA494" s="16"/>
      <c r="LB494" s="16"/>
      <c r="LC494" s="16"/>
      <c r="LD494" s="16"/>
      <c r="LE494" s="16"/>
      <c r="LF494" s="17"/>
      <c r="LJ494" s="24"/>
      <c r="LK494" s="60"/>
      <c r="LL494" s="16"/>
      <c r="LM494" s="16"/>
      <c r="LN494" s="16"/>
      <c r="LO494" s="16"/>
      <c r="LP494" s="16"/>
      <c r="LQ494" s="17"/>
    </row>
    <row r="495">
      <c r="C495" s="31"/>
      <c r="D495" s="61"/>
      <c r="E495" s="16"/>
      <c r="F495" s="16"/>
      <c r="G495" s="21"/>
      <c r="H495" s="16"/>
      <c r="I495" s="16"/>
      <c r="J495" s="17"/>
      <c r="N495" s="17"/>
      <c r="O495" s="61"/>
      <c r="P495" s="16"/>
      <c r="Q495" s="16"/>
      <c r="R495" s="16"/>
      <c r="S495" s="16"/>
      <c r="T495" s="16"/>
      <c r="U495" s="17"/>
      <c r="Y495" s="24"/>
      <c r="Z495" s="61"/>
      <c r="AA495" s="16"/>
      <c r="AB495" s="16"/>
      <c r="AC495" s="16"/>
      <c r="AD495" s="16"/>
      <c r="AE495" s="16"/>
      <c r="AF495" s="17"/>
      <c r="AJ495" s="24"/>
      <c r="AK495" s="61"/>
      <c r="AL495" s="16"/>
      <c r="AM495" s="16"/>
      <c r="AN495" s="16"/>
      <c r="AO495" s="16"/>
      <c r="AP495" s="16"/>
      <c r="AQ495" s="17"/>
      <c r="AU495" s="24"/>
      <c r="AV495" s="61"/>
      <c r="AW495" s="16"/>
      <c r="AX495" s="16"/>
      <c r="AY495" s="16"/>
      <c r="AZ495" s="16"/>
      <c r="BA495" s="16"/>
      <c r="BB495" s="17"/>
      <c r="BF495" s="24"/>
      <c r="BG495" s="61"/>
      <c r="BH495" s="16"/>
      <c r="BI495" s="16"/>
      <c r="BJ495" s="16"/>
      <c r="BK495" s="16"/>
      <c r="BL495" s="16"/>
      <c r="BM495" s="17"/>
      <c r="BQ495" s="24"/>
      <c r="BR495" s="61"/>
      <c r="BS495" s="16"/>
      <c r="BT495" s="16"/>
      <c r="BU495" s="16"/>
      <c r="BV495" s="16"/>
      <c r="BW495" s="16"/>
      <c r="BX495" s="17"/>
      <c r="CB495" s="24"/>
      <c r="CC495" s="61"/>
      <c r="CD495" s="16"/>
      <c r="CE495" s="16"/>
      <c r="CF495" s="16"/>
      <c r="CG495" s="16"/>
      <c r="CH495" s="16"/>
      <c r="CI495" s="17"/>
      <c r="CM495" s="24"/>
      <c r="CN495" s="61"/>
      <c r="CO495" s="16"/>
      <c r="CP495" s="16"/>
      <c r="CQ495" s="16"/>
      <c r="CR495" s="16"/>
      <c r="CS495" s="16"/>
      <c r="CT495" s="17"/>
      <c r="CX495" s="24"/>
      <c r="CY495" s="60"/>
      <c r="CZ495" s="16"/>
      <c r="DA495" s="16"/>
      <c r="DB495" s="16"/>
      <c r="DC495" s="16"/>
      <c r="DD495" s="16"/>
      <c r="DE495" s="17"/>
      <c r="DI495" s="24"/>
      <c r="DJ495" s="60"/>
      <c r="DK495" s="16"/>
      <c r="DL495" s="16"/>
      <c r="DM495" s="16"/>
      <c r="DN495" s="16"/>
      <c r="DO495" s="16"/>
      <c r="DP495" s="17"/>
      <c r="DT495" s="24"/>
      <c r="DU495" s="60"/>
      <c r="DV495" s="16"/>
      <c r="DW495" s="16"/>
      <c r="DX495" s="16"/>
      <c r="DY495" s="16"/>
      <c r="DZ495" s="16"/>
      <c r="EA495" s="17"/>
      <c r="EE495" s="24"/>
      <c r="EF495" s="60"/>
      <c r="EG495" s="16"/>
      <c r="EH495" s="16"/>
      <c r="EI495" s="16"/>
      <c r="EJ495" s="16"/>
      <c r="EK495" s="16"/>
      <c r="EL495" s="17"/>
      <c r="EP495" s="24"/>
      <c r="EQ495" s="60"/>
      <c r="ER495" s="16"/>
      <c r="ES495" s="16"/>
      <c r="ET495" s="16"/>
      <c r="EU495" s="16"/>
      <c r="EV495" s="16"/>
      <c r="EW495" s="17"/>
      <c r="FA495" s="24"/>
      <c r="FB495" s="60"/>
      <c r="FC495" s="16"/>
      <c r="FD495" s="16"/>
      <c r="FE495" s="16"/>
      <c r="FF495" s="16"/>
      <c r="FG495" s="16"/>
      <c r="FH495" s="17"/>
      <c r="FL495" s="24"/>
      <c r="FM495" s="60"/>
      <c r="FN495" s="16"/>
      <c r="FO495" s="16"/>
      <c r="FP495" s="16"/>
      <c r="FQ495" s="16"/>
      <c r="FR495" s="16"/>
      <c r="FS495" s="17"/>
      <c r="FW495" s="24"/>
      <c r="FX495" s="60"/>
      <c r="FY495" s="16"/>
      <c r="FZ495" s="16"/>
      <c r="GA495" s="16"/>
      <c r="GB495" s="16"/>
      <c r="GC495" s="16"/>
      <c r="GD495" s="17"/>
      <c r="GH495" s="24"/>
      <c r="GI495" s="60"/>
      <c r="GJ495" s="16"/>
      <c r="GK495" s="16"/>
      <c r="GL495" s="16"/>
      <c r="GM495" s="16"/>
      <c r="GN495" s="16"/>
      <c r="GO495" s="17"/>
      <c r="GS495" s="24"/>
      <c r="GT495" s="60"/>
      <c r="GU495" s="16"/>
      <c r="GV495" s="16"/>
      <c r="GW495" s="16"/>
      <c r="GX495" s="16"/>
      <c r="GY495" s="16"/>
      <c r="GZ495" s="17"/>
      <c r="HD495" s="24"/>
      <c r="HE495" s="60"/>
      <c r="HF495" s="16"/>
      <c r="HG495" s="16"/>
      <c r="HH495" s="16"/>
      <c r="HI495" s="16"/>
      <c r="HJ495" s="16"/>
      <c r="HK495" s="17"/>
      <c r="HO495" s="24"/>
      <c r="HP495" s="60"/>
      <c r="HQ495" s="16"/>
      <c r="HR495" s="16"/>
      <c r="HS495" s="16"/>
      <c r="HT495" s="16"/>
      <c r="HU495" s="16"/>
      <c r="HV495" s="17"/>
      <c r="HZ495" s="24"/>
      <c r="IA495" s="60"/>
      <c r="IB495" s="16"/>
      <c r="IC495" s="16"/>
      <c r="ID495" s="16"/>
      <c r="IE495" s="16"/>
      <c r="IF495" s="16"/>
      <c r="IG495" s="17"/>
      <c r="IK495" s="24"/>
      <c r="IL495" s="60"/>
      <c r="IM495" s="16"/>
      <c r="IN495" s="16"/>
      <c r="IO495" s="16"/>
      <c r="IP495" s="16"/>
      <c r="IQ495" s="16"/>
      <c r="IR495" s="17"/>
      <c r="IV495" s="24"/>
      <c r="IW495" s="60"/>
      <c r="IX495" s="16"/>
      <c r="IY495" s="16"/>
      <c r="IZ495" s="16"/>
      <c r="JA495" s="16"/>
      <c r="JB495" s="16"/>
      <c r="JC495" s="17"/>
      <c r="JG495" s="24"/>
      <c r="JH495" s="60"/>
      <c r="JI495" s="16"/>
      <c r="JJ495" s="16"/>
      <c r="JK495" s="16"/>
      <c r="JL495" s="16"/>
      <c r="JM495" s="16"/>
      <c r="JN495" s="17"/>
      <c r="JR495" s="24"/>
      <c r="JS495" s="60"/>
      <c r="JT495" s="16"/>
      <c r="JU495" s="16"/>
      <c r="JV495" s="16"/>
      <c r="JW495" s="16"/>
      <c r="JX495" s="16"/>
      <c r="JY495" s="17"/>
      <c r="KC495" s="24"/>
      <c r="KD495" s="60"/>
      <c r="KE495" s="16"/>
      <c r="KF495" s="16"/>
      <c r="KG495" s="16"/>
      <c r="KH495" s="16"/>
      <c r="KI495" s="16"/>
      <c r="KJ495" s="17"/>
      <c r="KN495" s="24"/>
      <c r="KO495" s="60"/>
      <c r="KP495" s="16"/>
      <c r="KQ495" s="16"/>
      <c r="KR495" s="16"/>
      <c r="KS495" s="16"/>
      <c r="KT495" s="16"/>
      <c r="KU495" s="17"/>
      <c r="KY495" s="24"/>
      <c r="KZ495" s="60"/>
      <c r="LA495" s="16"/>
      <c r="LB495" s="16"/>
      <c r="LC495" s="16"/>
      <c r="LD495" s="16"/>
      <c r="LE495" s="16"/>
      <c r="LF495" s="17"/>
      <c r="LJ495" s="24"/>
      <c r="LK495" s="60"/>
      <c r="LL495" s="16"/>
      <c r="LM495" s="16"/>
      <c r="LN495" s="16"/>
      <c r="LO495" s="16"/>
      <c r="LP495" s="16"/>
      <c r="LQ495" s="17"/>
    </row>
    <row r="496">
      <c r="C496" s="31"/>
      <c r="D496" s="61"/>
      <c r="E496" s="16"/>
      <c r="F496" s="16"/>
      <c r="G496" s="21"/>
      <c r="H496" s="16"/>
      <c r="I496" s="16"/>
      <c r="J496" s="17"/>
      <c r="N496" s="17"/>
      <c r="O496" s="61"/>
      <c r="P496" s="16"/>
      <c r="Q496" s="16"/>
      <c r="R496" s="16"/>
      <c r="S496" s="16"/>
      <c r="T496" s="16"/>
      <c r="U496" s="17"/>
      <c r="Y496" s="24"/>
      <c r="Z496" s="61"/>
      <c r="AA496" s="16"/>
      <c r="AB496" s="16"/>
      <c r="AC496" s="16"/>
      <c r="AD496" s="16"/>
      <c r="AE496" s="16"/>
      <c r="AF496" s="17"/>
      <c r="AJ496" s="24"/>
      <c r="AK496" s="61"/>
      <c r="AL496" s="16"/>
      <c r="AM496" s="16"/>
      <c r="AN496" s="16"/>
      <c r="AO496" s="16"/>
      <c r="AP496" s="16"/>
      <c r="AQ496" s="17"/>
      <c r="AU496" s="24"/>
      <c r="AV496" s="61"/>
      <c r="AW496" s="16"/>
      <c r="AX496" s="16"/>
      <c r="AY496" s="16"/>
      <c r="AZ496" s="16"/>
      <c r="BA496" s="16"/>
      <c r="BB496" s="17"/>
      <c r="BF496" s="24"/>
      <c r="BG496" s="61"/>
      <c r="BH496" s="16"/>
      <c r="BI496" s="16"/>
      <c r="BJ496" s="16"/>
      <c r="BK496" s="16"/>
      <c r="BL496" s="16"/>
      <c r="BM496" s="17"/>
      <c r="BQ496" s="24"/>
      <c r="BR496" s="61"/>
      <c r="BS496" s="16"/>
      <c r="BT496" s="16"/>
      <c r="BU496" s="16"/>
      <c r="BV496" s="16"/>
      <c r="BW496" s="16"/>
      <c r="BX496" s="17"/>
      <c r="CB496" s="24"/>
      <c r="CC496" s="61"/>
      <c r="CD496" s="16"/>
      <c r="CE496" s="16"/>
      <c r="CF496" s="16"/>
      <c r="CG496" s="16"/>
      <c r="CH496" s="16"/>
      <c r="CI496" s="17"/>
      <c r="CM496" s="24"/>
      <c r="CN496" s="61"/>
      <c r="CO496" s="16"/>
      <c r="CP496" s="16"/>
      <c r="CQ496" s="16"/>
      <c r="CR496" s="16"/>
      <c r="CS496" s="16"/>
      <c r="CT496" s="17"/>
      <c r="CX496" s="24"/>
      <c r="CY496" s="60"/>
      <c r="CZ496" s="16"/>
      <c r="DA496" s="16"/>
      <c r="DB496" s="16"/>
      <c r="DC496" s="16"/>
      <c r="DD496" s="16"/>
      <c r="DE496" s="17"/>
      <c r="DI496" s="24"/>
      <c r="DJ496" s="60"/>
      <c r="DK496" s="16"/>
      <c r="DL496" s="16"/>
      <c r="DM496" s="16"/>
      <c r="DN496" s="16"/>
      <c r="DO496" s="16"/>
      <c r="DP496" s="17"/>
      <c r="DT496" s="24"/>
      <c r="DU496" s="60"/>
      <c r="DV496" s="16"/>
      <c r="DW496" s="16"/>
      <c r="DX496" s="16"/>
      <c r="DY496" s="16"/>
      <c r="DZ496" s="16"/>
      <c r="EA496" s="17"/>
      <c r="EE496" s="24"/>
      <c r="EF496" s="60"/>
      <c r="EG496" s="16"/>
      <c r="EH496" s="16"/>
      <c r="EI496" s="16"/>
      <c r="EJ496" s="16"/>
      <c r="EK496" s="16"/>
      <c r="EL496" s="17"/>
      <c r="EP496" s="24"/>
      <c r="EQ496" s="60"/>
      <c r="ER496" s="16"/>
      <c r="ES496" s="16"/>
      <c r="ET496" s="16"/>
      <c r="EU496" s="16"/>
      <c r="EV496" s="16"/>
      <c r="EW496" s="17"/>
      <c r="FA496" s="24"/>
      <c r="FB496" s="60"/>
      <c r="FC496" s="16"/>
      <c r="FD496" s="16"/>
      <c r="FE496" s="16"/>
      <c r="FF496" s="16"/>
      <c r="FG496" s="16"/>
      <c r="FH496" s="17"/>
      <c r="FL496" s="24"/>
      <c r="FM496" s="60"/>
      <c r="FN496" s="16"/>
      <c r="FO496" s="16"/>
      <c r="FP496" s="16"/>
      <c r="FQ496" s="16"/>
      <c r="FR496" s="16"/>
      <c r="FS496" s="17"/>
      <c r="FW496" s="24"/>
      <c r="FX496" s="60"/>
      <c r="FY496" s="16"/>
      <c r="FZ496" s="16"/>
      <c r="GA496" s="16"/>
      <c r="GB496" s="16"/>
      <c r="GC496" s="16"/>
      <c r="GD496" s="17"/>
      <c r="GH496" s="24"/>
      <c r="GI496" s="60"/>
      <c r="GJ496" s="16"/>
      <c r="GK496" s="16"/>
      <c r="GL496" s="16"/>
      <c r="GM496" s="16"/>
      <c r="GN496" s="16"/>
      <c r="GO496" s="17"/>
      <c r="GS496" s="24"/>
      <c r="GT496" s="60"/>
      <c r="GU496" s="16"/>
      <c r="GV496" s="16"/>
      <c r="GW496" s="16"/>
      <c r="GX496" s="16"/>
      <c r="GY496" s="16"/>
      <c r="GZ496" s="17"/>
      <c r="HD496" s="24"/>
      <c r="HE496" s="60"/>
      <c r="HF496" s="16"/>
      <c r="HG496" s="16"/>
      <c r="HH496" s="16"/>
      <c r="HI496" s="16"/>
      <c r="HJ496" s="16"/>
      <c r="HK496" s="17"/>
      <c r="HO496" s="24"/>
      <c r="HP496" s="60"/>
      <c r="HQ496" s="16"/>
      <c r="HR496" s="16"/>
      <c r="HS496" s="16"/>
      <c r="HT496" s="16"/>
      <c r="HU496" s="16"/>
      <c r="HV496" s="17"/>
      <c r="HZ496" s="24"/>
      <c r="IA496" s="60"/>
      <c r="IB496" s="16"/>
      <c r="IC496" s="16"/>
      <c r="ID496" s="16"/>
      <c r="IE496" s="16"/>
      <c r="IF496" s="16"/>
      <c r="IG496" s="17"/>
      <c r="IK496" s="24"/>
      <c r="IL496" s="60"/>
      <c r="IM496" s="16"/>
      <c r="IN496" s="16"/>
      <c r="IO496" s="16"/>
      <c r="IP496" s="16"/>
      <c r="IQ496" s="16"/>
      <c r="IR496" s="17"/>
      <c r="IV496" s="24"/>
      <c r="IW496" s="60"/>
      <c r="IX496" s="16"/>
      <c r="IY496" s="16"/>
      <c r="IZ496" s="16"/>
      <c r="JA496" s="16"/>
      <c r="JB496" s="16"/>
      <c r="JC496" s="17"/>
      <c r="JG496" s="24"/>
      <c r="JH496" s="60"/>
      <c r="JI496" s="16"/>
      <c r="JJ496" s="16"/>
      <c r="JK496" s="16"/>
      <c r="JL496" s="16"/>
      <c r="JM496" s="16"/>
      <c r="JN496" s="17"/>
      <c r="JR496" s="24"/>
      <c r="JS496" s="60"/>
      <c r="JT496" s="16"/>
      <c r="JU496" s="16"/>
      <c r="JV496" s="16"/>
      <c r="JW496" s="16"/>
      <c r="JX496" s="16"/>
      <c r="JY496" s="17"/>
      <c r="KC496" s="24"/>
      <c r="KD496" s="60"/>
      <c r="KE496" s="16"/>
      <c r="KF496" s="16"/>
      <c r="KG496" s="16"/>
      <c r="KH496" s="16"/>
      <c r="KI496" s="16"/>
      <c r="KJ496" s="17"/>
      <c r="KN496" s="24"/>
      <c r="KO496" s="60"/>
      <c r="KP496" s="16"/>
      <c r="KQ496" s="16"/>
      <c r="KR496" s="16"/>
      <c r="KS496" s="16"/>
      <c r="KT496" s="16"/>
      <c r="KU496" s="17"/>
      <c r="KY496" s="24"/>
      <c r="KZ496" s="60"/>
      <c r="LA496" s="16"/>
      <c r="LB496" s="16"/>
      <c r="LC496" s="16"/>
      <c r="LD496" s="16"/>
      <c r="LE496" s="16"/>
      <c r="LF496" s="17"/>
      <c r="LJ496" s="24"/>
      <c r="LK496" s="60"/>
      <c r="LL496" s="16"/>
      <c r="LM496" s="16"/>
      <c r="LN496" s="16"/>
      <c r="LO496" s="16"/>
      <c r="LP496" s="16"/>
      <c r="LQ496" s="17"/>
    </row>
    <row r="497">
      <c r="C497" s="31"/>
      <c r="D497" s="61"/>
      <c r="E497" s="16"/>
      <c r="F497" s="16"/>
      <c r="G497" s="21"/>
      <c r="H497" s="16"/>
      <c r="I497" s="16"/>
      <c r="J497" s="17"/>
      <c r="N497" s="17"/>
      <c r="O497" s="61"/>
      <c r="P497" s="16"/>
      <c r="Q497" s="16"/>
      <c r="R497" s="16"/>
      <c r="S497" s="16"/>
      <c r="T497" s="16"/>
      <c r="U497" s="17"/>
      <c r="Y497" s="24"/>
      <c r="Z497" s="61"/>
      <c r="AA497" s="16"/>
      <c r="AB497" s="16"/>
      <c r="AC497" s="16"/>
      <c r="AD497" s="16"/>
      <c r="AE497" s="16"/>
      <c r="AF497" s="17"/>
      <c r="AJ497" s="24"/>
      <c r="AK497" s="61"/>
      <c r="AL497" s="16"/>
      <c r="AM497" s="16"/>
      <c r="AN497" s="16"/>
      <c r="AO497" s="16"/>
      <c r="AP497" s="16"/>
      <c r="AQ497" s="17"/>
      <c r="AU497" s="24"/>
      <c r="AV497" s="61"/>
      <c r="AW497" s="16"/>
      <c r="AX497" s="16"/>
      <c r="AY497" s="16"/>
      <c r="AZ497" s="16"/>
      <c r="BA497" s="16"/>
      <c r="BB497" s="17"/>
      <c r="BF497" s="24"/>
      <c r="BG497" s="61"/>
      <c r="BH497" s="16"/>
      <c r="BI497" s="16"/>
      <c r="BJ497" s="16"/>
      <c r="BK497" s="16"/>
      <c r="BL497" s="16"/>
      <c r="BM497" s="17"/>
      <c r="BQ497" s="24"/>
      <c r="BR497" s="61"/>
      <c r="BS497" s="16"/>
      <c r="BT497" s="16"/>
      <c r="BU497" s="16"/>
      <c r="BV497" s="16"/>
      <c r="BW497" s="16"/>
      <c r="BX497" s="17"/>
      <c r="CB497" s="24"/>
      <c r="CC497" s="61"/>
      <c r="CD497" s="16"/>
      <c r="CE497" s="16"/>
      <c r="CF497" s="16"/>
      <c r="CG497" s="16"/>
      <c r="CH497" s="16"/>
      <c r="CI497" s="17"/>
      <c r="CM497" s="24"/>
      <c r="CN497" s="61"/>
      <c r="CO497" s="16"/>
      <c r="CP497" s="16"/>
      <c r="CQ497" s="16"/>
      <c r="CR497" s="16"/>
      <c r="CS497" s="16"/>
      <c r="CT497" s="17"/>
      <c r="CX497" s="24"/>
      <c r="CY497" s="60"/>
      <c r="CZ497" s="16"/>
      <c r="DA497" s="16"/>
      <c r="DB497" s="16"/>
      <c r="DC497" s="16"/>
      <c r="DD497" s="16"/>
      <c r="DE497" s="17"/>
      <c r="DI497" s="24"/>
      <c r="DJ497" s="60"/>
      <c r="DK497" s="16"/>
      <c r="DL497" s="16"/>
      <c r="DM497" s="16"/>
      <c r="DN497" s="16"/>
      <c r="DO497" s="16"/>
      <c r="DP497" s="17"/>
      <c r="DT497" s="24"/>
      <c r="DU497" s="60"/>
      <c r="DV497" s="16"/>
      <c r="DW497" s="16"/>
      <c r="DX497" s="16"/>
      <c r="DY497" s="16"/>
      <c r="DZ497" s="16"/>
      <c r="EA497" s="17"/>
      <c r="EE497" s="24"/>
      <c r="EF497" s="60"/>
      <c r="EG497" s="16"/>
      <c r="EH497" s="16"/>
      <c r="EI497" s="16"/>
      <c r="EJ497" s="16"/>
      <c r="EK497" s="16"/>
      <c r="EL497" s="17"/>
      <c r="EP497" s="24"/>
      <c r="EQ497" s="60"/>
      <c r="ER497" s="16"/>
      <c r="ES497" s="16"/>
      <c r="ET497" s="16"/>
      <c r="EU497" s="16"/>
      <c r="EV497" s="16"/>
      <c r="EW497" s="17"/>
      <c r="FA497" s="24"/>
      <c r="FB497" s="60"/>
      <c r="FC497" s="16"/>
      <c r="FD497" s="16"/>
      <c r="FE497" s="16"/>
      <c r="FF497" s="16"/>
      <c r="FG497" s="16"/>
      <c r="FH497" s="17"/>
      <c r="FL497" s="24"/>
      <c r="FM497" s="60"/>
      <c r="FN497" s="16"/>
      <c r="FO497" s="16"/>
      <c r="FP497" s="16"/>
      <c r="FQ497" s="16"/>
      <c r="FR497" s="16"/>
      <c r="FS497" s="17"/>
      <c r="FW497" s="24"/>
      <c r="FX497" s="60"/>
      <c r="FY497" s="16"/>
      <c r="FZ497" s="16"/>
      <c r="GA497" s="16"/>
      <c r="GB497" s="16"/>
      <c r="GC497" s="16"/>
      <c r="GD497" s="17"/>
      <c r="GH497" s="24"/>
      <c r="GI497" s="60"/>
      <c r="GJ497" s="16"/>
      <c r="GK497" s="16"/>
      <c r="GL497" s="16"/>
      <c r="GM497" s="16"/>
      <c r="GN497" s="16"/>
      <c r="GO497" s="17"/>
      <c r="GS497" s="24"/>
      <c r="GT497" s="60"/>
      <c r="GU497" s="16"/>
      <c r="GV497" s="16"/>
      <c r="GW497" s="16"/>
      <c r="GX497" s="16"/>
      <c r="GY497" s="16"/>
      <c r="GZ497" s="17"/>
      <c r="HD497" s="24"/>
      <c r="HE497" s="60"/>
      <c r="HF497" s="16"/>
      <c r="HG497" s="16"/>
      <c r="HH497" s="16"/>
      <c r="HI497" s="16"/>
      <c r="HJ497" s="16"/>
      <c r="HK497" s="17"/>
      <c r="HO497" s="24"/>
      <c r="HP497" s="60"/>
      <c r="HQ497" s="16"/>
      <c r="HR497" s="16"/>
      <c r="HS497" s="16"/>
      <c r="HT497" s="16"/>
      <c r="HU497" s="16"/>
      <c r="HV497" s="17"/>
      <c r="HZ497" s="24"/>
      <c r="IA497" s="60"/>
      <c r="IB497" s="16"/>
      <c r="IC497" s="16"/>
      <c r="ID497" s="16"/>
      <c r="IE497" s="16"/>
      <c r="IF497" s="16"/>
      <c r="IG497" s="17"/>
      <c r="IK497" s="24"/>
      <c r="IL497" s="60"/>
      <c r="IM497" s="16"/>
      <c r="IN497" s="16"/>
      <c r="IO497" s="16"/>
      <c r="IP497" s="16"/>
      <c r="IQ497" s="16"/>
      <c r="IR497" s="17"/>
      <c r="IV497" s="24"/>
      <c r="IW497" s="60"/>
      <c r="IX497" s="16"/>
      <c r="IY497" s="16"/>
      <c r="IZ497" s="16"/>
      <c r="JA497" s="16"/>
      <c r="JB497" s="16"/>
      <c r="JC497" s="17"/>
      <c r="JG497" s="24"/>
      <c r="JH497" s="60"/>
      <c r="JI497" s="16"/>
      <c r="JJ497" s="16"/>
      <c r="JK497" s="16"/>
      <c r="JL497" s="16"/>
      <c r="JM497" s="16"/>
      <c r="JN497" s="17"/>
      <c r="JR497" s="24"/>
      <c r="JS497" s="60"/>
      <c r="JT497" s="16"/>
      <c r="JU497" s="16"/>
      <c r="JV497" s="16"/>
      <c r="JW497" s="16"/>
      <c r="JX497" s="16"/>
      <c r="JY497" s="17"/>
      <c r="KC497" s="24"/>
      <c r="KD497" s="60"/>
      <c r="KE497" s="16"/>
      <c r="KF497" s="16"/>
      <c r="KG497" s="16"/>
      <c r="KH497" s="16"/>
      <c r="KI497" s="16"/>
      <c r="KJ497" s="17"/>
      <c r="KN497" s="24"/>
      <c r="KO497" s="60"/>
      <c r="KP497" s="16"/>
      <c r="KQ497" s="16"/>
      <c r="KR497" s="16"/>
      <c r="KS497" s="16"/>
      <c r="KT497" s="16"/>
      <c r="KU497" s="17"/>
      <c r="KY497" s="24"/>
      <c r="KZ497" s="60"/>
      <c r="LA497" s="16"/>
      <c r="LB497" s="16"/>
      <c r="LC497" s="16"/>
      <c r="LD497" s="16"/>
      <c r="LE497" s="16"/>
      <c r="LF497" s="17"/>
      <c r="LJ497" s="24"/>
      <c r="LK497" s="60"/>
      <c r="LL497" s="16"/>
      <c r="LM497" s="16"/>
      <c r="LN497" s="16"/>
      <c r="LO497" s="16"/>
      <c r="LP497" s="16"/>
      <c r="LQ497" s="17"/>
    </row>
    <row r="498">
      <c r="C498" s="31"/>
      <c r="D498" s="61"/>
      <c r="E498" s="16"/>
      <c r="F498" s="16"/>
      <c r="G498" s="21"/>
      <c r="H498" s="16"/>
      <c r="I498" s="16"/>
      <c r="J498" s="17"/>
      <c r="N498" s="17"/>
      <c r="O498" s="61"/>
      <c r="P498" s="16"/>
      <c r="Q498" s="16"/>
      <c r="R498" s="16"/>
      <c r="S498" s="16"/>
      <c r="T498" s="16"/>
      <c r="U498" s="17"/>
      <c r="Y498" s="24"/>
      <c r="Z498" s="61"/>
      <c r="AA498" s="16"/>
      <c r="AB498" s="16"/>
      <c r="AC498" s="16"/>
      <c r="AD498" s="16"/>
      <c r="AE498" s="16"/>
      <c r="AF498" s="17"/>
      <c r="AJ498" s="24"/>
      <c r="AK498" s="61"/>
      <c r="AL498" s="16"/>
      <c r="AM498" s="16"/>
      <c r="AN498" s="16"/>
      <c r="AO498" s="16"/>
      <c r="AP498" s="16"/>
      <c r="AQ498" s="17"/>
      <c r="AU498" s="24"/>
      <c r="AV498" s="61"/>
      <c r="AW498" s="16"/>
      <c r="AX498" s="16"/>
      <c r="AY498" s="16"/>
      <c r="AZ498" s="16"/>
      <c r="BA498" s="16"/>
      <c r="BB498" s="17"/>
      <c r="BF498" s="24"/>
      <c r="BG498" s="61"/>
      <c r="BH498" s="16"/>
      <c r="BI498" s="16"/>
      <c r="BJ498" s="16"/>
      <c r="BK498" s="16"/>
      <c r="BL498" s="16"/>
      <c r="BM498" s="17"/>
      <c r="BQ498" s="24"/>
      <c r="BR498" s="61"/>
      <c r="BS498" s="16"/>
      <c r="BT498" s="16"/>
      <c r="BU498" s="16"/>
      <c r="BV498" s="16"/>
      <c r="BW498" s="16"/>
      <c r="BX498" s="17"/>
      <c r="CB498" s="24"/>
      <c r="CC498" s="61"/>
      <c r="CD498" s="16"/>
      <c r="CE498" s="16"/>
      <c r="CF498" s="16"/>
      <c r="CG498" s="16"/>
      <c r="CH498" s="16"/>
      <c r="CI498" s="17"/>
      <c r="CM498" s="24"/>
      <c r="CN498" s="61"/>
      <c r="CO498" s="16"/>
      <c r="CP498" s="16"/>
      <c r="CQ498" s="16"/>
      <c r="CR498" s="16"/>
      <c r="CS498" s="16"/>
      <c r="CT498" s="17"/>
      <c r="CX498" s="24"/>
      <c r="CY498" s="60"/>
      <c r="CZ498" s="16"/>
      <c r="DA498" s="16"/>
      <c r="DB498" s="16"/>
      <c r="DC498" s="16"/>
      <c r="DD498" s="16"/>
      <c r="DE498" s="17"/>
      <c r="DI498" s="24"/>
      <c r="DJ498" s="60"/>
      <c r="DK498" s="16"/>
      <c r="DL498" s="16"/>
      <c r="DM498" s="16"/>
      <c r="DN498" s="16"/>
      <c r="DO498" s="16"/>
      <c r="DP498" s="17"/>
      <c r="DT498" s="24"/>
      <c r="DU498" s="60"/>
      <c r="DV498" s="16"/>
      <c r="DW498" s="16"/>
      <c r="DX498" s="16"/>
      <c r="DY498" s="16"/>
      <c r="DZ498" s="16"/>
      <c r="EA498" s="17"/>
      <c r="EE498" s="24"/>
      <c r="EF498" s="60"/>
      <c r="EG498" s="16"/>
      <c r="EH498" s="16"/>
      <c r="EI498" s="16"/>
      <c r="EJ498" s="16"/>
      <c r="EK498" s="16"/>
      <c r="EL498" s="17"/>
      <c r="EP498" s="24"/>
      <c r="EQ498" s="60"/>
      <c r="ER498" s="16"/>
      <c r="ES498" s="16"/>
      <c r="ET498" s="16"/>
      <c r="EU498" s="16"/>
      <c r="EV498" s="16"/>
      <c r="EW498" s="17"/>
      <c r="FA498" s="24"/>
      <c r="FB498" s="60"/>
      <c r="FC498" s="16"/>
      <c r="FD498" s="16"/>
      <c r="FE498" s="16"/>
      <c r="FF498" s="16"/>
      <c r="FG498" s="16"/>
      <c r="FH498" s="17"/>
      <c r="FL498" s="24"/>
      <c r="FM498" s="60"/>
      <c r="FN498" s="16"/>
      <c r="FO498" s="16"/>
      <c r="FP498" s="16"/>
      <c r="FQ498" s="16"/>
      <c r="FR498" s="16"/>
      <c r="FS498" s="17"/>
      <c r="FW498" s="24"/>
      <c r="FX498" s="60"/>
      <c r="FY498" s="16"/>
      <c r="FZ498" s="16"/>
      <c r="GA498" s="16"/>
      <c r="GB498" s="16"/>
      <c r="GC498" s="16"/>
      <c r="GD498" s="17"/>
      <c r="GH498" s="24"/>
      <c r="GI498" s="60"/>
      <c r="GJ498" s="16"/>
      <c r="GK498" s="16"/>
      <c r="GL498" s="16"/>
      <c r="GM498" s="16"/>
      <c r="GN498" s="16"/>
      <c r="GO498" s="17"/>
      <c r="GS498" s="24"/>
      <c r="GT498" s="60"/>
      <c r="GU498" s="16"/>
      <c r="GV498" s="16"/>
      <c r="GW498" s="16"/>
      <c r="GX498" s="16"/>
      <c r="GY498" s="16"/>
      <c r="GZ498" s="17"/>
      <c r="HD498" s="24"/>
      <c r="HE498" s="60"/>
      <c r="HF498" s="16"/>
      <c r="HG498" s="16"/>
      <c r="HH498" s="16"/>
      <c r="HI498" s="16"/>
      <c r="HJ498" s="16"/>
      <c r="HK498" s="17"/>
      <c r="HO498" s="24"/>
      <c r="HP498" s="60"/>
      <c r="HQ498" s="16"/>
      <c r="HR498" s="16"/>
      <c r="HS498" s="16"/>
      <c r="HT498" s="16"/>
      <c r="HU498" s="16"/>
      <c r="HV498" s="17"/>
      <c r="HZ498" s="24"/>
      <c r="IA498" s="60"/>
      <c r="IB498" s="16"/>
      <c r="IC498" s="16"/>
      <c r="ID498" s="16"/>
      <c r="IE498" s="16"/>
      <c r="IF498" s="16"/>
      <c r="IG498" s="17"/>
      <c r="IK498" s="24"/>
      <c r="IL498" s="60"/>
      <c r="IM498" s="16"/>
      <c r="IN498" s="16"/>
      <c r="IO498" s="16"/>
      <c r="IP498" s="16"/>
      <c r="IQ498" s="16"/>
      <c r="IR498" s="17"/>
      <c r="IV498" s="24"/>
      <c r="IW498" s="60"/>
      <c r="IX498" s="16"/>
      <c r="IY498" s="16"/>
      <c r="IZ498" s="16"/>
      <c r="JA498" s="16"/>
      <c r="JB498" s="16"/>
      <c r="JC498" s="17"/>
      <c r="JG498" s="24"/>
      <c r="JH498" s="60"/>
      <c r="JI498" s="16"/>
      <c r="JJ498" s="16"/>
      <c r="JK498" s="16"/>
      <c r="JL498" s="16"/>
      <c r="JM498" s="16"/>
      <c r="JN498" s="17"/>
      <c r="JR498" s="24"/>
      <c r="JS498" s="60"/>
      <c r="JT498" s="16"/>
      <c r="JU498" s="16"/>
      <c r="JV498" s="16"/>
      <c r="JW498" s="16"/>
      <c r="JX498" s="16"/>
      <c r="JY498" s="17"/>
      <c r="KC498" s="24"/>
      <c r="KD498" s="60"/>
      <c r="KE498" s="16"/>
      <c r="KF498" s="16"/>
      <c r="KG498" s="16"/>
      <c r="KH498" s="16"/>
      <c r="KI498" s="16"/>
      <c r="KJ498" s="17"/>
      <c r="KN498" s="24"/>
      <c r="KO498" s="60"/>
      <c r="KP498" s="16"/>
      <c r="KQ498" s="16"/>
      <c r="KR498" s="16"/>
      <c r="KS498" s="16"/>
      <c r="KT498" s="16"/>
      <c r="KU498" s="17"/>
      <c r="KY498" s="24"/>
      <c r="KZ498" s="60"/>
      <c r="LA498" s="16"/>
      <c r="LB498" s="16"/>
      <c r="LC498" s="16"/>
      <c r="LD498" s="16"/>
      <c r="LE498" s="16"/>
      <c r="LF498" s="17"/>
      <c r="LJ498" s="24"/>
      <c r="LK498" s="60"/>
      <c r="LL498" s="16"/>
      <c r="LM498" s="16"/>
      <c r="LN498" s="16"/>
      <c r="LO498" s="16"/>
      <c r="LP498" s="16"/>
      <c r="LQ498" s="17"/>
    </row>
    <row r="499">
      <c r="C499" s="31"/>
      <c r="D499" s="61"/>
      <c r="E499" s="16"/>
      <c r="F499" s="16"/>
      <c r="G499" s="21"/>
      <c r="H499" s="16"/>
      <c r="I499" s="16"/>
      <c r="J499" s="17"/>
      <c r="N499" s="17"/>
      <c r="O499" s="61"/>
      <c r="P499" s="16"/>
      <c r="Q499" s="16"/>
      <c r="R499" s="16"/>
      <c r="S499" s="16"/>
      <c r="T499" s="16"/>
      <c r="U499" s="17"/>
      <c r="Y499" s="24"/>
      <c r="Z499" s="61"/>
      <c r="AA499" s="16"/>
      <c r="AB499" s="16"/>
      <c r="AC499" s="16"/>
      <c r="AD499" s="16"/>
      <c r="AE499" s="16"/>
      <c r="AF499" s="17"/>
      <c r="AJ499" s="24"/>
      <c r="AK499" s="61"/>
      <c r="AL499" s="16"/>
      <c r="AM499" s="16"/>
      <c r="AN499" s="16"/>
      <c r="AO499" s="16"/>
      <c r="AP499" s="16"/>
      <c r="AQ499" s="17"/>
      <c r="AU499" s="24"/>
      <c r="AV499" s="61"/>
      <c r="AW499" s="16"/>
      <c r="AX499" s="16"/>
      <c r="AY499" s="16"/>
      <c r="AZ499" s="16"/>
      <c r="BA499" s="16"/>
      <c r="BB499" s="17"/>
      <c r="BF499" s="24"/>
      <c r="BG499" s="61"/>
      <c r="BH499" s="16"/>
      <c r="BI499" s="16"/>
      <c r="BJ499" s="16"/>
      <c r="BK499" s="16"/>
      <c r="BL499" s="16"/>
      <c r="BM499" s="17"/>
      <c r="BQ499" s="24"/>
      <c r="BR499" s="61"/>
      <c r="BS499" s="16"/>
      <c r="BT499" s="16"/>
      <c r="BU499" s="16"/>
      <c r="BV499" s="16"/>
      <c r="BW499" s="16"/>
      <c r="BX499" s="17"/>
      <c r="CB499" s="24"/>
      <c r="CC499" s="61"/>
      <c r="CD499" s="16"/>
      <c r="CE499" s="16"/>
      <c r="CF499" s="16"/>
      <c r="CG499" s="16"/>
      <c r="CH499" s="16"/>
      <c r="CI499" s="17"/>
      <c r="CM499" s="24"/>
      <c r="CN499" s="61"/>
      <c r="CO499" s="16"/>
      <c r="CP499" s="16"/>
      <c r="CQ499" s="16"/>
      <c r="CR499" s="16"/>
      <c r="CS499" s="16"/>
      <c r="CT499" s="17"/>
      <c r="CX499" s="24"/>
      <c r="CY499" s="60"/>
      <c r="CZ499" s="16"/>
      <c r="DA499" s="16"/>
      <c r="DB499" s="16"/>
      <c r="DC499" s="16"/>
      <c r="DD499" s="16"/>
      <c r="DE499" s="17"/>
      <c r="DI499" s="24"/>
      <c r="DJ499" s="60"/>
      <c r="DK499" s="16"/>
      <c r="DL499" s="16"/>
      <c r="DM499" s="16"/>
      <c r="DN499" s="16"/>
      <c r="DO499" s="16"/>
      <c r="DP499" s="17"/>
      <c r="DT499" s="24"/>
      <c r="DU499" s="60"/>
      <c r="DV499" s="16"/>
      <c r="DW499" s="16"/>
      <c r="DX499" s="16"/>
      <c r="DY499" s="16"/>
      <c r="DZ499" s="16"/>
      <c r="EA499" s="17"/>
      <c r="EE499" s="24"/>
      <c r="EF499" s="60"/>
      <c r="EG499" s="16"/>
      <c r="EH499" s="16"/>
      <c r="EI499" s="16"/>
      <c r="EJ499" s="16"/>
      <c r="EK499" s="16"/>
      <c r="EL499" s="17"/>
      <c r="EP499" s="24"/>
      <c r="EQ499" s="60"/>
      <c r="ER499" s="16"/>
      <c r="ES499" s="16"/>
      <c r="ET499" s="16"/>
      <c r="EU499" s="16"/>
      <c r="EV499" s="16"/>
      <c r="EW499" s="17"/>
      <c r="FA499" s="24"/>
      <c r="FB499" s="60"/>
      <c r="FC499" s="16"/>
      <c r="FD499" s="16"/>
      <c r="FE499" s="16"/>
      <c r="FF499" s="16"/>
      <c r="FG499" s="16"/>
      <c r="FH499" s="17"/>
      <c r="FL499" s="24"/>
      <c r="FM499" s="60"/>
      <c r="FN499" s="16"/>
      <c r="FO499" s="16"/>
      <c r="FP499" s="16"/>
      <c r="FQ499" s="16"/>
      <c r="FR499" s="16"/>
      <c r="FS499" s="17"/>
      <c r="FW499" s="24"/>
      <c r="FX499" s="60"/>
      <c r="FY499" s="16"/>
      <c r="FZ499" s="16"/>
      <c r="GA499" s="16"/>
      <c r="GB499" s="16"/>
      <c r="GC499" s="16"/>
      <c r="GD499" s="17"/>
      <c r="GH499" s="24"/>
      <c r="GI499" s="60"/>
      <c r="GJ499" s="16"/>
      <c r="GK499" s="16"/>
      <c r="GL499" s="16"/>
      <c r="GM499" s="16"/>
      <c r="GN499" s="16"/>
      <c r="GO499" s="17"/>
      <c r="GS499" s="24"/>
      <c r="GT499" s="60"/>
      <c r="GU499" s="16"/>
      <c r="GV499" s="16"/>
      <c r="GW499" s="16"/>
      <c r="GX499" s="16"/>
      <c r="GY499" s="16"/>
      <c r="GZ499" s="17"/>
      <c r="HD499" s="24"/>
      <c r="HE499" s="60"/>
      <c r="HF499" s="16"/>
      <c r="HG499" s="16"/>
      <c r="HH499" s="16"/>
      <c r="HI499" s="16"/>
      <c r="HJ499" s="16"/>
      <c r="HK499" s="17"/>
      <c r="HO499" s="24"/>
      <c r="HP499" s="60"/>
      <c r="HQ499" s="16"/>
      <c r="HR499" s="16"/>
      <c r="HS499" s="16"/>
      <c r="HT499" s="16"/>
      <c r="HU499" s="16"/>
      <c r="HV499" s="17"/>
      <c r="HZ499" s="24"/>
      <c r="IA499" s="60"/>
      <c r="IB499" s="16"/>
      <c r="IC499" s="16"/>
      <c r="ID499" s="16"/>
      <c r="IE499" s="16"/>
      <c r="IF499" s="16"/>
      <c r="IG499" s="17"/>
      <c r="IK499" s="24"/>
      <c r="IL499" s="60"/>
      <c r="IM499" s="16"/>
      <c r="IN499" s="16"/>
      <c r="IO499" s="16"/>
      <c r="IP499" s="16"/>
      <c r="IQ499" s="16"/>
      <c r="IR499" s="17"/>
      <c r="IV499" s="24"/>
      <c r="IW499" s="60"/>
      <c r="IX499" s="16"/>
      <c r="IY499" s="16"/>
      <c r="IZ499" s="16"/>
      <c r="JA499" s="16"/>
      <c r="JB499" s="16"/>
      <c r="JC499" s="17"/>
      <c r="JG499" s="24"/>
      <c r="JH499" s="60"/>
      <c r="JI499" s="16"/>
      <c r="JJ499" s="16"/>
      <c r="JK499" s="16"/>
      <c r="JL499" s="16"/>
      <c r="JM499" s="16"/>
      <c r="JN499" s="17"/>
      <c r="JR499" s="24"/>
      <c r="JS499" s="60"/>
      <c r="JT499" s="16"/>
      <c r="JU499" s="16"/>
      <c r="JV499" s="16"/>
      <c r="JW499" s="16"/>
      <c r="JX499" s="16"/>
      <c r="JY499" s="17"/>
      <c r="KC499" s="24"/>
      <c r="KD499" s="60"/>
      <c r="KE499" s="16"/>
      <c r="KF499" s="16"/>
      <c r="KG499" s="16"/>
      <c r="KH499" s="16"/>
      <c r="KI499" s="16"/>
      <c r="KJ499" s="17"/>
      <c r="KN499" s="24"/>
      <c r="KO499" s="60"/>
      <c r="KP499" s="16"/>
      <c r="KQ499" s="16"/>
      <c r="KR499" s="16"/>
      <c r="KS499" s="16"/>
      <c r="KT499" s="16"/>
      <c r="KU499" s="17"/>
      <c r="KY499" s="24"/>
      <c r="KZ499" s="60"/>
      <c r="LA499" s="16"/>
      <c r="LB499" s="16"/>
      <c r="LC499" s="16"/>
      <c r="LD499" s="16"/>
      <c r="LE499" s="16"/>
      <c r="LF499" s="17"/>
      <c r="LJ499" s="24"/>
      <c r="LK499" s="60"/>
      <c r="LL499" s="16"/>
      <c r="LM499" s="16"/>
      <c r="LN499" s="16"/>
      <c r="LO499" s="16"/>
      <c r="LP499" s="16"/>
      <c r="LQ499" s="17"/>
    </row>
    <row r="500">
      <c r="C500" s="31"/>
      <c r="D500" s="61"/>
      <c r="E500" s="16"/>
      <c r="F500" s="16"/>
      <c r="G500" s="21"/>
      <c r="H500" s="16"/>
      <c r="I500" s="16"/>
      <c r="J500" s="17"/>
      <c r="N500" s="17"/>
      <c r="O500" s="61"/>
      <c r="P500" s="16"/>
      <c r="Q500" s="16"/>
      <c r="R500" s="16"/>
      <c r="S500" s="16"/>
      <c r="T500" s="16"/>
      <c r="U500" s="17"/>
      <c r="Y500" s="24"/>
      <c r="Z500" s="61"/>
      <c r="AA500" s="16"/>
      <c r="AB500" s="16"/>
      <c r="AC500" s="16"/>
      <c r="AD500" s="16"/>
      <c r="AE500" s="16"/>
      <c r="AF500" s="17"/>
      <c r="AJ500" s="24"/>
      <c r="AK500" s="61"/>
      <c r="AL500" s="16"/>
      <c r="AM500" s="16"/>
      <c r="AN500" s="16"/>
      <c r="AO500" s="16"/>
      <c r="AP500" s="16"/>
      <c r="AQ500" s="17"/>
      <c r="AU500" s="24"/>
      <c r="AV500" s="61"/>
      <c r="AW500" s="16"/>
      <c r="AX500" s="16"/>
      <c r="AY500" s="16"/>
      <c r="AZ500" s="16"/>
      <c r="BA500" s="16"/>
      <c r="BB500" s="17"/>
      <c r="BF500" s="24"/>
      <c r="BG500" s="61"/>
      <c r="BH500" s="16"/>
      <c r="BI500" s="16"/>
      <c r="BJ500" s="16"/>
      <c r="BK500" s="16"/>
      <c r="BL500" s="16"/>
      <c r="BM500" s="17"/>
      <c r="BQ500" s="24"/>
      <c r="BR500" s="61"/>
      <c r="BS500" s="16"/>
      <c r="BT500" s="16"/>
      <c r="BU500" s="16"/>
      <c r="BV500" s="16"/>
      <c r="BW500" s="16"/>
      <c r="BX500" s="17"/>
      <c r="CB500" s="24"/>
      <c r="CC500" s="61"/>
      <c r="CD500" s="16"/>
      <c r="CE500" s="16"/>
      <c r="CF500" s="16"/>
      <c r="CG500" s="16"/>
      <c r="CH500" s="16"/>
      <c r="CI500" s="17"/>
      <c r="CM500" s="24"/>
      <c r="CN500" s="61"/>
      <c r="CO500" s="16"/>
      <c r="CP500" s="16"/>
      <c r="CQ500" s="16"/>
      <c r="CR500" s="16"/>
      <c r="CS500" s="16"/>
      <c r="CT500" s="17"/>
      <c r="CX500" s="24"/>
      <c r="CY500" s="60"/>
      <c r="CZ500" s="16"/>
      <c r="DA500" s="16"/>
      <c r="DB500" s="16"/>
      <c r="DC500" s="16"/>
      <c r="DD500" s="16"/>
      <c r="DE500" s="17"/>
      <c r="DI500" s="24"/>
      <c r="DJ500" s="60"/>
      <c r="DK500" s="16"/>
      <c r="DL500" s="16"/>
      <c r="DM500" s="16"/>
      <c r="DN500" s="16"/>
      <c r="DO500" s="16"/>
      <c r="DP500" s="17"/>
      <c r="DT500" s="24"/>
      <c r="DU500" s="60"/>
      <c r="DV500" s="16"/>
      <c r="DW500" s="16"/>
      <c r="DX500" s="16"/>
      <c r="DY500" s="16"/>
      <c r="DZ500" s="16"/>
      <c r="EA500" s="17"/>
      <c r="EE500" s="24"/>
      <c r="EF500" s="60"/>
      <c r="EG500" s="16"/>
      <c r="EH500" s="16"/>
      <c r="EI500" s="16"/>
      <c r="EJ500" s="16"/>
      <c r="EK500" s="16"/>
      <c r="EL500" s="17"/>
      <c r="EP500" s="24"/>
      <c r="EQ500" s="60"/>
      <c r="ER500" s="16"/>
      <c r="ES500" s="16"/>
      <c r="ET500" s="16"/>
      <c r="EU500" s="16"/>
      <c r="EV500" s="16"/>
      <c r="EW500" s="17"/>
      <c r="FA500" s="24"/>
      <c r="FB500" s="60"/>
      <c r="FC500" s="16"/>
      <c r="FD500" s="16"/>
      <c r="FE500" s="16"/>
      <c r="FF500" s="16"/>
      <c r="FG500" s="16"/>
      <c r="FH500" s="17"/>
      <c r="FL500" s="24"/>
      <c r="FM500" s="60"/>
      <c r="FN500" s="16"/>
      <c r="FO500" s="16"/>
      <c r="FP500" s="16"/>
      <c r="FQ500" s="16"/>
      <c r="FR500" s="16"/>
      <c r="FS500" s="17"/>
      <c r="FW500" s="24"/>
      <c r="FX500" s="60"/>
      <c r="FY500" s="16"/>
      <c r="FZ500" s="16"/>
      <c r="GA500" s="16"/>
      <c r="GB500" s="16"/>
      <c r="GC500" s="16"/>
      <c r="GD500" s="17"/>
      <c r="GH500" s="24"/>
      <c r="GI500" s="60"/>
      <c r="GJ500" s="16"/>
      <c r="GK500" s="16"/>
      <c r="GL500" s="16"/>
      <c r="GM500" s="16"/>
      <c r="GN500" s="16"/>
      <c r="GO500" s="17"/>
      <c r="GS500" s="24"/>
      <c r="GT500" s="60"/>
      <c r="GU500" s="16"/>
      <c r="GV500" s="16"/>
      <c r="GW500" s="16"/>
      <c r="GX500" s="16"/>
      <c r="GY500" s="16"/>
      <c r="GZ500" s="17"/>
      <c r="HD500" s="24"/>
      <c r="HE500" s="60"/>
      <c r="HF500" s="16"/>
      <c r="HG500" s="16"/>
      <c r="HH500" s="16"/>
      <c r="HI500" s="16"/>
      <c r="HJ500" s="16"/>
      <c r="HK500" s="17"/>
      <c r="HO500" s="24"/>
      <c r="HP500" s="60"/>
      <c r="HQ500" s="16"/>
      <c r="HR500" s="16"/>
      <c r="HS500" s="16"/>
      <c r="HT500" s="16"/>
      <c r="HU500" s="16"/>
      <c r="HV500" s="17"/>
      <c r="HZ500" s="24"/>
      <c r="IA500" s="60"/>
      <c r="IB500" s="16"/>
      <c r="IC500" s="16"/>
      <c r="ID500" s="16"/>
      <c r="IE500" s="16"/>
      <c r="IF500" s="16"/>
      <c r="IG500" s="17"/>
      <c r="IK500" s="24"/>
      <c r="IL500" s="60"/>
      <c r="IM500" s="16"/>
      <c r="IN500" s="16"/>
      <c r="IO500" s="16"/>
      <c r="IP500" s="16"/>
      <c r="IQ500" s="16"/>
      <c r="IR500" s="17"/>
      <c r="IV500" s="24"/>
      <c r="IW500" s="60"/>
      <c r="IX500" s="16"/>
      <c r="IY500" s="16"/>
      <c r="IZ500" s="16"/>
      <c r="JA500" s="16"/>
      <c r="JB500" s="16"/>
      <c r="JC500" s="17"/>
      <c r="JG500" s="24"/>
      <c r="JH500" s="60"/>
      <c r="JI500" s="16"/>
      <c r="JJ500" s="16"/>
      <c r="JK500" s="16"/>
      <c r="JL500" s="16"/>
      <c r="JM500" s="16"/>
      <c r="JN500" s="17"/>
      <c r="JR500" s="24"/>
      <c r="JS500" s="60"/>
      <c r="JT500" s="16"/>
      <c r="JU500" s="16"/>
      <c r="JV500" s="16"/>
      <c r="JW500" s="16"/>
      <c r="JX500" s="16"/>
      <c r="JY500" s="17"/>
      <c r="KC500" s="24"/>
      <c r="KD500" s="60"/>
      <c r="KE500" s="16"/>
      <c r="KF500" s="16"/>
      <c r="KG500" s="16"/>
      <c r="KH500" s="16"/>
      <c r="KI500" s="16"/>
      <c r="KJ500" s="17"/>
      <c r="KN500" s="24"/>
      <c r="KO500" s="60"/>
      <c r="KP500" s="16"/>
      <c r="KQ500" s="16"/>
      <c r="KR500" s="16"/>
      <c r="KS500" s="16"/>
      <c r="KT500" s="16"/>
      <c r="KU500" s="17"/>
      <c r="KY500" s="24"/>
      <c r="KZ500" s="60"/>
      <c r="LA500" s="16"/>
      <c r="LB500" s="16"/>
      <c r="LC500" s="16"/>
      <c r="LD500" s="16"/>
      <c r="LE500" s="16"/>
      <c r="LF500" s="17"/>
      <c r="LJ500" s="24"/>
      <c r="LK500" s="60"/>
      <c r="LL500" s="16"/>
      <c r="LM500" s="16"/>
      <c r="LN500" s="16"/>
      <c r="LO500" s="16"/>
      <c r="LP500" s="16"/>
      <c r="LQ500" s="17"/>
    </row>
    <row r="501">
      <c r="C501" s="31"/>
      <c r="D501" s="61"/>
      <c r="E501" s="16"/>
      <c r="F501" s="16"/>
      <c r="G501" s="21"/>
      <c r="H501" s="16"/>
      <c r="I501" s="16"/>
      <c r="J501" s="17"/>
      <c r="N501" s="17"/>
      <c r="O501" s="61"/>
      <c r="P501" s="16"/>
      <c r="Q501" s="16"/>
      <c r="R501" s="16"/>
      <c r="S501" s="16"/>
      <c r="T501" s="16"/>
      <c r="U501" s="17"/>
      <c r="Y501" s="24"/>
      <c r="Z501" s="61"/>
      <c r="AA501" s="16"/>
      <c r="AB501" s="16"/>
      <c r="AC501" s="16"/>
      <c r="AD501" s="16"/>
      <c r="AE501" s="16"/>
      <c r="AF501" s="17"/>
      <c r="AJ501" s="24"/>
      <c r="AK501" s="61"/>
      <c r="AL501" s="16"/>
      <c r="AM501" s="16"/>
      <c r="AN501" s="16"/>
      <c r="AO501" s="16"/>
      <c r="AP501" s="16"/>
      <c r="AQ501" s="17"/>
      <c r="AU501" s="24"/>
      <c r="AV501" s="61"/>
      <c r="AW501" s="16"/>
      <c r="AX501" s="16"/>
      <c r="AY501" s="16"/>
      <c r="AZ501" s="16"/>
      <c r="BA501" s="16"/>
      <c r="BB501" s="17"/>
      <c r="BF501" s="24"/>
      <c r="BG501" s="61"/>
      <c r="BH501" s="16"/>
      <c r="BI501" s="16"/>
      <c r="BJ501" s="16"/>
      <c r="BK501" s="16"/>
      <c r="BL501" s="16"/>
      <c r="BM501" s="17"/>
      <c r="BQ501" s="24"/>
      <c r="BR501" s="61"/>
      <c r="BS501" s="16"/>
      <c r="BT501" s="16"/>
      <c r="BU501" s="16"/>
      <c r="BV501" s="16"/>
      <c r="BW501" s="16"/>
      <c r="BX501" s="17"/>
      <c r="CB501" s="24"/>
      <c r="CC501" s="61"/>
      <c r="CD501" s="16"/>
      <c r="CE501" s="16"/>
      <c r="CF501" s="16"/>
      <c r="CG501" s="16"/>
      <c r="CH501" s="16"/>
      <c r="CI501" s="17"/>
      <c r="CM501" s="24"/>
      <c r="CN501" s="61"/>
      <c r="CO501" s="16"/>
      <c r="CP501" s="16"/>
      <c r="CQ501" s="16"/>
      <c r="CR501" s="16"/>
      <c r="CS501" s="16"/>
      <c r="CT501" s="17"/>
      <c r="CX501" s="24"/>
      <c r="CY501" s="60"/>
      <c r="CZ501" s="16"/>
      <c r="DA501" s="16"/>
      <c r="DB501" s="16"/>
      <c r="DC501" s="16"/>
      <c r="DD501" s="16"/>
      <c r="DE501" s="17"/>
      <c r="DI501" s="24"/>
      <c r="DJ501" s="60"/>
      <c r="DK501" s="16"/>
      <c r="DL501" s="16"/>
      <c r="DM501" s="16"/>
      <c r="DN501" s="16"/>
      <c r="DO501" s="16"/>
      <c r="DP501" s="17"/>
      <c r="DT501" s="24"/>
      <c r="DU501" s="60"/>
      <c r="DV501" s="16"/>
      <c r="DW501" s="16"/>
      <c r="DX501" s="16"/>
      <c r="DY501" s="16"/>
      <c r="DZ501" s="16"/>
      <c r="EA501" s="17"/>
      <c r="EE501" s="24"/>
      <c r="EF501" s="60"/>
      <c r="EG501" s="16"/>
      <c r="EH501" s="16"/>
      <c r="EI501" s="16"/>
      <c r="EJ501" s="16"/>
      <c r="EK501" s="16"/>
      <c r="EL501" s="17"/>
      <c r="EP501" s="24"/>
      <c r="EQ501" s="60"/>
      <c r="ER501" s="16"/>
      <c r="ES501" s="16"/>
      <c r="ET501" s="16"/>
      <c r="EU501" s="16"/>
      <c r="EV501" s="16"/>
      <c r="EW501" s="17"/>
      <c r="FA501" s="24"/>
      <c r="FB501" s="60"/>
      <c r="FC501" s="16"/>
      <c r="FD501" s="16"/>
      <c r="FE501" s="16"/>
      <c r="FF501" s="16"/>
      <c r="FG501" s="16"/>
      <c r="FH501" s="17"/>
      <c r="FL501" s="24"/>
      <c r="FM501" s="60"/>
      <c r="FN501" s="16"/>
      <c r="FO501" s="16"/>
      <c r="FP501" s="16"/>
      <c r="FQ501" s="16"/>
      <c r="FR501" s="16"/>
      <c r="FS501" s="17"/>
      <c r="FW501" s="24"/>
      <c r="FX501" s="60"/>
      <c r="FY501" s="16"/>
      <c r="FZ501" s="16"/>
      <c r="GA501" s="16"/>
      <c r="GB501" s="16"/>
      <c r="GC501" s="16"/>
      <c r="GD501" s="17"/>
      <c r="GH501" s="24"/>
      <c r="GI501" s="60"/>
      <c r="GJ501" s="16"/>
      <c r="GK501" s="16"/>
      <c r="GL501" s="16"/>
      <c r="GM501" s="16"/>
      <c r="GN501" s="16"/>
      <c r="GO501" s="17"/>
      <c r="GS501" s="24"/>
      <c r="GT501" s="60"/>
      <c r="GU501" s="16"/>
      <c r="GV501" s="16"/>
      <c r="GW501" s="16"/>
      <c r="GX501" s="16"/>
      <c r="GY501" s="16"/>
      <c r="GZ501" s="17"/>
      <c r="HD501" s="24"/>
      <c r="HE501" s="60"/>
      <c r="HF501" s="16"/>
      <c r="HG501" s="16"/>
      <c r="HH501" s="16"/>
      <c r="HI501" s="16"/>
      <c r="HJ501" s="16"/>
      <c r="HK501" s="17"/>
      <c r="HO501" s="24"/>
      <c r="HP501" s="60"/>
      <c r="HQ501" s="16"/>
      <c r="HR501" s="16"/>
      <c r="HS501" s="16"/>
      <c r="HT501" s="16"/>
      <c r="HU501" s="16"/>
      <c r="HV501" s="17"/>
      <c r="HZ501" s="24"/>
      <c r="IA501" s="60"/>
      <c r="IB501" s="16"/>
      <c r="IC501" s="16"/>
      <c r="ID501" s="16"/>
      <c r="IE501" s="16"/>
      <c r="IF501" s="16"/>
      <c r="IG501" s="17"/>
      <c r="IK501" s="24"/>
      <c r="IL501" s="60"/>
      <c r="IM501" s="16"/>
      <c r="IN501" s="16"/>
      <c r="IO501" s="16"/>
      <c r="IP501" s="16"/>
      <c r="IQ501" s="16"/>
      <c r="IR501" s="17"/>
      <c r="IV501" s="24"/>
      <c r="IW501" s="60"/>
      <c r="IX501" s="16"/>
      <c r="IY501" s="16"/>
      <c r="IZ501" s="16"/>
      <c r="JA501" s="16"/>
      <c r="JB501" s="16"/>
      <c r="JC501" s="17"/>
      <c r="JG501" s="24"/>
      <c r="JH501" s="60"/>
      <c r="JI501" s="16"/>
      <c r="JJ501" s="16"/>
      <c r="JK501" s="16"/>
      <c r="JL501" s="16"/>
      <c r="JM501" s="16"/>
      <c r="JN501" s="17"/>
      <c r="JR501" s="24"/>
      <c r="JS501" s="60"/>
      <c r="JT501" s="16"/>
      <c r="JU501" s="16"/>
      <c r="JV501" s="16"/>
      <c r="JW501" s="16"/>
      <c r="JX501" s="16"/>
      <c r="JY501" s="17"/>
      <c r="KC501" s="24"/>
      <c r="KD501" s="60"/>
      <c r="KE501" s="16"/>
      <c r="KF501" s="16"/>
      <c r="KG501" s="16"/>
      <c r="KH501" s="16"/>
      <c r="KI501" s="16"/>
      <c r="KJ501" s="17"/>
      <c r="KN501" s="24"/>
      <c r="KO501" s="60"/>
      <c r="KP501" s="16"/>
      <c r="KQ501" s="16"/>
      <c r="KR501" s="16"/>
      <c r="KS501" s="16"/>
      <c r="KT501" s="16"/>
      <c r="KU501" s="17"/>
      <c r="KY501" s="24"/>
      <c r="KZ501" s="60"/>
      <c r="LA501" s="16"/>
      <c r="LB501" s="16"/>
      <c r="LC501" s="16"/>
      <c r="LD501" s="16"/>
      <c r="LE501" s="16"/>
      <c r="LF501" s="17"/>
      <c r="LJ501" s="24"/>
      <c r="LK501" s="60"/>
      <c r="LL501" s="16"/>
      <c r="LM501" s="16"/>
      <c r="LN501" s="16"/>
      <c r="LO501" s="16"/>
      <c r="LP501" s="16"/>
      <c r="LQ501" s="17"/>
    </row>
    <row r="502">
      <c r="C502" s="31"/>
      <c r="D502" s="61"/>
      <c r="E502" s="16"/>
      <c r="F502" s="16"/>
      <c r="G502" s="21"/>
      <c r="H502" s="16"/>
      <c r="I502" s="16"/>
      <c r="J502" s="17"/>
      <c r="N502" s="17"/>
      <c r="O502" s="61"/>
      <c r="P502" s="16"/>
      <c r="Q502" s="16"/>
      <c r="R502" s="16"/>
      <c r="S502" s="16"/>
      <c r="T502" s="16"/>
      <c r="U502" s="17"/>
      <c r="Y502" s="24"/>
      <c r="Z502" s="61"/>
      <c r="AA502" s="16"/>
      <c r="AB502" s="16"/>
      <c r="AC502" s="16"/>
      <c r="AD502" s="16"/>
      <c r="AE502" s="16"/>
      <c r="AF502" s="17"/>
      <c r="AJ502" s="24"/>
      <c r="AK502" s="61"/>
      <c r="AL502" s="16"/>
      <c r="AM502" s="16"/>
      <c r="AN502" s="16"/>
      <c r="AO502" s="16"/>
      <c r="AP502" s="16"/>
      <c r="AQ502" s="17"/>
      <c r="AU502" s="24"/>
      <c r="AV502" s="61"/>
      <c r="AW502" s="16"/>
      <c r="AX502" s="16"/>
      <c r="AY502" s="16"/>
      <c r="AZ502" s="16"/>
      <c r="BA502" s="16"/>
      <c r="BB502" s="17"/>
      <c r="BF502" s="24"/>
      <c r="BG502" s="61"/>
      <c r="BH502" s="16"/>
      <c r="BI502" s="16"/>
      <c r="BJ502" s="16"/>
      <c r="BK502" s="16"/>
      <c r="BL502" s="16"/>
      <c r="BM502" s="17"/>
      <c r="BQ502" s="24"/>
      <c r="BR502" s="61"/>
      <c r="BS502" s="16"/>
      <c r="BT502" s="16"/>
      <c r="BU502" s="16"/>
      <c r="BV502" s="16"/>
      <c r="BW502" s="16"/>
      <c r="BX502" s="17"/>
      <c r="CB502" s="24"/>
      <c r="CC502" s="61"/>
      <c r="CD502" s="16"/>
      <c r="CE502" s="16"/>
      <c r="CF502" s="16"/>
      <c r="CG502" s="16"/>
      <c r="CH502" s="16"/>
      <c r="CI502" s="17"/>
      <c r="CM502" s="24"/>
      <c r="CN502" s="61"/>
      <c r="CO502" s="16"/>
      <c r="CP502" s="16"/>
      <c r="CQ502" s="16"/>
      <c r="CR502" s="16"/>
      <c r="CS502" s="16"/>
      <c r="CT502" s="17"/>
      <c r="CX502" s="24"/>
      <c r="CY502" s="60"/>
      <c r="CZ502" s="16"/>
      <c r="DA502" s="16"/>
      <c r="DB502" s="16"/>
      <c r="DC502" s="16"/>
      <c r="DD502" s="16"/>
      <c r="DE502" s="17"/>
      <c r="DI502" s="24"/>
      <c r="DJ502" s="60"/>
      <c r="DK502" s="16"/>
      <c r="DL502" s="16"/>
      <c r="DM502" s="16"/>
      <c r="DN502" s="16"/>
      <c r="DO502" s="16"/>
      <c r="DP502" s="17"/>
      <c r="DT502" s="24"/>
      <c r="DU502" s="60"/>
      <c r="DV502" s="16"/>
      <c r="DW502" s="16"/>
      <c r="DX502" s="16"/>
      <c r="DY502" s="16"/>
      <c r="DZ502" s="16"/>
      <c r="EA502" s="17"/>
      <c r="EE502" s="24"/>
      <c r="EF502" s="60"/>
      <c r="EG502" s="16"/>
      <c r="EH502" s="16"/>
      <c r="EI502" s="16"/>
      <c r="EJ502" s="16"/>
      <c r="EK502" s="16"/>
      <c r="EL502" s="17"/>
      <c r="EP502" s="24"/>
      <c r="EQ502" s="60"/>
      <c r="ER502" s="16"/>
      <c r="ES502" s="16"/>
      <c r="ET502" s="16"/>
      <c r="EU502" s="16"/>
      <c r="EV502" s="16"/>
      <c r="EW502" s="17"/>
      <c r="FA502" s="24"/>
      <c r="FB502" s="60"/>
      <c r="FC502" s="16"/>
      <c r="FD502" s="16"/>
      <c r="FE502" s="16"/>
      <c r="FF502" s="16"/>
      <c r="FG502" s="16"/>
      <c r="FH502" s="17"/>
      <c r="FL502" s="24"/>
      <c r="FM502" s="60"/>
      <c r="FN502" s="16"/>
      <c r="FO502" s="16"/>
      <c r="FP502" s="16"/>
      <c r="FQ502" s="16"/>
      <c r="FR502" s="16"/>
      <c r="FS502" s="17"/>
      <c r="FW502" s="24"/>
      <c r="FX502" s="60"/>
      <c r="FY502" s="16"/>
      <c r="FZ502" s="16"/>
      <c r="GA502" s="16"/>
      <c r="GB502" s="16"/>
      <c r="GC502" s="16"/>
      <c r="GD502" s="17"/>
      <c r="GH502" s="24"/>
      <c r="GI502" s="60"/>
      <c r="GJ502" s="16"/>
      <c r="GK502" s="16"/>
      <c r="GL502" s="16"/>
      <c r="GM502" s="16"/>
      <c r="GN502" s="16"/>
      <c r="GO502" s="17"/>
      <c r="GS502" s="24"/>
      <c r="GT502" s="60"/>
      <c r="GU502" s="16"/>
      <c r="GV502" s="16"/>
      <c r="GW502" s="16"/>
      <c r="GX502" s="16"/>
      <c r="GY502" s="16"/>
      <c r="GZ502" s="17"/>
      <c r="HD502" s="24"/>
      <c r="HE502" s="60"/>
      <c r="HF502" s="16"/>
      <c r="HG502" s="16"/>
      <c r="HH502" s="16"/>
      <c r="HI502" s="16"/>
      <c r="HJ502" s="16"/>
      <c r="HK502" s="17"/>
      <c r="HO502" s="24"/>
      <c r="HP502" s="60"/>
      <c r="HQ502" s="16"/>
      <c r="HR502" s="16"/>
      <c r="HS502" s="16"/>
      <c r="HT502" s="16"/>
      <c r="HU502" s="16"/>
      <c r="HV502" s="17"/>
      <c r="HZ502" s="24"/>
      <c r="IA502" s="60"/>
      <c r="IB502" s="16"/>
      <c r="IC502" s="16"/>
      <c r="ID502" s="16"/>
      <c r="IE502" s="16"/>
      <c r="IF502" s="16"/>
      <c r="IG502" s="17"/>
      <c r="IK502" s="24"/>
      <c r="IL502" s="60"/>
      <c r="IM502" s="16"/>
      <c r="IN502" s="16"/>
      <c r="IO502" s="16"/>
      <c r="IP502" s="16"/>
      <c r="IQ502" s="16"/>
      <c r="IR502" s="17"/>
      <c r="IV502" s="24"/>
      <c r="IW502" s="60"/>
      <c r="IX502" s="16"/>
      <c r="IY502" s="16"/>
      <c r="IZ502" s="16"/>
      <c r="JA502" s="16"/>
      <c r="JB502" s="16"/>
      <c r="JC502" s="17"/>
      <c r="JG502" s="24"/>
      <c r="JH502" s="60"/>
      <c r="JI502" s="16"/>
      <c r="JJ502" s="16"/>
      <c r="JK502" s="16"/>
      <c r="JL502" s="16"/>
      <c r="JM502" s="16"/>
      <c r="JN502" s="17"/>
      <c r="JR502" s="24"/>
      <c r="JS502" s="60"/>
      <c r="JT502" s="16"/>
      <c r="JU502" s="16"/>
      <c r="JV502" s="16"/>
      <c r="JW502" s="16"/>
      <c r="JX502" s="16"/>
      <c r="JY502" s="17"/>
      <c r="KC502" s="24"/>
      <c r="KD502" s="60"/>
      <c r="KE502" s="16"/>
      <c r="KF502" s="16"/>
      <c r="KG502" s="16"/>
      <c r="KH502" s="16"/>
      <c r="KI502" s="16"/>
      <c r="KJ502" s="17"/>
      <c r="KN502" s="24"/>
      <c r="KO502" s="60"/>
      <c r="KP502" s="16"/>
      <c r="KQ502" s="16"/>
      <c r="KR502" s="16"/>
      <c r="KS502" s="16"/>
      <c r="KT502" s="16"/>
      <c r="KU502" s="17"/>
      <c r="KY502" s="24"/>
      <c r="KZ502" s="60"/>
      <c r="LA502" s="16"/>
      <c r="LB502" s="16"/>
      <c r="LC502" s="16"/>
      <c r="LD502" s="16"/>
      <c r="LE502" s="16"/>
      <c r="LF502" s="17"/>
      <c r="LJ502" s="24"/>
      <c r="LK502" s="60"/>
      <c r="LL502" s="16"/>
      <c r="LM502" s="16"/>
      <c r="LN502" s="16"/>
      <c r="LO502" s="16"/>
      <c r="LP502" s="16"/>
      <c r="LQ502" s="17"/>
    </row>
    <row r="503">
      <c r="C503" s="31"/>
      <c r="D503" s="61"/>
      <c r="E503" s="16"/>
      <c r="F503" s="16"/>
      <c r="G503" s="21"/>
      <c r="H503" s="16"/>
      <c r="I503" s="16"/>
      <c r="J503" s="17"/>
      <c r="N503" s="17"/>
      <c r="O503" s="61"/>
      <c r="P503" s="16"/>
      <c r="Q503" s="16"/>
      <c r="R503" s="16"/>
      <c r="S503" s="16"/>
      <c r="T503" s="16"/>
      <c r="U503" s="17"/>
      <c r="Y503" s="24"/>
      <c r="Z503" s="61"/>
      <c r="AA503" s="16"/>
      <c r="AB503" s="16"/>
      <c r="AC503" s="16"/>
      <c r="AD503" s="16"/>
      <c r="AE503" s="16"/>
      <c r="AF503" s="17"/>
      <c r="AJ503" s="24"/>
      <c r="AK503" s="61"/>
      <c r="AL503" s="16"/>
      <c r="AM503" s="16"/>
      <c r="AN503" s="16"/>
      <c r="AO503" s="16"/>
      <c r="AP503" s="16"/>
      <c r="AQ503" s="17"/>
      <c r="AU503" s="24"/>
      <c r="AV503" s="61"/>
      <c r="AW503" s="16"/>
      <c r="AX503" s="16"/>
      <c r="AY503" s="16"/>
      <c r="AZ503" s="16"/>
      <c r="BA503" s="16"/>
      <c r="BB503" s="17"/>
      <c r="BF503" s="24"/>
      <c r="BG503" s="61"/>
      <c r="BH503" s="16"/>
      <c r="BI503" s="16"/>
      <c r="BJ503" s="16"/>
      <c r="BK503" s="16"/>
      <c r="BL503" s="16"/>
      <c r="BM503" s="17"/>
      <c r="BQ503" s="24"/>
      <c r="BR503" s="61"/>
      <c r="BS503" s="16"/>
      <c r="BT503" s="16"/>
      <c r="BU503" s="16"/>
      <c r="BV503" s="16"/>
      <c r="BW503" s="16"/>
      <c r="BX503" s="17"/>
      <c r="CB503" s="24"/>
      <c r="CC503" s="61"/>
      <c r="CD503" s="16"/>
      <c r="CE503" s="16"/>
      <c r="CF503" s="16"/>
      <c r="CG503" s="16"/>
      <c r="CH503" s="16"/>
      <c r="CI503" s="17"/>
      <c r="CM503" s="24"/>
      <c r="CN503" s="61"/>
      <c r="CO503" s="16"/>
      <c r="CP503" s="16"/>
      <c r="CQ503" s="16"/>
      <c r="CR503" s="16"/>
      <c r="CS503" s="16"/>
      <c r="CT503" s="17"/>
      <c r="CX503" s="24"/>
      <c r="CY503" s="60"/>
      <c r="CZ503" s="16"/>
      <c r="DA503" s="16"/>
      <c r="DB503" s="16"/>
      <c r="DC503" s="16"/>
      <c r="DD503" s="16"/>
      <c r="DE503" s="17"/>
      <c r="DI503" s="24"/>
      <c r="DJ503" s="60"/>
      <c r="DK503" s="16"/>
      <c r="DL503" s="16"/>
      <c r="DM503" s="16"/>
      <c r="DN503" s="16"/>
      <c r="DO503" s="16"/>
      <c r="DP503" s="17"/>
      <c r="DT503" s="24"/>
      <c r="DU503" s="60"/>
      <c r="DV503" s="16"/>
      <c r="DW503" s="16"/>
      <c r="DX503" s="16"/>
      <c r="DY503" s="16"/>
      <c r="DZ503" s="16"/>
      <c r="EA503" s="17"/>
      <c r="EE503" s="24"/>
      <c r="EF503" s="60"/>
      <c r="EG503" s="16"/>
      <c r="EH503" s="16"/>
      <c r="EI503" s="16"/>
      <c r="EJ503" s="16"/>
      <c r="EK503" s="16"/>
      <c r="EL503" s="17"/>
      <c r="EP503" s="24"/>
      <c r="EQ503" s="60"/>
      <c r="ER503" s="16"/>
      <c r="ES503" s="16"/>
      <c r="ET503" s="16"/>
      <c r="EU503" s="16"/>
      <c r="EV503" s="16"/>
      <c r="EW503" s="17"/>
      <c r="FA503" s="24"/>
      <c r="FB503" s="60"/>
      <c r="FC503" s="16"/>
      <c r="FD503" s="16"/>
      <c r="FE503" s="16"/>
      <c r="FF503" s="16"/>
      <c r="FG503" s="16"/>
      <c r="FH503" s="17"/>
      <c r="FL503" s="24"/>
      <c r="FM503" s="60"/>
      <c r="FN503" s="16"/>
      <c r="FO503" s="16"/>
      <c r="FP503" s="16"/>
      <c r="FQ503" s="16"/>
      <c r="FR503" s="16"/>
      <c r="FS503" s="17"/>
      <c r="FW503" s="24"/>
      <c r="FX503" s="60"/>
      <c r="FY503" s="16"/>
      <c r="FZ503" s="16"/>
      <c r="GA503" s="16"/>
      <c r="GB503" s="16"/>
      <c r="GC503" s="16"/>
      <c r="GD503" s="17"/>
      <c r="GH503" s="24"/>
      <c r="GI503" s="60"/>
      <c r="GJ503" s="16"/>
      <c r="GK503" s="16"/>
      <c r="GL503" s="16"/>
      <c r="GM503" s="16"/>
      <c r="GN503" s="16"/>
      <c r="GO503" s="17"/>
      <c r="GS503" s="24"/>
      <c r="GT503" s="60"/>
      <c r="GU503" s="16"/>
      <c r="GV503" s="16"/>
      <c r="GW503" s="16"/>
      <c r="GX503" s="16"/>
      <c r="GY503" s="16"/>
      <c r="GZ503" s="17"/>
      <c r="HD503" s="24"/>
      <c r="HE503" s="60"/>
      <c r="HF503" s="16"/>
      <c r="HG503" s="16"/>
      <c r="HH503" s="16"/>
      <c r="HI503" s="16"/>
      <c r="HJ503" s="16"/>
      <c r="HK503" s="17"/>
      <c r="HO503" s="24"/>
      <c r="HP503" s="60"/>
      <c r="HQ503" s="16"/>
      <c r="HR503" s="16"/>
      <c r="HS503" s="16"/>
      <c r="HT503" s="16"/>
      <c r="HU503" s="16"/>
      <c r="HV503" s="17"/>
      <c r="HZ503" s="24"/>
      <c r="IA503" s="60"/>
      <c r="IB503" s="16"/>
      <c r="IC503" s="16"/>
      <c r="ID503" s="16"/>
      <c r="IE503" s="16"/>
      <c r="IF503" s="16"/>
      <c r="IG503" s="17"/>
      <c r="IK503" s="24"/>
      <c r="IL503" s="60"/>
      <c r="IM503" s="16"/>
      <c r="IN503" s="16"/>
      <c r="IO503" s="16"/>
      <c r="IP503" s="16"/>
      <c r="IQ503" s="16"/>
      <c r="IR503" s="17"/>
      <c r="IV503" s="24"/>
      <c r="IW503" s="60"/>
      <c r="IX503" s="16"/>
      <c r="IY503" s="16"/>
      <c r="IZ503" s="16"/>
      <c r="JA503" s="16"/>
      <c r="JB503" s="16"/>
      <c r="JC503" s="17"/>
      <c r="JG503" s="24"/>
      <c r="JH503" s="60"/>
      <c r="JI503" s="16"/>
      <c r="JJ503" s="16"/>
      <c r="JK503" s="16"/>
      <c r="JL503" s="16"/>
      <c r="JM503" s="16"/>
      <c r="JN503" s="17"/>
      <c r="JR503" s="24"/>
      <c r="JS503" s="60"/>
      <c r="JT503" s="16"/>
      <c r="JU503" s="16"/>
      <c r="JV503" s="16"/>
      <c r="JW503" s="16"/>
      <c r="JX503" s="16"/>
      <c r="JY503" s="17"/>
      <c r="KC503" s="24"/>
      <c r="KD503" s="60"/>
      <c r="KE503" s="16"/>
      <c r="KF503" s="16"/>
      <c r="KG503" s="16"/>
      <c r="KH503" s="16"/>
      <c r="KI503" s="16"/>
      <c r="KJ503" s="17"/>
      <c r="KN503" s="24"/>
      <c r="KO503" s="60"/>
      <c r="KP503" s="16"/>
      <c r="KQ503" s="16"/>
      <c r="KR503" s="16"/>
      <c r="KS503" s="16"/>
      <c r="KT503" s="16"/>
      <c r="KU503" s="17"/>
      <c r="KY503" s="24"/>
      <c r="KZ503" s="60"/>
      <c r="LA503" s="16"/>
      <c r="LB503" s="16"/>
      <c r="LC503" s="16"/>
      <c r="LD503" s="16"/>
      <c r="LE503" s="16"/>
      <c r="LF503" s="17"/>
      <c r="LJ503" s="24"/>
      <c r="LK503" s="60"/>
      <c r="LL503" s="16"/>
      <c r="LM503" s="16"/>
      <c r="LN503" s="16"/>
      <c r="LO503" s="16"/>
      <c r="LP503" s="16"/>
      <c r="LQ503" s="17"/>
    </row>
    <row r="504">
      <c r="C504" s="31"/>
      <c r="D504" s="61"/>
      <c r="E504" s="16"/>
      <c r="F504" s="16"/>
      <c r="G504" s="21"/>
      <c r="H504" s="16"/>
      <c r="I504" s="16"/>
      <c r="J504" s="17"/>
      <c r="N504" s="17"/>
      <c r="O504" s="61"/>
      <c r="P504" s="16"/>
      <c r="Q504" s="16"/>
      <c r="R504" s="16"/>
      <c r="S504" s="16"/>
      <c r="T504" s="16"/>
      <c r="U504" s="17"/>
      <c r="Y504" s="24"/>
      <c r="Z504" s="61"/>
      <c r="AA504" s="16"/>
      <c r="AB504" s="16"/>
      <c r="AC504" s="16"/>
      <c r="AD504" s="16"/>
      <c r="AE504" s="16"/>
      <c r="AF504" s="17"/>
      <c r="AJ504" s="24"/>
      <c r="AK504" s="61"/>
      <c r="AL504" s="16"/>
      <c r="AM504" s="16"/>
      <c r="AN504" s="16"/>
      <c r="AO504" s="16"/>
      <c r="AP504" s="16"/>
      <c r="AQ504" s="17"/>
      <c r="AU504" s="24"/>
      <c r="AV504" s="61"/>
      <c r="AW504" s="16"/>
      <c r="AX504" s="16"/>
      <c r="AY504" s="16"/>
      <c r="AZ504" s="16"/>
      <c r="BA504" s="16"/>
      <c r="BB504" s="17"/>
      <c r="BF504" s="24"/>
      <c r="BG504" s="61"/>
      <c r="BH504" s="16"/>
      <c r="BI504" s="16"/>
      <c r="BJ504" s="16"/>
      <c r="BK504" s="16"/>
      <c r="BL504" s="16"/>
      <c r="BM504" s="17"/>
      <c r="BQ504" s="24"/>
      <c r="BR504" s="61"/>
      <c r="BS504" s="16"/>
      <c r="BT504" s="16"/>
      <c r="BU504" s="16"/>
      <c r="BV504" s="16"/>
      <c r="BW504" s="16"/>
      <c r="BX504" s="17"/>
      <c r="CB504" s="24"/>
      <c r="CC504" s="61"/>
      <c r="CD504" s="16"/>
      <c r="CE504" s="16"/>
      <c r="CF504" s="16"/>
      <c r="CG504" s="16"/>
      <c r="CH504" s="16"/>
      <c r="CI504" s="17"/>
      <c r="CM504" s="24"/>
      <c r="CN504" s="61"/>
      <c r="CO504" s="16"/>
      <c r="CP504" s="16"/>
      <c r="CQ504" s="16"/>
      <c r="CR504" s="16"/>
      <c r="CS504" s="16"/>
      <c r="CT504" s="17"/>
      <c r="CX504" s="24"/>
      <c r="CY504" s="60"/>
      <c r="CZ504" s="16"/>
      <c r="DA504" s="16"/>
      <c r="DB504" s="16"/>
      <c r="DC504" s="16"/>
      <c r="DD504" s="16"/>
      <c r="DE504" s="17"/>
      <c r="DI504" s="24"/>
      <c r="DJ504" s="60"/>
      <c r="DK504" s="16"/>
      <c r="DL504" s="16"/>
      <c r="DM504" s="16"/>
      <c r="DN504" s="16"/>
      <c r="DO504" s="16"/>
      <c r="DP504" s="17"/>
      <c r="DT504" s="24"/>
      <c r="DU504" s="60"/>
      <c r="DV504" s="16"/>
      <c r="DW504" s="16"/>
      <c r="DX504" s="16"/>
      <c r="DY504" s="16"/>
      <c r="DZ504" s="16"/>
      <c r="EA504" s="17"/>
      <c r="EE504" s="24"/>
      <c r="EF504" s="60"/>
      <c r="EG504" s="16"/>
      <c r="EH504" s="16"/>
      <c r="EI504" s="16"/>
      <c r="EJ504" s="16"/>
      <c r="EK504" s="16"/>
      <c r="EL504" s="17"/>
      <c r="EP504" s="24"/>
      <c r="EQ504" s="60"/>
      <c r="ER504" s="16"/>
      <c r="ES504" s="16"/>
      <c r="ET504" s="16"/>
      <c r="EU504" s="16"/>
      <c r="EV504" s="16"/>
      <c r="EW504" s="17"/>
      <c r="FA504" s="24"/>
      <c r="FB504" s="60"/>
      <c r="FC504" s="16"/>
      <c r="FD504" s="16"/>
      <c r="FE504" s="16"/>
      <c r="FF504" s="16"/>
      <c r="FG504" s="16"/>
      <c r="FH504" s="17"/>
      <c r="FL504" s="24"/>
      <c r="FM504" s="60"/>
      <c r="FN504" s="16"/>
      <c r="FO504" s="16"/>
      <c r="FP504" s="16"/>
      <c r="FQ504" s="16"/>
      <c r="FR504" s="16"/>
      <c r="FS504" s="17"/>
      <c r="FW504" s="24"/>
      <c r="FX504" s="60"/>
      <c r="FY504" s="16"/>
      <c r="FZ504" s="16"/>
      <c r="GA504" s="16"/>
      <c r="GB504" s="16"/>
      <c r="GC504" s="16"/>
      <c r="GD504" s="17"/>
      <c r="GH504" s="24"/>
      <c r="GI504" s="60"/>
      <c r="GJ504" s="16"/>
      <c r="GK504" s="16"/>
      <c r="GL504" s="16"/>
      <c r="GM504" s="16"/>
      <c r="GN504" s="16"/>
      <c r="GO504" s="17"/>
      <c r="GS504" s="24"/>
      <c r="GT504" s="60"/>
      <c r="GU504" s="16"/>
      <c r="GV504" s="16"/>
      <c r="GW504" s="16"/>
      <c r="GX504" s="16"/>
      <c r="GY504" s="16"/>
      <c r="GZ504" s="17"/>
      <c r="HD504" s="24"/>
      <c r="HE504" s="60"/>
      <c r="HF504" s="16"/>
      <c r="HG504" s="16"/>
      <c r="HH504" s="16"/>
      <c r="HI504" s="16"/>
      <c r="HJ504" s="16"/>
      <c r="HK504" s="17"/>
      <c r="HO504" s="24"/>
      <c r="HP504" s="60"/>
      <c r="HQ504" s="16"/>
      <c r="HR504" s="16"/>
      <c r="HS504" s="16"/>
      <c r="HT504" s="16"/>
      <c r="HU504" s="16"/>
      <c r="HV504" s="17"/>
      <c r="HZ504" s="24"/>
      <c r="IA504" s="60"/>
      <c r="IB504" s="16"/>
      <c r="IC504" s="16"/>
      <c r="ID504" s="16"/>
      <c r="IE504" s="16"/>
      <c r="IF504" s="16"/>
      <c r="IG504" s="17"/>
      <c r="IK504" s="24"/>
      <c r="IL504" s="60"/>
      <c r="IM504" s="16"/>
      <c r="IN504" s="16"/>
      <c r="IO504" s="16"/>
      <c r="IP504" s="16"/>
      <c r="IQ504" s="16"/>
      <c r="IR504" s="17"/>
      <c r="IV504" s="24"/>
      <c r="IW504" s="60"/>
      <c r="IX504" s="16"/>
      <c r="IY504" s="16"/>
      <c r="IZ504" s="16"/>
      <c r="JA504" s="16"/>
      <c r="JB504" s="16"/>
      <c r="JC504" s="17"/>
      <c r="JG504" s="24"/>
      <c r="JH504" s="60"/>
      <c r="JI504" s="16"/>
      <c r="JJ504" s="16"/>
      <c r="JK504" s="16"/>
      <c r="JL504" s="16"/>
      <c r="JM504" s="16"/>
      <c r="JN504" s="17"/>
      <c r="JR504" s="24"/>
      <c r="JS504" s="60"/>
      <c r="JT504" s="16"/>
      <c r="JU504" s="16"/>
      <c r="JV504" s="16"/>
      <c r="JW504" s="16"/>
      <c r="JX504" s="16"/>
      <c r="JY504" s="17"/>
      <c r="KC504" s="24"/>
      <c r="KD504" s="60"/>
      <c r="KE504" s="16"/>
      <c r="KF504" s="16"/>
      <c r="KG504" s="16"/>
      <c r="KH504" s="16"/>
      <c r="KI504" s="16"/>
      <c r="KJ504" s="17"/>
      <c r="KN504" s="24"/>
      <c r="KO504" s="60"/>
      <c r="KP504" s="16"/>
      <c r="KQ504" s="16"/>
      <c r="KR504" s="16"/>
      <c r="KS504" s="16"/>
      <c r="KT504" s="16"/>
      <c r="KU504" s="17"/>
      <c r="KY504" s="24"/>
      <c r="KZ504" s="60"/>
      <c r="LA504" s="16"/>
      <c r="LB504" s="16"/>
      <c r="LC504" s="16"/>
      <c r="LD504" s="16"/>
      <c r="LE504" s="16"/>
      <c r="LF504" s="17"/>
      <c r="LJ504" s="24"/>
      <c r="LK504" s="60"/>
      <c r="LL504" s="16"/>
      <c r="LM504" s="16"/>
      <c r="LN504" s="16"/>
      <c r="LO504" s="16"/>
      <c r="LP504" s="16"/>
      <c r="LQ504" s="17"/>
    </row>
    <row r="505">
      <c r="C505" s="31"/>
      <c r="D505" s="61"/>
      <c r="E505" s="16"/>
      <c r="F505" s="16"/>
      <c r="G505" s="21"/>
      <c r="H505" s="16"/>
      <c r="I505" s="16"/>
      <c r="J505" s="17"/>
      <c r="N505" s="17"/>
      <c r="O505" s="61"/>
      <c r="P505" s="16"/>
      <c r="Q505" s="16"/>
      <c r="R505" s="16"/>
      <c r="S505" s="16"/>
      <c r="T505" s="16"/>
      <c r="U505" s="17"/>
      <c r="Y505" s="24"/>
      <c r="Z505" s="61"/>
      <c r="AA505" s="16"/>
      <c r="AB505" s="16"/>
      <c r="AC505" s="16"/>
      <c r="AD505" s="16"/>
      <c r="AE505" s="16"/>
      <c r="AF505" s="17"/>
      <c r="AJ505" s="24"/>
      <c r="AK505" s="61"/>
      <c r="AL505" s="16"/>
      <c r="AM505" s="16"/>
      <c r="AN505" s="16"/>
      <c r="AO505" s="16"/>
      <c r="AP505" s="16"/>
      <c r="AQ505" s="17"/>
      <c r="AU505" s="24"/>
      <c r="AV505" s="61"/>
      <c r="AW505" s="16"/>
      <c r="AX505" s="16"/>
      <c r="AY505" s="16"/>
      <c r="AZ505" s="16"/>
      <c r="BA505" s="16"/>
      <c r="BB505" s="17"/>
      <c r="BF505" s="24"/>
      <c r="BG505" s="61"/>
      <c r="BH505" s="16"/>
      <c r="BI505" s="16"/>
      <c r="BJ505" s="16"/>
      <c r="BK505" s="16"/>
      <c r="BL505" s="16"/>
      <c r="BM505" s="17"/>
      <c r="BQ505" s="24"/>
      <c r="BR505" s="61"/>
      <c r="BS505" s="16"/>
      <c r="BT505" s="16"/>
      <c r="BU505" s="16"/>
      <c r="BV505" s="16"/>
      <c r="BW505" s="16"/>
      <c r="BX505" s="17"/>
      <c r="CB505" s="24"/>
      <c r="CC505" s="61"/>
      <c r="CD505" s="16"/>
      <c r="CE505" s="16"/>
      <c r="CF505" s="16"/>
      <c r="CG505" s="16"/>
      <c r="CH505" s="16"/>
      <c r="CI505" s="17"/>
      <c r="CM505" s="24"/>
      <c r="CN505" s="61"/>
      <c r="CO505" s="16"/>
      <c r="CP505" s="16"/>
      <c r="CQ505" s="16"/>
      <c r="CR505" s="16"/>
      <c r="CS505" s="16"/>
      <c r="CT505" s="17"/>
      <c r="CX505" s="24"/>
      <c r="CY505" s="60"/>
      <c r="CZ505" s="16"/>
      <c r="DA505" s="16"/>
      <c r="DB505" s="16"/>
      <c r="DC505" s="16"/>
      <c r="DD505" s="16"/>
      <c r="DE505" s="17"/>
      <c r="DI505" s="24"/>
      <c r="DJ505" s="60"/>
      <c r="DK505" s="16"/>
      <c r="DL505" s="16"/>
      <c r="DM505" s="16"/>
      <c r="DN505" s="16"/>
      <c r="DO505" s="16"/>
      <c r="DP505" s="17"/>
      <c r="DT505" s="24"/>
      <c r="DU505" s="60"/>
      <c r="DV505" s="16"/>
      <c r="DW505" s="16"/>
      <c r="DX505" s="16"/>
      <c r="DY505" s="16"/>
      <c r="DZ505" s="16"/>
      <c r="EA505" s="17"/>
      <c r="EE505" s="24"/>
      <c r="EF505" s="60"/>
      <c r="EG505" s="16"/>
      <c r="EH505" s="16"/>
      <c r="EI505" s="16"/>
      <c r="EJ505" s="16"/>
      <c r="EK505" s="16"/>
      <c r="EL505" s="17"/>
      <c r="EP505" s="24"/>
      <c r="EQ505" s="60"/>
      <c r="ER505" s="16"/>
      <c r="ES505" s="16"/>
      <c r="ET505" s="16"/>
      <c r="EU505" s="16"/>
      <c r="EV505" s="16"/>
      <c r="EW505" s="17"/>
      <c r="FA505" s="24"/>
      <c r="FB505" s="60"/>
      <c r="FC505" s="16"/>
      <c r="FD505" s="16"/>
      <c r="FE505" s="16"/>
      <c r="FF505" s="16"/>
      <c r="FG505" s="16"/>
      <c r="FH505" s="17"/>
      <c r="FL505" s="24"/>
      <c r="FM505" s="60"/>
      <c r="FN505" s="16"/>
      <c r="FO505" s="16"/>
      <c r="FP505" s="16"/>
      <c r="FQ505" s="16"/>
      <c r="FR505" s="16"/>
      <c r="FS505" s="17"/>
      <c r="FW505" s="24"/>
      <c r="FX505" s="60"/>
      <c r="FY505" s="16"/>
      <c r="FZ505" s="16"/>
      <c r="GA505" s="16"/>
      <c r="GB505" s="16"/>
      <c r="GC505" s="16"/>
      <c r="GD505" s="17"/>
      <c r="GH505" s="24"/>
      <c r="GI505" s="60"/>
      <c r="GJ505" s="16"/>
      <c r="GK505" s="16"/>
      <c r="GL505" s="16"/>
      <c r="GM505" s="16"/>
      <c r="GN505" s="16"/>
      <c r="GO505" s="17"/>
      <c r="GS505" s="24"/>
      <c r="GT505" s="60"/>
      <c r="GU505" s="16"/>
      <c r="GV505" s="16"/>
      <c r="GW505" s="16"/>
      <c r="GX505" s="16"/>
      <c r="GY505" s="16"/>
      <c r="GZ505" s="17"/>
      <c r="HD505" s="24"/>
      <c r="HE505" s="60"/>
      <c r="HF505" s="16"/>
      <c r="HG505" s="16"/>
      <c r="HH505" s="16"/>
      <c r="HI505" s="16"/>
      <c r="HJ505" s="16"/>
      <c r="HK505" s="17"/>
      <c r="HO505" s="24"/>
      <c r="HP505" s="60"/>
      <c r="HQ505" s="16"/>
      <c r="HR505" s="16"/>
      <c r="HS505" s="16"/>
      <c r="HT505" s="16"/>
      <c r="HU505" s="16"/>
      <c r="HV505" s="17"/>
      <c r="HZ505" s="24"/>
      <c r="IA505" s="60"/>
      <c r="IB505" s="16"/>
      <c r="IC505" s="16"/>
      <c r="ID505" s="16"/>
      <c r="IE505" s="16"/>
      <c r="IF505" s="16"/>
      <c r="IG505" s="17"/>
      <c r="IK505" s="24"/>
      <c r="IL505" s="60"/>
      <c r="IM505" s="16"/>
      <c r="IN505" s="16"/>
      <c r="IO505" s="16"/>
      <c r="IP505" s="16"/>
      <c r="IQ505" s="16"/>
      <c r="IR505" s="17"/>
      <c r="IV505" s="24"/>
      <c r="IW505" s="60"/>
      <c r="IX505" s="16"/>
      <c r="IY505" s="16"/>
      <c r="IZ505" s="16"/>
      <c r="JA505" s="16"/>
      <c r="JB505" s="16"/>
      <c r="JC505" s="17"/>
      <c r="JG505" s="24"/>
      <c r="JH505" s="60"/>
      <c r="JI505" s="16"/>
      <c r="JJ505" s="16"/>
      <c r="JK505" s="16"/>
      <c r="JL505" s="16"/>
      <c r="JM505" s="16"/>
      <c r="JN505" s="17"/>
      <c r="JR505" s="24"/>
      <c r="JS505" s="60"/>
      <c r="JT505" s="16"/>
      <c r="JU505" s="16"/>
      <c r="JV505" s="16"/>
      <c r="JW505" s="16"/>
      <c r="JX505" s="16"/>
      <c r="JY505" s="17"/>
      <c r="KC505" s="24"/>
      <c r="KD505" s="60"/>
      <c r="KE505" s="16"/>
      <c r="KF505" s="16"/>
      <c r="KG505" s="16"/>
      <c r="KH505" s="16"/>
      <c r="KI505" s="16"/>
      <c r="KJ505" s="17"/>
      <c r="KN505" s="24"/>
      <c r="KO505" s="60"/>
      <c r="KP505" s="16"/>
      <c r="KQ505" s="16"/>
      <c r="KR505" s="16"/>
      <c r="KS505" s="16"/>
      <c r="KT505" s="16"/>
      <c r="KU505" s="17"/>
      <c r="KY505" s="24"/>
      <c r="KZ505" s="60"/>
      <c r="LA505" s="16"/>
      <c r="LB505" s="16"/>
      <c r="LC505" s="16"/>
      <c r="LD505" s="16"/>
      <c r="LE505" s="16"/>
      <c r="LF505" s="17"/>
      <c r="LJ505" s="24"/>
      <c r="LK505" s="60"/>
      <c r="LL505" s="16"/>
      <c r="LM505" s="16"/>
      <c r="LN505" s="16"/>
      <c r="LO505" s="16"/>
      <c r="LP505" s="16"/>
      <c r="LQ505" s="17"/>
    </row>
    <row r="506">
      <c r="C506" s="31"/>
      <c r="D506" s="61"/>
      <c r="E506" s="16"/>
      <c r="F506" s="16"/>
      <c r="G506" s="21"/>
      <c r="H506" s="16"/>
      <c r="I506" s="16"/>
      <c r="J506" s="17"/>
      <c r="N506" s="17"/>
      <c r="O506" s="61"/>
      <c r="P506" s="16"/>
      <c r="Q506" s="16"/>
      <c r="R506" s="16"/>
      <c r="S506" s="16"/>
      <c r="T506" s="16"/>
      <c r="U506" s="17"/>
      <c r="Y506" s="24"/>
      <c r="Z506" s="61"/>
      <c r="AA506" s="16"/>
      <c r="AB506" s="16"/>
      <c r="AC506" s="16"/>
      <c r="AD506" s="16"/>
      <c r="AE506" s="16"/>
      <c r="AF506" s="17"/>
      <c r="AJ506" s="24"/>
      <c r="AK506" s="61"/>
      <c r="AL506" s="16"/>
      <c r="AM506" s="16"/>
      <c r="AN506" s="16"/>
      <c r="AO506" s="16"/>
      <c r="AP506" s="16"/>
      <c r="AQ506" s="17"/>
      <c r="AU506" s="24"/>
      <c r="AV506" s="61"/>
      <c r="AW506" s="16"/>
      <c r="AX506" s="16"/>
      <c r="AY506" s="16"/>
      <c r="AZ506" s="16"/>
      <c r="BA506" s="16"/>
      <c r="BB506" s="17"/>
      <c r="BF506" s="24"/>
      <c r="BG506" s="61"/>
      <c r="BH506" s="16"/>
      <c r="BI506" s="16"/>
      <c r="BJ506" s="16"/>
      <c r="BK506" s="16"/>
      <c r="BL506" s="16"/>
      <c r="BM506" s="17"/>
      <c r="BQ506" s="24"/>
      <c r="BR506" s="61"/>
      <c r="BS506" s="16"/>
      <c r="BT506" s="16"/>
      <c r="BU506" s="16"/>
      <c r="BV506" s="16"/>
      <c r="BW506" s="16"/>
      <c r="BX506" s="17"/>
      <c r="CB506" s="24"/>
      <c r="CC506" s="61"/>
      <c r="CD506" s="16"/>
      <c r="CE506" s="16"/>
      <c r="CF506" s="16"/>
      <c r="CG506" s="16"/>
      <c r="CH506" s="16"/>
      <c r="CI506" s="17"/>
      <c r="CM506" s="24"/>
      <c r="CN506" s="61"/>
      <c r="CO506" s="16"/>
      <c r="CP506" s="16"/>
      <c r="CQ506" s="16"/>
      <c r="CR506" s="16"/>
      <c r="CS506" s="16"/>
      <c r="CT506" s="17"/>
      <c r="CX506" s="24"/>
      <c r="CY506" s="60"/>
      <c r="CZ506" s="16"/>
      <c r="DA506" s="16"/>
      <c r="DB506" s="16"/>
      <c r="DC506" s="16"/>
      <c r="DD506" s="16"/>
      <c r="DE506" s="17"/>
      <c r="DI506" s="24"/>
      <c r="DJ506" s="60"/>
      <c r="DK506" s="16"/>
      <c r="DL506" s="16"/>
      <c r="DM506" s="16"/>
      <c r="DN506" s="16"/>
      <c r="DO506" s="16"/>
      <c r="DP506" s="17"/>
      <c r="DT506" s="24"/>
      <c r="DU506" s="60"/>
      <c r="DV506" s="16"/>
      <c r="DW506" s="16"/>
      <c r="DX506" s="16"/>
      <c r="DY506" s="16"/>
      <c r="DZ506" s="16"/>
      <c r="EA506" s="17"/>
      <c r="EE506" s="24"/>
      <c r="EF506" s="60"/>
      <c r="EG506" s="16"/>
      <c r="EH506" s="16"/>
      <c r="EI506" s="16"/>
      <c r="EJ506" s="16"/>
      <c r="EK506" s="16"/>
      <c r="EL506" s="17"/>
      <c r="EP506" s="24"/>
      <c r="EQ506" s="60"/>
      <c r="ER506" s="16"/>
      <c r="ES506" s="16"/>
      <c r="ET506" s="16"/>
      <c r="EU506" s="16"/>
      <c r="EV506" s="16"/>
      <c r="EW506" s="17"/>
      <c r="FA506" s="24"/>
      <c r="FB506" s="60"/>
      <c r="FC506" s="16"/>
      <c r="FD506" s="16"/>
      <c r="FE506" s="16"/>
      <c r="FF506" s="16"/>
      <c r="FG506" s="16"/>
      <c r="FH506" s="17"/>
      <c r="FL506" s="24"/>
      <c r="FM506" s="60"/>
      <c r="FN506" s="16"/>
      <c r="FO506" s="16"/>
      <c r="FP506" s="16"/>
      <c r="FQ506" s="16"/>
      <c r="FR506" s="16"/>
      <c r="FS506" s="17"/>
      <c r="FW506" s="24"/>
      <c r="FX506" s="60"/>
      <c r="FY506" s="16"/>
      <c r="FZ506" s="16"/>
      <c r="GA506" s="16"/>
      <c r="GB506" s="16"/>
      <c r="GC506" s="16"/>
      <c r="GD506" s="17"/>
      <c r="GH506" s="24"/>
      <c r="GI506" s="60"/>
      <c r="GJ506" s="16"/>
      <c r="GK506" s="16"/>
      <c r="GL506" s="16"/>
      <c r="GM506" s="16"/>
      <c r="GN506" s="16"/>
      <c r="GO506" s="17"/>
      <c r="GS506" s="24"/>
      <c r="GT506" s="60"/>
      <c r="GU506" s="16"/>
      <c r="GV506" s="16"/>
      <c r="GW506" s="16"/>
      <c r="GX506" s="16"/>
      <c r="GY506" s="16"/>
      <c r="GZ506" s="17"/>
      <c r="HD506" s="24"/>
      <c r="HE506" s="60"/>
      <c r="HF506" s="16"/>
      <c r="HG506" s="16"/>
      <c r="HH506" s="16"/>
      <c r="HI506" s="16"/>
      <c r="HJ506" s="16"/>
      <c r="HK506" s="17"/>
      <c r="HO506" s="24"/>
      <c r="HP506" s="60"/>
      <c r="HQ506" s="16"/>
      <c r="HR506" s="16"/>
      <c r="HS506" s="16"/>
      <c r="HT506" s="16"/>
      <c r="HU506" s="16"/>
      <c r="HV506" s="17"/>
      <c r="HZ506" s="24"/>
      <c r="IA506" s="60"/>
      <c r="IB506" s="16"/>
      <c r="IC506" s="16"/>
      <c r="ID506" s="16"/>
      <c r="IE506" s="16"/>
      <c r="IF506" s="16"/>
      <c r="IG506" s="17"/>
      <c r="IK506" s="24"/>
      <c r="IL506" s="60"/>
      <c r="IM506" s="16"/>
      <c r="IN506" s="16"/>
      <c r="IO506" s="16"/>
      <c r="IP506" s="16"/>
      <c r="IQ506" s="16"/>
      <c r="IR506" s="17"/>
      <c r="IV506" s="24"/>
      <c r="IW506" s="60"/>
      <c r="IX506" s="16"/>
      <c r="IY506" s="16"/>
      <c r="IZ506" s="16"/>
      <c r="JA506" s="16"/>
      <c r="JB506" s="16"/>
      <c r="JC506" s="17"/>
      <c r="JG506" s="24"/>
      <c r="JH506" s="60"/>
      <c r="JI506" s="16"/>
      <c r="JJ506" s="16"/>
      <c r="JK506" s="16"/>
      <c r="JL506" s="16"/>
      <c r="JM506" s="16"/>
      <c r="JN506" s="17"/>
      <c r="JR506" s="24"/>
      <c r="JS506" s="60"/>
      <c r="JT506" s="16"/>
      <c r="JU506" s="16"/>
      <c r="JV506" s="16"/>
      <c r="JW506" s="16"/>
      <c r="JX506" s="16"/>
      <c r="JY506" s="17"/>
      <c r="KC506" s="24"/>
      <c r="KD506" s="60"/>
      <c r="KE506" s="16"/>
      <c r="KF506" s="16"/>
      <c r="KG506" s="16"/>
      <c r="KH506" s="16"/>
      <c r="KI506" s="16"/>
      <c r="KJ506" s="17"/>
      <c r="KN506" s="24"/>
      <c r="KO506" s="60"/>
      <c r="KP506" s="16"/>
      <c r="KQ506" s="16"/>
      <c r="KR506" s="16"/>
      <c r="KS506" s="16"/>
      <c r="KT506" s="16"/>
      <c r="KU506" s="17"/>
      <c r="KY506" s="24"/>
      <c r="KZ506" s="60"/>
      <c r="LA506" s="16"/>
      <c r="LB506" s="16"/>
      <c r="LC506" s="16"/>
      <c r="LD506" s="16"/>
      <c r="LE506" s="16"/>
      <c r="LF506" s="17"/>
      <c r="LJ506" s="24"/>
      <c r="LK506" s="60"/>
      <c r="LL506" s="16"/>
      <c r="LM506" s="16"/>
      <c r="LN506" s="16"/>
      <c r="LO506" s="16"/>
      <c r="LP506" s="16"/>
      <c r="LQ506" s="17"/>
    </row>
    <row r="507">
      <c r="C507" s="31"/>
      <c r="D507" s="61"/>
      <c r="E507" s="16"/>
      <c r="F507" s="16"/>
      <c r="G507" s="21"/>
      <c r="H507" s="16"/>
      <c r="I507" s="16"/>
      <c r="J507" s="17"/>
      <c r="N507" s="17"/>
      <c r="O507" s="61"/>
      <c r="P507" s="16"/>
      <c r="Q507" s="16"/>
      <c r="R507" s="16"/>
      <c r="S507" s="16"/>
      <c r="T507" s="16"/>
      <c r="U507" s="17"/>
      <c r="Y507" s="24"/>
      <c r="Z507" s="61"/>
      <c r="AA507" s="16"/>
      <c r="AB507" s="16"/>
      <c r="AC507" s="16"/>
      <c r="AD507" s="16"/>
      <c r="AE507" s="16"/>
      <c r="AF507" s="17"/>
      <c r="AJ507" s="24"/>
      <c r="AK507" s="61"/>
      <c r="AL507" s="16"/>
      <c r="AM507" s="16"/>
      <c r="AN507" s="16"/>
      <c r="AO507" s="16"/>
      <c r="AP507" s="16"/>
      <c r="AQ507" s="17"/>
      <c r="AU507" s="24"/>
      <c r="AV507" s="61"/>
      <c r="AW507" s="16"/>
      <c r="AX507" s="16"/>
      <c r="AY507" s="16"/>
      <c r="AZ507" s="16"/>
      <c r="BA507" s="16"/>
      <c r="BB507" s="17"/>
      <c r="BF507" s="24"/>
      <c r="BG507" s="61"/>
      <c r="BH507" s="16"/>
      <c r="BI507" s="16"/>
      <c r="BJ507" s="16"/>
      <c r="BK507" s="16"/>
      <c r="BL507" s="16"/>
      <c r="BM507" s="17"/>
      <c r="BQ507" s="24"/>
      <c r="BR507" s="61"/>
      <c r="BS507" s="16"/>
      <c r="BT507" s="16"/>
      <c r="BU507" s="16"/>
      <c r="BV507" s="16"/>
      <c r="BW507" s="16"/>
      <c r="BX507" s="17"/>
      <c r="CB507" s="24"/>
      <c r="CC507" s="61"/>
      <c r="CD507" s="16"/>
      <c r="CE507" s="16"/>
      <c r="CF507" s="16"/>
      <c r="CG507" s="16"/>
      <c r="CH507" s="16"/>
      <c r="CI507" s="17"/>
      <c r="CM507" s="24"/>
      <c r="CN507" s="61"/>
      <c r="CO507" s="16"/>
      <c r="CP507" s="16"/>
      <c r="CQ507" s="16"/>
      <c r="CR507" s="16"/>
      <c r="CS507" s="16"/>
      <c r="CT507" s="17"/>
      <c r="CX507" s="24"/>
      <c r="CY507" s="60"/>
      <c r="CZ507" s="16"/>
      <c r="DA507" s="16"/>
      <c r="DB507" s="16"/>
      <c r="DC507" s="16"/>
      <c r="DD507" s="16"/>
      <c r="DE507" s="17"/>
      <c r="DI507" s="24"/>
      <c r="DJ507" s="60"/>
      <c r="DK507" s="16"/>
      <c r="DL507" s="16"/>
      <c r="DM507" s="16"/>
      <c r="DN507" s="16"/>
      <c r="DO507" s="16"/>
      <c r="DP507" s="17"/>
      <c r="DT507" s="24"/>
      <c r="DU507" s="60"/>
      <c r="DV507" s="16"/>
      <c r="DW507" s="16"/>
      <c r="DX507" s="16"/>
      <c r="DY507" s="16"/>
      <c r="DZ507" s="16"/>
      <c r="EA507" s="17"/>
      <c r="EE507" s="24"/>
      <c r="EF507" s="60"/>
      <c r="EG507" s="16"/>
      <c r="EH507" s="16"/>
      <c r="EI507" s="16"/>
      <c r="EJ507" s="16"/>
      <c r="EK507" s="16"/>
      <c r="EL507" s="17"/>
      <c r="EP507" s="24"/>
      <c r="EQ507" s="60"/>
      <c r="ER507" s="16"/>
      <c r="ES507" s="16"/>
      <c r="ET507" s="16"/>
      <c r="EU507" s="16"/>
      <c r="EV507" s="16"/>
      <c r="EW507" s="17"/>
      <c r="FA507" s="24"/>
      <c r="FB507" s="60"/>
      <c r="FC507" s="16"/>
      <c r="FD507" s="16"/>
      <c r="FE507" s="16"/>
      <c r="FF507" s="16"/>
      <c r="FG507" s="16"/>
      <c r="FH507" s="17"/>
      <c r="FL507" s="24"/>
      <c r="FM507" s="60"/>
      <c r="FN507" s="16"/>
      <c r="FO507" s="16"/>
      <c r="FP507" s="16"/>
      <c r="FQ507" s="16"/>
      <c r="FR507" s="16"/>
      <c r="FS507" s="17"/>
      <c r="FW507" s="24"/>
      <c r="FX507" s="60"/>
      <c r="FY507" s="16"/>
      <c r="FZ507" s="16"/>
      <c r="GA507" s="16"/>
      <c r="GB507" s="16"/>
      <c r="GC507" s="16"/>
      <c r="GD507" s="17"/>
      <c r="GH507" s="24"/>
      <c r="GI507" s="60"/>
      <c r="GJ507" s="16"/>
      <c r="GK507" s="16"/>
      <c r="GL507" s="16"/>
      <c r="GM507" s="16"/>
      <c r="GN507" s="16"/>
      <c r="GO507" s="17"/>
      <c r="GS507" s="24"/>
      <c r="GT507" s="60"/>
      <c r="GU507" s="16"/>
      <c r="GV507" s="16"/>
      <c r="GW507" s="16"/>
      <c r="GX507" s="16"/>
      <c r="GY507" s="16"/>
      <c r="GZ507" s="17"/>
      <c r="HD507" s="24"/>
      <c r="HE507" s="60"/>
      <c r="HF507" s="16"/>
      <c r="HG507" s="16"/>
      <c r="HH507" s="16"/>
      <c r="HI507" s="16"/>
      <c r="HJ507" s="16"/>
      <c r="HK507" s="17"/>
      <c r="HO507" s="24"/>
      <c r="HP507" s="60"/>
      <c r="HQ507" s="16"/>
      <c r="HR507" s="16"/>
      <c r="HS507" s="16"/>
      <c r="HT507" s="16"/>
      <c r="HU507" s="16"/>
      <c r="HV507" s="17"/>
      <c r="HZ507" s="24"/>
      <c r="IA507" s="60"/>
      <c r="IB507" s="16"/>
      <c r="IC507" s="16"/>
      <c r="ID507" s="16"/>
      <c r="IE507" s="16"/>
      <c r="IF507" s="16"/>
      <c r="IG507" s="17"/>
      <c r="IK507" s="24"/>
      <c r="IL507" s="60"/>
      <c r="IM507" s="16"/>
      <c r="IN507" s="16"/>
      <c r="IO507" s="16"/>
      <c r="IP507" s="16"/>
      <c r="IQ507" s="16"/>
      <c r="IR507" s="17"/>
      <c r="IV507" s="24"/>
      <c r="IW507" s="60"/>
      <c r="IX507" s="16"/>
      <c r="IY507" s="16"/>
      <c r="IZ507" s="16"/>
      <c r="JA507" s="16"/>
      <c r="JB507" s="16"/>
      <c r="JC507" s="17"/>
      <c r="JG507" s="24"/>
      <c r="JH507" s="60"/>
      <c r="JI507" s="16"/>
      <c r="JJ507" s="16"/>
      <c r="JK507" s="16"/>
      <c r="JL507" s="16"/>
      <c r="JM507" s="16"/>
      <c r="JN507" s="17"/>
      <c r="JR507" s="24"/>
      <c r="JS507" s="60"/>
      <c r="JT507" s="16"/>
      <c r="JU507" s="16"/>
      <c r="JV507" s="16"/>
      <c r="JW507" s="16"/>
      <c r="JX507" s="16"/>
      <c r="JY507" s="17"/>
      <c r="KC507" s="24"/>
      <c r="KD507" s="60"/>
      <c r="KE507" s="16"/>
      <c r="KF507" s="16"/>
      <c r="KG507" s="16"/>
      <c r="KH507" s="16"/>
      <c r="KI507" s="16"/>
      <c r="KJ507" s="17"/>
      <c r="KN507" s="24"/>
      <c r="KO507" s="60"/>
      <c r="KP507" s="16"/>
      <c r="KQ507" s="16"/>
      <c r="KR507" s="16"/>
      <c r="KS507" s="16"/>
      <c r="KT507" s="16"/>
      <c r="KU507" s="17"/>
      <c r="KY507" s="24"/>
      <c r="KZ507" s="60"/>
      <c r="LA507" s="16"/>
      <c r="LB507" s="16"/>
      <c r="LC507" s="16"/>
      <c r="LD507" s="16"/>
      <c r="LE507" s="16"/>
      <c r="LF507" s="17"/>
      <c r="LJ507" s="24"/>
      <c r="LK507" s="60"/>
      <c r="LL507" s="16"/>
      <c r="LM507" s="16"/>
      <c r="LN507" s="16"/>
      <c r="LO507" s="16"/>
      <c r="LP507" s="16"/>
      <c r="LQ507" s="17"/>
    </row>
    <row r="508">
      <c r="C508" s="31"/>
      <c r="D508" s="61"/>
      <c r="E508" s="16"/>
      <c r="F508" s="16"/>
      <c r="G508" s="21"/>
      <c r="H508" s="16"/>
      <c r="I508" s="16"/>
      <c r="J508" s="17"/>
      <c r="N508" s="17"/>
      <c r="O508" s="61"/>
      <c r="P508" s="16"/>
      <c r="Q508" s="16"/>
      <c r="R508" s="16"/>
      <c r="S508" s="16"/>
      <c r="T508" s="16"/>
      <c r="U508" s="17"/>
      <c r="Y508" s="24"/>
      <c r="Z508" s="61"/>
      <c r="AA508" s="16"/>
      <c r="AB508" s="16"/>
      <c r="AC508" s="16"/>
      <c r="AD508" s="16"/>
      <c r="AE508" s="16"/>
      <c r="AF508" s="17"/>
      <c r="AJ508" s="24"/>
      <c r="AK508" s="61"/>
      <c r="AL508" s="16"/>
      <c r="AM508" s="16"/>
      <c r="AN508" s="16"/>
      <c r="AO508" s="16"/>
      <c r="AP508" s="16"/>
      <c r="AQ508" s="17"/>
      <c r="AU508" s="24"/>
      <c r="AV508" s="61"/>
      <c r="AW508" s="16"/>
      <c r="AX508" s="16"/>
      <c r="AY508" s="16"/>
      <c r="AZ508" s="16"/>
      <c r="BA508" s="16"/>
      <c r="BB508" s="17"/>
      <c r="BF508" s="24"/>
      <c r="BG508" s="61"/>
      <c r="BH508" s="16"/>
      <c r="BI508" s="16"/>
      <c r="BJ508" s="16"/>
      <c r="BK508" s="16"/>
      <c r="BL508" s="16"/>
      <c r="BM508" s="17"/>
      <c r="BQ508" s="24"/>
      <c r="BR508" s="61"/>
      <c r="BS508" s="16"/>
      <c r="BT508" s="16"/>
      <c r="BU508" s="16"/>
      <c r="BV508" s="16"/>
      <c r="BW508" s="16"/>
      <c r="BX508" s="17"/>
      <c r="CB508" s="24"/>
      <c r="CC508" s="61"/>
      <c r="CD508" s="16"/>
      <c r="CE508" s="16"/>
      <c r="CF508" s="16"/>
      <c r="CG508" s="16"/>
      <c r="CH508" s="16"/>
      <c r="CI508" s="17"/>
      <c r="CM508" s="24"/>
      <c r="CN508" s="61"/>
      <c r="CO508" s="16"/>
      <c r="CP508" s="16"/>
      <c r="CQ508" s="16"/>
      <c r="CR508" s="16"/>
      <c r="CS508" s="16"/>
      <c r="CT508" s="17"/>
      <c r="CX508" s="24"/>
      <c r="CY508" s="60"/>
      <c r="CZ508" s="16"/>
      <c r="DA508" s="16"/>
      <c r="DB508" s="16"/>
      <c r="DC508" s="16"/>
      <c r="DD508" s="16"/>
      <c r="DE508" s="17"/>
      <c r="DI508" s="24"/>
      <c r="DJ508" s="60"/>
      <c r="DK508" s="16"/>
      <c r="DL508" s="16"/>
      <c r="DM508" s="16"/>
      <c r="DN508" s="16"/>
      <c r="DO508" s="16"/>
      <c r="DP508" s="17"/>
      <c r="DT508" s="24"/>
      <c r="DU508" s="60"/>
      <c r="DV508" s="16"/>
      <c r="DW508" s="16"/>
      <c r="DX508" s="16"/>
      <c r="DY508" s="16"/>
      <c r="DZ508" s="16"/>
      <c r="EA508" s="17"/>
      <c r="EE508" s="24"/>
      <c r="EF508" s="60"/>
      <c r="EG508" s="16"/>
      <c r="EH508" s="16"/>
      <c r="EI508" s="16"/>
      <c r="EJ508" s="16"/>
      <c r="EK508" s="16"/>
      <c r="EL508" s="17"/>
      <c r="EP508" s="24"/>
      <c r="EQ508" s="60"/>
      <c r="ER508" s="16"/>
      <c r="ES508" s="16"/>
      <c r="ET508" s="16"/>
      <c r="EU508" s="16"/>
      <c r="EV508" s="16"/>
      <c r="EW508" s="17"/>
      <c r="FA508" s="24"/>
      <c r="FB508" s="60"/>
      <c r="FC508" s="16"/>
      <c r="FD508" s="16"/>
      <c r="FE508" s="16"/>
      <c r="FF508" s="16"/>
      <c r="FG508" s="16"/>
      <c r="FH508" s="17"/>
      <c r="FL508" s="24"/>
      <c r="FM508" s="60"/>
      <c r="FN508" s="16"/>
      <c r="FO508" s="16"/>
      <c r="FP508" s="16"/>
      <c r="FQ508" s="16"/>
      <c r="FR508" s="16"/>
      <c r="FS508" s="17"/>
      <c r="FW508" s="24"/>
      <c r="FX508" s="60"/>
      <c r="FY508" s="16"/>
      <c r="FZ508" s="16"/>
      <c r="GA508" s="16"/>
      <c r="GB508" s="16"/>
      <c r="GC508" s="16"/>
      <c r="GD508" s="17"/>
      <c r="GH508" s="24"/>
      <c r="GI508" s="60"/>
      <c r="GJ508" s="16"/>
      <c r="GK508" s="16"/>
      <c r="GL508" s="16"/>
      <c r="GM508" s="16"/>
      <c r="GN508" s="16"/>
      <c r="GO508" s="17"/>
      <c r="GS508" s="24"/>
      <c r="GT508" s="60"/>
      <c r="GU508" s="16"/>
      <c r="GV508" s="16"/>
      <c r="GW508" s="16"/>
      <c r="GX508" s="16"/>
      <c r="GY508" s="16"/>
      <c r="GZ508" s="17"/>
      <c r="HD508" s="24"/>
      <c r="HE508" s="60"/>
      <c r="HF508" s="16"/>
      <c r="HG508" s="16"/>
      <c r="HH508" s="16"/>
      <c r="HI508" s="16"/>
      <c r="HJ508" s="16"/>
      <c r="HK508" s="17"/>
      <c r="HO508" s="24"/>
      <c r="HP508" s="60"/>
      <c r="HQ508" s="16"/>
      <c r="HR508" s="16"/>
      <c r="HS508" s="16"/>
      <c r="HT508" s="16"/>
      <c r="HU508" s="16"/>
      <c r="HV508" s="17"/>
      <c r="HZ508" s="24"/>
      <c r="IA508" s="60"/>
      <c r="IB508" s="16"/>
      <c r="IC508" s="16"/>
      <c r="ID508" s="16"/>
      <c r="IE508" s="16"/>
      <c r="IF508" s="16"/>
      <c r="IG508" s="17"/>
      <c r="IK508" s="24"/>
      <c r="IL508" s="60"/>
      <c r="IM508" s="16"/>
      <c r="IN508" s="16"/>
      <c r="IO508" s="16"/>
      <c r="IP508" s="16"/>
      <c r="IQ508" s="16"/>
      <c r="IR508" s="17"/>
      <c r="IV508" s="24"/>
      <c r="IW508" s="60"/>
      <c r="IX508" s="16"/>
      <c r="IY508" s="16"/>
      <c r="IZ508" s="16"/>
      <c r="JA508" s="16"/>
      <c r="JB508" s="16"/>
      <c r="JC508" s="17"/>
      <c r="JG508" s="24"/>
      <c r="JH508" s="60"/>
      <c r="JI508" s="16"/>
      <c r="JJ508" s="16"/>
      <c r="JK508" s="16"/>
      <c r="JL508" s="16"/>
      <c r="JM508" s="16"/>
      <c r="JN508" s="17"/>
      <c r="JR508" s="24"/>
      <c r="JS508" s="60"/>
      <c r="JT508" s="16"/>
      <c r="JU508" s="16"/>
      <c r="JV508" s="16"/>
      <c r="JW508" s="16"/>
      <c r="JX508" s="16"/>
      <c r="JY508" s="17"/>
      <c r="KC508" s="24"/>
      <c r="KD508" s="60"/>
      <c r="KE508" s="16"/>
      <c r="KF508" s="16"/>
      <c r="KG508" s="16"/>
      <c r="KH508" s="16"/>
      <c r="KI508" s="16"/>
      <c r="KJ508" s="17"/>
      <c r="KN508" s="24"/>
      <c r="KO508" s="60"/>
      <c r="KP508" s="16"/>
      <c r="KQ508" s="16"/>
      <c r="KR508" s="16"/>
      <c r="KS508" s="16"/>
      <c r="KT508" s="16"/>
      <c r="KU508" s="17"/>
      <c r="KY508" s="24"/>
      <c r="KZ508" s="60"/>
      <c r="LA508" s="16"/>
      <c r="LB508" s="16"/>
      <c r="LC508" s="16"/>
      <c r="LD508" s="16"/>
      <c r="LE508" s="16"/>
      <c r="LF508" s="17"/>
      <c r="LJ508" s="24"/>
      <c r="LK508" s="60"/>
      <c r="LL508" s="16"/>
      <c r="LM508" s="16"/>
      <c r="LN508" s="16"/>
      <c r="LO508" s="16"/>
      <c r="LP508" s="16"/>
      <c r="LQ508" s="17"/>
    </row>
    <row r="509">
      <c r="C509" s="31"/>
      <c r="D509" s="61"/>
      <c r="E509" s="16"/>
      <c r="F509" s="16"/>
      <c r="G509" s="21"/>
      <c r="H509" s="16"/>
      <c r="I509" s="16"/>
      <c r="J509" s="17"/>
      <c r="N509" s="17"/>
      <c r="O509" s="61"/>
      <c r="P509" s="16"/>
      <c r="Q509" s="16"/>
      <c r="R509" s="16"/>
      <c r="S509" s="16"/>
      <c r="T509" s="16"/>
      <c r="U509" s="17"/>
      <c r="Y509" s="24"/>
      <c r="Z509" s="61"/>
      <c r="AA509" s="16"/>
      <c r="AB509" s="16"/>
      <c r="AC509" s="16"/>
      <c r="AD509" s="16"/>
      <c r="AE509" s="16"/>
      <c r="AF509" s="17"/>
      <c r="AJ509" s="24"/>
      <c r="AK509" s="61"/>
      <c r="AL509" s="16"/>
      <c r="AM509" s="16"/>
      <c r="AN509" s="16"/>
      <c r="AO509" s="16"/>
      <c r="AP509" s="16"/>
      <c r="AQ509" s="17"/>
      <c r="AU509" s="24"/>
      <c r="AV509" s="61"/>
      <c r="AW509" s="16"/>
      <c r="AX509" s="16"/>
      <c r="AY509" s="16"/>
      <c r="AZ509" s="16"/>
      <c r="BA509" s="16"/>
      <c r="BB509" s="17"/>
      <c r="BF509" s="24"/>
      <c r="BG509" s="61"/>
      <c r="BH509" s="16"/>
      <c r="BI509" s="16"/>
      <c r="BJ509" s="16"/>
      <c r="BK509" s="16"/>
      <c r="BL509" s="16"/>
      <c r="BM509" s="17"/>
      <c r="BQ509" s="24"/>
      <c r="BR509" s="61"/>
      <c r="BS509" s="16"/>
      <c r="BT509" s="16"/>
      <c r="BU509" s="16"/>
      <c r="BV509" s="16"/>
      <c r="BW509" s="16"/>
      <c r="BX509" s="17"/>
      <c r="CB509" s="24"/>
      <c r="CC509" s="61"/>
      <c r="CD509" s="16"/>
      <c r="CE509" s="16"/>
      <c r="CF509" s="16"/>
      <c r="CG509" s="16"/>
      <c r="CH509" s="16"/>
      <c r="CI509" s="17"/>
      <c r="CM509" s="24"/>
      <c r="CN509" s="61"/>
      <c r="CO509" s="16"/>
      <c r="CP509" s="16"/>
      <c r="CQ509" s="16"/>
      <c r="CR509" s="16"/>
      <c r="CS509" s="16"/>
      <c r="CT509" s="17"/>
      <c r="CX509" s="24"/>
      <c r="CY509" s="60"/>
      <c r="CZ509" s="16"/>
      <c r="DA509" s="16"/>
      <c r="DB509" s="16"/>
      <c r="DC509" s="16"/>
      <c r="DD509" s="16"/>
      <c r="DE509" s="17"/>
      <c r="DI509" s="24"/>
      <c r="DJ509" s="60"/>
      <c r="DK509" s="16"/>
      <c r="DL509" s="16"/>
      <c r="DM509" s="16"/>
      <c r="DN509" s="16"/>
      <c r="DO509" s="16"/>
      <c r="DP509" s="17"/>
      <c r="DT509" s="24"/>
      <c r="DU509" s="60"/>
      <c r="DV509" s="16"/>
      <c r="DW509" s="16"/>
      <c r="DX509" s="16"/>
      <c r="DY509" s="16"/>
      <c r="DZ509" s="16"/>
      <c r="EA509" s="17"/>
      <c r="EE509" s="24"/>
      <c r="EF509" s="60"/>
      <c r="EG509" s="16"/>
      <c r="EH509" s="16"/>
      <c r="EI509" s="16"/>
      <c r="EJ509" s="16"/>
      <c r="EK509" s="16"/>
      <c r="EL509" s="17"/>
      <c r="EP509" s="24"/>
      <c r="EQ509" s="60"/>
      <c r="ER509" s="16"/>
      <c r="ES509" s="16"/>
      <c r="ET509" s="16"/>
      <c r="EU509" s="16"/>
      <c r="EV509" s="16"/>
      <c r="EW509" s="17"/>
      <c r="FA509" s="24"/>
      <c r="FB509" s="60"/>
      <c r="FC509" s="16"/>
      <c r="FD509" s="16"/>
      <c r="FE509" s="16"/>
      <c r="FF509" s="16"/>
      <c r="FG509" s="16"/>
      <c r="FH509" s="17"/>
      <c r="FL509" s="24"/>
      <c r="FM509" s="60"/>
      <c r="FN509" s="16"/>
      <c r="FO509" s="16"/>
      <c r="FP509" s="16"/>
      <c r="FQ509" s="16"/>
      <c r="FR509" s="16"/>
      <c r="FS509" s="17"/>
      <c r="FW509" s="24"/>
      <c r="FX509" s="60"/>
      <c r="FY509" s="16"/>
      <c r="FZ509" s="16"/>
      <c r="GA509" s="16"/>
      <c r="GB509" s="16"/>
      <c r="GC509" s="16"/>
      <c r="GD509" s="17"/>
      <c r="GH509" s="24"/>
      <c r="GI509" s="60"/>
      <c r="GJ509" s="16"/>
      <c r="GK509" s="16"/>
      <c r="GL509" s="16"/>
      <c r="GM509" s="16"/>
      <c r="GN509" s="16"/>
      <c r="GO509" s="17"/>
      <c r="GS509" s="24"/>
      <c r="GT509" s="60"/>
      <c r="GU509" s="16"/>
      <c r="GV509" s="16"/>
      <c r="GW509" s="16"/>
      <c r="GX509" s="16"/>
      <c r="GY509" s="16"/>
      <c r="GZ509" s="17"/>
      <c r="HD509" s="24"/>
      <c r="HE509" s="60"/>
      <c r="HF509" s="16"/>
      <c r="HG509" s="16"/>
      <c r="HH509" s="16"/>
      <c r="HI509" s="16"/>
      <c r="HJ509" s="16"/>
      <c r="HK509" s="17"/>
      <c r="HO509" s="24"/>
      <c r="HP509" s="60"/>
      <c r="HQ509" s="16"/>
      <c r="HR509" s="16"/>
      <c r="HS509" s="16"/>
      <c r="HT509" s="16"/>
      <c r="HU509" s="16"/>
      <c r="HV509" s="17"/>
      <c r="HZ509" s="24"/>
      <c r="IA509" s="60"/>
      <c r="IB509" s="16"/>
      <c r="IC509" s="16"/>
      <c r="ID509" s="16"/>
      <c r="IE509" s="16"/>
      <c r="IF509" s="16"/>
      <c r="IG509" s="17"/>
      <c r="IK509" s="24"/>
      <c r="IL509" s="60"/>
      <c r="IM509" s="16"/>
      <c r="IN509" s="16"/>
      <c r="IO509" s="16"/>
      <c r="IP509" s="16"/>
      <c r="IQ509" s="16"/>
      <c r="IR509" s="17"/>
      <c r="IV509" s="24"/>
      <c r="IW509" s="60"/>
      <c r="IX509" s="16"/>
      <c r="IY509" s="16"/>
      <c r="IZ509" s="16"/>
      <c r="JA509" s="16"/>
      <c r="JB509" s="16"/>
      <c r="JC509" s="17"/>
      <c r="JG509" s="24"/>
      <c r="JH509" s="60"/>
      <c r="JI509" s="16"/>
      <c r="JJ509" s="16"/>
      <c r="JK509" s="16"/>
      <c r="JL509" s="16"/>
      <c r="JM509" s="16"/>
      <c r="JN509" s="17"/>
      <c r="JR509" s="24"/>
      <c r="JS509" s="60"/>
      <c r="JT509" s="16"/>
      <c r="JU509" s="16"/>
      <c r="JV509" s="16"/>
      <c r="JW509" s="16"/>
      <c r="JX509" s="16"/>
      <c r="JY509" s="17"/>
      <c r="KC509" s="24"/>
      <c r="KD509" s="60"/>
      <c r="KE509" s="16"/>
      <c r="KF509" s="16"/>
      <c r="KG509" s="16"/>
      <c r="KH509" s="16"/>
      <c r="KI509" s="16"/>
      <c r="KJ509" s="17"/>
      <c r="KN509" s="24"/>
      <c r="KO509" s="60"/>
      <c r="KP509" s="16"/>
      <c r="KQ509" s="16"/>
      <c r="KR509" s="16"/>
      <c r="KS509" s="16"/>
      <c r="KT509" s="16"/>
      <c r="KU509" s="17"/>
      <c r="KY509" s="24"/>
      <c r="KZ509" s="60"/>
      <c r="LA509" s="16"/>
      <c r="LB509" s="16"/>
      <c r="LC509" s="16"/>
      <c r="LD509" s="16"/>
      <c r="LE509" s="16"/>
      <c r="LF509" s="17"/>
      <c r="LJ509" s="24"/>
      <c r="LK509" s="60"/>
      <c r="LL509" s="16"/>
      <c r="LM509" s="16"/>
      <c r="LN509" s="16"/>
      <c r="LO509" s="16"/>
      <c r="LP509" s="16"/>
      <c r="LQ509" s="17"/>
    </row>
    <row r="510">
      <c r="C510" s="31"/>
      <c r="D510" s="61"/>
      <c r="E510" s="16"/>
      <c r="F510" s="16"/>
      <c r="G510" s="21"/>
      <c r="H510" s="16"/>
      <c r="I510" s="16"/>
      <c r="J510" s="17"/>
      <c r="N510" s="17"/>
      <c r="O510" s="61"/>
      <c r="P510" s="16"/>
      <c r="Q510" s="16"/>
      <c r="R510" s="16"/>
      <c r="S510" s="16"/>
      <c r="T510" s="16"/>
      <c r="U510" s="17"/>
      <c r="Y510" s="24"/>
      <c r="Z510" s="61"/>
      <c r="AA510" s="16"/>
      <c r="AB510" s="16"/>
      <c r="AC510" s="16"/>
      <c r="AD510" s="16"/>
      <c r="AE510" s="16"/>
      <c r="AF510" s="17"/>
      <c r="AJ510" s="24"/>
      <c r="AK510" s="61"/>
      <c r="AL510" s="16"/>
      <c r="AM510" s="16"/>
      <c r="AN510" s="16"/>
      <c r="AO510" s="16"/>
      <c r="AP510" s="16"/>
      <c r="AQ510" s="17"/>
      <c r="AU510" s="24"/>
      <c r="AV510" s="61"/>
      <c r="AW510" s="16"/>
      <c r="AX510" s="16"/>
      <c r="AY510" s="16"/>
      <c r="AZ510" s="16"/>
      <c r="BA510" s="16"/>
      <c r="BB510" s="17"/>
      <c r="BF510" s="24"/>
      <c r="BG510" s="61"/>
      <c r="BH510" s="16"/>
      <c r="BI510" s="16"/>
      <c r="BJ510" s="16"/>
      <c r="BK510" s="16"/>
      <c r="BL510" s="16"/>
      <c r="BM510" s="17"/>
      <c r="BQ510" s="24"/>
      <c r="BR510" s="61"/>
      <c r="BS510" s="16"/>
      <c r="BT510" s="16"/>
      <c r="BU510" s="16"/>
      <c r="BV510" s="16"/>
      <c r="BW510" s="16"/>
      <c r="BX510" s="17"/>
      <c r="CB510" s="24"/>
      <c r="CC510" s="61"/>
      <c r="CD510" s="16"/>
      <c r="CE510" s="16"/>
      <c r="CF510" s="16"/>
      <c r="CG510" s="16"/>
      <c r="CH510" s="16"/>
      <c r="CI510" s="17"/>
      <c r="CM510" s="24"/>
      <c r="CN510" s="61"/>
      <c r="CO510" s="16"/>
      <c r="CP510" s="16"/>
      <c r="CQ510" s="16"/>
      <c r="CR510" s="16"/>
      <c r="CS510" s="16"/>
      <c r="CT510" s="17"/>
      <c r="CX510" s="24"/>
      <c r="CY510" s="60"/>
      <c r="CZ510" s="16"/>
      <c r="DA510" s="16"/>
      <c r="DB510" s="16"/>
      <c r="DC510" s="16"/>
      <c r="DD510" s="16"/>
      <c r="DE510" s="17"/>
      <c r="DI510" s="24"/>
      <c r="DJ510" s="60"/>
      <c r="DK510" s="16"/>
      <c r="DL510" s="16"/>
      <c r="DM510" s="16"/>
      <c r="DN510" s="16"/>
      <c r="DO510" s="16"/>
      <c r="DP510" s="17"/>
      <c r="DT510" s="24"/>
      <c r="DU510" s="60"/>
      <c r="DV510" s="16"/>
      <c r="DW510" s="16"/>
      <c r="DX510" s="16"/>
      <c r="DY510" s="16"/>
      <c r="DZ510" s="16"/>
      <c r="EA510" s="17"/>
      <c r="EE510" s="24"/>
      <c r="EF510" s="60"/>
      <c r="EG510" s="16"/>
      <c r="EH510" s="16"/>
      <c r="EI510" s="16"/>
      <c r="EJ510" s="16"/>
      <c r="EK510" s="16"/>
      <c r="EL510" s="17"/>
      <c r="EP510" s="24"/>
      <c r="EQ510" s="60"/>
      <c r="ER510" s="16"/>
      <c r="ES510" s="16"/>
      <c r="ET510" s="16"/>
      <c r="EU510" s="16"/>
      <c r="EV510" s="16"/>
      <c r="EW510" s="17"/>
      <c r="FA510" s="24"/>
      <c r="FB510" s="60"/>
      <c r="FC510" s="16"/>
      <c r="FD510" s="16"/>
      <c r="FE510" s="16"/>
      <c r="FF510" s="16"/>
      <c r="FG510" s="16"/>
      <c r="FH510" s="17"/>
      <c r="FL510" s="24"/>
      <c r="FM510" s="60"/>
      <c r="FN510" s="16"/>
      <c r="FO510" s="16"/>
      <c r="FP510" s="16"/>
      <c r="FQ510" s="16"/>
      <c r="FR510" s="16"/>
      <c r="FS510" s="17"/>
      <c r="FW510" s="24"/>
      <c r="FX510" s="60"/>
      <c r="FY510" s="16"/>
      <c r="FZ510" s="16"/>
      <c r="GA510" s="16"/>
      <c r="GB510" s="16"/>
      <c r="GC510" s="16"/>
      <c r="GD510" s="17"/>
      <c r="GH510" s="24"/>
      <c r="GI510" s="60"/>
      <c r="GJ510" s="16"/>
      <c r="GK510" s="16"/>
      <c r="GL510" s="16"/>
      <c r="GM510" s="16"/>
      <c r="GN510" s="16"/>
      <c r="GO510" s="17"/>
      <c r="GS510" s="24"/>
      <c r="GT510" s="60"/>
      <c r="GU510" s="16"/>
      <c r="GV510" s="16"/>
      <c r="GW510" s="16"/>
      <c r="GX510" s="16"/>
      <c r="GY510" s="16"/>
      <c r="GZ510" s="17"/>
      <c r="HD510" s="24"/>
      <c r="HE510" s="60"/>
      <c r="HF510" s="16"/>
      <c r="HG510" s="16"/>
      <c r="HH510" s="16"/>
      <c r="HI510" s="16"/>
      <c r="HJ510" s="16"/>
      <c r="HK510" s="17"/>
      <c r="HO510" s="24"/>
      <c r="HP510" s="60"/>
      <c r="HQ510" s="16"/>
      <c r="HR510" s="16"/>
      <c r="HS510" s="16"/>
      <c r="HT510" s="16"/>
      <c r="HU510" s="16"/>
      <c r="HV510" s="17"/>
      <c r="HZ510" s="24"/>
      <c r="IA510" s="60"/>
      <c r="IB510" s="16"/>
      <c r="IC510" s="16"/>
      <c r="ID510" s="16"/>
      <c r="IE510" s="16"/>
      <c r="IF510" s="16"/>
      <c r="IG510" s="17"/>
      <c r="IK510" s="24"/>
      <c r="IL510" s="60"/>
      <c r="IM510" s="16"/>
      <c r="IN510" s="16"/>
      <c r="IO510" s="16"/>
      <c r="IP510" s="16"/>
      <c r="IQ510" s="16"/>
      <c r="IR510" s="17"/>
      <c r="IV510" s="24"/>
      <c r="IW510" s="60"/>
      <c r="IX510" s="16"/>
      <c r="IY510" s="16"/>
      <c r="IZ510" s="16"/>
      <c r="JA510" s="16"/>
      <c r="JB510" s="16"/>
      <c r="JC510" s="17"/>
      <c r="JG510" s="24"/>
      <c r="JH510" s="60"/>
      <c r="JI510" s="16"/>
      <c r="JJ510" s="16"/>
      <c r="JK510" s="16"/>
      <c r="JL510" s="16"/>
      <c r="JM510" s="16"/>
      <c r="JN510" s="17"/>
      <c r="JR510" s="24"/>
      <c r="JS510" s="60"/>
      <c r="JT510" s="16"/>
      <c r="JU510" s="16"/>
      <c r="JV510" s="16"/>
      <c r="JW510" s="16"/>
      <c r="JX510" s="16"/>
      <c r="JY510" s="17"/>
      <c r="KC510" s="24"/>
      <c r="KD510" s="60"/>
      <c r="KE510" s="16"/>
      <c r="KF510" s="16"/>
      <c r="KG510" s="16"/>
      <c r="KH510" s="16"/>
      <c r="KI510" s="16"/>
      <c r="KJ510" s="17"/>
      <c r="KN510" s="24"/>
      <c r="KO510" s="60"/>
      <c r="KP510" s="16"/>
      <c r="KQ510" s="16"/>
      <c r="KR510" s="16"/>
      <c r="KS510" s="16"/>
      <c r="KT510" s="16"/>
      <c r="KU510" s="17"/>
      <c r="KY510" s="24"/>
      <c r="KZ510" s="60"/>
      <c r="LA510" s="16"/>
      <c r="LB510" s="16"/>
      <c r="LC510" s="16"/>
      <c r="LD510" s="16"/>
      <c r="LE510" s="16"/>
      <c r="LF510" s="17"/>
      <c r="LJ510" s="24"/>
      <c r="LK510" s="60"/>
      <c r="LL510" s="16"/>
      <c r="LM510" s="16"/>
      <c r="LN510" s="16"/>
      <c r="LO510" s="16"/>
      <c r="LP510" s="16"/>
      <c r="LQ510" s="17"/>
    </row>
    <row r="511">
      <c r="C511" s="31"/>
      <c r="D511" s="61"/>
      <c r="E511" s="16"/>
      <c r="F511" s="16"/>
      <c r="G511" s="21"/>
      <c r="H511" s="16"/>
      <c r="I511" s="16"/>
      <c r="J511" s="17"/>
      <c r="N511" s="17"/>
      <c r="O511" s="61"/>
      <c r="P511" s="16"/>
      <c r="Q511" s="16"/>
      <c r="R511" s="16"/>
      <c r="S511" s="16"/>
      <c r="T511" s="16"/>
      <c r="U511" s="17"/>
      <c r="Y511" s="24"/>
      <c r="Z511" s="61"/>
      <c r="AA511" s="16"/>
      <c r="AB511" s="16"/>
      <c r="AC511" s="16"/>
      <c r="AD511" s="16"/>
      <c r="AE511" s="16"/>
      <c r="AF511" s="17"/>
      <c r="AJ511" s="24"/>
      <c r="AK511" s="61"/>
      <c r="AL511" s="16"/>
      <c r="AM511" s="16"/>
      <c r="AN511" s="16"/>
      <c r="AO511" s="16"/>
      <c r="AP511" s="16"/>
      <c r="AQ511" s="17"/>
      <c r="AU511" s="24"/>
      <c r="AV511" s="61"/>
      <c r="AW511" s="16"/>
      <c r="AX511" s="16"/>
      <c r="AY511" s="16"/>
      <c r="AZ511" s="16"/>
      <c r="BA511" s="16"/>
      <c r="BB511" s="17"/>
      <c r="BF511" s="24"/>
      <c r="BG511" s="61"/>
      <c r="BH511" s="16"/>
      <c r="BI511" s="16"/>
      <c r="BJ511" s="16"/>
      <c r="BK511" s="16"/>
      <c r="BL511" s="16"/>
      <c r="BM511" s="17"/>
      <c r="BQ511" s="24"/>
      <c r="BR511" s="61"/>
      <c r="BS511" s="16"/>
      <c r="BT511" s="16"/>
      <c r="BU511" s="16"/>
      <c r="BV511" s="16"/>
      <c r="BW511" s="16"/>
      <c r="BX511" s="17"/>
      <c r="CB511" s="24"/>
      <c r="CC511" s="61"/>
      <c r="CD511" s="16"/>
      <c r="CE511" s="16"/>
      <c r="CF511" s="16"/>
      <c r="CG511" s="16"/>
      <c r="CH511" s="16"/>
      <c r="CI511" s="17"/>
      <c r="CM511" s="24"/>
      <c r="CN511" s="61"/>
      <c r="CO511" s="16"/>
      <c r="CP511" s="16"/>
      <c r="CQ511" s="16"/>
      <c r="CR511" s="16"/>
      <c r="CS511" s="16"/>
      <c r="CT511" s="17"/>
      <c r="CX511" s="24"/>
      <c r="CY511" s="60"/>
      <c r="CZ511" s="16"/>
      <c r="DA511" s="16"/>
      <c r="DB511" s="16"/>
      <c r="DC511" s="16"/>
      <c r="DD511" s="16"/>
      <c r="DE511" s="17"/>
      <c r="DI511" s="24"/>
      <c r="DJ511" s="60"/>
      <c r="DK511" s="16"/>
      <c r="DL511" s="16"/>
      <c r="DM511" s="16"/>
      <c r="DN511" s="16"/>
      <c r="DO511" s="16"/>
      <c r="DP511" s="17"/>
      <c r="DT511" s="24"/>
      <c r="DU511" s="60"/>
      <c r="DV511" s="16"/>
      <c r="DW511" s="16"/>
      <c r="DX511" s="16"/>
      <c r="DY511" s="16"/>
      <c r="DZ511" s="16"/>
      <c r="EA511" s="17"/>
      <c r="EE511" s="24"/>
      <c r="EF511" s="60"/>
      <c r="EG511" s="16"/>
      <c r="EH511" s="16"/>
      <c r="EI511" s="16"/>
      <c r="EJ511" s="16"/>
      <c r="EK511" s="16"/>
      <c r="EL511" s="17"/>
      <c r="EP511" s="24"/>
      <c r="EQ511" s="60"/>
      <c r="ER511" s="16"/>
      <c r="ES511" s="16"/>
      <c r="ET511" s="16"/>
      <c r="EU511" s="16"/>
      <c r="EV511" s="16"/>
      <c r="EW511" s="17"/>
      <c r="FA511" s="24"/>
      <c r="FB511" s="60"/>
      <c r="FC511" s="16"/>
      <c r="FD511" s="16"/>
      <c r="FE511" s="16"/>
      <c r="FF511" s="16"/>
      <c r="FG511" s="16"/>
      <c r="FH511" s="17"/>
      <c r="FL511" s="24"/>
      <c r="FM511" s="60"/>
      <c r="FN511" s="16"/>
      <c r="FO511" s="16"/>
      <c r="FP511" s="16"/>
      <c r="FQ511" s="16"/>
      <c r="FR511" s="16"/>
      <c r="FS511" s="17"/>
      <c r="FW511" s="24"/>
      <c r="FX511" s="60"/>
      <c r="FY511" s="16"/>
      <c r="FZ511" s="16"/>
      <c r="GA511" s="16"/>
      <c r="GB511" s="16"/>
      <c r="GC511" s="16"/>
      <c r="GD511" s="17"/>
      <c r="GH511" s="24"/>
      <c r="GI511" s="60"/>
      <c r="GJ511" s="16"/>
      <c r="GK511" s="16"/>
      <c r="GL511" s="16"/>
      <c r="GM511" s="16"/>
      <c r="GN511" s="16"/>
      <c r="GO511" s="17"/>
      <c r="GS511" s="24"/>
      <c r="GT511" s="60"/>
      <c r="GU511" s="16"/>
      <c r="GV511" s="16"/>
      <c r="GW511" s="16"/>
      <c r="GX511" s="16"/>
      <c r="GY511" s="16"/>
      <c r="GZ511" s="17"/>
      <c r="HD511" s="24"/>
      <c r="HE511" s="60"/>
      <c r="HF511" s="16"/>
      <c r="HG511" s="16"/>
      <c r="HH511" s="16"/>
      <c r="HI511" s="16"/>
      <c r="HJ511" s="16"/>
      <c r="HK511" s="17"/>
      <c r="HO511" s="24"/>
      <c r="HP511" s="60"/>
      <c r="HQ511" s="16"/>
      <c r="HR511" s="16"/>
      <c r="HS511" s="16"/>
      <c r="HT511" s="16"/>
      <c r="HU511" s="16"/>
      <c r="HV511" s="17"/>
      <c r="HZ511" s="24"/>
      <c r="IA511" s="60"/>
      <c r="IB511" s="16"/>
      <c r="IC511" s="16"/>
      <c r="ID511" s="16"/>
      <c r="IE511" s="16"/>
      <c r="IF511" s="16"/>
      <c r="IG511" s="17"/>
      <c r="IK511" s="24"/>
      <c r="IL511" s="60"/>
      <c r="IM511" s="16"/>
      <c r="IN511" s="16"/>
      <c r="IO511" s="16"/>
      <c r="IP511" s="16"/>
      <c r="IQ511" s="16"/>
      <c r="IR511" s="17"/>
      <c r="IV511" s="24"/>
      <c r="IW511" s="60"/>
      <c r="IX511" s="16"/>
      <c r="IY511" s="16"/>
      <c r="IZ511" s="16"/>
      <c r="JA511" s="16"/>
      <c r="JB511" s="16"/>
      <c r="JC511" s="17"/>
      <c r="JG511" s="24"/>
      <c r="JH511" s="60"/>
      <c r="JI511" s="16"/>
      <c r="JJ511" s="16"/>
      <c r="JK511" s="16"/>
      <c r="JL511" s="16"/>
      <c r="JM511" s="16"/>
      <c r="JN511" s="17"/>
      <c r="JR511" s="24"/>
      <c r="JS511" s="60"/>
      <c r="JT511" s="16"/>
      <c r="JU511" s="16"/>
      <c r="JV511" s="16"/>
      <c r="JW511" s="16"/>
      <c r="JX511" s="16"/>
      <c r="JY511" s="17"/>
      <c r="KC511" s="24"/>
      <c r="KD511" s="60"/>
      <c r="KE511" s="16"/>
      <c r="KF511" s="16"/>
      <c r="KG511" s="16"/>
      <c r="KH511" s="16"/>
      <c r="KI511" s="16"/>
      <c r="KJ511" s="17"/>
      <c r="KN511" s="24"/>
      <c r="KO511" s="60"/>
      <c r="KP511" s="16"/>
      <c r="KQ511" s="16"/>
      <c r="KR511" s="16"/>
      <c r="KS511" s="16"/>
      <c r="KT511" s="16"/>
      <c r="KU511" s="17"/>
      <c r="KY511" s="24"/>
      <c r="KZ511" s="60"/>
      <c r="LA511" s="16"/>
      <c r="LB511" s="16"/>
      <c r="LC511" s="16"/>
      <c r="LD511" s="16"/>
      <c r="LE511" s="16"/>
      <c r="LF511" s="17"/>
      <c r="LJ511" s="24"/>
      <c r="LK511" s="60"/>
      <c r="LL511" s="16"/>
      <c r="LM511" s="16"/>
      <c r="LN511" s="16"/>
      <c r="LO511" s="16"/>
      <c r="LP511" s="16"/>
      <c r="LQ511" s="17"/>
    </row>
    <row r="512">
      <c r="C512" s="31"/>
      <c r="D512" s="61"/>
      <c r="E512" s="16"/>
      <c r="F512" s="16"/>
      <c r="G512" s="21"/>
      <c r="H512" s="16"/>
      <c r="I512" s="16"/>
      <c r="J512" s="17"/>
      <c r="N512" s="17"/>
      <c r="O512" s="61"/>
      <c r="P512" s="16"/>
      <c r="Q512" s="16"/>
      <c r="R512" s="16"/>
      <c r="S512" s="16"/>
      <c r="T512" s="16"/>
      <c r="U512" s="17"/>
      <c r="Y512" s="24"/>
      <c r="Z512" s="61"/>
      <c r="AA512" s="16"/>
      <c r="AB512" s="16"/>
      <c r="AC512" s="16"/>
      <c r="AD512" s="16"/>
      <c r="AE512" s="16"/>
      <c r="AF512" s="17"/>
      <c r="AJ512" s="24"/>
      <c r="AK512" s="61"/>
      <c r="AL512" s="16"/>
      <c r="AM512" s="16"/>
      <c r="AN512" s="16"/>
      <c r="AO512" s="16"/>
      <c r="AP512" s="16"/>
      <c r="AQ512" s="17"/>
      <c r="AU512" s="24"/>
      <c r="AV512" s="61"/>
      <c r="AW512" s="16"/>
      <c r="AX512" s="16"/>
      <c r="AY512" s="16"/>
      <c r="AZ512" s="16"/>
      <c r="BA512" s="16"/>
      <c r="BB512" s="17"/>
      <c r="BF512" s="24"/>
      <c r="BG512" s="61"/>
      <c r="BH512" s="16"/>
      <c r="BI512" s="16"/>
      <c r="BJ512" s="16"/>
      <c r="BK512" s="16"/>
      <c r="BL512" s="16"/>
      <c r="BM512" s="17"/>
      <c r="BQ512" s="24"/>
      <c r="BR512" s="61"/>
      <c r="BS512" s="16"/>
      <c r="BT512" s="16"/>
      <c r="BU512" s="16"/>
      <c r="BV512" s="16"/>
      <c r="BW512" s="16"/>
      <c r="BX512" s="17"/>
      <c r="CB512" s="24"/>
      <c r="CC512" s="61"/>
      <c r="CD512" s="16"/>
      <c r="CE512" s="16"/>
      <c r="CF512" s="16"/>
      <c r="CG512" s="16"/>
      <c r="CH512" s="16"/>
      <c r="CI512" s="17"/>
      <c r="CM512" s="24"/>
      <c r="CN512" s="61"/>
      <c r="CO512" s="16"/>
      <c r="CP512" s="16"/>
      <c r="CQ512" s="16"/>
      <c r="CR512" s="16"/>
      <c r="CS512" s="16"/>
      <c r="CT512" s="17"/>
      <c r="CX512" s="24"/>
      <c r="CY512" s="60"/>
      <c r="CZ512" s="16"/>
      <c r="DA512" s="16"/>
      <c r="DB512" s="16"/>
      <c r="DC512" s="16"/>
      <c r="DD512" s="16"/>
      <c r="DE512" s="17"/>
      <c r="DI512" s="24"/>
      <c r="DJ512" s="60"/>
      <c r="DK512" s="16"/>
      <c r="DL512" s="16"/>
      <c r="DM512" s="16"/>
      <c r="DN512" s="16"/>
      <c r="DO512" s="16"/>
      <c r="DP512" s="17"/>
      <c r="DT512" s="24"/>
      <c r="DU512" s="60"/>
      <c r="DV512" s="16"/>
      <c r="DW512" s="16"/>
      <c r="DX512" s="16"/>
      <c r="DY512" s="16"/>
      <c r="DZ512" s="16"/>
      <c r="EA512" s="17"/>
      <c r="EE512" s="24"/>
      <c r="EF512" s="60"/>
      <c r="EG512" s="16"/>
      <c r="EH512" s="16"/>
      <c r="EI512" s="16"/>
      <c r="EJ512" s="16"/>
      <c r="EK512" s="16"/>
      <c r="EL512" s="17"/>
      <c r="EP512" s="24"/>
      <c r="EQ512" s="60"/>
      <c r="ER512" s="16"/>
      <c r="ES512" s="16"/>
      <c r="ET512" s="16"/>
      <c r="EU512" s="16"/>
      <c r="EV512" s="16"/>
      <c r="EW512" s="17"/>
      <c r="FA512" s="24"/>
      <c r="FB512" s="60"/>
      <c r="FC512" s="16"/>
      <c r="FD512" s="16"/>
      <c r="FE512" s="16"/>
      <c r="FF512" s="16"/>
      <c r="FG512" s="16"/>
      <c r="FH512" s="17"/>
      <c r="FL512" s="24"/>
      <c r="FM512" s="60"/>
      <c r="FN512" s="16"/>
      <c r="FO512" s="16"/>
      <c r="FP512" s="16"/>
      <c r="FQ512" s="16"/>
      <c r="FR512" s="16"/>
      <c r="FS512" s="17"/>
      <c r="FW512" s="24"/>
      <c r="FX512" s="60"/>
      <c r="FY512" s="16"/>
      <c r="FZ512" s="16"/>
      <c r="GA512" s="16"/>
      <c r="GB512" s="16"/>
      <c r="GC512" s="16"/>
      <c r="GD512" s="17"/>
      <c r="GH512" s="24"/>
      <c r="GI512" s="60"/>
      <c r="GJ512" s="16"/>
      <c r="GK512" s="16"/>
      <c r="GL512" s="16"/>
      <c r="GM512" s="16"/>
      <c r="GN512" s="16"/>
      <c r="GO512" s="17"/>
      <c r="GS512" s="24"/>
      <c r="GT512" s="60"/>
      <c r="GU512" s="16"/>
      <c r="GV512" s="16"/>
      <c r="GW512" s="16"/>
      <c r="GX512" s="16"/>
      <c r="GY512" s="16"/>
      <c r="GZ512" s="17"/>
      <c r="HD512" s="24"/>
      <c r="HE512" s="60"/>
      <c r="HF512" s="16"/>
      <c r="HG512" s="16"/>
      <c r="HH512" s="16"/>
      <c r="HI512" s="16"/>
      <c r="HJ512" s="16"/>
      <c r="HK512" s="17"/>
      <c r="HO512" s="24"/>
      <c r="HP512" s="60"/>
      <c r="HQ512" s="16"/>
      <c r="HR512" s="16"/>
      <c r="HS512" s="16"/>
      <c r="HT512" s="16"/>
      <c r="HU512" s="16"/>
      <c r="HV512" s="17"/>
      <c r="HZ512" s="24"/>
      <c r="IA512" s="60"/>
      <c r="IB512" s="16"/>
      <c r="IC512" s="16"/>
      <c r="ID512" s="16"/>
      <c r="IE512" s="16"/>
      <c r="IF512" s="16"/>
      <c r="IG512" s="17"/>
      <c r="IK512" s="24"/>
      <c r="IL512" s="60"/>
      <c r="IM512" s="16"/>
      <c r="IN512" s="16"/>
      <c r="IO512" s="16"/>
      <c r="IP512" s="16"/>
      <c r="IQ512" s="16"/>
      <c r="IR512" s="17"/>
      <c r="IV512" s="24"/>
      <c r="IW512" s="60"/>
      <c r="IX512" s="16"/>
      <c r="IY512" s="16"/>
      <c r="IZ512" s="16"/>
      <c r="JA512" s="16"/>
      <c r="JB512" s="16"/>
      <c r="JC512" s="17"/>
      <c r="JG512" s="24"/>
      <c r="JH512" s="60"/>
      <c r="JI512" s="16"/>
      <c r="JJ512" s="16"/>
      <c r="JK512" s="16"/>
      <c r="JL512" s="16"/>
      <c r="JM512" s="16"/>
      <c r="JN512" s="17"/>
      <c r="JR512" s="24"/>
      <c r="JS512" s="60"/>
      <c r="JT512" s="16"/>
      <c r="JU512" s="16"/>
      <c r="JV512" s="16"/>
      <c r="JW512" s="16"/>
      <c r="JX512" s="16"/>
      <c r="JY512" s="17"/>
      <c r="KC512" s="24"/>
      <c r="KD512" s="60"/>
      <c r="KE512" s="16"/>
      <c r="KF512" s="16"/>
      <c r="KG512" s="16"/>
      <c r="KH512" s="16"/>
      <c r="KI512" s="16"/>
      <c r="KJ512" s="17"/>
      <c r="KN512" s="24"/>
      <c r="KO512" s="60"/>
      <c r="KP512" s="16"/>
      <c r="KQ512" s="16"/>
      <c r="KR512" s="16"/>
      <c r="KS512" s="16"/>
      <c r="KT512" s="16"/>
      <c r="KU512" s="17"/>
      <c r="KY512" s="24"/>
      <c r="KZ512" s="60"/>
      <c r="LA512" s="16"/>
      <c r="LB512" s="16"/>
      <c r="LC512" s="16"/>
      <c r="LD512" s="16"/>
      <c r="LE512" s="16"/>
      <c r="LF512" s="17"/>
      <c r="LJ512" s="24"/>
      <c r="LK512" s="60"/>
      <c r="LL512" s="16"/>
      <c r="LM512" s="16"/>
      <c r="LN512" s="16"/>
      <c r="LO512" s="16"/>
      <c r="LP512" s="16"/>
      <c r="LQ512" s="17"/>
    </row>
    <row r="513">
      <c r="C513" s="31"/>
      <c r="D513" s="61"/>
      <c r="E513" s="16"/>
      <c r="F513" s="16"/>
      <c r="G513" s="21"/>
      <c r="H513" s="16"/>
      <c r="I513" s="16"/>
      <c r="J513" s="17"/>
      <c r="N513" s="17"/>
      <c r="O513" s="61"/>
      <c r="P513" s="16"/>
      <c r="Q513" s="16"/>
      <c r="R513" s="16"/>
      <c r="S513" s="16"/>
      <c r="T513" s="16"/>
      <c r="U513" s="17"/>
      <c r="Y513" s="24"/>
      <c r="Z513" s="61"/>
      <c r="AA513" s="16"/>
      <c r="AB513" s="16"/>
      <c r="AC513" s="16"/>
      <c r="AD513" s="16"/>
      <c r="AE513" s="16"/>
      <c r="AF513" s="17"/>
      <c r="AJ513" s="24"/>
      <c r="AK513" s="61"/>
      <c r="AL513" s="16"/>
      <c r="AM513" s="16"/>
      <c r="AN513" s="16"/>
      <c r="AO513" s="16"/>
      <c r="AP513" s="16"/>
      <c r="AQ513" s="17"/>
      <c r="AU513" s="24"/>
      <c r="AV513" s="61"/>
      <c r="AW513" s="16"/>
      <c r="AX513" s="16"/>
      <c r="AY513" s="16"/>
      <c r="AZ513" s="16"/>
      <c r="BA513" s="16"/>
      <c r="BB513" s="17"/>
      <c r="BF513" s="24"/>
      <c r="BG513" s="61"/>
      <c r="BH513" s="16"/>
      <c r="BI513" s="16"/>
      <c r="BJ513" s="16"/>
      <c r="BK513" s="16"/>
      <c r="BL513" s="16"/>
      <c r="BM513" s="17"/>
      <c r="BQ513" s="24"/>
      <c r="BR513" s="61"/>
      <c r="BS513" s="16"/>
      <c r="BT513" s="16"/>
      <c r="BU513" s="16"/>
      <c r="BV513" s="16"/>
      <c r="BW513" s="16"/>
      <c r="BX513" s="17"/>
      <c r="CB513" s="24"/>
      <c r="CC513" s="61"/>
      <c r="CD513" s="16"/>
      <c r="CE513" s="16"/>
      <c r="CF513" s="16"/>
      <c r="CG513" s="16"/>
      <c r="CH513" s="16"/>
      <c r="CI513" s="17"/>
      <c r="CM513" s="24"/>
      <c r="CN513" s="61"/>
      <c r="CO513" s="16"/>
      <c r="CP513" s="16"/>
      <c r="CQ513" s="16"/>
      <c r="CR513" s="16"/>
      <c r="CS513" s="16"/>
      <c r="CT513" s="17"/>
      <c r="CX513" s="24"/>
      <c r="CY513" s="60"/>
      <c r="CZ513" s="16"/>
      <c r="DA513" s="16"/>
      <c r="DB513" s="16"/>
      <c r="DC513" s="16"/>
      <c r="DD513" s="16"/>
      <c r="DE513" s="17"/>
      <c r="DI513" s="24"/>
      <c r="DJ513" s="60"/>
      <c r="DK513" s="16"/>
      <c r="DL513" s="16"/>
      <c r="DM513" s="16"/>
      <c r="DN513" s="16"/>
      <c r="DO513" s="16"/>
      <c r="DP513" s="17"/>
      <c r="DT513" s="24"/>
      <c r="DU513" s="60"/>
      <c r="DV513" s="16"/>
      <c r="DW513" s="16"/>
      <c r="DX513" s="16"/>
      <c r="DY513" s="16"/>
      <c r="DZ513" s="16"/>
      <c r="EA513" s="17"/>
      <c r="EE513" s="24"/>
      <c r="EF513" s="60"/>
      <c r="EG513" s="16"/>
      <c r="EH513" s="16"/>
      <c r="EI513" s="16"/>
      <c r="EJ513" s="16"/>
      <c r="EK513" s="16"/>
      <c r="EL513" s="17"/>
      <c r="EP513" s="24"/>
      <c r="EQ513" s="60"/>
      <c r="ER513" s="16"/>
      <c r="ES513" s="16"/>
      <c r="ET513" s="16"/>
      <c r="EU513" s="16"/>
      <c r="EV513" s="16"/>
      <c r="EW513" s="17"/>
      <c r="FA513" s="24"/>
      <c r="FB513" s="60"/>
      <c r="FC513" s="16"/>
      <c r="FD513" s="16"/>
      <c r="FE513" s="16"/>
      <c r="FF513" s="16"/>
      <c r="FG513" s="16"/>
      <c r="FH513" s="17"/>
      <c r="FL513" s="24"/>
      <c r="FM513" s="60"/>
      <c r="FN513" s="16"/>
      <c r="FO513" s="16"/>
      <c r="FP513" s="16"/>
      <c r="FQ513" s="16"/>
      <c r="FR513" s="16"/>
      <c r="FS513" s="17"/>
      <c r="FW513" s="24"/>
      <c r="FX513" s="60"/>
      <c r="FY513" s="16"/>
      <c r="FZ513" s="16"/>
      <c r="GA513" s="16"/>
      <c r="GB513" s="16"/>
      <c r="GC513" s="16"/>
      <c r="GD513" s="17"/>
      <c r="GH513" s="24"/>
      <c r="GI513" s="60"/>
      <c r="GJ513" s="16"/>
      <c r="GK513" s="16"/>
      <c r="GL513" s="16"/>
      <c r="GM513" s="16"/>
      <c r="GN513" s="16"/>
      <c r="GO513" s="17"/>
      <c r="GS513" s="24"/>
      <c r="GT513" s="60"/>
      <c r="GU513" s="16"/>
      <c r="GV513" s="16"/>
      <c r="GW513" s="16"/>
      <c r="GX513" s="16"/>
      <c r="GY513" s="16"/>
      <c r="GZ513" s="17"/>
      <c r="HD513" s="24"/>
      <c r="HE513" s="60"/>
      <c r="HF513" s="16"/>
      <c r="HG513" s="16"/>
      <c r="HH513" s="16"/>
      <c r="HI513" s="16"/>
      <c r="HJ513" s="16"/>
      <c r="HK513" s="17"/>
      <c r="HO513" s="24"/>
      <c r="HP513" s="60"/>
      <c r="HQ513" s="16"/>
      <c r="HR513" s="16"/>
      <c r="HS513" s="16"/>
      <c r="HT513" s="16"/>
      <c r="HU513" s="16"/>
      <c r="HV513" s="17"/>
      <c r="HZ513" s="24"/>
      <c r="IA513" s="60"/>
      <c r="IB513" s="16"/>
      <c r="IC513" s="16"/>
      <c r="ID513" s="16"/>
      <c r="IE513" s="16"/>
      <c r="IF513" s="16"/>
      <c r="IG513" s="17"/>
      <c r="IK513" s="24"/>
      <c r="IL513" s="60"/>
      <c r="IM513" s="16"/>
      <c r="IN513" s="16"/>
      <c r="IO513" s="16"/>
      <c r="IP513" s="16"/>
      <c r="IQ513" s="16"/>
      <c r="IR513" s="17"/>
      <c r="IV513" s="24"/>
      <c r="IW513" s="60"/>
      <c r="IX513" s="16"/>
      <c r="IY513" s="16"/>
      <c r="IZ513" s="16"/>
      <c r="JA513" s="16"/>
      <c r="JB513" s="16"/>
      <c r="JC513" s="17"/>
      <c r="JG513" s="24"/>
      <c r="JH513" s="60"/>
      <c r="JI513" s="16"/>
      <c r="JJ513" s="16"/>
      <c r="JK513" s="16"/>
      <c r="JL513" s="16"/>
      <c r="JM513" s="16"/>
      <c r="JN513" s="17"/>
      <c r="JR513" s="24"/>
      <c r="JS513" s="60"/>
      <c r="JT513" s="16"/>
      <c r="JU513" s="16"/>
      <c r="JV513" s="16"/>
      <c r="JW513" s="16"/>
      <c r="JX513" s="16"/>
      <c r="JY513" s="17"/>
      <c r="KC513" s="24"/>
      <c r="KD513" s="60"/>
      <c r="KE513" s="16"/>
      <c r="KF513" s="16"/>
      <c r="KG513" s="16"/>
      <c r="KH513" s="16"/>
      <c r="KI513" s="16"/>
      <c r="KJ513" s="17"/>
      <c r="KN513" s="24"/>
      <c r="KO513" s="60"/>
      <c r="KP513" s="16"/>
      <c r="KQ513" s="16"/>
      <c r="KR513" s="16"/>
      <c r="KS513" s="16"/>
      <c r="KT513" s="16"/>
      <c r="KU513" s="17"/>
      <c r="KY513" s="24"/>
      <c r="KZ513" s="60"/>
      <c r="LA513" s="16"/>
      <c r="LB513" s="16"/>
      <c r="LC513" s="16"/>
      <c r="LD513" s="16"/>
      <c r="LE513" s="16"/>
      <c r="LF513" s="17"/>
      <c r="LJ513" s="24"/>
      <c r="LK513" s="60"/>
      <c r="LL513" s="16"/>
      <c r="LM513" s="16"/>
      <c r="LN513" s="16"/>
      <c r="LO513" s="16"/>
      <c r="LP513" s="16"/>
      <c r="LQ513" s="17"/>
    </row>
    <row r="514">
      <c r="C514" s="31"/>
      <c r="D514" s="61"/>
      <c r="E514" s="16"/>
      <c r="F514" s="16"/>
      <c r="G514" s="21"/>
      <c r="H514" s="16"/>
      <c r="I514" s="16"/>
      <c r="J514" s="17"/>
      <c r="N514" s="17"/>
      <c r="O514" s="61"/>
      <c r="P514" s="16"/>
      <c r="Q514" s="16"/>
      <c r="R514" s="16"/>
      <c r="S514" s="16"/>
      <c r="T514" s="16"/>
      <c r="U514" s="17"/>
      <c r="Y514" s="24"/>
      <c r="Z514" s="61"/>
      <c r="AA514" s="16"/>
      <c r="AB514" s="16"/>
      <c r="AC514" s="16"/>
      <c r="AD514" s="16"/>
      <c r="AE514" s="16"/>
      <c r="AF514" s="17"/>
      <c r="AJ514" s="24"/>
      <c r="AK514" s="61"/>
      <c r="AL514" s="16"/>
      <c r="AM514" s="16"/>
      <c r="AN514" s="16"/>
      <c r="AO514" s="16"/>
      <c r="AP514" s="16"/>
      <c r="AQ514" s="17"/>
      <c r="AU514" s="24"/>
      <c r="AV514" s="61"/>
      <c r="AW514" s="16"/>
      <c r="AX514" s="16"/>
      <c r="AY514" s="16"/>
      <c r="AZ514" s="16"/>
      <c r="BA514" s="16"/>
      <c r="BB514" s="17"/>
      <c r="BF514" s="24"/>
      <c r="BG514" s="61"/>
      <c r="BH514" s="16"/>
      <c r="BI514" s="16"/>
      <c r="BJ514" s="16"/>
      <c r="BK514" s="16"/>
      <c r="BL514" s="16"/>
      <c r="BM514" s="17"/>
      <c r="BQ514" s="24"/>
      <c r="BR514" s="61"/>
      <c r="BS514" s="16"/>
      <c r="BT514" s="16"/>
      <c r="BU514" s="16"/>
      <c r="BV514" s="16"/>
      <c r="BW514" s="16"/>
      <c r="BX514" s="17"/>
      <c r="CB514" s="24"/>
      <c r="CC514" s="61"/>
      <c r="CD514" s="16"/>
      <c r="CE514" s="16"/>
      <c r="CF514" s="16"/>
      <c r="CG514" s="16"/>
      <c r="CH514" s="16"/>
      <c r="CI514" s="17"/>
      <c r="CM514" s="24"/>
      <c r="CN514" s="61"/>
      <c r="CO514" s="16"/>
      <c r="CP514" s="16"/>
      <c r="CQ514" s="16"/>
      <c r="CR514" s="16"/>
      <c r="CS514" s="16"/>
      <c r="CT514" s="17"/>
      <c r="CX514" s="24"/>
      <c r="CY514" s="60"/>
      <c r="CZ514" s="16"/>
      <c r="DA514" s="16"/>
      <c r="DB514" s="16"/>
      <c r="DC514" s="16"/>
      <c r="DD514" s="16"/>
      <c r="DE514" s="17"/>
      <c r="DI514" s="24"/>
      <c r="DJ514" s="60"/>
      <c r="DK514" s="16"/>
      <c r="DL514" s="16"/>
      <c r="DM514" s="16"/>
      <c r="DN514" s="16"/>
      <c r="DO514" s="16"/>
      <c r="DP514" s="17"/>
      <c r="DT514" s="24"/>
      <c r="DU514" s="60"/>
      <c r="DV514" s="16"/>
      <c r="DW514" s="16"/>
      <c r="DX514" s="16"/>
      <c r="DY514" s="16"/>
      <c r="DZ514" s="16"/>
      <c r="EA514" s="17"/>
      <c r="EE514" s="24"/>
      <c r="EF514" s="60"/>
      <c r="EG514" s="16"/>
      <c r="EH514" s="16"/>
      <c r="EI514" s="16"/>
      <c r="EJ514" s="16"/>
      <c r="EK514" s="16"/>
      <c r="EL514" s="17"/>
      <c r="EP514" s="24"/>
      <c r="EQ514" s="60"/>
      <c r="ER514" s="16"/>
      <c r="ES514" s="16"/>
      <c r="ET514" s="16"/>
      <c r="EU514" s="16"/>
      <c r="EV514" s="16"/>
      <c r="EW514" s="17"/>
      <c r="FA514" s="24"/>
      <c r="FB514" s="60"/>
      <c r="FC514" s="16"/>
      <c r="FD514" s="16"/>
      <c r="FE514" s="16"/>
      <c r="FF514" s="16"/>
      <c r="FG514" s="16"/>
      <c r="FH514" s="17"/>
      <c r="FL514" s="24"/>
      <c r="FM514" s="60"/>
      <c r="FN514" s="16"/>
      <c r="FO514" s="16"/>
      <c r="FP514" s="16"/>
      <c r="FQ514" s="16"/>
      <c r="FR514" s="16"/>
      <c r="FS514" s="17"/>
      <c r="FW514" s="24"/>
      <c r="FX514" s="60"/>
      <c r="FY514" s="16"/>
      <c r="FZ514" s="16"/>
      <c r="GA514" s="16"/>
      <c r="GB514" s="16"/>
      <c r="GC514" s="16"/>
      <c r="GD514" s="17"/>
      <c r="GH514" s="24"/>
      <c r="GI514" s="60"/>
      <c r="GJ514" s="16"/>
      <c r="GK514" s="16"/>
      <c r="GL514" s="16"/>
      <c r="GM514" s="16"/>
      <c r="GN514" s="16"/>
      <c r="GO514" s="17"/>
      <c r="GS514" s="24"/>
      <c r="GT514" s="60"/>
      <c r="GU514" s="16"/>
      <c r="GV514" s="16"/>
      <c r="GW514" s="16"/>
      <c r="GX514" s="16"/>
      <c r="GY514" s="16"/>
      <c r="GZ514" s="17"/>
      <c r="HD514" s="24"/>
      <c r="HE514" s="60"/>
      <c r="HF514" s="16"/>
      <c r="HG514" s="16"/>
      <c r="HH514" s="16"/>
      <c r="HI514" s="16"/>
      <c r="HJ514" s="16"/>
      <c r="HK514" s="17"/>
      <c r="HO514" s="24"/>
      <c r="HP514" s="60"/>
      <c r="HQ514" s="16"/>
      <c r="HR514" s="16"/>
      <c r="HS514" s="16"/>
      <c r="HT514" s="16"/>
      <c r="HU514" s="16"/>
      <c r="HV514" s="17"/>
      <c r="HZ514" s="24"/>
      <c r="IA514" s="60"/>
      <c r="IB514" s="16"/>
      <c r="IC514" s="16"/>
      <c r="ID514" s="16"/>
      <c r="IE514" s="16"/>
      <c r="IF514" s="16"/>
      <c r="IG514" s="17"/>
      <c r="IK514" s="24"/>
      <c r="IL514" s="60"/>
      <c r="IM514" s="16"/>
      <c r="IN514" s="16"/>
      <c r="IO514" s="16"/>
      <c r="IP514" s="16"/>
      <c r="IQ514" s="16"/>
      <c r="IR514" s="17"/>
      <c r="IV514" s="24"/>
      <c r="IW514" s="60"/>
      <c r="IX514" s="16"/>
      <c r="IY514" s="16"/>
      <c r="IZ514" s="16"/>
      <c r="JA514" s="16"/>
      <c r="JB514" s="16"/>
      <c r="JC514" s="17"/>
      <c r="JG514" s="24"/>
      <c r="JH514" s="60"/>
      <c r="JI514" s="16"/>
      <c r="JJ514" s="16"/>
      <c r="JK514" s="16"/>
      <c r="JL514" s="16"/>
      <c r="JM514" s="16"/>
      <c r="JN514" s="17"/>
      <c r="JR514" s="24"/>
      <c r="JS514" s="60"/>
      <c r="JT514" s="16"/>
      <c r="JU514" s="16"/>
      <c r="JV514" s="16"/>
      <c r="JW514" s="16"/>
      <c r="JX514" s="16"/>
      <c r="JY514" s="17"/>
      <c r="KC514" s="24"/>
      <c r="KD514" s="60"/>
      <c r="KE514" s="16"/>
      <c r="KF514" s="16"/>
      <c r="KG514" s="16"/>
      <c r="KH514" s="16"/>
      <c r="KI514" s="16"/>
      <c r="KJ514" s="17"/>
      <c r="KN514" s="24"/>
      <c r="KO514" s="60"/>
      <c r="KP514" s="16"/>
      <c r="KQ514" s="16"/>
      <c r="KR514" s="16"/>
      <c r="KS514" s="16"/>
      <c r="KT514" s="16"/>
      <c r="KU514" s="17"/>
      <c r="KY514" s="24"/>
      <c r="KZ514" s="60"/>
      <c r="LA514" s="16"/>
      <c r="LB514" s="16"/>
      <c r="LC514" s="16"/>
      <c r="LD514" s="16"/>
      <c r="LE514" s="16"/>
      <c r="LF514" s="17"/>
      <c r="LJ514" s="24"/>
      <c r="LK514" s="60"/>
      <c r="LL514" s="16"/>
      <c r="LM514" s="16"/>
      <c r="LN514" s="16"/>
      <c r="LO514" s="16"/>
      <c r="LP514" s="16"/>
      <c r="LQ514" s="17"/>
    </row>
    <row r="515">
      <c r="C515" s="31"/>
      <c r="D515" s="61"/>
      <c r="E515" s="16"/>
      <c r="F515" s="16"/>
      <c r="G515" s="21"/>
      <c r="H515" s="16"/>
      <c r="I515" s="16"/>
      <c r="J515" s="17"/>
      <c r="N515" s="17"/>
      <c r="O515" s="61"/>
      <c r="P515" s="16"/>
      <c r="Q515" s="16"/>
      <c r="R515" s="16"/>
      <c r="S515" s="16"/>
      <c r="T515" s="16"/>
      <c r="U515" s="17"/>
      <c r="Y515" s="24"/>
      <c r="Z515" s="61"/>
      <c r="AA515" s="16"/>
      <c r="AB515" s="16"/>
      <c r="AC515" s="16"/>
      <c r="AD515" s="16"/>
      <c r="AE515" s="16"/>
      <c r="AF515" s="17"/>
      <c r="AJ515" s="24"/>
      <c r="AK515" s="61"/>
      <c r="AL515" s="16"/>
      <c r="AM515" s="16"/>
      <c r="AN515" s="16"/>
      <c r="AO515" s="16"/>
      <c r="AP515" s="16"/>
      <c r="AQ515" s="17"/>
      <c r="AU515" s="24"/>
      <c r="AV515" s="61"/>
      <c r="AW515" s="16"/>
      <c r="AX515" s="16"/>
      <c r="AY515" s="16"/>
      <c r="AZ515" s="16"/>
      <c r="BA515" s="16"/>
      <c r="BB515" s="17"/>
      <c r="BF515" s="24"/>
      <c r="BG515" s="61"/>
      <c r="BH515" s="16"/>
      <c r="BI515" s="16"/>
      <c r="BJ515" s="16"/>
      <c r="BK515" s="16"/>
      <c r="BL515" s="16"/>
      <c r="BM515" s="17"/>
      <c r="BQ515" s="24"/>
      <c r="BR515" s="61"/>
      <c r="BS515" s="16"/>
      <c r="BT515" s="16"/>
      <c r="BU515" s="16"/>
      <c r="BV515" s="16"/>
      <c r="BW515" s="16"/>
      <c r="BX515" s="17"/>
      <c r="CB515" s="24"/>
      <c r="CC515" s="61"/>
      <c r="CD515" s="16"/>
      <c r="CE515" s="16"/>
      <c r="CF515" s="16"/>
      <c r="CG515" s="16"/>
      <c r="CH515" s="16"/>
      <c r="CI515" s="17"/>
      <c r="CM515" s="24"/>
      <c r="CN515" s="61"/>
      <c r="CO515" s="16"/>
      <c r="CP515" s="16"/>
      <c r="CQ515" s="16"/>
      <c r="CR515" s="16"/>
      <c r="CS515" s="16"/>
      <c r="CT515" s="17"/>
      <c r="CX515" s="24"/>
      <c r="CY515" s="60"/>
      <c r="CZ515" s="16"/>
      <c r="DA515" s="16"/>
      <c r="DB515" s="16"/>
      <c r="DC515" s="16"/>
      <c r="DD515" s="16"/>
      <c r="DE515" s="17"/>
      <c r="DI515" s="24"/>
      <c r="DJ515" s="60"/>
      <c r="DK515" s="16"/>
      <c r="DL515" s="16"/>
      <c r="DM515" s="16"/>
      <c r="DN515" s="16"/>
      <c r="DO515" s="16"/>
      <c r="DP515" s="17"/>
      <c r="DT515" s="24"/>
      <c r="DU515" s="60"/>
      <c r="DV515" s="16"/>
      <c r="DW515" s="16"/>
      <c r="DX515" s="16"/>
      <c r="DY515" s="16"/>
      <c r="DZ515" s="16"/>
      <c r="EA515" s="17"/>
      <c r="EE515" s="24"/>
      <c r="EF515" s="60"/>
      <c r="EG515" s="16"/>
      <c r="EH515" s="16"/>
      <c r="EI515" s="16"/>
      <c r="EJ515" s="16"/>
      <c r="EK515" s="16"/>
      <c r="EL515" s="17"/>
      <c r="EP515" s="24"/>
      <c r="EQ515" s="60"/>
      <c r="ER515" s="16"/>
      <c r="ES515" s="16"/>
      <c r="ET515" s="16"/>
      <c r="EU515" s="16"/>
      <c r="EV515" s="16"/>
      <c r="EW515" s="17"/>
      <c r="FA515" s="24"/>
      <c r="FB515" s="60"/>
      <c r="FC515" s="16"/>
      <c r="FD515" s="16"/>
      <c r="FE515" s="16"/>
      <c r="FF515" s="16"/>
      <c r="FG515" s="16"/>
      <c r="FH515" s="17"/>
      <c r="FL515" s="24"/>
      <c r="FM515" s="60"/>
      <c r="FN515" s="16"/>
      <c r="FO515" s="16"/>
      <c r="FP515" s="16"/>
      <c r="FQ515" s="16"/>
      <c r="FR515" s="16"/>
      <c r="FS515" s="17"/>
      <c r="FW515" s="24"/>
      <c r="FX515" s="60"/>
      <c r="FY515" s="16"/>
      <c r="FZ515" s="16"/>
      <c r="GA515" s="16"/>
      <c r="GB515" s="16"/>
      <c r="GC515" s="16"/>
      <c r="GD515" s="17"/>
      <c r="GH515" s="24"/>
      <c r="GI515" s="60"/>
      <c r="GJ515" s="16"/>
      <c r="GK515" s="16"/>
      <c r="GL515" s="16"/>
      <c r="GM515" s="16"/>
      <c r="GN515" s="16"/>
      <c r="GO515" s="17"/>
      <c r="GS515" s="24"/>
      <c r="GT515" s="60"/>
      <c r="GU515" s="16"/>
      <c r="GV515" s="16"/>
      <c r="GW515" s="16"/>
      <c r="GX515" s="16"/>
      <c r="GY515" s="16"/>
      <c r="GZ515" s="17"/>
      <c r="HD515" s="24"/>
      <c r="HE515" s="60"/>
      <c r="HF515" s="16"/>
      <c r="HG515" s="16"/>
      <c r="HH515" s="16"/>
      <c r="HI515" s="16"/>
      <c r="HJ515" s="16"/>
      <c r="HK515" s="17"/>
      <c r="HO515" s="24"/>
      <c r="HP515" s="60"/>
      <c r="HQ515" s="16"/>
      <c r="HR515" s="16"/>
      <c r="HS515" s="16"/>
      <c r="HT515" s="16"/>
      <c r="HU515" s="16"/>
      <c r="HV515" s="17"/>
      <c r="HZ515" s="24"/>
      <c r="IA515" s="60"/>
      <c r="IB515" s="16"/>
      <c r="IC515" s="16"/>
      <c r="ID515" s="16"/>
      <c r="IE515" s="16"/>
      <c r="IF515" s="16"/>
      <c r="IG515" s="17"/>
      <c r="IK515" s="24"/>
      <c r="IL515" s="60"/>
      <c r="IM515" s="16"/>
      <c r="IN515" s="16"/>
      <c r="IO515" s="16"/>
      <c r="IP515" s="16"/>
      <c r="IQ515" s="16"/>
      <c r="IR515" s="17"/>
      <c r="IV515" s="24"/>
      <c r="IW515" s="60"/>
      <c r="IX515" s="16"/>
      <c r="IY515" s="16"/>
      <c r="IZ515" s="16"/>
      <c r="JA515" s="16"/>
      <c r="JB515" s="16"/>
      <c r="JC515" s="17"/>
      <c r="JG515" s="24"/>
      <c r="JH515" s="60"/>
      <c r="JI515" s="16"/>
      <c r="JJ515" s="16"/>
      <c r="JK515" s="16"/>
      <c r="JL515" s="16"/>
      <c r="JM515" s="16"/>
      <c r="JN515" s="17"/>
      <c r="JR515" s="24"/>
      <c r="JS515" s="60"/>
      <c r="JT515" s="16"/>
      <c r="JU515" s="16"/>
      <c r="JV515" s="16"/>
      <c r="JW515" s="16"/>
      <c r="JX515" s="16"/>
      <c r="JY515" s="17"/>
      <c r="KC515" s="24"/>
      <c r="KD515" s="60"/>
      <c r="KE515" s="16"/>
      <c r="KF515" s="16"/>
      <c r="KG515" s="16"/>
      <c r="KH515" s="16"/>
      <c r="KI515" s="16"/>
      <c r="KJ515" s="17"/>
      <c r="KN515" s="24"/>
      <c r="KO515" s="60"/>
      <c r="KP515" s="16"/>
      <c r="KQ515" s="16"/>
      <c r="KR515" s="16"/>
      <c r="KS515" s="16"/>
      <c r="KT515" s="16"/>
      <c r="KU515" s="17"/>
      <c r="KY515" s="24"/>
      <c r="KZ515" s="60"/>
      <c r="LA515" s="16"/>
      <c r="LB515" s="16"/>
      <c r="LC515" s="16"/>
      <c r="LD515" s="16"/>
      <c r="LE515" s="16"/>
      <c r="LF515" s="17"/>
      <c r="LJ515" s="24"/>
      <c r="LK515" s="60"/>
      <c r="LL515" s="16"/>
      <c r="LM515" s="16"/>
      <c r="LN515" s="16"/>
      <c r="LO515" s="16"/>
      <c r="LP515" s="16"/>
      <c r="LQ515" s="17"/>
    </row>
    <row r="516">
      <c r="C516" s="31"/>
      <c r="D516" s="61"/>
      <c r="E516" s="16"/>
      <c r="F516" s="16"/>
      <c r="G516" s="21"/>
      <c r="H516" s="16"/>
      <c r="I516" s="16"/>
      <c r="J516" s="17"/>
      <c r="N516" s="17"/>
      <c r="O516" s="61"/>
      <c r="P516" s="16"/>
      <c r="Q516" s="16"/>
      <c r="R516" s="16"/>
      <c r="S516" s="16"/>
      <c r="T516" s="16"/>
      <c r="U516" s="17"/>
      <c r="Y516" s="24"/>
      <c r="Z516" s="61"/>
      <c r="AA516" s="16"/>
      <c r="AB516" s="16"/>
      <c r="AC516" s="16"/>
      <c r="AD516" s="16"/>
      <c r="AE516" s="16"/>
      <c r="AF516" s="17"/>
      <c r="AJ516" s="24"/>
      <c r="AK516" s="61"/>
      <c r="AL516" s="16"/>
      <c r="AM516" s="16"/>
      <c r="AN516" s="16"/>
      <c r="AO516" s="16"/>
      <c r="AP516" s="16"/>
      <c r="AQ516" s="17"/>
      <c r="AU516" s="24"/>
      <c r="AV516" s="61"/>
      <c r="AW516" s="16"/>
      <c r="AX516" s="16"/>
      <c r="AY516" s="16"/>
      <c r="AZ516" s="16"/>
      <c r="BA516" s="16"/>
      <c r="BB516" s="17"/>
      <c r="BF516" s="24"/>
      <c r="BG516" s="61"/>
      <c r="BH516" s="16"/>
      <c r="BI516" s="16"/>
      <c r="BJ516" s="16"/>
      <c r="BK516" s="16"/>
      <c r="BL516" s="16"/>
      <c r="BM516" s="17"/>
      <c r="BQ516" s="24"/>
      <c r="BR516" s="61"/>
      <c r="BS516" s="16"/>
      <c r="BT516" s="16"/>
      <c r="BU516" s="16"/>
      <c r="BV516" s="16"/>
      <c r="BW516" s="16"/>
      <c r="BX516" s="17"/>
      <c r="CB516" s="24"/>
      <c r="CC516" s="61"/>
      <c r="CD516" s="16"/>
      <c r="CE516" s="16"/>
      <c r="CF516" s="16"/>
      <c r="CG516" s="16"/>
      <c r="CH516" s="16"/>
      <c r="CI516" s="17"/>
      <c r="CM516" s="24"/>
      <c r="CN516" s="61"/>
      <c r="CO516" s="16"/>
      <c r="CP516" s="16"/>
      <c r="CQ516" s="16"/>
      <c r="CR516" s="16"/>
      <c r="CS516" s="16"/>
      <c r="CT516" s="17"/>
      <c r="CX516" s="24"/>
      <c r="CY516" s="60"/>
      <c r="CZ516" s="16"/>
      <c r="DA516" s="16"/>
      <c r="DB516" s="16"/>
      <c r="DC516" s="16"/>
      <c r="DD516" s="16"/>
      <c r="DE516" s="17"/>
      <c r="DI516" s="24"/>
      <c r="DJ516" s="60"/>
      <c r="DK516" s="16"/>
      <c r="DL516" s="16"/>
      <c r="DM516" s="16"/>
      <c r="DN516" s="16"/>
      <c r="DO516" s="16"/>
      <c r="DP516" s="17"/>
      <c r="DT516" s="24"/>
      <c r="DU516" s="60"/>
      <c r="DV516" s="16"/>
      <c r="DW516" s="16"/>
      <c r="DX516" s="16"/>
      <c r="DY516" s="16"/>
      <c r="DZ516" s="16"/>
      <c r="EA516" s="17"/>
      <c r="EE516" s="24"/>
      <c r="EF516" s="60"/>
      <c r="EG516" s="16"/>
      <c r="EH516" s="16"/>
      <c r="EI516" s="16"/>
      <c r="EJ516" s="16"/>
      <c r="EK516" s="16"/>
      <c r="EL516" s="17"/>
      <c r="EP516" s="24"/>
      <c r="EQ516" s="60"/>
      <c r="ER516" s="16"/>
      <c r="ES516" s="16"/>
      <c r="ET516" s="16"/>
      <c r="EU516" s="16"/>
      <c r="EV516" s="16"/>
      <c r="EW516" s="17"/>
      <c r="FA516" s="24"/>
      <c r="FB516" s="60"/>
      <c r="FC516" s="16"/>
      <c r="FD516" s="16"/>
      <c r="FE516" s="16"/>
      <c r="FF516" s="16"/>
      <c r="FG516" s="16"/>
      <c r="FH516" s="17"/>
      <c r="FL516" s="24"/>
      <c r="FM516" s="60"/>
      <c r="FN516" s="16"/>
      <c r="FO516" s="16"/>
      <c r="FP516" s="16"/>
      <c r="FQ516" s="16"/>
      <c r="FR516" s="16"/>
      <c r="FS516" s="17"/>
      <c r="FW516" s="24"/>
      <c r="FX516" s="60"/>
      <c r="FY516" s="16"/>
      <c r="FZ516" s="16"/>
      <c r="GA516" s="16"/>
      <c r="GB516" s="16"/>
      <c r="GC516" s="16"/>
      <c r="GD516" s="17"/>
      <c r="GH516" s="24"/>
      <c r="GI516" s="60"/>
      <c r="GJ516" s="16"/>
      <c r="GK516" s="16"/>
      <c r="GL516" s="16"/>
      <c r="GM516" s="16"/>
      <c r="GN516" s="16"/>
      <c r="GO516" s="17"/>
      <c r="GS516" s="24"/>
      <c r="GT516" s="60"/>
      <c r="GU516" s="16"/>
      <c r="GV516" s="16"/>
      <c r="GW516" s="16"/>
      <c r="GX516" s="16"/>
      <c r="GY516" s="16"/>
      <c r="GZ516" s="17"/>
      <c r="HD516" s="24"/>
      <c r="HE516" s="60"/>
      <c r="HF516" s="16"/>
      <c r="HG516" s="16"/>
      <c r="HH516" s="16"/>
      <c r="HI516" s="16"/>
      <c r="HJ516" s="16"/>
      <c r="HK516" s="17"/>
      <c r="HO516" s="24"/>
      <c r="HP516" s="60"/>
      <c r="HQ516" s="16"/>
      <c r="HR516" s="16"/>
      <c r="HS516" s="16"/>
      <c r="HT516" s="16"/>
      <c r="HU516" s="16"/>
      <c r="HV516" s="17"/>
      <c r="HZ516" s="24"/>
      <c r="IA516" s="60"/>
      <c r="IB516" s="16"/>
      <c r="IC516" s="16"/>
      <c r="ID516" s="16"/>
      <c r="IE516" s="16"/>
      <c r="IF516" s="16"/>
      <c r="IG516" s="17"/>
      <c r="IK516" s="24"/>
      <c r="IL516" s="60"/>
      <c r="IM516" s="16"/>
      <c r="IN516" s="16"/>
      <c r="IO516" s="16"/>
      <c r="IP516" s="16"/>
      <c r="IQ516" s="16"/>
      <c r="IR516" s="17"/>
      <c r="IV516" s="24"/>
      <c r="IW516" s="60"/>
      <c r="IX516" s="16"/>
      <c r="IY516" s="16"/>
      <c r="IZ516" s="16"/>
      <c r="JA516" s="16"/>
      <c r="JB516" s="16"/>
      <c r="JC516" s="17"/>
      <c r="JG516" s="24"/>
      <c r="JH516" s="60"/>
      <c r="JI516" s="16"/>
      <c r="JJ516" s="16"/>
      <c r="JK516" s="16"/>
      <c r="JL516" s="16"/>
      <c r="JM516" s="16"/>
      <c r="JN516" s="17"/>
      <c r="JR516" s="24"/>
      <c r="JS516" s="60"/>
      <c r="JT516" s="16"/>
      <c r="JU516" s="16"/>
      <c r="JV516" s="16"/>
      <c r="JW516" s="16"/>
      <c r="JX516" s="16"/>
      <c r="JY516" s="17"/>
      <c r="KC516" s="24"/>
      <c r="KD516" s="60"/>
      <c r="KE516" s="16"/>
      <c r="KF516" s="16"/>
      <c r="KG516" s="16"/>
      <c r="KH516" s="16"/>
      <c r="KI516" s="16"/>
      <c r="KJ516" s="17"/>
      <c r="KN516" s="24"/>
      <c r="KO516" s="60"/>
      <c r="KP516" s="16"/>
      <c r="KQ516" s="16"/>
      <c r="KR516" s="16"/>
      <c r="KS516" s="16"/>
      <c r="KT516" s="16"/>
      <c r="KU516" s="17"/>
      <c r="KY516" s="24"/>
      <c r="KZ516" s="60"/>
      <c r="LA516" s="16"/>
      <c r="LB516" s="16"/>
      <c r="LC516" s="16"/>
      <c r="LD516" s="16"/>
      <c r="LE516" s="16"/>
      <c r="LF516" s="17"/>
      <c r="LJ516" s="24"/>
      <c r="LK516" s="60"/>
      <c r="LL516" s="16"/>
      <c r="LM516" s="16"/>
      <c r="LN516" s="16"/>
      <c r="LO516" s="16"/>
      <c r="LP516" s="16"/>
      <c r="LQ516" s="17"/>
    </row>
    <row r="517">
      <c r="C517" s="31"/>
      <c r="D517" s="61"/>
      <c r="E517" s="16"/>
      <c r="F517" s="16"/>
      <c r="G517" s="21"/>
      <c r="H517" s="16"/>
      <c r="I517" s="16"/>
      <c r="J517" s="17"/>
      <c r="N517" s="17"/>
      <c r="O517" s="61"/>
      <c r="P517" s="16"/>
      <c r="Q517" s="16"/>
      <c r="R517" s="16"/>
      <c r="S517" s="16"/>
      <c r="T517" s="16"/>
      <c r="U517" s="17"/>
      <c r="Y517" s="24"/>
      <c r="Z517" s="61"/>
      <c r="AA517" s="16"/>
      <c r="AB517" s="16"/>
      <c r="AC517" s="16"/>
      <c r="AD517" s="16"/>
      <c r="AE517" s="16"/>
      <c r="AF517" s="17"/>
      <c r="AJ517" s="24"/>
      <c r="AK517" s="61"/>
      <c r="AL517" s="16"/>
      <c r="AM517" s="16"/>
      <c r="AN517" s="16"/>
      <c r="AO517" s="16"/>
      <c r="AP517" s="16"/>
      <c r="AQ517" s="17"/>
      <c r="AU517" s="24"/>
      <c r="AV517" s="61"/>
      <c r="AW517" s="16"/>
      <c r="AX517" s="16"/>
      <c r="AY517" s="16"/>
      <c r="AZ517" s="16"/>
      <c r="BA517" s="16"/>
      <c r="BB517" s="17"/>
      <c r="BF517" s="24"/>
      <c r="BG517" s="61"/>
      <c r="BH517" s="16"/>
      <c r="BI517" s="16"/>
      <c r="BJ517" s="16"/>
      <c r="BK517" s="16"/>
      <c r="BL517" s="16"/>
      <c r="BM517" s="17"/>
      <c r="BQ517" s="24"/>
      <c r="BR517" s="61"/>
      <c r="BS517" s="16"/>
      <c r="BT517" s="16"/>
      <c r="BU517" s="16"/>
      <c r="BV517" s="16"/>
      <c r="BW517" s="16"/>
      <c r="BX517" s="17"/>
      <c r="CB517" s="24"/>
      <c r="CC517" s="61"/>
      <c r="CD517" s="16"/>
      <c r="CE517" s="16"/>
      <c r="CF517" s="16"/>
      <c r="CG517" s="16"/>
      <c r="CH517" s="16"/>
      <c r="CI517" s="17"/>
      <c r="CM517" s="24"/>
      <c r="CN517" s="61"/>
      <c r="CO517" s="16"/>
      <c r="CP517" s="16"/>
      <c r="CQ517" s="16"/>
      <c r="CR517" s="16"/>
      <c r="CS517" s="16"/>
      <c r="CT517" s="17"/>
      <c r="CX517" s="24"/>
      <c r="CY517" s="60"/>
      <c r="CZ517" s="16"/>
      <c r="DA517" s="16"/>
      <c r="DB517" s="16"/>
      <c r="DC517" s="16"/>
      <c r="DD517" s="16"/>
      <c r="DE517" s="17"/>
      <c r="DI517" s="24"/>
      <c r="DJ517" s="60"/>
      <c r="DK517" s="16"/>
      <c r="DL517" s="16"/>
      <c r="DM517" s="16"/>
      <c r="DN517" s="16"/>
      <c r="DO517" s="16"/>
      <c r="DP517" s="17"/>
      <c r="DT517" s="24"/>
      <c r="DU517" s="60"/>
      <c r="DV517" s="16"/>
      <c r="DW517" s="16"/>
      <c r="DX517" s="16"/>
      <c r="DY517" s="16"/>
      <c r="DZ517" s="16"/>
      <c r="EA517" s="17"/>
      <c r="EE517" s="24"/>
      <c r="EF517" s="60"/>
      <c r="EG517" s="16"/>
      <c r="EH517" s="16"/>
      <c r="EI517" s="16"/>
      <c r="EJ517" s="16"/>
      <c r="EK517" s="16"/>
      <c r="EL517" s="17"/>
      <c r="EP517" s="24"/>
      <c r="EQ517" s="60"/>
      <c r="ER517" s="16"/>
      <c r="ES517" s="16"/>
      <c r="ET517" s="16"/>
      <c r="EU517" s="16"/>
      <c r="EV517" s="16"/>
      <c r="EW517" s="17"/>
      <c r="FA517" s="24"/>
      <c r="FB517" s="60"/>
      <c r="FC517" s="16"/>
      <c r="FD517" s="16"/>
      <c r="FE517" s="16"/>
      <c r="FF517" s="16"/>
      <c r="FG517" s="16"/>
      <c r="FH517" s="17"/>
      <c r="FL517" s="24"/>
      <c r="FM517" s="60"/>
      <c r="FN517" s="16"/>
      <c r="FO517" s="16"/>
      <c r="FP517" s="16"/>
      <c r="FQ517" s="16"/>
      <c r="FR517" s="16"/>
      <c r="FS517" s="17"/>
      <c r="FW517" s="24"/>
      <c r="FX517" s="60"/>
      <c r="FY517" s="16"/>
      <c r="FZ517" s="16"/>
      <c r="GA517" s="16"/>
      <c r="GB517" s="16"/>
      <c r="GC517" s="16"/>
      <c r="GD517" s="17"/>
      <c r="GH517" s="24"/>
      <c r="GI517" s="60"/>
      <c r="GJ517" s="16"/>
      <c r="GK517" s="16"/>
      <c r="GL517" s="16"/>
      <c r="GM517" s="16"/>
      <c r="GN517" s="16"/>
      <c r="GO517" s="17"/>
      <c r="GS517" s="24"/>
      <c r="GT517" s="60"/>
      <c r="GU517" s="16"/>
      <c r="GV517" s="16"/>
      <c r="GW517" s="16"/>
      <c r="GX517" s="16"/>
      <c r="GY517" s="16"/>
      <c r="GZ517" s="17"/>
      <c r="HD517" s="24"/>
      <c r="HE517" s="60"/>
      <c r="HF517" s="16"/>
      <c r="HG517" s="16"/>
      <c r="HH517" s="16"/>
      <c r="HI517" s="16"/>
      <c r="HJ517" s="16"/>
      <c r="HK517" s="17"/>
      <c r="HO517" s="24"/>
      <c r="HP517" s="60"/>
      <c r="HQ517" s="16"/>
      <c r="HR517" s="16"/>
      <c r="HS517" s="16"/>
      <c r="HT517" s="16"/>
      <c r="HU517" s="16"/>
      <c r="HV517" s="17"/>
      <c r="HZ517" s="24"/>
      <c r="IA517" s="60"/>
      <c r="IB517" s="16"/>
      <c r="IC517" s="16"/>
      <c r="ID517" s="16"/>
      <c r="IE517" s="16"/>
      <c r="IF517" s="16"/>
      <c r="IG517" s="17"/>
      <c r="IK517" s="24"/>
      <c r="IL517" s="60"/>
      <c r="IM517" s="16"/>
      <c r="IN517" s="16"/>
      <c r="IO517" s="16"/>
      <c r="IP517" s="16"/>
      <c r="IQ517" s="16"/>
      <c r="IR517" s="17"/>
      <c r="IV517" s="24"/>
      <c r="IW517" s="60"/>
      <c r="IX517" s="16"/>
      <c r="IY517" s="16"/>
      <c r="IZ517" s="16"/>
      <c r="JA517" s="16"/>
      <c r="JB517" s="16"/>
      <c r="JC517" s="17"/>
      <c r="JG517" s="24"/>
      <c r="JH517" s="60"/>
      <c r="JI517" s="16"/>
      <c r="JJ517" s="16"/>
      <c r="JK517" s="16"/>
      <c r="JL517" s="16"/>
      <c r="JM517" s="16"/>
      <c r="JN517" s="17"/>
      <c r="JR517" s="24"/>
      <c r="JS517" s="60"/>
      <c r="JT517" s="16"/>
      <c r="JU517" s="16"/>
      <c r="JV517" s="16"/>
      <c r="JW517" s="16"/>
      <c r="JX517" s="16"/>
      <c r="JY517" s="17"/>
      <c r="KC517" s="24"/>
      <c r="KD517" s="60"/>
      <c r="KE517" s="16"/>
      <c r="KF517" s="16"/>
      <c r="KG517" s="16"/>
      <c r="KH517" s="16"/>
      <c r="KI517" s="16"/>
      <c r="KJ517" s="17"/>
      <c r="KN517" s="24"/>
      <c r="KO517" s="60"/>
      <c r="KP517" s="16"/>
      <c r="KQ517" s="16"/>
      <c r="KR517" s="16"/>
      <c r="KS517" s="16"/>
      <c r="KT517" s="16"/>
      <c r="KU517" s="17"/>
      <c r="KY517" s="24"/>
      <c r="KZ517" s="60"/>
      <c r="LA517" s="16"/>
      <c r="LB517" s="16"/>
      <c r="LC517" s="16"/>
      <c r="LD517" s="16"/>
      <c r="LE517" s="16"/>
      <c r="LF517" s="17"/>
      <c r="LJ517" s="24"/>
      <c r="LK517" s="60"/>
      <c r="LL517" s="16"/>
      <c r="LM517" s="16"/>
      <c r="LN517" s="16"/>
      <c r="LO517" s="16"/>
      <c r="LP517" s="16"/>
      <c r="LQ517" s="17"/>
    </row>
    <row r="518">
      <c r="C518" s="31"/>
      <c r="D518" s="61"/>
      <c r="E518" s="16"/>
      <c r="F518" s="16"/>
      <c r="G518" s="21"/>
      <c r="H518" s="16"/>
      <c r="I518" s="16"/>
      <c r="J518" s="17"/>
      <c r="N518" s="17"/>
      <c r="O518" s="61"/>
      <c r="P518" s="16"/>
      <c r="Q518" s="16"/>
      <c r="R518" s="16"/>
      <c r="S518" s="16"/>
      <c r="T518" s="16"/>
      <c r="U518" s="17"/>
      <c r="Y518" s="24"/>
      <c r="Z518" s="61"/>
      <c r="AA518" s="16"/>
      <c r="AB518" s="16"/>
      <c r="AC518" s="16"/>
      <c r="AD518" s="16"/>
      <c r="AE518" s="16"/>
      <c r="AF518" s="17"/>
      <c r="AJ518" s="24"/>
      <c r="AK518" s="61"/>
      <c r="AL518" s="16"/>
      <c r="AM518" s="16"/>
      <c r="AN518" s="16"/>
      <c r="AO518" s="16"/>
      <c r="AP518" s="16"/>
      <c r="AQ518" s="17"/>
      <c r="AU518" s="24"/>
      <c r="AV518" s="61"/>
      <c r="AW518" s="16"/>
      <c r="AX518" s="16"/>
      <c r="AY518" s="16"/>
      <c r="AZ518" s="16"/>
      <c r="BA518" s="16"/>
      <c r="BB518" s="17"/>
      <c r="BF518" s="24"/>
      <c r="BG518" s="61"/>
      <c r="BH518" s="16"/>
      <c r="BI518" s="16"/>
      <c r="BJ518" s="16"/>
      <c r="BK518" s="16"/>
      <c r="BL518" s="16"/>
      <c r="BM518" s="17"/>
      <c r="BQ518" s="24"/>
      <c r="BR518" s="61"/>
      <c r="BS518" s="16"/>
      <c r="BT518" s="16"/>
      <c r="BU518" s="16"/>
      <c r="BV518" s="16"/>
      <c r="BW518" s="16"/>
      <c r="BX518" s="17"/>
      <c r="CB518" s="24"/>
      <c r="CC518" s="61"/>
      <c r="CD518" s="16"/>
      <c r="CE518" s="16"/>
      <c r="CF518" s="16"/>
      <c r="CG518" s="16"/>
      <c r="CH518" s="16"/>
      <c r="CI518" s="17"/>
      <c r="CM518" s="24"/>
      <c r="CN518" s="61"/>
      <c r="CO518" s="16"/>
      <c r="CP518" s="16"/>
      <c r="CQ518" s="16"/>
      <c r="CR518" s="16"/>
      <c r="CS518" s="16"/>
      <c r="CT518" s="17"/>
      <c r="CX518" s="24"/>
      <c r="CY518" s="60"/>
      <c r="CZ518" s="16"/>
      <c r="DA518" s="16"/>
      <c r="DB518" s="16"/>
      <c r="DC518" s="16"/>
      <c r="DD518" s="16"/>
      <c r="DE518" s="17"/>
      <c r="DI518" s="24"/>
      <c r="DJ518" s="60"/>
      <c r="DK518" s="16"/>
      <c r="DL518" s="16"/>
      <c r="DM518" s="16"/>
      <c r="DN518" s="16"/>
      <c r="DO518" s="16"/>
      <c r="DP518" s="17"/>
      <c r="DT518" s="24"/>
      <c r="DU518" s="60"/>
      <c r="DV518" s="16"/>
      <c r="DW518" s="16"/>
      <c r="DX518" s="16"/>
      <c r="DY518" s="16"/>
      <c r="DZ518" s="16"/>
      <c r="EA518" s="17"/>
      <c r="EE518" s="24"/>
      <c r="EF518" s="60"/>
      <c r="EG518" s="16"/>
      <c r="EH518" s="16"/>
      <c r="EI518" s="16"/>
      <c r="EJ518" s="16"/>
      <c r="EK518" s="16"/>
      <c r="EL518" s="17"/>
      <c r="EP518" s="24"/>
      <c r="EQ518" s="60"/>
      <c r="ER518" s="16"/>
      <c r="ES518" s="16"/>
      <c r="ET518" s="16"/>
      <c r="EU518" s="16"/>
      <c r="EV518" s="16"/>
      <c r="EW518" s="17"/>
      <c r="FA518" s="24"/>
      <c r="FB518" s="60"/>
      <c r="FC518" s="16"/>
      <c r="FD518" s="16"/>
      <c r="FE518" s="16"/>
      <c r="FF518" s="16"/>
      <c r="FG518" s="16"/>
      <c r="FH518" s="17"/>
      <c r="FL518" s="24"/>
      <c r="FM518" s="60"/>
      <c r="FN518" s="16"/>
      <c r="FO518" s="16"/>
      <c r="FP518" s="16"/>
      <c r="FQ518" s="16"/>
      <c r="FR518" s="16"/>
      <c r="FS518" s="17"/>
      <c r="FW518" s="24"/>
      <c r="FX518" s="60"/>
      <c r="FY518" s="16"/>
      <c r="FZ518" s="16"/>
      <c r="GA518" s="16"/>
      <c r="GB518" s="16"/>
      <c r="GC518" s="16"/>
      <c r="GD518" s="17"/>
      <c r="GH518" s="24"/>
      <c r="GI518" s="60"/>
      <c r="GJ518" s="16"/>
      <c r="GK518" s="16"/>
      <c r="GL518" s="16"/>
      <c r="GM518" s="16"/>
      <c r="GN518" s="16"/>
      <c r="GO518" s="17"/>
      <c r="GS518" s="24"/>
      <c r="GT518" s="60"/>
      <c r="GU518" s="16"/>
      <c r="GV518" s="16"/>
      <c r="GW518" s="16"/>
      <c r="GX518" s="16"/>
      <c r="GY518" s="16"/>
      <c r="GZ518" s="17"/>
      <c r="HD518" s="24"/>
      <c r="HE518" s="60"/>
      <c r="HF518" s="16"/>
      <c r="HG518" s="16"/>
      <c r="HH518" s="16"/>
      <c r="HI518" s="16"/>
      <c r="HJ518" s="16"/>
      <c r="HK518" s="17"/>
      <c r="HO518" s="24"/>
      <c r="HP518" s="60"/>
      <c r="HQ518" s="16"/>
      <c r="HR518" s="16"/>
      <c r="HS518" s="16"/>
      <c r="HT518" s="16"/>
      <c r="HU518" s="16"/>
      <c r="HV518" s="17"/>
      <c r="HZ518" s="24"/>
      <c r="IA518" s="60"/>
      <c r="IB518" s="16"/>
      <c r="IC518" s="16"/>
      <c r="ID518" s="16"/>
      <c r="IE518" s="16"/>
      <c r="IF518" s="16"/>
      <c r="IG518" s="17"/>
      <c r="IK518" s="24"/>
      <c r="IL518" s="60"/>
      <c r="IM518" s="16"/>
      <c r="IN518" s="16"/>
      <c r="IO518" s="16"/>
      <c r="IP518" s="16"/>
      <c r="IQ518" s="16"/>
      <c r="IR518" s="17"/>
      <c r="IV518" s="24"/>
      <c r="IW518" s="60"/>
      <c r="IX518" s="16"/>
      <c r="IY518" s="16"/>
      <c r="IZ518" s="16"/>
      <c r="JA518" s="16"/>
      <c r="JB518" s="16"/>
      <c r="JC518" s="17"/>
      <c r="JG518" s="24"/>
      <c r="JH518" s="60"/>
      <c r="JI518" s="16"/>
      <c r="JJ518" s="16"/>
      <c r="JK518" s="16"/>
      <c r="JL518" s="16"/>
      <c r="JM518" s="16"/>
      <c r="JN518" s="17"/>
      <c r="JR518" s="24"/>
      <c r="JS518" s="60"/>
      <c r="JT518" s="16"/>
      <c r="JU518" s="16"/>
      <c r="JV518" s="16"/>
      <c r="JW518" s="16"/>
      <c r="JX518" s="16"/>
      <c r="JY518" s="17"/>
      <c r="KC518" s="24"/>
      <c r="KD518" s="60"/>
      <c r="KE518" s="16"/>
      <c r="KF518" s="16"/>
      <c r="KG518" s="16"/>
      <c r="KH518" s="16"/>
      <c r="KI518" s="16"/>
      <c r="KJ518" s="17"/>
      <c r="KN518" s="24"/>
      <c r="KO518" s="60"/>
      <c r="KP518" s="16"/>
      <c r="KQ518" s="16"/>
      <c r="KR518" s="16"/>
      <c r="KS518" s="16"/>
      <c r="KT518" s="16"/>
      <c r="KU518" s="17"/>
      <c r="KY518" s="24"/>
      <c r="KZ518" s="60"/>
      <c r="LA518" s="16"/>
      <c r="LB518" s="16"/>
      <c r="LC518" s="16"/>
      <c r="LD518" s="16"/>
      <c r="LE518" s="16"/>
      <c r="LF518" s="17"/>
      <c r="LJ518" s="24"/>
      <c r="LK518" s="60"/>
      <c r="LL518" s="16"/>
      <c r="LM518" s="16"/>
      <c r="LN518" s="16"/>
      <c r="LO518" s="16"/>
      <c r="LP518" s="16"/>
      <c r="LQ518" s="17"/>
    </row>
    <row r="519">
      <c r="C519" s="31"/>
      <c r="D519" s="61"/>
      <c r="E519" s="16"/>
      <c r="F519" s="16"/>
      <c r="G519" s="21"/>
      <c r="H519" s="16"/>
      <c r="I519" s="16"/>
      <c r="J519" s="17"/>
      <c r="N519" s="17"/>
      <c r="O519" s="61"/>
      <c r="P519" s="16"/>
      <c r="Q519" s="16"/>
      <c r="R519" s="16"/>
      <c r="S519" s="16"/>
      <c r="T519" s="16"/>
      <c r="U519" s="17"/>
      <c r="Y519" s="24"/>
      <c r="Z519" s="61"/>
      <c r="AA519" s="16"/>
      <c r="AB519" s="16"/>
      <c r="AC519" s="16"/>
      <c r="AD519" s="16"/>
      <c r="AE519" s="16"/>
      <c r="AF519" s="17"/>
      <c r="AJ519" s="24"/>
      <c r="AK519" s="61"/>
      <c r="AL519" s="16"/>
      <c r="AM519" s="16"/>
      <c r="AN519" s="16"/>
      <c r="AO519" s="16"/>
      <c r="AP519" s="16"/>
      <c r="AQ519" s="17"/>
      <c r="AU519" s="24"/>
      <c r="AV519" s="61"/>
      <c r="AW519" s="16"/>
      <c r="AX519" s="16"/>
      <c r="AY519" s="16"/>
      <c r="AZ519" s="16"/>
      <c r="BA519" s="16"/>
      <c r="BB519" s="17"/>
      <c r="BF519" s="24"/>
      <c r="BG519" s="61"/>
      <c r="BH519" s="16"/>
      <c r="BI519" s="16"/>
      <c r="BJ519" s="16"/>
      <c r="BK519" s="16"/>
      <c r="BL519" s="16"/>
      <c r="BM519" s="17"/>
      <c r="BQ519" s="24"/>
      <c r="BR519" s="61"/>
      <c r="BS519" s="16"/>
      <c r="BT519" s="16"/>
      <c r="BU519" s="16"/>
      <c r="BV519" s="16"/>
      <c r="BW519" s="16"/>
      <c r="BX519" s="17"/>
      <c r="CB519" s="24"/>
      <c r="CC519" s="61"/>
      <c r="CD519" s="16"/>
      <c r="CE519" s="16"/>
      <c r="CF519" s="16"/>
      <c r="CG519" s="16"/>
      <c r="CH519" s="16"/>
      <c r="CI519" s="17"/>
      <c r="CM519" s="24"/>
      <c r="CN519" s="61"/>
      <c r="CO519" s="16"/>
      <c r="CP519" s="16"/>
      <c r="CQ519" s="16"/>
      <c r="CR519" s="16"/>
      <c r="CS519" s="16"/>
      <c r="CT519" s="17"/>
      <c r="CX519" s="24"/>
      <c r="CY519" s="60"/>
      <c r="CZ519" s="16"/>
      <c r="DA519" s="16"/>
      <c r="DB519" s="16"/>
      <c r="DC519" s="16"/>
      <c r="DD519" s="16"/>
      <c r="DE519" s="17"/>
      <c r="DI519" s="24"/>
      <c r="DJ519" s="60"/>
      <c r="DK519" s="16"/>
      <c r="DL519" s="16"/>
      <c r="DM519" s="16"/>
      <c r="DN519" s="16"/>
      <c r="DO519" s="16"/>
      <c r="DP519" s="17"/>
      <c r="DT519" s="24"/>
      <c r="DU519" s="60"/>
      <c r="DV519" s="16"/>
      <c r="DW519" s="16"/>
      <c r="DX519" s="16"/>
      <c r="DY519" s="16"/>
      <c r="DZ519" s="16"/>
      <c r="EA519" s="17"/>
      <c r="EE519" s="24"/>
      <c r="EF519" s="60"/>
      <c r="EG519" s="16"/>
      <c r="EH519" s="16"/>
      <c r="EI519" s="16"/>
      <c r="EJ519" s="16"/>
      <c r="EK519" s="16"/>
      <c r="EL519" s="17"/>
      <c r="EP519" s="24"/>
      <c r="EQ519" s="60"/>
      <c r="ER519" s="16"/>
      <c r="ES519" s="16"/>
      <c r="ET519" s="16"/>
      <c r="EU519" s="16"/>
      <c r="EV519" s="16"/>
      <c r="EW519" s="17"/>
      <c r="FA519" s="24"/>
      <c r="FB519" s="60"/>
      <c r="FC519" s="16"/>
      <c r="FD519" s="16"/>
      <c r="FE519" s="16"/>
      <c r="FF519" s="16"/>
      <c r="FG519" s="16"/>
      <c r="FH519" s="17"/>
      <c r="FL519" s="24"/>
      <c r="FM519" s="60"/>
      <c r="FN519" s="16"/>
      <c r="FO519" s="16"/>
      <c r="FP519" s="16"/>
      <c r="FQ519" s="16"/>
      <c r="FR519" s="16"/>
      <c r="FS519" s="17"/>
      <c r="FW519" s="24"/>
      <c r="FX519" s="60"/>
      <c r="FY519" s="16"/>
      <c r="FZ519" s="16"/>
      <c r="GA519" s="16"/>
      <c r="GB519" s="16"/>
      <c r="GC519" s="16"/>
      <c r="GD519" s="17"/>
      <c r="GH519" s="24"/>
      <c r="GI519" s="60"/>
      <c r="GJ519" s="16"/>
      <c r="GK519" s="16"/>
      <c r="GL519" s="16"/>
      <c r="GM519" s="16"/>
      <c r="GN519" s="16"/>
      <c r="GO519" s="17"/>
      <c r="GS519" s="24"/>
      <c r="GT519" s="60"/>
      <c r="GU519" s="16"/>
      <c r="GV519" s="16"/>
      <c r="GW519" s="16"/>
      <c r="GX519" s="16"/>
      <c r="GY519" s="16"/>
      <c r="GZ519" s="17"/>
      <c r="HD519" s="24"/>
      <c r="HE519" s="60"/>
      <c r="HF519" s="16"/>
      <c r="HG519" s="16"/>
      <c r="HH519" s="16"/>
      <c r="HI519" s="16"/>
      <c r="HJ519" s="16"/>
      <c r="HK519" s="17"/>
      <c r="HO519" s="24"/>
      <c r="HP519" s="60"/>
      <c r="HQ519" s="16"/>
      <c r="HR519" s="16"/>
      <c r="HS519" s="16"/>
      <c r="HT519" s="16"/>
      <c r="HU519" s="16"/>
      <c r="HV519" s="17"/>
      <c r="HZ519" s="24"/>
      <c r="IA519" s="60"/>
      <c r="IB519" s="16"/>
      <c r="IC519" s="16"/>
      <c r="ID519" s="16"/>
      <c r="IE519" s="16"/>
      <c r="IF519" s="16"/>
      <c r="IG519" s="17"/>
      <c r="IK519" s="24"/>
      <c r="IL519" s="60"/>
      <c r="IM519" s="16"/>
      <c r="IN519" s="16"/>
      <c r="IO519" s="16"/>
      <c r="IP519" s="16"/>
      <c r="IQ519" s="16"/>
      <c r="IR519" s="17"/>
      <c r="IV519" s="24"/>
      <c r="IW519" s="60"/>
      <c r="IX519" s="16"/>
      <c r="IY519" s="16"/>
      <c r="IZ519" s="16"/>
      <c r="JA519" s="16"/>
      <c r="JB519" s="16"/>
      <c r="JC519" s="17"/>
      <c r="JG519" s="24"/>
      <c r="JH519" s="60"/>
      <c r="JI519" s="16"/>
      <c r="JJ519" s="16"/>
      <c r="JK519" s="16"/>
      <c r="JL519" s="16"/>
      <c r="JM519" s="16"/>
      <c r="JN519" s="17"/>
      <c r="JR519" s="24"/>
      <c r="JS519" s="60"/>
      <c r="JT519" s="16"/>
      <c r="JU519" s="16"/>
      <c r="JV519" s="16"/>
      <c r="JW519" s="16"/>
      <c r="JX519" s="16"/>
      <c r="JY519" s="17"/>
      <c r="KC519" s="24"/>
      <c r="KD519" s="60"/>
      <c r="KE519" s="16"/>
      <c r="KF519" s="16"/>
      <c r="KG519" s="16"/>
      <c r="KH519" s="16"/>
      <c r="KI519" s="16"/>
      <c r="KJ519" s="17"/>
      <c r="KN519" s="24"/>
      <c r="KO519" s="60"/>
      <c r="KP519" s="16"/>
      <c r="KQ519" s="16"/>
      <c r="KR519" s="16"/>
      <c r="KS519" s="16"/>
      <c r="KT519" s="16"/>
      <c r="KU519" s="17"/>
      <c r="KY519" s="24"/>
      <c r="KZ519" s="60"/>
      <c r="LA519" s="16"/>
      <c r="LB519" s="16"/>
      <c r="LC519" s="16"/>
      <c r="LD519" s="16"/>
      <c r="LE519" s="16"/>
      <c r="LF519" s="17"/>
      <c r="LJ519" s="24"/>
      <c r="LK519" s="60"/>
      <c r="LL519" s="16"/>
      <c r="LM519" s="16"/>
      <c r="LN519" s="16"/>
      <c r="LO519" s="16"/>
      <c r="LP519" s="16"/>
      <c r="LQ519" s="17"/>
    </row>
    <row r="520">
      <c r="C520" s="31"/>
      <c r="D520" s="61"/>
      <c r="E520" s="16"/>
      <c r="F520" s="16"/>
      <c r="G520" s="21"/>
      <c r="H520" s="16"/>
      <c r="I520" s="16"/>
      <c r="J520" s="17"/>
      <c r="N520" s="17"/>
      <c r="O520" s="61"/>
      <c r="P520" s="16"/>
      <c r="Q520" s="16"/>
      <c r="R520" s="16"/>
      <c r="S520" s="16"/>
      <c r="T520" s="16"/>
      <c r="U520" s="17"/>
      <c r="Y520" s="24"/>
      <c r="Z520" s="61"/>
      <c r="AA520" s="16"/>
      <c r="AB520" s="16"/>
      <c r="AC520" s="16"/>
      <c r="AD520" s="16"/>
      <c r="AE520" s="16"/>
      <c r="AF520" s="17"/>
      <c r="AJ520" s="24"/>
      <c r="AK520" s="61"/>
      <c r="AL520" s="16"/>
      <c r="AM520" s="16"/>
      <c r="AN520" s="16"/>
      <c r="AO520" s="16"/>
      <c r="AP520" s="16"/>
      <c r="AQ520" s="17"/>
      <c r="AU520" s="24"/>
      <c r="AV520" s="61"/>
      <c r="AW520" s="16"/>
      <c r="AX520" s="16"/>
      <c r="AY520" s="16"/>
      <c r="AZ520" s="16"/>
      <c r="BA520" s="16"/>
      <c r="BB520" s="17"/>
      <c r="BF520" s="24"/>
      <c r="BG520" s="61"/>
      <c r="BH520" s="16"/>
      <c r="BI520" s="16"/>
      <c r="BJ520" s="16"/>
      <c r="BK520" s="16"/>
      <c r="BL520" s="16"/>
      <c r="BM520" s="17"/>
      <c r="BQ520" s="24"/>
      <c r="BR520" s="61"/>
      <c r="BS520" s="16"/>
      <c r="BT520" s="16"/>
      <c r="BU520" s="16"/>
      <c r="BV520" s="16"/>
      <c r="BW520" s="16"/>
      <c r="BX520" s="17"/>
      <c r="CB520" s="24"/>
      <c r="CC520" s="61"/>
      <c r="CD520" s="16"/>
      <c r="CE520" s="16"/>
      <c r="CF520" s="16"/>
      <c r="CG520" s="16"/>
      <c r="CH520" s="16"/>
      <c r="CI520" s="17"/>
      <c r="CM520" s="24"/>
      <c r="CN520" s="61"/>
      <c r="CO520" s="16"/>
      <c r="CP520" s="16"/>
      <c r="CQ520" s="16"/>
      <c r="CR520" s="16"/>
      <c r="CS520" s="16"/>
      <c r="CT520" s="17"/>
      <c r="CX520" s="24"/>
      <c r="CY520" s="60"/>
      <c r="CZ520" s="16"/>
      <c r="DA520" s="16"/>
      <c r="DB520" s="16"/>
      <c r="DC520" s="16"/>
      <c r="DD520" s="16"/>
      <c r="DE520" s="17"/>
      <c r="DI520" s="24"/>
      <c r="DJ520" s="60"/>
      <c r="DK520" s="16"/>
      <c r="DL520" s="16"/>
      <c r="DM520" s="16"/>
      <c r="DN520" s="16"/>
      <c r="DO520" s="16"/>
      <c r="DP520" s="17"/>
      <c r="DT520" s="24"/>
      <c r="DU520" s="60"/>
      <c r="DV520" s="16"/>
      <c r="DW520" s="16"/>
      <c r="DX520" s="16"/>
      <c r="DY520" s="16"/>
      <c r="DZ520" s="16"/>
      <c r="EA520" s="17"/>
      <c r="EE520" s="24"/>
      <c r="EF520" s="60"/>
      <c r="EG520" s="16"/>
      <c r="EH520" s="16"/>
      <c r="EI520" s="16"/>
      <c r="EJ520" s="16"/>
      <c r="EK520" s="16"/>
      <c r="EL520" s="17"/>
      <c r="EP520" s="24"/>
      <c r="EQ520" s="60"/>
      <c r="ER520" s="16"/>
      <c r="ES520" s="16"/>
      <c r="ET520" s="16"/>
      <c r="EU520" s="16"/>
      <c r="EV520" s="16"/>
      <c r="EW520" s="17"/>
      <c r="FA520" s="24"/>
      <c r="FB520" s="60"/>
      <c r="FC520" s="16"/>
      <c r="FD520" s="16"/>
      <c r="FE520" s="16"/>
      <c r="FF520" s="16"/>
      <c r="FG520" s="16"/>
      <c r="FH520" s="17"/>
      <c r="FL520" s="24"/>
      <c r="FM520" s="60"/>
      <c r="FN520" s="16"/>
      <c r="FO520" s="16"/>
      <c r="FP520" s="16"/>
      <c r="FQ520" s="16"/>
      <c r="FR520" s="16"/>
      <c r="FS520" s="17"/>
      <c r="FW520" s="24"/>
      <c r="FX520" s="60"/>
      <c r="FY520" s="16"/>
      <c r="FZ520" s="16"/>
      <c r="GA520" s="16"/>
      <c r="GB520" s="16"/>
      <c r="GC520" s="16"/>
      <c r="GD520" s="17"/>
      <c r="GH520" s="24"/>
      <c r="GI520" s="60"/>
      <c r="GJ520" s="16"/>
      <c r="GK520" s="16"/>
      <c r="GL520" s="16"/>
      <c r="GM520" s="16"/>
      <c r="GN520" s="16"/>
      <c r="GO520" s="17"/>
      <c r="GS520" s="24"/>
      <c r="GT520" s="60"/>
      <c r="GU520" s="16"/>
      <c r="GV520" s="16"/>
      <c r="GW520" s="16"/>
      <c r="GX520" s="16"/>
      <c r="GY520" s="16"/>
      <c r="GZ520" s="17"/>
      <c r="HD520" s="24"/>
      <c r="HE520" s="60"/>
      <c r="HF520" s="16"/>
      <c r="HG520" s="16"/>
      <c r="HH520" s="16"/>
      <c r="HI520" s="16"/>
      <c r="HJ520" s="16"/>
      <c r="HK520" s="17"/>
      <c r="HO520" s="24"/>
      <c r="HP520" s="60"/>
      <c r="HQ520" s="16"/>
      <c r="HR520" s="16"/>
      <c r="HS520" s="16"/>
      <c r="HT520" s="16"/>
      <c r="HU520" s="16"/>
      <c r="HV520" s="17"/>
      <c r="HZ520" s="24"/>
      <c r="IA520" s="60"/>
      <c r="IB520" s="16"/>
      <c r="IC520" s="16"/>
      <c r="ID520" s="16"/>
      <c r="IE520" s="16"/>
      <c r="IF520" s="16"/>
      <c r="IG520" s="17"/>
      <c r="IK520" s="24"/>
      <c r="IL520" s="60"/>
      <c r="IM520" s="16"/>
      <c r="IN520" s="16"/>
      <c r="IO520" s="16"/>
      <c r="IP520" s="16"/>
      <c r="IQ520" s="16"/>
      <c r="IR520" s="17"/>
      <c r="IV520" s="24"/>
      <c r="IW520" s="60"/>
      <c r="IX520" s="16"/>
      <c r="IY520" s="16"/>
      <c r="IZ520" s="16"/>
      <c r="JA520" s="16"/>
      <c r="JB520" s="16"/>
      <c r="JC520" s="17"/>
      <c r="JG520" s="24"/>
      <c r="JH520" s="60"/>
      <c r="JI520" s="16"/>
      <c r="JJ520" s="16"/>
      <c r="JK520" s="16"/>
      <c r="JL520" s="16"/>
      <c r="JM520" s="16"/>
      <c r="JN520" s="17"/>
      <c r="JR520" s="24"/>
      <c r="JS520" s="60"/>
      <c r="JT520" s="16"/>
      <c r="JU520" s="16"/>
      <c r="JV520" s="16"/>
      <c r="JW520" s="16"/>
      <c r="JX520" s="16"/>
      <c r="JY520" s="17"/>
      <c r="KC520" s="24"/>
      <c r="KD520" s="60"/>
      <c r="KE520" s="16"/>
      <c r="KF520" s="16"/>
      <c r="KG520" s="16"/>
      <c r="KH520" s="16"/>
      <c r="KI520" s="16"/>
      <c r="KJ520" s="17"/>
      <c r="KN520" s="24"/>
      <c r="KO520" s="60"/>
      <c r="KP520" s="16"/>
      <c r="KQ520" s="16"/>
      <c r="KR520" s="16"/>
      <c r="KS520" s="16"/>
      <c r="KT520" s="16"/>
      <c r="KU520" s="17"/>
      <c r="KY520" s="24"/>
      <c r="KZ520" s="60"/>
      <c r="LA520" s="16"/>
      <c r="LB520" s="16"/>
      <c r="LC520" s="16"/>
      <c r="LD520" s="16"/>
      <c r="LE520" s="16"/>
      <c r="LF520" s="17"/>
      <c r="LJ520" s="24"/>
      <c r="LK520" s="60"/>
      <c r="LL520" s="16"/>
      <c r="LM520" s="16"/>
      <c r="LN520" s="16"/>
      <c r="LO520" s="16"/>
      <c r="LP520" s="16"/>
      <c r="LQ520" s="17"/>
    </row>
    <row r="521">
      <c r="C521" s="31"/>
      <c r="D521" s="61"/>
      <c r="E521" s="16"/>
      <c r="F521" s="16"/>
      <c r="G521" s="21"/>
      <c r="H521" s="16"/>
      <c r="I521" s="16"/>
      <c r="J521" s="17"/>
      <c r="N521" s="17"/>
      <c r="O521" s="61"/>
      <c r="P521" s="16"/>
      <c r="Q521" s="16"/>
      <c r="R521" s="16"/>
      <c r="S521" s="16"/>
      <c r="T521" s="16"/>
      <c r="U521" s="17"/>
      <c r="Y521" s="24"/>
      <c r="Z521" s="61"/>
      <c r="AA521" s="16"/>
      <c r="AB521" s="16"/>
      <c r="AC521" s="16"/>
      <c r="AD521" s="16"/>
      <c r="AE521" s="16"/>
      <c r="AF521" s="17"/>
      <c r="AJ521" s="24"/>
      <c r="AK521" s="61"/>
      <c r="AL521" s="16"/>
      <c r="AM521" s="16"/>
      <c r="AN521" s="16"/>
      <c r="AO521" s="16"/>
      <c r="AP521" s="16"/>
      <c r="AQ521" s="17"/>
      <c r="AU521" s="24"/>
      <c r="AV521" s="61"/>
      <c r="AW521" s="16"/>
      <c r="AX521" s="16"/>
      <c r="AY521" s="16"/>
      <c r="AZ521" s="16"/>
      <c r="BA521" s="16"/>
      <c r="BB521" s="17"/>
      <c r="BF521" s="24"/>
      <c r="BG521" s="61"/>
      <c r="BH521" s="16"/>
      <c r="BI521" s="16"/>
      <c r="BJ521" s="16"/>
      <c r="BK521" s="16"/>
      <c r="BL521" s="16"/>
      <c r="BM521" s="17"/>
      <c r="BQ521" s="24"/>
      <c r="BR521" s="61"/>
      <c r="BS521" s="16"/>
      <c r="BT521" s="16"/>
      <c r="BU521" s="16"/>
      <c r="BV521" s="16"/>
      <c r="BW521" s="16"/>
      <c r="BX521" s="17"/>
      <c r="CB521" s="24"/>
      <c r="CC521" s="61"/>
      <c r="CD521" s="16"/>
      <c r="CE521" s="16"/>
      <c r="CF521" s="16"/>
      <c r="CG521" s="16"/>
      <c r="CH521" s="16"/>
      <c r="CI521" s="17"/>
      <c r="CM521" s="24"/>
      <c r="CN521" s="61"/>
      <c r="CO521" s="16"/>
      <c r="CP521" s="16"/>
      <c r="CQ521" s="16"/>
      <c r="CR521" s="16"/>
      <c r="CS521" s="16"/>
      <c r="CT521" s="17"/>
      <c r="CX521" s="24"/>
      <c r="CY521" s="60"/>
      <c r="CZ521" s="16"/>
      <c r="DA521" s="16"/>
      <c r="DB521" s="16"/>
      <c r="DC521" s="16"/>
      <c r="DD521" s="16"/>
      <c r="DE521" s="17"/>
      <c r="DI521" s="24"/>
      <c r="DJ521" s="60"/>
      <c r="DK521" s="16"/>
      <c r="DL521" s="16"/>
      <c r="DM521" s="16"/>
      <c r="DN521" s="16"/>
      <c r="DO521" s="16"/>
      <c r="DP521" s="17"/>
      <c r="DT521" s="24"/>
      <c r="DU521" s="60"/>
      <c r="DV521" s="16"/>
      <c r="DW521" s="16"/>
      <c r="DX521" s="16"/>
      <c r="DY521" s="16"/>
      <c r="DZ521" s="16"/>
      <c r="EA521" s="17"/>
      <c r="EE521" s="24"/>
      <c r="EF521" s="60"/>
      <c r="EG521" s="16"/>
      <c r="EH521" s="16"/>
      <c r="EI521" s="16"/>
      <c r="EJ521" s="16"/>
      <c r="EK521" s="16"/>
      <c r="EL521" s="17"/>
      <c r="EP521" s="24"/>
      <c r="EQ521" s="60"/>
      <c r="ER521" s="16"/>
      <c r="ES521" s="16"/>
      <c r="ET521" s="16"/>
      <c r="EU521" s="16"/>
      <c r="EV521" s="16"/>
      <c r="EW521" s="17"/>
      <c r="FA521" s="24"/>
      <c r="FB521" s="60"/>
      <c r="FC521" s="16"/>
      <c r="FD521" s="16"/>
      <c r="FE521" s="16"/>
      <c r="FF521" s="16"/>
      <c r="FG521" s="16"/>
      <c r="FH521" s="17"/>
      <c r="FL521" s="24"/>
      <c r="FM521" s="60"/>
      <c r="FN521" s="16"/>
      <c r="FO521" s="16"/>
      <c r="FP521" s="16"/>
      <c r="FQ521" s="16"/>
      <c r="FR521" s="16"/>
      <c r="FS521" s="17"/>
      <c r="FW521" s="24"/>
      <c r="FX521" s="60"/>
      <c r="FY521" s="16"/>
      <c r="FZ521" s="16"/>
      <c r="GA521" s="16"/>
      <c r="GB521" s="16"/>
      <c r="GC521" s="16"/>
      <c r="GD521" s="17"/>
      <c r="GH521" s="24"/>
      <c r="GI521" s="60"/>
      <c r="GJ521" s="16"/>
      <c r="GK521" s="16"/>
      <c r="GL521" s="16"/>
      <c r="GM521" s="16"/>
      <c r="GN521" s="16"/>
      <c r="GO521" s="17"/>
      <c r="GS521" s="24"/>
      <c r="GT521" s="60"/>
      <c r="GU521" s="16"/>
      <c r="GV521" s="16"/>
      <c r="GW521" s="16"/>
      <c r="GX521" s="16"/>
      <c r="GY521" s="16"/>
      <c r="GZ521" s="17"/>
      <c r="HD521" s="24"/>
      <c r="HE521" s="60"/>
      <c r="HF521" s="16"/>
      <c r="HG521" s="16"/>
      <c r="HH521" s="16"/>
      <c r="HI521" s="16"/>
      <c r="HJ521" s="16"/>
      <c r="HK521" s="17"/>
      <c r="HO521" s="24"/>
      <c r="HP521" s="60"/>
      <c r="HQ521" s="16"/>
      <c r="HR521" s="16"/>
      <c r="HS521" s="16"/>
      <c r="HT521" s="16"/>
      <c r="HU521" s="16"/>
      <c r="HV521" s="17"/>
      <c r="HZ521" s="24"/>
      <c r="IA521" s="60"/>
      <c r="IB521" s="16"/>
      <c r="IC521" s="16"/>
      <c r="ID521" s="16"/>
      <c r="IE521" s="16"/>
      <c r="IF521" s="16"/>
      <c r="IG521" s="17"/>
      <c r="IK521" s="24"/>
      <c r="IL521" s="60"/>
      <c r="IM521" s="16"/>
      <c r="IN521" s="16"/>
      <c r="IO521" s="16"/>
      <c r="IP521" s="16"/>
      <c r="IQ521" s="16"/>
      <c r="IR521" s="17"/>
      <c r="IV521" s="24"/>
      <c r="IW521" s="60"/>
      <c r="IX521" s="16"/>
      <c r="IY521" s="16"/>
      <c r="IZ521" s="16"/>
      <c r="JA521" s="16"/>
      <c r="JB521" s="16"/>
      <c r="JC521" s="17"/>
      <c r="JG521" s="24"/>
      <c r="JH521" s="60"/>
      <c r="JI521" s="16"/>
      <c r="JJ521" s="16"/>
      <c r="JK521" s="16"/>
      <c r="JL521" s="16"/>
      <c r="JM521" s="16"/>
      <c r="JN521" s="17"/>
      <c r="JR521" s="24"/>
      <c r="JS521" s="60"/>
      <c r="JT521" s="16"/>
      <c r="JU521" s="16"/>
      <c r="JV521" s="16"/>
      <c r="JW521" s="16"/>
      <c r="JX521" s="16"/>
      <c r="JY521" s="17"/>
      <c r="KC521" s="24"/>
      <c r="KD521" s="60"/>
      <c r="KE521" s="16"/>
      <c r="KF521" s="16"/>
      <c r="KG521" s="16"/>
      <c r="KH521" s="16"/>
      <c r="KI521" s="16"/>
      <c r="KJ521" s="17"/>
      <c r="KN521" s="24"/>
      <c r="KO521" s="60"/>
      <c r="KP521" s="16"/>
      <c r="KQ521" s="16"/>
      <c r="KR521" s="16"/>
      <c r="KS521" s="16"/>
      <c r="KT521" s="16"/>
      <c r="KU521" s="17"/>
      <c r="KY521" s="24"/>
      <c r="KZ521" s="60"/>
      <c r="LA521" s="16"/>
      <c r="LB521" s="16"/>
      <c r="LC521" s="16"/>
      <c r="LD521" s="16"/>
      <c r="LE521" s="16"/>
      <c r="LF521" s="17"/>
      <c r="LJ521" s="24"/>
      <c r="LK521" s="60"/>
      <c r="LL521" s="16"/>
      <c r="LM521" s="16"/>
      <c r="LN521" s="16"/>
      <c r="LO521" s="16"/>
      <c r="LP521" s="16"/>
      <c r="LQ521" s="17"/>
    </row>
    <row r="522">
      <c r="C522" s="31"/>
      <c r="D522" s="61"/>
      <c r="E522" s="16"/>
      <c r="F522" s="16"/>
      <c r="G522" s="21"/>
      <c r="H522" s="16"/>
      <c r="I522" s="16"/>
      <c r="J522" s="17"/>
      <c r="N522" s="17"/>
      <c r="O522" s="61"/>
      <c r="P522" s="16"/>
      <c r="Q522" s="16"/>
      <c r="R522" s="16"/>
      <c r="S522" s="16"/>
      <c r="T522" s="16"/>
      <c r="U522" s="17"/>
      <c r="Y522" s="24"/>
      <c r="Z522" s="61"/>
      <c r="AA522" s="16"/>
      <c r="AB522" s="16"/>
      <c r="AC522" s="16"/>
      <c r="AD522" s="16"/>
      <c r="AE522" s="16"/>
      <c r="AF522" s="17"/>
      <c r="AJ522" s="24"/>
      <c r="AK522" s="61"/>
      <c r="AL522" s="16"/>
      <c r="AM522" s="16"/>
      <c r="AN522" s="16"/>
      <c r="AO522" s="16"/>
      <c r="AP522" s="16"/>
      <c r="AQ522" s="17"/>
      <c r="AU522" s="24"/>
      <c r="AV522" s="61"/>
      <c r="AW522" s="16"/>
      <c r="AX522" s="16"/>
      <c r="AY522" s="16"/>
      <c r="AZ522" s="16"/>
      <c r="BA522" s="16"/>
      <c r="BB522" s="17"/>
      <c r="BF522" s="24"/>
      <c r="BG522" s="61"/>
      <c r="BH522" s="16"/>
      <c r="BI522" s="16"/>
      <c r="BJ522" s="16"/>
      <c r="BK522" s="16"/>
      <c r="BL522" s="16"/>
      <c r="BM522" s="17"/>
      <c r="BQ522" s="24"/>
      <c r="BR522" s="61"/>
      <c r="BS522" s="16"/>
      <c r="BT522" s="16"/>
      <c r="BU522" s="16"/>
      <c r="BV522" s="16"/>
      <c r="BW522" s="16"/>
      <c r="BX522" s="17"/>
      <c r="CB522" s="24"/>
      <c r="CC522" s="61"/>
      <c r="CD522" s="16"/>
      <c r="CE522" s="16"/>
      <c r="CF522" s="16"/>
      <c r="CG522" s="16"/>
      <c r="CH522" s="16"/>
      <c r="CI522" s="17"/>
      <c r="CM522" s="24"/>
      <c r="CN522" s="61"/>
      <c r="CO522" s="16"/>
      <c r="CP522" s="16"/>
      <c r="CQ522" s="16"/>
      <c r="CR522" s="16"/>
      <c r="CS522" s="16"/>
      <c r="CT522" s="17"/>
      <c r="CX522" s="24"/>
      <c r="CY522" s="60"/>
      <c r="CZ522" s="16"/>
      <c r="DA522" s="16"/>
      <c r="DB522" s="16"/>
      <c r="DC522" s="16"/>
      <c r="DD522" s="16"/>
      <c r="DE522" s="17"/>
      <c r="DI522" s="24"/>
      <c r="DJ522" s="60"/>
      <c r="DK522" s="16"/>
      <c r="DL522" s="16"/>
      <c r="DM522" s="16"/>
      <c r="DN522" s="16"/>
      <c r="DO522" s="16"/>
      <c r="DP522" s="17"/>
      <c r="DT522" s="24"/>
      <c r="DU522" s="60"/>
      <c r="DV522" s="16"/>
      <c r="DW522" s="16"/>
      <c r="DX522" s="16"/>
      <c r="DY522" s="16"/>
      <c r="DZ522" s="16"/>
      <c r="EA522" s="17"/>
      <c r="EE522" s="24"/>
      <c r="EF522" s="60"/>
      <c r="EG522" s="16"/>
      <c r="EH522" s="16"/>
      <c r="EI522" s="16"/>
      <c r="EJ522" s="16"/>
      <c r="EK522" s="16"/>
      <c r="EL522" s="17"/>
      <c r="EP522" s="24"/>
      <c r="EQ522" s="60"/>
      <c r="ER522" s="16"/>
      <c r="ES522" s="16"/>
      <c r="ET522" s="16"/>
      <c r="EU522" s="16"/>
      <c r="EV522" s="16"/>
      <c r="EW522" s="17"/>
      <c r="FA522" s="24"/>
      <c r="FB522" s="60"/>
      <c r="FC522" s="16"/>
      <c r="FD522" s="16"/>
      <c r="FE522" s="16"/>
      <c r="FF522" s="16"/>
      <c r="FG522" s="16"/>
      <c r="FH522" s="17"/>
      <c r="FL522" s="24"/>
      <c r="FM522" s="60"/>
      <c r="FN522" s="16"/>
      <c r="FO522" s="16"/>
      <c r="FP522" s="16"/>
      <c r="FQ522" s="16"/>
      <c r="FR522" s="16"/>
      <c r="FS522" s="17"/>
      <c r="FW522" s="24"/>
      <c r="FX522" s="60"/>
      <c r="FY522" s="16"/>
      <c r="FZ522" s="16"/>
      <c r="GA522" s="16"/>
      <c r="GB522" s="16"/>
      <c r="GC522" s="16"/>
      <c r="GD522" s="17"/>
      <c r="GH522" s="24"/>
      <c r="GI522" s="60"/>
      <c r="GJ522" s="16"/>
      <c r="GK522" s="16"/>
      <c r="GL522" s="16"/>
      <c r="GM522" s="16"/>
      <c r="GN522" s="16"/>
      <c r="GO522" s="17"/>
      <c r="GS522" s="24"/>
      <c r="GT522" s="60"/>
      <c r="GU522" s="16"/>
      <c r="GV522" s="16"/>
      <c r="GW522" s="16"/>
      <c r="GX522" s="16"/>
      <c r="GY522" s="16"/>
      <c r="GZ522" s="17"/>
      <c r="HD522" s="24"/>
      <c r="HE522" s="60"/>
      <c r="HF522" s="16"/>
      <c r="HG522" s="16"/>
      <c r="HH522" s="16"/>
      <c r="HI522" s="16"/>
      <c r="HJ522" s="16"/>
      <c r="HK522" s="17"/>
      <c r="HO522" s="24"/>
      <c r="HP522" s="60"/>
      <c r="HQ522" s="16"/>
      <c r="HR522" s="16"/>
      <c r="HS522" s="16"/>
      <c r="HT522" s="16"/>
      <c r="HU522" s="16"/>
      <c r="HV522" s="17"/>
      <c r="HZ522" s="24"/>
      <c r="IA522" s="60"/>
      <c r="IB522" s="16"/>
      <c r="IC522" s="16"/>
      <c r="ID522" s="16"/>
      <c r="IE522" s="16"/>
      <c r="IF522" s="16"/>
      <c r="IG522" s="17"/>
      <c r="IK522" s="24"/>
      <c r="IL522" s="60"/>
      <c r="IM522" s="16"/>
      <c r="IN522" s="16"/>
      <c r="IO522" s="16"/>
      <c r="IP522" s="16"/>
      <c r="IQ522" s="16"/>
      <c r="IR522" s="17"/>
      <c r="IV522" s="24"/>
      <c r="IW522" s="60"/>
      <c r="IX522" s="16"/>
      <c r="IY522" s="16"/>
      <c r="IZ522" s="16"/>
      <c r="JA522" s="16"/>
      <c r="JB522" s="16"/>
      <c r="JC522" s="17"/>
      <c r="JG522" s="24"/>
      <c r="JH522" s="60"/>
      <c r="JI522" s="16"/>
      <c r="JJ522" s="16"/>
      <c r="JK522" s="16"/>
      <c r="JL522" s="16"/>
      <c r="JM522" s="16"/>
      <c r="JN522" s="17"/>
      <c r="JR522" s="24"/>
      <c r="JS522" s="60"/>
      <c r="JT522" s="16"/>
      <c r="JU522" s="16"/>
      <c r="JV522" s="16"/>
      <c r="JW522" s="16"/>
      <c r="JX522" s="16"/>
      <c r="JY522" s="17"/>
      <c r="KC522" s="24"/>
      <c r="KD522" s="60"/>
      <c r="KE522" s="16"/>
      <c r="KF522" s="16"/>
      <c r="KG522" s="16"/>
      <c r="KH522" s="16"/>
      <c r="KI522" s="16"/>
      <c r="KJ522" s="17"/>
      <c r="KN522" s="24"/>
      <c r="KO522" s="60"/>
      <c r="KP522" s="16"/>
      <c r="KQ522" s="16"/>
      <c r="KR522" s="16"/>
      <c r="KS522" s="16"/>
      <c r="KT522" s="16"/>
      <c r="KU522" s="17"/>
      <c r="KY522" s="24"/>
      <c r="KZ522" s="60"/>
      <c r="LA522" s="16"/>
      <c r="LB522" s="16"/>
      <c r="LC522" s="16"/>
      <c r="LD522" s="16"/>
      <c r="LE522" s="16"/>
      <c r="LF522" s="17"/>
      <c r="LJ522" s="24"/>
      <c r="LK522" s="60"/>
      <c r="LL522" s="16"/>
      <c r="LM522" s="16"/>
      <c r="LN522" s="16"/>
      <c r="LO522" s="16"/>
      <c r="LP522" s="16"/>
      <c r="LQ522" s="17"/>
    </row>
    <row r="523">
      <c r="C523" s="31"/>
      <c r="D523" s="61"/>
      <c r="E523" s="16"/>
      <c r="F523" s="16"/>
      <c r="G523" s="21"/>
      <c r="H523" s="16"/>
      <c r="I523" s="16"/>
      <c r="J523" s="17"/>
      <c r="N523" s="17"/>
      <c r="O523" s="61"/>
      <c r="P523" s="16"/>
      <c r="Q523" s="16"/>
      <c r="R523" s="16"/>
      <c r="S523" s="16"/>
      <c r="T523" s="16"/>
      <c r="U523" s="17"/>
      <c r="Y523" s="24"/>
      <c r="Z523" s="61"/>
      <c r="AA523" s="16"/>
      <c r="AB523" s="16"/>
      <c r="AC523" s="16"/>
      <c r="AD523" s="16"/>
      <c r="AE523" s="16"/>
      <c r="AF523" s="17"/>
      <c r="AJ523" s="24"/>
      <c r="AK523" s="61"/>
      <c r="AL523" s="16"/>
      <c r="AM523" s="16"/>
      <c r="AN523" s="16"/>
      <c r="AO523" s="16"/>
      <c r="AP523" s="16"/>
      <c r="AQ523" s="17"/>
      <c r="AU523" s="24"/>
      <c r="AV523" s="61"/>
      <c r="AW523" s="16"/>
      <c r="AX523" s="16"/>
      <c r="AY523" s="16"/>
      <c r="AZ523" s="16"/>
      <c r="BA523" s="16"/>
      <c r="BB523" s="17"/>
      <c r="BF523" s="24"/>
      <c r="BG523" s="61"/>
      <c r="BH523" s="16"/>
      <c r="BI523" s="16"/>
      <c r="BJ523" s="16"/>
      <c r="BK523" s="16"/>
      <c r="BL523" s="16"/>
      <c r="BM523" s="17"/>
      <c r="BQ523" s="24"/>
      <c r="BR523" s="61"/>
      <c r="BS523" s="16"/>
      <c r="BT523" s="16"/>
      <c r="BU523" s="16"/>
      <c r="BV523" s="16"/>
      <c r="BW523" s="16"/>
      <c r="BX523" s="17"/>
      <c r="CB523" s="24"/>
      <c r="CC523" s="61"/>
      <c r="CD523" s="16"/>
      <c r="CE523" s="16"/>
      <c r="CF523" s="16"/>
      <c r="CG523" s="16"/>
      <c r="CH523" s="16"/>
      <c r="CI523" s="17"/>
      <c r="CM523" s="24"/>
      <c r="CN523" s="61"/>
      <c r="CO523" s="16"/>
      <c r="CP523" s="16"/>
      <c r="CQ523" s="16"/>
      <c r="CR523" s="16"/>
      <c r="CS523" s="16"/>
      <c r="CT523" s="17"/>
      <c r="CX523" s="24"/>
      <c r="CY523" s="60"/>
      <c r="CZ523" s="16"/>
      <c r="DA523" s="16"/>
      <c r="DB523" s="16"/>
      <c r="DC523" s="16"/>
      <c r="DD523" s="16"/>
      <c r="DE523" s="17"/>
      <c r="DI523" s="24"/>
      <c r="DJ523" s="60"/>
      <c r="DK523" s="16"/>
      <c r="DL523" s="16"/>
      <c r="DM523" s="16"/>
      <c r="DN523" s="16"/>
      <c r="DO523" s="16"/>
      <c r="DP523" s="17"/>
      <c r="DT523" s="24"/>
      <c r="DU523" s="60"/>
      <c r="DV523" s="16"/>
      <c r="DW523" s="16"/>
      <c r="DX523" s="16"/>
      <c r="DY523" s="16"/>
      <c r="DZ523" s="16"/>
      <c r="EA523" s="17"/>
      <c r="EE523" s="24"/>
      <c r="EF523" s="60"/>
      <c r="EG523" s="16"/>
      <c r="EH523" s="16"/>
      <c r="EI523" s="16"/>
      <c r="EJ523" s="16"/>
      <c r="EK523" s="16"/>
      <c r="EL523" s="17"/>
      <c r="EP523" s="24"/>
      <c r="EQ523" s="60"/>
      <c r="ER523" s="16"/>
      <c r="ES523" s="16"/>
      <c r="ET523" s="16"/>
      <c r="EU523" s="16"/>
      <c r="EV523" s="16"/>
      <c r="EW523" s="17"/>
      <c r="FA523" s="24"/>
      <c r="FB523" s="60"/>
      <c r="FC523" s="16"/>
      <c r="FD523" s="16"/>
      <c r="FE523" s="16"/>
      <c r="FF523" s="16"/>
      <c r="FG523" s="16"/>
      <c r="FH523" s="17"/>
      <c r="FL523" s="24"/>
      <c r="FM523" s="60"/>
      <c r="FN523" s="16"/>
      <c r="FO523" s="16"/>
      <c r="FP523" s="16"/>
      <c r="FQ523" s="16"/>
      <c r="FR523" s="16"/>
      <c r="FS523" s="17"/>
      <c r="FW523" s="24"/>
      <c r="FX523" s="60"/>
      <c r="FY523" s="16"/>
      <c r="FZ523" s="16"/>
      <c r="GA523" s="16"/>
      <c r="GB523" s="16"/>
      <c r="GC523" s="16"/>
      <c r="GD523" s="17"/>
      <c r="GH523" s="24"/>
      <c r="GI523" s="60"/>
      <c r="GJ523" s="16"/>
      <c r="GK523" s="16"/>
      <c r="GL523" s="16"/>
      <c r="GM523" s="16"/>
      <c r="GN523" s="16"/>
      <c r="GO523" s="17"/>
      <c r="GS523" s="24"/>
      <c r="GT523" s="60"/>
      <c r="GU523" s="16"/>
      <c r="GV523" s="16"/>
      <c r="GW523" s="16"/>
      <c r="GX523" s="16"/>
      <c r="GY523" s="16"/>
      <c r="GZ523" s="17"/>
      <c r="HD523" s="24"/>
      <c r="HE523" s="60"/>
      <c r="HF523" s="16"/>
      <c r="HG523" s="16"/>
      <c r="HH523" s="16"/>
      <c r="HI523" s="16"/>
      <c r="HJ523" s="16"/>
      <c r="HK523" s="17"/>
      <c r="HO523" s="24"/>
      <c r="HP523" s="60"/>
      <c r="HQ523" s="16"/>
      <c r="HR523" s="16"/>
      <c r="HS523" s="16"/>
      <c r="HT523" s="16"/>
      <c r="HU523" s="16"/>
      <c r="HV523" s="17"/>
      <c r="HZ523" s="24"/>
      <c r="IA523" s="60"/>
      <c r="IB523" s="16"/>
      <c r="IC523" s="16"/>
      <c r="ID523" s="16"/>
      <c r="IE523" s="16"/>
      <c r="IF523" s="16"/>
      <c r="IG523" s="17"/>
      <c r="IK523" s="24"/>
      <c r="IL523" s="60"/>
      <c r="IM523" s="16"/>
      <c r="IN523" s="16"/>
      <c r="IO523" s="16"/>
      <c r="IP523" s="16"/>
      <c r="IQ523" s="16"/>
      <c r="IR523" s="17"/>
      <c r="IV523" s="24"/>
      <c r="IW523" s="60"/>
      <c r="IX523" s="16"/>
      <c r="IY523" s="16"/>
      <c r="IZ523" s="16"/>
      <c r="JA523" s="16"/>
      <c r="JB523" s="16"/>
      <c r="JC523" s="17"/>
      <c r="JG523" s="24"/>
      <c r="JH523" s="60"/>
      <c r="JI523" s="16"/>
      <c r="JJ523" s="16"/>
      <c r="JK523" s="16"/>
      <c r="JL523" s="16"/>
      <c r="JM523" s="16"/>
      <c r="JN523" s="17"/>
      <c r="JR523" s="24"/>
      <c r="JS523" s="60"/>
      <c r="JT523" s="16"/>
      <c r="JU523" s="16"/>
      <c r="JV523" s="16"/>
      <c r="JW523" s="16"/>
      <c r="JX523" s="16"/>
      <c r="JY523" s="17"/>
      <c r="KC523" s="24"/>
      <c r="KD523" s="60"/>
      <c r="KE523" s="16"/>
      <c r="KF523" s="16"/>
      <c r="KG523" s="16"/>
      <c r="KH523" s="16"/>
      <c r="KI523" s="16"/>
      <c r="KJ523" s="17"/>
      <c r="KN523" s="24"/>
      <c r="KO523" s="60"/>
      <c r="KP523" s="16"/>
      <c r="KQ523" s="16"/>
      <c r="KR523" s="16"/>
      <c r="KS523" s="16"/>
      <c r="KT523" s="16"/>
      <c r="KU523" s="17"/>
      <c r="KY523" s="24"/>
      <c r="KZ523" s="60"/>
      <c r="LA523" s="16"/>
      <c r="LB523" s="16"/>
      <c r="LC523" s="16"/>
      <c r="LD523" s="16"/>
      <c r="LE523" s="16"/>
      <c r="LF523" s="17"/>
      <c r="LJ523" s="24"/>
      <c r="LK523" s="60"/>
      <c r="LL523" s="16"/>
      <c r="LM523" s="16"/>
      <c r="LN523" s="16"/>
      <c r="LO523" s="16"/>
      <c r="LP523" s="16"/>
      <c r="LQ523" s="17"/>
    </row>
    <row r="524">
      <c r="C524" s="31"/>
      <c r="D524" s="61"/>
      <c r="E524" s="16"/>
      <c r="F524" s="16"/>
      <c r="G524" s="21"/>
      <c r="H524" s="16"/>
      <c r="I524" s="16"/>
      <c r="J524" s="17"/>
      <c r="N524" s="17"/>
      <c r="O524" s="61"/>
      <c r="P524" s="16"/>
      <c r="Q524" s="16"/>
      <c r="R524" s="16"/>
      <c r="S524" s="16"/>
      <c r="T524" s="16"/>
      <c r="U524" s="17"/>
      <c r="Y524" s="24"/>
      <c r="Z524" s="61"/>
      <c r="AA524" s="16"/>
      <c r="AB524" s="16"/>
      <c r="AC524" s="16"/>
      <c r="AD524" s="16"/>
      <c r="AE524" s="16"/>
      <c r="AF524" s="17"/>
      <c r="AJ524" s="24"/>
      <c r="AK524" s="61"/>
      <c r="AL524" s="16"/>
      <c r="AM524" s="16"/>
      <c r="AN524" s="16"/>
      <c r="AO524" s="16"/>
      <c r="AP524" s="16"/>
      <c r="AQ524" s="17"/>
      <c r="AU524" s="24"/>
      <c r="AV524" s="61"/>
      <c r="AW524" s="16"/>
      <c r="AX524" s="16"/>
      <c r="AY524" s="16"/>
      <c r="AZ524" s="16"/>
      <c r="BA524" s="16"/>
      <c r="BB524" s="17"/>
      <c r="BF524" s="24"/>
      <c r="BG524" s="61"/>
      <c r="BH524" s="16"/>
      <c r="BI524" s="16"/>
      <c r="BJ524" s="16"/>
      <c r="BK524" s="16"/>
      <c r="BL524" s="16"/>
      <c r="BM524" s="17"/>
      <c r="BQ524" s="24"/>
      <c r="BR524" s="61"/>
      <c r="BS524" s="16"/>
      <c r="BT524" s="16"/>
      <c r="BU524" s="16"/>
      <c r="BV524" s="16"/>
      <c r="BW524" s="16"/>
      <c r="BX524" s="17"/>
      <c r="CB524" s="24"/>
      <c r="CC524" s="61"/>
      <c r="CD524" s="16"/>
      <c r="CE524" s="16"/>
      <c r="CF524" s="16"/>
      <c r="CG524" s="16"/>
      <c r="CH524" s="16"/>
      <c r="CI524" s="17"/>
      <c r="CM524" s="24"/>
      <c r="CN524" s="61"/>
      <c r="CO524" s="16"/>
      <c r="CP524" s="16"/>
      <c r="CQ524" s="16"/>
      <c r="CR524" s="16"/>
      <c r="CS524" s="16"/>
      <c r="CT524" s="17"/>
      <c r="CX524" s="24"/>
      <c r="CY524" s="60"/>
      <c r="CZ524" s="16"/>
      <c r="DA524" s="16"/>
      <c r="DB524" s="16"/>
      <c r="DC524" s="16"/>
      <c r="DD524" s="16"/>
      <c r="DE524" s="17"/>
      <c r="DI524" s="24"/>
      <c r="DJ524" s="60"/>
      <c r="DK524" s="16"/>
      <c r="DL524" s="16"/>
      <c r="DM524" s="16"/>
      <c r="DN524" s="16"/>
      <c r="DO524" s="16"/>
      <c r="DP524" s="17"/>
      <c r="DT524" s="24"/>
      <c r="DU524" s="60"/>
      <c r="DV524" s="16"/>
      <c r="DW524" s="16"/>
      <c r="DX524" s="16"/>
      <c r="DY524" s="16"/>
      <c r="DZ524" s="16"/>
      <c r="EA524" s="17"/>
      <c r="EE524" s="24"/>
      <c r="EF524" s="60"/>
      <c r="EG524" s="16"/>
      <c r="EH524" s="16"/>
      <c r="EI524" s="16"/>
      <c r="EJ524" s="16"/>
      <c r="EK524" s="16"/>
      <c r="EL524" s="17"/>
      <c r="EP524" s="24"/>
      <c r="EQ524" s="60"/>
      <c r="ER524" s="16"/>
      <c r="ES524" s="16"/>
      <c r="ET524" s="16"/>
      <c r="EU524" s="16"/>
      <c r="EV524" s="16"/>
      <c r="EW524" s="17"/>
      <c r="FA524" s="24"/>
      <c r="FB524" s="60"/>
      <c r="FC524" s="16"/>
      <c r="FD524" s="16"/>
      <c r="FE524" s="16"/>
      <c r="FF524" s="16"/>
      <c r="FG524" s="16"/>
      <c r="FH524" s="17"/>
      <c r="FL524" s="24"/>
      <c r="FM524" s="60"/>
      <c r="FN524" s="16"/>
      <c r="FO524" s="16"/>
      <c r="FP524" s="16"/>
      <c r="FQ524" s="16"/>
      <c r="FR524" s="16"/>
      <c r="FS524" s="17"/>
      <c r="FW524" s="24"/>
      <c r="FX524" s="60"/>
      <c r="FY524" s="16"/>
      <c r="FZ524" s="16"/>
      <c r="GA524" s="16"/>
      <c r="GB524" s="16"/>
      <c r="GC524" s="16"/>
      <c r="GD524" s="17"/>
      <c r="GH524" s="24"/>
      <c r="GI524" s="60"/>
      <c r="GJ524" s="16"/>
      <c r="GK524" s="16"/>
      <c r="GL524" s="16"/>
      <c r="GM524" s="16"/>
      <c r="GN524" s="16"/>
      <c r="GO524" s="17"/>
      <c r="GS524" s="24"/>
      <c r="GT524" s="60"/>
      <c r="GU524" s="16"/>
      <c r="GV524" s="16"/>
      <c r="GW524" s="16"/>
      <c r="GX524" s="16"/>
      <c r="GY524" s="16"/>
      <c r="GZ524" s="17"/>
      <c r="HD524" s="24"/>
      <c r="HE524" s="60"/>
      <c r="HF524" s="16"/>
      <c r="HG524" s="16"/>
      <c r="HH524" s="16"/>
      <c r="HI524" s="16"/>
      <c r="HJ524" s="16"/>
      <c r="HK524" s="17"/>
      <c r="HO524" s="24"/>
      <c r="HP524" s="60"/>
      <c r="HQ524" s="16"/>
      <c r="HR524" s="16"/>
      <c r="HS524" s="16"/>
      <c r="HT524" s="16"/>
      <c r="HU524" s="16"/>
      <c r="HV524" s="17"/>
      <c r="HZ524" s="24"/>
      <c r="IA524" s="60"/>
      <c r="IB524" s="16"/>
      <c r="IC524" s="16"/>
      <c r="ID524" s="16"/>
      <c r="IE524" s="16"/>
      <c r="IF524" s="16"/>
      <c r="IG524" s="17"/>
      <c r="IK524" s="24"/>
      <c r="IL524" s="60"/>
      <c r="IM524" s="16"/>
      <c r="IN524" s="16"/>
      <c r="IO524" s="16"/>
      <c r="IP524" s="16"/>
      <c r="IQ524" s="16"/>
      <c r="IR524" s="17"/>
      <c r="IV524" s="24"/>
      <c r="IW524" s="60"/>
      <c r="IX524" s="16"/>
      <c r="IY524" s="16"/>
      <c r="IZ524" s="16"/>
      <c r="JA524" s="16"/>
      <c r="JB524" s="16"/>
      <c r="JC524" s="17"/>
      <c r="JG524" s="24"/>
      <c r="JH524" s="60"/>
      <c r="JI524" s="16"/>
      <c r="JJ524" s="16"/>
      <c r="JK524" s="16"/>
      <c r="JL524" s="16"/>
      <c r="JM524" s="16"/>
      <c r="JN524" s="17"/>
      <c r="JR524" s="24"/>
      <c r="JS524" s="60"/>
      <c r="JT524" s="16"/>
      <c r="JU524" s="16"/>
      <c r="JV524" s="16"/>
      <c r="JW524" s="16"/>
      <c r="JX524" s="16"/>
      <c r="JY524" s="17"/>
      <c r="KC524" s="24"/>
      <c r="KD524" s="60"/>
      <c r="KE524" s="16"/>
      <c r="KF524" s="16"/>
      <c r="KG524" s="16"/>
      <c r="KH524" s="16"/>
      <c r="KI524" s="16"/>
      <c r="KJ524" s="17"/>
      <c r="KN524" s="24"/>
      <c r="KO524" s="60"/>
      <c r="KP524" s="16"/>
      <c r="KQ524" s="16"/>
      <c r="KR524" s="16"/>
      <c r="KS524" s="16"/>
      <c r="KT524" s="16"/>
      <c r="KU524" s="17"/>
      <c r="KY524" s="24"/>
      <c r="KZ524" s="60"/>
      <c r="LA524" s="16"/>
      <c r="LB524" s="16"/>
      <c r="LC524" s="16"/>
      <c r="LD524" s="16"/>
      <c r="LE524" s="16"/>
      <c r="LF524" s="17"/>
      <c r="LJ524" s="24"/>
      <c r="LK524" s="60"/>
      <c r="LL524" s="16"/>
      <c r="LM524" s="16"/>
      <c r="LN524" s="16"/>
      <c r="LO524" s="16"/>
      <c r="LP524" s="16"/>
      <c r="LQ524" s="17"/>
    </row>
    <row r="525">
      <c r="C525" s="31"/>
      <c r="D525" s="61"/>
      <c r="E525" s="16"/>
      <c r="F525" s="16"/>
      <c r="G525" s="21"/>
      <c r="H525" s="16"/>
      <c r="I525" s="16"/>
      <c r="J525" s="17"/>
      <c r="N525" s="17"/>
      <c r="O525" s="61"/>
      <c r="P525" s="16"/>
      <c r="Q525" s="16"/>
      <c r="R525" s="16"/>
      <c r="S525" s="16"/>
      <c r="T525" s="16"/>
      <c r="U525" s="17"/>
      <c r="Y525" s="24"/>
      <c r="Z525" s="61"/>
      <c r="AA525" s="16"/>
      <c r="AB525" s="16"/>
      <c r="AC525" s="16"/>
      <c r="AD525" s="16"/>
      <c r="AE525" s="16"/>
      <c r="AF525" s="17"/>
      <c r="AJ525" s="24"/>
      <c r="AK525" s="61"/>
      <c r="AL525" s="16"/>
      <c r="AM525" s="16"/>
      <c r="AN525" s="16"/>
      <c r="AO525" s="16"/>
      <c r="AP525" s="16"/>
      <c r="AQ525" s="17"/>
      <c r="AU525" s="24"/>
      <c r="AV525" s="61"/>
      <c r="AW525" s="16"/>
      <c r="AX525" s="16"/>
      <c r="AY525" s="16"/>
      <c r="AZ525" s="16"/>
      <c r="BA525" s="16"/>
      <c r="BB525" s="17"/>
      <c r="BF525" s="24"/>
      <c r="BG525" s="61"/>
      <c r="BH525" s="16"/>
      <c r="BI525" s="16"/>
      <c r="BJ525" s="16"/>
      <c r="BK525" s="16"/>
      <c r="BL525" s="16"/>
      <c r="BM525" s="17"/>
      <c r="BQ525" s="24"/>
      <c r="BR525" s="61"/>
      <c r="BS525" s="16"/>
      <c r="BT525" s="16"/>
      <c r="BU525" s="16"/>
      <c r="BV525" s="16"/>
      <c r="BW525" s="16"/>
      <c r="BX525" s="17"/>
      <c r="CB525" s="24"/>
      <c r="CC525" s="61"/>
      <c r="CD525" s="16"/>
      <c r="CE525" s="16"/>
      <c r="CF525" s="16"/>
      <c r="CG525" s="16"/>
      <c r="CH525" s="16"/>
      <c r="CI525" s="17"/>
      <c r="CM525" s="24"/>
      <c r="CN525" s="61"/>
      <c r="CO525" s="16"/>
      <c r="CP525" s="16"/>
      <c r="CQ525" s="16"/>
      <c r="CR525" s="16"/>
      <c r="CS525" s="16"/>
      <c r="CT525" s="17"/>
      <c r="CX525" s="24"/>
      <c r="CY525" s="60"/>
      <c r="CZ525" s="16"/>
      <c r="DA525" s="16"/>
      <c r="DB525" s="16"/>
      <c r="DC525" s="16"/>
      <c r="DD525" s="16"/>
      <c r="DE525" s="17"/>
      <c r="DI525" s="24"/>
      <c r="DJ525" s="60"/>
      <c r="DK525" s="16"/>
      <c r="DL525" s="16"/>
      <c r="DM525" s="16"/>
      <c r="DN525" s="16"/>
      <c r="DO525" s="16"/>
      <c r="DP525" s="17"/>
      <c r="DT525" s="24"/>
      <c r="DU525" s="60"/>
      <c r="DV525" s="16"/>
      <c r="DW525" s="16"/>
      <c r="DX525" s="16"/>
      <c r="DY525" s="16"/>
      <c r="DZ525" s="16"/>
      <c r="EA525" s="17"/>
      <c r="EE525" s="24"/>
      <c r="EF525" s="60"/>
      <c r="EG525" s="16"/>
      <c r="EH525" s="16"/>
      <c r="EI525" s="16"/>
      <c r="EJ525" s="16"/>
      <c r="EK525" s="16"/>
      <c r="EL525" s="17"/>
      <c r="EP525" s="24"/>
      <c r="EQ525" s="60"/>
      <c r="ER525" s="16"/>
      <c r="ES525" s="16"/>
      <c r="ET525" s="16"/>
      <c r="EU525" s="16"/>
      <c r="EV525" s="16"/>
      <c r="EW525" s="17"/>
      <c r="FA525" s="24"/>
      <c r="FB525" s="60"/>
      <c r="FC525" s="16"/>
      <c r="FD525" s="16"/>
      <c r="FE525" s="16"/>
      <c r="FF525" s="16"/>
      <c r="FG525" s="16"/>
      <c r="FH525" s="17"/>
      <c r="FL525" s="24"/>
      <c r="FM525" s="60"/>
      <c r="FN525" s="16"/>
      <c r="FO525" s="16"/>
      <c r="FP525" s="16"/>
      <c r="FQ525" s="16"/>
      <c r="FR525" s="16"/>
      <c r="FS525" s="17"/>
      <c r="FW525" s="24"/>
      <c r="FX525" s="60"/>
      <c r="FY525" s="16"/>
      <c r="FZ525" s="16"/>
      <c r="GA525" s="16"/>
      <c r="GB525" s="16"/>
      <c r="GC525" s="16"/>
      <c r="GD525" s="17"/>
      <c r="GH525" s="24"/>
      <c r="GI525" s="60"/>
      <c r="GJ525" s="16"/>
      <c r="GK525" s="16"/>
      <c r="GL525" s="16"/>
      <c r="GM525" s="16"/>
      <c r="GN525" s="16"/>
      <c r="GO525" s="17"/>
      <c r="GS525" s="24"/>
      <c r="GT525" s="60"/>
      <c r="GU525" s="16"/>
      <c r="GV525" s="16"/>
      <c r="GW525" s="16"/>
      <c r="GX525" s="16"/>
      <c r="GY525" s="16"/>
      <c r="GZ525" s="17"/>
      <c r="HD525" s="24"/>
      <c r="HE525" s="60"/>
      <c r="HF525" s="16"/>
      <c r="HG525" s="16"/>
      <c r="HH525" s="16"/>
      <c r="HI525" s="16"/>
      <c r="HJ525" s="16"/>
      <c r="HK525" s="17"/>
      <c r="HO525" s="24"/>
      <c r="HP525" s="60"/>
      <c r="HQ525" s="16"/>
      <c r="HR525" s="16"/>
      <c r="HS525" s="16"/>
      <c r="HT525" s="16"/>
      <c r="HU525" s="16"/>
      <c r="HV525" s="17"/>
      <c r="HZ525" s="24"/>
      <c r="IA525" s="60"/>
      <c r="IB525" s="16"/>
      <c r="IC525" s="16"/>
      <c r="ID525" s="16"/>
      <c r="IE525" s="16"/>
      <c r="IF525" s="16"/>
      <c r="IG525" s="17"/>
      <c r="IK525" s="24"/>
      <c r="IL525" s="60"/>
      <c r="IM525" s="16"/>
      <c r="IN525" s="16"/>
      <c r="IO525" s="16"/>
      <c r="IP525" s="16"/>
      <c r="IQ525" s="16"/>
      <c r="IR525" s="17"/>
      <c r="IV525" s="24"/>
      <c r="IW525" s="60"/>
      <c r="IX525" s="16"/>
      <c r="IY525" s="16"/>
      <c r="IZ525" s="16"/>
      <c r="JA525" s="16"/>
      <c r="JB525" s="16"/>
      <c r="JC525" s="17"/>
      <c r="JG525" s="24"/>
      <c r="JH525" s="60"/>
      <c r="JI525" s="16"/>
      <c r="JJ525" s="16"/>
      <c r="JK525" s="16"/>
      <c r="JL525" s="16"/>
      <c r="JM525" s="16"/>
      <c r="JN525" s="17"/>
      <c r="JR525" s="24"/>
      <c r="JS525" s="60"/>
      <c r="JT525" s="16"/>
      <c r="JU525" s="16"/>
      <c r="JV525" s="16"/>
      <c r="JW525" s="16"/>
      <c r="JX525" s="16"/>
      <c r="JY525" s="17"/>
      <c r="KC525" s="24"/>
      <c r="KD525" s="60"/>
      <c r="KE525" s="16"/>
      <c r="KF525" s="16"/>
      <c r="KG525" s="16"/>
      <c r="KH525" s="16"/>
      <c r="KI525" s="16"/>
      <c r="KJ525" s="17"/>
      <c r="KN525" s="24"/>
      <c r="KO525" s="60"/>
      <c r="KP525" s="16"/>
      <c r="KQ525" s="16"/>
      <c r="KR525" s="16"/>
      <c r="KS525" s="16"/>
      <c r="KT525" s="16"/>
      <c r="KU525" s="17"/>
      <c r="KY525" s="24"/>
      <c r="KZ525" s="60"/>
      <c r="LA525" s="16"/>
      <c r="LB525" s="16"/>
      <c r="LC525" s="16"/>
      <c r="LD525" s="16"/>
      <c r="LE525" s="16"/>
      <c r="LF525" s="17"/>
      <c r="LJ525" s="24"/>
      <c r="LK525" s="60"/>
      <c r="LL525" s="16"/>
      <c r="LM525" s="16"/>
      <c r="LN525" s="16"/>
      <c r="LO525" s="16"/>
      <c r="LP525" s="16"/>
      <c r="LQ525" s="17"/>
    </row>
    <row r="526">
      <c r="C526" s="31"/>
      <c r="D526" s="61"/>
      <c r="E526" s="16"/>
      <c r="F526" s="16"/>
      <c r="G526" s="21"/>
      <c r="H526" s="16"/>
      <c r="I526" s="16"/>
      <c r="J526" s="17"/>
      <c r="N526" s="17"/>
      <c r="O526" s="61"/>
      <c r="P526" s="16"/>
      <c r="Q526" s="16"/>
      <c r="R526" s="16"/>
      <c r="S526" s="16"/>
      <c r="T526" s="16"/>
      <c r="U526" s="17"/>
      <c r="Y526" s="24"/>
      <c r="Z526" s="61"/>
      <c r="AA526" s="16"/>
      <c r="AB526" s="16"/>
      <c r="AC526" s="16"/>
      <c r="AD526" s="16"/>
      <c r="AE526" s="16"/>
      <c r="AF526" s="17"/>
      <c r="AJ526" s="24"/>
      <c r="AK526" s="61"/>
      <c r="AL526" s="16"/>
      <c r="AM526" s="16"/>
      <c r="AN526" s="16"/>
      <c r="AO526" s="16"/>
      <c r="AP526" s="16"/>
      <c r="AQ526" s="17"/>
      <c r="AU526" s="24"/>
      <c r="AV526" s="61"/>
      <c r="AW526" s="16"/>
      <c r="AX526" s="16"/>
      <c r="AY526" s="16"/>
      <c r="AZ526" s="16"/>
      <c r="BA526" s="16"/>
      <c r="BB526" s="17"/>
      <c r="BF526" s="24"/>
      <c r="BG526" s="61"/>
      <c r="BH526" s="16"/>
      <c r="BI526" s="16"/>
      <c r="BJ526" s="16"/>
      <c r="BK526" s="16"/>
      <c r="BL526" s="16"/>
      <c r="BM526" s="17"/>
      <c r="BQ526" s="24"/>
      <c r="BR526" s="61"/>
      <c r="BS526" s="16"/>
      <c r="BT526" s="16"/>
      <c r="BU526" s="16"/>
      <c r="BV526" s="16"/>
      <c r="BW526" s="16"/>
      <c r="BX526" s="17"/>
      <c r="CB526" s="24"/>
      <c r="CC526" s="61"/>
      <c r="CD526" s="16"/>
      <c r="CE526" s="16"/>
      <c r="CF526" s="16"/>
      <c r="CG526" s="16"/>
      <c r="CH526" s="16"/>
      <c r="CI526" s="17"/>
      <c r="CM526" s="24"/>
      <c r="CN526" s="61"/>
      <c r="CO526" s="16"/>
      <c r="CP526" s="16"/>
      <c r="CQ526" s="16"/>
      <c r="CR526" s="16"/>
      <c r="CS526" s="16"/>
      <c r="CT526" s="17"/>
      <c r="CX526" s="24"/>
      <c r="CY526" s="60"/>
      <c r="CZ526" s="16"/>
      <c r="DA526" s="16"/>
      <c r="DB526" s="16"/>
      <c r="DC526" s="16"/>
      <c r="DD526" s="16"/>
      <c r="DE526" s="17"/>
      <c r="DI526" s="24"/>
      <c r="DJ526" s="60"/>
      <c r="DK526" s="16"/>
      <c r="DL526" s="16"/>
      <c r="DM526" s="16"/>
      <c r="DN526" s="16"/>
      <c r="DO526" s="16"/>
      <c r="DP526" s="17"/>
      <c r="DT526" s="24"/>
      <c r="DU526" s="60"/>
      <c r="DV526" s="16"/>
      <c r="DW526" s="16"/>
      <c r="DX526" s="16"/>
      <c r="DY526" s="16"/>
      <c r="DZ526" s="16"/>
      <c r="EA526" s="17"/>
      <c r="EE526" s="24"/>
      <c r="EF526" s="60"/>
      <c r="EG526" s="16"/>
      <c r="EH526" s="16"/>
      <c r="EI526" s="16"/>
      <c r="EJ526" s="16"/>
      <c r="EK526" s="16"/>
      <c r="EL526" s="17"/>
      <c r="EP526" s="24"/>
      <c r="EQ526" s="60"/>
      <c r="ER526" s="16"/>
      <c r="ES526" s="16"/>
      <c r="ET526" s="16"/>
      <c r="EU526" s="16"/>
      <c r="EV526" s="16"/>
      <c r="EW526" s="17"/>
      <c r="FA526" s="24"/>
      <c r="FB526" s="60"/>
      <c r="FC526" s="16"/>
      <c r="FD526" s="16"/>
      <c r="FE526" s="16"/>
      <c r="FF526" s="16"/>
      <c r="FG526" s="16"/>
      <c r="FH526" s="17"/>
      <c r="FL526" s="24"/>
      <c r="FM526" s="60"/>
      <c r="FN526" s="16"/>
      <c r="FO526" s="16"/>
      <c r="FP526" s="16"/>
      <c r="FQ526" s="16"/>
      <c r="FR526" s="16"/>
      <c r="FS526" s="17"/>
      <c r="FW526" s="24"/>
      <c r="FX526" s="60"/>
      <c r="FY526" s="16"/>
      <c r="FZ526" s="16"/>
      <c r="GA526" s="16"/>
      <c r="GB526" s="16"/>
      <c r="GC526" s="16"/>
      <c r="GD526" s="17"/>
      <c r="GH526" s="24"/>
      <c r="GI526" s="60"/>
      <c r="GJ526" s="16"/>
      <c r="GK526" s="16"/>
      <c r="GL526" s="16"/>
      <c r="GM526" s="16"/>
      <c r="GN526" s="16"/>
      <c r="GO526" s="17"/>
      <c r="GS526" s="24"/>
      <c r="GT526" s="60"/>
      <c r="GU526" s="16"/>
      <c r="GV526" s="16"/>
      <c r="GW526" s="16"/>
      <c r="GX526" s="16"/>
      <c r="GY526" s="16"/>
      <c r="GZ526" s="17"/>
      <c r="HD526" s="24"/>
      <c r="HE526" s="60"/>
      <c r="HF526" s="16"/>
      <c r="HG526" s="16"/>
      <c r="HH526" s="16"/>
      <c r="HI526" s="16"/>
      <c r="HJ526" s="16"/>
      <c r="HK526" s="17"/>
      <c r="HO526" s="24"/>
      <c r="HP526" s="60"/>
      <c r="HQ526" s="16"/>
      <c r="HR526" s="16"/>
      <c r="HS526" s="16"/>
      <c r="HT526" s="16"/>
      <c r="HU526" s="16"/>
      <c r="HV526" s="17"/>
      <c r="HZ526" s="24"/>
      <c r="IA526" s="60"/>
      <c r="IB526" s="16"/>
      <c r="IC526" s="16"/>
      <c r="ID526" s="16"/>
      <c r="IE526" s="16"/>
      <c r="IF526" s="16"/>
      <c r="IG526" s="17"/>
      <c r="IK526" s="24"/>
      <c r="IL526" s="60"/>
      <c r="IM526" s="16"/>
      <c r="IN526" s="16"/>
      <c r="IO526" s="16"/>
      <c r="IP526" s="16"/>
      <c r="IQ526" s="16"/>
      <c r="IR526" s="17"/>
      <c r="IV526" s="24"/>
      <c r="IW526" s="60"/>
      <c r="IX526" s="16"/>
      <c r="IY526" s="16"/>
      <c r="IZ526" s="16"/>
      <c r="JA526" s="16"/>
      <c r="JB526" s="16"/>
      <c r="JC526" s="17"/>
      <c r="JG526" s="24"/>
      <c r="JH526" s="60"/>
      <c r="JI526" s="16"/>
      <c r="JJ526" s="16"/>
      <c r="JK526" s="16"/>
      <c r="JL526" s="16"/>
      <c r="JM526" s="16"/>
      <c r="JN526" s="17"/>
      <c r="JR526" s="24"/>
      <c r="JS526" s="60"/>
      <c r="JT526" s="16"/>
      <c r="JU526" s="16"/>
      <c r="JV526" s="16"/>
      <c r="JW526" s="16"/>
      <c r="JX526" s="16"/>
      <c r="JY526" s="17"/>
      <c r="KC526" s="24"/>
      <c r="KD526" s="60"/>
      <c r="KE526" s="16"/>
      <c r="KF526" s="16"/>
      <c r="KG526" s="16"/>
      <c r="KH526" s="16"/>
      <c r="KI526" s="16"/>
      <c r="KJ526" s="17"/>
      <c r="KN526" s="24"/>
      <c r="KO526" s="60"/>
      <c r="KP526" s="16"/>
      <c r="KQ526" s="16"/>
      <c r="KR526" s="16"/>
      <c r="KS526" s="16"/>
      <c r="KT526" s="16"/>
      <c r="KU526" s="17"/>
      <c r="KY526" s="24"/>
      <c r="KZ526" s="60"/>
      <c r="LA526" s="16"/>
      <c r="LB526" s="16"/>
      <c r="LC526" s="16"/>
      <c r="LD526" s="16"/>
      <c r="LE526" s="16"/>
      <c r="LF526" s="17"/>
      <c r="LJ526" s="24"/>
      <c r="LK526" s="60"/>
      <c r="LL526" s="16"/>
      <c r="LM526" s="16"/>
      <c r="LN526" s="16"/>
      <c r="LO526" s="16"/>
      <c r="LP526" s="16"/>
      <c r="LQ526" s="17"/>
    </row>
    <row r="527">
      <c r="C527" s="31"/>
      <c r="D527" s="61"/>
      <c r="E527" s="16"/>
      <c r="F527" s="16"/>
      <c r="G527" s="21"/>
      <c r="H527" s="16"/>
      <c r="I527" s="16"/>
      <c r="J527" s="17"/>
      <c r="N527" s="17"/>
      <c r="O527" s="61"/>
      <c r="P527" s="16"/>
      <c r="Q527" s="16"/>
      <c r="R527" s="16"/>
      <c r="S527" s="16"/>
      <c r="T527" s="16"/>
      <c r="U527" s="17"/>
      <c r="Y527" s="24"/>
      <c r="Z527" s="61"/>
      <c r="AA527" s="16"/>
      <c r="AB527" s="16"/>
      <c r="AC527" s="16"/>
      <c r="AD527" s="16"/>
      <c r="AE527" s="16"/>
      <c r="AF527" s="17"/>
      <c r="AJ527" s="24"/>
      <c r="AK527" s="61"/>
      <c r="AL527" s="16"/>
      <c r="AM527" s="16"/>
      <c r="AN527" s="16"/>
      <c r="AO527" s="16"/>
      <c r="AP527" s="16"/>
      <c r="AQ527" s="17"/>
      <c r="AU527" s="24"/>
      <c r="AV527" s="61"/>
      <c r="AW527" s="16"/>
      <c r="AX527" s="16"/>
      <c r="AY527" s="16"/>
      <c r="AZ527" s="16"/>
      <c r="BA527" s="16"/>
      <c r="BB527" s="17"/>
      <c r="BF527" s="24"/>
      <c r="BG527" s="61"/>
      <c r="BH527" s="16"/>
      <c r="BI527" s="16"/>
      <c r="BJ527" s="16"/>
      <c r="BK527" s="16"/>
      <c r="BL527" s="16"/>
      <c r="BM527" s="17"/>
      <c r="BQ527" s="24"/>
      <c r="BR527" s="61"/>
      <c r="BS527" s="16"/>
      <c r="BT527" s="16"/>
      <c r="BU527" s="16"/>
      <c r="BV527" s="16"/>
      <c r="BW527" s="16"/>
      <c r="BX527" s="17"/>
      <c r="CB527" s="24"/>
      <c r="CC527" s="61"/>
      <c r="CD527" s="16"/>
      <c r="CE527" s="16"/>
      <c r="CF527" s="16"/>
      <c r="CG527" s="16"/>
      <c r="CH527" s="16"/>
      <c r="CI527" s="17"/>
      <c r="CM527" s="24"/>
      <c r="CN527" s="61"/>
      <c r="CO527" s="16"/>
      <c r="CP527" s="16"/>
      <c r="CQ527" s="16"/>
      <c r="CR527" s="16"/>
      <c r="CS527" s="16"/>
      <c r="CT527" s="17"/>
      <c r="CX527" s="24"/>
      <c r="CY527" s="60"/>
      <c r="CZ527" s="16"/>
      <c r="DA527" s="16"/>
      <c r="DB527" s="16"/>
      <c r="DC527" s="16"/>
      <c r="DD527" s="16"/>
      <c r="DE527" s="17"/>
      <c r="DI527" s="24"/>
      <c r="DJ527" s="60"/>
      <c r="DK527" s="16"/>
      <c r="DL527" s="16"/>
      <c r="DM527" s="16"/>
      <c r="DN527" s="16"/>
      <c r="DO527" s="16"/>
      <c r="DP527" s="17"/>
      <c r="DT527" s="24"/>
      <c r="DU527" s="60"/>
      <c r="DV527" s="16"/>
      <c r="DW527" s="16"/>
      <c r="DX527" s="16"/>
      <c r="DY527" s="16"/>
      <c r="DZ527" s="16"/>
      <c r="EA527" s="17"/>
      <c r="EE527" s="24"/>
      <c r="EF527" s="60"/>
      <c r="EG527" s="16"/>
      <c r="EH527" s="16"/>
      <c r="EI527" s="16"/>
      <c r="EJ527" s="16"/>
      <c r="EK527" s="16"/>
      <c r="EL527" s="17"/>
      <c r="EP527" s="24"/>
      <c r="EQ527" s="60"/>
      <c r="ER527" s="16"/>
      <c r="ES527" s="16"/>
      <c r="ET527" s="16"/>
      <c r="EU527" s="16"/>
      <c r="EV527" s="16"/>
      <c r="EW527" s="17"/>
      <c r="FA527" s="24"/>
      <c r="FB527" s="60"/>
      <c r="FC527" s="16"/>
      <c r="FD527" s="16"/>
      <c r="FE527" s="16"/>
      <c r="FF527" s="16"/>
      <c r="FG527" s="16"/>
      <c r="FH527" s="17"/>
      <c r="FL527" s="24"/>
      <c r="FM527" s="60"/>
      <c r="FN527" s="16"/>
      <c r="FO527" s="16"/>
      <c r="FP527" s="16"/>
      <c r="FQ527" s="16"/>
      <c r="FR527" s="16"/>
      <c r="FS527" s="17"/>
      <c r="FW527" s="24"/>
      <c r="FX527" s="60"/>
      <c r="FY527" s="16"/>
      <c r="FZ527" s="16"/>
      <c r="GA527" s="16"/>
      <c r="GB527" s="16"/>
      <c r="GC527" s="16"/>
      <c r="GD527" s="17"/>
      <c r="GH527" s="24"/>
      <c r="GI527" s="60"/>
      <c r="GJ527" s="16"/>
      <c r="GK527" s="16"/>
      <c r="GL527" s="16"/>
      <c r="GM527" s="16"/>
      <c r="GN527" s="16"/>
      <c r="GO527" s="17"/>
      <c r="GS527" s="24"/>
      <c r="GT527" s="60"/>
      <c r="GU527" s="16"/>
      <c r="GV527" s="16"/>
      <c r="GW527" s="16"/>
      <c r="GX527" s="16"/>
      <c r="GY527" s="16"/>
      <c r="GZ527" s="17"/>
      <c r="HD527" s="24"/>
      <c r="HE527" s="60"/>
      <c r="HF527" s="16"/>
      <c r="HG527" s="16"/>
      <c r="HH527" s="16"/>
      <c r="HI527" s="16"/>
      <c r="HJ527" s="16"/>
      <c r="HK527" s="17"/>
      <c r="HO527" s="24"/>
      <c r="HP527" s="60"/>
      <c r="HQ527" s="16"/>
      <c r="HR527" s="16"/>
      <c r="HS527" s="16"/>
      <c r="HT527" s="16"/>
      <c r="HU527" s="16"/>
      <c r="HV527" s="17"/>
      <c r="HZ527" s="24"/>
      <c r="IA527" s="60"/>
      <c r="IB527" s="16"/>
      <c r="IC527" s="16"/>
      <c r="ID527" s="16"/>
      <c r="IE527" s="16"/>
      <c r="IF527" s="16"/>
      <c r="IG527" s="17"/>
      <c r="IK527" s="24"/>
      <c r="IL527" s="60"/>
      <c r="IM527" s="16"/>
      <c r="IN527" s="16"/>
      <c r="IO527" s="16"/>
      <c r="IP527" s="16"/>
      <c r="IQ527" s="16"/>
      <c r="IR527" s="17"/>
      <c r="IV527" s="24"/>
      <c r="IW527" s="60"/>
      <c r="IX527" s="16"/>
      <c r="IY527" s="16"/>
      <c r="IZ527" s="16"/>
      <c r="JA527" s="16"/>
      <c r="JB527" s="16"/>
      <c r="JC527" s="17"/>
      <c r="JG527" s="24"/>
      <c r="JH527" s="60"/>
      <c r="JI527" s="16"/>
      <c r="JJ527" s="16"/>
      <c r="JK527" s="16"/>
      <c r="JL527" s="16"/>
      <c r="JM527" s="16"/>
      <c r="JN527" s="17"/>
      <c r="JR527" s="24"/>
      <c r="JS527" s="60"/>
      <c r="JT527" s="16"/>
      <c r="JU527" s="16"/>
      <c r="JV527" s="16"/>
      <c r="JW527" s="16"/>
      <c r="JX527" s="16"/>
      <c r="JY527" s="17"/>
      <c r="KC527" s="24"/>
      <c r="KD527" s="60"/>
      <c r="KE527" s="16"/>
      <c r="KF527" s="16"/>
      <c r="KG527" s="16"/>
      <c r="KH527" s="16"/>
      <c r="KI527" s="16"/>
      <c r="KJ527" s="17"/>
      <c r="KN527" s="24"/>
      <c r="KO527" s="60"/>
      <c r="KP527" s="16"/>
      <c r="KQ527" s="16"/>
      <c r="KR527" s="16"/>
      <c r="KS527" s="16"/>
      <c r="KT527" s="16"/>
      <c r="KU527" s="17"/>
      <c r="KY527" s="24"/>
      <c r="KZ527" s="60"/>
      <c r="LA527" s="16"/>
      <c r="LB527" s="16"/>
      <c r="LC527" s="16"/>
      <c r="LD527" s="16"/>
      <c r="LE527" s="16"/>
      <c r="LF527" s="17"/>
      <c r="LJ527" s="24"/>
      <c r="LK527" s="60"/>
      <c r="LL527" s="16"/>
      <c r="LM527" s="16"/>
      <c r="LN527" s="16"/>
      <c r="LO527" s="16"/>
      <c r="LP527" s="16"/>
      <c r="LQ527" s="17"/>
    </row>
    <row r="528">
      <c r="C528" s="31"/>
      <c r="D528" s="61"/>
      <c r="E528" s="16"/>
      <c r="F528" s="16"/>
      <c r="G528" s="21"/>
      <c r="H528" s="16"/>
      <c r="I528" s="16"/>
      <c r="J528" s="17"/>
      <c r="N528" s="17"/>
      <c r="O528" s="61"/>
      <c r="P528" s="16"/>
      <c r="Q528" s="16"/>
      <c r="R528" s="16"/>
      <c r="S528" s="16"/>
      <c r="T528" s="16"/>
      <c r="U528" s="17"/>
      <c r="Y528" s="24"/>
      <c r="Z528" s="61"/>
      <c r="AA528" s="16"/>
      <c r="AB528" s="16"/>
      <c r="AC528" s="16"/>
      <c r="AD528" s="16"/>
      <c r="AE528" s="16"/>
      <c r="AF528" s="17"/>
      <c r="AJ528" s="24"/>
      <c r="AK528" s="61"/>
      <c r="AL528" s="16"/>
      <c r="AM528" s="16"/>
      <c r="AN528" s="16"/>
      <c r="AO528" s="16"/>
      <c r="AP528" s="16"/>
      <c r="AQ528" s="17"/>
      <c r="AU528" s="24"/>
      <c r="AV528" s="61"/>
      <c r="AW528" s="16"/>
      <c r="AX528" s="16"/>
      <c r="AY528" s="16"/>
      <c r="AZ528" s="16"/>
      <c r="BA528" s="16"/>
      <c r="BB528" s="17"/>
      <c r="BF528" s="24"/>
      <c r="BG528" s="61"/>
      <c r="BH528" s="16"/>
      <c r="BI528" s="16"/>
      <c r="BJ528" s="16"/>
      <c r="BK528" s="16"/>
      <c r="BL528" s="16"/>
      <c r="BM528" s="17"/>
      <c r="BQ528" s="24"/>
      <c r="BR528" s="61"/>
      <c r="BS528" s="16"/>
      <c r="BT528" s="16"/>
      <c r="BU528" s="16"/>
      <c r="BV528" s="16"/>
      <c r="BW528" s="16"/>
      <c r="BX528" s="17"/>
      <c r="CB528" s="24"/>
      <c r="CC528" s="61"/>
      <c r="CD528" s="16"/>
      <c r="CE528" s="16"/>
      <c r="CF528" s="16"/>
      <c r="CG528" s="16"/>
      <c r="CH528" s="16"/>
      <c r="CI528" s="17"/>
      <c r="CM528" s="24"/>
      <c r="CN528" s="61"/>
      <c r="CO528" s="16"/>
      <c r="CP528" s="16"/>
      <c r="CQ528" s="16"/>
      <c r="CR528" s="16"/>
      <c r="CS528" s="16"/>
      <c r="CT528" s="17"/>
      <c r="CX528" s="24"/>
      <c r="CY528" s="60"/>
      <c r="CZ528" s="16"/>
      <c r="DA528" s="16"/>
      <c r="DB528" s="16"/>
      <c r="DC528" s="16"/>
      <c r="DD528" s="16"/>
      <c r="DE528" s="17"/>
      <c r="DI528" s="24"/>
      <c r="DJ528" s="60"/>
      <c r="DK528" s="16"/>
      <c r="DL528" s="16"/>
      <c r="DM528" s="16"/>
      <c r="DN528" s="16"/>
      <c r="DO528" s="16"/>
      <c r="DP528" s="17"/>
      <c r="DT528" s="24"/>
      <c r="DU528" s="60"/>
      <c r="DV528" s="16"/>
      <c r="DW528" s="16"/>
      <c r="DX528" s="16"/>
      <c r="DY528" s="16"/>
      <c r="DZ528" s="16"/>
      <c r="EA528" s="17"/>
      <c r="EE528" s="24"/>
      <c r="EF528" s="60"/>
      <c r="EG528" s="16"/>
      <c r="EH528" s="16"/>
      <c r="EI528" s="16"/>
      <c r="EJ528" s="16"/>
      <c r="EK528" s="16"/>
      <c r="EL528" s="17"/>
      <c r="EP528" s="24"/>
      <c r="EQ528" s="60"/>
      <c r="ER528" s="16"/>
      <c r="ES528" s="16"/>
      <c r="ET528" s="16"/>
      <c r="EU528" s="16"/>
      <c r="EV528" s="16"/>
      <c r="EW528" s="17"/>
      <c r="FA528" s="24"/>
      <c r="FB528" s="60"/>
      <c r="FC528" s="16"/>
      <c r="FD528" s="16"/>
      <c r="FE528" s="16"/>
      <c r="FF528" s="16"/>
      <c r="FG528" s="16"/>
      <c r="FH528" s="17"/>
      <c r="FL528" s="24"/>
      <c r="FM528" s="60"/>
      <c r="FN528" s="16"/>
      <c r="FO528" s="16"/>
      <c r="FP528" s="16"/>
      <c r="FQ528" s="16"/>
      <c r="FR528" s="16"/>
      <c r="FS528" s="17"/>
      <c r="FW528" s="24"/>
      <c r="FX528" s="60"/>
      <c r="FY528" s="16"/>
      <c r="FZ528" s="16"/>
      <c r="GA528" s="16"/>
      <c r="GB528" s="16"/>
      <c r="GC528" s="16"/>
      <c r="GD528" s="17"/>
      <c r="GH528" s="24"/>
      <c r="GI528" s="60"/>
      <c r="GJ528" s="16"/>
      <c r="GK528" s="16"/>
      <c r="GL528" s="16"/>
      <c r="GM528" s="16"/>
      <c r="GN528" s="16"/>
      <c r="GO528" s="17"/>
      <c r="GS528" s="24"/>
      <c r="GT528" s="60"/>
      <c r="GU528" s="16"/>
      <c r="GV528" s="16"/>
      <c r="GW528" s="16"/>
      <c r="GX528" s="16"/>
      <c r="GY528" s="16"/>
      <c r="GZ528" s="17"/>
      <c r="HD528" s="24"/>
      <c r="HE528" s="60"/>
      <c r="HF528" s="16"/>
      <c r="HG528" s="16"/>
      <c r="HH528" s="16"/>
      <c r="HI528" s="16"/>
      <c r="HJ528" s="16"/>
      <c r="HK528" s="17"/>
      <c r="HO528" s="24"/>
      <c r="HP528" s="60"/>
      <c r="HQ528" s="16"/>
      <c r="HR528" s="16"/>
      <c r="HS528" s="16"/>
      <c r="HT528" s="16"/>
      <c r="HU528" s="16"/>
      <c r="HV528" s="17"/>
      <c r="HZ528" s="24"/>
      <c r="IA528" s="60"/>
      <c r="IB528" s="16"/>
      <c r="IC528" s="16"/>
      <c r="ID528" s="16"/>
      <c r="IE528" s="16"/>
      <c r="IF528" s="16"/>
      <c r="IG528" s="17"/>
      <c r="IK528" s="24"/>
      <c r="IL528" s="60"/>
      <c r="IM528" s="16"/>
      <c r="IN528" s="16"/>
      <c r="IO528" s="16"/>
      <c r="IP528" s="16"/>
      <c r="IQ528" s="16"/>
      <c r="IR528" s="17"/>
      <c r="IV528" s="24"/>
      <c r="IW528" s="60"/>
      <c r="IX528" s="16"/>
      <c r="IY528" s="16"/>
      <c r="IZ528" s="16"/>
      <c r="JA528" s="16"/>
      <c r="JB528" s="16"/>
      <c r="JC528" s="17"/>
      <c r="JG528" s="24"/>
      <c r="JH528" s="60"/>
      <c r="JI528" s="16"/>
      <c r="JJ528" s="16"/>
      <c r="JK528" s="16"/>
      <c r="JL528" s="16"/>
      <c r="JM528" s="16"/>
      <c r="JN528" s="17"/>
      <c r="JR528" s="24"/>
      <c r="JS528" s="60"/>
      <c r="JT528" s="16"/>
      <c r="JU528" s="16"/>
      <c r="JV528" s="16"/>
      <c r="JW528" s="16"/>
      <c r="JX528" s="16"/>
      <c r="JY528" s="17"/>
      <c r="KC528" s="24"/>
      <c r="KD528" s="60"/>
      <c r="KE528" s="16"/>
      <c r="KF528" s="16"/>
      <c r="KG528" s="16"/>
      <c r="KH528" s="16"/>
      <c r="KI528" s="16"/>
      <c r="KJ528" s="17"/>
      <c r="KN528" s="24"/>
      <c r="KO528" s="60"/>
      <c r="KP528" s="16"/>
      <c r="KQ528" s="16"/>
      <c r="KR528" s="16"/>
      <c r="KS528" s="16"/>
      <c r="KT528" s="16"/>
      <c r="KU528" s="17"/>
      <c r="KY528" s="24"/>
      <c r="KZ528" s="60"/>
      <c r="LA528" s="16"/>
      <c r="LB528" s="16"/>
      <c r="LC528" s="16"/>
      <c r="LD528" s="16"/>
      <c r="LE528" s="16"/>
      <c r="LF528" s="17"/>
      <c r="LJ528" s="24"/>
      <c r="LK528" s="60"/>
      <c r="LL528" s="16"/>
      <c r="LM528" s="16"/>
      <c r="LN528" s="16"/>
      <c r="LO528" s="16"/>
      <c r="LP528" s="16"/>
      <c r="LQ528" s="17"/>
    </row>
    <row r="529">
      <c r="C529" s="31"/>
      <c r="D529" s="61"/>
      <c r="E529" s="16"/>
      <c r="F529" s="16"/>
      <c r="G529" s="21"/>
      <c r="H529" s="16"/>
      <c r="I529" s="16"/>
      <c r="J529" s="17"/>
      <c r="N529" s="17"/>
      <c r="O529" s="61"/>
      <c r="P529" s="16"/>
      <c r="Q529" s="16"/>
      <c r="R529" s="16"/>
      <c r="S529" s="16"/>
      <c r="T529" s="16"/>
      <c r="U529" s="17"/>
      <c r="Y529" s="24"/>
      <c r="Z529" s="61"/>
      <c r="AA529" s="16"/>
      <c r="AB529" s="16"/>
      <c r="AC529" s="16"/>
      <c r="AD529" s="16"/>
      <c r="AE529" s="16"/>
      <c r="AF529" s="17"/>
      <c r="AJ529" s="24"/>
      <c r="AK529" s="61"/>
      <c r="AL529" s="16"/>
      <c r="AM529" s="16"/>
      <c r="AN529" s="16"/>
      <c r="AO529" s="16"/>
      <c r="AP529" s="16"/>
      <c r="AQ529" s="17"/>
      <c r="AU529" s="24"/>
      <c r="AV529" s="61"/>
      <c r="AW529" s="16"/>
      <c r="AX529" s="16"/>
      <c r="AY529" s="16"/>
      <c r="AZ529" s="16"/>
      <c r="BA529" s="16"/>
      <c r="BB529" s="17"/>
      <c r="BF529" s="24"/>
      <c r="BG529" s="61"/>
      <c r="BH529" s="16"/>
      <c r="BI529" s="16"/>
      <c r="BJ529" s="16"/>
      <c r="BK529" s="16"/>
      <c r="BL529" s="16"/>
      <c r="BM529" s="17"/>
      <c r="BQ529" s="24"/>
      <c r="BR529" s="61"/>
      <c r="BS529" s="16"/>
      <c r="BT529" s="16"/>
      <c r="BU529" s="16"/>
      <c r="BV529" s="16"/>
      <c r="BW529" s="16"/>
      <c r="BX529" s="17"/>
      <c r="CB529" s="24"/>
      <c r="CC529" s="61"/>
      <c r="CD529" s="16"/>
      <c r="CE529" s="16"/>
      <c r="CF529" s="16"/>
      <c r="CG529" s="16"/>
      <c r="CH529" s="16"/>
      <c r="CI529" s="17"/>
      <c r="CM529" s="24"/>
      <c r="CN529" s="61"/>
      <c r="CO529" s="16"/>
      <c r="CP529" s="16"/>
      <c r="CQ529" s="16"/>
      <c r="CR529" s="16"/>
      <c r="CS529" s="16"/>
      <c r="CT529" s="17"/>
      <c r="CX529" s="24"/>
      <c r="CY529" s="60"/>
      <c r="CZ529" s="16"/>
      <c r="DA529" s="16"/>
      <c r="DB529" s="16"/>
      <c r="DC529" s="16"/>
      <c r="DD529" s="16"/>
      <c r="DE529" s="17"/>
      <c r="DI529" s="24"/>
      <c r="DJ529" s="60"/>
      <c r="DK529" s="16"/>
      <c r="DL529" s="16"/>
      <c r="DM529" s="16"/>
      <c r="DN529" s="16"/>
      <c r="DO529" s="16"/>
      <c r="DP529" s="17"/>
      <c r="DT529" s="24"/>
      <c r="DU529" s="60"/>
      <c r="DV529" s="16"/>
      <c r="DW529" s="16"/>
      <c r="DX529" s="16"/>
      <c r="DY529" s="16"/>
      <c r="DZ529" s="16"/>
      <c r="EA529" s="17"/>
      <c r="EE529" s="24"/>
      <c r="EF529" s="60"/>
      <c r="EG529" s="16"/>
      <c r="EH529" s="16"/>
      <c r="EI529" s="16"/>
      <c r="EJ529" s="16"/>
      <c r="EK529" s="16"/>
      <c r="EL529" s="17"/>
      <c r="EP529" s="24"/>
      <c r="EQ529" s="60"/>
      <c r="ER529" s="16"/>
      <c r="ES529" s="16"/>
      <c r="ET529" s="16"/>
      <c r="EU529" s="16"/>
      <c r="EV529" s="16"/>
      <c r="EW529" s="17"/>
      <c r="FA529" s="24"/>
      <c r="FB529" s="60"/>
      <c r="FC529" s="16"/>
      <c r="FD529" s="16"/>
      <c r="FE529" s="16"/>
      <c r="FF529" s="16"/>
      <c r="FG529" s="16"/>
      <c r="FH529" s="17"/>
      <c r="FL529" s="24"/>
      <c r="FM529" s="60"/>
      <c r="FN529" s="16"/>
      <c r="FO529" s="16"/>
      <c r="FP529" s="16"/>
      <c r="FQ529" s="16"/>
      <c r="FR529" s="16"/>
      <c r="FS529" s="17"/>
      <c r="FW529" s="24"/>
      <c r="FX529" s="60"/>
      <c r="FY529" s="16"/>
      <c r="FZ529" s="16"/>
      <c r="GA529" s="16"/>
      <c r="GB529" s="16"/>
      <c r="GC529" s="16"/>
      <c r="GD529" s="17"/>
      <c r="GH529" s="24"/>
      <c r="GI529" s="60"/>
      <c r="GJ529" s="16"/>
      <c r="GK529" s="16"/>
      <c r="GL529" s="16"/>
      <c r="GM529" s="16"/>
      <c r="GN529" s="16"/>
      <c r="GO529" s="17"/>
      <c r="GS529" s="24"/>
      <c r="GT529" s="60"/>
      <c r="GU529" s="16"/>
      <c r="GV529" s="16"/>
      <c r="GW529" s="16"/>
      <c r="GX529" s="16"/>
      <c r="GY529" s="16"/>
      <c r="GZ529" s="17"/>
      <c r="HD529" s="24"/>
      <c r="HE529" s="60"/>
      <c r="HF529" s="16"/>
      <c r="HG529" s="16"/>
      <c r="HH529" s="16"/>
      <c r="HI529" s="16"/>
      <c r="HJ529" s="16"/>
      <c r="HK529" s="17"/>
      <c r="HO529" s="24"/>
      <c r="HP529" s="60"/>
      <c r="HQ529" s="16"/>
      <c r="HR529" s="16"/>
      <c r="HS529" s="16"/>
      <c r="HT529" s="16"/>
      <c r="HU529" s="16"/>
      <c r="HV529" s="17"/>
      <c r="HZ529" s="24"/>
      <c r="IA529" s="60"/>
      <c r="IB529" s="16"/>
      <c r="IC529" s="16"/>
      <c r="ID529" s="16"/>
      <c r="IE529" s="16"/>
      <c r="IF529" s="16"/>
      <c r="IG529" s="17"/>
      <c r="IK529" s="24"/>
      <c r="IL529" s="60"/>
      <c r="IM529" s="16"/>
      <c r="IN529" s="16"/>
      <c r="IO529" s="16"/>
      <c r="IP529" s="16"/>
      <c r="IQ529" s="16"/>
      <c r="IR529" s="17"/>
      <c r="IV529" s="24"/>
      <c r="IW529" s="60"/>
      <c r="IX529" s="16"/>
      <c r="IY529" s="16"/>
      <c r="IZ529" s="16"/>
      <c r="JA529" s="16"/>
      <c r="JB529" s="16"/>
      <c r="JC529" s="17"/>
      <c r="JG529" s="24"/>
      <c r="JH529" s="60"/>
      <c r="JI529" s="16"/>
      <c r="JJ529" s="16"/>
      <c r="JK529" s="16"/>
      <c r="JL529" s="16"/>
      <c r="JM529" s="16"/>
      <c r="JN529" s="17"/>
      <c r="JR529" s="24"/>
      <c r="JS529" s="60"/>
      <c r="JT529" s="16"/>
      <c r="JU529" s="16"/>
      <c r="JV529" s="16"/>
      <c r="JW529" s="16"/>
      <c r="JX529" s="16"/>
      <c r="JY529" s="17"/>
      <c r="KC529" s="24"/>
      <c r="KD529" s="60"/>
      <c r="KE529" s="16"/>
      <c r="KF529" s="16"/>
      <c r="KG529" s="16"/>
      <c r="KH529" s="16"/>
      <c r="KI529" s="16"/>
      <c r="KJ529" s="17"/>
      <c r="KN529" s="24"/>
      <c r="KO529" s="60"/>
      <c r="KP529" s="16"/>
      <c r="KQ529" s="16"/>
      <c r="KR529" s="16"/>
      <c r="KS529" s="16"/>
      <c r="KT529" s="16"/>
      <c r="KU529" s="17"/>
      <c r="KY529" s="24"/>
      <c r="KZ529" s="60"/>
      <c r="LA529" s="16"/>
      <c r="LB529" s="16"/>
      <c r="LC529" s="16"/>
      <c r="LD529" s="16"/>
      <c r="LE529" s="16"/>
      <c r="LF529" s="17"/>
      <c r="LJ529" s="24"/>
      <c r="LK529" s="60"/>
      <c r="LL529" s="16"/>
      <c r="LM529" s="16"/>
      <c r="LN529" s="16"/>
      <c r="LO529" s="16"/>
      <c r="LP529" s="16"/>
      <c r="LQ529" s="17"/>
    </row>
    <row r="530">
      <c r="C530" s="31"/>
      <c r="D530" s="61"/>
      <c r="E530" s="16"/>
      <c r="F530" s="16"/>
      <c r="G530" s="21"/>
      <c r="H530" s="16"/>
      <c r="I530" s="16"/>
      <c r="J530" s="17"/>
      <c r="N530" s="17"/>
      <c r="O530" s="61"/>
      <c r="P530" s="16"/>
      <c r="Q530" s="16"/>
      <c r="R530" s="16"/>
      <c r="S530" s="16"/>
      <c r="T530" s="16"/>
      <c r="U530" s="17"/>
      <c r="Y530" s="24"/>
      <c r="Z530" s="61"/>
      <c r="AA530" s="16"/>
      <c r="AB530" s="16"/>
      <c r="AC530" s="16"/>
      <c r="AD530" s="16"/>
      <c r="AE530" s="16"/>
      <c r="AF530" s="17"/>
      <c r="AJ530" s="24"/>
      <c r="AK530" s="61"/>
      <c r="AL530" s="16"/>
      <c r="AM530" s="16"/>
      <c r="AN530" s="16"/>
      <c r="AO530" s="16"/>
      <c r="AP530" s="16"/>
      <c r="AQ530" s="17"/>
      <c r="AU530" s="24"/>
      <c r="AV530" s="61"/>
      <c r="AW530" s="16"/>
      <c r="AX530" s="16"/>
      <c r="AY530" s="16"/>
      <c r="AZ530" s="16"/>
      <c r="BA530" s="16"/>
      <c r="BB530" s="17"/>
      <c r="BF530" s="24"/>
      <c r="BG530" s="61"/>
      <c r="BH530" s="16"/>
      <c r="BI530" s="16"/>
      <c r="BJ530" s="16"/>
      <c r="BK530" s="16"/>
      <c r="BL530" s="16"/>
      <c r="BM530" s="17"/>
      <c r="BQ530" s="24"/>
      <c r="BR530" s="61"/>
      <c r="BS530" s="16"/>
      <c r="BT530" s="16"/>
      <c r="BU530" s="16"/>
      <c r="BV530" s="16"/>
      <c r="BW530" s="16"/>
      <c r="BX530" s="17"/>
      <c r="CB530" s="24"/>
      <c r="CC530" s="61"/>
      <c r="CD530" s="16"/>
      <c r="CE530" s="16"/>
      <c r="CF530" s="16"/>
      <c r="CG530" s="16"/>
      <c r="CH530" s="16"/>
      <c r="CI530" s="17"/>
      <c r="CM530" s="24"/>
      <c r="CN530" s="61"/>
      <c r="CO530" s="16"/>
      <c r="CP530" s="16"/>
      <c r="CQ530" s="16"/>
      <c r="CR530" s="16"/>
      <c r="CS530" s="16"/>
      <c r="CT530" s="17"/>
      <c r="CX530" s="24"/>
      <c r="CY530" s="60"/>
      <c r="CZ530" s="16"/>
      <c r="DA530" s="16"/>
      <c r="DB530" s="16"/>
      <c r="DC530" s="16"/>
      <c r="DD530" s="16"/>
      <c r="DE530" s="17"/>
      <c r="DI530" s="24"/>
      <c r="DJ530" s="60"/>
      <c r="DK530" s="16"/>
      <c r="DL530" s="16"/>
      <c r="DM530" s="16"/>
      <c r="DN530" s="16"/>
      <c r="DO530" s="16"/>
      <c r="DP530" s="17"/>
      <c r="DT530" s="24"/>
      <c r="DU530" s="60"/>
      <c r="DV530" s="16"/>
      <c r="DW530" s="16"/>
      <c r="DX530" s="16"/>
      <c r="DY530" s="16"/>
      <c r="DZ530" s="16"/>
      <c r="EA530" s="17"/>
      <c r="EE530" s="24"/>
      <c r="EF530" s="60"/>
      <c r="EG530" s="16"/>
      <c r="EH530" s="16"/>
      <c r="EI530" s="16"/>
      <c r="EJ530" s="16"/>
      <c r="EK530" s="16"/>
      <c r="EL530" s="17"/>
      <c r="EP530" s="24"/>
      <c r="EQ530" s="60"/>
      <c r="ER530" s="16"/>
      <c r="ES530" s="16"/>
      <c r="ET530" s="16"/>
      <c r="EU530" s="16"/>
      <c r="EV530" s="16"/>
      <c r="EW530" s="17"/>
      <c r="FA530" s="24"/>
      <c r="FB530" s="60"/>
      <c r="FC530" s="16"/>
      <c r="FD530" s="16"/>
      <c r="FE530" s="16"/>
      <c r="FF530" s="16"/>
      <c r="FG530" s="16"/>
      <c r="FH530" s="17"/>
      <c r="FL530" s="24"/>
      <c r="FM530" s="60"/>
      <c r="FN530" s="16"/>
      <c r="FO530" s="16"/>
      <c r="FP530" s="16"/>
      <c r="FQ530" s="16"/>
      <c r="FR530" s="16"/>
      <c r="FS530" s="17"/>
      <c r="FW530" s="24"/>
      <c r="FX530" s="60"/>
      <c r="FY530" s="16"/>
      <c r="FZ530" s="16"/>
      <c r="GA530" s="16"/>
      <c r="GB530" s="16"/>
      <c r="GC530" s="16"/>
      <c r="GD530" s="17"/>
      <c r="GH530" s="24"/>
      <c r="GI530" s="60"/>
      <c r="GJ530" s="16"/>
      <c r="GK530" s="16"/>
      <c r="GL530" s="16"/>
      <c r="GM530" s="16"/>
      <c r="GN530" s="16"/>
      <c r="GO530" s="17"/>
      <c r="GS530" s="24"/>
      <c r="GT530" s="60"/>
      <c r="GU530" s="16"/>
      <c r="GV530" s="16"/>
      <c r="GW530" s="16"/>
      <c r="GX530" s="16"/>
      <c r="GY530" s="16"/>
      <c r="GZ530" s="17"/>
      <c r="HD530" s="24"/>
      <c r="HE530" s="60"/>
      <c r="HF530" s="16"/>
      <c r="HG530" s="16"/>
      <c r="HH530" s="16"/>
      <c r="HI530" s="16"/>
      <c r="HJ530" s="16"/>
      <c r="HK530" s="17"/>
      <c r="HO530" s="24"/>
      <c r="HP530" s="60"/>
      <c r="HQ530" s="16"/>
      <c r="HR530" s="16"/>
      <c r="HS530" s="16"/>
      <c r="HT530" s="16"/>
      <c r="HU530" s="16"/>
      <c r="HV530" s="17"/>
      <c r="HZ530" s="24"/>
      <c r="IA530" s="60"/>
      <c r="IB530" s="16"/>
      <c r="IC530" s="16"/>
      <c r="ID530" s="16"/>
      <c r="IE530" s="16"/>
      <c r="IF530" s="16"/>
      <c r="IG530" s="17"/>
      <c r="IK530" s="24"/>
      <c r="IL530" s="60"/>
      <c r="IM530" s="16"/>
      <c r="IN530" s="16"/>
      <c r="IO530" s="16"/>
      <c r="IP530" s="16"/>
      <c r="IQ530" s="16"/>
      <c r="IR530" s="17"/>
      <c r="IV530" s="24"/>
      <c r="IW530" s="60"/>
      <c r="IX530" s="16"/>
      <c r="IY530" s="16"/>
      <c r="IZ530" s="16"/>
      <c r="JA530" s="16"/>
      <c r="JB530" s="16"/>
      <c r="JC530" s="17"/>
      <c r="JG530" s="24"/>
      <c r="JH530" s="60"/>
      <c r="JI530" s="16"/>
      <c r="JJ530" s="16"/>
      <c r="JK530" s="16"/>
      <c r="JL530" s="16"/>
      <c r="JM530" s="16"/>
      <c r="JN530" s="17"/>
      <c r="JR530" s="24"/>
      <c r="JS530" s="60"/>
      <c r="JT530" s="16"/>
      <c r="JU530" s="16"/>
      <c r="JV530" s="16"/>
      <c r="JW530" s="16"/>
      <c r="JX530" s="16"/>
      <c r="JY530" s="17"/>
      <c r="KC530" s="24"/>
      <c r="KD530" s="60"/>
      <c r="KE530" s="16"/>
      <c r="KF530" s="16"/>
      <c r="KG530" s="16"/>
      <c r="KH530" s="16"/>
      <c r="KI530" s="16"/>
      <c r="KJ530" s="17"/>
      <c r="KN530" s="24"/>
      <c r="KO530" s="60"/>
      <c r="KP530" s="16"/>
      <c r="KQ530" s="16"/>
      <c r="KR530" s="16"/>
      <c r="KS530" s="16"/>
      <c r="KT530" s="16"/>
      <c r="KU530" s="17"/>
      <c r="KY530" s="24"/>
      <c r="KZ530" s="60"/>
      <c r="LA530" s="16"/>
      <c r="LB530" s="16"/>
      <c r="LC530" s="16"/>
      <c r="LD530" s="16"/>
      <c r="LE530" s="16"/>
      <c r="LF530" s="17"/>
      <c r="LJ530" s="24"/>
      <c r="LK530" s="60"/>
      <c r="LL530" s="16"/>
      <c r="LM530" s="16"/>
      <c r="LN530" s="16"/>
      <c r="LO530" s="16"/>
      <c r="LP530" s="16"/>
      <c r="LQ530" s="17"/>
    </row>
    <row r="531">
      <c r="C531" s="31"/>
      <c r="D531" s="61"/>
      <c r="E531" s="16"/>
      <c r="F531" s="16"/>
      <c r="G531" s="21"/>
      <c r="H531" s="16"/>
      <c r="I531" s="16"/>
      <c r="J531" s="17"/>
      <c r="N531" s="17"/>
      <c r="O531" s="61"/>
      <c r="P531" s="16"/>
      <c r="Q531" s="16"/>
      <c r="R531" s="16"/>
      <c r="S531" s="16"/>
      <c r="T531" s="16"/>
      <c r="U531" s="17"/>
      <c r="Y531" s="24"/>
      <c r="Z531" s="61"/>
      <c r="AA531" s="16"/>
      <c r="AB531" s="16"/>
      <c r="AC531" s="16"/>
      <c r="AD531" s="16"/>
      <c r="AE531" s="16"/>
      <c r="AF531" s="17"/>
      <c r="AJ531" s="24"/>
      <c r="AK531" s="61"/>
      <c r="AL531" s="16"/>
      <c r="AM531" s="16"/>
      <c r="AN531" s="16"/>
      <c r="AO531" s="16"/>
      <c r="AP531" s="16"/>
      <c r="AQ531" s="17"/>
      <c r="AU531" s="24"/>
      <c r="AV531" s="61"/>
      <c r="AW531" s="16"/>
      <c r="AX531" s="16"/>
      <c r="AY531" s="16"/>
      <c r="AZ531" s="16"/>
      <c r="BA531" s="16"/>
      <c r="BB531" s="17"/>
      <c r="BF531" s="24"/>
      <c r="BG531" s="61"/>
      <c r="BH531" s="16"/>
      <c r="BI531" s="16"/>
      <c r="BJ531" s="16"/>
      <c r="BK531" s="16"/>
      <c r="BL531" s="16"/>
      <c r="BM531" s="17"/>
      <c r="BQ531" s="24"/>
      <c r="BR531" s="61"/>
      <c r="BS531" s="16"/>
      <c r="BT531" s="16"/>
      <c r="BU531" s="16"/>
      <c r="BV531" s="16"/>
      <c r="BW531" s="16"/>
      <c r="BX531" s="17"/>
      <c r="CB531" s="24"/>
      <c r="CC531" s="61"/>
      <c r="CD531" s="16"/>
      <c r="CE531" s="16"/>
      <c r="CF531" s="16"/>
      <c r="CG531" s="16"/>
      <c r="CH531" s="16"/>
      <c r="CI531" s="17"/>
      <c r="CM531" s="24"/>
      <c r="CN531" s="61"/>
      <c r="CO531" s="16"/>
      <c r="CP531" s="16"/>
      <c r="CQ531" s="16"/>
      <c r="CR531" s="16"/>
      <c r="CS531" s="16"/>
      <c r="CT531" s="17"/>
      <c r="CX531" s="24"/>
      <c r="CY531" s="60"/>
      <c r="CZ531" s="16"/>
      <c r="DA531" s="16"/>
      <c r="DB531" s="16"/>
      <c r="DC531" s="16"/>
      <c r="DD531" s="16"/>
      <c r="DE531" s="17"/>
      <c r="DI531" s="24"/>
      <c r="DJ531" s="60"/>
      <c r="DK531" s="16"/>
      <c r="DL531" s="16"/>
      <c r="DM531" s="16"/>
      <c r="DN531" s="16"/>
      <c r="DO531" s="16"/>
      <c r="DP531" s="17"/>
      <c r="DT531" s="24"/>
      <c r="DU531" s="60"/>
      <c r="DV531" s="16"/>
      <c r="DW531" s="16"/>
      <c r="DX531" s="16"/>
      <c r="DY531" s="16"/>
      <c r="DZ531" s="16"/>
      <c r="EA531" s="17"/>
      <c r="EE531" s="24"/>
      <c r="EF531" s="60"/>
      <c r="EG531" s="16"/>
      <c r="EH531" s="16"/>
      <c r="EI531" s="16"/>
      <c r="EJ531" s="16"/>
      <c r="EK531" s="16"/>
      <c r="EL531" s="17"/>
      <c r="EP531" s="24"/>
      <c r="EQ531" s="60"/>
      <c r="ER531" s="16"/>
      <c r="ES531" s="16"/>
      <c r="ET531" s="16"/>
      <c r="EU531" s="16"/>
      <c r="EV531" s="16"/>
      <c r="EW531" s="17"/>
      <c r="FA531" s="24"/>
      <c r="FB531" s="60"/>
      <c r="FC531" s="16"/>
      <c r="FD531" s="16"/>
      <c r="FE531" s="16"/>
      <c r="FF531" s="16"/>
      <c r="FG531" s="16"/>
      <c r="FH531" s="17"/>
      <c r="FL531" s="24"/>
      <c r="FM531" s="60"/>
      <c r="FN531" s="16"/>
      <c r="FO531" s="16"/>
      <c r="FP531" s="16"/>
      <c r="FQ531" s="16"/>
      <c r="FR531" s="16"/>
      <c r="FS531" s="17"/>
      <c r="FW531" s="24"/>
      <c r="FX531" s="60"/>
      <c r="FY531" s="16"/>
      <c r="FZ531" s="16"/>
      <c r="GA531" s="16"/>
      <c r="GB531" s="16"/>
      <c r="GC531" s="16"/>
      <c r="GD531" s="17"/>
      <c r="GH531" s="24"/>
      <c r="GI531" s="60"/>
      <c r="GJ531" s="16"/>
      <c r="GK531" s="16"/>
      <c r="GL531" s="16"/>
      <c r="GM531" s="16"/>
      <c r="GN531" s="16"/>
      <c r="GO531" s="17"/>
      <c r="GS531" s="24"/>
      <c r="GT531" s="60"/>
      <c r="GU531" s="16"/>
      <c r="GV531" s="16"/>
      <c r="GW531" s="16"/>
      <c r="GX531" s="16"/>
      <c r="GY531" s="16"/>
      <c r="GZ531" s="17"/>
      <c r="HD531" s="24"/>
      <c r="HE531" s="60"/>
      <c r="HF531" s="16"/>
      <c r="HG531" s="16"/>
      <c r="HH531" s="16"/>
      <c r="HI531" s="16"/>
      <c r="HJ531" s="16"/>
      <c r="HK531" s="17"/>
      <c r="HO531" s="24"/>
      <c r="HP531" s="60"/>
      <c r="HQ531" s="16"/>
      <c r="HR531" s="16"/>
      <c r="HS531" s="16"/>
      <c r="HT531" s="16"/>
      <c r="HU531" s="16"/>
      <c r="HV531" s="17"/>
      <c r="HZ531" s="24"/>
      <c r="IA531" s="60"/>
      <c r="IB531" s="16"/>
      <c r="IC531" s="16"/>
      <c r="ID531" s="16"/>
      <c r="IE531" s="16"/>
      <c r="IF531" s="16"/>
      <c r="IG531" s="17"/>
      <c r="IK531" s="24"/>
      <c r="IL531" s="60"/>
      <c r="IM531" s="16"/>
      <c r="IN531" s="16"/>
      <c r="IO531" s="16"/>
      <c r="IP531" s="16"/>
      <c r="IQ531" s="16"/>
      <c r="IR531" s="17"/>
      <c r="IV531" s="24"/>
      <c r="IW531" s="60"/>
      <c r="IX531" s="16"/>
      <c r="IY531" s="16"/>
      <c r="IZ531" s="16"/>
      <c r="JA531" s="16"/>
      <c r="JB531" s="16"/>
      <c r="JC531" s="17"/>
      <c r="JG531" s="24"/>
      <c r="JH531" s="60"/>
      <c r="JI531" s="16"/>
      <c r="JJ531" s="16"/>
      <c r="JK531" s="16"/>
      <c r="JL531" s="16"/>
      <c r="JM531" s="16"/>
      <c r="JN531" s="17"/>
      <c r="JR531" s="24"/>
      <c r="JS531" s="60"/>
      <c r="JT531" s="16"/>
      <c r="JU531" s="16"/>
      <c r="JV531" s="16"/>
      <c r="JW531" s="16"/>
      <c r="JX531" s="16"/>
      <c r="JY531" s="17"/>
      <c r="KC531" s="24"/>
      <c r="KD531" s="60"/>
      <c r="KE531" s="16"/>
      <c r="KF531" s="16"/>
      <c r="KG531" s="16"/>
      <c r="KH531" s="16"/>
      <c r="KI531" s="16"/>
      <c r="KJ531" s="17"/>
      <c r="KN531" s="24"/>
      <c r="KO531" s="60"/>
      <c r="KP531" s="16"/>
      <c r="KQ531" s="16"/>
      <c r="KR531" s="16"/>
      <c r="KS531" s="16"/>
      <c r="KT531" s="16"/>
      <c r="KU531" s="17"/>
      <c r="KY531" s="24"/>
      <c r="KZ531" s="60"/>
      <c r="LA531" s="16"/>
      <c r="LB531" s="16"/>
      <c r="LC531" s="16"/>
      <c r="LD531" s="16"/>
      <c r="LE531" s="16"/>
      <c r="LF531" s="17"/>
      <c r="LJ531" s="24"/>
      <c r="LK531" s="60"/>
      <c r="LL531" s="16"/>
      <c r="LM531" s="16"/>
      <c r="LN531" s="16"/>
      <c r="LO531" s="16"/>
      <c r="LP531" s="16"/>
      <c r="LQ531" s="17"/>
    </row>
    <row r="532">
      <c r="C532" s="31"/>
      <c r="D532" s="61"/>
      <c r="E532" s="16"/>
      <c r="F532" s="16"/>
      <c r="G532" s="21"/>
      <c r="H532" s="16"/>
      <c r="I532" s="16"/>
      <c r="J532" s="17"/>
      <c r="N532" s="17"/>
      <c r="O532" s="61"/>
      <c r="P532" s="16"/>
      <c r="Q532" s="16"/>
      <c r="R532" s="16"/>
      <c r="S532" s="16"/>
      <c r="T532" s="16"/>
      <c r="U532" s="17"/>
      <c r="Y532" s="24"/>
      <c r="Z532" s="61"/>
      <c r="AA532" s="16"/>
      <c r="AB532" s="16"/>
      <c r="AC532" s="16"/>
      <c r="AD532" s="16"/>
      <c r="AE532" s="16"/>
      <c r="AF532" s="17"/>
      <c r="AJ532" s="24"/>
      <c r="AK532" s="61"/>
      <c r="AL532" s="16"/>
      <c r="AM532" s="16"/>
      <c r="AN532" s="16"/>
      <c r="AO532" s="16"/>
      <c r="AP532" s="16"/>
      <c r="AQ532" s="17"/>
      <c r="AU532" s="24"/>
      <c r="AV532" s="61"/>
      <c r="AW532" s="16"/>
      <c r="AX532" s="16"/>
      <c r="AY532" s="16"/>
      <c r="AZ532" s="16"/>
      <c r="BA532" s="16"/>
      <c r="BB532" s="17"/>
      <c r="BF532" s="24"/>
      <c r="BG532" s="61"/>
      <c r="BH532" s="16"/>
      <c r="BI532" s="16"/>
      <c r="BJ532" s="16"/>
      <c r="BK532" s="16"/>
      <c r="BL532" s="16"/>
      <c r="BM532" s="17"/>
      <c r="BQ532" s="24"/>
      <c r="BR532" s="61"/>
      <c r="BS532" s="16"/>
      <c r="BT532" s="16"/>
      <c r="BU532" s="16"/>
      <c r="BV532" s="16"/>
      <c r="BW532" s="16"/>
      <c r="BX532" s="17"/>
      <c r="CB532" s="24"/>
      <c r="CC532" s="61"/>
      <c r="CD532" s="16"/>
      <c r="CE532" s="16"/>
      <c r="CF532" s="16"/>
      <c r="CG532" s="16"/>
      <c r="CH532" s="16"/>
      <c r="CI532" s="17"/>
      <c r="CM532" s="24"/>
      <c r="CN532" s="61"/>
      <c r="CO532" s="16"/>
      <c r="CP532" s="16"/>
      <c r="CQ532" s="16"/>
      <c r="CR532" s="16"/>
      <c r="CS532" s="16"/>
      <c r="CT532" s="17"/>
      <c r="CX532" s="24"/>
      <c r="CY532" s="60"/>
      <c r="CZ532" s="16"/>
      <c r="DA532" s="16"/>
      <c r="DB532" s="16"/>
      <c r="DC532" s="16"/>
      <c r="DD532" s="16"/>
      <c r="DE532" s="17"/>
      <c r="DI532" s="24"/>
      <c r="DJ532" s="60"/>
      <c r="DK532" s="16"/>
      <c r="DL532" s="16"/>
      <c r="DM532" s="16"/>
      <c r="DN532" s="16"/>
      <c r="DO532" s="16"/>
      <c r="DP532" s="17"/>
      <c r="DT532" s="24"/>
      <c r="DU532" s="60"/>
      <c r="DV532" s="16"/>
      <c r="DW532" s="16"/>
      <c r="DX532" s="16"/>
      <c r="DY532" s="16"/>
      <c r="DZ532" s="16"/>
      <c r="EA532" s="17"/>
      <c r="EE532" s="24"/>
      <c r="EF532" s="60"/>
      <c r="EG532" s="16"/>
      <c r="EH532" s="16"/>
      <c r="EI532" s="16"/>
      <c r="EJ532" s="16"/>
      <c r="EK532" s="16"/>
      <c r="EL532" s="17"/>
      <c r="EP532" s="24"/>
      <c r="EQ532" s="60"/>
      <c r="ER532" s="16"/>
      <c r="ES532" s="16"/>
      <c r="ET532" s="16"/>
      <c r="EU532" s="16"/>
      <c r="EV532" s="16"/>
      <c r="EW532" s="17"/>
      <c r="FA532" s="24"/>
      <c r="FB532" s="60"/>
      <c r="FC532" s="16"/>
      <c r="FD532" s="16"/>
      <c r="FE532" s="16"/>
      <c r="FF532" s="16"/>
      <c r="FG532" s="16"/>
      <c r="FH532" s="17"/>
      <c r="FL532" s="24"/>
      <c r="FM532" s="60"/>
      <c r="FN532" s="16"/>
      <c r="FO532" s="16"/>
      <c r="FP532" s="16"/>
      <c r="FQ532" s="16"/>
      <c r="FR532" s="16"/>
      <c r="FS532" s="17"/>
      <c r="FW532" s="24"/>
      <c r="FX532" s="60"/>
      <c r="FY532" s="16"/>
      <c r="FZ532" s="16"/>
      <c r="GA532" s="16"/>
      <c r="GB532" s="16"/>
      <c r="GC532" s="16"/>
      <c r="GD532" s="17"/>
      <c r="GH532" s="24"/>
      <c r="GI532" s="60"/>
      <c r="GJ532" s="16"/>
      <c r="GK532" s="16"/>
      <c r="GL532" s="16"/>
      <c r="GM532" s="16"/>
      <c r="GN532" s="16"/>
      <c r="GO532" s="17"/>
      <c r="GS532" s="24"/>
      <c r="GT532" s="60"/>
      <c r="GU532" s="16"/>
      <c r="GV532" s="16"/>
      <c r="GW532" s="16"/>
      <c r="GX532" s="16"/>
      <c r="GY532" s="16"/>
      <c r="GZ532" s="17"/>
      <c r="HD532" s="24"/>
      <c r="HE532" s="60"/>
      <c r="HF532" s="16"/>
      <c r="HG532" s="16"/>
      <c r="HH532" s="16"/>
      <c r="HI532" s="16"/>
      <c r="HJ532" s="16"/>
      <c r="HK532" s="17"/>
      <c r="HO532" s="24"/>
      <c r="HP532" s="60"/>
      <c r="HQ532" s="16"/>
      <c r="HR532" s="16"/>
      <c r="HS532" s="16"/>
      <c r="HT532" s="16"/>
      <c r="HU532" s="16"/>
      <c r="HV532" s="17"/>
      <c r="HZ532" s="24"/>
      <c r="IA532" s="60"/>
      <c r="IB532" s="16"/>
      <c r="IC532" s="16"/>
      <c r="ID532" s="16"/>
      <c r="IE532" s="16"/>
      <c r="IF532" s="16"/>
      <c r="IG532" s="17"/>
      <c r="IK532" s="24"/>
      <c r="IL532" s="60"/>
      <c r="IM532" s="16"/>
      <c r="IN532" s="16"/>
      <c r="IO532" s="16"/>
      <c r="IP532" s="16"/>
      <c r="IQ532" s="16"/>
      <c r="IR532" s="17"/>
      <c r="IV532" s="24"/>
      <c r="IW532" s="60"/>
      <c r="IX532" s="16"/>
      <c r="IY532" s="16"/>
      <c r="IZ532" s="16"/>
      <c r="JA532" s="16"/>
      <c r="JB532" s="16"/>
      <c r="JC532" s="17"/>
      <c r="JG532" s="24"/>
      <c r="JH532" s="60"/>
      <c r="JI532" s="16"/>
      <c r="JJ532" s="16"/>
      <c r="JK532" s="16"/>
      <c r="JL532" s="16"/>
      <c r="JM532" s="16"/>
      <c r="JN532" s="17"/>
      <c r="JR532" s="24"/>
      <c r="JS532" s="60"/>
      <c r="JT532" s="16"/>
      <c r="JU532" s="16"/>
      <c r="JV532" s="16"/>
      <c r="JW532" s="16"/>
      <c r="JX532" s="16"/>
      <c r="JY532" s="17"/>
      <c r="KC532" s="24"/>
      <c r="KD532" s="60"/>
      <c r="KE532" s="16"/>
      <c r="KF532" s="16"/>
      <c r="KG532" s="16"/>
      <c r="KH532" s="16"/>
      <c r="KI532" s="16"/>
      <c r="KJ532" s="17"/>
      <c r="KN532" s="24"/>
      <c r="KO532" s="60"/>
      <c r="KP532" s="16"/>
      <c r="KQ532" s="16"/>
      <c r="KR532" s="16"/>
      <c r="KS532" s="16"/>
      <c r="KT532" s="16"/>
      <c r="KU532" s="17"/>
      <c r="KY532" s="24"/>
      <c r="KZ532" s="60"/>
      <c r="LA532" s="16"/>
      <c r="LB532" s="16"/>
      <c r="LC532" s="16"/>
      <c r="LD532" s="16"/>
      <c r="LE532" s="16"/>
      <c r="LF532" s="17"/>
      <c r="LJ532" s="24"/>
      <c r="LK532" s="60"/>
      <c r="LL532" s="16"/>
      <c r="LM532" s="16"/>
      <c r="LN532" s="16"/>
      <c r="LO532" s="16"/>
      <c r="LP532" s="16"/>
      <c r="LQ532" s="17"/>
    </row>
    <row r="533">
      <c r="C533" s="31"/>
      <c r="D533" s="61"/>
      <c r="E533" s="16"/>
      <c r="F533" s="16"/>
      <c r="G533" s="21"/>
      <c r="H533" s="16"/>
      <c r="I533" s="16"/>
      <c r="J533" s="17"/>
      <c r="N533" s="17"/>
      <c r="O533" s="61"/>
      <c r="P533" s="16"/>
      <c r="Q533" s="16"/>
      <c r="R533" s="16"/>
      <c r="S533" s="16"/>
      <c r="T533" s="16"/>
      <c r="U533" s="17"/>
      <c r="Y533" s="24"/>
      <c r="Z533" s="61"/>
      <c r="AA533" s="16"/>
      <c r="AB533" s="16"/>
      <c r="AC533" s="16"/>
      <c r="AD533" s="16"/>
      <c r="AE533" s="16"/>
      <c r="AF533" s="17"/>
      <c r="AJ533" s="24"/>
      <c r="AK533" s="61"/>
      <c r="AL533" s="16"/>
      <c r="AM533" s="16"/>
      <c r="AN533" s="16"/>
      <c r="AO533" s="16"/>
      <c r="AP533" s="16"/>
      <c r="AQ533" s="17"/>
      <c r="AU533" s="24"/>
      <c r="AV533" s="61"/>
      <c r="AW533" s="16"/>
      <c r="AX533" s="16"/>
      <c r="AY533" s="16"/>
      <c r="AZ533" s="16"/>
      <c r="BA533" s="16"/>
      <c r="BB533" s="17"/>
      <c r="BF533" s="24"/>
      <c r="BG533" s="61"/>
      <c r="BH533" s="16"/>
      <c r="BI533" s="16"/>
      <c r="BJ533" s="16"/>
      <c r="BK533" s="16"/>
      <c r="BL533" s="16"/>
      <c r="BM533" s="17"/>
      <c r="BQ533" s="24"/>
      <c r="BR533" s="61"/>
      <c r="BS533" s="16"/>
      <c r="BT533" s="16"/>
      <c r="BU533" s="16"/>
      <c r="BV533" s="16"/>
      <c r="BW533" s="16"/>
      <c r="BX533" s="17"/>
      <c r="CB533" s="24"/>
      <c r="CC533" s="61"/>
      <c r="CD533" s="16"/>
      <c r="CE533" s="16"/>
      <c r="CF533" s="16"/>
      <c r="CG533" s="16"/>
      <c r="CH533" s="16"/>
      <c r="CI533" s="17"/>
      <c r="CM533" s="24"/>
      <c r="CN533" s="61"/>
      <c r="CO533" s="16"/>
      <c r="CP533" s="16"/>
      <c r="CQ533" s="16"/>
      <c r="CR533" s="16"/>
      <c r="CS533" s="16"/>
      <c r="CT533" s="17"/>
      <c r="CX533" s="24"/>
      <c r="CY533" s="60"/>
      <c r="CZ533" s="16"/>
      <c r="DA533" s="16"/>
      <c r="DB533" s="16"/>
      <c r="DC533" s="16"/>
      <c r="DD533" s="16"/>
      <c r="DE533" s="17"/>
      <c r="DI533" s="24"/>
      <c r="DJ533" s="60"/>
      <c r="DK533" s="16"/>
      <c r="DL533" s="16"/>
      <c r="DM533" s="16"/>
      <c r="DN533" s="16"/>
      <c r="DO533" s="16"/>
      <c r="DP533" s="17"/>
      <c r="DT533" s="24"/>
      <c r="DU533" s="60"/>
      <c r="DV533" s="16"/>
      <c r="DW533" s="16"/>
      <c r="DX533" s="16"/>
      <c r="DY533" s="16"/>
      <c r="DZ533" s="16"/>
      <c r="EA533" s="17"/>
      <c r="EE533" s="24"/>
      <c r="EF533" s="60"/>
      <c r="EG533" s="16"/>
      <c r="EH533" s="16"/>
      <c r="EI533" s="16"/>
      <c r="EJ533" s="16"/>
      <c r="EK533" s="16"/>
      <c r="EL533" s="17"/>
      <c r="EP533" s="24"/>
      <c r="EQ533" s="60"/>
      <c r="ER533" s="16"/>
      <c r="ES533" s="16"/>
      <c r="ET533" s="16"/>
      <c r="EU533" s="16"/>
      <c r="EV533" s="16"/>
      <c r="EW533" s="17"/>
      <c r="FA533" s="24"/>
      <c r="FB533" s="60"/>
      <c r="FC533" s="16"/>
      <c r="FD533" s="16"/>
      <c r="FE533" s="16"/>
      <c r="FF533" s="16"/>
      <c r="FG533" s="16"/>
      <c r="FH533" s="17"/>
      <c r="FL533" s="24"/>
      <c r="FM533" s="60"/>
      <c r="FN533" s="16"/>
      <c r="FO533" s="16"/>
      <c r="FP533" s="16"/>
      <c r="FQ533" s="16"/>
      <c r="FR533" s="16"/>
      <c r="FS533" s="17"/>
      <c r="FW533" s="24"/>
      <c r="FX533" s="60"/>
      <c r="FY533" s="16"/>
      <c r="FZ533" s="16"/>
      <c r="GA533" s="16"/>
      <c r="GB533" s="16"/>
      <c r="GC533" s="16"/>
      <c r="GD533" s="17"/>
      <c r="GH533" s="24"/>
      <c r="GI533" s="60"/>
      <c r="GJ533" s="16"/>
      <c r="GK533" s="16"/>
      <c r="GL533" s="16"/>
      <c r="GM533" s="16"/>
      <c r="GN533" s="16"/>
      <c r="GO533" s="17"/>
      <c r="GS533" s="24"/>
      <c r="GT533" s="60"/>
      <c r="GU533" s="16"/>
      <c r="GV533" s="16"/>
      <c r="GW533" s="16"/>
      <c r="GX533" s="16"/>
      <c r="GY533" s="16"/>
      <c r="GZ533" s="17"/>
      <c r="HD533" s="24"/>
      <c r="HE533" s="60"/>
      <c r="HF533" s="16"/>
      <c r="HG533" s="16"/>
      <c r="HH533" s="16"/>
      <c r="HI533" s="16"/>
      <c r="HJ533" s="16"/>
      <c r="HK533" s="17"/>
      <c r="HO533" s="24"/>
      <c r="HP533" s="60"/>
      <c r="HQ533" s="16"/>
      <c r="HR533" s="16"/>
      <c r="HS533" s="16"/>
      <c r="HT533" s="16"/>
      <c r="HU533" s="16"/>
      <c r="HV533" s="17"/>
      <c r="HZ533" s="24"/>
      <c r="IA533" s="60"/>
      <c r="IB533" s="16"/>
      <c r="IC533" s="16"/>
      <c r="ID533" s="16"/>
      <c r="IE533" s="16"/>
      <c r="IF533" s="16"/>
      <c r="IG533" s="17"/>
      <c r="IK533" s="24"/>
      <c r="IL533" s="60"/>
      <c r="IM533" s="16"/>
      <c r="IN533" s="16"/>
      <c r="IO533" s="16"/>
      <c r="IP533" s="16"/>
      <c r="IQ533" s="16"/>
      <c r="IR533" s="17"/>
      <c r="IV533" s="24"/>
      <c r="IW533" s="60"/>
      <c r="IX533" s="16"/>
      <c r="IY533" s="16"/>
      <c r="IZ533" s="16"/>
      <c r="JA533" s="16"/>
      <c r="JB533" s="16"/>
      <c r="JC533" s="17"/>
      <c r="JG533" s="24"/>
      <c r="JH533" s="60"/>
      <c r="JI533" s="16"/>
      <c r="JJ533" s="16"/>
      <c r="JK533" s="16"/>
      <c r="JL533" s="16"/>
      <c r="JM533" s="16"/>
      <c r="JN533" s="17"/>
      <c r="JR533" s="24"/>
      <c r="JS533" s="60"/>
      <c r="JT533" s="16"/>
      <c r="JU533" s="16"/>
      <c r="JV533" s="16"/>
      <c r="JW533" s="16"/>
      <c r="JX533" s="16"/>
      <c r="JY533" s="17"/>
      <c r="KC533" s="24"/>
      <c r="KD533" s="60"/>
      <c r="KE533" s="16"/>
      <c r="KF533" s="16"/>
      <c r="KG533" s="16"/>
      <c r="KH533" s="16"/>
      <c r="KI533" s="16"/>
      <c r="KJ533" s="17"/>
      <c r="KN533" s="24"/>
      <c r="KO533" s="60"/>
      <c r="KP533" s="16"/>
      <c r="KQ533" s="16"/>
      <c r="KR533" s="16"/>
      <c r="KS533" s="16"/>
      <c r="KT533" s="16"/>
      <c r="KU533" s="17"/>
      <c r="KY533" s="24"/>
      <c r="KZ533" s="60"/>
      <c r="LA533" s="16"/>
      <c r="LB533" s="16"/>
      <c r="LC533" s="16"/>
      <c r="LD533" s="16"/>
      <c r="LE533" s="16"/>
      <c r="LF533" s="17"/>
      <c r="LJ533" s="24"/>
      <c r="LK533" s="60"/>
      <c r="LL533" s="16"/>
      <c r="LM533" s="16"/>
      <c r="LN533" s="16"/>
      <c r="LO533" s="16"/>
      <c r="LP533" s="16"/>
      <c r="LQ533" s="17"/>
    </row>
    <row r="534">
      <c r="C534" s="31"/>
      <c r="D534" s="61"/>
      <c r="E534" s="16"/>
      <c r="F534" s="16"/>
      <c r="G534" s="21"/>
      <c r="H534" s="16"/>
      <c r="I534" s="16"/>
      <c r="J534" s="17"/>
      <c r="N534" s="17"/>
      <c r="O534" s="61"/>
      <c r="P534" s="16"/>
      <c r="Q534" s="16"/>
      <c r="R534" s="16"/>
      <c r="S534" s="16"/>
      <c r="T534" s="16"/>
      <c r="U534" s="17"/>
      <c r="Y534" s="24"/>
      <c r="Z534" s="61"/>
      <c r="AA534" s="16"/>
      <c r="AB534" s="16"/>
      <c r="AC534" s="16"/>
      <c r="AD534" s="16"/>
      <c r="AE534" s="16"/>
      <c r="AF534" s="17"/>
      <c r="AJ534" s="24"/>
      <c r="AK534" s="61"/>
      <c r="AL534" s="16"/>
      <c r="AM534" s="16"/>
      <c r="AN534" s="16"/>
      <c r="AO534" s="16"/>
      <c r="AP534" s="16"/>
      <c r="AQ534" s="17"/>
      <c r="AU534" s="24"/>
      <c r="AV534" s="61"/>
      <c r="AW534" s="16"/>
      <c r="AX534" s="16"/>
      <c r="AY534" s="16"/>
      <c r="AZ534" s="16"/>
      <c r="BA534" s="16"/>
      <c r="BB534" s="17"/>
      <c r="BF534" s="24"/>
      <c r="BG534" s="61"/>
      <c r="BH534" s="16"/>
      <c r="BI534" s="16"/>
      <c r="BJ534" s="16"/>
      <c r="BK534" s="16"/>
      <c r="BL534" s="16"/>
      <c r="BM534" s="17"/>
      <c r="BQ534" s="24"/>
      <c r="BR534" s="61"/>
      <c r="BS534" s="16"/>
      <c r="BT534" s="16"/>
      <c r="BU534" s="16"/>
      <c r="BV534" s="16"/>
      <c r="BW534" s="16"/>
      <c r="BX534" s="17"/>
      <c r="CB534" s="24"/>
      <c r="CC534" s="61"/>
      <c r="CD534" s="16"/>
      <c r="CE534" s="16"/>
      <c r="CF534" s="16"/>
      <c r="CG534" s="16"/>
      <c r="CH534" s="16"/>
      <c r="CI534" s="17"/>
      <c r="CM534" s="24"/>
      <c r="CN534" s="61"/>
      <c r="CO534" s="16"/>
      <c r="CP534" s="16"/>
      <c r="CQ534" s="16"/>
      <c r="CR534" s="16"/>
      <c r="CS534" s="16"/>
      <c r="CT534" s="17"/>
      <c r="CX534" s="24"/>
      <c r="CY534" s="60"/>
      <c r="CZ534" s="16"/>
      <c r="DA534" s="16"/>
      <c r="DB534" s="16"/>
      <c r="DC534" s="16"/>
      <c r="DD534" s="16"/>
      <c r="DE534" s="17"/>
      <c r="DI534" s="24"/>
      <c r="DJ534" s="60"/>
      <c r="DK534" s="16"/>
      <c r="DL534" s="16"/>
      <c r="DM534" s="16"/>
      <c r="DN534" s="16"/>
      <c r="DO534" s="16"/>
      <c r="DP534" s="17"/>
      <c r="DT534" s="24"/>
      <c r="DU534" s="60"/>
      <c r="DV534" s="16"/>
      <c r="DW534" s="16"/>
      <c r="DX534" s="16"/>
      <c r="DY534" s="16"/>
      <c r="DZ534" s="16"/>
      <c r="EA534" s="17"/>
      <c r="EE534" s="24"/>
      <c r="EF534" s="60"/>
      <c r="EG534" s="16"/>
      <c r="EH534" s="16"/>
      <c r="EI534" s="16"/>
      <c r="EJ534" s="16"/>
      <c r="EK534" s="16"/>
      <c r="EL534" s="17"/>
      <c r="EP534" s="24"/>
      <c r="EQ534" s="60"/>
      <c r="ER534" s="16"/>
      <c r="ES534" s="16"/>
      <c r="ET534" s="16"/>
      <c r="EU534" s="16"/>
      <c r="EV534" s="16"/>
      <c r="EW534" s="17"/>
      <c r="FA534" s="24"/>
      <c r="FB534" s="60"/>
      <c r="FC534" s="16"/>
      <c r="FD534" s="16"/>
      <c r="FE534" s="16"/>
      <c r="FF534" s="16"/>
      <c r="FG534" s="16"/>
      <c r="FH534" s="17"/>
      <c r="FL534" s="24"/>
      <c r="FM534" s="60"/>
      <c r="FN534" s="16"/>
      <c r="FO534" s="16"/>
      <c r="FP534" s="16"/>
      <c r="FQ534" s="16"/>
      <c r="FR534" s="16"/>
      <c r="FS534" s="17"/>
      <c r="FW534" s="24"/>
      <c r="FX534" s="60"/>
      <c r="FY534" s="16"/>
      <c r="FZ534" s="16"/>
      <c r="GA534" s="16"/>
      <c r="GB534" s="16"/>
      <c r="GC534" s="16"/>
      <c r="GD534" s="17"/>
      <c r="GH534" s="24"/>
      <c r="GI534" s="60"/>
      <c r="GJ534" s="16"/>
      <c r="GK534" s="16"/>
      <c r="GL534" s="16"/>
      <c r="GM534" s="16"/>
      <c r="GN534" s="16"/>
      <c r="GO534" s="17"/>
      <c r="GS534" s="24"/>
      <c r="GT534" s="60"/>
      <c r="GU534" s="16"/>
      <c r="GV534" s="16"/>
      <c r="GW534" s="16"/>
      <c r="GX534" s="16"/>
      <c r="GY534" s="16"/>
      <c r="GZ534" s="17"/>
      <c r="HD534" s="24"/>
      <c r="HE534" s="60"/>
      <c r="HF534" s="16"/>
      <c r="HG534" s="16"/>
      <c r="HH534" s="16"/>
      <c r="HI534" s="16"/>
      <c r="HJ534" s="16"/>
      <c r="HK534" s="17"/>
      <c r="HO534" s="24"/>
      <c r="HP534" s="60"/>
      <c r="HQ534" s="16"/>
      <c r="HR534" s="16"/>
      <c r="HS534" s="16"/>
      <c r="HT534" s="16"/>
      <c r="HU534" s="16"/>
      <c r="HV534" s="17"/>
      <c r="HZ534" s="24"/>
      <c r="IA534" s="60"/>
      <c r="IB534" s="16"/>
      <c r="IC534" s="16"/>
      <c r="ID534" s="16"/>
      <c r="IE534" s="16"/>
      <c r="IF534" s="16"/>
      <c r="IG534" s="17"/>
      <c r="IK534" s="24"/>
      <c r="IL534" s="60"/>
      <c r="IM534" s="16"/>
      <c r="IN534" s="16"/>
      <c r="IO534" s="16"/>
      <c r="IP534" s="16"/>
      <c r="IQ534" s="16"/>
      <c r="IR534" s="17"/>
      <c r="IV534" s="24"/>
      <c r="IW534" s="60"/>
      <c r="IX534" s="16"/>
      <c r="IY534" s="16"/>
      <c r="IZ534" s="16"/>
      <c r="JA534" s="16"/>
      <c r="JB534" s="16"/>
      <c r="JC534" s="17"/>
      <c r="JG534" s="24"/>
      <c r="JH534" s="60"/>
      <c r="JI534" s="16"/>
      <c r="JJ534" s="16"/>
      <c r="JK534" s="16"/>
      <c r="JL534" s="16"/>
      <c r="JM534" s="16"/>
      <c r="JN534" s="17"/>
      <c r="JR534" s="24"/>
      <c r="JS534" s="60"/>
      <c r="JT534" s="16"/>
      <c r="JU534" s="16"/>
      <c r="JV534" s="16"/>
      <c r="JW534" s="16"/>
      <c r="JX534" s="16"/>
      <c r="JY534" s="17"/>
      <c r="KC534" s="24"/>
      <c r="KD534" s="60"/>
      <c r="KE534" s="16"/>
      <c r="KF534" s="16"/>
      <c r="KG534" s="16"/>
      <c r="KH534" s="16"/>
      <c r="KI534" s="16"/>
      <c r="KJ534" s="17"/>
      <c r="KN534" s="24"/>
      <c r="KO534" s="60"/>
      <c r="KP534" s="16"/>
      <c r="KQ534" s="16"/>
      <c r="KR534" s="16"/>
      <c r="KS534" s="16"/>
      <c r="KT534" s="16"/>
      <c r="KU534" s="17"/>
      <c r="KY534" s="24"/>
      <c r="KZ534" s="60"/>
      <c r="LA534" s="16"/>
      <c r="LB534" s="16"/>
      <c r="LC534" s="16"/>
      <c r="LD534" s="16"/>
      <c r="LE534" s="16"/>
      <c r="LF534" s="17"/>
      <c r="LJ534" s="24"/>
      <c r="LK534" s="60"/>
      <c r="LL534" s="16"/>
      <c r="LM534" s="16"/>
      <c r="LN534" s="16"/>
      <c r="LO534" s="16"/>
      <c r="LP534" s="16"/>
      <c r="LQ534" s="17"/>
    </row>
    <row r="535">
      <c r="C535" s="31"/>
      <c r="D535" s="61"/>
      <c r="E535" s="16"/>
      <c r="F535" s="16"/>
      <c r="G535" s="21"/>
      <c r="H535" s="16"/>
      <c r="I535" s="16"/>
      <c r="J535" s="17"/>
      <c r="N535" s="17"/>
      <c r="O535" s="61"/>
      <c r="P535" s="16"/>
      <c r="Q535" s="16"/>
      <c r="R535" s="16"/>
      <c r="S535" s="16"/>
      <c r="T535" s="16"/>
      <c r="U535" s="17"/>
      <c r="Y535" s="24"/>
      <c r="Z535" s="61"/>
      <c r="AA535" s="16"/>
      <c r="AB535" s="16"/>
      <c r="AC535" s="16"/>
      <c r="AD535" s="16"/>
      <c r="AE535" s="16"/>
      <c r="AF535" s="17"/>
      <c r="AJ535" s="24"/>
      <c r="AK535" s="61"/>
      <c r="AL535" s="16"/>
      <c r="AM535" s="16"/>
      <c r="AN535" s="16"/>
      <c r="AO535" s="16"/>
      <c r="AP535" s="16"/>
      <c r="AQ535" s="17"/>
      <c r="AU535" s="24"/>
      <c r="AV535" s="61"/>
      <c r="AW535" s="16"/>
      <c r="AX535" s="16"/>
      <c r="AY535" s="16"/>
      <c r="AZ535" s="16"/>
      <c r="BA535" s="16"/>
      <c r="BB535" s="17"/>
      <c r="BF535" s="24"/>
      <c r="BG535" s="61"/>
      <c r="BH535" s="16"/>
      <c r="BI535" s="16"/>
      <c r="BJ535" s="16"/>
      <c r="BK535" s="16"/>
      <c r="BL535" s="16"/>
      <c r="BM535" s="17"/>
      <c r="BQ535" s="24"/>
      <c r="BR535" s="61"/>
      <c r="BS535" s="16"/>
      <c r="BT535" s="16"/>
      <c r="BU535" s="16"/>
      <c r="BV535" s="16"/>
      <c r="BW535" s="16"/>
      <c r="BX535" s="17"/>
      <c r="CB535" s="24"/>
      <c r="CC535" s="61"/>
      <c r="CD535" s="16"/>
      <c r="CE535" s="16"/>
      <c r="CF535" s="16"/>
      <c r="CG535" s="16"/>
      <c r="CH535" s="16"/>
      <c r="CI535" s="17"/>
      <c r="CM535" s="24"/>
      <c r="CN535" s="61"/>
      <c r="CO535" s="16"/>
      <c r="CP535" s="16"/>
      <c r="CQ535" s="16"/>
      <c r="CR535" s="16"/>
      <c r="CS535" s="16"/>
      <c r="CT535" s="17"/>
      <c r="CX535" s="24"/>
      <c r="CY535" s="60"/>
      <c r="CZ535" s="16"/>
      <c r="DA535" s="16"/>
      <c r="DB535" s="16"/>
      <c r="DC535" s="16"/>
      <c r="DD535" s="16"/>
      <c r="DE535" s="17"/>
      <c r="DI535" s="24"/>
      <c r="DJ535" s="60"/>
      <c r="DK535" s="16"/>
      <c r="DL535" s="16"/>
      <c r="DM535" s="16"/>
      <c r="DN535" s="16"/>
      <c r="DO535" s="16"/>
      <c r="DP535" s="17"/>
      <c r="DT535" s="24"/>
      <c r="DU535" s="60"/>
      <c r="DV535" s="16"/>
      <c r="DW535" s="16"/>
      <c r="DX535" s="16"/>
      <c r="DY535" s="16"/>
      <c r="DZ535" s="16"/>
      <c r="EA535" s="17"/>
      <c r="EE535" s="24"/>
      <c r="EF535" s="60"/>
      <c r="EG535" s="16"/>
      <c r="EH535" s="16"/>
      <c r="EI535" s="16"/>
      <c r="EJ535" s="16"/>
      <c r="EK535" s="16"/>
      <c r="EL535" s="17"/>
      <c r="EP535" s="24"/>
      <c r="EQ535" s="60"/>
      <c r="ER535" s="16"/>
      <c r="ES535" s="16"/>
      <c r="ET535" s="16"/>
      <c r="EU535" s="16"/>
      <c r="EV535" s="16"/>
      <c r="EW535" s="17"/>
      <c r="FA535" s="24"/>
      <c r="FB535" s="60"/>
      <c r="FC535" s="16"/>
      <c r="FD535" s="16"/>
      <c r="FE535" s="16"/>
      <c r="FF535" s="16"/>
      <c r="FG535" s="16"/>
      <c r="FH535" s="17"/>
      <c r="FL535" s="24"/>
      <c r="FM535" s="60"/>
      <c r="FN535" s="16"/>
      <c r="FO535" s="16"/>
      <c r="FP535" s="16"/>
      <c r="FQ535" s="16"/>
      <c r="FR535" s="16"/>
      <c r="FS535" s="17"/>
      <c r="FW535" s="24"/>
      <c r="FX535" s="60"/>
      <c r="FY535" s="16"/>
      <c r="FZ535" s="16"/>
      <c r="GA535" s="16"/>
      <c r="GB535" s="16"/>
      <c r="GC535" s="16"/>
      <c r="GD535" s="17"/>
      <c r="GH535" s="24"/>
      <c r="GI535" s="60"/>
      <c r="GJ535" s="16"/>
      <c r="GK535" s="16"/>
      <c r="GL535" s="16"/>
      <c r="GM535" s="16"/>
      <c r="GN535" s="16"/>
      <c r="GO535" s="17"/>
      <c r="GS535" s="24"/>
      <c r="GT535" s="60"/>
      <c r="GU535" s="16"/>
      <c r="GV535" s="16"/>
      <c r="GW535" s="16"/>
      <c r="GX535" s="16"/>
      <c r="GY535" s="16"/>
      <c r="GZ535" s="17"/>
      <c r="HD535" s="24"/>
      <c r="HE535" s="60"/>
      <c r="HF535" s="16"/>
      <c r="HG535" s="16"/>
      <c r="HH535" s="16"/>
      <c r="HI535" s="16"/>
      <c r="HJ535" s="16"/>
      <c r="HK535" s="17"/>
      <c r="HO535" s="24"/>
      <c r="HP535" s="60"/>
      <c r="HQ535" s="16"/>
      <c r="HR535" s="16"/>
      <c r="HS535" s="16"/>
      <c r="HT535" s="16"/>
      <c r="HU535" s="16"/>
      <c r="HV535" s="17"/>
      <c r="HZ535" s="24"/>
      <c r="IA535" s="60"/>
      <c r="IB535" s="16"/>
      <c r="IC535" s="16"/>
      <c r="ID535" s="16"/>
      <c r="IE535" s="16"/>
      <c r="IF535" s="16"/>
      <c r="IG535" s="17"/>
      <c r="IK535" s="24"/>
      <c r="IL535" s="60"/>
      <c r="IM535" s="16"/>
      <c r="IN535" s="16"/>
      <c r="IO535" s="16"/>
      <c r="IP535" s="16"/>
      <c r="IQ535" s="16"/>
      <c r="IR535" s="17"/>
      <c r="IV535" s="24"/>
      <c r="IW535" s="60"/>
      <c r="IX535" s="16"/>
      <c r="IY535" s="16"/>
      <c r="IZ535" s="16"/>
      <c r="JA535" s="16"/>
      <c r="JB535" s="16"/>
      <c r="JC535" s="17"/>
      <c r="JG535" s="24"/>
      <c r="JH535" s="60"/>
      <c r="JI535" s="16"/>
      <c r="JJ535" s="16"/>
      <c r="JK535" s="16"/>
      <c r="JL535" s="16"/>
      <c r="JM535" s="16"/>
      <c r="JN535" s="17"/>
      <c r="JR535" s="24"/>
      <c r="JS535" s="60"/>
      <c r="JT535" s="16"/>
      <c r="JU535" s="16"/>
      <c r="JV535" s="16"/>
      <c r="JW535" s="16"/>
      <c r="JX535" s="16"/>
      <c r="JY535" s="17"/>
      <c r="KC535" s="24"/>
      <c r="KD535" s="60"/>
      <c r="KE535" s="16"/>
      <c r="KF535" s="16"/>
      <c r="KG535" s="16"/>
      <c r="KH535" s="16"/>
      <c r="KI535" s="16"/>
      <c r="KJ535" s="17"/>
      <c r="KN535" s="24"/>
      <c r="KO535" s="60"/>
      <c r="KP535" s="16"/>
      <c r="KQ535" s="16"/>
      <c r="KR535" s="16"/>
      <c r="KS535" s="16"/>
      <c r="KT535" s="16"/>
      <c r="KU535" s="17"/>
      <c r="KY535" s="24"/>
      <c r="KZ535" s="60"/>
      <c r="LA535" s="16"/>
      <c r="LB535" s="16"/>
      <c r="LC535" s="16"/>
      <c r="LD535" s="16"/>
      <c r="LE535" s="16"/>
      <c r="LF535" s="17"/>
      <c r="LJ535" s="24"/>
      <c r="LK535" s="60"/>
      <c r="LL535" s="16"/>
      <c r="LM535" s="16"/>
      <c r="LN535" s="16"/>
      <c r="LO535" s="16"/>
      <c r="LP535" s="16"/>
      <c r="LQ535" s="17"/>
    </row>
    <row r="536">
      <c r="C536" s="31"/>
      <c r="D536" s="61"/>
      <c r="E536" s="16"/>
      <c r="F536" s="16"/>
      <c r="G536" s="21"/>
      <c r="H536" s="16"/>
      <c r="I536" s="16"/>
      <c r="J536" s="17"/>
      <c r="N536" s="17"/>
      <c r="O536" s="61"/>
      <c r="P536" s="16"/>
      <c r="Q536" s="16"/>
      <c r="R536" s="16"/>
      <c r="S536" s="16"/>
      <c r="T536" s="16"/>
      <c r="U536" s="17"/>
      <c r="Y536" s="24"/>
      <c r="Z536" s="61"/>
      <c r="AA536" s="16"/>
      <c r="AB536" s="16"/>
      <c r="AC536" s="16"/>
      <c r="AD536" s="16"/>
      <c r="AE536" s="16"/>
      <c r="AF536" s="17"/>
      <c r="AJ536" s="24"/>
      <c r="AK536" s="61"/>
      <c r="AL536" s="16"/>
      <c r="AM536" s="16"/>
      <c r="AN536" s="16"/>
      <c r="AO536" s="16"/>
      <c r="AP536" s="16"/>
      <c r="AQ536" s="17"/>
      <c r="AU536" s="24"/>
      <c r="AV536" s="61"/>
      <c r="AW536" s="16"/>
      <c r="AX536" s="16"/>
      <c r="AY536" s="16"/>
      <c r="AZ536" s="16"/>
      <c r="BA536" s="16"/>
      <c r="BB536" s="17"/>
      <c r="BF536" s="24"/>
      <c r="BG536" s="61"/>
      <c r="BH536" s="16"/>
      <c r="BI536" s="16"/>
      <c r="BJ536" s="16"/>
      <c r="BK536" s="16"/>
      <c r="BL536" s="16"/>
      <c r="BM536" s="17"/>
      <c r="BQ536" s="24"/>
      <c r="BR536" s="61"/>
      <c r="BS536" s="16"/>
      <c r="BT536" s="16"/>
      <c r="BU536" s="16"/>
      <c r="BV536" s="16"/>
      <c r="BW536" s="16"/>
      <c r="BX536" s="17"/>
      <c r="CB536" s="24"/>
      <c r="CC536" s="61"/>
      <c r="CD536" s="16"/>
      <c r="CE536" s="16"/>
      <c r="CF536" s="16"/>
      <c r="CG536" s="16"/>
      <c r="CH536" s="16"/>
      <c r="CI536" s="17"/>
      <c r="CM536" s="24"/>
      <c r="CN536" s="61"/>
      <c r="CO536" s="16"/>
      <c r="CP536" s="16"/>
      <c r="CQ536" s="16"/>
      <c r="CR536" s="16"/>
      <c r="CS536" s="16"/>
      <c r="CT536" s="17"/>
      <c r="CX536" s="24"/>
      <c r="CY536" s="60"/>
      <c r="CZ536" s="16"/>
      <c r="DA536" s="16"/>
      <c r="DB536" s="16"/>
      <c r="DC536" s="16"/>
      <c r="DD536" s="16"/>
      <c r="DE536" s="17"/>
      <c r="DI536" s="24"/>
      <c r="DJ536" s="60"/>
      <c r="DK536" s="16"/>
      <c r="DL536" s="16"/>
      <c r="DM536" s="16"/>
      <c r="DN536" s="16"/>
      <c r="DO536" s="16"/>
      <c r="DP536" s="17"/>
      <c r="DT536" s="24"/>
      <c r="DU536" s="60"/>
      <c r="DV536" s="16"/>
      <c r="DW536" s="16"/>
      <c r="DX536" s="16"/>
      <c r="DY536" s="16"/>
      <c r="DZ536" s="16"/>
      <c r="EA536" s="17"/>
      <c r="EE536" s="24"/>
      <c r="EF536" s="60"/>
      <c r="EG536" s="16"/>
      <c r="EH536" s="16"/>
      <c r="EI536" s="16"/>
      <c r="EJ536" s="16"/>
      <c r="EK536" s="16"/>
      <c r="EL536" s="17"/>
      <c r="EP536" s="24"/>
      <c r="EQ536" s="60"/>
      <c r="ER536" s="16"/>
      <c r="ES536" s="16"/>
      <c r="ET536" s="16"/>
      <c r="EU536" s="16"/>
      <c r="EV536" s="16"/>
      <c r="EW536" s="17"/>
      <c r="FA536" s="24"/>
      <c r="FB536" s="60"/>
      <c r="FC536" s="16"/>
      <c r="FD536" s="16"/>
      <c r="FE536" s="16"/>
      <c r="FF536" s="16"/>
      <c r="FG536" s="16"/>
      <c r="FH536" s="17"/>
      <c r="FL536" s="24"/>
      <c r="FM536" s="60"/>
      <c r="FN536" s="16"/>
      <c r="FO536" s="16"/>
      <c r="FP536" s="16"/>
      <c r="FQ536" s="16"/>
      <c r="FR536" s="16"/>
      <c r="FS536" s="17"/>
      <c r="FW536" s="24"/>
      <c r="FX536" s="60"/>
      <c r="FY536" s="16"/>
      <c r="FZ536" s="16"/>
      <c r="GA536" s="16"/>
      <c r="GB536" s="16"/>
      <c r="GC536" s="16"/>
      <c r="GD536" s="17"/>
      <c r="GH536" s="24"/>
      <c r="GI536" s="60"/>
      <c r="GJ536" s="16"/>
      <c r="GK536" s="16"/>
      <c r="GL536" s="16"/>
      <c r="GM536" s="16"/>
      <c r="GN536" s="16"/>
      <c r="GO536" s="17"/>
      <c r="GS536" s="24"/>
      <c r="GT536" s="60"/>
      <c r="GU536" s="16"/>
      <c r="GV536" s="16"/>
      <c r="GW536" s="16"/>
      <c r="GX536" s="16"/>
      <c r="GY536" s="16"/>
      <c r="GZ536" s="17"/>
      <c r="HD536" s="24"/>
      <c r="HE536" s="60"/>
      <c r="HF536" s="16"/>
      <c r="HG536" s="16"/>
      <c r="HH536" s="16"/>
      <c r="HI536" s="16"/>
      <c r="HJ536" s="16"/>
      <c r="HK536" s="17"/>
      <c r="HO536" s="24"/>
      <c r="HP536" s="60"/>
      <c r="HQ536" s="16"/>
      <c r="HR536" s="16"/>
      <c r="HS536" s="16"/>
      <c r="HT536" s="16"/>
      <c r="HU536" s="16"/>
      <c r="HV536" s="17"/>
      <c r="HZ536" s="24"/>
      <c r="IA536" s="60"/>
      <c r="IB536" s="16"/>
      <c r="IC536" s="16"/>
      <c r="ID536" s="16"/>
      <c r="IE536" s="16"/>
      <c r="IF536" s="16"/>
      <c r="IG536" s="17"/>
      <c r="IK536" s="24"/>
      <c r="IL536" s="60"/>
      <c r="IM536" s="16"/>
      <c r="IN536" s="16"/>
      <c r="IO536" s="16"/>
      <c r="IP536" s="16"/>
      <c r="IQ536" s="16"/>
      <c r="IR536" s="17"/>
      <c r="IV536" s="24"/>
      <c r="IW536" s="60"/>
      <c r="IX536" s="16"/>
      <c r="IY536" s="16"/>
      <c r="IZ536" s="16"/>
      <c r="JA536" s="16"/>
      <c r="JB536" s="16"/>
      <c r="JC536" s="17"/>
      <c r="JG536" s="24"/>
      <c r="JH536" s="60"/>
      <c r="JI536" s="16"/>
      <c r="JJ536" s="16"/>
      <c r="JK536" s="16"/>
      <c r="JL536" s="16"/>
      <c r="JM536" s="16"/>
      <c r="JN536" s="17"/>
      <c r="JR536" s="24"/>
      <c r="JS536" s="60"/>
      <c r="JT536" s="16"/>
      <c r="JU536" s="16"/>
      <c r="JV536" s="16"/>
      <c r="JW536" s="16"/>
      <c r="JX536" s="16"/>
      <c r="JY536" s="17"/>
      <c r="KC536" s="24"/>
      <c r="KD536" s="60"/>
      <c r="KE536" s="16"/>
      <c r="KF536" s="16"/>
      <c r="KG536" s="16"/>
      <c r="KH536" s="16"/>
      <c r="KI536" s="16"/>
      <c r="KJ536" s="17"/>
      <c r="KN536" s="24"/>
      <c r="KO536" s="60"/>
      <c r="KP536" s="16"/>
      <c r="KQ536" s="16"/>
      <c r="KR536" s="16"/>
      <c r="KS536" s="16"/>
      <c r="KT536" s="16"/>
      <c r="KU536" s="17"/>
      <c r="KY536" s="24"/>
      <c r="KZ536" s="60"/>
      <c r="LA536" s="16"/>
      <c r="LB536" s="16"/>
      <c r="LC536" s="16"/>
      <c r="LD536" s="16"/>
      <c r="LE536" s="16"/>
      <c r="LF536" s="17"/>
      <c r="LJ536" s="24"/>
      <c r="LK536" s="60"/>
      <c r="LL536" s="16"/>
      <c r="LM536" s="16"/>
      <c r="LN536" s="16"/>
      <c r="LO536" s="16"/>
      <c r="LP536" s="16"/>
      <c r="LQ536" s="17"/>
    </row>
    <row r="537">
      <c r="C537" s="31"/>
      <c r="D537" s="61"/>
      <c r="E537" s="16"/>
      <c r="F537" s="16"/>
      <c r="G537" s="21"/>
      <c r="H537" s="16"/>
      <c r="I537" s="16"/>
      <c r="J537" s="17"/>
      <c r="N537" s="17"/>
      <c r="O537" s="61"/>
      <c r="P537" s="16"/>
      <c r="Q537" s="16"/>
      <c r="R537" s="16"/>
      <c r="S537" s="16"/>
      <c r="T537" s="16"/>
      <c r="U537" s="17"/>
      <c r="Y537" s="24"/>
      <c r="Z537" s="61"/>
      <c r="AA537" s="16"/>
      <c r="AB537" s="16"/>
      <c r="AC537" s="16"/>
      <c r="AD537" s="16"/>
      <c r="AE537" s="16"/>
      <c r="AF537" s="17"/>
      <c r="AJ537" s="24"/>
      <c r="AK537" s="61"/>
      <c r="AL537" s="16"/>
      <c r="AM537" s="16"/>
      <c r="AN537" s="16"/>
      <c r="AO537" s="16"/>
      <c r="AP537" s="16"/>
      <c r="AQ537" s="17"/>
      <c r="AU537" s="24"/>
      <c r="AV537" s="61"/>
      <c r="AW537" s="16"/>
      <c r="AX537" s="16"/>
      <c r="AY537" s="16"/>
      <c r="AZ537" s="16"/>
      <c r="BA537" s="16"/>
      <c r="BB537" s="17"/>
      <c r="BF537" s="24"/>
      <c r="BG537" s="61"/>
      <c r="BH537" s="16"/>
      <c r="BI537" s="16"/>
      <c r="BJ537" s="16"/>
      <c r="BK537" s="16"/>
      <c r="BL537" s="16"/>
      <c r="BM537" s="17"/>
      <c r="BQ537" s="24"/>
      <c r="BR537" s="61"/>
      <c r="BS537" s="16"/>
      <c r="BT537" s="16"/>
      <c r="BU537" s="16"/>
      <c r="BV537" s="16"/>
      <c r="BW537" s="16"/>
      <c r="BX537" s="17"/>
      <c r="CB537" s="24"/>
      <c r="CC537" s="61"/>
      <c r="CD537" s="16"/>
      <c r="CE537" s="16"/>
      <c r="CF537" s="16"/>
      <c r="CG537" s="16"/>
      <c r="CH537" s="16"/>
      <c r="CI537" s="17"/>
      <c r="CM537" s="24"/>
      <c r="CN537" s="61"/>
      <c r="CO537" s="16"/>
      <c r="CP537" s="16"/>
      <c r="CQ537" s="16"/>
      <c r="CR537" s="16"/>
      <c r="CS537" s="16"/>
      <c r="CT537" s="17"/>
      <c r="CX537" s="24"/>
      <c r="CY537" s="60"/>
      <c r="CZ537" s="16"/>
      <c r="DA537" s="16"/>
      <c r="DB537" s="16"/>
      <c r="DC537" s="16"/>
      <c r="DD537" s="16"/>
      <c r="DE537" s="17"/>
      <c r="DI537" s="24"/>
      <c r="DJ537" s="60"/>
      <c r="DK537" s="16"/>
      <c r="DL537" s="16"/>
      <c r="DM537" s="16"/>
      <c r="DN537" s="16"/>
      <c r="DO537" s="16"/>
      <c r="DP537" s="17"/>
      <c r="DT537" s="24"/>
      <c r="DU537" s="60"/>
      <c r="DV537" s="16"/>
      <c r="DW537" s="16"/>
      <c r="DX537" s="16"/>
      <c r="DY537" s="16"/>
      <c r="DZ537" s="16"/>
      <c r="EA537" s="17"/>
      <c r="EE537" s="24"/>
      <c r="EF537" s="60"/>
      <c r="EG537" s="16"/>
      <c r="EH537" s="16"/>
      <c r="EI537" s="16"/>
      <c r="EJ537" s="16"/>
      <c r="EK537" s="16"/>
      <c r="EL537" s="17"/>
      <c r="EP537" s="24"/>
      <c r="EQ537" s="60"/>
      <c r="ER537" s="16"/>
      <c r="ES537" s="16"/>
      <c r="ET537" s="16"/>
      <c r="EU537" s="16"/>
      <c r="EV537" s="16"/>
      <c r="EW537" s="17"/>
      <c r="FA537" s="24"/>
      <c r="FB537" s="60"/>
      <c r="FC537" s="16"/>
      <c r="FD537" s="16"/>
      <c r="FE537" s="16"/>
      <c r="FF537" s="16"/>
      <c r="FG537" s="16"/>
      <c r="FH537" s="17"/>
      <c r="FL537" s="24"/>
      <c r="FM537" s="60"/>
      <c r="FN537" s="16"/>
      <c r="FO537" s="16"/>
      <c r="FP537" s="16"/>
      <c r="FQ537" s="16"/>
      <c r="FR537" s="16"/>
      <c r="FS537" s="17"/>
      <c r="FW537" s="24"/>
      <c r="FX537" s="60"/>
      <c r="FY537" s="16"/>
      <c r="FZ537" s="16"/>
      <c r="GA537" s="16"/>
      <c r="GB537" s="16"/>
      <c r="GC537" s="16"/>
      <c r="GD537" s="17"/>
      <c r="GH537" s="24"/>
      <c r="GI537" s="60"/>
      <c r="GJ537" s="16"/>
      <c r="GK537" s="16"/>
      <c r="GL537" s="16"/>
      <c r="GM537" s="16"/>
      <c r="GN537" s="16"/>
      <c r="GO537" s="17"/>
      <c r="GS537" s="24"/>
      <c r="GT537" s="60"/>
      <c r="GU537" s="16"/>
      <c r="GV537" s="16"/>
      <c r="GW537" s="16"/>
      <c r="GX537" s="16"/>
      <c r="GY537" s="16"/>
      <c r="GZ537" s="17"/>
      <c r="HD537" s="24"/>
      <c r="HE537" s="60"/>
      <c r="HF537" s="16"/>
      <c r="HG537" s="16"/>
      <c r="HH537" s="16"/>
      <c r="HI537" s="16"/>
      <c r="HJ537" s="16"/>
      <c r="HK537" s="17"/>
      <c r="HO537" s="24"/>
      <c r="HP537" s="60"/>
      <c r="HQ537" s="16"/>
      <c r="HR537" s="16"/>
      <c r="HS537" s="16"/>
      <c r="HT537" s="16"/>
      <c r="HU537" s="16"/>
      <c r="HV537" s="17"/>
      <c r="HZ537" s="24"/>
      <c r="IA537" s="60"/>
      <c r="IB537" s="16"/>
      <c r="IC537" s="16"/>
      <c r="ID537" s="16"/>
      <c r="IE537" s="16"/>
      <c r="IF537" s="16"/>
      <c r="IG537" s="17"/>
      <c r="IK537" s="24"/>
      <c r="IL537" s="60"/>
      <c r="IM537" s="16"/>
      <c r="IN537" s="16"/>
      <c r="IO537" s="16"/>
      <c r="IP537" s="16"/>
      <c r="IQ537" s="16"/>
      <c r="IR537" s="17"/>
      <c r="IV537" s="24"/>
      <c r="IW537" s="60"/>
      <c r="IX537" s="16"/>
      <c r="IY537" s="16"/>
      <c r="IZ537" s="16"/>
      <c r="JA537" s="16"/>
      <c r="JB537" s="16"/>
      <c r="JC537" s="17"/>
      <c r="JG537" s="24"/>
      <c r="JH537" s="60"/>
      <c r="JI537" s="16"/>
      <c r="JJ537" s="16"/>
      <c r="JK537" s="16"/>
      <c r="JL537" s="16"/>
      <c r="JM537" s="16"/>
      <c r="JN537" s="17"/>
      <c r="JR537" s="24"/>
      <c r="JS537" s="60"/>
      <c r="JT537" s="16"/>
      <c r="JU537" s="16"/>
      <c r="JV537" s="16"/>
      <c r="JW537" s="16"/>
      <c r="JX537" s="16"/>
      <c r="JY537" s="17"/>
      <c r="KC537" s="24"/>
      <c r="KD537" s="60"/>
      <c r="KE537" s="16"/>
      <c r="KF537" s="16"/>
      <c r="KG537" s="16"/>
      <c r="KH537" s="16"/>
      <c r="KI537" s="16"/>
      <c r="KJ537" s="17"/>
      <c r="KN537" s="24"/>
      <c r="KO537" s="60"/>
      <c r="KP537" s="16"/>
      <c r="KQ537" s="16"/>
      <c r="KR537" s="16"/>
      <c r="KS537" s="16"/>
      <c r="KT537" s="16"/>
      <c r="KU537" s="17"/>
      <c r="KY537" s="24"/>
      <c r="KZ537" s="60"/>
      <c r="LA537" s="16"/>
      <c r="LB537" s="16"/>
      <c r="LC537" s="16"/>
      <c r="LD537" s="16"/>
      <c r="LE537" s="16"/>
      <c r="LF537" s="17"/>
      <c r="LJ537" s="24"/>
      <c r="LK537" s="60"/>
      <c r="LL537" s="16"/>
      <c r="LM537" s="16"/>
      <c r="LN537" s="16"/>
      <c r="LO537" s="16"/>
      <c r="LP537" s="16"/>
      <c r="LQ537" s="17"/>
    </row>
    <row r="538">
      <c r="C538" s="31"/>
      <c r="D538" s="61"/>
      <c r="E538" s="16"/>
      <c r="F538" s="16"/>
      <c r="G538" s="21"/>
      <c r="H538" s="16"/>
      <c r="I538" s="16"/>
      <c r="J538" s="17"/>
      <c r="N538" s="17"/>
      <c r="O538" s="61"/>
      <c r="P538" s="16"/>
      <c r="Q538" s="16"/>
      <c r="R538" s="16"/>
      <c r="S538" s="16"/>
      <c r="T538" s="16"/>
      <c r="U538" s="17"/>
      <c r="Y538" s="24"/>
      <c r="Z538" s="61"/>
      <c r="AA538" s="16"/>
      <c r="AB538" s="16"/>
      <c r="AC538" s="16"/>
      <c r="AD538" s="16"/>
      <c r="AE538" s="16"/>
      <c r="AF538" s="17"/>
      <c r="AJ538" s="24"/>
      <c r="AK538" s="61"/>
      <c r="AL538" s="16"/>
      <c r="AM538" s="16"/>
      <c r="AN538" s="16"/>
      <c r="AO538" s="16"/>
      <c r="AP538" s="16"/>
      <c r="AQ538" s="17"/>
      <c r="AU538" s="24"/>
      <c r="AV538" s="61"/>
      <c r="AW538" s="16"/>
      <c r="AX538" s="16"/>
      <c r="AY538" s="16"/>
      <c r="AZ538" s="16"/>
      <c r="BA538" s="16"/>
      <c r="BB538" s="17"/>
      <c r="BF538" s="24"/>
      <c r="BG538" s="61"/>
      <c r="BH538" s="16"/>
      <c r="BI538" s="16"/>
      <c r="BJ538" s="16"/>
      <c r="BK538" s="16"/>
      <c r="BL538" s="16"/>
      <c r="BM538" s="17"/>
      <c r="BQ538" s="24"/>
      <c r="BR538" s="61"/>
      <c r="BS538" s="16"/>
      <c r="BT538" s="16"/>
      <c r="BU538" s="16"/>
      <c r="BV538" s="16"/>
      <c r="BW538" s="16"/>
      <c r="BX538" s="17"/>
      <c r="CB538" s="24"/>
      <c r="CC538" s="61"/>
      <c r="CD538" s="16"/>
      <c r="CE538" s="16"/>
      <c r="CF538" s="16"/>
      <c r="CG538" s="16"/>
      <c r="CH538" s="16"/>
      <c r="CI538" s="17"/>
      <c r="CM538" s="24"/>
      <c r="CN538" s="61"/>
      <c r="CO538" s="16"/>
      <c r="CP538" s="16"/>
      <c r="CQ538" s="16"/>
      <c r="CR538" s="16"/>
      <c r="CS538" s="16"/>
      <c r="CT538" s="17"/>
      <c r="CX538" s="24"/>
      <c r="CY538" s="60"/>
      <c r="CZ538" s="16"/>
      <c r="DA538" s="16"/>
      <c r="DB538" s="16"/>
      <c r="DC538" s="16"/>
      <c r="DD538" s="16"/>
      <c r="DE538" s="17"/>
      <c r="DI538" s="24"/>
      <c r="DJ538" s="60"/>
      <c r="DK538" s="16"/>
      <c r="DL538" s="16"/>
      <c r="DM538" s="16"/>
      <c r="DN538" s="16"/>
      <c r="DO538" s="16"/>
      <c r="DP538" s="17"/>
      <c r="DT538" s="24"/>
      <c r="DU538" s="60"/>
      <c r="DV538" s="16"/>
      <c r="DW538" s="16"/>
      <c r="DX538" s="16"/>
      <c r="DY538" s="16"/>
      <c r="DZ538" s="16"/>
      <c r="EA538" s="17"/>
      <c r="EE538" s="24"/>
      <c r="EF538" s="60"/>
      <c r="EG538" s="16"/>
      <c r="EH538" s="16"/>
      <c r="EI538" s="16"/>
      <c r="EJ538" s="16"/>
      <c r="EK538" s="16"/>
      <c r="EL538" s="17"/>
      <c r="EP538" s="24"/>
      <c r="EQ538" s="60"/>
      <c r="ER538" s="16"/>
      <c r="ES538" s="16"/>
      <c r="ET538" s="16"/>
      <c r="EU538" s="16"/>
      <c r="EV538" s="16"/>
      <c r="EW538" s="17"/>
      <c r="FA538" s="24"/>
      <c r="FB538" s="60"/>
      <c r="FC538" s="16"/>
      <c r="FD538" s="16"/>
      <c r="FE538" s="16"/>
      <c r="FF538" s="16"/>
      <c r="FG538" s="16"/>
      <c r="FH538" s="17"/>
      <c r="FL538" s="24"/>
      <c r="FM538" s="60"/>
      <c r="FN538" s="16"/>
      <c r="FO538" s="16"/>
      <c r="FP538" s="16"/>
      <c r="FQ538" s="16"/>
      <c r="FR538" s="16"/>
      <c r="FS538" s="17"/>
      <c r="FW538" s="24"/>
      <c r="FX538" s="60"/>
      <c r="FY538" s="16"/>
      <c r="FZ538" s="16"/>
      <c r="GA538" s="16"/>
      <c r="GB538" s="16"/>
      <c r="GC538" s="16"/>
      <c r="GD538" s="17"/>
      <c r="GH538" s="24"/>
      <c r="GI538" s="60"/>
      <c r="GJ538" s="16"/>
      <c r="GK538" s="16"/>
      <c r="GL538" s="16"/>
      <c r="GM538" s="16"/>
      <c r="GN538" s="16"/>
      <c r="GO538" s="17"/>
      <c r="GS538" s="24"/>
      <c r="GT538" s="60"/>
      <c r="GU538" s="16"/>
      <c r="GV538" s="16"/>
      <c r="GW538" s="16"/>
      <c r="GX538" s="16"/>
      <c r="GY538" s="16"/>
      <c r="GZ538" s="17"/>
      <c r="HD538" s="24"/>
      <c r="HE538" s="60"/>
      <c r="HF538" s="16"/>
      <c r="HG538" s="16"/>
      <c r="HH538" s="16"/>
      <c r="HI538" s="16"/>
      <c r="HJ538" s="16"/>
      <c r="HK538" s="17"/>
      <c r="HO538" s="24"/>
      <c r="HP538" s="60"/>
      <c r="HQ538" s="16"/>
      <c r="HR538" s="16"/>
      <c r="HS538" s="16"/>
      <c r="HT538" s="16"/>
      <c r="HU538" s="16"/>
      <c r="HV538" s="17"/>
      <c r="HZ538" s="24"/>
      <c r="IA538" s="60"/>
      <c r="IB538" s="16"/>
      <c r="IC538" s="16"/>
      <c r="ID538" s="16"/>
      <c r="IE538" s="16"/>
      <c r="IF538" s="16"/>
      <c r="IG538" s="17"/>
      <c r="IK538" s="24"/>
      <c r="IL538" s="60"/>
      <c r="IM538" s="16"/>
      <c r="IN538" s="16"/>
      <c r="IO538" s="16"/>
      <c r="IP538" s="16"/>
      <c r="IQ538" s="16"/>
      <c r="IR538" s="17"/>
      <c r="IV538" s="24"/>
      <c r="IW538" s="60"/>
      <c r="IX538" s="16"/>
      <c r="IY538" s="16"/>
      <c r="IZ538" s="16"/>
      <c r="JA538" s="16"/>
      <c r="JB538" s="16"/>
      <c r="JC538" s="17"/>
      <c r="JG538" s="24"/>
      <c r="JH538" s="60"/>
      <c r="JI538" s="16"/>
      <c r="JJ538" s="16"/>
      <c r="JK538" s="16"/>
      <c r="JL538" s="16"/>
      <c r="JM538" s="16"/>
      <c r="JN538" s="17"/>
      <c r="JR538" s="24"/>
      <c r="JS538" s="60"/>
      <c r="JT538" s="16"/>
      <c r="JU538" s="16"/>
      <c r="JV538" s="16"/>
      <c r="JW538" s="16"/>
      <c r="JX538" s="16"/>
      <c r="JY538" s="17"/>
      <c r="KC538" s="24"/>
      <c r="KD538" s="60"/>
      <c r="KE538" s="16"/>
      <c r="KF538" s="16"/>
      <c r="KG538" s="16"/>
      <c r="KH538" s="16"/>
      <c r="KI538" s="16"/>
      <c r="KJ538" s="17"/>
      <c r="KN538" s="24"/>
      <c r="KO538" s="60"/>
      <c r="KP538" s="16"/>
      <c r="KQ538" s="16"/>
      <c r="KR538" s="16"/>
      <c r="KS538" s="16"/>
      <c r="KT538" s="16"/>
      <c r="KU538" s="17"/>
      <c r="KY538" s="24"/>
      <c r="KZ538" s="60"/>
      <c r="LA538" s="16"/>
      <c r="LB538" s="16"/>
      <c r="LC538" s="16"/>
      <c r="LD538" s="16"/>
      <c r="LE538" s="16"/>
      <c r="LF538" s="17"/>
      <c r="LJ538" s="24"/>
      <c r="LK538" s="60"/>
      <c r="LL538" s="16"/>
      <c r="LM538" s="16"/>
      <c r="LN538" s="16"/>
      <c r="LO538" s="16"/>
      <c r="LP538" s="16"/>
      <c r="LQ538" s="17"/>
    </row>
    <row r="539">
      <c r="C539" s="31"/>
      <c r="D539" s="61"/>
      <c r="E539" s="16"/>
      <c r="F539" s="16"/>
      <c r="G539" s="21"/>
      <c r="H539" s="16"/>
      <c r="I539" s="16"/>
      <c r="J539" s="17"/>
      <c r="N539" s="17"/>
      <c r="O539" s="61"/>
      <c r="P539" s="16"/>
      <c r="Q539" s="16"/>
      <c r="R539" s="16"/>
      <c r="S539" s="16"/>
      <c r="T539" s="16"/>
      <c r="U539" s="17"/>
      <c r="Y539" s="24"/>
      <c r="Z539" s="61"/>
      <c r="AA539" s="16"/>
      <c r="AB539" s="16"/>
      <c r="AC539" s="16"/>
      <c r="AD539" s="16"/>
      <c r="AE539" s="16"/>
      <c r="AF539" s="17"/>
      <c r="AJ539" s="24"/>
      <c r="AK539" s="61"/>
      <c r="AL539" s="16"/>
      <c r="AM539" s="16"/>
      <c r="AN539" s="16"/>
      <c r="AO539" s="16"/>
      <c r="AP539" s="16"/>
      <c r="AQ539" s="17"/>
      <c r="AU539" s="24"/>
      <c r="AV539" s="61"/>
      <c r="AW539" s="16"/>
      <c r="AX539" s="16"/>
      <c r="AY539" s="16"/>
      <c r="AZ539" s="16"/>
      <c r="BA539" s="16"/>
      <c r="BB539" s="17"/>
      <c r="BF539" s="24"/>
      <c r="BG539" s="61"/>
      <c r="BH539" s="16"/>
      <c r="BI539" s="16"/>
      <c r="BJ539" s="16"/>
      <c r="BK539" s="16"/>
      <c r="BL539" s="16"/>
      <c r="BM539" s="17"/>
      <c r="BQ539" s="24"/>
      <c r="BR539" s="61"/>
      <c r="BS539" s="16"/>
      <c r="BT539" s="16"/>
      <c r="BU539" s="16"/>
      <c r="BV539" s="16"/>
      <c r="BW539" s="16"/>
      <c r="BX539" s="17"/>
      <c r="CB539" s="24"/>
      <c r="CC539" s="61"/>
      <c r="CD539" s="16"/>
      <c r="CE539" s="16"/>
      <c r="CF539" s="16"/>
      <c r="CG539" s="16"/>
      <c r="CH539" s="16"/>
      <c r="CI539" s="17"/>
      <c r="CM539" s="24"/>
      <c r="CN539" s="61"/>
      <c r="CO539" s="16"/>
      <c r="CP539" s="16"/>
      <c r="CQ539" s="16"/>
      <c r="CR539" s="16"/>
      <c r="CS539" s="16"/>
      <c r="CT539" s="17"/>
      <c r="CX539" s="24"/>
      <c r="CY539" s="60"/>
      <c r="CZ539" s="16"/>
      <c r="DA539" s="16"/>
      <c r="DB539" s="16"/>
      <c r="DC539" s="16"/>
      <c r="DD539" s="16"/>
      <c r="DE539" s="17"/>
      <c r="DI539" s="24"/>
      <c r="DJ539" s="60"/>
      <c r="DK539" s="16"/>
      <c r="DL539" s="16"/>
      <c r="DM539" s="16"/>
      <c r="DN539" s="16"/>
      <c r="DO539" s="16"/>
      <c r="DP539" s="17"/>
      <c r="DT539" s="24"/>
      <c r="DU539" s="60"/>
      <c r="DV539" s="16"/>
      <c r="DW539" s="16"/>
      <c r="DX539" s="16"/>
      <c r="DY539" s="16"/>
      <c r="DZ539" s="16"/>
      <c r="EA539" s="17"/>
      <c r="EE539" s="24"/>
      <c r="EF539" s="60"/>
      <c r="EG539" s="16"/>
      <c r="EH539" s="16"/>
      <c r="EI539" s="16"/>
      <c r="EJ539" s="16"/>
      <c r="EK539" s="16"/>
      <c r="EL539" s="17"/>
      <c r="EP539" s="24"/>
      <c r="EQ539" s="60"/>
      <c r="ER539" s="16"/>
      <c r="ES539" s="16"/>
      <c r="ET539" s="16"/>
      <c r="EU539" s="16"/>
      <c r="EV539" s="16"/>
      <c r="EW539" s="17"/>
      <c r="FA539" s="24"/>
      <c r="FB539" s="60"/>
      <c r="FC539" s="16"/>
      <c r="FD539" s="16"/>
      <c r="FE539" s="16"/>
      <c r="FF539" s="16"/>
      <c r="FG539" s="16"/>
      <c r="FH539" s="17"/>
      <c r="FL539" s="24"/>
      <c r="FM539" s="60"/>
      <c r="FN539" s="16"/>
      <c r="FO539" s="16"/>
      <c r="FP539" s="16"/>
      <c r="FQ539" s="16"/>
      <c r="FR539" s="16"/>
      <c r="FS539" s="17"/>
      <c r="FW539" s="24"/>
      <c r="FX539" s="60"/>
      <c r="FY539" s="16"/>
      <c r="FZ539" s="16"/>
      <c r="GA539" s="16"/>
      <c r="GB539" s="16"/>
      <c r="GC539" s="16"/>
      <c r="GD539" s="17"/>
      <c r="GH539" s="24"/>
      <c r="GI539" s="60"/>
      <c r="GJ539" s="16"/>
      <c r="GK539" s="16"/>
      <c r="GL539" s="16"/>
      <c r="GM539" s="16"/>
      <c r="GN539" s="16"/>
      <c r="GO539" s="17"/>
      <c r="GS539" s="24"/>
      <c r="GT539" s="60"/>
      <c r="GU539" s="16"/>
      <c r="GV539" s="16"/>
      <c r="GW539" s="16"/>
      <c r="GX539" s="16"/>
      <c r="GY539" s="16"/>
      <c r="GZ539" s="17"/>
      <c r="HD539" s="24"/>
      <c r="HE539" s="60"/>
      <c r="HF539" s="16"/>
      <c r="HG539" s="16"/>
      <c r="HH539" s="16"/>
      <c r="HI539" s="16"/>
      <c r="HJ539" s="16"/>
      <c r="HK539" s="17"/>
      <c r="HO539" s="24"/>
      <c r="HP539" s="60"/>
      <c r="HQ539" s="16"/>
      <c r="HR539" s="16"/>
      <c r="HS539" s="16"/>
      <c r="HT539" s="16"/>
      <c r="HU539" s="16"/>
      <c r="HV539" s="17"/>
      <c r="HZ539" s="24"/>
      <c r="IA539" s="60"/>
      <c r="IB539" s="16"/>
      <c r="IC539" s="16"/>
      <c r="ID539" s="16"/>
      <c r="IE539" s="16"/>
      <c r="IF539" s="16"/>
      <c r="IG539" s="17"/>
      <c r="IK539" s="24"/>
      <c r="IL539" s="60"/>
      <c r="IM539" s="16"/>
      <c r="IN539" s="16"/>
      <c r="IO539" s="16"/>
      <c r="IP539" s="16"/>
      <c r="IQ539" s="16"/>
      <c r="IR539" s="17"/>
      <c r="IV539" s="24"/>
      <c r="IW539" s="60"/>
      <c r="IX539" s="16"/>
      <c r="IY539" s="16"/>
      <c r="IZ539" s="16"/>
      <c r="JA539" s="16"/>
      <c r="JB539" s="16"/>
      <c r="JC539" s="17"/>
      <c r="JG539" s="24"/>
      <c r="JH539" s="60"/>
      <c r="JI539" s="16"/>
      <c r="JJ539" s="16"/>
      <c r="JK539" s="16"/>
      <c r="JL539" s="16"/>
      <c r="JM539" s="16"/>
      <c r="JN539" s="17"/>
      <c r="JR539" s="24"/>
      <c r="JS539" s="60"/>
      <c r="JT539" s="16"/>
      <c r="JU539" s="16"/>
      <c r="JV539" s="16"/>
      <c r="JW539" s="16"/>
      <c r="JX539" s="16"/>
      <c r="JY539" s="17"/>
      <c r="KC539" s="24"/>
      <c r="KD539" s="60"/>
      <c r="KE539" s="16"/>
      <c r="KF539" s="16"/>
      <c r="KG539" s="16"/>
      <c r="KH539" s="16"/>
      <c r="KI539" s="16"/>
      <c r="KJ539" s="17"/>
      <c r="KN539" s="24"/>
      <c r="KO539" s="60"/>
      <c r="KP539" s="16"/>
      <c r="KQ539" s="16"/>
      <c r="KR539" s="16"/>
      <c r="KS539" s="16"/>
      <c r="KT539" s="16"/>
      <c r="KU539" s="17"/>
      <c r="KY539" s="24"/>
      <c r="KZ539" s="60"/>
      <c r="LA539" s="16"/>
      <c r="LB539" s="16"/>
      <c r="LC539" s="16"/>
      <c r="LD539" s="16"/>
      <c r="LE539" s="16"/>
      <c r="LF539" s="17"/>
      <c r="LJ539" s="24"/>
      <c r="LK539" s="60"/>
      <c r="LL539" s="16"/>
      <c r="LM539" s="16"/>
      <c r="LN539" s="16"/>
      <c r="LO539" s="16"/>
      <c r="LP539" s="16"/>
      <c r="LQ539" s="17"/>
    </row>
    <row r="540">
      <c r="C540" s="31"/>
      <c r="D540" s="61"/>
      <c r="E540" s="16"/>
      <c r="F540" s="16"/>
      <c r="G540" s="21"/>
      <c r="H540" s="16"/>
      <c r="I540" s="16"/>
      <c r="J540" s="17"/>
      <c r="N540" s="17"/>
      <c r="O540" s="61"/>
      <c r="P540" s="16"/>
      <c r="Q540" s="16"/>
      <c r="R540" s="16"/>
      <c r="S540" s="16"/>
      <c r="T540" s="16"/>
      <c r="U540" s="17"/>
      <c r="Y540" s="24"/>
      <c r="Z540" s="61"/>
      <c r="AA540" s="16"/>
      <c r="AB540" s="16"/>
      <c r="AC540" s="16"/>
      <c r="AD540" s="16"/>
      <c r="AE540" s="16"/>
      <c r="AF540" s="17"/>
      <c r="AJ540" s="24"/>
      <c r="AK540" s="61"/>
      <c r="AL540" s="16"/>
      <c r="AM540" s="16"/>
      <c r="AN540" s="16"/>
      <c r="AO540" s="16"/>
      <c r="AP540" s="16"/>
      <c r="AQ540" s="17"/>
      <c r="AU540" s="24"/>
      <c r="AV540" s="61"/>
      <c r="AW540" s="16"/>
      <c r="AX540" s="16"/>
      <c r="AY540" s="16"/>
      <c r="AZ540" s="16"/>
      <c r="BA540" s="16"/>
      <c r="BB540" s="17"/>
      <c r="BF540" s="24"/>
      <c r="BG540" s="61"/>
      <c r="BH540" s="16"/>
      <c r="BI540" s="16"/>
      <c r="BJ540" s="16"/>
      <c r="BK540" s="16"/>
      <c r="BL540" s="16"/>
      <c r="BM540" s="17"/>
      <c r="BQ540" s="24"/>
      <c r="BR540" s="61"/>
      <c r="BS540" s="16"/>
      <c r="BT540" s="16"/>
      <c r="BU540" s="16"/>
      <c r="BV540" s="16"/>
      <c r="BW540" s="16"/>
      <c r="BX540" s="17"/>
      <c r="CB540" s="24"/>
      <c r="CC540" s="61"/>
      <c r="CD540" s="16"/>
      <c r="CE540" s="16"/>
      <c r="CF540" s="16"/>
      <c r="CG540" s="16"/>
      <c r="CH540" s="16"/>
      <c r="CI540" s="17"/>
      <c r="CM540" s="24"/>
      <c r="CN540" s="61"/>
      <c r="CO540" s="16"/>
      <c r="CP540" s="16"/>
      <c r="CQ540" s="16"/>
      <c r="CR540" s="16"/>
      <c r="CS540" s="16"/>
      <c r="CT540" s="17"/>
      <c r="CX540" s="24"/>
      <c r="CY540" s="60"/>
      <c r="CZ540" s="16"/>
      <c r="DA540" s="16"/>
      <c r="DB540" s="16"/>
      <c r="DC540" s="16"/>
      <c r="DD540" s="16"/>
      <c r="DE540" s="17"/>
      <c r="DI540" s="24"/>
      <c r="DJ540" s="60"/>
      <c r="DK540" s="16"/>
      <c r="DL540" s="16"/>
      <c r="DM540" s="16"/>
      <c r="DN540" s="16"/>
      <c r="DO540" s="16"/>
      <c r="DP540" s="17"/>
      <c r="DT540" s="24"/>
      <c r="DU540" s="60"/>
      <c r="DV540" s="16"/>
      <c r="DW540" s="16"/>
      <c r="DX540" s="16"/>
      <c r="DY540" s="16"/>
      <c r="DZ540" s="16"/>
      <c r="EA540" s="17"/>
      <c r="EE540" s="24"/>
      <c r="EF540" s="60"/>
      <c r="EG540" s="16"/>
      <c r="EH540" s="16"/>
      <c r="EI540" s="16"/>
      <c r="EJ540" s="16"/>
      <c r="EK540" s="16"/>
      <c r="EL540" s="17"/>
      <c r="EP540" s="24"/>
      <c r="EQ540" s="60"/>
      <c r="ER540" s="16"/>
      <c r="ES540" s="16"/>
      <c r="ET540" s="16"/>
      <c r="EU540" s="16"/>
      <c r="EV540" s="16"/>
      <c r="EW540" s="17"/>
      <c r="FA540" s="24"/>
      <c r="FB540" s="60"/>
      <c r="FC540" s="16"/>
      <c r="FD540" s="16"/>
      <c r="FE540" s="16"/>
      <c r="FF540" s="16"/>
      <c r="FG540" s="16"/>
      <c r="FH540" s="17"/>
      <c r="FL540" s="24"/>
      <c r="FM540" s="60"/>
      <c r="FN540" s="16"/>
      <c r="FO540" s="16"/>
      <c r="FP540" s="16"/>
      <c r="FQ540" s="16"/>
      <c r="FR540" s="16"/>
      <c r="FS540" s="17"/>
      <c r="FW540" s="24"/>
      <c r="FX540" s="60"/>
      <c r="FY540" s="16"/>
      <c r="FZ540" s="16"/>
      <c r="GA540" s="16"/>
      <c r="GB540" s="16"/>
      <c r="GC540" s="16"/>
      <c r="GD540" s="17"/>
      <c r="GH540" s="24"/>
      <c r="GI540" s="60"/>
      <c r="GJ540" s="16"/>
      <c r="GK540" s="16"/>
      <c r="GL540" s="16"/>
      <c r="GM540" s="16"/>
      <c r="GN540" s="16"/>
      <c r="GO540" s="17"/>
      <c r="GS540" s="24"/>
      <c r="GT540" s="60"/>
      <c r="GU540" s="16"/>
      <c r="GV540" s="16"/>
      <c r="GW540" s="16"/>
      <c r="GX540" s="16"/>
      <c r="GY540" s="16"/>
      <c r="GZ540" s="17"/>
      <c r="HD540" s="24"/>
      <c r="HE540" s="60"/>
      <c r="HF540" s="16"/>
      <c r="HG540" s="16"/>
      <c r="HH540" s="16"/>
      <c r="HI540" s="16"/>
      <c r="HJ540" s="16"/>
      <c r="HK540" s="17"/>
      <c r="HO540" s="24"/>
      <c r="HP540" s="60"/>
      <c r="HQ540" s="16"/>
      <c r="HR540" s="16"/>
      <c r="HS540" s="16"/>
      <c r="HT540" s="16"/>
      <c r="HU540" s="16"/>
      <c r="HV540" s="17"/>
      <c r="HZ540" s="24"/>
      <c r="IA540" s="60"/>
      <c r="IB540" s="16"/>
      <c r="IC540" s="16"/>
      <c r="ID540" s="16"/>
      <c r="IE540" s="16"/>
      <c r="IF540" s="16"/>
      <c r="IG540" s="17"/>
      <c r="IK540" s="24"/>
      <c r="IL540" s="60"/>
      <c r="IM540" s="16"/>
      <c r="IN540" s="16"/>
      <c r="IO540" s="16"/>
      <c r="IP540" s="16"/>
      <c r="IQ540" s="16"/>
      <c r="IR540" s="17"/>
      <c r="IV540" s="24"/>
      <c r="IW540" s="60"/>
      <c r="IX540" s="16"/>
      <c r="IY540" s="16"/>
      <c r="IZ540" s="16"/>
      <c r="JA540" s="16"/>
      <c r="JB540" s="16"/>
      <c r="JC540" s="17"/>
      <c r="JG540" s="24"/>
      <c r="JH540" s="60"/>
      <c r="JI540" s="16"/>
      <c r="JJ540" s="16"/>
      <c r="JK540" s="16"/>
      <c r="JL540" s="16"/>
      <c r="JM540" s="16"/>
      <c r="JN540" s="17"/>
      <c r="JR540" s="24"/>
      <c r="JS540" s="60"/>
      <c r="JT540" s="16"/>
      <c r="JU540" s="16"/>
      <c r="JV540" s="16"/>
      <c r="JW540" s="16"/>
      <c r="JX540" s="16"/>
      <c r="JY540" s="17"/>
      <c r="KC540" s="24"/>
      <c r="KD540" s="60"/>
      <c r="KE540" s="16"/>
      <c r="KF540" s="16"/>
      <c r="KG540" s="16"/>
      <c r="KH540" s="16"/>
      <c r="KI540" s="16"/>
      <c r="KJ540" s="17"/>
      <c r="KN540" s="24"/>
      <c r="KO540" s="60"/>
      <c r="KP540" s="16"/>
      <c r="KQ540" s="16"/>
      <c r="KR540" s="16"/>
      <c r="KS540" s="16"/>
      <c r="KT540" s="16"/>
      <c r="KU540" s="17"/>
      <c r="KY540" s="24"/>
      <c r="KZ540" s="60"/>
      <c r="LA540" s="16"/>
      <c r="LB540" s="16"/>
      <c r="LC540" s="16"/>
      <c r="LD540" s="16"/>
      <c r="LE540" s="16"/>
      <c r="LF540" s="17"/>
      <c r="LJ540" s="24"/>
      <c r="LK540" s="60"/>
      <c r="LL540" s="16"/>
      <c r="LM540" s="16"/>
      <c r="LN540" s="16"/>
      <c r="LO540" s="16"/>
      <c r="LP540" s="16"/>
      <c r="LQ540" s="17"/>
    </row>
    <row r="541">
      <c r="C541" s="31"/>
      <c r="D541" s="61"/>
      <c r="E541" s="16"/>
      <c r="F541" s="16"/>
      <c r="G541" s="21"/>
      <c r="H541" s="16"/>
      <c r="I541" s="16"/>
      <c r="J541" s="17"/>
      <c r="N541" s="17"/>
      <c r="O541" s="61"/>
      <c r="P541" s="16"/>
      <c r="Q541" s="16"/>
      <c r="R541" s="16"/>
      <c r="S541" s="16"/>
      <c r="T541" s="16"/>
      <c r="U541" s="17"/>
      <c r="Y541" s="24"/>
      <c r="Z541" s="61"/>
      <c r="AA541" s="16"/>
      <c r="AB541" s="16"/>
      <c r="AC541" s="16"/>
      <c r="AD541" s="16"/>
      <c r="AE541" s="16"/>
      <c r="AF541" s="17"/>
      <c r="AJ541" s="24"/>
      <c r="AK541" s="61"/>
      <c r="AL541" s="16"/>
      <c r="AM541" s="16"/>
      <c r="AN541" s="16"/>
      <c r="AO541" s="16"/>
      <c r="AP541" s="16"/>
      <c r="AQ541" s="17"/>
      <c r="AU541" s="24"/>
      <c r="AV541" s="61"/>
      <c r="AW541" s="16"/>
      <c r="AX541" s="16"/>
      <c r="AY541" s="16"/>
      <c r="AZ541" s="16"/>
      <c r="BA541" s="16"/>
      <c r="BB541" s="17"/>
      <c r="BF541" s="24"/>
      <c r="BG541" s="61"/>
      <c r="BH541" s="16"/>
      <c r="BI541" s="16"/>
      <c r="BJ541" s="16"/>
      <c r="BK541" s="16"/>
      <c r="BL541" s="16"/>
      <c r="BM541" s="17"/>
      <c r="BQ541" s="24"/>
      <c r="BR541" s="61"/>
      <c r="BS541" s="16"/>
      <c r="BT541" s="16"/>
      <c r="BU541" s="16"/>
      <c r="BV541" s="16"/>
      <c r="BW541" s="16"/>
      <c r="BX541" s="17"/>
      <c r="CB541" s="24"/>
      <c r="CC541" s="61"/>
      <c r="CD541" s="16"/>
      <c r="CE541" s="16"/>
      <c r="CF541" s="16"/>
      <c r="CG541" s="16"/>
      <c r="CH541" s="16"/>
      <c r="CI541" s="17"/>
      <c r="CM541" s="24"/>
      <c r="CN541" s="61"/>
      <c r="CO541" s="16"/>
      <c r="CP541" s="16"/>
      <c r="CQ541" s="16"/>
      <c r="CR541" s="16"/>
      <c r="CS541" s="16"/>
      <c r="CT541" s="17"/>
      <c r="CX541" s="24"/>
      <c r="CY541" s="60"/>
      <c r="CZ541" s="16"/>
      <c r="DA541" s="16"/>
      <c r="DB541" s="16"/>
      <c r="DC541" s="16"/>
      <c r="DD541" s="16"/>
      <c r="DE541" s="17"/>
      <c r="DI541" s="24"/>
      <c r="DJ541" s="60"/>
      <c r="DK541" s="16"/>
      <c r="DL541" s="16"/>
      <c r="DM541" s="16"/>
      <c r="DN541" s="16"/>
      <c r="DO541" s="16"/>
      <c r="DP541" s="17"/>
      <c r="DT541" s="24"/>
      <c r="DU541" s="60"/>
      <c r="DV541" s="16"/>
      <c r="DW541" s="16"/>
      <c r="DX541" s="16"/>
      <c r="DY541" s="16"/>
      <c r="DZ541" s="16"/>
      <c r="EA541" s="17"/>
      <c r="EE541" s="24"/>
      <c r="EF541" s="60"/>
      <c r="EG541" s="16"/>
      <c r="EH541" s="16"/>
      <c r="EI541" s="16"/>
      <c r="EJ541" s="16"/>
      <c r="EK541" s="16"/>
      <c r="EL541" s="17"/>
      <c r="EP541" s="24"/>
      <c r="EQ541" s="60"/>
      <c r="ER541" s="16"/>
      <c r="ES541" s="16"/>
      <c r="ET541" s="16"/>
      <c r="EU541" s="16"/>
      <c r="EV541" s="16"/>
      <c r="EW541" s="17"/>
      <c r="FA541" s="24"/>
      <c r="FB541" s="60"/>
      <c r="FC541" s="16"/>
      <c r="FD541" s="16"/>
      <c r="FE541" s="16"/>
      <c r="FF541" s="16"/>
      <c r="FG541" s="16"/>
      <c r="FH541" s="17"/>
      <c r="FL541" s="24"/>
      <c r="FM541" s="60"/>
      <c r="FN541" s="16"/>
      <c r="FO541" s="16"/>
      <c r="FP541" s="16"/>
      <c r="FQ541" s="16"/>
      <c r="FR541" s="16"/>
      <c r="FS541" s="17"/>
      <c r="FW541" s="24"/>
      <c r="FX541" s="60"/>
      <c r="FY541" s="16"/>
      <c r="FZ541" s="16"/>
      <c r="GA541" s="16"/>
      <c r="GB541" s="16"/>
      <c r="GC541" s="16"/>
      <c r="GD541" s="17"/>
      <c r="GH541" s="24"/>
      <c r="GI541" s="60"/>
      <c r="GJ541" s="16"/>
      <c r="GK541" s="16"/>
      <c r="GL541" s="16"/>
      <c r="GM541" s="16"/>
      <c r="GN541" s="16"/>
      <c r="GO541" s="17"/>
      <c r="GS541" s="24"/>
      <c r="GT541" s="60"/>
      <c r="GU541" s="16"/>
      <c r="GV541" s="16"/>
      <c r="GW541" s="16"/>
      <c r="GX541" s="16"/>
      <c r="GY541" s="16"/>
      <c r="GZ541" s="17"/>
      <c r="HD541" s="24"/>
      <c r="HE541" s="60"/>
      <c r="HF541" s="16"/>
      <c r="HG541" s="16"/>
      <c r="HH541" s="16"/>
      <c r="HI541" s="16"/>
      <c r="HJ541" s="16"/>
      <c r="HK541" s="17"/>
      <c r="HO541" s="24"/>
      <c r="HP541" s="60"/>
      <c r="HQ541" s="16"/>
      <c r="HR541" s="16"/>
      <c r="HS541" s="16"/>
      <c r="HT541" s="16"/>
      <c r="HU541" s="16"/>
      <c r="HV541" s="17"/>
      <c r="HZ541" s="24"/>
      <c r="IA541" s="60"/>
      <c r="IB541" s="16"/>
      <c r="IC541" s="16"/>
      <c r="ID541" s="16"/>
      <c r="IE541" s="16"/>
      <c r="IF541" s="16"/>
      <c r="IG541" s="17"/>
      <c r="IK541" s="24"/>
      <c r="IL541" s="60"/>
      <c r="IM541" s="16"/>
      <c r="IN541" s="16"/>
      <c r="IO541" s="16"/>
      <c r="IP541" s="16"/>
      <c r="IQ541" s="16"/>
      <c r="IR541" s="17"/>
      <c r="IV541" s="24"/>
      <c r="IW541" s="60"/>
      <c r="IX541" s="16"/>
      <c r="IY541" s="16"/>
      <c r="IZ541" s="16"/>
      <c r="JA541" s="16"/>
      <c r="JB541" s="16"/>
      <c r="JC541" s="17"/>
      <c r="JG541" s="24"/>
      <c r="JH541" s="60"/>
      <c r="JI541" s="16"/>
      <c r="JJ541" s="16"/>
      <c r="JK541" s="16"/>
      <c r="JL541" s="16"/>
      <c r="JM541" s="16"/>
      <c r="JN541" s="17"/>
      <c r="JR541" s="24"/>
      <c r="JS541" s="60"/>
      <c r="JT541" s="16"/>
      <c r="JU541" s="16"/>
      <c r="JV541" s="16"/>
      <c r="JW541" s="16"/>
      <c r="JX541" s="16"/>
      <c r="JY541" s="17"/>
      <c r="KC541" s="24"/>
      <c r="KD541" s="60"/>
      <c r="KE541" s="16"/>
      <c r="KF541" s="16"/>
      <c r="KG541" s="16"/>
      <c r="KH541" s="16"/>
      <c r="KI541" s="16"/>
      <c r="KJ541" s="17"/>
      <c r="KN541" s="24"/>
      <c r="KO541" s="60"/>
      <c r="KP541" s="16"/>
      <c r="KQ541" s="16"/>
      <c r="KR541" s="16"/>
      <c r="KS541" s="16"/>
      <c r="KT541" s="16"/>
      <c r="KU541" s="17"/>
      <c r="KY541" s="24"/>
      <c r="KZ541" s="60"/>
      <c r="LA541" s="16"/>
      <c r="LB541" s="16"/>
      <c r="LC541" s="16"/>
      <c r="LD541" s="16"/>
      <c r="LE541" s="16"/>
      <c r="LF541" s="17"/>
      <c r="LJ541" s="24"/>
      <c r="LK541" s="60"/>
      <c r="LL541" s="16"/>
      <c r="LM541" s="16"/>
      <c r="LN541" s="16"/>
      <c r="LO541" s="16"/>
      <c r="LP541" s="16"/>
      <c r="LQ541" s="17"/>
    </row>
    <row r="542">
      <c r="C542" s="31"/>
      <c r="D542" s="61"/>
      <c r="E542" s="16"/>
      <c r="F542" s="16"/>
      <c r="G542" s="21"/>
      <c r="H542" s="16"/>
      <c r="I542" s="16"/>
      <c r="J542" s="17"/>
      <c r="N542" s="17"/>
      <c r="O542" s="61"/>
      <c r="P542" s="16"/>
      <c r="Q542" s="16"/>
      <c r="R542" s="16"/>
      <c r="S542" s="16"/>
      <c r="T542" s="16"/>
      <c r="U542" s="17"/>
      <c r="Y542" s="24"/>
      <c r="Z542" s="61"/>
      <c r="AA542" s="16"/>
      <c r="AB542" s="16"/>
      <c r="AC542" s="16"/>
      <c r="AD542" s="16"/>
      <c r="AE542" s="16"/>
      <c r="AF542" s="17"/>
      <c r="AJ542" s="24"/>
      <c r="AK542" s="61"/>
      <c r="AL542" s="16"/>
      <c r="AM542" s="16"/>
      <c r="AN542" s="16"/>
      <c r="AO542" s="16"/>
      <c r="AP542" s="16"/>
      <c r="AQ542" s="17"/>
      <c r="AU542" s="24"/>
      <c r="AV542" s="61"/>
      <c r="AW542" s="16"/>
      <c r="AX542" s="16"/>
      <c r="AY542" s="16"/>
      <c r="AZ542" s="16"/>
      <c r="BA542" s="16"/>
      <c r="BB542" s="17"/>
      <c r="BF542" s="24"/>
      <c r="BG542" s="61"/>
      <c r="BH542" s="16"/>
      <c r="BI542" s="16"/>
      <c r="BJ542" s="16"/>
      <c r="BK542" s="16"/>
      <c r="BL542" s="16"/>
      <c r="BM542" s="17"/>
      <c r="BQ542" s="24"/>
      <c r="BR542" s="61"/>
      <c r="BS542" s="16"/>
      <c r="BT542" s="16"/>
      <c r="BU542" s="16"/>
      <c r="BV542" s="16"/>
      <c r="BW542" s="16"/>
      <c r="BX542" s="17"/>
      <c r="CB542" s="24"/>
      <c r="CC542" s="61"/>
      <c r="CD542" s="16"/>
      <c r="CE542" s="16"/>
      <c r="CF542" s="16"/>
      <c r="CG542" s="16"/>
      <c r="CH542" s="16"/>
      <c r="CI542" s="17"/>
      <c r="CM542" s="24"/>
      <c r="CN542" s="61"/>
      <c r="CO542" s="16"/>
      <c r="CP542" s="16"/>
      <c r="CQ542" s="16"/>
      <c r="CR542" s="16"/>
      <c r="CS542" s="16"/>
      <c r="CT542" s="17"/>
      <c r="CX542" s="24"/>
      <c r="CY542" s="60"/>
      <c r="CZ542" s="16"/>
      <c r="DA542" s="16"/>
      <c r="DB542" s="16"/>
      <c r="DC542" s="16"/>
      <c r="DD542" s="16"/>
      <c r="DE542" s="17"/>
      <c r="DI542" s="24"/>
      <c r="DJ542" s="60"/>
      <c r="DK542" s="16"/>
      <c r="DL542" s="16"/>
      <c r="DM542" s="16"/>
      <c r="DN542" s="16"/>
      <c r="DO542" s="16"/>
      <c r="DP542" s="17"/>
      <c r="DT542" s="24"/>
      <c r="DU542" s="60"/>
      <c r="DV542" s="16"/>
      <c r="DW542" s="16"/>
      <c r="DX542" s="16"/>
      <c r="DY542" s="16"/>
      <c r="DZ542" s="16"/>
      <c r="EA542" s="17"/>
      <c r="EE542" s="24"/>
      <c r="EF542" s="60"/>
      <c r="EG542" s="16"/>
      <c r="EH542" s="16"/>
      <c r="EI542" s="16"/>
      <c r="EJ542" s="16"/>
      <c r="EK542" s="16"/>
      <c r="EL542" s="17"/>
      <c r="EP542" s="24"/>
      <c r="EQ542" s="60"/>
      <c r="ER542" s="16"/>
      <c r="ES542" s="16"/>
      <c r="ET542" s="16"/>
      <c r="EU542" s="16"/>
      <c r="EV542" s="16"/>
      <c r="EW542" s="17"/>
      <c r="FA542" s="24"/>
      <c r="FB542" s="60"/>
      <c r="FC542" s="16"/>
      <c r="FD542" s="16"/>
      <c r="FE542" s="16"/>
      <c r="FF542" s="16"/>
      <c r="FG542" s="16"/>
      <c r="FH542" s="17"/>
      <c r="FL542" s="24"/>
      <c r="FM542" s="60"/>
      <c r="FN542" s="16"/>
      <c r="FO542" s="16"/>
      <c r="FP542" s="16"/>
      <c r="FQ542" s="16"/>
      <c r="FR542" s="16"/>
      <c r="FS542" s="17"/>
      <c r="FW542" s="24"/>
      <c r="FX542" s="60"/>
      <c r="FY542" s="16"/>
      <c r="FZ542" s="16"/>
      <c r="GA542" s="16"/>
      <c r="GB542" s="16"/>
      <c r="GC542" s="16"/>
      <c r="GD542" s="17"/>
      <c r="GH542" s="24"/>
      <c r="GI542" s="60"/>
      <c r="GJ542" s="16"/>
      <c r="GK542" s="16"/>
      <c r="GL542" s="16"/>
      <c r="GM542" s="16"/>
      <c r="GN542" s="16"/>
      <c r="GO542" s="17"/>
      <c r="GS542" s="24"/>
      <c r="GT542" s="60"/>
      <c r="GU542" s="16"/>
      <c r="GV542" s="16"/>
      <c r="GW542" s="16"/>
      <c r="GX542" s="16"/>
      <c r="GY542" s="16"/>
      <c r="GZ542" s="17"/>
      <c r="HD542" s="24"/>
      <c r="HE542" s="60"/>
      <c r="HF542" s="16"/>
      <c r="HG542" s="16"/>
      <c r="HH542" s="16"/>
      <c r="HI542" s="16"/>
      <c r="HJ542" s="16"/>
      <c r="HK542" s="17"/>
      <c r="HO542" s="24"/>
      <c r="HP542" s="60"/>
      <c r="HQ542" s="16"/>
      <c r="HR542" s="16"/>
      <c r="HS542" s="16"/>
      <c r="HT542" s="16"/>
      <c r="HU542" s="16"/>
      <c r="HV542" s="17"/>
      <c r="HZ542" s="24"/>
      <c r="IA542" s="60"/>
      <c r="IB542" s="16"/>
      <c r="IC542" s="16"/>
      <c r="ID542" s="16"/>
      <c r="IE542" s="16"/>
      <c r="IF542" s="16"/>
      <c r="IG542" s="17"/>
      <c r="IK542" s="24"/>
      <c r="IL542" s="60"/>
      <c r="IM542" s="16"/>
      <c r="IN542" s="16"/>
      <c r="IO542" s="16"/>
      <c r="IP542" s="16"/>
      <c r="IQ542" s="16"/>
      <c r="IR542" s="17"/>
      <c r="IV542" s="24"/>
      <c r="IW542" s="60"/>
      <c r="IX542" s="16"/>
      <c r="IY542" s="16"/>
      <c r="IZ542" s="16"/>
      <c r="JA542" s="16"/>
      <c r="JB542" s="16"/>
      <c r="JC542" s="17"/>
      <c r="JG542" s="24"/>
      <c r="JH542" s="60"/>
      <c r="JI542" s="16"/>
      <c r="JJ542" s="16"/>
      <c r="JK542" s="16"/>
      <c r="JL542" s="16"/>
      <c r="JM542" s="16"/>
      <c r="JN542" s="17"/>
      <c r="JR542" s="24"/>
      <c r="JS542" s="60"/>
      <c r="JT542" s="16"/>
      <c r="JU542" s="16"/>
      <c r="JV542" s="16"/>
      <c r="JW542" s="16"/>
      <c r="JX542" s="16"/>
      <c r="JY542" s="17"/>
      <c r="KC542" s="24"/>
      <c r="KD542" s="60"/>
      <c r="KE542" s="16"/>
      <c r="KF542" s="16"/>
      <c r="KG542" s="16"/>
      <c r="KH542" s="16"/>
      <c r="KI542" s="16"/>
      <c r="KJ542" s="17"/>
      <c r="KN542" s="24"/>
      <c r="KO542" s="60"/>
      <c r="KP542" s="16"/>
      <c r="KQ542" s="16"/>
      <c r="KR542" s="16"/>
      <c r="KS542" s="16"/>
      <c r="KT542" s="16"/>
      <c r="KU542" s="17"/>
      <c r="KY542" s="24"/>
      <c r="KZ542" s="60"/>
      <c r="LA542" s="16"/>
      <c r="LB542" s="16"/>
      <c r="LC542" s="16"/>
      <c r="LD542" s="16"/>
      <c r="LE542" s="16"/>
      <c r="LF542" s="17"/>
      <c r="LJ542" s="24"/>
      <c r="LK542" s="60"/>
      <c r="LL542" s="16"/>
      <c r="LM542" s="16"/>
      <c r="LN542" s="16"/>
      <c r="LO542" s="16"/>
      <c r="LP542" s="16"/>
      <c r="LQ542" s="17"/>
    </row>
    <row r="543">
      <c r="C543" s="31"/>
      <c r="D543" s="61"/>
      <c r="E543" s="16"/>
      <c r="F543" s="16"/>
      <c r="G543" s="21"/>
      <c r="H543" s="16"/>
      <c r="I543" s="16"/>
      <c r="J543" s="17"/>
      <c r="N543" s="17"/>
      <c r="O543" s="61"/>
      <c r="P543" s="16"/>
      <c r="Q543" s="16"/>
      <c r="R543" s="16"/>
      <c r="S543" s="16"/>
      <c r="T543" s="16"/>
      <c r="U543" s="17"/>
      <c r="Y543" s="24"/>
      <c r="Z543" s="61"/>
      <c r="AA543" s="16"/>
      <c r="AB543" s="16"/>
      <c r="AC543" s="16"/>
      <c r="AD543" s="16"/>
      <c r="AE543" s="16"/>
      <c r="AF543" s="17"/>
      <c r="AJ543" s="24"/>
      <c r="AK543" s="61"/>
      <c r="AL543" s="16"/>
      <c r="AM543" s="16"/>
      <c r="AN543" s="16"/>
      <c r="AO543" s="16"/>
      <c r="AP543" s="16"/>
      <c r="AQ543" s="17"/>
      <c r="AU543" s="24"/>
      <c r="AV543" s="61"/>
      <c r="AW543" s="16"/>
      <c r="AX543" s="16"/>
      <c r="AY543" s="16"/>
      <c r="AZ543" s="16"/>
      <c r="BA543" s="16"/>
      <c r="BB543" s="17"/>
      <c r="BF543" s="24"/>
      <c r="BG543" s="61"/>
      <c r="BH543" s="16"/>
      <c r="BI543" s="16"/>
      <c r="BJ543" s="16"/>
      <c r="BK543" s="16"/>
      <c r="BL543" s="16"/>
      <c r="BM543" s="17"/>
      <c r="BQ543" s="24"/>
      <c r="BR543" s="61"/>
      <c r="BS543" s="16"/>
      <c r="BT543" s="16"/>
      <c r="BU543" s="16"/>
      <c r="BV543" s="16"/>
      <c r="BW543" s="16"/>
      <c r="BX543" s="17"/>
      <c r="CB543" s="24"/>
      <c r="CC543" s="61"/>
      <c r="CD543" s="16"/>
      <c r="CE543" s="16"/>
      <c r="CF543" s="16"/>
      <c r="CG543" s="16"/>
      <c r="CH543" s="16"/>
      <c r="CI543" s="17"/>
      <c r="CM543" s="24"/>
      <c r="CN543" s="61"/>
      <c r="CO543" s="16"/>
      <c r="CP543" s="16"/>
      <c r="CQ543" s="16"/>
      <c r="CR543" s="16"/>
      <c r="CS543" s="16"/>
      <c r="CT543" s="17"/>
      <c r="CX543" s="24"/>
      <c r="CY543" s="60"/>
      <c r="CZ543" s="16"/>
      <c r="DA543" s="16"/>
      <c r="DB543" s="16"/>
      <c r="DC543" s="16"/>
      <c r="DD543" s="16"/>
      <c r="DE543" s="17"/>
      <c r="DI543" s="24"/>
      <c r="DJ543" s="60"/>
      <c r="DK543" s="16"/>
      <c r="DL543" s="16"/>
      <c r="DM543" s="16"/>
      <c r="DN543" s="16"/>
      <c r="DO543" s="16"/>
      <c r="DP543" s="17"/>
      <c r="DT543" s="24"/>
      <c r="DU543" s="60"/>
      <c r="DV543" s="16"/>
      <c r="DW543" s="16"/>
      <c r="DX543" s="16"/>
      <c r="DY543" s="16"/>
      <c r="DZ543" s="16"/>
      <c r="EA543" s="17"/>
      <c r="EE543" s="24"/>
      <c r="EF543" s="60"/>
      <c r="EG543" s="16"/>
      <c r="EH543" s="16"/>
      <c r="EI543" s="16"/>
      <c r="EJ543" s="16"/>
      <c r="EK543" s="16"/>
      <c r="EL543" s="17"/>
      <c r="EP543" s="24"/>
      <c r="EQ543" s="60"/>
      <c r="ER543" s="16"/>
      <c r="ES543" s="16"/>
      <c r="ET543" s="16"/>
      <c r="EU543" s="16"/>
      <c r="EV543" s="16"/>
      <c r="EW543" s="17"/>
      <c r="FA543" s="24"/>
      <c r="FB543" s="60"/>
      <c r="FC543" s="16"/>
      <c r="FD543" s="16"/>
      <c r="FE543" s="16"/>
      <c r="FF543" s="16"/>
      <c r="FG543" s="16"/>
      <c r="FH543" s="17"/>
      <c r="FL543" s="24"/>
      <c r="FM543" s="60"/>
      <c r="FN543" s="16"/>
      <c r="FO543" s="16"/>
      <c r="FP543" s="16"/>
      <c r="FQ543" s="16"/>
      <c r="FR543" s="16"/>
      <c r="FS543" s="17"/>
      <c r="FW543" s="24"/>
      <c r="FX543" s="60"/>
      <c r="FY543" s="16"/>
      <c r="FZ543" s="16"/>
      <c r="GA543" s="16"/>
      <c r="GB543" s="16"/>
      <c r="GC543" s="16"/>
      <c r="GD543" s="17"/>
      <c r="GH543" s="24"/>
      <c r="GI543" s="60"/>
      <c r="GJ543" s="16"/>
      <c r="GK543" s="16"/>
      <c r="GL543" s="16"/>
      <c r="GM543" s="16"/>
      <c r="GN543" s="16"/>
      <c r="GO543" s="17"/>
      <c r="GS543" s="24"/>
      <c r="GT543" s="60"/>
      <c r="GU543" s="16"/>
      <c r="GV543" s="16"/>
      <c r="GW543" s="16"/>
      <c r="GX543" s="16"/>
      <c r="GY543" s="16"/>
      <c r="GZ543" s="17"/>
      <c r="HD543" s="24"/>
      <c r="HE543" s="60"/>
      <c r="HF543" s="16"/>
      <c r="HG543" s="16"/>
      <c r="HH543" s="16"/>
      <c r="HI543" s="16"/>
      <c r="HJ543" s="16"/>
      <c r="HK543" s="17"/>
      <c r="HO543" s="24"/>
      <c r="HP543" s="60"/>
      <c r="HQ543" s="16"/>
      <c r="HR543" s="16"/>
      <c r="HS543" s="16"/>
      <c r="HT543" s="16"/>
      <c r="HU543" s="16"/>
      <c r="HV543" s="17"/>
      <c r="HZ543" s="24"/>
      <c r="IA543" s="60"/>
      <c r="IB543" s="16"/>
      <c r="IC543" s="16"/>
      <c r="ID543" s="16"/>
      <c r="IE543" s="16"/>
      <c r="IF543" s="16"/>
      <c r="IG543" s="17"/>
      <c r="IK543" s="24"/>
      <c r="IL543" s="60"/>
      <c r="IM543" s="16"/>
      <c r="IN543" s="16"/>
      <c r="IO543" s="16"/>
      <c r="IP543" s="16"/>
      <c r="IQ543" s="16"/>
      <c r="IR543" s="17"/>
      <c r="IV543" s="24"/>
      <c r="IW543" s="60"/>
      <c r="IX543" s="16"/>
      <c r="IY543" s="16"/>
      <c r="IZ543" s="16"/>
      <c r="JA543" s="16"/>
      <c r="JB543" s="16"/>
      <c r="JC543" s="17"/>
      <c r="JG543" s="24"/>
      <c r="JH543" s="60"/>
      <c r="JI543" s="16"/>
      <c r="JJ543" s="16"/>
      <c r="JK543" s="16"/>
      <c r="JL543" s="16"/>
      <c r="JM543" s="16"/>
      <c r="JN543" s="17"/>
      <c r="JR543" s="24"/>
      <c r="JS543" s="60"/>
      <c r="JT543" s="16"/>
      <c r="JU543" s="16"/>
      <c r="JV543" s="16"/>
      <c r="JW543" s="16"/>
      <c r="JX543" s="16"/>
      <c r="JY543" s="17"/>
      <c r="KC543" s="24"/>
      <c r="KD543" s="60"/>
      <c r="KE543" s="16"/>
      <c r="KF543" s="16"/>
      <c r="KG543" s="16"/>
      <c r="KH543" s="16"/>
      <c r="KI543" s="16"/>
      <c r="KJ543" s="17"/>
      <c r="KN543" s="24"/>
      <c r="KO543" s="60"/>
      <c r="KP543" s="16"/>
      <c r="KQ543" s="16"/>
      <c r="KR543" s="16"/>
      <c r="KS543" s="16"/>
      <c r="KT543" s="16"/>
      <c r="KU543" s="17"/>
      <c r="KY543" s="24"/>
      <c r="KZ543" s="60"/>
      <c r="LA543" s="16"/>
      <c r="LB543" s="16"/>
      <c r="LC543" s="16"/>
      <c r="LD543" s="16"/>
      <c r="LE543" s="16"/>
      <c r="LF543" s="17"/>
      <c r="LJ543" s="24"/>
      <c r="LK543" s="60"/>
      <c r="LL543" s="16"/>
      <c r="LM543" s="16"/>
      <c r="LN543" s="16"/>
      <c r="LO543" s="16"/>
      <c r="LP543" s="16"/>
      <c r="LQ543" s="17"/>
    </row>
    <row r="544">
      <c r="C544" s="31"/>
      <c r="D544" s="61"/>
      <c r="E544" s="16"/>
      <c r="F544" s="16"/>
      <c r="G544" s="21"/>
      <c r="H544" s="16"/>
      <c r="I544" s="16"/>
      <c r="J544" s="17"/>
      <c r="N544" s="17"/>
      <c r="O544" s="61"/>
      <c r="P544" s="16"/>
      <c r="Q544" s="16"/>
      <c r="R544" s="16"/>
      <c r="S544" s="16"/>
      <c r="T544" s="16"/>
      <c r="U544" s="17"/>
      <c r="Y544" s="24"/>
      <c r="Z544" s="61"/>
      <c r="AA544" s="16"/>
      <c r="AB544" s="16"/>
      <c r="AC544" s="16"/>
      <c r="AD544" s="16"/>
      <c r="AE544" s="16"/>
      <c r="AF544" s="17"/>
      <c r="AJ544" s="24"/>
      <c r="AK544" s="61"/>
      <c r="AL544" s="16"/>
      <c r="AM544" s="16"/>
      <c r="AN544" s="16"/>
      <c r="AO544" s="16"/>
      <c r="AP544" s="16"/>
      <c r="AQ544" s="17"/>
      <c r="AU544" s="24"/>
      <c r="AV544" s="61"/>
      <c r="AW544" s="16"/>
      <c r="AX544" s="16"/>
      <c r="AY544" s="16"/>
      <c r="AZ544" s="16"/>
      <c r="BA544" s="16"/>
      <c r="BB544" s="17"/>
      <c r="BF544" s="24"/>
      <c r="BG544" s="61"/>
      <c r="BH544" s="16"/>
      <c r="BI544" s="16"/>
      <c r="BJ544" s="16"/>
      <c r="BK544" s="16"/>
      <c r="BL544" s="16"/>
      <c r="BM544" s="17"/>
      <c r="BQ544" s="24"/>
      <c r="BR544" s="61"/>
      <c r="BS544" s="16"/>
      <c r="BT544" s="16"/>
      <c r="BU544" s="16"/>
      <c r="BV544" s="16"/>
      <c r="BW544" s="16"/>
      <c r="BX544" s="17"/>
      <c r="CB544" s="24"/>
      <c r="CC544" s="61"/>
      <c r="CD544" s="16"/>
      <c r="CE544" s="16"/>
      <c r="CF544" s="16"/>
      <c r="CG544" s="16"/>
      <c r="CH544" s="16"/>
      <c r="CI544" s="17"/>
      <c r="CM544" s="24"/>
      <c r="CN544" s="61"/>
      <c r="CO544" s="16"/>
      <c r="CP544" s="16"/>
      <c r="CQ544" s="16"/>
      <c r="CR544" s="16"/>
      <c r="CS544" s="16"/>
      <c r="CT544" s="17"/>
      <c r="CX544" s="24"/>
      <c r="CY544" s="60"/>
      <c r="CZ544" s="16"/>
      <c r="DA544" s="16"/>
      <c r="DB544" s="16"/>
      <c r="DC544" s="16"/>
      <c r="DD544" s="16"/>
      <c r="DE544" s="17"/>
      <c r="DI544" s="24"/>
      <c r="DJ544" s="60"/>
      <c r="DK544" s="16"/>
      <c r="DL544" s="16"/>
      <c r="DM544" s="16"/>
      <c r="DN544" s="16"/>
      <c r="DO544" s="16"/>
      <c r="DP544" s="17"/>
      <c r="DT544" s="24"/>
      <c r="DU544" s="60"/>
      <c r="DV544" s="16"/>
      <c r="DW544" s="16"/>
      <c r="DX544" s="16"/>
      <c r="DY544" s="16"/>
      <c r="DZ544" s="16"/>
      <c r="EA544" s="17"/>
      <c r="EE544" s="24"/>
      <c r="EF544" s="60"/>
      <c r="EG544" s="16"/>
      <c r="EH544" s="16"/>
      <c r="EI544" s="16"/>
      <c r="EJ544" s="16"/>
      <c r="EK544" s="16"/>
      <c r="EL544" s="17"/>
      <c r="EP544" s="24"/>
      <c r="EQ544" s="60"/>
      <c r="ER544" s="16"/>
      <c r="ES544" s="16"/>
      <c r="ET544" s="16"/>
      <c r="EU544" s="16"/>
      <c r="EV544" s="16"/>
      <c r="EW544" s="17"/>
      <c r="FA544" s="24"/>
      <c r="FB544" s="60"/>
      <c r="FC544" s="16"/>
      <c r="FD544" s="16"/>
      <c r="FE544" s="16"/>
      <c r="FF544" s="16"/>
      <c r="FG544" s="16"/>
      <c r="FH544" s="17"/>
      <c r="FL544" s="24"/>
      <c r="FM544" s="60"/>
      <c r="FN544" s="16"/>
      <c r="FO544" s="16"/>
      <c r="FP544" s="16"/>
      <c r="FQ544" s="16"/>
      <c r="FR544" s="16"/>
      <c r="FS544" s="17"/>
      <c r="FW544" s="24"/>
      <c r="FX544" s="60"/>
      <c r="FY544" s="16"/>
      <c r="FZ544" s="16"/>
      <c r="GA544" s="16"/>
      <c r="GB544" s="16"/>
      <c r="GC544" s="16"/>
      <c r="GD544" s="17"/>
      <c r="GH544" s="24"/>
      <c r="GI544" s="60"/>
      <c r="GJ544" s="16"/>
      <c r="GK544" s="16"/>
      <c r="GL544" s="16"/>
      <c r="GM544" s="16"/>
      <c r="GN544" s="16"/>
      <c r="GO544" s="17"/>
      <c r="GS544" s="24"/>
      <c r="GT544" s="60"/>
      <c r="GU544" s="16"/>
      <c r="GV544" s="16"/>
      <c r="GW544" s="16"/>
      <c r="GX544" s="16"/>
      <c r="GY544" s="16"/>
      <c r="GZ544" s="17"/>
      <c r="HD544" s="24"/>
      <c r="HE544" s="60"/>
      <c r="HF544" s="16"/>
      <c r="HG544" s="16"/>
      <c r="HH544" s="16"/>
      <c r="HI544" s="16"/>
      <c r="HJ544" s="16"/>
      <c r="HK544" s="17"/>
      <c r="HO544" s="24"/>
      <c r="HP544" s="60"/>
      <c r="HQ544" s="16"/>
      <c r="HR544" s="16"/>
      <c r="HS544" s="16"/>
      <c r="HT544" s="16"/>
      <c r="HU544" s="16"/>
      <c r="HV544" s="17"/>
      <c r="HZ544" s="24"/>
      <c r="IA544" s="60"/>
      <c r="IB544" s="16"/>
      <c r="IC544" s="16"/>
      <c r="ID544" s="16"/>
      <c r="IE544" s="16"/>
      <c r="IF544" s="16"/>
      <c r="IG544" s="17"/>
      <c r="IK544" s="24"/>
      <c r="IL544" s="60"/>
      <c r="IM544" s="16"/>
      <c r="IN544" s="16"/>
      <c r="IO544" s="16"/>
      <c r="IP544" s="16"/>
      <c r="IQ544" s="16"/>
      <c r="IR544" s="17"/>
      <c r="IV544" s="24"/>
      <c r="IW544" s="60"/>
      <c r="IX544" s="16"/>
      <c r="IY544" s="16"/>
      <c r="IZ544" s="16"/>
      <c r="JA544" s="16"/>
      <c r="JB544" s="16"/>
      <c r="JC544" s="17"/>
      <c r="JG544" s="24"/>
      <c r="JH544" s="60"/>
      <c r="JI544" s="16"/>
      <c r="JJ544" s="16"/>
      <c r="JK544" s="16"/>
      <c r="JL544" s="16"/>
      <c r="JM544" s="16"/>
      <c r="JN544" s="17"/>
      <c r="JR544" s="24"/>
      <c r="JS544" s="60"/>
      <c r="JT544" s="16"/>
      <c r="JU544" s="16"/>
      <c r="JV544" s="16"/>
      <c r="JW544" s="16"/>
      <c r="JX544" s="16"/>
      <c r="JY544" s="17"/>
      <c r="KC544" s="24"/>
      <c r="KD544" s="60"/>
      <c r="KE544" s="16"/>
      <c r="KF544" s="16"/>
      <c r="KG544" s="16"/>
      <c r="KH544" s="16"/>
      <c r="KI544" s="16"/>
      <c r="KJ544" s="17"/>
      <c r="KN544" s="24"/>
      <c r="KO544" s="60"/>
      <c r="KP544" s="16"/>
      <c r="KQ544" s="16"/>
      <c r="KR544" s="16"/>
      <c r="KS544" s="16"/>
      <c r="KT544" s="16"/>
      <c r="KU544" s="17"/>
      <c r="KY544" s="24"/>
      <c r="KZ544" s="60"/>
      <c r="LA544" s="16"/>
      <c r="LB544" s="16"/>
      <c r="LC544" s="16"/>
      <c r="LD544" s="16"/>
      <c r="LE544" s="16"/>
      <c r="LF544" s="17"/>
      <c r="LJ544" s="24"/>
      <c r="LK544" s="60"/>
      <c r="LL544" s="16"/>
      <c r="LM544" s="16"/>
      <c r="LN544" s="16"/>
      <c r="LO544" s="16"/>
      <c r="LP544" s="16"/>
      <c r="LQ544" s="17"/>
    </row>
    <row r="545">
      <c r="C545" s="31"/>
      <c r="D545" s="61"/>
      <c r="E545" s="16"/>
      <c r="F545" s="16"/>
      <c r="G545" s="21"/>
      <c r="H545" s="16"/>
      <c r="I545" s="16"/>
      <c r="J545" s="17"/>
      <c r="N545" s="17"/>
      <c r="O545" s="61"/>
      <c r="P545" s="16"/>
      <c r="Q545" s="16"/>
      <c r="R545" s="16"/>
      <c r="S545" s="16"/>
      <c r="T545" s="16"/>
      <c r="U545" s="17"/>
      <c r="Y545" s="24"/>
      <c r="Z545" s="61"/>
      <c r="AA545" s="16"/>
      <c r="AB545" s="16"/>
      <c r="AC545" s="16"/>
      <c r="AD545" s="16"/>
      <c r="AE545" s="16"/>
      <c r="AF545" s="17"/>
      <c r="AJ545" s="24"/>
      <c r="AK545" s="61"/>
      <c r="AL545" s="16"/>
      <c r="AM545" s="16"/>
      <c r="AN545" s="16"/>
      <c r="AO545" s="16"/>
      <c r="AP545" s="16"/>
      <c r="AQ545" s="17"/>
      <c r="AU545" s="24"/>
      <c r="AV545" s="61"/>
      <c r="AW545" s="16"/>
      <c r="AX545" s="16"/>
      <c r="AY545" s="16"/>
      <c r="AZ545" s="16"/>
      <c r="BA545" s="16"/>
      <c r="BB545" s="17"/>
      <c r="BF545" s="24"/>
      <c r="BG545" s="61"/>
      <c r="BH545" s="16"/>
      <c r="BI545" s="16"/>
      <c r="BJ545" s="16"/>
      <c r="BK545" s="16"/>
      <c r="BL545" s="16"/>
      <c r="BM545" s="17"/>
      <c r="BQ545" s="24"/>
      <c r="BR545" s="61"/>
      <c r="BS545" s="16"/>
      <c r="BT545" s="16"/>
      <c r="BU545" s="16"/>
      <c r="BV545" s="16"/>
      <c r="BW545" s="16"/>
      <c r="BX545" s="17"/>
      <c r="CB545" s="24"/>
      <c r="CC545" s="61"/>
      <c r="CD545" s="16"/>
      <c r="CE545" s="16"/>
      <c r="CF545" s="16"/>
      <c r="CG545" s="16"/>
      <c r="CH545" s="16"/>
      <c r="CI545" s="17"/>
      <c r="CM545" s="24"/>
      <c r="CN545" s="61"/>
      <c r="CO545" s="16"/>
      <c r="CP545" s="16"/>
      <c r="CQ545" s="16"/>
      <c r="CR545" s="16"/>
      <c r="CS545" s="16"/>
      <c r="CT545" s="17"/>
      <c r="CX545" s="24"/>
      <c r="CY545" s="60"/>
      <c r="CZ545" s="16"/>
      <c r="DA545" s="16"/>
      <c r="DB545" s="16"/>
      <c r="DC545" s="16"/>
      <c r="DD545" s="16"/>
      <c r="DE545" s="17"/>
      <c r="DI545" s="24"/>
      <c r="DJ545" s="60"/>
      <c r="DK545" s="16"/>
      <c r="DL545" s="16"/>
      <c r="DM545" s="16"/>
      <c r="DN545" s="16"/>
      <c r="DO545" s="16"/>
      <c r="DP545" s="17"/>
      <c r="DT545" s="24"/>
      <c r="DU545" s="60"/>
      <c r="DV545" s="16"/>
      <c r="DW545" s="16"/>
      <c r="DX545" s="16"/>
      <c r="DY545" s="16"/>
      <c r="DZ545" s="16"/>
      <c r="EA545" s="17"/>
      <c r="EE545" s="24"/>
      <c r="EF545" s="60"/>
      <c r="EG545" s="16"/>
      <c r="EH545" s="16"/>
      <c r="EI545" s="16"/>
      <c r="EJ545" s="16"/>
      <c r="EK545" s="16"/>
      <c r="EL545" s="17"/>
      <c r="EP545" s="24"/>
      <c r="EQ545" s="60"/>
      <c r="ER545" s="16"/>
      <c r="ES545" s="16"/>
      <c r="ET545" s="16"/>
      <c r="EU545" s="16"/>
      <c r="EV545" s="16"/>
      <c r="EW545" s="17"/>
      <c r="FA545" s="24"/>
      <c r="FB545" s="60"/>
      <c r="FC545" s="16"/>
      <c r="FD545" s="16"/>
      <c r="FE545" s="16"/>
      <c r="FF545" s="16"/>
      <c r="FG545" s="16"/>
      <c r="FH545" s="17"/>
      <c r="FL545" s="24"/>
      <c r="FM545" s="60"/>
      <c r="FN545" s="16"/>
      <c r="FO545" s="16"/>
      <c r="FP545" s="16"/>
      <c r="FQ545" s="16"/>
      <c r="FR545" s="16"/>
      <c r="FS545" s="17"/>
      <c r="FW545" s="24"/>
      <c r="FX545" s="60"/>
      <c r="FY545" s="16"/>
      <c r="FZ545" s="16"/>
      <c r="GA545" s="16"/>
      <c r="GB545" s="16"/>
      <c r="GC545" s="16"/>
      <c r="GD545" s="17"/>
      <c r="GH545" s="24"/>
      <c r="GI545" s="60"/>
      <c r="GJ545" s="16"/>
      <c r="GK545" s="16"/>
      <c r="GL545" s="16"/>
      <c r="GM545" s="16"/>
      <c r="GN545" s="16"/>
      <c r="GO545" s="17"/>
      <c r="GS545" s="24"/>
      <c r="GT545" s="60"/>
      <c r="GU545" s="16"/>
      <c r="GV545" s="16"/>
      <c r="GW545" s="16"/>
      <c r="GX545" s="16"/>
      <c r="GY545" s="16"/>
      <c r="GZ545" s="17"/>
      <c r="HD545" s="24"/>
      <c r="HE545" s="60"/>
      <c r="HF545" s="16"/>
      <c r="HG545" s="16"/>
      <c r="HH545" s="16"/>
      <c r="HI545" s="16"/>
      <c r="HJ545" s="16"/>
      <c r="HK545" s="17"/>
      <c r="HO545" s="24"/>
      <c r="HP545" s="60"/>
      <c r="HQ545" s="16"/>
      <c r="HR545" s="16"/>
      <c r="HS545" s="16"/>
      <c r="HT545" s="16"/>
      <c r="HU545" s="16"/>
      <c r="HV545" s="17"/>
      <c r="HZ545" s="24"/>
      <c r="IA545" s="60"/>
      <c r="IB545" s="16"/>
      <c r="IC545" s="16"/>
      <c r="ID545" s="16"/>
      <c r="IE545" s="16"/>
      <c r="IF545" s="16"/>
      <c r="IG545" s="17"/>
      <c r="IK545" s="24"/>
      <c r="IL545" s="60"/>
      <c r="IM545" s="16"/>
      <c r="IN545" s="16"/>
      <c r="IO545" s="16"/>
      <c r="IP545" s="16"/>
      <c r="IQ545" s="16"/>
      <c r="IR545" s="17"/>
      <c r="IV545" s="24"/>
      <c r="IW545" s="60"/>
      <c r="IX545" s="16"/>
      <c r="IY545" s="16"/>
      <c r="IZ545" s="16"/>
      <c r="JA545" s="16"/>
      <c r="JB545" s="16"/>
      <c r="JC545" s="17"/>
      <c r="JG545" s="24"/>
      <c r="JH545" s="60"/>
      <c r="JI545" s="16"/>
      <c r="JJ545" s="16"/>
      <c r="JK545" s="16"/>
      <c r="JL545" s="16"/>
      <c r="JM545" s="16"/>
      <c r="JN545" s="17"/>
      <c r="JR545" s="24"/>
      <c r="JS545" s="60"/>
      <c r="JT545" s="16"/>
      <c r="JU545" s="16"/>
      <c r="JV545" s="16"/>
      <c r="JW545" s="16"/>
      <c r="JX545" s="16"/>
      <c r="JY545" s="17"/>
      <c r="KC545" s="24"/>
      <c r="KD545" s="60"/>
      <c r="KE545" s="16"/>
      <c r="KF545" s="16"/>
      <c r="KG545" s="16"/>
      <c r="KH545" s="16"/>
      <c r="KI545" s="16"/>
      <c r="KJ545" s="17"/>
      <c r="KN545" s="24"/>
      <c r="KO545" s="60"/>
      <c r="KP545" s="16"/>
      <c r="KQ545" s="16"/>
      <c r="KR545" s="16"/>
      <c r="KS545" s="16"/>
      <c r="KT545" s="16"/>
      <c r="KU545" s="17"/>
      <c r="KY545" s="24"/>
      <c r="KZ545" s="60"/>
      <c r="LA545" s="16"/>
      <c r="LB545" s="16"/>
      <c r="LC545" s="16"/>
      <c r="LD545" s="16"/>
      <c r="LE545" s="16"/>
      <c r="LF545" s="17"/>
      <c r="LJ545" s="24"/>
      <c r="LK545" s="60"/>
      <c r="LL545" s="16"/>
      <c r="LM545" s="16"/>
      <c r="LN545" s="16"/>
      <c r="LO545" s="16"/>
      <c r="LP545" s="16"/>
      <c r="LQ545" s="17"/>
    </row>
    <row r="546">
      <c r="C546" s="31"/>
      <c r="D546" s="61"/>
      <c r="E546" s="16"/>
      <c r="F546" s="16"/>
      <c r="G546" s="21"/>
      <c r="H546" s="16"/>
      <c r="I546" s="16"/>
      <c r="J546" s="17"/>
      <c r="N546" s="17"/>
      <c r="O546" s="61"/>
      <c r="P546" s="16"/>
      <c r="Q546" s="16"/>
      <c r="R546" s="16"/>
      <c r="S546" s="16"/>
      <c r="T546" s="16"/>
      <c r="U546" s="17"/>
      <c r="Y546" s="24"/>
      <c r="Z546" s="61"/>
      <c r="AA546" s="16"/>
      <c r="AB546" s="16"/>
      <c r="AC546" s="16"/>
      <c r="AD546" s="16"/>
      <c r="AE546" s="16"/>
      <c r="AF546" s="17"/>
      <c r="AJ546" s="24"/>
      <c r="AK546" s="61"/>
      <c r="AL546" s="16"/>
      <c r="AM546" s="16"/>
      <c r="AN546" s="16"/>
      <c r="AO546" s="16"/>
      <c r="AP546" s="16"/>
      <c r="AQ546" s="17"/>
      <c r="AU546" s="24"/>
      <c r="AV546" s="61"/>
      <c r="AW546" s="16"/>
      <c r="AX546" s="16"/>
      <c r="AY546" s="16"/>
      <c r="AZ546" s="16"/>
      <c r="BA546" s="16"/>
      <c r="BB546" s="17"/>
      <c r="BF546" s="24"/>
      <c r="BG546" s="61"/>
      <c r="BH546" s="16"/>
      <c r="BI546" s="16"/>
      <c r="BJ546" s="16"/>
      <c r="BK546" s="16"/>
      <c r="BL546" s="16"/>
      <c r="BM546" s="17"/>
      <c r="BQ546" s="24"/>
      <c r="BR546" s="61"/>
      <c r="BS546" s="16"/>
      <c r="BT546" s="16"/>
      <c r="BU546" s="16"/>
      <c r="BV546" s="16"/>
      <c r="BW546" s="16"/>
      <c r="BX546" s="17"/>
      <c r="CB546" s="24"/>
      <c r="CC546" s="61"/>
      <c r="CD546" s="16"/>
      <c r="CE546" s="16"/>
      <c r="CF546" s="16"/>
      <c r="CG546" s="16"/>
      <c r="CH546" s="16"/>
      <c r="CI546" s="17"/>
      <c r="CM546" s="24"/>
      <c r="CN546" s="61"/>
      <c r="CO546" s="16"/>
      <c r="CP546" s="16"/>
      <c r="CQ546" s="16"/>
      <c r="CR546" s="16"/>
      <c r="CS546" s="16"/>
      <c r="CT546" s="17"/>
      <c r="CX546" s="24"/>
      <c r="CY546" s="60"/>
      <c r="CZ546" s="16"/>
      <c r="DA546" s="16"/>
      <c r="DB546" s="16"/>
      <c r="DC546" s="16"/>
      <c r="DD546" s="16"/>
      <c r="DE546" s="17"/>
      <c r="DI546" s="24"/>
      <c r="DJ546" s="60"/>
      <c r="DK546" s="16"/>
      <c r="DL546" s="16"/>
      <c r="DM546" s="16"/>
      <c r="DN546" s="16"/>
      <c r="DO546" s="16"/>
      <c r="DP546" s="17"/>
      <c r="DT546" s="24"/>
      <c r="DU546" s="60"/>
      <c r="DV546" s="16"/>
      <c r="DW546" s="16"/>
      <c r="DX546" s="16"/>
      <c r="DY546" s="16"/>
      <c r="DZ546" s="16"/>
      <c r="EA546" s="17"/>
      <c r="EE546" s="24"/>
      <c r="EF546" s="60"/>
      <c r="EG546" s="16"/>
      <c r="EH546" s="16"/>
      <c r="EI546" s="16"/>
      <c r="EJ546" s="16"/>
      <c r="EK546" s="16"/>
      <c r="EL546" s="17"/>
      <c r="EP546" s="24"/>
      <c r="EQ546" s="60"/>
      <c r="ER546" s="16"/>
      <c r="ES546" s="16"/>
      <c r="ET546" s="16"/>
      <c r="EU546" s="16"/>
      <c r="EV546" s="16"/>
      <c r="EW546" s="17"/>
      <c r="FA546" s="24"/>
      <c r="FB546" s="60"/>
      <c r="FC546" s="16"/>
      <c r="FD546" s="16"/>
      <c r="FE546" s="16"/>
      <c r="FF546" s="16"/>
      <c r="FG546" s="16"/>
      <c r="FH546" s="17"/>
      <c r="FL546" s="24"/>
      <c r="FM546" s="60"/>
      <c r="FN546" s="16"/>
      <c r="FO546" s="16"/>
      <c r="FP546" s="16"/>
      <c r="FQ546" s="16"/>
      <c r="FR546" s="16"/>
      <c r="FS546" s="17"/>
      <c r="FW546" s="24"/>
      <c r="FX546" s="60"/>
      <c r="FY546" s="16"/>
      <c r="FZ546" s="16"/>
      <c r="GA546" s="16"/>
      <c r="GB546" s="16"/>
      <c r="GC546" s="16"/>
      <c r="GD546" s="17"/>
      <c r="GH546" s="24"/>
      <c r="GI546" s="60"/>
      <c r="GJ546" s="16"/>
      <c r="GK546" s="16"/>
      <c r="GL546" s="16"/>
      <c r="GM546" s="16"/>
      <c r="GN546" s="16"/>
      <c r="GO546" s="17"/>
      <c r="GS546" s="24"/>
      <c r="GT546" s="60"/>
      <c r="GU546" s="16"/>
      <c r="GV546" s="16"/>
      <c r="GW546" s="16"/>
      <c r="GX546" s="16"/>
      <c r="GY546" s="16"/>
      <c r="GZ546" s="17"/>
      <c r="HD546" s="24"/>
      <c r="HE546" s="60"/>
      <c r="HF546" s="16"/>
      <c r="HG546" s="16"/>
      <c r="HH546" s="16"/>
      <c r="HI546" s="16"/>
      <c r="HJ546" s="16"/>
      <c r="HK546" s="17"/>
      <c r="HO546" s="24"/>
      <c r="HP546" s="60"/>
      <c r="HQ546" s="16"/>
      <c r="HR546" s="16"/>
      <c r="HS546" s="16"/>
      <c r="HT546" s="16"/>
      <c r="HU546" s="16"/>
      <c r="HV546" s="17"/>
      <c r="HZ546" s="24"/>
      <c r="IA546" s="60"/>
      <c r="IB546" s="16"/>
      <c r="IC546" s="16"/>
      <c r="ID546" s="16"/>
      <c r="IE546" s="16"/>
      <c r="IF546" s="16"/>
      <c r="IG546" s="17"/>
      <c r="IK546" s="24"/>
      <c r="IL546" s="60"/>
      <c r="IM546" s="16"/>
      <c r="IN546" s="16"/>
      <c r="IO546" s="16"/>
      <c r="IP546" s="16"/>
      <c r="IQ546" s="16"/>
      <c r="IR546" s="17"/>
      <c r="IV546" s="24"/>
      <c r="IW546" s="60"/>
      <c r="IX546" s="16"/>
      <c r="IY546" s="16"/>
      <c r="IZ546" s="16"/>
      <c r="JA546" s="16"/>
      <c r="JB546" s="16"/>
      <c r="JC546" s="17"/>
      <c r="JG546" s="24"/>
      <c r="JH546" s="60"/>
      <c r="JI546" s="16"/>
      <c r="JJ546" s="16"/>
      <c r="JK546" s="16"/>
      <c r="JL546" s="16"/>
      <c r="JM546" s="16"/>
      <c r="JN546" s="17"/>
      <c r="JR546" s="24"/>
      <c r="JS546" s="60"/>
      <c r="JT546" s="16"/>
      <c r="JU546" s="16"/>
      <c r="JV546" s="16"/>
      <c r="JW546" s="16"/>
      <c r="JX546" s="16"/>
      <c r="JY546" s="17"/>
      <c r="KC546" s="24"/>
      <c r="KD546" s="60"/>
      <c r="KE546" s="16"/>
      <c r="KF546" s="16"/>
      <c r="KG546" s="16"/>
      <c r="KH546" s="16"/>
      <c r="KI546" s="16"/>
      <c r="KJ546" s="17"/>
      <c r="KN546" s="24"/>
      <c r="KO546" s="60"/>
      <c r="KP546" s="16"/>
      <c r="KQ546" s="16"/>
      <c r="KR546" s="16"/>
      <c r="KS546" s="16"/>
      <c r="KT546" s="16"/>
      <c r="KU546" s="17"/>
      <c r="KY546" s="24"/>
      <c r="KZ546" s="60"/>
      <c r="LA546" s="16"/>
      <c r="LB546" s="16"/>
      <c r="LC546" s="16"/>
      <c r="LD546" s="16"/>
      <c r="LE546" s="16"/>
      <c r="LF546" s="17"/>
      <c r="LJ546" s="24"/>
      <c r="LK546" s="60"/>
      <c r="LL546" s="16"/>
      <c r="LM546" s="16"/>
      <c r="LN546" s="16"/>
      <c r="LO546" s="16"/>
      <c r="LP546" s="16"/>
      <c r="LQ546" s="17"/>
    </row>
    <row r="547">
      <c r="C547" s="31"/>
      <c r="D547" s="61"/>
      <c r="E547" s="16"/>
      <c r="F547" s="16"/>
      <c r="G547" s="21"/>
      <c r="H547" s="16"/>
      <c r="I547" s="16"/>
      <c r="J547" s="17"/>
      <c r="N547" s="17"/>
      <c r="O547" s="61"/>
      <c r="P547" s="16"/>
      <c r="Q547" s="16"/>
      <c r="R547" s="16"/>
      <c r="S547" s="16"/>
      <c r="T547" s="16"/>
      <c r="U547" s="17"/>
      <c r="Y547" s="24"/>
      <c r="Z547" s="61"/>
      <c r="AA547" s="16"/>
      <c r="AB547" s="16"/>
      <c r="AC547" s="16"/>
      <c r="AD547" s="16"/>
      <c r="AE547" s="16"/>
      <c r="AF547" s="17"/>
      <c r="AJ547" s="24"/>
      <c r="AK547" s="61"/>
      <c r="AL547" s="16"/>
      <c r="AM547" s="16"/>
      <c r="AN547" s="16"/>
      <c r="AO547" s="16"/>
      <c r="AP547" s="16"/>
      <c r="AQ547" s="17"/>
      <c r="AU547" s="24"/>
      <c r="AV547" s="61"/>
      <c r="AW547" s="16"/>
      <c r="AX547" s="16"/>
      <c r="AY547" s="16"/>
      <c r="AZ547" s="16"/>
      <c r="BA547" s="16"/>
      <c r="BB547" s="17"/>
      <c r="BF547" s="24"/>
      <c r="BG547" s="61"/>
      <c r="BH547" s="16"/>
      <c r="BI547" s="16"/>
      <c r="BJ547" s="16"/>
      <c r="BK547" s="16"/>
      <c r="BL547" s="16"/>
      <c r="BM547" s="17"/>
      <c r="BQ547" s="24"/>
      <c r="BR547" s="61"/>
      <c r="BS547" s="16"/>
      <c r="BT547" s="16"/>
      <c r="BU547" s="16"/>
      <c r="BV547" s="16"/>
      <c r="BW547" s="16"/>
      <c r="BX547" s="17"/>
      <c r="CB547" s="24"/>
      <c r="CC547" s="61"/>
      <c r="CD547" s="16"/>
      <c r="CE547" s="16"/>
      <c r="CF547" s="16"/>
      <c r="CG547" s="16"/>
      <c r="CH547" s="16"/>
      <c r="CI547" s="17"/>
      <c r="CM547" s="24"/>
      <c r="CN547" s="61"/>
      <c r="CO547" s="16"/>
      <c r="CP547" s="16"/>
      <c r="CQ547" s="16"/>
      <c r="CR547" s="16"/>
      <c r="CS547" s="16"/>
      <c r="CT547" s="17"/>
      <c r="CX547" s="24"/>
      <c r="CY547" s="60"/>
      <c r="CZ547" s="16"/>
      <c r="DA547" s="16"/>
      <c r="DB547" s="16"/>
      <c r="DC547" s="16"/>
      <c r="DD547" s="16"/>
      <c r="DE547" s="17"/>
      <c r="DI547" s="24"/>
      <c r="DJ547" s="60"/>
      <c r="DK547" s="16"/>
      <c r="DL547" s="16"/>
      <c r="DM547" s="16"/>
      <c r="DN547" s="16"/>
      <c r="DO547" s="16"/>
      <c r="DP547" s="17"/>
      <c r="DT547" s="24"/>
      <c r="DU547" s="60"/>
      <c r="DV547" s="16"/>
      <c r="DW547" s="16"/>
      <c r="DX547" s="16"/>
      <c r="DY547" s="16"/>
      <c r="DZ547" s="16"/>
      <c r="EA547" s="17"/>
      <c r="EE547" s="24"/>
      <c r="EF547" s="60"/>
      <c r="EG547" s="16"/>
      <c r="EH547" s="16"/>
      <c r="EI547" s="16"/>
      <c r="EJ547" s="16"/>
      <c r="EK547" s="16"/>
      <c r="EL547" s="17"/>
      <c r="EP547" s="24"/>
      <c r="EQ547" s="60"/>
      <c r="ER547" s="16"/>
      <c r="ES547" s="16"/>
      <c r="ET547" s="16"/>
      <c r="EU547" s="16"/>
      <c r="EV547" s="16"/>
      <c r="EW547" s="17"/>
      <c r="FA547" s="24"/>
      <c r="FB547" s="60"/>
      <c r="FC547" s="16"/>
      <c r="FD547" s="16"/>
      <c r="FE547" s="16"/>
      <c r="FF547" s="16"/>
      <c r="FG547" s="16"/>
      <c r="FH547" s="17"/>
      <c r="FL547" s="24"/>
      <c r="FM547" s="60"/>
      <c r="FN547" s="16"/>
      <c r="FO547" s="16"/>
      <c r="FP547" s="16"/>
      <c r="FQ547" s="16"/>
      <c r="FR547" s="16"/>
      <c r="FS547" s="17"/>
      <c r="FW547" s="24"/>
      <c r="FX547" s="60"/>
      <c r="FY547" s="16"/>
      <c r="FZ547" s="16"/>
      <c r="GA547" s="16"/>
      <c r="GB547" s="16"/>
      <c r="GC547" s="16"/>
      <c r="GD547" s="17"/>
      <c r="GH547" s="24"/>
      <c r="GI547" s="60"/>
      <c r="GJ547" s="16"/>
      <c r="GK547" s="16"/>
      <c r="GL547" s="16"/>
      <c r="GM547" s="16"/>
      <c r="GN547" s="16"/>
      <c r="GO547" s="17"/>
      <c r="GS547" s="24"/>
      <c r="GT547" s="60"/>
      <c r="GU547" s="16"/>
      <c r="GV547" s="16"/>
      <c r="GW547" s="16"/>
      <c r="GX547" s="16"/>
      <c r="GY547" s="16"/>
      <c r="GZ547" s="17"/>
      <c r="HD547" s="24"/>
      <c r="HE547" s="60"/>
      <c r="HF547" s="16"/>
      <c r="HG547" s="16"/>
      <c r="HH547" s="16"/>
      <c r="HI547" s="16"/>
      <c r="HJ547" s="16"/>
      <c r="HK547" s="17"/>
      <c r="HO547" s="24"/>
      <c r="HP547" s="60"/>
      <c r="HQ547" s="16"/>
      <c r="HR547" s="16"/>
      <c r="HS547" s="16"/>
      <c r="HT547" s="16"/>
      <c r="HU547" s="16"/>
      <c r="HV547" s="17"/>
      <c r="HZ547" s="24"/>
      <c r="IA547" s="60"/>
      <c r="IB547" s="16"/>
      <c r="IC547" s="16"/>
      <c r="ID547" s="16"/>
      <c r="IE547" s="16"/>
      <c r="IF547" s="16"/>
      <c r="IG547" s="17"/>
      <c r="IK547" s="24"/>
      <c r="IL547" s="60"/>
      <c r="IM547" s="16"/>
      <c r="IN547" s="16"/>
      <c r="IO547" s="16"/>
      <c r="IP547" s="16"/>
      <c r="IQ547" s="16"/>
      <c r="IR547" s="17"/>
      <c r="IV547" s="24"/>
      <c r="IW547" s="60"/>
      <c r="IX547" s="16"/>
      <c r="IY547" s="16"/>
      <c r="IZ547" s="16"/>
      <c r="JA547" s="16"/>
      <c r="JB547" s="16"/>
      <c r="JC547" s="17"/>
      <c r="JG547" s="24"/>
      <c r="JH547" s="60"/>
      <c r="JI547" s="16"/>
      <c r="JJ547" s="16"/>
      <c r="JK547" s="16"/>
      <c r="JL547" s="16"/>
      <c r="JM547" s="16"/>
      <c r="JN547" s="17"/>
      <c r="JR547" s="24"/>
      <c r="JS547" s="60"/>
      <c r="JT547" s="16"/>
      <c r="JU547" s="16"/>
      <c r="JV547" s="16"/>
      <c r="JW547" s="16"/>
      <c r="JX547" s="16"/>
      <c r="JY547" s="17"/>
      <c r="KC547" s="24"/>
      <c r="KD547" s="60"/>
      <c r="KE547" s="16"/>
      <c r="KF547" s="16"/>
      <c r="KG547" s="16"/>
      <c r="KH547" s="16"/>
      <c r="KI547" s="16"/>
      <c r="KJ547" s="17"/>
      <c r="KN547" s="24"/>
      <c r="KO547" s="60"/>
      <c r="KP547" s="16"/>
      <c r="KQ547" s="16"/>
      <c r="KR547" s="16"/>
      <c r="KS547" s="16"/>
      <c r="KT547" s="16"/>
      <c r="KU547" s="17"/>
      <c r="KY547" s="24"/>
      <c r="KZ547" s="60"/>
      <c r="LA547" s="16"/>
      <c r="LB547" s="16"/>
      <c r="LC547" s="16"/>
      <c r="LD547" s="16"/>
      <c r="LE547" s="16"/>
      <c r="LF547" s="17"/>
      <c r="LJ547" s="24"/>
      <c r="LK547" s="60"/>
      <c r="LL547" s="16"/>
      <c r="LM547" s="16"/>
      <c r="LN547" s="16"/>
      <c r="LO547" s="16"/>
      <c r="LP547" s="16"/>
      <c r="LQ547" s="17"/>
    </row>
    <row r="548">
      <c r="C548" s="31"/>
      <c r="D548" s="61"/>
      <c r="E548" s="16"/>
      <c r="F548" s="16"/>
      <c r="G548" s="21"/>
      <c r="H548" s="16"/>
      <c r="I548" s="16"/>
      <c r="J548" s="17"/>
      <c r="N548" s="17"/>
      <c r="O548" s="61"/>
      <c r="P548" s="16"/>
      <c r="Q548" s="16"/>
      <c r="R548" s="16"/>
      <c r="S548" s="16"/>
      <c r="T548" s="16"/>
      <c r="U548" s="17"/>
      <c r="Y548" s="24"/>
      <c r="Z548" s="61"/>
      <c r="AA548" s="16"/>
      <c r="AB548" s="16"/>
      <c r="AC548" s="16"/>
      <c r="AD548" s="16"/>
      <c r="AE548" s="16"/>
      <c r="AF548" s="17"/>
      <c r="AJ548" s="24"/>
      <c r="AK548" s="61"/>
      <c r="AL548" s="16"/>
      <c r="AM548" s="16"/>
      <c r="AN548" s="16"/>
      <c r="AO548" s="16"/>
      <c r="AP548" s="16"/>
      <c r="AQ548" s="17"/>
      <c r="AU548" s="24"/>
      <c r="AV548" s="61"/>
      <c r="AW548" s="16"/>
      <c r="AX548" s="16"/>
      <c r="AY548" s="16"/>
      <c r="AZ548" s="16"/>
      <c r="BA548" s="16"/>
      <c r="BB548" s="17"/>
      <c r="BF548" s="24"/>
      <c r="BG548" s="61"/>
      <c r="BH548" s="16"/>
      <c r="BI548" s="16"/>
      <c r="BJ548" s="16"/>
      <c r="BK548" s="16"/>
      <c r="BL548" s="16"/>
      <c r="BM548" s="17"/>
      <c r="BQ548" s="24"/>
      <c r="BR548" s="61"/>
      <c r="BS548" s="16"/>
      <c r="BT548" s="16"/>
      <c r="BU548" s="16"/>
      <c r="BV548" s="16"/>
      <c r="BW548" s="16"/>
      <c r="BX548" s="17"/>
      <c r="CB548" s="24"/>
      <c r="CC548" s="61"/>
      <c r="CD548" s="16"/>
      <c r="CE548" s="16"/>
      <c r="CF548" s="16"/>
      <c r="CG548" s="16"/>
      <c r="CH548" s="16"/>
      <c r="CI548" s="17"/>
      <c r="CM548" s="24"/>
      <c r="CN548" s="61"/>
      <c r="CO548" s="16"/>
      <c r="CP548" s="16"/>
      <c r="CQ548" s="16"/>
      <c r="CR548" s="16"/>
      <c r="CS548" s="16"/>
      <c r="CT548" s="17"/>
      <c r="CX548" s="24"/>
      <c r="CY548" s="60"/>
      <c r="CZ548" s="16"/>
      <c r="DA548" s="16"/>
      <c r="DB548" s="16"/>
      <c r="DC548" s="16"/>
      <c r="DD548" s="16"/>
      <c r="DE548" s="17"/>
      <c r="DI548" s="24"/>
      <c r="DJ548" s="60"/>
      <c r="DK548" s="16"/>
      <c r="DL548" s="16"/>
      <c r="DM548" s="16"/>
      <c r="DN548" s="16"/>
      <c r="DO548" s="16"/>
      <c r="DP548" s="17"/>
      <c r="DT548" s="24"/>
      <c r="DU548" s="60"/>
      <c r="DV548" s="16"/>
      <c r="DW548" s="16"/>
      <c r="DX548" s="16"/>
      <c r="DY548" s="16"/>
      <c r="DZ548" s="16"/>
      <c r="EA548" s="17"/>
      <c r="EE548" s="24"/>
      <c r="EF548" s="60"/>
      <c r="EG548" s="16"/>
      <c r="EH548" s="16"/>
      <c r="EI548" s="16"/>
      <c r="EJ548" s="16"/>
      <c r="EK548" s="16"/>
      <c r="EL548" s="17"/>
      <c r="EP548" s="24"/>
      <c r="EQ548" s="60"/>
      <c r="ER548" s="16"/>
      <c r="ES548" s="16"/>
      <c r="ET548" s="16"/>
      <c r="EU548" s="16"/>
      <c r="EV548" s="16"/>
      <c r="EW548" s="17"/>
      <c r="FA548" s="24"/>
      <c r="FB548" s="60"/>
      <c r="FC548" s="16"/>
      <c r="FD548" s="16"/>
      <c r="FE548" s="16"/>
      <c r="FF548" s="16"/>
      <c r="FG548" s="16"/>
      <c r="FH548" s="17"/>
      <c r="FL548" s="24"/>
      <c r="FM548" s="60"/>
      <c r="FN548" s="16"/>
      <c r="FO548" s="16"/>
      <c r="FP548" s="16"/>
      <c r="FQ548" s="16"/>
      <c r="FR548" s="16"/>
      <c r="FS548" s="17"/>
      <c r="FW548" s="24"/>
      <c r="FX548" s="60"/>
      <c r="FY548" s="16"/>
      <c r="FZ548" s="16"/>
      <c r="GA548" s="16"/>
      <c r="GB548" s="16"/>
      <c r="GC548" s="16"/>
      <c r="GD548" s="17"/>
      <c r="GH548" s="24"/>
      <c r="GI548" s="60"/>
      <c r="GJ548" s="16"/>
      <c r="GK548" s="16"/>
      <c r="GL548" s="16"/>
      <c r="GM548" s="16"/>
      <c r="GN548" s="16"/>
      <c r="GO548" s="17"/>
      <c r="GS548" s="24"/>
      <c r="GT548" s="60"/>
      <c r="GU548" s="16"/>
      <c r="GV548" s="16"/>
      <c r="GW548" s="16"/>
      <c r="GX548" s="16"/>
      <c r="GY548" s="16"/>
      <c r="GZ548" s="17"/>
      <c r="HD548" s="24"/>
      <c r="HE548" s="60"/>
      <c r="HF548" s="16"/>
      <c r="HG548" s="16"/>
      <c r="HH548" s="16"/>
      <c r="HI548" s="16"/>
      <c r="HJ548" s="16"/>
      <c r="HK548" s="17"/>
      <c r="HO548" s="24"/>
      <c r="HP548" s="60"/>
      <c r="HQ548" s="16"/>
      <c r="HR548" s="16"/>
      <c r="HS548" s="16"/>
      <c r="HT548" s="16"/>
      <c r="HU548" s="16"/>
      <c r="HV548" s="17"/>
      <c r="HZ548" s="24"/>
      <c r="IA548" s="60"/>
      <c r="IB548" s="16"/>
      <c r="IC548" s="16"/>
      <c r="ID548" s="16"/>
      <c r="IE548" s="16"/>
      <c r="IF548" s="16"/>
      <c r="IG548" s="17"/>
      <c r="IK548" s="24"/>
      <c r="IL548" s="60"/>
      <c r="IM548" s="16"/>
      <c r="IN548" s="16"/>
      <c r="IO548" s="16"/>
      <c r="IP548" s="16"/>
      <c r="IQ548" s="16"/>
      <c r="IR548" s="17"/>
      <c r="IV548" s="24"/>
      <c r="IW548" s="60"/>
      <c r="IX548" s="16"/>
      <c r="IY548" s="16"/>
      <c r="IZ548" s="16"/>
      <c r="JA548" s="16"/>
      <c r="JB548" s="16"/>
      <c r="JC548" s="17"/>
      <c r="JG548" s="24"/>
      <c r="JH548" s="60"/>
      <c r="JI548" s="16"/>
      <c r="JJ548" s="16"/>
      <c r="JK548" s="16"/>
      <c r="JL548" s="16"/>
      <c r="JM548" s="16"/>
      <c r="JN548" s="17"/>
      <c r="JR548" s="24"/>
      <c r="JS548" s="60"/>
      <c r="JT548" s="16"/>
      <c r="JU548" s="16"/>
      <c r="JV548" s="16"/>
      <c r="JW548" s="16"/>
      <c r="JX548" s="16"/>
      <c r="JY548" s="17"/>
      <c r="KC548" s="24"/>
      <c r="KD548" s="60"/>
      <c r="KE548" s="16"/>
      <c r="KF548" s="16"/>
      <c r="KG548" s="16"/>
      <c r="KH548" s="16"/>
      <c r="KI548" s="16"/>
      <c r="KJ548" s="17"/>
      <c r="KN548" s="24"/>
      <c r="KO548" s="60"/>
      <c r="KP548" s="16"/>
      <c r="KQ548" s="16"/>
      <c r="KR548" s="16"/>
      <c r="KS548" s="16"/>
      <c r="KT548" s="16"/>
      <c r="KU548" s="17"/>
      <c r="KY548" s="24"/>
      <c r="KZ548" s="60"/>
      <c r="LA548" s="16"/>
      <c r="LB548" s="16"/>
      <c r="LC548" s="16"/>
      <c r="LD548" s="16"/>
      <c r="LE548" s="16"/>
      <c r="LF548" s="17"/>
      <c r="LJ548" s="24"/>
      <c r="LK548" s="60"/>
      <c r="LL548" s="16"/>
      <c r="LM548" s="16"/>
      <c r="LN548" s="16"/>
      <c r="LO548" s="16"/>
      <c r="LP548" s="16"/>
      <c r="LQ548" s="17"/>
    </row>
    <row r="549">
      <c r="C549" s="31"/>
      <c r="D549" s="61"/>
      <c r="E549" s="16"/>
      <c r="F549" s="16"/>
      <c r="G549" s="21"/>
      <c r="H549" s="16"/>
      <c r="I549" s="16"/>
      <c r="J549" s="17"/>
      <c r="N549" s="17"/>
      <c r="O549" s="61"/>
      <c r="P549" s="16"/>
      <c r="Q549" s="16"/>
      <c r="R549" s="16"/>
      <c r="S549" s="16"/>
      <c r="T549" s="16"/>
      <c r="U549" s="17"/>
      <c r="Y549" s="24"/>
      <c r="Z549" s="61"/>
      <c r="AA549" s="16"/>
      <c r="AB549" s="16"/>
      <c r="AC549" s="16"/>
      <c r="AD549" s="16"/>
      <c r="AE549" s="16"/>
      <c r="AF549" s="17"/>
      <c r="AJ549" s="24"/>
      <c r="AK549" s="61"/>
      <c r="AL549" s="16"/>
      <c r="AM549" s="16"/>
      <c r="AN549" s="16"/>
      <c r="AO549" s="16"/>
      <c r="AP549" s="16"/>
      <c r="AQ549" s="17"/>
      <c r="AU549" s="24"/>
      <c r="AV549" s="61"/>
      <c r="AW549" s="16"/>
      <c r="AX549" s="16"/>
      <c r="AY549" s="16"/>
      <c r="AZ549" s="16"/>
      <c r="BA549" s="16"/>
      <c r="BB549" s="17"/>
      <c r="BF549" s="24"/>
      <c r="BG549" s="61"/>
      <c r="BH549" s="16"/>
      <c r="BI549" s="16"/>
      <c r="BJ549" s="16"/>
      <c r="BK549" s="16"/>
      <c r="BL549" s="16"/>
      <c r="BM549" s="17"/>
      <c r="BQ549" s="24"/>
      <c r="BR549" s="61"/>
      <c r="BS549" s="16"/>
      <c r="BT549" s="16"/>
      <c r="BU549" s="16"/>
      <c r="BV549" s="16"/>
      <c r="BW549" s="16"/>
      <c r="BX549" s="17"/>
      <c r="CB549" s="24"/>
      <c r="CC549" s="61"/>
      <c r="CD549" s="16"/>
      <c r="CE549" s="16"/>
      <c r="CF549" s="16"/>
      <c r="CG549" s="16"/>
      <c r="CH549" s="16"/>
      <c r="CI549" s="17"/>
      <c r="CM549" s="24"/>
      <c r="CN549" s="61"/>
      <c r="CO549" s="16"/>
      <c r="CP549" s="16"/>
      <c r="CQ549" s="16"/>
      <c r="CR549" s="16"/>
      <c r="CS549" s="16"/>
      <c r="CT549" s="17"/>
      <c r="CX549" s="24"/>
      <c r="CY549" s="60"/>
      <c r="CZ549" s="16"/>
      <c r="DA549" s="16"/>
      <c r="DB549" s="16"/>
      <c r="DC549" s="16"/>
      <c r="DD549" s="16"/>
      <c r="DE549" s="17"/>
      <c r="DI549" s="24"/>
      <c r="DJ549" s="60"/>
      <c r="DK549" s="16"/>
      <c r="DL549" s="16"/>
      <c r="DM549" s="16"/>
      <c r="DN549" s="16"/>
      <c r="DO549" s="16"/>
      <c r="DP549" s="17"/>
      <c r="DT549" s="24"/>
      <c r="DU549" s="60"/>
      <c r="DV549" s="16"/>
      <c r="DW549" s="16"/>
      <c r="DX549" s="16"/>
      <c r="DY549" s="16"/>
      <c r="DZ549" s="16"/>
      <c r="EA549" s="17"/>
      <c r="EE549" s="24"/>
      <c r="EF549" s="60"/>
      <c r="EG549" s="16"/>
      <c r="EH549" s="16"/>
      <c r="EI549" s="16"/>
      <c r="EJ549" s="16"/>
      <c r="EK549" s="16"/>
      <c r="EL549" s="17"/>
      <c r="EP549" s="24"/>
      <c r="EQ549" s="60"/>
      <c r="ER549" s="16"/>
      <c r="ES549" s="16"/>
      <c r="ET549" s="16"/>
      <c r="EU549" s="16"/>
      <c r="EV549" s="16"/>
      <c r="EW549" s="17"/>
      <c r="FA549" s="24"/>
      <c r="FB549" s="60"/>
      <c r="FC549" s="16"/>
      <c r="FD549" s="16"/>
      <c r="FE549" s="16"/>
      <c r="FF549" s="16"/>
      <c r="FG549" s="16"/>
      <c r="FH549" s="17"/>
      <c r="FL549" s="24"/>
      <c r="FM549" s="60"/>
      <c r="FN549" s="16"/>
      <c r="FO549" s="16"/>
      <c r="FP549" s="16"/>
      <c r="FQ549" s="16"/>
      <c r="FR549" s="16"/>
      <c r="FS549" s="17"/>
      <c r="FW549" s="24"/>
      <c r="FX549" s="60"/>
      <c r="FY549" s="16"/>
      <c r="FZ549" s="16"/>
      <c r="GA549" s="16"/>
      <c r="GB549" s="16"/>
      <c r="GC549" s="16"/>
      <c r="GD549" s="17"/>
      <c r="GH549" s="24"/>
      <c r="GI549" s="60"/>
      <c r="GJ549" s="16"/>
      <c r="GK549" s="16"/>
      <c r="GL549" s="16"/>
      <c r="GM549" s="16"/>
      <c r="GN549" s="16"/>
      <c r="GO549" s="17"/>
      <c r="GS549" s="24"/>
      <c r="GT549" s="60"/>
      <c r="GU549" s="16"/>
      <c r="GV549" s="16"/>
      <c r="GW549" s="16"/>
      <c r="GX549" s="16"/>
      <c r="GY549" s="16"/>
      <c r="GZ549" s="17"/>
      <c r="HD549" s="24"/>
      <c r="HE549" s="60"/>
      <c r="HF549" s="16"/>
      <c r="HG549" s="16"/>
      <c r="HH549" s="16"/>
      <c r="HI549" s="16"/>
      <c r="HJ549" s="16"/>
      <c r="HK549" s="17"/>
      <c r="HO549" s="24"/>
      <c r="HP549" s="60"/>
      <c r="HQ549" s="16"/>
      <c r="HR549" s="16"/>
      <c r="HS549" s="16"/>
      <c r="HT549" s="16"/>
      <c r="HU549" s="16"/>
      <c r="HV549" s="17"/>
      <c r="HZ549" s="24"/>
      <c r="IA549" s="60"/>
      <c r="IB549" s="16"/>
      <c r="IC549" s="16"/>
      <c r="ID549" s="16"/>
      <c r="IE549" s="16"/>
      <c r="IF549" s="16"/>
      <c r="IG549" s="17"/>
      <c r="IK549" s="24"/>
      <c r="IL549" s="60"/>
      <c r="IM549" s="16"/>
      <c r="IN549" s="16"/>
      <c r="IO549" s="16"/>
      <c r="IP549" s="16"/>
      <c r="IQ549" s="16"/>
      <c r="IR549" s="17"/>
      <c r="IV549" s="24"/>
      <c r="IW549" s="60"/>
      <c r="IX549" s="16"/>
      <c r="IY549" s="16"/>
      <c r="IZ549" s="16"/>
      <c r="JA549" s="16"/>
      <c r="JB549" s="16"/>
      <c r="JC549" s="17"/>
      <c r="JG549" s="24"/>
      <c r="JH549" s="60"/>
      <c r="JI549" s="16"/>
      <c r="JJ549" s="16"/>
      <c r="JK549" s="16"/>
      <c r="JL549" s="16"/>
      <c r="JM549" s="16"/>
      <c r="JN549" s="17"/>
      <c r="JR549" s="24"/>
      <c r="JS549" s="60"/>
      <c r="JT549" s="16"/>
      <c r="JU549" s="16"/>
      <c r="JV549" s="16"/>
      <c r="JW549" s="16"/>
      <c r="JX549" s="16"/>
      <c r="JY549" s="17"/>
      <c r="KC549" s="24"/>
      <c r="KD549" s="60"/>
      <c r="KE549" s="16"/>
      <c r="KF549" s="16"/>
      <c r="KG549" s="16"/>
      <c r="KH549" s="16"/>
      <c r="KI549" s="16"/>
      <c r="KJ549" s="17"/>
      <c r="KN549" s="24"/>
      <c r="KO549" s="60"/>
      <c r="KP549" s="16"/>
      <c r="KQ549" s="16"/>
      <c r="KR549" s="16"/>
      <c r="KS549" s="16"/>
      <c r="KT549" s="16"/>
      <c r="KU549" s="17"/>
      <c r="KY549" s="24"/>
      <c r="KZ549" s="60"/>
      <c r="LA549" s="16"/>
      <c r="LB549" s="16"/>
      <c r="LC549" s="16"/>
      <c r="LD549" s="16"/>
      <c r="LE549" s="16"/>
      <c r="LF549" s="17"/>
      <c r="LJ549" s="24"/>
      <c r="LK549" s="60"/>
      <c r="LL549" s="16"/>
      <c r="LM549" s="16"/>
      <c r="LN549" s="16"/>
      <c r="LO549" s="16"/>
      <c r="LP549" s="16"/>
      <c r="LQ549" s="17"/>
    </row>
    <row r="550">
      <c r="C550" s="31"/>
      <c r="D550" s="61"/>
      <c r="E550" s="16"/>
      <c r="F550" s="16"/>
      <c r="G550" s="21"/>
      <c r="H550" s="16"/>
      <c r="I550" s="16"/>
      <c r="J550" s="17"/>
      <c r="N550" s="17"/>
      <c r="O550" s="61"/>
      <c r="P550" s="16"/>
      <c r="Q550" s="16"/>
      <c r="R550" s="16"/>
      <c r="S550" s="16"/>
      <c r="T550" s="16"/>
      <c r="U550" s="17"/>
      <c r="Y550" s="24"/>
      <c r="Z550" s="61"/>
      <c r="AA550" s="16"/>
      <c r="AB550" s="16"/>
      <c r="AC550" s="16"/>
      <c r="AD550" s="16"/>
      <c r="AE550" s="16"/>
      <c r="AF550" s="17"/>
      <c r="AJ550" s="24"/>
      <c r="AK550" s="61"/>
      <c r="AL550" s="16"/>
      <c r="AM550" s="16"/>
      <c r="AN550" s="16"/>
      <c r="AO550" s="16"/>
      <c r="AP550" s="16"/>
      <c r="AQ550" s="17"/>
      <c r="AU550" s="24"/>
      <c r="AV550" s="61"/>
      <c r="AW550" s="16"/>
      <c r="AX550" s="16"/>
      <c r="AY550" s="16"/>
      <c r="AZ550" s="16"/>
      <c r="BA550" s="16"/>
      <c r="BB550" s="17"/>
      <c r="BF550" s="24"/>
      <c r="BG550" s="61"/>
      <c r="BH550" s="16"/>
      <c r="BI550" s="16"/>
      <c r="BJ550" s="16"/>
      <c r="BK550" s="16"/>
      <c r="BL550" s="16"/>
      <c r="BM550" s="17"/>
      <c r="BQ550" s="24"/>
      <c r="BR550" s="61"/>
      <c r="BS550" s="16"/>
      <c r="BT550" s="16"/>
      <c r="BU550" s="16"/>
      <c r="BV550" s="16"/>
      <c r="BW550" s="16"/>
      <c r="BX550" s="17"/>
      <c r="CB550" s="24"/>
      <c r="CC550" s="61"/>
      <c r="CD550" s="16"/>
      <c r="CE550" s="16"/>
      <c r="CF550" s="16"/>
      <c r="CG550" s="16"/>
      <c r="CH550" s="16"/>
      <c r="CI550" s="17"/>
      <c r="CM550" s="24"/>
      <c r="CN550" s="61"/>
      <c r="CO550" s="16"/>
      <c r="CP550" s="16"/>
      <c r="CQ550" s="16"/>
      <c r="CR550" s="16"/>
      <c r="CS550" s="16"/>
      <c r="CT550" s="17"/>
      <c r="CX550" s="24"/>
      <c r="CY550" s="60"/>
      <c r="CZ550" s="16"/>
      <c r="DA550" s="16"/>
      <c r="DB550" s="16"/>
      <c r="DC550" s="16"/>
      <c r="DD550" s="16"/>
      <c r="DE550" s="17"/>
      <c r="DI550" s="24"/>
      <c r="DJ550" s="60"/>
      <c r="DK550" s="16"/>
      <c r="DL550" s="16"/>
      <c r="DM550" s="16"/>
      <c r="DN550" s="16"/>
      <c r="DO550" s="16"/>
      <c r="DP550" s="17"/>
      <c r="DT550" s="24"/>
      <c r="DU550" s="60"/>
      <c r="DV550" s="16"/>
      <c r="DW550" s="16"/>
      <c r="DX550" s="16"/>
      <c r="DY550" s="16"/>
      <c r="DZ550" s="16"/>
      <c r="EA550" s="17"/>
      <c r="EE550" s="24"/>
      <c r="EF550" s="60"/>
      <c r="EG550" s="16"/>
      <c r="EH550" s="16"/>
      <c r="EI550" s="16"/>
      <c r="EJ550" s="16"/>
      <c r="EK550" s="16"/>
      <c r="EL550" s="17"/>
      <c r="EP550" s="24"/>
      <c r="EQ550" s="60"/>
      <c r="ER550" s="16"/>
      <c r="ES550" s="16"/>
      <c r="ET550" s="16"/>
      <c r="EU550" s="16"/>
      <c r="EV550" s="16"/>
      <c r="EW550" s="17"/>
      <c r="FA550" s="24"/>
      <c r="FB550" s="60"/>
      <c r="FC550" s="16"/>
      <c r="FD550" s="16"/>
      <c r="FE550" s="16"/>
      <c r="FF550" s="16"/>
      <c r="FG550" s="16"/>
      <c r="FH550" s="17"/>
      <c r="FL550" s="24"/>
      <c r="FM550" s="60"/>
      <c r="FN550" s="16"/>
      <c r="FO550" s="16"/>
      <c r="FP550" s="16"/>
      <c r="FQ550" s="16"/>
      <c r="FR550" s="16"/>
      <c r="FS550" s="17"/>
      <c r="FW550" s="24"/>
      <c r="FX550" s="60"/>
      <c r="FY550" s="16"/>
      <c r="FZ550" s="16"/>
      <c r="GA550" s="16"/>
      <c r="GB550" s="16"/>
      <c r="GC550" s="16"/>
      <c r="GD550" s="17"/>
      <c r="GH550" s="24"/>
      <c r="GI550" s="60"/>
      <c r="GJ550" s="16"/>
      <c r="GK550" s="16"/>
      <c r="GL550" s="16"/>
      <c r="GM550" s="16"/>
      <c r="GN550" s="16"/>
      <c r="GO550" s="17"/>
      <c r="GS550" s="24"/>
      <c r="GT550" s="60"/>
      <c r="GU550" s="16"/>
      <c r="GV550" s="16"/>
      <c r="GW550" s="16"/>
      <c r="GX550" s="16"/>
      <c r="GY550" s="16"/>
      <c r="GZ550" s="17"/>
      <c r="HD550" s="24"/>
      <c r="HE550" s="60"/>
      <c r="HF550" s="16"/>
      <c r="HG550" s="16"/>
      <c r="HH550" s="16"/>
      <c r="HI550" s="16"/>
      <c r="HJ550" s="16"/>
      <c r="HK550" s="17"/>
      <c r="HO550" s="24"/>
      <c r="HP550" s="60"/>
      <c r="HQ550" s="16"/>
      <c r="HR550" s="16"/>
      <c r="HS550" s="16"/>
      <c r="HT550" s="16"/>
      <c r="HU550" s="16"/>
      <c r="HV550" s="17"/>
      <c r="HZ550" s="24"/>
      <c r="IA550" s="60"/>
      <c r="IB550" s="16"/>
      <c r="IC550" s="16"/>
      <c r="ID550" s="16"/>
      <c r="IE550" s="16"/>
      <c r="IF550" s="16"/>
      <c r="IG550" s="17"/>
      <c r="IK550" s="24"/>
      <c r="IL550" s="60"/>
      <c r="IM550" s="16"/>
      <c r="IN550" s="16"/>
      <c r="IO550" s="16"/>
      <c r="IP550" s="16"/>
      <c r="IQ550" s="16"/>
      <c r="IR550" s="17"/>
      <c r="IV550" s="24"/>
      <c r="IW550" s="60"/>
      <c r="IX550" s="16"/>
      <c r="IY550" s="16"/>
      <c r="IZ550" s="16"/>
      <c r="JA550" s="16"/>
      <c r="JB550" s="16"/>
      <c r="JC550" s="17"/>
      <c r="JG550" s="24"/>
      <c r="JH550" s="60"/>
      <c r="JI550" s="16"/>
      <c r="JJ550" s="16"/>
      <c r="JK550" s="16"/>
      <c r="JL550" s="16"/>
      <c r="JM550" s="16"/>
      <c r="JN550" s="17"/>
      <c r="JR550" s="24"/>
      <c r="JS550" s="60"/>
      <c r="JT550" s="16"/>
      <c r="JU550" s="16"/>
      <c r="JV550" s="16"/>
      <c r="JW550" s="16"/>
      <c r="JX550" s="16"/>
      <c r="JY550" s="17"/>
      <c r="KC550" s="24"/>
      <c r="KD550" s="60"/>
      <c r="KE550" s="16"/>
      <c r="KF550" s="16"/>
      <c r="KG550" s="16"/>
      <c r="KH550" s="16"/>
      <c r="KI550" s="16"/>
      <c r="KJ550" s="17"/>
      <c r="KN550" s="24"/>
      <c r="KO550" s="60"/>
      <c r="KP550" s="16"/>
      <c r="KQ550" s="16"/>
      <c r="KR550" s="16"/>
      <c r="KS550" s="16"/>
      <c r="KT550" s="16"/>
      <c r="KU550" s="17"/>
      <c r="KY550" s="24"/>
      <c r="KZ550" s="60"/>
      <c r="LA550" s="16"/>
      <c r="LB550" s="16"/>
      <c r="LC550" s="16"/>
      <c r="LD550" s="16"/>
      <c r="LE550" s="16"/>
      <c r="LF550" s="17"/>
      <c r="LJ550" s="24"/>
      <c r="LK550" s="60"/>
      <c r="LL550" s="16"/>
      <c r="LM550" s="16"/>
      <c r="LN550" s="16"/>
      <c r="LO550" s="16"/>
      <c r="LP550" s="16"/>
      <c r="LQ550" s="17"/>
    </row>
    <row r="551">
      <c r="C551" s="31"/>
      <c r="D551" s="61"/>
      <c r="E551" s="16"/>
      <c r="F551" s="16"/>
      <c r="G551" s="21"/>
      <c r="H551" s="16"/>
      <c r="I551" s="16"/>
      <c r="J551" s="17"/>
      <c r="N551" s="17"/>
      <c r="O551" s="61"/>
      <c r="P551" s="16"/>
      <c r="Q551" s="16"/>
      <c r="R551" s="16"/>
      <c r="S551" s="16"/>
      <c r="T551" s="16"/>
      <c r="U551" s="17"/>
      <c r="Y551" s="24"/>
      <c r="Z551" s="61"/>
      <c r="AA551" s="16"/>
      <c r="AB551" s="16"/>
      <c r="AC551" s="16"/>
      <c r="AD551" s="16"/>
      <c r="AE551" s="16"/>
      <c r="AF551" s="17"/>
      <c r="AJ551" s="24"/>
      <c r="AK551" s="61"/>
      <c r="AL551" s="16"/>
      <c r="AM551" s="16"/>
      <c r="AN551" s="16"/>
      <c r="AO551" s="16"/>
      <c r="AP551" s="16"/>
      <c r="AQ551" s="17"/>
      <c r="AU551" s="24"/>
      <c r="AV551" s="61"/>
      <c r="AW551" s="16"/>
      <c r="AX551" s="16"/>
      <c r="AY551" s="16"/>
      <c r="AZ551" s="16"/>
      <c r="BA551" s="16"/>
      <c r="BB551" s="17"/>
      <c r="BF551" s="24"/>
      <c r="BG551" s="61"/>
      <c r="BH551" s="16"/>
      <c r="BI551" s="16"/>
      <c r="BJ551" s="16"/>
      <c r="BK551" s="16"/>
      <c r="BL551" s="16"/>
      <c r="BM551" s="17"/>
      <c r="BQ551" s="24"/>
      <c r="BR551" s="61"/>
      <c r="BS551" s="16"/>
      <c r="BT551" s="16"/>
      <c r="BU551" s="16"/>
      <c r="BV551" s="16"/>
      <c r="BW551" s="16"/>
      <c r="BX551" s="17"/>
      <c r="CB551" s="24"/>
      <c r="CC551" s="61"/>
      <c r="CD551" s="16"/>
      <c r="CE551" s="16"/>
      <c r="CF551" s="16"/>
      <c r="CG551" s="16"/>
      <c r="CH551" s="16"/>
      <c r="CI551" s="17"/>
      <c r="CM551" s="24"/>
      <c r="CN551" s="61"/>
      <c r="CO551" s="16"/>
      <c r="CP551" s="16"/>
      <c r="CQ551" s="16"/>
      <c r="CR551" s="16"/>
      <c r="CS551" s="16"/>
      <c r="CT551" s="17"/>
      <c r="CX551" s="24"/>
      <c r="CY551" s="60"/>
      <c r="CZ551" s="16"/>
      <c r="DA551" s="16"/>
      <c r="DB551" s="16"/>
      <c r="DC551" s="16"/>
      <c r="DD551" s="16"/>
      <c r="DE551" s="17"/>
      <c r="DI551" s="24"/>
      <c r="DJ551" s="60"/>
      <c r="DK551" s="16"/>
      <c r="DL551" s="16"/>
      <c r="DM551" s="16"/>
      <c r="DN551" s="16"/>
      <c r="DO551" s="16"/>
      <c r="DP551" s="17"/>
      <c r="DT551" s="24"/>
      <c r="DU551" s="60"/>
      <c r="DV551" s="16"/>
      <c r="DW551" s="16"/>
      <c r="DX551" s="16"/>
      <c r="DY551" s="16"/>
      <c r="DZ551" s="16"/>
      <c r="EA551" s="17"/>
      <c r="EE551" s="24"/>
      <c r="EF551" s="60"/>
      <c r="EG551" s="16"/>
      <c r="EH551" s="16"/>
      <c r="EI551" s="16"/>
      <c r="EJ551" s="16"/>
      <c r="EK551" s="16"/>
      <c r="EL551" s="17"/>
      <c r="EP551" s="24"/>
      <c r="EQ551" s="60"/>
      <c r="ER551" s="16"/>
      <c r="ES551" s="16"/>
      <c r="ET551" s="16"/>
      <c r="EU551" s="16"/>
      <c r="EV551" s="16"/>
      <c r="EW551" s="17"/>
      <c r="FA551" s="24"/>
      <c r="FB551" s="60"/>
      <c r="FC551" s="16"/>
      <c r="FD551" s="16"/>
      <c r="FE551" s="16"/>
      <c r="FF551" s="16"/>
      <c r="FG551" s="16"/>
      <c r="FH551" s="17"/>
      <c r="FL551" s="24"/>
      <c r="FM551" s="60"/>
      <c r="FN551" s="16"/>
      <c r="FO551" s="16"/>
      <c r="FP551" s="16"/>
      <c r="FQ551" s="16"/>
      <c r="FR551" s="16"/>
      <c r="FS551" s="17"/>
      <c r="FW551" s="24"/>
      <c r="FX551" s="60"/>
      <c r="FY551" s="16"/>
      <c r="FZ551" s="16"/>
      <c r="GA551" s="16"/>
      <c r="GB551" s="16"/>
      <c r="GC551" s="16"/>
      <c r="GD551" s="17"/>
      <c r="GH551" s="24"/>
      <c r="GI551" s="60"/>
      <c r="GJ551" s="16"/>
      <c r="GK551" s="16"/>
      <c r="GL551" s="16"/>
      <c r="GM551" s="16"/>
      <c r="GN551" s="16"/>
      <c r="GO551" s="17"/>
      <c r="GS551" s="24"/>
      <c r="GT551" s="60"/>
      <c r="GU551" s="16"/>
      <c r="GV551" s="16"/>
      <c r="GW551" s="16"/>
      <c r="GX551" s="16"/>
      <c r="GY551" s="16"/>
      <c r="GZ551" s="17"/>
      <c r="HD551" s="24"/>
      <c r="HE551" s="60"/>
      <c r="HF551" s="16"/>
      <c r="HG551" s="16"/>
      <c r="HH551" s="16"/>
      <c r="HI551" s="16"/>
      <c r="HJ551" s="16"/>
      <c r="HK551" s="17"/>
      <c r="HO551" s="24"/>
      <c r="HP551" s="60"/>
      <c r="HQ551" s="16"/>
      <c r="HR551" s="16"/>
      <c r="HS551" s="16"/>
      <c r="HT551" s="16"/>
      <c r="HU551" s="16"/>
      <c r="HV551" s="17"/>
      <c r="HZ551" s="24"/>
      <c r="IA551" s="60"/>
      <c r="IB551" s="16"/>
      <c r="IC551" s="16"/>
      <c r="ID551" s="16"/>
      <c r="IE551" s="16"/>
      <c r="IF551" s="16"/>
      <c r="IG551" s="17"/>
      <c r="IK551" s="24"/>
      <c r="IL551" s="60"/>
      <c r="IM551" s="16"/>
      <c r="IN551" s="16"/>
      <c r="IO551" s="16"/>
      <c r="IP551" s="16"/>
      <c r="IQ551" s="16"/>
      <c r="IR551" s="17"/>
      <c r="IV551" s="24"/>
      <c r="IW551" s="60"/>
      <c r="IX551" s="16"/>
      <c r="IY551" s="16"/>
      <c r="IZ551" s="16"/>
      <c r="JA551" s="16"/>
      <c r="JB551" s="16"/>
      <c r="JC551" s="17"/>
      <c r="JG551" s="24"/>
      <c r="JH551" s="60"/>
      <c r="JI551" s="16"/>
      <c r="JJ551" s="16"/>
      <c r="JK551" s="16"/>
      <c r="JL551" s="16"/>
      <c r="JM551" s="16"/>
      <c r="JN551" s="17"/>
      <c r="JR551" s="24"/>
      <c r="JS551" s="60"/>
      <c r="JT551" s="16"/>
      <c r="JU551" s="16"/>
      <c r="JV551" s="16"/>
      <c r="JW551" s="16"/>
      <c r="JX551" s="16"/>
      <c r="JY551" s="17"/>
      <c r="KC551" s="24"/>
      <c r="KD551" s="60"/>
      <c r="KE551" s="16"/>
      <c r="KF551" s="16"/>
      <c r="KG551" s="16"/>
      <c r="KH551" s="16"/>
      <c r="KI551" s="16"/>
      <c r="KJ551" s="17"/>
      <c r="KN551" s="24"/>
      <c r="KO551" s="60"/>
      <c r="KP551" s="16"/>
      <c r="KQ551" s="16"/>
      <c r="KR551" s="16"/>
      <c r="KS551" s="16"/>
      <c r="KT551" s="16"/>
      <c r="KU551" s="17"/>
      <c r="KY551" s="24"/>
      <c r="KZ551" s="60"/>
      <c r="LA551" s="16"/>
      <c r="LB551" s="16"/>
      <c r="LC551" s="16"/>
      <c r="LD551" s="16"/>
      <c r="LE551" s="16"/>
      <c r="LF551" s="17"/>
      <c r="LJ551" s="24"/>
      <c r="LK551" s="60"/>
      <c r="LL551" s="16"/>
      <c r="LM551" s="16"/>
      <c r="LN551" s="16"/>
      <c r="LO551" s="16"/>
      <c r="LP551" s="16"/>
      <c r="LQ551" s="17"/>
    </row>
    <row r="552">
      <c r="C552" s="31"/>
      <c r="D552" s="61"/>
      <c r="E552" s="16"/>
      <c r="F552" s="16"/>
      <c r="G552" s="21"/>
      <c r="H552" s="16"/>
      <c r="I552" s="16"/>
      <c r="J552" s="17"/>
      <c r="N552" s="17"/>
      <c r="O552" s="61"/>
      <c r="P552" s="16"/>
      <c r="Q552" s="16"/>
      <c r="R552" s="16"/>
      <c r="S552" s="16"/>
      <c r="T552" s="16"/>
      <c r="U552" s="17"/>
      <c r="Y552" s="24"/>
      <c r="Z552" s="61"/>
      <c r="AA552" s="16"/>
      <c r="AB552" s="16"/>
      <c r="AC552" s="16"/>
      <c r="AD552" s="16"/>
      <c r="AE552" s="16"/>
      <c r="AF552" s="17"/>
      <c r="AJ552" s="24"/>
      <c r="AK552" s="61"/>
      <c r="AL552" s="16"/>
      <c r="AM552" s="16"/>
      <c r="AN552" s="16"/>
      <c r="AO552" s="16"/>
      <c r="AP552" s="16"/>
      <c r="AQ552" s="17"/>
      <c r="AU552" s="24"/>
      <c r="AV552" s="61"/>
      <c r="AW552" s="16"/>
      <c r="AX552" s="16"/>
      <c r="AY552" s="16"/>
      <c r="AZ552" s="16"/>
      <c r="BA552" s="16"/>
      <c r="BB552" s="17"/>
      <c r="BF552" s="24"/>
      <c r="BG552" s="61"/>
      <c r="BH552" s="16"/>
      <c r="BI552" s="16"/>
      <c r="BJ552" s="16"/>
      <c r="BK552" s="16"/>
      <c r="BL552" s="16"/>
      <c r="BM552" s="17"/>
      <c r="BQ552" s="24"/>
      <c r="BR552" s="61"/>
      <c r="BS552" s="16"/>
      <c r="BT552" s="16"/>
      <c r="BU552" s="16"/>
      <c r="BV552" s="16"/>
      <c r="BW552" s="16"/>
      <c r="BX552" s="17"/>
      <c r="CB552" s="24"/>
      <c r="CC552" s="61"/>
      <c r="CD552" s="16"/>
      <c r="CE552" s="16"/>
      <c r="CF552" s="16"/>
      <c r="CG552" s="16"/>
      <c r="CH552" s="16"/>
      <c r="CI552" s="17"/>
      <c r="CM552" s="24"/>
      <c r="CN552" s="61"/>
      <c r="CO552" s="16"/>
      <c r="CP552" s="16"/>
      <c r="CQ552" s="16"/>
      <c r="CR552" s="16"/>
      <c r="CS552" s="16"/>
      <c r="CT552" s="17"/>
      <c r="CX552" s="24"/>
      <c r="CY552" s="60"/>
      <c r="CZ552" s="16"/>
      <c r="DA552" s="16"/>
      <c r="DB552" s="16"/>
      <c r="DC552" s="16"/>
      <c r="DD552" s="16"/>
      <c r="DE552" s="17"/>
      <c r="DI552" s="24"/>
      <c r="DJ552" s="60"/>
      <c r="DK552" s="16"/>
      <c r="DL552" s="16"/>
      <c r="DM552" s="16"/>
      <c r="DN552" s="16"/>
      <c r="DO552" s="16"/>
      <c r="DP552" s="17"/>
      <c r="DT552" s="24"/>
      <c r="DU552" s="60"/>
      <c r="DV552" s="16"/>
      <c r="DW552" s="16"/>
      <c r="DX552" s="16"/>
      <c r="DY552" s="16"/>
      <c r="DZ552" s="16"/>
      <c r="EA552" s="17"/>
      <c r="EE552" s="24"/>
      <c r="EF552" s="60"/>
      <c r="EG552" s="16"/>
      <c r="EH552" s="16"/>
      <c r="EI552" s="16"/>
      <c r="EJ552" s="16"/>
      <c r="EK552" s="16"/>
      <c r="EL552" s="17"/>
      <c r="EP552" s="24"/>
      <c r="EQ552" s="60"/>
      <c r="ER552" s="16"/>
      <c r="ES552" s="16"/>
      <c r="ET552" s="16"/>
      <c r="EU552" s="16"/>
      <c r="EV552" s="16"/>
      <c r="EW552" s="17"/>
      <c r="FA552" s="24"/>
      <c r="FB552" s="60"/>
      <c r="FC552" s="16"/>
      <c r="FD552" s="16"/>
      <c r="FE552" s="16"/>
      <c r="FF552" s="16"/>
      <c r="FG552" s="16"/>
      <c r="FH552" s="17"/>
      <c r="FL552" s="24"/>
      <c r="FM552" s="60"/>
      <c r="FN552" s="16"/>
      <c r="FO552" s="16"/>
      <c r="FP552" s="16"/>
      <c r="FQ552" s="16"/>
      <c r="FR552" s="16"/>
      <c r="FS552" s="17"/>
      <c r="FW552" s="24"/>
      <c r="FX552" s="60"/>
      <c r="FY552" s="16"/>
      <c r="FZ552" s="16"/>
      <c r="GA552" s="16"/>
      <c r="GB552" s="16"/>
      <c r="GC552" s="16"/>
      <c r="GD552" s="17"/>
      <c r="GH552" s="24"/>
      <c r="GI552" s="60"/>
      <c r="GJ552" s="16"/>
      <c r="GK552" s="16"/>
      <c r="GL552" s="16"/>
      <c r="GM552" s="16"/>
      <c r="GN552" s="16"/>
      <c r="GO552" s="17"/>
      <c r="GS552" s="24"/>
      <c r="GT552" s="60"/>
      <c r="GU552" s="16"/>
      <c r="GV552" s="16"/>
      <c r="GW552" s="16"/>
      <c r="GX552" s="16"/>
      <c r="GY552" s="16"/>
      <c r="GZ552" s="17"/>
      <c r="HD552" s="24"/>
      <c r="HE552" s="60"/>
      <c r="HF552" s="16"/>
      <c r="HG552" s="16"/>
      <c r="HH552" s="16"/>
      <c r="HI552" s="16"/>
      <c r="HJ552" s="16"/>
      <c r="HK552" s="17"/>
      <c r="HO552" s="24"/>
      <c r="HP552" s="60"/>
      <c r="HQ552" s="16"/>
      <c r="HR552" s="16"/>
      <c r="HS552" s="16"/>
      <c r="HT552" s="16"/>
      <c r="HU552" s="16"/>
      <c r="HV552" s="17"/>
      <c r="HZ552" s="24"/>
      <c r="IA552" s="60"/>
      <c r="IB552" s="16"/>
      <c r="IC552" s="16"/>
      <c r="ID552" s="16"/>
      <c r="IE552" s="16"/>
      <c r="IF552" s="16"/>
      <c r="IG552" s="17"/>
      <c r="IK552" s="24"/>
      <c r="IL552" s="60"/>
      <c r="IM552" s="16"/>
      <c r="IN552" s="16"/>
      <c r="IO552" s="16"/>
      <c r="IP552" s="16"/>
      <c r="IQ552" s="16"/>
      <c r="IR552" s="17"/>
      <c r="IV552" s="24"/>
      <c r="IW552" s="60"/>
      <c r="IX552" s="16"/>
      <c r="IY552" s="16"/>
      <c r="IZ552" s="16"/>
      <c r="JA552" s="16"/>
      <c r="JB552" s="16"/>
      <c r="JC552" s="17"/>
      <c r="JG552" s="24"/>
      <c r="JH552" s="60"/>
      <c r="JI552" s="16"/>
      <c r="JJ552" s="16"/>
      <c r="JK552" s="16"/>
      <c r="JL552" s="16"/>
      <c r="JM552" s="16"/>
      <c r="JN552" s="17"/>
      <c r="JR552" s="24"/>
      <c r="JS552" s="60"/>
      <c r="JT552" s="16"/>
      <c r="JU552" s="16"/>
      <c r="JV552" s="16"/>
      <c r="JW552" s="16"/>
      <c r="JX552" s="16"/>
      <c r="JY552" s="17"/>
      <c r="KC552" s="24"/>
      <c r="KD552" s="60"/>
      <c r="KE552" s="16"/>
      <c r="KF552" s="16"/>
      <c r="KG552" s="16"/>
      <c r="KH552" s="16"/>
      <c r="KI552" s="16"/>
      <c r="KJ552" s="17"/>
      <c r="KN552" s="24"/>
      <c r="KO552" s="60"/>
      <c r="KP552" s="16"/>
      <c r="KQ552" s="16"/>
      <c r="KR552" s="16"/>
      <c r="KS552" s="16"/>
      <c r="KT552" s="16"/>
      <c r="KU552" s="17"/>
      <c r="KY552" s="24"/>
      <c r="KZ552" s="60"/>
      <c r="LA552" s="16"/>
      <c r="LB552" s="16"/>
      <c r="LC552" s="16"/>
      <c r="LD552" s="16"/>
      <c r="LE552" s="16"/>
      <c r="LF552" s="17"/>
      <c r="LJ552" s="24"/>
      <c r="LK552" s="60"/>
      <c r="LL552" s="16"/>
      <c r="LM552" s="16"/>
      <c r="LN552" s="16"/>
      <c r="LO552" s="16"/>
      <c r="LP552" s="16"/>
      <c r="LQ552" s="17"/>
    </row>
    <row r="553">
      <c r="C553" s="31"/>
      <c r="D553" s="61"/>
      <c r="E553" s="16"/>
      <c r="F553" s="16"/>
      <c r="G553" s="21"/>
      <c r="H553" s="16"/>
      <c r="I553" s="16"/>
      <c r="J553" s="17"/>
      <c r="N553" s="17"/>
      <c r="O553" s="61"/>
      <c r="P553" s="16"/>
      <c r="Q553" s="16"/>
      <c r="R553" s="16"/>
      <c r="S553" s="16"/>
      <c r="T553" s="16"/>
      <c r="U553" s="17"/>
      <c r="Y553" s="24"/>
      <c r="Z553" s="61"/>
      <c r="AA553" s="16"/>
      <c r="AB553" s="16"/>
      <c r="AC553" s="16"/>
      <c r="AD553" s="16"/>
      <c r="AE553" s="16"/>
      <c r="AF553" s="17"/>
      <c r="AJ553" s="24"/>
      <c r="AK553" s="61"/>
      <c r="AL553" s="16"/>
      <c r="AM553" s="16"/>
      <c r="AN553" s="16"/>
      <c r="AO553" s="16"/>
      <c r="AP553" s="16"/>
      <c r="AQ553" s="17"/>
      <c r="AU553" s="24"/>
      <c r="AV553" s="61"/>
      <c r="AW553" s="16"/>
      <c r="AX553" s="16"/>
      <c r="AY553" s="16"/>
      <c r="AZ553" s="16"/>
      <c r="BA553" s="16"/>
      <c r="BB553" s="17"/>
      <c r="BF553" s="24"/>
      <c r="BG553" s="61"/>
      <c r="BH553" s="16"/>
      <c r="BI553" s="16"/>
      <c r="BJ553" s="16"/>
      <c r="BK553" s="16"/>
      <c r="BL553" s="16"/>
      <c r="BM553" s="17"/>
      <c r="BQ553" s="24"/>
      <c r="BR553" s="61"/>
      <c r="BS553" s="16"/>
      <c r="BT553" s="16"/>
      <c r="BU553" s="16"/>
      <c r="BV553" s="16"/>
      <c r="BW553" s="16"/>
      <c r="BX553" s="17"/>
      <c r="CB553" s="24"/>
      <c r="CC553" s="61"/>
      <c r="CD553" s="16"/>
      <c r="CE553" s="16"/>
      <c r="CF553" s="16"/>
      <c r="CG553" s="16"/>
      <c r="CH553" s="16"/>
      <c r="CI553" s="17"/>
      <c r="CM553" s="24"/>
      <c r="CN553" s="61"/>
      <c r="CO553" s="16"/>
      <c r="CP553" s="16"/>
      <c r="CQ553" s="16"/>
      <c r="CR553" s="16"/>
      <c r="CS553" s="16"/>
      <c r="CT553" s="17"/>
      <c r="CX553" s="24"/>
      <c r="CY553" s="60"/>
      <c r="CZ553" s="16"/>
      <c r="DA553" s="16"/>
      <c r="DB553" s="16"/>
      <c r="DC553" s="16"/>
      <c r="DD553" s="16"/>
      <c r="DE553" s="17"/>
      <c r="DI553" s="24"/>
      <c r="DJ553" s="60"/>
      <c r="DK553" s="16"/>
      <c r="DL553" s="16"/>
      <c r="DM553" s="16"/>
      <c r="DN553" s="16"/>
      <c r="DO553" s="16"/>
      <c r="DP553" s="17"/>
      <c r="DT553" s="24"/>
      <c r="DU553" s="60"/>
      <c r="DV553" s="16"/>
      <c r="DW553" s="16"/>
      <c r="DX553" s="16"/>
      <c r="DY553" s="16"/>
      <c r="DZ553" s="16"/>
      <c r="EA553" s="17"/>
      <c r="EE553" s="24"/>
      <c r="EF553" s="60"/>
      <c r="EG553" s="16"/>
      <c r="EH553" s="16"/>
      <c r="EI553" s="16"/>
      <c r="EJ553" s="16"/>
      <c r="EK553" s="16"/>
      <c r="EL553" s="17"/>
      <c r="EP553" s="24"/>
      <c r="EQ553" s="60"/>
      <c r="ER553" s="16"/>
      <c r="ES553" s="16"/>
      <c r="ET553" s="16"/>
      <c r="EU553" s="16"/>
      <c r="EV553" s="16"/>
      <c r="EW553" s="17"/>
      <c r="FA553" s="24"/>
      <c r="FB553" s="60"/>
      <c r="FC553" s="16"/>
      <c r="FD553" s="16"/>
      <c r="FE553" s="16"/>
      <c r="FF553" s="16"/>
      <c r="FG553" s="16"/>
      <c r="FH553" s="17"/>
      <c r="FL553" s="24"/>
      <c r="FM553" s="60"/>
      <c r="FN553" s="16"/>
      <c r="FO553" s="16"/>
      <c r="FP553" s="16"/>
      <c r="FQ553" s="16"/>
      <c r="FR553" s="16"/>
      <c r="FS553" s="17"/>
      <c r="FW553" s="24"/>
      <c r="FX553" s="60"/>
      <c r="FY553" s="16"/>
      <c r="FZ553" s="16"/>
      <c r="GA553" s="16"/>
      <c r="GB553" s="16"/>
      <c r="GC553" s="16"/>
      <c r="GD553" s="17"/>
      <c r="GH553" s="24"/>
      <c r="GI553" s="60"/>
      <c r="GJ553" s="16"/>
      <c r="GK553" s="16"/>
      <c r="GL553" s="16"/>
      <c r="GM553" s="16"/>
      <c r="GN553" s="16"/>
      <c r="GO553" s="17"/>
      <c r="GS553" s="24"/>
      <c r="GT553" s="60"/>
      <c r="GU553" s="16"/>
      <c r="GV553" s="16"/>
      <c r="GW553" s="16"/>
      <c r="GX553" s="16"/>
      <c r="GY553" s="16"/>
      <c r="GZ553" s="17"/>
      <c r="HD553" s="24"/>
      <c r="HE553" s="60"/>
      <c r="HF553" s="16"/>
      <c r="HG553" s="16"/>
      <c r="HH553" s="16"/>
      <c r="HI553" s="16"/>
      <c r="HJ553" s="16"/>
      <c r="HK553" s="17"/>
      <c r="HO553" s="24"/>
      <c r="HP553" s="60"/>
      <c r="HQ553" s="16"/>
      <c r="HR553" s="16"/>
      <c r="HS553" s="16"/>
      <c r="HT553" s="16"/>
      <c r="HU553" s="16"/>
      <c r="HV553" s="17"/>
      <c r="HZ553" s="24"/>
      <c r="IA553" s="60"/>
      <c r="IB553" s="16"/>
      <c r="IC553" s="16"/>
      <c r="ID553" s="16"/>
      <c r="IE553" s="16"/>
      <c r="IF553" s="16"/>
      <c r="IG553" s="17"/>
      <c r="IK553" s="24"/>
      <c r="IL553" s="60"/>
      <c r="IM553" s="16"/>
      <c r="IN553" s="16"/>
      <c r="IO553" s="16"/>
      <c r="IP553" s="16"/>
      <c r="IQ553" s="16"/>
      <c r="IR553" s="17"/>
      <c r="IV553" s="24"/>
      <c r="IW553" s="60"/>
      <c r="IX553" s="16"/>
      <c r="IY553" s="16"/>
      <c r="IZ553" s="16"/>
      <c r="JA553" s="16"/>
      <c r="JB553" s="16"/>
      <c r="JC553" s="17"/>
      <c r="JG553" s="24"/>
      <c r="JH553" s="60"/>
      <c r="JI553" s="16"/>
      <c r="JJ553" s="16"/>
      <c r="JK553" s="16"/>
      <c r="JL553" s="16"/>
      <c r="JM553" s="16"/>
      <c r="JN553" s="17"/>
      <c r="JR553" s="24"/>
      <c r="JS553" s="60"/>
      <c r="JT553" s="16"/>
      <c r="JU553" s="16"/>
      <c r="JV553" s="16"/>
      <c r="JW553" s="16"/>
      <c r="JX553" s="16"/>
      <c r="JY553" s="17"/>
      <c r="KC553" s="24"/>
      <c r="KD553" s="60"/>
      <c r="KE553" s="16"/>
      <c r="KF553" s="16"/>
      <c r="KG553" s="16"/>
      <c r="KH553" s="16"/>
      <c r="KI553" s="16"/>
      <c r="KJ553" s="17"/>
      <c r="KN553" s="24"/>
      <c r="KO553" s="60"/>
      <c r="KP553" s="16"/>
      <c r="KQ553" s="16"/>
      <c r="KR553" s="16"/>
      <c r="KS553" s="16"/>
      <c r="KT553" s="16"/>
      <c r="KU553" s="17"/>
      <c r="KY553" s="24"/>
      <c r="KZ553" s="60"/>
      <c r="LA553" s="16"/>
      <c r="LB553" s="16"/>
      <c r="LC553" s="16"/>
      <c r="LD553" s="16"/>
      <c r="LE553" s="16"/>
      <c r="LF553" s="17"/>
      <c r="LJ553" s="24"/>
      <c r="LK553" s="60"/>
      <c r="LL553" s="16"/>
      <c r="LM553" s="16"/>
      <c r="LN553" s="16"/>
      <c r="LO553" s="16"/>
      <c r="LP553" s="16"/>
      <c r="LQ553" s="17"/>
    </row>
    <row r="554">
      <c r="C554" s="31"/>
      <c r="D554" s="61"/>
      <c r="E554" s="16"/>
      <c r="F554" s="16"/>
      <c r="G554" s="21"/>
      <c r="H554" s="16"/>
      <c r="I554" s="16"/>
      <c r="J554" s="17"/>
      <c r="N554" s="17"/>
      <c r="O554" s="61"/>
      <c r="P554" s="16"/>
      <c r="Q554" s="16"/>
      <c r="R554" s="16"/>
      <c r="S554" s="16"/>
      <c r="T554" s="16"/>
      <c r="U554" s="17"/>
      <c r="Y554" s="24"/>
      <c r="Z554" s="61"/>
      <c r="AA554" s="16"/>
      <c r="AB554" s="16"/>
      <c r="AC554" s="16"/>
      <c r="AD554" s="16"/>
      <c r="AE554" s="16"/>
      <c r="AF554" s="17"/>
      <c r="AJ554" s="24"/>
      <c r="AK554" s="61"/>
      <c r="AL554" s="16"/>
      <c r="AM554" s="16"/>
      <c r="AN554" s="16"/>
      <c r="AO554" s="16"/>
      <c r="AP554" s="16"/>
      <c r="AQ554" s="17"/>
      <c r="AU554" s="24"/>
      <c r="AV554" s="61"/>
      <c r="AW554" s="16"/>
      <c r="AX554" s="16"/>
      <c r="AY554" s="16"/>
      <c r="AZ554" s="16"/>
      <c r="BA554" s="16"/>
      <c r="BB554" s="17"/>
      <c r="BF554" s="24"/>
      <c r="BG554" s="61"/>
      <c r="BH554" s="16"/>
      <c r="BI554" s="16"/>
      <c r="BJ554" s="16"/>
      <c r="BK554" s="16"/>
      <c r="BL554" s="16"/>
      <c r="BM554" s="17"/>
      <c r="BQ554" s="24"/>
      <c r="BR554" s="61"/>
      <c r="BS554" s="16"/>
      <c r="BT554" s="16"/>
      <c r="BU554" s="16"/>
      <c r="BV554" s="16"/>
      <c r="BW554" s="16"/>
      <c r="BX554" s="17"/>
      <c r="CB554" s="24"/>
      <c r="CC554" s="61"/>
      <c r="CD554" s="16"/>
      <c r="CE554" s="16"/>
      <c r="CF554" s="16"/>
      <c r="CG554" s="16"/>
      <c r="CH554" s="16"/>
      <c r="CI554" s="17"/>
      <c r="CM554" s="24"/>
      <c r="CN554" s="61"/>
      <c r="CO554" s="16"/>
      <c r="CP554" s="16"/>
      <c r="CQ554" s="16"/>
      <c r="CR554" s="16"/>
      <c r="CS554" s="16"/>
      <c r="CT554" s="17"/>
      <c r="CX554" s="24"/>
      <c r="CY554" s="60"/>
      <c r="CZ554" s="16"/>
      <c r="DA554" s="16"/>
      <c r="DB554" s="16"/>
      <c r="DC554" s="16"/>
      <c r="DD554" s="16"/>
      <c r="DE554" s="17"/>
      <c r="DI554" s="24"/>
      <c r="DJ554" s="60"/>
      <c r="DK554" s="16"/>
      <c r="DL554" s="16"/>
      <c r="DM554" s="16"/>
      <c r="DN554" s="16"/>
      <c r="DO554" s="16"/>
      <c r="DP554" s="17"/>
      <c r="DT554" s="24"/>
      <c r="DU554" s="60"/>
      <c r="DV554" s="16"/>
      <c r="DW554" s="16"/>
      <c r="DX554" s="16"/>
      <c r="DY554" s="16"/>
      <c r="DZ554" s="16"/>
      <c r="EA554" s="17"/>
      <c r="EE554" s="24"/>
      <c r="EF554" s="60"/>
      <c r="EG554" s="16"/>
      <c r="EH554" s="16"/>
      <c r="EI554" s="16"/>
      <c r="EJ554" s="16"/>
      <c r="EK554" s="16"/>
      <c r="EL554" s="17"/>
      <c r="EP554" s="24"/>
      <c r="EQ554" s="60"/>
      <c r="ER554" s="16"/>
      <c r="ES554" s="16"/>
      <c r="ET554" s="16"/>
      <c r="EU554" s="16"/>
      <c r="EV554" s="16"/>
      <c r="EW554" s="17"/>
      <c r="FA554" s="24"/>
      <c r="FB554" s="60"/>
      <c r="FC554" s="16"/>
      <c r="FD554" s="16"/>
      <c r="FE554" s="16"/>
      <c r="FF554" s="16"/>
      <c r="FG554" s="16"/>
      <c r="FH554" s="17"/>
      <c r="FL554" s="24"/>
      <c r="FM554" s="60"/>
      <c r="FN554" s="16"/>
      <c r="FO554" s="16"/>
      <c r="FP554" s="16"/>
      <c r="FQ554" s="16"/>
      <c r="FR554" s="16"/>
      <c r="FS554" s="17"/>
      <c r="FW554" s="24"/>
      <c r="FX554" s="60"/>
      <c r="FY554" s="16"/>
      <c r="FZ554" s="16"/>
      <c r="GA554" s="16"/>
      <c r="GB554" s="16"/>
      <c r="GC554" s="16"/>
      <c r="GD554" s="17"/>
      <c r="GH554" s="24"/>
      <c r="GI554" s="60"/>
      <c r="GJ554" s="16"/>
      <c r="GK554" s="16"/>
      <c r="GL554" s="16"/>
      <c r="GM554" s="16"/>
      <c r="GN554" s="16"/>
      <c r="GO554" s="17"/>
      <c r="GS554" s="24"/>
      <c r="GT554" s="60"/>
      <c r="GU554" s="16"/>
      <c r="GV554" s="16"/>
      <c r="GW554" s="16"/>
      <c r="GX554" s="16"/>
      <c r="GY554" s="16"/>
      <c r="GZ554" s="17"/>
      <c r="HD554" s="24"/>
      <c r="HE554" s="60"/>
      <c r="HF554" s="16"/>
      <c r="HG554" s="16"/>
      <c r="HH554" s="16"/>
      <c r="HI554" s="16"/>
      <c r="HJ554" s="16"/>
      <c r="HK554" s="17"/>
      <c r="HO554" s="24"/>
      <c r="HP554" s="60"/>
      <c r="HQ554" s="16"/>
      <c r="HR554" s="16"/>
      <c r="HS554" s="16"/>
      <c r="HT554" s="16"/>
      <c r="HU554" s="16"/>
      <c r="HV554" s="17"/>
      <c r="HZ554" s="24"/>
      <c r="IA554" s="60"/>
      <c r="IB554" s="16"/>
      <c r="IC554" s="16"/>
      <c r="ID554" s="16"/>
      <c r="IE554" s="16"/>
      <c r="IF554" s="16"/>
      <c r="IG554" s="17"/>
      <c r="IK554" s="24"/>
      <c r="IL554" s="60"/>
      <c r="IM554" s="16"/>
      <c r="IN554" s="16"/>
      <c r="IO554" s="16"/>
      <c r="IP554" s="16"/>
      <c r="IQ554" s="16"/>
      <c r="IR554" s="17"/>
      <c r="IV554" s="24"/>
      <c r="IW554" s="60"/>
      <c r="IX554" s="16"/>
      <c r="IY554" s="16"/>
      <c r="IZ554" s="16"/>
      <c r="JA554" s="16"/>
      <c r="JB554" s="16"/>
      <c r="JC554" s="17"/>
      <c r="JG554" s="24"/>
      <c r="JH554" s="60"/>
      <c r="JI554" s="16"/>
      <c r="JJ554" s="16"/>
      <c r="JK554" s="16"/>
      <c r="JL554" s="16"/>
      <c r="JM554" s="16"/>
      <c r="JN554" s="17"/>
      <c r="JR554" s="24"/>
      <c r="JS554" s="60"/>
      <c r="JT554" s="16"/>
      <c r="JU554" s="16"/>
      <c r="JV554" s="16"/>
      <c r="JW554" s="16"/>
      <c r="JX554" s="16"/>
      <c r="JY554" s="17"/>
      <c r="KC554" s="24"/>
      <c r="KD554" s="60"/>
      <c r="KE554" s="16"/>
      <c r="KF554" s="16"/>
      <c r="KG554" s="16"/>
      <c r="KH554" s="16"/>
      <c r="KI554" s="16"/>
      <c r="KJ554" s="17"/>
      <c r="KN554" s="24"/>
      <c r="KO554" s="60"/>
      <c r="KP554" s="16"/>
      <c r="KQ554" s="16"/>
      <c r="KR554" s="16"/>
      <c r="KS554" s="16"/>
      <c r="KT554" s="16"/>
      <c r="KU554" s="17"/>
      <c r="KY554" s="24"/>
      <c r="KZ554" s="60"/>
      <c r="LA554" s="16"/>
      <c r="LB554" s="16"/>
      <c r="LC554" s="16"/>
      <c r="LD554" s="16"/>
      <c r="LE554" s="16"/>
      <c r="LF554" s="17"/>
      <c r="LJ554" s="24"/>
      <c r="LK554" s="60"/>
      <c r="LL554" s="16"/>
      <c r="LM554" s="16"/>
      <c r="LN554" s="16"/>
      <c r="LO554" s="16"/>
      <c r="LP554" s="16"/>
      <c r="LQ554" s="17"/>
    </row>
    <row r="555">
      <c r="C555" s="31"/>
      <c r="D555" s="61"/>
      <c r="E555" s="16"/>
      <c r="F555" s="16"/>
      <c r="G555" s="21"/>
      <c r="H555" s="16"/>
      <c r="I555" s="16"/>
      <c r="J555" s="17"/>
      <c r="N555" s="17"/>
      <c r="O555" s="61"/>
      <c r="P555" s="16"/>
      <c r="Q555" s="16"/>
      <c r="R555" s="16"/>
      <c r="S555" s="16"/>
      <c r="T555" s="16"/>
      <c r="U555" s="17"/>
      <c r="Y555" s="24"/>
      <c r="Z555" s="61"/>
      <c r="AA555" s="16"/>
      <c r="AB555" s="16"/>
      <c r="AC555" s="16"/>
      <c r="AD555" s="16"/>
      <c r="AE555" s="16"/>
      <c r="AF555" s="17"/>
      <c r="AJ555" s="24"/>
      <c r="AK555" s="61"/>
      <c r="AL555" s="16"/>
      <c r="AM555" s="16"/>
      <c r="AN555" s="16"/>
      <c r="AO555" s="16"/>
      <c r="AP555" s="16"/>
      <c r="AQ555" s="17"/>
      <c r="AU555" s="24"/>
      <c r="AV555" s="61"/>
      <c r="AW555" s="16"/>
      <c r="AX555" s="16"/>
      <c r="AY555" s="16"/>
      <c r="AZ555" s="16"/>
      <c r="BA555" s="16"/>
      <c r="BB555" s="17"/>
      <c r="BF555" s="24"/>
      <c r="BG555" s="61"/>
      <c r="BH555" s="16"/>
      <c r="BI555" s="16"/>
      <c r="BJ555" s="16"/>
      <c r="BK555" s="16"/>
      <c r="BL555" s="16"/>
      <c r="BM555" s="17"/>
      <c r="BQ555" s="24"/>
      <c r="BR555" s="61"/>
      <c r="BS555" s="16"/>
      <c r="BT555" s="16"/>
      <c r="BU555" s="16"/>
      <c r="BV555" s="16"/>
      <c r="BW555" s="16"/>
      <c r="BX555" s="17"/>
      <c r="CB555" s="24"/>
      <c r="CC555" s="61"/>
      <c r="CD555" s="16"/>
      <c r="CE555" s="16"/>
      <c r="CF555" s="16"/>
      <c r="CG555" s="16"/>
      <c r="CH555" s="16"/>
      <c r="CI555" s="17"/>
      <c r="CM555" s="24"/>
      <c r="CN555" s="61"/>
      <c r="CO555" s="16"/>
      <c r="CP555" s="16"/>
      <c r="CQ555" s="16"/>
      <c r="CR555" s="16"/>
      <c r="CS555" s="16"/>
      <c r="CT555" s="17"/>
      <c r="CX555" s="24"/>
      <c r="CY555" s="60"/>
      <c r="CZ555" s="16"/>
      <c r="DA555" s="16"/>
      <c r="DB555" s="16"/>
      <c r="DC555" s="16"/>
      <c r="DD555" s="16"/>
      <c r="DE555" s="17"/>
      <c r="DI555" s="24"/>
      <c r="DJ555" s="60"/>
      <c r="DK555" s="16"/>
      <c r="DL555" s="16"/>
      <c r="DM555" s="16"/>
      <c r="DN555" s="16"/>
      <c r="DO555" s="16"/>
      <c r="DP555" s="17"/>
      <c r="DT555" s="24"/>
      <c r="DU555" s="60"/>
      <c r="DV555" s="16"/>
      <c r="DW555" s="16"/>
      <c r="DX555" s="16"/>
      <c r="DY555" s="16"/>
      <c r="DZ555" s="16"/>
      <c r="EA555" s="17"/>
      <c r="EE555" s="24"/>
      <c r="EF555" s="60"/>
      <c r="EG555" s="16"/>
      <c r="EH555" s="16"/>
      <c r="EI555" s="16"/>
      <c r="EJ555" s="16"/>
      <c r="EK555" s="16"/>
      <c r="EL555" s="17"/>
      <c r="EP555" s="24"/>
      <c r="EQ555" s="60"/>
      <c r="ER555" s="16"/>
      <c r="ES555" s="16"/>
      <c r="ET555" s="16"/>
      <c r="EU555" s="16"/>
      <c r="EV555" s="16"/>
      <c r="EW555" s="17"/>
      <c r="FA555" s="24"/>
      <c r="FB555" s="60"/>
      <c r="FC555" s="16"/>
      <c r="FD555" s="16"/>
      <c r="FE555" s="16"/>
      <c r="FF555" s="16"/>
      <c r="FG555" s="16"/>
      <c r="FH555" s="17"/>
      <c r="FL555" s="24"/>
      <c r="FM555" s="60"/>
      <c r="FN555" s="16"/>
      <c r="FO555" s="16"/>
      <c r="FP555" s="16"/>
      <c r="FQ555" s="16"/>
      <c r="FR555" s="16"/>
      <c r="FS555" s="17"/>
      <c r="FW555" s="24"/>
      <c r="FX555" s="60"/>
      <c r="FY555" s="16"/>
      <c r="FZ555" s="16"/>
      <c r="GA555" s="16"/>
      <c r="GB555" s="16"/>
      <c r="GC555" s="16"/>
      <c r="GD555" s="17"/>
      <c r="GH555" s="24"/>
      <c r="GI555" s="60"/>
      <c r="GJ555" s="16"/>
      <c r="GK555" s="16"/>
      <c r="GL555" s="16"/>
      <c r="GM555" s="16"/>
      <c r="GN555" s="16"/>
      <c r="GO555" s="17"/>
      <c r="GS555" s="24"/>
      <c r="GT555" s="60"/>
      <c r="GU555" s="16"/>
      <c r="GV555" s="16"/>
      <c r="GW555" s="16"/>
      <c r="GX555" s="16"/>
      <c r="GY555" s="16"/>
      <c r="GZ555" s="17"/>
      <c r="HD555" s="24"/>
      <c r="HE555" s="60"/>
      <c r="HF555" s="16"/>
      <c r="HG555" s="16"/>
      <c r="HH555" s="16"/>
      <c r="HI555" s="16"/>
      <c r="HJ555" s="16"/>
      <c r="HK555" s="17"/>
      <c r="HO555" s="24"/>
      <c r="HP555" s="60"/>
      <c r="HQ555" s="16"/>
      <c r="HR555" s="16"/>
      <c r="HS555" s="16"/>
      <c r="HT555" s="16"/>
      <c r="HU555" s="16"/>
      <c r="HV555" s="17"/>
      <c r="HZ555" s="24"/>
      <c r="IA555" s="60"/>
      <c r="IB555" s="16"/>
      <c r="IC555" s="16"/>
      <c r="ID555" s="16"/>
      <c r="IE555" s="16"/>
      <c r="IF555" s="16"/>
      <c r="IG555" s="17"/>
      <c r="IK555" s="24"/>
      <c r="IL555" s="60"/>
      <c r="IM555" s="16"/>
      <c r="IN555" s="16"/>
      <c r="IO555" s="16"/>
      <c r="IP555" s="16"/>
      <c r="IQ555" s="16"/>
      <c r="IR555" s="17"/>
      <c r="IV555" s="24"/>
      <c r="IW555" s="60"/>
      <c r="IX555" s="16"/>
      <c r="IY555" s="16"/>
      <c r="IZ555" s="16"/>
      <c r="JA555" s="16"/>
      <c r="JB555" s="16"/>
      <c r="JC555" s="17"/>
      <c r="JG555" s="24"/>
      <c r="JH555" s="60"/>
      <c r="JI555" s="16"/>
      <c r="JJ555" s="16"/>
      <c r="JK555" s="16"/>
      <c r="JL555" s="16"/>
      <c r="JM555" s="16"/>
      <c r="JN555" s="17"/>
      <c r="JR555" s="24"/>
      <c r="JS555" s="60"/>
      <c r="JT555" s="16"/>
      <c r="JU555" s="16"/>
      <c r="JV555" s="16"/>
      <c r="JW555" s="16"/>
      <c r="JX555" s="16"/>
      <c r="JY555" s="17"/>
      <c r="KC555" s="24"/>
      <c r="KD555" s="60"/>
      <c r="KE555" s="16"/>
      <c r="KF555" s="16"/>
      <c r="KG555" s="16"/>
      <c r="KH555" s="16"/>
      <c r="KI555" s="16"/>
      <c r="KJ555" s="17"/>
      <c r="KN555" s="24"/>
      <c r="KO555" s="60"/>
      <c r="KP555" s="16"/>
      <c r="KQ555" s="16"/>
      <c r="KR555" s="16"/>
      <c r="KS555" s="16"/>
      <c r="KT555" s="16"/>
      <c r="KU555" s="17"/>
      <c r="KY555" s="24"/>
      <c r="KZ555" s="60"/>
      <c r="LA555" s="16"/>
      <c r="LB555" s="16"/>
      <c r="LC555" s="16"/>
      <c r="LD555" s="16"/>
      <c r="LE555" s="16"/>
      <c r="LF555" s="17"/>
      <c r="LJ555" s="24"/>
      <c r="LK555" s="60"/>
      <c r="LL555" s="16"/>
      <c r="LM555" s="16"/>
      <c r="LN555" s="16"/>
      <c r="LO555" s="16"/>
      <c r="LP555" s="16"/>
      <c r="LQ555" s="17"/>
    </row>
    <row r="556">
      <c r="C556" s="31"/>
      <c r="D556" s="61"/>
      <c r="E556" s="16"/>
      <c r="F556" s="16"/>
      <c r="G556" s="21"/>
      <c r="H556" s="16"/>
      <c r="I556" s="16"/>
      <c r="J556" s="17"/>
      <c r="N556" s="17"/>
      <c r="O556" s="61"/>
      <c r="P556" s="16"/>
      <c r="Q556" s="16"/>
      <c r="R556" s="16"/>
      <c r="S556" s="16"/>
      <c r="T556" s="16"/>
      <c r="U556" s="17"/>
      <c r="Y556" s="24"/>
      <c r="Z556" s="61"/>
      <c r="AA556" s="16"/>
      <c r="AB556" s="16"/>
      <c r="AC556" s="16"/>
      <c r="AD556" s="16"/>
      <c r="AE556" s="16"/>
      <c r="AF556" s="17"/>
      <c r="AJ556" s="24"/>
      <c r="AK556" s="61"/>
      <c r="AL556" s="16"/>
      <c r="AM556" s="16"/>
      <c r="AN556" s="16"/>
      <c r="AO556" s="16"/>
      <c r="AP556" s="16"/>
      <c r="AQ556" s="17"/>
      <c r="AU556" s="24"/>
      <c r="AV556" s="61"/>
      <c r="AW556" s="16"/>
      <c r="AX556" s="16"/>
      <c r="AY556" s="16"/>
      <c r="AZ556" s="16"/>
      <c r="BA556" s="16"/>
      <c r="BB556" s="17"/>
      <c r="BF556" s="24"/>
      <c r="BG556" s="61"/>
      <c r="BH556" s="16"/>
      <c r="BI556" s="16"/>
      <c r="BJ556" s="16"/>
      <c r="BK556" s="16"/>
      <c r="BL556" s="16"/>
      <c r="BM556" s="17"/>
      <c r="BQ556" s="24"/>
      <c r="BR556" s="61"/>
      <c r="BS556" s="16"/>
      <c r="BT556" s="16"/>
      <c r="BU556" s="16"/>
      <c r="BV556" s="16"/>
      <c r="BW556" s="16"/>
      <c r="BX556" s="17"/>
      <c r="CB556" s="24"/>
      <c r="CC556" s="61"/>
      <c r="CD556" s="16"/>
      <c r="CE556" s="16"/>
      <c r="CF556" s="16"/>
      <c r="CG556" s="16"/>
      <c r="CH556" s="16"/>
      <c r="CI556" s="17"/>
      <c r="CM556" s="24"/>
      <c r="CN556" s="61"/>
      <c r="CO556" s="16"/>
      <c r="CP556" s="16"/>
      <c r="CQ556" s="16"/>
      <c r="CR556" s="16"/>
      <c r="CS556" s="16"/>
      <c r="CT556" s="17"/>
      <c r="CX556" s="24"/>
      <c r="CY556" s="60"/>
      <c r="CZ556" s="16"/>
      <c r="DA556" s="16"/>
      <c r="DB556" s="16"/>
      <c r="DC556" s="16"/>
      <c r="DD556" s="16"/>
      <c r="DE556" s="17"/>
      <c r="DI556" s="24"/>
      <c r="DJ556" s="60"/>
      <c r="DK556" s="16"/>
      <c r="DL556" s="16"/>
      <c r="DM556" s="16"/>
      <c r="DN556" s="16"/>
      <c r="DO556" s="16"/>
      <c r="DP556" s="17"/>
      <c r="DT556" s="24"/>
      <c r="DU556" s="60"/>
      <c r="DV556" s="16"/>
      <c r="DW556" s="16"/>
      <c r="DX556" s="16"/>
      <c r="DY556" s="16"/>
      <c r="DZ556" s="16"/>
      <c r="EA556" s="17"/>
      <c r="EE556" s="24"/>
      <c r="EF556" s="60"/>
      <c r="EG556" s="16"/>
      <c r="EH556" s="16"/>
      <c r="EI556" s="16"/>
      <c r="EJ556" s="16"/>
      <c r="EK556" s="16"/>
      <c r="EL556" s="17"/>
      <c r="EP556" s="24"/>
      <c r="EQ556" s="60"/>
      <c r="ER556" s="16"/>
      <c r="ES556" s="16"/>
      <c r="ET556" s="16"/>
      <c r="EU556" s="16"/>
      <c r="EV556" s="16"/>
      <c r="EW556" s="17"/>
      <c r="FA556" s="24"/>
      <c r="FB556" s="60"/>
      <c r="FC556" s="16"/>
      <c r="FD556" s="16"/>
      <c r="FE556" s="16"/>
      <c r="FF556" s="16"/>
      <c r="FG556" s="16"/>
      <c r="FH556" s="17"/>
      <c r="FL556" s="24"/>
      <c r="FM556" s="60"/>
      <c r="FN556" s="16"/>
      <c r="FO556" s="16"/>
      <c r="FP556" s="16"/>
      <c r="FQ556" s="16"/>
      <c r="FR556" s="16"/>
      <c r="FS556" s="17"/>
      <c r="FW556" s="24"/>
      <c r="FX556" s="60"/>
      <c r="FY556" s="16"/>
      <c r="FZ556" s="16"/>
      <c r="GA556" s="16"/>
      <c r="GB556" s="16"/>
      <c r="GC556" s="16"/>
      <c r="GD556" s="17"/>
      <c r="GH556" s="24"/>
      <c r="GI556" s="60"/>
      <c r="GJ556" s="16"/>
      <c r="GK556" s="16"/>
      <c r="GL556" s="16"/>
      <c r="GM556" s="16"/>
      <c r="GN556" s="16"/>
      <c r="GO556" s="17"/>
      <c r="GS556" s="24"/>
      <c r="GT556" s="60"/>
      <c r="GU556" s="16"/>
      <c r="GV556" s="16"/>
      <c r="GW556" s="16"/>
      <c r="GX556" s="16"/>
      <c r="GY556" s="16"/>
      <c r="GZ556" s="17"/>
      <c r="HD556" s="24"/>
      <c r="HE556" s="60"/>
      <c r="HF556" s="16"/>
      <c r="HG556" s="16"/>
      <c r="HH556" s="16"/>
      <c r="HI556" s="16"/>
      <c r="HJ556" s="16"/>
      <c r="HK556" s="17"/>
      <c r="HO556" s="24"/>
      <c r="HP556" s="60"/>
      <c r="HQ556" s="16"/>
      <c r="HR556" s="16"/>
      <c r="HS556" s="16"/>
      <c r="HT556" s="16"/>
      <c r="HU556" s="16"/>
      <c r="HV556" s="17"/>
      <c r="HZ556" s="24"/>
      <c r="IA556" s="60"/>
      <c r="IB556" s="16"/>
      <c r="IC556" s="16"/>
      <c r="ID556" s="16"/>
      <c r="IE556" s="16"/>
      <c r="IF556" s="16"/>
      <c r="IG556" s="17"/>
      <c r="IK556" s="24"/>
      <c r="IL556" s="60"/>
      <c r="IM556" s="16"/>
      <c r="IN556" s="16"/>
      <c r="IO556" s="16"/>
      <c r="IP556" s="16"/>
      <c r="IQ556" s="16"/>
      <c r="IR556" s="17"/>
      <c r="IV556" s="24"/>
      <c r="IW556" s="60"/>
      <c r="IX556" s="16"/>
      <c r="IY556" s="16"/>
      <c r="IZ556" s="16"/>
      <c r="JA556" s="16"/>
      <c r="JB556" s="16"/>
      <c r="JC556" s="17"/>
      <c r="JG556" s="24"/>
      <c r="JH556" s="60"/>
      <c r="JI556" s="16"/>
      <c r="JJ556" s="16"/>
      <c r="JK556" s="16"/>
      <c r="JL556" s="16"/>
      <c r="JM556" s="16"/>
      <c r="JN556" s="17"/>
      <c r="JR556" s="24"/>
      <c r="JS556" s="60"/>
      <c r="JT556" s="16"/>
      <c r="JU556" s="16"/>
      <c r="JV556" s="16"/>
      <c r="JW556" s="16"/>
      <c r="JX556" s="16"/>
      <c r="JY556" s="17"/>
      <c r="KC556" s="24"/>
      <c r="KD556" s="60"/>
      <c r="KE556" s="16"/>
      <c r="KF556" s="16"/>
      <c r="KG556" s="16"/>
      <c r="KH556" s="16"/>
      <c r="KI556" s="16"/>
      <c r="KJ556" s="17"/>
      <c r="KN556" s="24"/>
      <c r="KO556" s="60"/>
      <c r="KP556" s="16"/>
      <c r="KQ556" s="16"/>
      <c r="KR556" s="16"/>
      <c r="KS556" s="16"/>
      <c r="KT556" s="16"/>
      <c r="KU556" s="17"/>
      <c r="KY556" s="24"/>
      <c r="KZ556" s="60"/>
      <c r="LA556" s="16"/>
      <c r="LB556" s="16"/>
      <c r="LC556" s="16"/>
      <c r="LD556" s="16"/>
      <c r="LE556" s="16"/>
      <c r="LF556" s="17"/>
      <c r="LJ556" s="24"/>
      <c r="LK556" s="60"/>
      <c r="LL556" s="16"/>
      <c r="LM556" s="16"/>
      <c r="LN556" s="16"/>
      <c r="LO556" s="16"/>
      <c r="LP556" s="16"/>
      <c r="LQ556" s="17"/>
    </row>
    <row r="557">
      <c r="C557" s="31"/>
      <c r="D557" s="61"/>
      <c r="E557" s="16"/>
      <c r="F557" s="16"/>
      <c r="G557" s="21"/>
      <c r="H557" s="16"/>
      <c r="I557" s="16"/>
      <c r="J557" s="17"/>
      <c r="N557" s="17"/>
      <c r="O557" s="61"/>
      <c r="P557" s="16"/>
      <c r="Q557" s="16"/>
      <c r="R557" s="16"/>
      <c r="S557" s="16"/>
      <c r="T557" s="16"/>
      <c r="U557" s="17"/>
      <c r="Y557" s="24"/>
      <c r="Z557" s="61"/>
      <c r="AA557" s="16"/>
      <c r="AB557" s="16"/>
      <c r="AC557" s="16"/>
      <c r="AD557" s="16"/>
      <c r="AE557" s="16"/>
      <c r="AF557" s="17"/>
      <c r="AJ557" s="24"/>
      <c r="AK557" s="61"/>
      <c r="AL557" s="16"/>
      <c r="AM557" s="16"/>
      <c r="AN557" s="16"/>
      <c r="AO557" s="16"/>
      <c r="AP557" s="16"/>
      <c r="AQ557" s="17"/>
      <c r="AU557" s="24"/>
      <c r="AV557" s="61"/>
      <c r="AW557" s="16"/>
      <c r="AX557" s="16"/>
      <c r="AY557" s="16"/>
      <c r="AZ557" s="16"/>
      <c r="BA557" s="16"/>
      <c r="BB557" s="17"/>
      <c r="BF557" s="24"/>
      <c r="BG557" s="61"/>
      <c r="BH557" s="16"/>
      <c r="BI557" s="16"/>
      <c r="BJ557" s="16"/>
      <c r="BK557" s="16"/>
      <c r="BL557" s="16"/>
      <c r="BM557" s="17"/>
      <c r="BQ557" s="24"/>
      <c r="BR557" s="61"/>
      <c r="BS557" s="16"/>
      <c r="BT557" s="16"/>
      <c r="BU557" s="16"/>
      <c r="BV557" s="16"/>
      <c r="BW557" s="16"/>
      <c r="BX557" s="17"/>
      <c r="CB557" s="24"/>
      <c r="CC557" s="61"/>
      <c r="CD557" s="16"/>
      <c r="CE557" s="16"/>
      <c r="CF557" s="16"/>
      <c r="CG557" s="16"/>
      <c r="CH557" s="16"/>
      <c r="CI557" s="17"/>
      <c r="CM557" s="24"/>
      <c r="CN557" s="61"/>
      <c r="CO557" s="16"/>
      <c r="CP557" s="16"/>
      <c r="CQ557" s="16"/>
      <c r="CR557" s="16"/>
      <c r="CS557" s="16"/>
      <c r="CT557" s="17"/>
      <c r="CX557" s="24"/>
      <c r="CY557" s="60"/>
      <c r="CZ557" s="16"/>
      <c r="DA557" s="16"/>
      <c r="DB557" s="16"/>
      <c r="DC557" s="16"/>
      <c r="DD557" s="16"/>
      <c r="DE557" s="17"/>
      <c r="DI557" s="24"/>
      <c r="DJ557" s="60"/>
      <c r="DK557" s="16"/>
      <c r="DL557" s="16"/>
      <c r="DM557" s="16"/>
      <c r="DN557" s="16"/>
      <c r="DO557" s="16"/>
      <c r="DP557" s="17"/>
      <c r="DT557" s="24"/>
      <c r="DU557" s="60"/>
      <c r="DV557" s="16"/>
      <c r="DW557" s="16"/>
      <c r="DX557" s="16"/>
      <c r="DY557" s="16"/>
      <c r="DZ557" s="16"/>
      <c r="EA557" s="17"/>
      <c r="EE557" s="24"/>
      <c r="EF557" s="60"/>
      <c r="EG557" s="16"/>
      <c r="EH557" s="16"/>
      <c r="EI557" s="16"/>
      <c r="EJ557" s="16"/>
      <c r="EK557" s="16"/>
      <c r="EL557" s="17"/>
      <c r="EP557" s="24"/>
      <c r="EQ557" s="60"/>
      <c r="ER557" s="16"/>
      <c r="ES557" s="16"/>
      <c r="ET557" s="16"/>
      <c r="EU557" s="16"/>
      <c r="EV557" s="16"/>
      <c r="EW557" s="17"/>
      <c r="FA557" s="24"/>
      <c r="FB557" s="60"/>
      <c r="FC557" s="16"/>
      <c r="FD557" s="16"/>
      <c r="FE557" s="16"/>
      <c r="FF557" s="16"/>
      <c r="FG557" s="16"/>
      <c r="FH557" s="17"/>
      <c r="FL557" s="24"/>
      <c r="FM557" s="60"/>
      <c r="FN557" s="16"/>
      <c r="FO557" s="16"/>
      <c r="FP557" s="16"/>
      <c r="FQ557" s="16"/>
      <c r="FR557" s="16"/>
      <c r="FS557" s="17"/>
      <c r="FW557" s="24"/>
      <c r="FX557" s="60"/>
      <c r="FY557" s="16"/>
      <c r="FZ557" s="16"/>
      <c r="GA557" s="16"/>
      <c r="GB557" s="16"/>
      <c r="GC557" s="16"/>
      <c r="GD557" s="17"/>
      <c r="GH557" s="24"/>
      <c r="GI557" s="60"/>
      <c r="GJ557" s="16"/>
      <c r="GK557" s="16"/>
      <c r="GL557" s="16"/>
      <c r="GM557" s="16"/>
      <c r="GN557" s="16"/>
      <c r="GO557" s="17"/>
      <c r="GS557" s="24"/>
      <c r="GT557" s="60"/>
      <c r="GU557" s="16"/>
      <c r="GV557" s="16"/>
      <c r="GW557" s="16"/>
      <c r="GX557" s="16"/>
      <c r="GY557" s="16"/>
      <c r="GZ557" s="17"/>
      <c r="HD557" s="24"/>
      <c r="HE557" s="60"/>
      <c r="HF557" s="16"/>
      <c r="HG557" s="16"/>
      <c r="HH557" s="16"/>
      <c r="HI557" s="16"/>
      <c r="HJ557" s="16"/>
      <c r="HK557" s="17"/>
      <c r="HO557" s="24"/>
      <c r="HP557" s="60"/>
      <c r="HQ557" s="16"/>
      <c r="HR557" s="16"/>
      <c r="HS557" s="16"/>
      <c r="HT557" s="16"/>
      <c r="HU557" s="16"/>
      <c r="HV557" s="17"/>
      <c r="HZ557" s="24"/>
      <c r="IA557" s="60"/>
      <c r="IB557" s="16"/>
      <c r="IC557" s="16"/>
      <c r="ID557" s="16"/>
      <c r="IE557" s="16"/>
      <c r="IF557" s="16"/>
      <c r="IG557" s="17"/>
      <c r="IK557" s="24"/>
      <c r="IL557" s="60"/>
      <c r="IM557" s="16"/>
      <c r="IN557" s="16"/>
      <c r="IO557" s="16"/>
      <c r="IP557" s="16"/>
      <c r="IQ557" s="16"/>
      <c r="IR557" s="17"/>
      <c r="IV557" s="24"/>
      <c r="IW557" s="60"/>
      <c r="IX557" s="16"/>
      <c r="IY557" s="16"/>
      <c r="IZ557" s="16"/>
      <c r="JA557" s="16"/>
      <c r="JB557" s="16"/>
      <c r="JC557" s="17"/>
      <c r="JG557" s="24"/>
      <c r="JH557" s="60"/>
      <c r="JI557" s="16"/>
      <c r="JJ557" s="16"/>
      <c r="JK557" s="16"/>
      <c r="JL557" s="16"/>
      <c r="JM557" s="16"/>
      <c r="JN557" s="17"/>
      <c r="JR557" s="24"/>
      <c r="JS557" s="60"/>
      <c r="JT557" s="16"/>
      <c r="JU557" s="16"/>
      <c r="JV557" s="16"/>
      <c r="JW557" s="16"/>
      <c r="JX557" s="16"/>
      <c r="JY557" s="17"/>
      <c r="KC557" s="24"/>
      <c r="KD557" s="60"/>
      <c r="KE557" s="16"/>
      <c r="KF557" s="16"/>
      <c r="KG557" s="16"/>
      <c r="KH557" s="16"/>
      <c r="KI557" s="16"/>
      <c r="KJ557" s="17"/>
      <c r="KN557" s="24"/>
      <c r="KO557" s="60"/>
      <c r="KP557" s="16"/>
      <c r="KQ557" s="16"/>
      <c r="KR557" s="16"/>
      <c r="KS557" s="16"/>
      <c r="KT557" s="16"/>
      <c r="KU557" s="17"/>
      <c r="KY557" s="24"/>
      <c r="KZ557" s="60"/>
      <c r="LA557" s="16"/>
      <c r="LB557" s="16"/>
      <c r="LC557" s="16"/>
      <c r="LD557" s="16"/>
      <c r="LE557" s="16"/>
      <c r="LF557" s="17"/>
      <c r="LJ557" s="24"/>
      <c r="LK557" s="60"/>
      <c r="LL557" s="16"/>
      <c r="LM557" s="16"/>
      <c r="LN557" s="16"/>
      <c r="LO557" s="16"/>
      <c r="LP557" s="16"/>
      <c r="LQ557" s="17"/>
    </row>
    <row r="558">
      <c r="C558" s="31"/>
      <c r="D558" s="61"/>
      <c r="E558" s="16"/>
      <c r="F558" s="16"/>
      <c r="G558" s="21"/>
      <c r="H558" s="16"/>
      <c r="I558" s="16"/>
      <c r="J558" s="17"/>
      <c r="N558" s="17"/>
      <c r="O558" s="61"/>
      <c r="P558" s="16"/>
      <c r="Q558" s="16"/>
      <c r="R558" s="16"/>
      <c r="S558" s="16"/>
      <c r="T558" s="16"/>
      <c r="U558" s="17"/>
      <c r="Y558" s="24"/>
      <c r="Z558" s="61"/>
      <c r="AA558" s="16"/>
      <c r="AB558" s="16"/>
      <c r="AC558" s="16"/>
      <c r="AD558" s="16"/>
      <c r="AE558" s="16"/>
      <c r="AF558" s="17"/>
      <c r="AJ558" s="24"/>
      <c r="AK558" s="61"/>
      <c r="AL558" s="16"/>
      <c r="AM558" s="16"/>
      <c r="AN558" s="16"/>
      <c r="AO558" s="16"/>
      <c r="AP558" s="16"/>
      <c r="AQ558" s="17"/>
      <c r="AU558" s="24"/>
      <c r="AV558" s="61"/>
      <c r="AW558" s="16"/>
      <c r="AX558" s="16"/>
      <c r="AY558" s="16"/>
      <c r="AZ558" s="16"/>
      <c r="BA558" s="16"/>
      <c r="BB558" s="17"/>
      <c r="BF558" s="24"/>
      <c r="BG558" s="61"/>
      <c r="BH558" s="16"/>
      <c r="BI558" s="16"/>
      <c r="BJ558" s="16"/>
      <c r="BK558" s="16"/>
      <c r="BL558" s="16"/>
      <c r="BM558" s="17"/>
      <c r="BQ558" s="24"/>
      <c r="BR558" s="61"/>
      <c r="BS558" s="16"/>
      <c r="BT558" s="16"/>
      <c r="BU558" s="16"/>
      <c r="BV558" s="16"/>
      <c r="BW558" s="16"/>
      <c r="BX558" s="17"/>
      <c r="CB558" s="24"/>
      <c r="CC558" s="61"/>
      <c r="CD558" s="16"/>
      <c r="CE558" s="16"/>
      <c r="CF558" s="16"/>
      <c r="CG558" s="16"/>
      <c r="CH558" s="16"/>
      <c r="CI558" s="17"/>
      <c r="CM558" s="24"/>
      <c r="CN558" s="61"/>
      <c r="CO558" s="16"/>
      <c r="CP558" s="16"/>
      <c r="CQ558" s="16"/>
      <c r="CR558" s="16"/>
      <c r="CS558" s="16"/>
      <c r="CT558" s="17"/>
      <c r="CX558" s="24"/>
      <c r="CY558" s="60"/>
      <c r="CZ558" s="16"/>
      <c r="DA558" s="16"/>
      <c r="DB558" s="16"/>
      <c r="DC558" s="16"/>
      <c r="DD558" s="16"/>
      <c r="DE558" s="17"/>
      <c r="DI558" s="24"/>
      <c r="DJ558" s="60"/>
      <c r="DK558" s="16"/>
      <c r="DL558" s="16"/>
      <c r="DM558" s="16"/>
      <c r="DN558" s="16"/>
      <c r="DO558" s="16"/>
      <c r="DP558" s="17"/>
      <c r="DT558" s="24"/>
      <c r="DU558" s="60"/>
      <c r="DV558" s="16"/>
      <c r="DW558" s="16"/>
      <c r="DX558" s="16"/>
      <c r="DY558" s="16"/>
      <c r="DZ558" s="16"/>
      <c r="EA558" s="17"/>
      <c r="EE558" s="24"/>
      <c r="EF558" s="60"/>
      <c r="EG558" s="16"/>
      <c r="EH558" s="16"/>
      <c r="EI558" s="16"/>
      <c r="EJ558" s="16"/>
      <c r="EK558" s="16"/>
      <c r="EL558" s="17"/>
      <c r="EP558" s="24"/>
      <c r="EQ558" s="60"/>
      <c r="ER558" s="16"/>
      <c r="ES558" s="16"/>
      <c r="ET558" s="16"/>
      <c r="EU558" s="16"/>
      <c r="EV558" s="16"/>
      <c r="EW558" s="17"/>
      <c r="FA558" s="24"/>
      <c r="FB558" s="60"/>
      <c r="FC558" s="16"/>
      <c r="FD558" s="16"/>
      <c r="FE558" s="16"/>
      <c r="FF558" s="16"/>
      <c r="FG558" s="16"/>
      <c r="FH558" s="17"/>
      <c r="FL558" s="24"/>
      <c r="FM558" s="60"/>
      <c r="FN558" s="16"/>
      <c r="FO558" s="16"/>
      <c r="FP558" s="16"/>
      <c r="FQ558" s="16"/>
      <c r="FR558" s="16"/>
      <c r="FS558" s="17"/>
      <c r="FW558" s="24"/>
      <c r="FX558" s="60"/>
      <c r="FY558" s="16"/>
      <c r="FZ558" s="16"/>
      <c r="GA558" s="16"/>
      <c r="GB558" s="16"/>
      <c r="GC558" s="16"/>
      <c r="GD558" s="17"/>
      <c r="GH558" s="24"/>
      <c r="GI558" s="60"/>
      <c r="GJ558" s="16"/>
      <c r="GK558" s="16"/>
      <c r="GL558" s="16"/>
      <c r="GM558" s="16"/>
      <c r="GN558" s="16"/>
      <c r="GO558" s="17"/>
      <c r="GS558" s="24"/>
      <c r="GT558" s="60"/>
      <c r="GU558" s="16"/>
      <c r="GV558" s="16"/>
      <c r="GW558" s="16"/>
      <c r="GX558" s="16"/>
      <c r="GY558" s="16"/>
      <c r="GZ558" s="17"/>
      <c r="HD558" s="24"/>
      <c r="HE558" s="60"/>
      <c r="HF558" s="16"/>
      <c r="HG558" s="16"/>
      <c r="HH558" s="16"/>
      <c r="HI558" s="16"/>
      <c r="HJ558" s="16"/>
      <c r="HK558" s="17"/>
      <c r="HO558" s="24"/>
      <c r="HP558" s="60"/>
      <c r="HQ558" s="16"/>
      <c r="HR558" s="16"/>
      <c r="HS558" s="16"/>
      <c r="HT558" s="16"/>
      <c r="HU558" s="16"/>
      <c r="HV558" s="17"/>
      <c r="HZ558" s="24"/>
      <c r="IA558" s="60"/>
      <c r="IB558" s="16"/>
      <c r="IC558" s="16"/>
      <c r="ID558" s="16"/>
      <c r="IE558" s="16"/>
      <c r="IF558" s="16"/>
      <c r="IG558" s="17"/>
      <c r="IK558" s="24"/>
      <c r="IL558" s="60"/>
      <c r="IM558" s="16"/>
      <c r="IN558" s="16"/>
      <c r="IO558" s="16"/>
      <c r="IP558" s="16"/>
      <c r="IQ558" s="16"/>
      <c r="IR558" s="17"/>
      <c r="IV558" s="24"/>
      <c r="IW558" s="60"/>
      <c r="IX558" s="16"/>
      <c r="IY558" s="16"/>
      <c r="IZ558" s="16"/>
      <c r="JA558" s="16"/>
      <c r="JB558" s="16"/>
      <c r="JC558" s="17"/>
      <c r="JG558" s="24"/>
      <c r="JH558" s="60"/>
      <c r="JI558" s="16"/>
      <c r="JJ558" s="16"/>
      <c r="JK558" s="16"/>
      <c r="JL558" s="16"/>
      <c r="JM558" s="16"/>
      <c r="JN558" s="17"/>
      <c r="JR558" s="24"/>
      <c r="JS558" s="60"/>
      <c r="JT558" s="16"/>
      <c r="JU558" s="16"/>
      <c r="JV558" s="16"/>
      <c r="JW558" s="16"/>
      <c r="JX558" s="16"/>
      <c r="JY558" s="17"/>
      <c r="KC558" s="24"/>
      <c r="KD558" s="60"/>
      <c r="KE558" s="16"/>
      <c r="KF558" s="16"/>
      <c r="KG558" s="16"/>
      <c r="KH558" s="16"/>
      <c r="KI558" s="16"/>
      <c r="KJ558" s="17"/>
      <c r="KN558" s="24"/>
      <c r="KO558" s="60"/>
      <c r="KP558" s="16"/>
      <c r="KQ558" s="16"/>
      <c r="KR558" s="16"/>
      <c r="KS558" s="16"/>
      <c r="KT558" s="16"/>
      <c r="KU558" s="17"/>
      <c r="KY558" s="24"/>
      <c r="KZ558" s="60"/>
      <c r="LA558" s="16"/>
      <c r="LB558" s="16"/>
      <c r="LC558" s="16"/>
      <c r="LD558" s="16"/>
      <c r="LE558" s="16"/>
      <c r="LF558" s="17"/>
      <c r="LJ558" s="24"/>
      <c r="LK558" s="60"/>
      <c r="LL558" s="16"/>
      <c r="LM558" s="16"/>
      <c r="LN558" s="16"/>
      <c r="LO558" s="16"/>
      <c r="LP558" s="16"/>
      <c r="LQ558" s="17"/>
    </row>
    <row r="559">
      <c r="C559" s="31"/>
      <c r="D559" s="61"/>
      <c r="E559" s="16"/>
      <c r="F559" s="16"/>
      <c r="G559" s="21"/>
      <c r="H559" s="16"/>
      <c r="I559" s="16"/>
      <c r="J559" s="17"/>
      <c r="N559" s="17"/>
      <c r="O559" s="61"/>
      <c r="P559" s="16"/>
      <c r="Q559" s="16"/>
      <c r="R559" s="16"/>
      <c r="S559" s="16"/>
      <c r="T559" s="16"/>
      <c r="U559" s="17"/>
      <c r="Y559" s="24"/>
      <c r="Z559" s="61"/>
      <c r="AA559" s="16"/>
      <c r="AB559" s="16"/>
      <c r="AC559" s="16"/>
      <c r="AD559" s="16"/>
      <c r="AE559" s="16"/>
      <c r="AF559" s="17"/>
      <c r="AJ559" s="24"/>
      <c r="AK559" s="61"/>
      <c r="AL559" s="16"/>
      <c r="AM559" s="16"/>
      <c r="AN559" s="16"/>
      <c r="AO559" s="16"/>
      <c r="AP559" s="16"/>
      <c r="AQ559" s="17"/>
      <c r="AU559" s="24"/>
      <c r="AV559" s="61"/>
      <c r="AW559" s="16"/>
      <c r="AX559" s="16"/>
      <c r="AY559" s="16"/>
      <c r="AZ559" s="16"/>
      <c r="BA559" s="16"/>
      <c r="BB559" s="17"/>
      <c r="BF559" s="24"/>
      <c r="BG559" s="61"/>
      <c r="BH559" s="16"/>
      <c r="BI559" s="16"/>
      <c r="BJ559" s="16"/>
      <c r="BK559" s="16"/>
      <c r="BL559" s="16"/>
      <c r="BM559" s="17"/>
      <c r="BQ559" s="24"/>
      <c r="BR559" s="61"/>
      <c r="BS559" s="16"/>
      <c r="BT559" s="16"/>
      <c r="BU559" s="16"/>
      <c r="BV559" s="16"/>
      <c r="BW559" s="16"/>
      <c r="BX559" s="17"/>
      <c r="CB559" s="24"/>
      <c r="CC559" s="61"/>
      <c r="CD559" s="16"/>
      <c r="CE559" s="16"/>
      <c r="CF559" s="16"/>
      <c r="CG559" s="16"/>
      <c r="CH559" s="16"/>
      <c r="CI559" s="17"/>
      <c r="CM559" s="24"/>
      <c r="CN559" s="61"/>
      <c r="CO559" s="16"/>
      <c r="CP559" s="16"/>
      <c r="CQ559" s="16"/>
      <c r="CR559" s="16"/>
      <c r="CS559" s="16"/>
      <c r="CT559" s="17"/>
      <c r="CX559" s="24"/>
      <c r="CY559" s="60"/>
      <c r="CZ559" s="16"/>
      <c r="DA559" s="16"/>
      <c r="DB559" s="16"/>
      <c r="DC559" s="16"/>
      <c r="DD559" s="16"/>
      <c r="DE559" s="17"/>
      <c r="DI559" s="24"/>
      <c r="DJ559" s="60"/>
      <c r="DK559" s="16"/>
      <c r="DL559" s="16"/>
      <c r="DM559" s="16"/>
      <c r="DN559" s="16"/>
      <c r="DO559" s="16"/>
      <c r="DP559" s="17"/>
      <c r="DT559" s="24"/>
      <c r="DU559" s="60"/>
      <c r="DV559" s="16"/>
      <c r="DW559" s="16"/>
      <c r="DX559" s="16"/>
      <c r="DY559" s="16"/>
      <c r="DZ559" s="16"/>
      <c r="EA559" s="17"/>
      <c r="EE559" s="24"/>
      <c r="EF559" s="60"/>
      <c r="EG559" s="16"/>
      <c r="EH559" s="16"/>
      <c r="EI559" s="16"/>
      <c r="EJ559" s="16"/>
      <c r="EK559" s="16"/>
      <c r="EL559" s="17"/>
      <c r="EP559" s="24"/>
      <c r="EQ559" s="60"/>
      <c r="ER559" s="16"/>
      <c r="ES559" s="16"/>
      <c r="ET559" s="16"/>
      <c r="EU559" s="16"/>
      <c r="EV559" s="16"/>
      <c r="EW559" s="17"/>
      <c r="FA559" s="24"/>
      <c r="FB559" s="60"/>
      <c r="FC559" s="16"/>
      <c r="FD559" s="16"/>
      <c r="FE559" s="16"/>
      <c r="FF559" s="16"/>
      <c r="FG559" s="16"/>
      <c r="FH559" s="17"/>
      <c r="FL559" s="24"/>
      <c r="FM559" s="60"/>
      <c r="FN559" s="16"/>
      <c r="FO559" s="16"/>
      <c r="FP559" s="16"/>
      <c r="FQ559" s="16"/>
      <c r="FR559" s="16"/>
      <c r="FS559" s="17"/>
      <c r="FW559" s="24"/>
      <c r="FX559" s="60"/>
      <c r="FY559" s="16"/>
      <c r="FZ559" s="16"/>
      <c r="GA559" s="16"/>
      <c r="GB559" s="16"/>
      <c r="GC559" s="16"/>
      <c r="GD559" s="17"/>
      <c r="GH559" s="24"/>
      <c r="GI559" s="60"/>
      <c r="GJ559" s="16"/>
      <c r="GK559" s="16"/>
      <c r="GL559" s="16"/>
      <c r="GM559" s="16"/>
      <c r="GN559" s="16"/>
      <c r="GO559" s="17"/>
      <c r="GS559" s="24"/>
      <c r="GT559" s="60"/>
      <c r="GU559" s="16"/>
      <c r="GV559" s="16"/>
      <c r="GW559" s="16"/>
      <c r="GX559" s="16"/>
      <c r="GY559" s="16"/>
      <c r="GZ559" s="17"/>
      <c r="HD559" s="24"/>
      <c r="HE559" s="60"/>
      <c r="HF559" s="16"/>
      <c r="HG559" s="16"/>
      <c r="HH559" s="16"/>
      <c r="HI559" s="16"/>
      <c r="HJ559" s="16"/>
      <c r="HK559" s="17"/>
      <c r="HO559" s="24"/>
      <c r="HP559" s="60"/>
      <c r="HQ559" s="16"/>
      <c r="HR559" s="16"/>
      <c r="HS559" s="16"/>
      <c r="HT559" s="16"/>
      <c r="HU559" s="16"/>
      <c r="HV559" s="17"/>
      <c r="HZ559" s="24"/>
      <c r="IA559" s="60"/>
      <c r="IB559" s="16"/>
      <c r="IC559" s="16"/>
      <c r="ID559" s="16"/>
      <c r="IE559" s="16"/>
      <c r="IF559" s="16"/>
      <c r="IG559" s="17"/>
      <c r="IK559" s="24"/>
      <c r="IL559" s="60"/>
      <c r="IM559" s="16"/>
      <c r="IN559" s="16"/>
      <c r="IO559" s="16"/>
      <c r="IP559" s="16"/>
      <c r="IQ559" s="16"/>
      <c r="IR559" s="17"/>
      <c r="IV559" s="24"/>
      <c r="IW559" s="60"/>
      <c r="IX559" s="16"/>
      <c r="IY559" s="16"/>
      <c r="IZ559" s="16"/>
      <c r="JA559" s="16"/>
      <c r="JB559" s="16"/>
      <c r="JC559" s="17"/>
      <c r="JG559" s="24"/>
      <c r="JH559" s="60"/>
      <c r="JI559" s="16"/>
      <c r="JJ559" s="16"/>
      <c r="JK559" s="16"/>
      <c r="JL559" s="16"/>
      <c r="JM559" s="16"/>
      <c r="JN559" s="17"/>
      <c r="JR559" s="24"/>
      <c r="JS559" s="60"/>
      <c r="JT559" s="16"/>
      <c r="JU559" s="16"/>
      <c r="JV559" s="16"/>
      <c r="JW559" s="16"/>
      <c r="JX559" s="16"/>
      <c r="JY559" s="17"/>
      <c r="KC559" s="24"/>
      <c r="KD559" s="60"/>
      <c r="KE559" s="16"/>
      <c r="KF559" s="16"/>
      <c r="KG559" s="16"/>
      <c r="KH559" s="16"/>
      <c r="KI559" s="16"/>
      <c r="KJ559" s="17"/>
      <c r="KN559" s="24"/>
      <c r="KO559" s="60"/>
      <c r="KP559" s="16"/>
      <c r="KQ559" s="16"/>
      <c r="KR559" s="16"/>
      <c r="KS559" s="16"/>
      <c r="KT559" s="16"/>
      <c r="KU559" s="17"/>
      <c r="KY559" s="24"/>
      <c r="KZ559" s="60"/>
      <c r="LA559" s="16"/>
      <c r="LB559" s="16"/>
      <c r="LC559" s="16"/>
      <c r="LD559" s="16"/>
      <c r="LE559" s="16"/>
      <c r="LF559" s="17"/>
      <c r="LJ559" s="24"/>
      <c r="LK559" s="60"/>
      <c r="LL559" s="16"/>
      <c r="LM559" s="16"/>
      <c r="LN559" s="16"/>
      <c r="LO559" s="16"/>
      <c r="LP559" s="16"/>
      <c r="LQ559" s="17"/>
    </row>
    <row r="560">
      <c r="C560" s="31"/>
      <c r="D560" s="61"/>
      <c r="E560" s="16"/>
      <c r="F560" s="16"/>
      <c r="G560" s="21"/>
      <c r="H560" s="16"/>
      <c r="I560" s="16"/>
      <c r="J560" s="17"/>
      <c r="N560" s="17"/>
      <c r="O560" s="61"/>
      <c r="P560" s="16"/>
      <c r="Q560" s="16"/>
      <c r="R560" s="16"/>
      <c r="S560" s="16"/>
      <c r="T560" s="16"/>
      <c r="U560" s="17"/>
      <c r="Y560" s="24"/>
      <c r="Z560" s="61"/>
      <c r="AA560" s="16"/>
      <c r="AB560" s="16"/>
      <c r="AC560" s="16"/>
      <c r="AD560" s="16"/>
      <c r="AE560" s="16"/>
      <c r="AF560" s="17"/>
      <c r="AJ560" s="24"/>
      <c r="AK560" s="61"/>
      <c r="AL560" s="16"/>
      <c r="AM560" s="16"/>
      <c r="AN560" s="16"/>
      <c r="AO560" s="16"/>
      <c r="AP560" s="16"/>
      <c r="AQ560" s="17"/>
      <c r="AU560" s="24"/>
      <c r="AV560" s="61"/>
      <c r="AW560" s="16"/>
      <c r="AX560" s="16"/>
      <c r="AY560" s="16"/>
      <c r="AZ560" s="16"/>
      <c r="BA560" s="16"/>
      <c r="BB560" s="17"/>
      <c r="BF560" s="24"/>
      <c r="BG560" s="61"/>
      <c r="BH560" s="16"/>
      <c r="BI560" s="16"/>
      <c r="BJ560" s="16"/>
      <c r="BK560" s="16"/>
      <c r="BL560" s="16"/>
      <c r="BM560" s="17"/>
      <c r="BQ560" s="24"/>
      <c r="BR560" s="61"/>
      <c r="BS560" s="16"/>
      <c r="BT560" s="16"/>
      <c r="BU560" s="16"/>
      <c r="BV560" s="16"/>
      <c r="BW560" s="16"/>
      <c r="BX560" s="17"/>
      <c r="CB560" s="24"/>
      <c r="CC560" s="61"/>
      <c r="CD560" s="16"/>
      <c r="CE560" s="16"/>
      <c r="CF560" s="16"/>
      <c r="CG560" s="16"/>
      <c r="CH560" s="16"/>
      <c r="CI560" s="17"/>
      <c r="CM560" s="24"/>
      <c r="CN560" s="61"/>
      <c r="CO560" s="16"/>
      <c r="CP560" s="16"/>
      <c r="CQ560" s="16"/>
      <c r="CR560" s="16"/>
      <c r="CS560" s="16"/>
      <c r="CT560" s="17"/>
      <c r="CX560" s="24"/>
      <c r="CY560" s="60"/>
      <c r="CZ560" s="16"/>
      <c r="DA560" s="16"/>
      <c r="DB560" s="16"/>
      <c r="DC560" s="16"/>
      <c r="DD560" s="16"/>
      <c r="DE560" s="17"/>
      <c r="DI560" s="24"/>
      <c r="DJ560" s="60"/>
      <c r="DK560" s="16"/>
      <c r="DL560" s="16"/>
      <c r="DM560" s="16"/>
      <c r="DN560" s="16"/>
      <c r="DO560" s="16"/>
      <c r="DP560" s="17"/>
      <c r="DT560" s="24"/>
      <c r="DU560" s="60"/>
      <c r="DV560" s="16"/>
      <c r="DW560" s="16"/>
      <c r="DX560" s="16"/>
      <c r="DY560" s="16"/>
      <c r="DZ560" s="16"/>
      <c r="EA560" s="17"/>
      <c r="EE560" s="24"/>
      <c r="EF560" s="60"/>
      <c r="EG560" s="16"/>
      <c r="EH560" s="16"/>
      <c r="EI560" s="16"/>
      <c r="EJ560" s="16"/>
      <c r="EK560" s="16"/>
      <c r="EL560" s="17"/>
      <c r="EP560" s="24"/>
      <c r="EQ560" s="60"/>
      <c r="ER560" s="16"/>
      <c r="ES560" s="16"/>
      <c r="ET560" s="16"/>
      <c r="EU560" s="16"/>
      <c r="EV560" s="16"/>
      <c r="EW560" s="17"/>
      <c r="FA560" s="24"/>
      <c r="FB560" s="60"/>
      <c r="FC560" s="16"/>
      <c r="FD560" s="16"/>
      <c r="FE560" s="16"/>
      <c r="FF560" s="16"/>
      <c r="FG560" s="16"/>
      <c r="FH560" s="17"/>
      <c r="FL560" s="24"/>
      <c r="FM560" s="60"/>
      <c r="FN560" s="16"/>
      <c r="FO560" s="16"/>
      <c r="FP560" s="16"/>
      <c r="FQ560" s="16"/>
      <c r="FR560" s="16"/>
      <c r="FS560" s="17"/>
      <c r="FW560" s="24"/>
      <c r="FX560" s="60"/>
      <c r="FY560" s="16"/>
      <c r="FZ560" s="16"/>
      <c r="GA560" s="16"/>
      <c r="GB560" s="16"/>
      <c r="GC560" s="16"/>
      <c r="GD560" s="17"/>
      <c r="GH560" s="24"/>
      <c r="GI560" s="60"/>
      <c r="GJ560" s="16"/>
      <c r="GK560" s="16"/>
      <c r="GL560" s="16"/>
      <c r="GM560" s="16"/>
      <c r="GN560" s="16"/>
      <c r="GO560" s="17"/>
      <c r="GS560" s="24"/>
      <c r="GT560" s="60"/>
      <c r="GU560" s="16"/>
      <c r="GV560" s="16"/>
      <c r="GW560" s="16"/>
      <c r="GX560" s="16"/>
      <c r="GY560" s="16"/>
      <c r="GZ560" s="17"/>
      <c r="HD560" s="24"/>
      <c r="HE560" s="60"/>
      <c r="HF560" s="16"/>
      <c r="HG560" s="16"/>
      <c r="HH560" s="16"/>
      <c r="HI560" s="16"/>
      <c r="HJ560" s="16"/>
      <c r="HK560" s="17"/>
      <c r="HO560" s="24"/>
      <c r="HP560" s="60"/>
      <c r="HQ560" s="16"/>
      <c r="HR560" s="16"/>
      <c r="HS560" s="16"/>
      <c r="HT560" s="16"/>
      <c r="HU560" s="16"/>
      <c r="HV560" s="17"/>
      <c r="HZ560" s="24"/>
      <c r="IA560" s="60"/>
      <c r="IB560" s="16"/>
      <c r="IC560" s="16"/>
      <c r="ID560" s="16"/>
      <c r="IE560" s="16"/>
      <c r="IF560" s="16"/>
      <c r="IG560" s="17"/>
      <c r="IK560" s="24"/>
      <c r="IL560" s="60"/>
      <c r="IM560" s="16"/>
      <c r="IN560" s="16"/>
      <c r="IO560" s="16"/>
      <c r="IP560" s="16"/>
      <c r="IQ560" s="16"/>
      <c r="IR560" s="17"/>
      <c r="IV560" s="24"/>
      <c r="IW560" s="60"/>
      <c r="IX560" s="16"/>
      <c r="IY560" s="16"/>
      <c r="IZ560" s="16"/>
      <c r="JA560" s="16"/>
      <c r="JB560" s="16"/>
      <c r="JC560" s="17"/>
      <c r="JG560" s="24"/>
      <c r="JH560" s="60"/>
      <c r="JI560" s="16"/>
      <c r="JJ560" s="16"/>
      <c r="JK560" s="16"/>
      <c r="JL560" s="16"/>
      <c r="JM560" s="16"/>
      <c r="JN560" s="17"/>
      <c r="JR560" s="24"/>
      <c r="JS560" s="60"/>
      <c r="JT560" s="16"/>
      <c r="JU560" s="16"/>
      <c r="JV560" s="16"/>
      <c r="JW560" s="16"/>
      <c r="JX560" s="16"/>
      <c r="JY560" s="17"/>
      <c r="KC560" s="24"/>
      <c r="KD560" s="60"/>
      <c r="KE560" s="16"/>
      <c r="KF560" s="16"/>
      <c r="KG560" s="16"/>
      <c r="KH560" s="16"/>
      <c r="KI560" s="16"/>
      <c r="KJ560" s="17"/>
      <c r="KN560" s="24"/>
      <c r="KO560" s="60"/>
      <c r="KP560" s="16"/>
      <c r="KQ560" s="16"/>
      <c r="KR560" s="16"/>
      <c r="KS560" s="16"/>
      <c r="KT560" s="16"/>
      <c r="KU560" s="17"/>
      <c r="KY560" s="24"/>
      <c r="KZ560" s="60"/>
      <c r="LA560" s="16"/>
      <c r="LB560" s="16"/>
      <c r="LC560" s="16"/>
      <c r="LD560" s="16"/>
      <c r="LE560" s="16"/>
      <c r="LF560" s="17"/>
      <c r="LJ560" s="24"/>
      <c r="LK560" s="60"/>
      <c r="LL560" s="16"/>
      <c r="LM560" s="16"/>
      <c r="LN560" s="16"/>
      <c r="LO560" s="16"/>
      <c r="LP560" s="16"/>
      <c r="LQ560" s="17"/>
    </row>
    <row r="561">
      <c r="C561" s="31"/>
      <c r="D561" s="61"/>
      <c r="E561" s="16"/>
      <c r="F561" s="16"/>
      <c r="G561" s="21"/>
      <c r="H561" s="16"/>
      <c r="I561" s="16"/>
      <c r="J561" s="17"/>
      <c r="N561" s="17"/>
      <c r="O561" s="61"/>
      <c r="P561" s="16"/>
      <c r="Q561" s="16"/>
      <c r="R561" s="16"/>
      <c r="S561" s="16"/>
      <c r="T561" s="16"/>
      <c r="U561" s="17"/>
      <c r="Y561" s="24"/>
      <c r="Z561" s="61"/>
      <c r="AA561" s="16"/>
      <c r="AB561" s="16"/>
      <c r="AC561" s="16"/>
      <c r="AD561" s="16"/>
      <c r="AE561" s="16"/>
      <c r="AF561" s="17"/>
      <c r="AJ561" s="24"/>
      <c r="AK561" s="61"/>
      <c r="AL561" s="16"/>
      <c r="AM561" s="16"/>
      <c r="AN561" s="16"/>
      <c r="AO561" s="16"/>
      <c r="AP561" s="16"/>
      <c r="AQ561" s="17"/>
      <c r="AU561" s="24"/>
      <c r="AV561" s="61"/>
      <c r="AW561" s="16"/>
      <c r="AX561" s="16"/>
      <c r="AY561" s="16"/>
      <c r="AZ561" s="16"/>
      <c r="BA561" s="16"/>
      <c r="BB561" s="17"/>
      <c r="BF561" s="24"/>
      <c r="BG561" s="61"/>
      <c r="BH561" s="16"/>
      <c r="BI561" s="16"/>
      <c r="BJ561" s="16"/>
      <c r="BK561" s="16"/>
      <c r="BL561" s="16"/>
      <c r="BM561" s="17"/>
      <c r="BQ561" s="24"/>
      <c r="BR561" s="61"/>
      <c r="BS561" s="16"/>
      <c r="BT561" s="16"/>
      <c r="BU561" s="16"/>
      <c r="BV561" s="16"/>
      <c r="BW561" s="16"/>
      <c r="BX561" s="17"/>
      <c r="CB561" s="24"/>
      <c r="CC561" s="61"/>
      <c r="CD561" s="16"/>
      <c r="CE561" s="16"/>
      <c r="CF561" s="16"/>
      <c r="CG561" s="16"/>
      <c r="CH561" s="16"/>
      <c r="CI561" s="17"/>
      <c r="CM561" s="24"/>
      <c r="CN561" s="61"/>
      <c r="CO561" s="16"/>
      <c r="CP561" s="16"/>
      <c r="CQ561" s="16"/>
      <c r="CR561" s="16"/>
      <c r="CS561" s="16"/>
      <c r="CT561" s="17"/>
      <c r="CX561" s="24"/>
      <c r="CY561" s="60"/>
      <c r="CZ561" s="16"/>
      <c r="DA561" s="16"/>
      <c r="DB561" s="16"/>
      <c r="DC561" s="16"/>
      <c r="DD561" s="16"/>
      <c r="DE561" s="17"/>
      <c r="DI561" s="24"/>
      <c r="DJ561" s="60"/>
      <c r="DK561" s="16"/>
      <c r="DL561" s="16"/>
      <c r="DM561" s="16"/>
      <c r="DN561" s="16"/>
      <c r="DO561" s="16"/>
      <c r="DP561" s="17"/>
      <c r="DT561" s="24"/>
      <c r="DU561" s="60"/>
      <c r="DV561" s="16"/>
      <c r="DW561" s="16"/>
      <c r="DX561" s="16"/>
      <c r="DY561" s="16"/>
      <c r="DZ561" s="16"/>
      <c r="EA561" s="17"/>
      <c r="EE561" s="24"/>
      <c r="EF561" s="60"/>
      <c r="EG561" s="16"/>
      <c r="EH561" s="16"/>
      <c r="EI561" s="16"/>
      <c r="EJ561" s="16"/>
      <c r="EK561" s="16"/>
      <c r="EL561" s="17"/>
      <c r="EP561" s="24"/>
      <c r="EQ561" s="60"/>
      <c r="ER561" s="16"/>
      <c r="ES561" s="16"/>
      <c r="ET561" s="16"/>
      <c r="EU561" s="16"/>
      <c r="EV561" s="16"/>
      <c r="EW561" s="17"/>
      <c r="FA561" s="24"/>
      <c r="FB561" s="60"/>
      <c r="FC561" s="16"/>
      <c r="FD561" s="16"/>
      <c r="FE561" s="16"/>
      <c r="FF561" s="16"/>
      <c r="FG561" s="16"/>
      <c r="FH561" s="17"/>
      <c r="FL561" s="24"/>
      <c r="FM561" s="60"/>
      <c r="FN561" s="16"/>
      <c r="FO561" s="16"/>
      <c r="FP561" s="16"/>
      <c r="FQ561" s="16"/>
      <c r="FR561" s="16"/>
      <c r="FS561" s="17"/>
      <c r="FW561" s="24"/>
      <c r="FX561" s="60"/>
      <c r="FY561" s="16"/>
      <c r="FZ561" s="16"/>
      <c r="GA561" s="16"/>
      <c r="GB561" s="16"/>
      <c r="GC561" s="16"/>
      <c r="GD561" s="17"/>
      <c r="GH561" s="24"/>
      <c r="GI561" s="60"/>
      <c r="GJ561" s="16"/>
      <c r="GK561" s="16"/>
      <c r="GL561" s="16"/>
      <c r="GM561" s="16"/>
      <c r="GN561" s="16"/>
      <c r="GO561" s="17"/>
      <c r="GS561" s="24"/>
      <c r="GT561" s="60"/>
      <c r="GU561" s="16"/>
      <c r="GV561" s="16"/>
      <c r="GW561" s="16"/>
      <c r="GX561" s="16"/>
      <c r="GY561" s="16"/>
      <c r="GZ561" s="17"/>
      <c r="HD561" s="24"/>
      <c r="HE561" s="60"/>
      <c r="HF561" s="16"/>
      <c r="HG561" s="16"/>
      <c r="HH561" s="16"/>
      <c r="HI561" s="16"/>
      <c r="HJ561" s="16"/>
      <c r="HK561" s="17"/>
      <c r="HO561" s="24"/>
      <c r="HP561" s="60"/>
      <c r="HQ561" s="16"/>
      <c r="HR561" s="16"/>
      <c r="HS561" s="16"/>
      <c r="HT561" s="16"/>
      <c r="HU561" s="16"/>
      <c r="HV561" s="17"/>
      <c r="HZ561" s="24"/>
      <c r="IA561" s="60"/>
      <c r="IB561" s="16"/>
      <c r="IC561" s="16"/>
      <c r="ID561" s="16"/>
      <c r="IE561" s="16"/>
      <c r="IF561" s="16"/>
      <c r="IG561" s="17"/>
      <c r="IK561" s="24"/>
      <c r="IL561" s="60"/>
      <c r="IM561" s="16"/>
      <c r="IN561" s="16"/>
      <c r="IO561" s="16"/>
      <c r="IP561" s="16"/>
      <c r="IQ561" s="16"/>
      <c r="IR561" s="17"/>
      <c r="IV561" s="24"/>
      <c r="IW561" s="60"/>
      <c r="IX561" s="16"/>
      <c r="IY561" s="16"/>
      <c r="IZ561" s="16"/>
      <c r="JA561" s="16"/>
      <c r="JB561" s="16"/>
      <c r="JC561" s="17"/>
      <c r="JG561" s="24"/>
      <c r="JH561" s="60"/>
      <c r="JI561" s="16"/>
      <c r="JJ561" s="16"/>
      <c r="JK561" s="16"/>
      <c r="JL561" s="16"/>
      <c r="JM561" s="16"/>
      <c r="JN561" s="17"/>
      <c r="JR561" s="24"/>
      <c r="JS561" s="60"/>
      <c r="JT561" s="16"/>
      <c r="JU561" s="16"/>
      <c r="JV561" s="16"/>
      <c r="JW561" s="16"/>
      <c r="JX561" s="16"/>
      <c r="JY561" s="17"/>
      <c r="KC561" s="24"/>
      <c r="KD561" s="60"/>
      <c r="KE561" s="16"/>
      <c r="KF561" s="16"/>
      <c r="KG561" s="16"/>
      <c r="KH561" s="16"/>
      <c r="KI561" s="16"/>
      <c r="KJ561" s="17"/>
      <c r="KN561" s="24"/>
      <c r="KO561" s="60"/>
      <c r="KP561" s="16"/>
      <c r="KQ561" s="16"/>
      <c r="KR561" s="16"/>
      <c r="KS561" s="16"/>
      <c r="KT561" s="16"/>
      <c r="KU561" s="17"/>
      <c r="KY561" s="24"/>
      <c r="KZ561" s="60"/>
      <c r="LA561" s="16"/>
      <c r="LB561" s="16"/>
      <c r="LC561" s="16"/>
      <c r="LD561" s="16"/>
      <c r="LE561" s="16"/>
      <c r="LF561" s="17"/>
      <c r="LJ561" s="24"/>
      <c r="LK561" s="60"/>
      <c r="LL561" s="16"/>
      <c r="LM561" s="16"/>
      <c r="LN561" s="16"/>
      <c r="LO561" s="16"/>
      <c r="LP561" s="16"/>
      <c r="LQ561" s="17"/>
    </row>
    <row r="562">
      <c r="C562" s="31"/>
      <c r="D562" s="61"/>
      <c r="E562" s="16"/>
      <c r="F562" s="16"/>
      <c r="G562" s="21"/>
      <c r="H562" s="16"/>
      <c r="I562" s="16"/>
      <c r="J562" s="17"/>
      <c r="N562" s="17"/>
      <c r="O562" s="61"/>
      <c r="P562" s="16"/>
      <c r="Q562" s="16"/>
      <c r="R562" s="16"/>
      <c r="S562" s="16"/>
      <c r="T562" s="16"/>
      <c r="U562" s="17"/>
      <c r="Y562" s="24"/>
      <c r="Z562" s="61"/>
      <c r="AA562" s="16"/>
      <c r="AB562" s="16"/>
      <c r="AC562" s="16"/>
      <c r="AD562" s="16"/>
      <c r="AE562" s="16"/>
      <c r="AF562" s="17"/>
      <c r="AJ562" s="24"/>
      <c r="AK562" s="61"/>
      <c r="AL562" s="16"/>
      <c r="AM562" s="16"/>
      <c r="AN562" s="16"/>
      <c r="AO562" s="16"/>
      <c r="AP562" s="16"/>
      <c r="AQ562" s="17"/>
      <c r="AU562" s="24"/>
      <c r="AV562" s="61"/>
      <c r="AW562" s="16"/>
      <c r="AX562" s="16"/>
      <c r="AY562" s="16"/>
      <c r="AZ562" s="16"/>
      <c r="BA562" s="16"/>
      <c r="BB562" s="17"/>
      <c r="BF562" s="24"/>
      <c r="BG562" s="61"/>
      <c r="BH562" s="16"/>
      <c r="BI562" s="16"/>
      <c r="BJ562" s="16"/>
      <c r="BK562" s="16"/>
      <c r="BL562" s="16"/>
      <c r="BM562" s="17"/>
      <c r="BQ562" s="24"/>
      <c r="BR562" s="61"/>
      <c r="BS562" s="16"/>
      <c r="BT562" s="16"/>
      <c r="BU562" s="16"/>
      <c r="BV562" s="16"/>
      <c r="BW562" s="16"/>
      <c r="BX562" s="17"/>
      <c r="CB562" s="24"/>
      <c r="CC562" s="61"/>
      <c r="CD562" s="16"/>
      <c r="CE562" s="16"/>
      <c r="CF562" s="16"/>
      <c r="CG562" s="16"/>
      <c r="CH562" s="16"/>
      <c r="CI562" s="17"/>
      <c r="CM562" s="24"/>
      <c r="CN562" s="61"/>
      <c r="CO562" s="16"/>
      <c r="CP562" s="16"/>
      <c r="CQ562" s="16"/>
      <c r="CR562" s="16"/>
      <c r="CS562" s="16"/>
      <c r="CT562" s="17"/>
      <c r="CX562" s="24"/>
      <c r="CY562" s="60"/>
      <c r="CZ562" s="16"/>
      <c r="DA562" s="16"/>
      <c r="DB562" s="16"/>
      <c r="DC562" s="16"/>
      <c r="DD562" s="16"/>
      <c r="DE562" s="17"/>
      <c r="DI562" s="24"/>
      <c r="DJ562" s="60"/>
      <c r="DK562" s="16"/>
      <c r="DL562" s="16"/>
      <c r="DM562" s="16"/>
      <c r="DN562" s="16"/>
      <c r="DO562" s="16"/>
      <c r="DP562" s="17"/>
      <c r="DT562" s="24"/>
      <c r="DU562" s="60"/>
      <c r="DV562" s="16"/>
      <c r="DW562" s="16"/>
      <c r="DX562" s="16"/>
      <c r="DY562" s="16"/>
      <c r="DZ562" s="16"/>
      <c r="EA562" s="17"/>
      <c r="EE562" s="24"/>
      <c r="EF562" s="60"/>
      <c r="EG562" s="16"/>
      <c r="EH562" s="16"/>
      <c r="EI562" s="16"/>
      <c r="EJ562" s="16"/>
      <c r="EK562" s="16"/>
      <c r="EL562" s="17"/>
      <c r="EP562" s="24"/>
      <c r="EQ562" s="60"/>
      <c r="ER562" s="16"/>
      <c r="ES562" s="16"/>
      <c r="ET562" s="16"/>
      <c r="EU562" s="16"/>
      <c r="EV562" s="16"/>
      <c r="EW562" s="17"/>
      <c r="FA562" s="24"/>
      <c r="FB562" s="60"/>
      <c r="FC562" s="16"/>
      <c r="FD562" s="16"/>
      <c r="FE562" s="16"/>
      <c r="FF562" s="16"/>
      <c r="FG562" s="16"/>
      <c r="FH562" s="17"/>
      <c r="FL562" s="24"/>
      <c r="FM562" s="60"/>
      <c r="FN562" s="16"/>
      <c r="FO562" s="16"/>
      <c r="FP562" s="16"/>
      <c r="FQ562" s="16"/>
      <c r="FR562" s="16"/>
      <c r="FS562" s="17"/>
      <c r="FW562" s="24"/>
      <c r="FX562" s="60"/>
      <c r="FY562" s="16"/>
      <c r="FZ562" s="16"/>
      <c r="GA562" s="16"/>
      <c r="GB562" s="16"/>
      <c r="GC562" s="16"/>
      <c r="GD562" s="17"/>
      <c r="GH562" s="24"/>
      <c r="GI562" s="60"/>
      <c r="GJ562" s="16"/>
      <c r="GK562" s="16"/>
      <c r="GL562" s="16"/>
      <c r="GM562" s="16"/>
      <c r="GN562" s="16"/>
      <c r="GO562" s="17"/>
      <c r="GS562" s="24"/>
      <c r="GT562" s="60"/>
      <c r="GU562" s="16"/>
      <c r="GV562" s="16"/>
      <c r="GW562" s="16"/>
      <c r="GX562" s="16"/>
      <c r="GY562" s="16"/>
      <c r="GZ562" s="17"/>
      <c r="HD562" s="24"/>
      <c r="HE562" s="60"/>
      <c r="HF562" s="16"/>
      <c r="HG562" s="16"/>
      <c r="HH562" s="16"/>
      <c r="HI562" s="16"/>
      <c r="HJ562" s="16"/>
      <c r="HK562" s="17"/>
      <c r="HO562" s="24"/>
      <c r="HP562" s="60"/>
      <c r="HQ562" s="16"/>
      <c r="HR562" s="16"/>
      <c r="HS562" s="16"/>
      <c r="HT562" s="16"/>
      <c r="HU562" s="16"/>
      <c r="HV562" s="17"/>
      <c r="HZ562" s="24"/>
      <c r="IA562" s="60"/>
      <c r="IB562" s="16"/>
      <c r="IC562" s="16"/>
      <c r="ID562" s="16"/>
      <c r="IE562" s="16"/>
      <c r="IF562" s="16"/>
      <c r="IG562" s="17"/>
      <c r="IK562" s="24"/>
      <c r="IL562" s="60"/>
      <c r="IM562" s="16"/>
      <c r="IN562" s="16"/>
      <c r="IO562" s="16"/>
      <c r="IP562" s="16"/>
      <c r="IQ562" s="16"/>
      <c r="IR562" s="17"/>
      <c r="IV562" s="24"/>
      <c r="IW562" s="60"/>
      <c r="IX562" s="16"/>
      <c r="IY562" s="16"/>
      <c r="IZ562" s="16"/>
      <c r="JA562" s="16"/>
      <c r="JB562" s="16"/>
      <c r="JC562" s="17"/>
      <c r="JG562" s="24"/>
      <c r="JH562" s="60"/>
      <c r="JI562" s="16"/>
      <c r="JJ562" s="16"/>
      <c r="JK562" s="16"/>
      <c r="JL562" s="16"/>
      <c r="JM562" s="16"/>
      <c r="JN562" s="17"/>
      <c r="JR562" s="24"/>
      <c r="JS562" s="60"/>
      <c r="JT562" s="16"/>
      <c r="JU562" s="16"/>
      <c r="JV562" s="16"/>
      <c r="JW562" s="16"/>
      <c r="JX562" s="16"/>
      <c r="JY562" s="17"/>
      <c r="KC562" s="24"/>
      <c r="KD562" s="60"/>
      <c r="KE562" s="16"/>
      <c r="KF562" s="16"/>
      <c r="KG562" s="16"/>
      <c r="KH562" s="16"/>
      <c r="KI562" s="16"/>
      <c r="KJ562" s="17"/>
      <c r="KN562" s="24"/>
      <c r="KO562" s="60"/>
      <c r="KP562" s="16"/>
      <c r="KQ562" s="16"/>
      <c r="KR562" s="16"/>
      <c r="KS562" s="16"/>
      <c r="KT562" s="16"/>
      <c r="KU562" s="17"/>
      <c r="KY562" s="24"/>
      <c r="KZ562" s="60"/>
      <c r="LA562" s="16"/>
      <c r="LB562" s="16"/>
      <c r="LC562" s="16"/>
      <c r="LD562" s="16"/>
      <c r="LE562" s="16"/>
      <c r="LF562" s="17"/>
      <c r="LJ562" s="24"/>
      <c r="LK562" s="60"/>
      <c r="LL562" s="16"/>
      <c r="LM562" s="16"/>
      <c r="LN562" s="16"/>
      <c r="LO562" s="16"/>
      <c r="LP562" s="16"/>
      <c r="LQ562" s="17"/>
    </row>
    <row r="563">
      <c r="C563" s="31"/>
      <c r="D563" s="61"/>
      <c r="E563" s="16"/>
      <c r="F563" s="16"/>
      <c r="G563" s="21"/>
      <c r="H563" s="16"/>
      <c r="I563" s="16"/>
      <c r="J563" s="17"/>
      <c r="N563" s="17"/>
      <c r="O563" s="61"/>
      <c r="P563" s="16"/>
      <c r="Q563" s="16"/>
      <c r="R563" s="16"/>
      <c r="S563" s="16"/>
      <c r="T563" s="16"/>
      <c r="U563" s="17"/>
      <c r="Y563" s="24"/>
      <c r="Z563" s="61"/>
      <c r="AA563" s="16"/>
      <c r="AB563" s="16"/>
      <c r="AC563" s="16"/>
      <c r="AD563" s="16"/>
      <c r="AE563" s="16"/>
      <c r="AF563" s="17"/>
      <c r="AJ563" s="24"/>
      <c r="AK563" s="61"/>
      <c r="AL563" s="16"/>
      <c r="AM563" s="16"/>
      <c r="AN563" s="16"/>
      <c r="AO563" s="16"/>
      <c r="AP563" s="16"/>
      <c r="AQ563" s="17"/>
      <c r="AU563" s="24"/>
      <c r="AV563" s="61"/>
      <c r="AW563" s="16"/>
      <c r="AX563" s="16"/>
      <c r="AY563" s="16"/>
      <c r="AZ563" s="16"/>
      <c r="BA563" s="16"/>
      <c r="BB563" s="17"/>
      <c r="BF563" s="24"/>
      <c r="BG563" s="61"/>
      <c r="BH563" s="16"/>
      <c r="BI563" s="16"/>
      <c r="BJ563" s="16"/>
      <c r="BK563" s="16"/>
      <c r="BL563" s="16"/>
      <c r="BM563" s="17"/>
      <c r="BQ563" s="24"/>
      <c r="BR563" s="61"/>
      <c r="BS563" s="16"/>
      <c r="BT563" s="16"/>
      <c r="BU563" s="16"/>
      <c r="BV563" s="16"/>
      <c r="BW563" s="16"/>
      <c r="BX563" s="17"/>
      <c r="CB563" s="24"/>
      <c r="CC563" s="61"/>
      <c r="CD563" s="16"/>
      <c r="CE563" s="16"/>
      <c r="CF563" s="16"/>
      <c r="CG563" s="16"/>
      <c r="CH563" s="16"/>
      <c r="CI563" s="17"/>
      <c r="CM563" s="24"/>
      <c r="CN563" s="61"/>
      <c r="CO563" s="16"/>
      <c r="CP563" s="16"/>
      <c r="CQ563" s="16"/>
      <c r="CR563" s="16"/>
      <c r="CS563" s="16"/>
      <c r="CT563" s="17"/>
      <c r="CX563" s="24"/>
      <c r="CY563" s="60"/>
      <c r="CZ563" s="16"/>
      <c r="DA563" s="16"/>
      <c r="DB563" s="16"/>
      <c r="DC563" s="16"/>
      <c r="DD563" s="16"/>
      <c r="DE563" s="17"/>
      <c r="DI563" s="24"/>
      <c r="DJ563" s="60"/>
      <c r="DK563" s="16"/>
      <c r="DL563" s="16"/>
      <c r="DM563" s="16"/>
      <c r="DN563" s="16"/>
      <c r="DO563" s="16"/>
      <c r="DP563" s="17"/>
      <c r="DT563" s="24"/>
      <c r="DU563" s="60"/>
      <c r="DV563" s="16"/>
      <c r="DW563" s="16"/>
      <c r="DX563" s="16"/>
      <c r="DY563" s="16"/>
      <c r="DZ563" s="16"/>
      <c r="EA563" s="17"/>
      <c r="EE563" s="24"/>
      <c r="EF563" s="60"/>
      <c r="EG563" s="16"/>
      <c r="EH563" s="16"/>
      <c r="EI563" s="16"/>
      <c r="EJ563" s="16"/>
      <c r="EK563" s="16"/>
      <c r="EL563" s="17"/>
      <c r="EP563" s="24"/>
      <c r="EQ563" s="60"/>
      <c r="ER563" s="16"/>
      <c r="ES563" s="16"/>
      <c r="ET563" s="16"/>
      <c r="EU563" s="16"/>
      <c r="EV563" s="16"/>
      <c r="EW563" s="17"/>
      <c r="FA563" s="24"/>
      <c r="FB563" s="60"/>
      <c r="FC563" s="16"/>
      <c r="FD563" s="16"/>
      <c r="FE563" s="16"/>
      <c r="FF563" s="16"/>
      <c r="FG563" s="16"/>
      <c r="FH563" s="17"/>
      <c r="FL563" s="24"/>
      <c r="FM563" s="60"/>
      <c r="FN563" s="16"/>
      <c r="FO563" s="16"/>
      <c r="FP563" s="16"/>
      <c r="FQ563" s="16"/>
      <c r="FR563" s="16"/>
      <c r="FS563" s="17"/>
      <c r="FW563" s="24"/>
      <c r="FX563" s="60"/>
      <c r="FY563" s="16"/>
      <c r="FZ563" s="16"/>
      <c r="GA563" s="16"/>
      <c r="GB563" s="16"/>
      <c r="GC563" s="16"/>
      <c r="GD563" s="17"/>
      <c r="GH563" s="24"/>
      <c r="GI563" s="60"/>
      <c r="GJ563" s="16"/>
      <c r="GK563" s="16"/>
      <c r="GL563" s="16"/>
      <c r="GM563" s="16"/>
      <c r="GN563" s="16"/>
      <c r="GO563" s="17"/>
      <c r="GS563" s="24"/>
      <c r="GT563" s="60"/>
      <c r="GU563" s="16"/>
      <c r="GV563" s="16"/>
      <c r="GW563" s="16"/>
      <c r="GX563" s="16"/>
      <c r="GY563" s="16"/>
      <c r="GZ563" s="17"/>
      <c r="HD563" s="24"/>
      <c r="HE563" s="60"/>
      <c r="HF563" s="16"/>
      <c r="HG563" s="16"/>
      <c r="HH563" s="16"/>
      <c r="HI563" s="16"/>
      <c r="HJ563" s="16"/>
      <c r="HK563" s="17"/>
      <c r="HO563" s="24"/>
      <c r="HP563" s="60"/>
      <c r="HQ563" s="16"/>
      <c r="HR563" s="16"/>
      <c r="HS563" s="16"/>
      <c r="HT563" s="16"/>
      <c r="HU563" s="16"/>
      <c r="HV563" s="17"/>
      <c r="HZ563" s="24"/>
      <c r="IA563" s="60"/>
      <c r="IB563" s="16"/>
      <c r="IC563" s="16"/>
      <c r="ID563" s="16"/>
      <c r="IE563" s="16"/>
      <c r="IF563" s="16"/>
      <c r="IG563" s="17"/>
      <c r="IK563" s="24"/>
      <c r="IL563" s="60"/>
      <c r="IM563" s="16"/>
      <c r="IN563" s="16"/>
      <c r="IO563" s="16"/>
      <c r="IP563" s="16"/>
      <c r="IQ563" s="16"/>
      <c r="IR563" s="17"/>
      <c r="IV563" s="24"/>
      <c r="IW563" s="60"/>
      <c r="IX563" s="16"/>
      <c r="IY563" s="16"/>
      <c r="IZ563" s="16"/>
      <c r="JA563" s="16"/>
      <c r="JB563" s="16"/>
      <c r="JC563" s="17"/>
      <c r="JG563" s="24"/>
      <c r="JH563" s="60"/>
      <c r="JI563" s="16"/>
      <c r="JJ563" s="16"/>
      <c r="JK563" s="16"/>
      <c r="JL563" s="16"/>
      <c r="JM563" s="16"/>
      <c r="JN563" s="17"/>
      <c r="JR563" s="24"/>
      <c r="JS563" s="60"/>
      <c r="JT563" s="16"/>
      <c r="JU563" s="16"/>
      <c r="JV563" s="16"/>
      <c r="JW563" s="16"/>
      <c r="JX563" s="16"/>
      <c r="JY563" s="17"/>
      <c r="KC563" s="24"/>
      <c r="KD563" s="60"/>
      <c r="KE563" s="16"/>
      <c r="KF563" s="16"/>
      <c r="KG563" s="16"/>
      <c r="KH563" s="16"/>
      <c r="KI563" s="16"/>
      <c r="KJ563" s="17"/>
      <c r="KN563" s="24"/>
      <c r="KO563" s="60"/>
      <c r="KP563" s="16"/>
      <c r="KQ563" s="16"/>
      <c r="KR563" s="16"/>
      <c r="KS563" s="16"/>
      <c r="KT563" s="16"/>
      <c r="KU563" s="17"/>
      <c r="KY563" s="24"/>
      <c r="KZ563" s="60"/>
      <c r="LA563" s="16"/>
      <c r="LB563" s="16"/>
      <c r="LC563" s="16"/>
      <c r="LD563" s="16"/>
      <c r="LE563" s="16"/>
      <c r="LF563" s="17"/>
      <c r="LJ563" s="24"/>
      <c r="LK563" s="60"/>
      <c r="LL563" s="16"/>
      <c r="LM563" s="16"/>
      <c r="LN563" s="16"/>
      <c r="LO563" s="16"/>
      <c r="LP563" s="16"/>
      <c r="LQ563" s="17"/>
    </row>
    <row r="564">
      <c r="C564" s="31"/>
      <c r="D564" s="61"/>
      <c r="E564" s="16"/>
      <c r="F564" s="16"/>
      <c r="G564" s="21"/>
      <c r="H564" s="16"/>
      <c r="I564" s="16"/>
      <c r="J564" s="17"/>
      <c r="N564" s="17"/>
      <c r="O564" s="61"/>
      <c r="P564" s="16"/>
      <c r="Q564" s="16"/>
      <c r="R564" s="16"/>
      <c r="S564" s="16"/>
      <c r="T564" s="16"/>
      <c r="U564" s="17"/>
      <c r="Y564" s="24"/>
      <c r="Z564" s="61"/>
      <c r="AA564" s="16"/>
      <c r="AB564" s="16"/>
      <c r="AC564" s="16"/>
      <c r="AD564" s="16"/>
      <c r="AE564" s="16"/>
      <c r="AF564" s="17"/>
      <c r="AJ564" s="24"/>
      <c r="AK564" s="61"/>
      <c r="AL564" s="16"/>
      <c r="AM564" s="16"/>
      <c r="AN564" s="16"/>
      <c r="AO564" s="16"/>
      <c r="AP564" s="16"/>
      <c r="AQ564" s="17"/>
      <c r="AU564" s="24"/>
      <c r="AV564" s="61"/>
      <c r="AW564" s="16"/>
      <c r="AX564" s="16"/>
      <c r="AY564" s="16"/>
      <c r="AZ564" s="16"/>
      <c r="BA564" s="16"/>
      <c r="BB564" s="17"/>
      <c r="BF564" s="24"/>
      <c r="BG564" s="61"/>
      <c r="BH564" s="16"/>
      <c r="BI564" s="16"/>
      <c r="BJ564" s="16"/>
      <c r="BK564" s="16"/>
      <c r="BL564" s="16"/>
      <c r="BM564" s="17"/>
      <c r="BQ564" s="24"/>
      <c r="BR564" s="61"/>
      <c r="BS564" s="16"/>
      <c r="BT564" s="16"/>
      <c r="BU564" s="16"/>
      <c r="BV564" s="16"/>
      <c r="BW564" s="16"/>
      <c r="BX564" s="17"/>
      <c r="CB564" s="24"/>
      <c r="CC564" s="61"/>
      <c r="CD564" s="16"/>
      <c r="CE564" s="16"/>
      <c r="CF564" s="16"/>
      <c r="CG564" s="16"/>
      <c r="CH564" s="16"/>
      <c r="CI564" s="17"/>
      <c r="CM564" s="24"/>
      <c r="CN564" s="61"/>
      <c r="CO564" s="16"/>
      <c r="CP564" s="16"/>
      <c r="CQ564" s="16"/>
      <c r="CR564" s="16"/>
      <c r="CS564" s="16"/>
      <c r="CT564" s="17"/>
      <c r="CX564" s="24"/>
      <c r="CY564" s="60"/>
      <c r="CZ564" s="16"/>
      <c r="DA564" s="16"/>
      <c r="DB564" s="16"/>
      <c r="DC564" s="16"/>
      <c r="DD564" s="16"/>
      <c r="DE564" s="17"/>
      <c r="DI564" s="24"/>
      <c r="DJ564" s="60"/>
      <c r="DK564" s="16"/>
      <c r="DL564" s="16"/>
      <c r="DM564" s="16"/>
      <c r="DN564" s="16"/>
      <c r="DO564" s="16"/>
      <c r="DP564" s="17"/>
      <c r="DT564" s="24"/>
      <c r="DU564" s="60"/>
      <c r="DV564" s="16"/>
      <c r="DW564" s="16"/>
      <c r="DX564" s="16"/>
      <c r="DY564" s="16"/>
      <c r="DZ564" s="16"/>
      <c r="EA564" s="17"/>
      <c r="EE564" s="24"/>
      <c r="EF564" s="60"/>
      <c r="EG564" s="16"/>
      <c r="EH564" s="16"/>
      <c r="EI564" s="16"/>
      <c r="EJ564" s="16"/>
      <c r="EK564" s="16"/>
      <c r="EL564" s="17"/>
      <c r="EP564" s="24"/>
      <c r="EQ564" s="60"/>
      <c r="ER564" s="16"/>
      <c r="ES564" s="16"/>
      <c r="ET564" s="16"/>
      <c r="EU564" s="16"/>
      <c r="EV564" s="16"/>
      <c r="EW564" s="17"/>
      <c r="FA564" s="24"/>
      <c r="FB564" s="60"/>
      <c r="FC564" s="16"/>
      <c r="FD564" s="16"/>
      <c r="FE564" s="16"/>
      <c r="FF564" s="16"/>
      <c r="FG564" s="16"/>
      <c r="FH564" s="17"/>
      <c r="FL564" s="24"/>
      <c r="FM564" s="60"/>
      <c r="FN564" s="16"/>
      <c r="FO564" s="16"/>
      <c r="FP564" s="16"/>
      <c r="FQ564" s="16"/>
      <c r="FR564" s="16"/>
      <c r="FS564" s="17"/>
      <c r="FW564" s="24"/>
      <c r="FX564" s="60"/>
      <c r="FY564" s="16"/>
      <c r="FZ564" s="16"/>
      <c r="GA564" s="16"/>
      <c r="GB564" s="16"/>
      <c r="GC564" s="16"/>
      <c r="GD564" s="17"/>
      <c r="GH564" s="24"/>
      <c r="GI564" s="60"/>
      <c r="GJ564" s="16"/>
      <c r="GK564" s="16"/>
      <c r="GL564" s="16"/>
      <c r="GM564" s="16"/>
      <c r="GN564" s="16"/>
      <c r="GO564" s="17"/>
      <c r="GS564" s="24"/>
      <c r="GT564" s="60"/>
      <c r="GU564" s="16"/>
      <c r="GV564" s="16"/>
      <c r="GW564" s="16"/>
      <c r="GX564" s="16"/>
      <c r="GY564" s="16"/>
      <c r="GZ564" s="17"/>
      <c r="HD564" s="24"/>
      <c r="HE564" s="60"/>
      <c r="HF564" s="16"/>
      <c r="HG564" s="16"/>
      <c r="HH564" s="16"/>
      <c r="HI564" s="16"/>
      <c r="HJ564" s="16"/>
      <c r="HK564" s="17"/>
      <c r="HO564" s="24"/>
      <c r="HP564" s="60"/>
      <c r="HQ564" s="16"/>
      <c r="HR564" s="16"/>
      <c r="HS564" s="16"/>
      <c r="HT564" s="16"/>
      <c r="HU564" s="16"/>
      <c r="HV564" s="17"/>
      <c r="HZ564" s="24"/>
      <c r="IA564" s="60"/>
      <c r="IB564" s="16"/>
      <c r="IC564" s="16"/>
      <c r="ID564" s="16"/>
      <c r="IE564" s="16"/>
      <c r="IF564" s="16"/>
      <c r="IG564" s="17"/>
      <c r="IK564" s="24"/>
      <c r="IL564" s="60"/>
      <c r="IM564" s="16"/>
      <c r="IN564" s="16"/>
      <c r="IO564" s="16"/>
      <c r="IP564" s="16"/>
      <c r="IQ564" s="16"/>
      <c r="IR564" s="17"/>
      <c r="IV564" s="24"/>
      <c r="IW564" s="60"/>
      <c r="IX564" s="16"/>
      <c r="IY564" s="16"/>
      <c r="IZ564" s="16"/>
      <c r="JA564" s="16"/>
      <c r="JB564" s="16"/>
      <c r="JC564" s="17"/>
      <c r="JG564" s="24"/>
      <c r="JH564" s="60"/>
      <c r="JI564" s="16"/>
      <c r="JJ564" s="16"/>
      <c r="JK564" s="16"/>
      <c r="JL564" s="16"/>
      <c r="JM564" s="16"/>
      <c r="JN564" s="17"/>
      <c r="JR564" s="24"/>
      <c r="JS564" s="60"/>
      <c r="JT564" s="16"/>
      <c r="JU564" s="16"/>
      <c r="JV564" s="16"/>
      <c r="JW564" s="16"/>
      <c r="JX564" s="16"/>
      <c r="JY564" s="17"/>
      <c r="KC564" s="24"/>
      <c r="KD564" s="60"/>
      <c r="KE564" s="16"/>
      <c r="KF564" s="16"/>
      <c r="KG564" s="16"/>
      <c r="KH564" s="16"/>
      <c r="KI564" s="16"/>
      <c r="KJ564" s="17"/>
      <c r="KN564" s="24"/>
      <c r="KO564" s="60"/>
      <c r="KP564" s="16"/>
      <c r="KQ564" s="16"/>
      <c r="KR564" s="16"/>
      <c r="KS564" s="16"/>
      <c r="KT564" s="16"/>
      <c r="KU564" s="17"/>
      <c r="KY564" s="24"/>
      <c r="KZ564" s="60"/>
      <c r="LA564" s="16"/>
      <c r="LB564" s="16"/>
      <c r="LC564" s="16"/>
      <c r="LD564" s="16"/>
      <c r="LE564" s="16"/>
      <c r="LF564" s="17"/>
      <c r="LJ564" s="24"/>
      <c r="LK564" s="60"/>
      <c r="LL564" s="16"/>
      <c r="LM564" s="16"/>
      <c r="LN564" s="16"/>
      <c r="LO564" s="16"/>
      <c r="LP564" s="16"/>
      <c r="LQ564" s="17"/>
    </row>
    <row r="565">
      <c r="C565" s="31"/>
      <c r="D565" s="61"/>
      <c r="E565" s="16"/>
      <c r="F565" s="16"/>
      <c r="G565" s="21"/>
      <c r="H565" s="16"/>
      <c r="I565" s="16"/>
      <c r="J565" s="17"/>
      <c r="N565" s="17"/>
      <c r="O565" s="61"/>
      <c r="P565" s="16"/>
      <c r="Q565" s="16"/>
      <c r="R565" s="16"/>
      <c r="S565" s="16"/>
      <c r="T565" s="16"/>
      <c r="U565" s="17"/>
      <c r="Y565" s="24"/>
      <c r="Z565" s="61"/>
      <c r="AA565" s="16"/>
      <c r="AB565" s="16"/>
      <c r="AC565" s="16"/>
      <c r="AD565" s="16"/>
      <c r="AE565" s="16"/>
      <c r="AF565" s="17"/>
      <c r="AJ565" s="24"/>
      <c r="AK565" s="61"/>
      <c r="AL565" s="16"/>
      <c r="AM565" s="16"/>
      <c r="AN565" s="16"/>
      <c r="AO565" s="16"/>
      <c r="AP565" s="16"/>
      <c r="AQ565" s="17"/>
      <c r="AU565" s="24"/>
      <c r="AV565" s="61"/>
      <c r="AW565" s="16"/>
      <c r="AX565" s="16"/>
      <c r="AY565" s="16"/>
      <c r="AZ565" s="16"/>
      <c r="BA565" s="16"/>
      <c r="BB565" s="17"/>
      <c r="BF565" s="24"/>
      <c r="BG565" s="61"/>
      <c r="BH565" s="16"/>
      <c r="BI565" s="16"/>
      <c r="BJ565" s="16"/>
      <c r="BK565" s="16"/>
      <c r="BL565" s="16"/>
      <c r="BM565" s="17"/>
      <c r="BQ565" s="24"/>
      <c r="BR565" s="61"/>
      <c r="BS565" s="16"/>
      <c r="BT565" s="16"/>
      <c r="BU565" s="16"/>
      <c r="BV565" s="16"/>
      <c r="BW565" s="16"/>
      <c r="BX565" s="17"/>
      <c r="CB565" s="24"/>
      <c r="CC565" s="61"/>
      <c r="CD565" s="16"/>
      <c r="CE565" s="16"/>
      <c r="CF565" s="16"/>
      <c r="CG565" s="16"/>
      <c r="CH565" s="16"/>
      <c r="CI565" s="17"/>
      <c r="CM565" s="24"/>
      <c r="CN565" s="61"/>
      <c r="CO565" s="16"/>
      <c r="CP565" s="16"/>
      <c r="CQ565" s="16"/>
      <c r="CR565" s="16"/>
      <c r="CS565" s="16"/>
      <c r="CT565" s="17"/>
      <c r="CX565" s="24"/>
      <c r="CY565" s="60"/>
      <c r="CZ565" s="16"/>
      <c r="DA565" s="16"/>
      <c r="DB565" s="16"/>
      <c r="DC565" s="16"/>
      <c r="DD565" s="16"/>
      <c r="DE565" s="17"/>
      <c r="DI565" s="24"/>
      <c r="DJ565" s="60"/>
      <c r="DK565" s="16"/>
      <c r="DL565" s="16"/>
      <c r="DM565" s="16"/>
      <c r="DN565" s="16"/>
      <c r="DO565" s="16"/>
      <c r="DP565" s="17"/>
      <c r="DT565" s="24"/>
      <c r="DU565" s="60"/>
      <c r="DV565" s="16"/>
      <c r="DW565" s="16"/>
      <c r="DX565" s="16"/>
      <c r="DY565" s="16"/>
      <c r="DZ565" s="16"/>
      <c r="EA565" s="17"/>
      <c r="EE565" s="24"/>
      <c r="EF565" s="60"/>
      <c r="EG565" s="16"/>
      <c r="EH565" s="16"/>
      <c r="EI565" s="16"/>
      <c r="EJ565" s="16"/>
      <c r="EK565" s="16"/>
      <c r="EL565" s="17"/>
      <c r="EP565" s="24"/>
      <c r="EQ565" s="60"/>
      <c r="ER565" s="16"/>
      <c r="ES565" s="16"/>
      <c r="ET565" s="16"/>
      <c r="EU565" s="16"/>
      <c r="EV565" s="16"/>
      <c r="EW565" s="17"/>
      <c r="FA565" s="24"/>
      <c r="FB565" s="60"/>
      <c r="FC565" s="16"/>
      <c r="FD565" s="16"/>
      <c r="FE565" s="16"/>
      <c r="FF565" s="16"/>
      <c r="FG565" s="16"/>
      <c r="FH565" s="17"/>
      <c r="FL565" s="24"/>
      <c r="FM565" s="60"/>
      <c r="FN565" s="16"/>
      <c r="FO565" s="16"/>
      <c r="FP565" s="16"/>
      <c r="FQ565" s="16"/>
      <c r="FR565" s="16"/>
      <c r="FS565" s="17"/>
      <c r="FW565" s="24"/>
      <c r="FX565" s="60"/>
      <c r="FY565" s="16"/>
      <c r="FZ565" s="16"/>
      <c r="GA565" s="16"/>
      <c r="GB565" s="16"/>
      <c r="GC565" s="16"/>
      <c r="GD565" s="17"/>
      <c r="GH565" s="24"/>
      <c r="GI565" s="60"/>
      <c r="GJ565" s="16"/>
      <c r="GK565" s="16"/>
      <c r="GL565" s="16"/>
      <c r="GM565" s="16"/>
      <c r="GN565" s="16"/>
      <c r="GO565" s="17"/>
      <c r="GS565" s="24"/>
      <c r="GT565" s="60"/>
      <c r="GU565" s="16"/>
      <c r="GV565" s="16"/>
      <c r="GW565" s="16"/>
      <c r="GX565" s="16"/>
      <c r="GY565" s="16"/>
      <c r="GZ565" s="17"/>
      <c r="HD565" s="24"/>
      <c r="HE565" s="60"/>
      <c r="HF565" s="16"/>
      <c r="HG565" s="16"/>
      <c r="HH565" s="16"/>
      <c r="HI565" s="16"/>
      <c r="HJ565" s="16"/>
      <c r="HK565" s="17"/>
      <c r="HO565" s="24"/>
      <c r="HP565" s="60"/>
      <c r="HQ565" s="16"/>
      <c r="HR565" s="16"/>
      <c r="HS565" s="16"/>
      <c r="HT565" s="16"/>
      <c r="HU565" s="16"/>
      <c r="HV565" s="17"/>
      <c r="HZ565" s="24"/>
      <c r="IA565" s="60"/>
      <c r="IB565" s="16"/>
      <c r="IC565" s="16"/>
      <c r="ID565" s="16"/>
      <c r="IE565" s="16"/>
      <c r="IF565" s="16"/>
      <c r="IG565" s="17"/>
      <c r="IK565" s="24"/>
      <c r="IL565" s="60"/>
      <c r="IM565" s="16"/>
      <c r="IN565" s="16"/>
      <c r="IO565" s="16"/>
      <c r="IP565" s="16"/>
      <c r="IQ565" s="16"/>
      <c r="IR565" s="17"/>
      <c r="IV565" s="24"/>
      <c r="IW565" s="60"/>
      <c r="IX565" s="16"/>
      <c r="IY565" s="16"/>
      <c r="IZ565" s="16"/>
      <c r="JA565" s="16"/>
      <c r="JB565" s="16"/>
      <c r="JC565" s="17"/>
      <c r="JG565" s="24"/>
      <c r="JH565" s="60"/>
      <c r="JI565" s="16"/>
      <c r="JJ565" s="16"/>
      <c r="JK565" s="16"/>
      <c r="JL565" s="16"/>
      <c r="JM565" s="16"/>
      <c r="JN565" s="17"/>
      <c r="JR565" s="24"/>
      <c r="JS565" s="60"/>
      <c r="JT565" s="16"/>
      <c r="JU565" s="16"/>
      <c r="JV565" s="16"/>
      <c r="JW565" s="16"/>
      <c r="JX565" s="16"/>
      <c r="JY565" s="17"/>
      <c r="KC565" s="24"/>
      <c r="KD565" s="60"/>
      <c r="KE565" s="16"/>
      <c r="KF565" s="16"/>
      <c r="KG565" s="16"/>
      <c r="KH565" s="16"/>
      <c r="KI565" s="16"/>
      <c r="KJ565" s="17"/>
      <c r="KN565" s="24"/>
      <c r="KO565" s="60"/>
      <c r="KP565" s="16"/>
      <c r="KQ565" s="16"/>
      <c r="KR565" s="16"/>
      <c r="KS565" s="16"/>
      <c r="KT565" s="16"/>
      <c r="KU565" s="17"/>
      <c r="KY565" s="24"/>
      <c r="KZ565" s="60"/>
      <c r="LA565" s="16"/>
      <c r="LB565" s="16"/>
      <c r="LC565" s="16"/>
      <c r="LD565" s="16"/>
      <c r="LE565" s="16"/>
      <c r="LF565" s="17"/>
      <c r="LJ565" s="24"/>
      <c r="LK565" s="60"/>
      <c r="LL565" s="16"/>
      <c r="LM565" s="16"/>
      <c r="LN565" s="16"/>
      <c r="LO565" s="16"/>
      <c r="LP565" s="16"/>
      <c r="LQ565" s="17"/>
    </row>
    <row r="566">
      <c r="C566" s="31"/>
      <c r="D566" s="61"/>
      <c r="E566" s="16"/>
      <c r="F566" s="16"/>
      <c r="G566" s="21"/>
      <c r="H566" s="16"/>
      <c r="I566" s="16"/>
      <c r="J566" s="17"/>
      <c r="N566" s="17"/>
      <c r="O566" s="61"/>
      <c r="P566" s="16"/>
      <c r="Q566" s="16"/>
      <c r="R566" s="16"/>
      <c r="S566" s="16"/>
      <c r="T566" s="16"/>
      <c r="U566" s="17"/>
      <c r="Y566" s="24"/>
      <c r="Z566" s="61"/>
      <c r="AA566" s="16"/>
      <c r="AB566" s="16"/>
      <c r="AC566" s="16"/>
      <c r="AD566" s="16"/>
      <c r="AE566" s="16"/>
      <c r="AF566" s="17"/>
      <c r="AJ566" s="24"/>
      <c r="AK566" s="61"/>
      <c r="AL566" s="16"/>
      <c r="AM566" s="16"/>
      <c r="AN566" s="16"/>
      <c r="AO566" s="16"/>
      <c r="AP566" s="16"/>
      <c r="AQ566" s="17"/>
      <c r="AU566" s="24"/>
      <c r="AV566" s="61"/>
      <c r="AW566" s="16"/>
      <c r="AX566" s="16"/>
      <c r="AY566" s="16"/>
      <c r="AZ566" s="16"/>
      <c r="BA566" s="16"/>
      <c r="BB566" s="17"/>
      <c r="BF566" s="24"/>
      <c r="BG566" s="61"/>
      <c r="BH566" s="16"/>
      <c r="BI566" s="16"/>
      <c r="BJ566" s="16"/>
      <c r="BK566" s="16"/>
      <c r="BL566" s="16"/>
      <c r="BM566" s="17"/>
      <c r="BQ566" s="24"/>
      <c r="BR566" s="61"/>
      <c r="BS566" s="16"/>
      <c r="BT566" s="16"/>
      <c r="BU566" s="16"/>
      <c r="BV566" s="16"/>
      <c r="BW566" s="16"/>
      <c r="BX566" s="17"/>
      <c r="CB566" s="24"/>
      <c r="CC566" s="61"/>
      <c r="CD566" s="16"/>
      <c r="CE566" s="16"/>
      <c r="CF566" s="16"/>
      <c r="CG566" s="16"/>
      <c r="CH566" s="16"/>
      <c r="CI566" s="17"/>
      <c r="CM566" s="24"/>
      <c r="CN566" s="61"/>
      <c r="CO566" s="16"/>
      <c r="CP566" s="16"/>
      <c r="CQ566" s="16"/>
      <c r="CR566" s="16"/>
      <c r="CS566" s="16"/>
      <c r="CT566" s="17"/>
      <c r="CX566" s="24"/>
      <c r="CY566" s="60"/>
      <c r="CZ566" s="16"/>
      <c r="DA566" s="16"/>
      <c r="DB566" s="16"/>
      <c r="DC566" s="16"/>
      <c r="DD566" s="16"/>
      <c r="DE566" s="17"/>
      <c r="DI566" s="24"/>
      <c r="DJ566" s="60"/>
      <c r="DK566" s="16"/>
      <c r="DL566" s="16"/>
      <c r="DM566" s="16"/>
      <c r="DN566" s="16"/>
      <c r="DO566" s="16"/>
      <c r="DP566" s="17"/>
      <c r="DT566" s="24"/>
      <c r="DU566" s="60"/>
      <c r="DV566" s="16"/>
      <c r="DW566" s="16"/>
      <c r="DX566" s="16"/>
      <c r="DY566" s="16"/>
      <c r="DZ566" s="16"/>
      <c r="EA566" s="17"/>
      <c r="EE566" s="24"/>
      <c r="EF566" s="60"/>
      <c r="EG566" s="16"/>
      <c r="EH566" s="16"/>
      <c r="EI566" s="16"/>
      <c r="EJ566" s="16"/>
      <c r="EK566" s="16"/>
      <c r="EL566" s="17"/>
      <c r="EP566" s="24"/>
      <c r="EQ566" s="60"/>
      <c r="ER566" s="16"/>
      <c r="ES566" s="16"/>
      <c r="ET566" s="16"/>
      <c r="EU566" s="16"/>
      <c r="EV566" s="16"/>
      <c r="EW566" s="17"/>
      <c r="FA566" s="24"/>
      <c r="FB566" s="60"/>
      <c r="FC566" s="16"/>
      <c r="FD566" s="16"/>
      <c r="FE566" s="16"/>
      <c r="FF566" s="16"/>
      <c r="FG566" s="16"/>
      <c r="FH566" s="17"/>
      <c r="FL566" s="24"/>
      <c r="FM566" s="60"/>
      <c r="FN566" s="16"/>
      <c r="FO566" s="16"/>
      <c r="FP566" s="16"/>
      <c r="FQ566" s="16"/>
      <c r="FR566" s="16"/>
      <c r="FS566" s="17"/>
      <c r="FW566" s="24"/>
      <c r="FX566" s="60"/>
      <c r="FY566" s="16"/>
      <c r="FZ566" s="16"/>
      <c r="GA566" s="16"/>
      <c r="GB566" s="16"/>
      <c r="GC566" s="16"/>
      <c r="GD566" s="17"/>
      <c r="GH566" s="24"/>
      <c r="GI566" s="60"/>
      <c r="GJ566" s="16"/>
      <c r="GK566" s="16"/>
      <c r="GL566" s="16"/>
      <c r="GM566" s="16"/>
      <c r="GN566" s="16"/>
      <c r="GO566" s="17"/>
      <c r="GS566" s="24"/>
      <c r="GT566" s="60"/>
      <c r="GU566" s="16"/>
      <c r="GV566" s="16"/>
      <c r="GW566" s="16"/>
      <c r="GX566" s="16"/>
      <c r="GY566" s="16"/>
      <c r="GZ566" s="17"/>
      <c r="HD566" s="24"/>
      <c r="HE566" s="60"/>
      <c r="HF566" s="16"/>
      <c r="HG566" s="16"/>
      <c r="HH566" s="16"/>
      <c r="HI566" s="16"/>
      <c r="HJ566" s="16"/>
      <c r="HK566" s="17"/>
      <c r="HO566" s="24"/>
      <c r="HP566" s="60"/>
      <c r="HQ566" s="16"/>
      <c r="HR566" s="16"/>
      <c r="HS566" s="16"/>
      <c r="HT566" s="16"/>
      <c r="HU566" s="16"/>
      <c r="HV566" s="17"/>
      <c r="HZ566" s="24"/>
      <c r="IA566" s="60"/>
      <c r="IB566" s="16"/>
      <c r="IC566" s="16"/>
      <c r="ID566" s="16"/>
      <c r="IE566" s="16"/>
      <c r="IF566" s="16"/>
      <c r="IG566" s="17"/>
      <c r="IK566" s="24"/>
      <c r="IL566" s="60"/>
      <c r="IM566" s="16"/>
      <c r="IN566" s="16"/>
      <c r="IO566" s="16"/>
      <c r="IP566" s="16"/>
      <c r="IQ566" s="16"/>
      <c r="IR566" s="17"/>
      <c r="IV566" s="24"/>
      <c r="IW566" s="60"/>
      <c r="IX566" s="16"/>
      <c r="IY566" s="16"/>
      <c r="IZ566" s="16"/>
      <c r="JA566" s="16"/>
      <c r="JB566" s="16"/>
      <c r="JC566" s="17"/>
      <c r="JG566" s="24"/>
      <c r="JH566" s="60"/>
      <c r="JI566" s="16"/>
      <c r="JJ566" s="16"/>
      <c r="JK566" s="16"/>
      <c r="JL566" s="16"/>
      <c r="JM566" s="16"/>
      <c r="JN566" s="17"/>
      <c r="JR566" s="24"/>
      <c r="JS566" s="60"/>
      <c r="JT566" s="16"/>
      <c r="JU566" s="16"/>
      <c r="JV566" s="16"/>
      <c r="JW566" s="16"/>
      <c r="JX566" s="16"/>
      <c r="JY566" s="17"/>
      <c r="KC566" s="24"/>
      <c r="KD566" s="60"/>
      <c r="KE566" s="16"/>
      <c r="KF566" s="16"/>
      <c r="KG566" s="16"/>
      <c r="KH566" s="16"/>
      <c r="KI566" s="16"/>
      <c r="KJ566" s="17"/>
      <c r="KN566" s="24"/>
      <c r="KO566" s="60"/>
      <c r="KP566" s="16"/>
      <c r="KQ566" s="16"/>
      <c r="KR566" s="16"/>
      <c r="KS566" s="16"/>
      <c r="KT566" s="16"/>
      <c r="KU566" s="17"/>
      <c r="KY566" s="24"/>
      <c r="KZ566" s="60"/>
      <c r="LA566" s="16"/>
      <c r="LB566" s="16"/>
      <c r="LC566" s="16"/>
      <c r="LD566" s="16"/>
      <c r="LE566" s="16"/>
      <c r="LF566" s="17"/>
      <c r="LJ566" s="24"/>
      <c r="LK566" s="60"/>
      <c r="LL566" s="16"/>
      <c r="LM566" s="16"/>
      <c r="LN566" s="16"/>
      <c r="LO566" s="16"/>
      <c r="LP566" s="16"/>
      <c r="LQ566" s="17"/>
    </row>
    <row r="567">
      <c r="C567" s="31"/>
      <c r="D567" s="61"/>
      <c r="E567" s="16"/>
      <c r="F567" s="16"/>
      <c r="G567" s="21"/>
      <c r="H567" s="16"/>
      <c r="I567" s="16"/>
      <c r="J567" s="17"/>
      <c r="N567" s="17"/>
      <c r="O567" s="61"/>
      <c r="P567" s="16"/>
      <c r="Q567" s="16"/>
      <c r="R567" s="16"/>
      <c r="S567" s="16"/>
      <c r="T567" s="16"/>
      <c r="U567" s="17"/>
      <c r="Y567" s="24"/>
      <c r="Z567" s="61"/>
      <c r="AA567" s="16"/>
      <c r="AB567" s="16"/>
      <c r="AC567" s="16"/>
      <c r="AD567" s="16"/>
      <c r="AE567" s="16"/>
      <c r="AF567" s="17"/>
      <c r="AJ567" s="24"/>
      <c r="AK567" s="61"/>
      <c r="AL567" s="16"/>
      <c r="AM567" s="16"/>
      <c r="AN567" s="16"/>
      <c r="AO567" s="16"/>
      <c r="AP567" s="16"/>
      <c r="AQ567" s="17"/>
      <c r="AU567" s="24"/>
      <c r="AV567" s="61"/>
      <c r="AW567" s="16"/>
      <c r="AX567" s="16"/>
      <c r="AY567" s="16"/>
      <c r="AZ567" s="16"/>
      <c r="BA567" s="16"/>
      <c r="BB567" s="17"/>
      <c r="BF567" s="24"/>
      <c r="BG567" s="61"/>
      <c r="BH567" s="16"/>
      <c r="BI567" s="16"/>
      <c r="BJ567" s="16"/>
      <c r="BK567" s="16"/>
      <c r="BL567" s="16"/>
      <c r="BM567" s="17"/>
      <c r="BQ567" s="24"/>
      <c r="BR567" s="61"/>
      <c r="BS567" s="16"/>
      <c r="BT567" s="16"/>
      <c r="BU567" s="16"/>
      <c r="BV567" s="16"/>
      <c r="BW567" s="16"/>
      <c r="BX567" s="17"/>
      <c r="CB567" s="24"/>
      <c r="CC567" s="61"/>
      <c r="CD567" s="16"/>
      <c r="CE567" s="16"/>
      <c r="CF567" s="16"/>
      <c r="CG567" s="16"/>
      <c r="CH567" s="16"/>
      <c r="CI567" s="17"/>
      <c r="CM567" s="24"/>
      <c r="CN567" s="61"/>
      <c r="CO567" s="16"/>
      <c r="CP567" s="16"/>
      <c r="CQ567" s="16"/>
      <c r="CR567" s="16"/>
      <c r="CS567" s="16"/>
      <c r="CT567" s="17"/>
      <c r="CX567" s="24"/>
      <c r="CY567" s="60"/>
      <c r="CZ567" s="16"/>
      <c r="DA567" s="16"/>
      <c r="DB567" s="16"/>
      <c r="DC567" s="16"/>
      <c r="DD567" s="16"/>
      <c r="DE567" s="17"/>
      <c r="DI567" s="24"/>
      <c r="DJ567" s="60"/>
      <c r="DK567" s="16"/>
      <c r="DL567" s="16"/>
      <c r="DM567" s="16"/>
      <c r="DN567" s="16"/>
      <c r="DO567" s="16"/>
      <c r="DP567" s="17"/>
      <c r="DT567" s="24"/>
      <c r="DU567" s="60"/>
      <c r="DV567" s="16"/>
      <c r="DW567" s="16"/>
      <c r="DX567" s="16"/>
      <c r="DY567" s="16"/>
      <c r="DZ567" s="16"/>
      <c r="EA567" s="17"/>
      <c r="EE567" s="24"/>
      <c r="EF567" s="60"/>
      <c r="EG567" s="16"/>
      <c r="EH567" s="16"/>
      <c r="EI567" s="16"/>
      <c r="EJ567" s="16"/>
      <c r="EK567" s="16"/>
      <c r="EL567" s="17"/>
      <c r="EP567" s="24"/>
      <c r="EQ567" s="60"/>
      <c r="ER567" s="16"/>
      <c r="ES567" s="16"/>
      <c r="ET567" s="16"/>
      <c r="EU567" s="16"/>
      <c r="EV567" s="16"/>
      <c r="EW567" s="17"/>
      <c r="FA567" s="24"/>
      <c r="FB567" s="60"/>
      <c r="FC567" s="16"/>
      <c r="FD567" s="16"/>
      <c r="FE567" s="16"/>
      <c r="FF567" s="16"/>
      <c r="FG567" s="16"/>
      <c r="FH567" s="17"/>
      <c r="FL567" s="24"/>
      <c r="FM567" s="60"/>
      <c r="FN567" s="16"/>
      <c r="FO567" s="16"/>
      <c r="FP567" s="16"/>
      <c r="FQ567" s="16"/>
      <c r="FR567" s="16"/>
      <c r="FS567" s="17"/>
      <c r="FW567" s="24"/>
      <c r="FX567" s="60"/>
      <c r="FY567" s="16"/>
      <c r="FZ567" s="16"/>
      <c r="GA567" s="16"/>
      <c r="GB567" s="16"/>
      <c r="GC567" s="16"/>
      <c r="GD567" s="17"/>
      <c r="GH567" s="24"/>
      <c r="GI567" s="60"/>
      <c r="GJ567" s="16"/>
      <c r="GK567" s="16"/>
      <c r="GL567" s="16"/>
      <c r="GM567" s="16"/>
      <c r="GN567" s="16"/>
      <c r="GO567" s="17"/>
      <c r="GS567" s="24"/>
      <c r="GT567" s="60"/>
      <c r="GU567" s="16"/>
      <c r="GV567" s="16"/>
      <c r="GW567" s="16"/>
      <c r="GX567" s="16"/>
      <c r="GY567" s="16"/>
      <c r="GZ567" s="17"/>
      <c r="HD567" s="24"/>
      <c r="HE567" s="60"/>
      <c r="HF567" s="16"/>
      <c r="HG567" s="16"/>
      <c r="HH567" s="16"/>
      <c r="HI567" s="16"/>
      <c r="HJ567" s="16"/>
      <c r="HK567" s="17"/>
      <c r="HO567" s="24"/>
      <c r="HP567" s="60"/>
      <c r="HQ567" s="16"/>
      <c r="HR567" s="16"/>
      <c r="HS567" s="16"/>
      <c r="HT567" s="16"/>
      <c r="HU567" s="16"/>
      <c r="HV567" s="17"/>
      <c r="HZ567" s="24"/>
      <c r="IA567" s="60"/>
      <c r="IB567" s="16"/>
      <c r="IC567" s="16"/>
      <c r="ID567" s="16"/>
      <c r="IE567" s="16"/>
      <c r="IF567" s="16"/>
      <c r="IG567" s="17"/>
      <c r="IK567" s="24"/>
      <c r="IL567" s="60"/>
      <c r="IM567" s="16"/>
      <c r="IN567" s="16"/>
      <c r="IO567" s="16"/>
      <c r="IP567" s="16"/>
      <c r="IQ567" s="16"/>
      <c r="IR567" s="17"/>
      <c r="IV567" s="24"/>
      <c r="IW567" s="60"/>
      <c r="IX567" s="16"/>
      <c r="IY567" s="16"/>
      <c r="IZ567" s="16"/>
      <c r="JA567" s="16"/>
      <c r="JB567" s="16"/>
      <c r="JC567" s="17"/>
      <c r="JG567" s="24"/>
      <c r="JH567" s="60"/>
      <c r="JI567" s="16"/>
      <c r="JJ567" s="16"/>
      <c r="JK567" s="16"/>
      <c r="JL567" s="16"/>
      <c r="JM567" s="16"/>
      <c r="JN567" s="17"/>
      <c r="JR567" s="24"/>
      <c r="JS567" s="60"/>
      <c r="JT567" s="16"/>
      <c r="JU567" s="16"/>
      <c r="JV567" s="16"/>
      <c r="JW567" s="16"/>
      <c r="JX567" s="16"/>
      <c r="JY567" s="17"/>
      <c r="KC567" s="24"/>
      <c r="KD567" s="60"/>
      <c r="KE567" s="16"/>
      <c r="KF567" s="16"/>
      <c r="KG567" s="16"/>
      <c r="KH567" s="16"/>
      <c r="KI567" s="16"/>
      <c r="KJ567" s="17"/>
      <c r="KN567" s="24"/>
      <c r="KO567" s="60"/>
      <c r="KP567" s="16"/>
      <c r="KQ567" s="16"/>
      <c r="KR567" s="16"/>
      <c r="KS567" s="16"/>
      <c r="KT567" s="16"/>
      <c r="KU567" s="17"/>
      <c r="KY567" s="24"/>
      <c r="KZ567" s="60"/>
      <c r="LA567" s="16"/>
      <c r="LB567" s="16"/>
      <c r="LC567" s="16"/>
      <c r="LD567" s="16"/>
      <c r="LE567" s="16"/>
      <c r="LF567" s="17"/>
      <c r="LJ567" s="24"/>
      <c r="LK567" s="60"/>
      <c r="LL567" s="16"/>
      <c r="LM567" s="16"/>
      <c r="LN567" s="16"/>
      <c r="LO567" s="16"/>
      <c r="LP567" s="16"/>
      <c r="LQ567" s="17"/>
    </row>
    <row r="568">
      <c r="C568" s="31"/>
      <c r="D568" s="61"/>
      <c r="E568" s="16"/>
      <c r="F568" s="16"/>
      <c r="G568" s="21"/>
      <c r="H568" s="16"/>
      <c r="I568" s="16"/>
      <c r="J568" s="17"/>
      <c r="N568" s="17"/>
      <c r="O568" s="61"/>
      <c r="P568" s="16"/>
      <c r="Q568" s="16"/>
      <c r="R568" s="16"/>
      <c r="S568" s="16"/>
      <c r="T568" s="16"/>
      <c r="U568" s="17"/>
      <c r="Y568" s="24"/>
      <c r="Z568" s="61"/>
      <c r="AA568" s="16"/>
      <c r="AB568" s="16"/>
      <c r="AC568" s="16"/>
      <c r="AD568" s="16"/>
      <c r="AE568" s="16"/>
      <c r="AF568" s="17"/>
      <c r="AJ568" s="24"/>
      <c r="AK568" s="61"/>
      <c r="AL568" s="16"/>
      <c r="AM568" s="16"/>
      <c r="AN568" s="16"/>
      <c r="AO568" s="16"/>
      <c r="AP568" s="16"/>
      <c r="AQ568" s="17"/>
      <c r="AU568" s="24"/>
      <c r="AV568" s="61"/>
      <c r="AW568" s="16"/>
      <c r="AX568" s="16"/>
      <c r="AY568" s="16"/>
      <c r="AZ568" s="16"/>
      <c r="BA568" s="16"/>
      <c r="BB568" s="17"/>
      <c r="BF568" s="24"/>
      <c r="BG568" s="61"/>
      <c r="BH568" s="16"/>
      <c r="BI568" s="16"/>
      <c r="BJ568" s="16"/>
      <c r="BK568" s="16"/>
      <c r="BL568" s="16"/>
      <c r="BM568" s="17"/>
      <c r="BQ568" s="24"/>
      <c r="BR568" s="61"/>
      <c r="BS568" s="16"/>
      <c r="BT568" s="16"/>
      <c r="BU568" s="16"/>
      <c r="BV568" s="16"/>
      <c r="BW568" s="16"/>
      <c r="BX568" s="17"/>
      <c r="CB568" s="24"/>
      <c r="CC568" s="61"/>
      <c r="CD568" s="16"/>
      <c r="CE568" s="16"/>
      <c r="CF568" s="16"/>
      <c r="CG568" s="16"/>
      <c r="CH568" s="16"/>
      <c r="CI568" s="17"/>
      <c r="CM568" s="24"/>
      <c r="CN568" s="61"/>
      <c r="CO568" s="16"/>
      <c r="CP568" s="16"/>
      <c r="CQ568" s="16"/>
      <c r="CR568" s="16"/>
      <c r="CS568" s="16"/>
      <c r="CT568" s="17"/>
      <c r="CX568" s="24"/>
      <c r="CY568" s="60"/>
      <c r="CZ568" s="16"/>
      <c r="DA568" s="16"/>
      <c r="DB568" s="16"/>
      <c r="DC568" s="16"/>
      <c r="DD568" s="16"/>
      <c r="DE568" s="17"/>
      <c r="DI568" s="24"/>
      <c r="DJ568" s="60"/>
      <c r="DK568" s="16"/>
      <c r="DL568" s="16"/>
      <c r="DM568" s="16"/>
      <c r="DN568" s="16"/>
      <c r="DO568" s="16"/>
      <c r="DP568" s="17"/>
      <c r="DT568" s="24"/>
      <c r="DU568" s="60"/>
      <c r="DV568" s="16"/>
      <c r="DW568" s="16"/>
      <c r="DX568" s="16"/>
      <c r="DY568" s="16"/>
      <c r="DZ568" s="16"/>
      <c r="EA568" s="17"/>
      <c r="EE568" s="24"/>
      <c r="EF568" s="60"/>
      <c r="EG568" s="16"/>
      <c r="EH568" s="16"/>
      <c r="EI568" s="16"/>
      <c r="EJ568" s="16"/>
      <c r="EK568" s="16"/>
      <c r="EL568" s="17"/>
      <c r="EP568" s="24"/>
      <c r="EQ568" s="60"/>
      <c r="ER568" s="16"/>
      <c r="ES568" s="16"/>
      <c r="ET568" s="16"/>
      <c r="EU568" s="16"/>
      <c r="EV568" s="16"/>
      <c r="EW568" s="17"/>
      <c r="FA568" s="24"/>
      <c r="FB568" s="60"/>
      <c r="FC568" s="16"/>
      <c r="FD568" s="16"/>
      <c r="FE568" s="16"/>
      <c r="FF568" s="16"/>
      <c r="FG568" s="16"/>
      <c r="FH568" s="17"/>
      <c r="FL568" s="24"/>
      <c r="FM568" s="60"/>
      <c r="FN568" s="16"/>
      <c r="FO568" s="16"/>
      <c r="FP568" s="16"/>
      <c r="FQ568" s="16"/>
      <c r="FR568" s="16"/>
      <c r="FS568" s="17"/>
      <c r="FW568" s="24"/>
      <c r="FX568" s="60"/>
      <c r="FY568" s="16"/>
      <c r="FZ568" s="16"/>
      <c r="GA568" s="16"/>
      <c r="GB568" s="16"/>
      <c r="GC568" s="16"/>
      <c r="GD568" s="17"/>
      <c r="GH568" s="24"/>
      <c r="GI568" s="60"/>
      <c r="GJ568" s="16"/>
      <c r="GK568" s="16"/>
      <c r="GL568" s="16"/>
      <c r="GM568" s="16"/>
      <c r="GN568" s="16"/>
      <c r="GO568" s="17"/>
      <c r="GS568" s="24"/>
      <c r="GT568" s="60"/>
      <c r="GU568" s="16"/>
      <c r="GV568" s="16"/>
      <c r="GW568" s="16"/>
      <c r="GX568" s="16"/>
      <c r="GY568" s="16"/>
      <c r="GZ568" s="17"/>
      <c r="HD568" s="24"/>
      <c r="HE568" s="60"/>
      <c r="HF568" s="16"/>
      <c r="HG568" s="16"/>
      <c r="HH568" s="16"/>
      <c r="HI568" s="16"/>
      <c r="HJ568" s="16"/>
      <c r="HK568" s="17"/>
      <c r="HO568" s="24"/>
      <c r="HP568" s="60"/>
      <c r="HQ568" s="16"/>
      <c r="HR568" s="16"/>
      <c r="HS568" s="16"/>
      <c r="HT568" s="16"/>
      <c r="HU568" s="16"/>
      <c r="HV568" s="17"/>
      <c r="HZ568" s="24"/>
      <c r="IA568" s="60"/>
      <c r="IB568" s="16"/>
      <c r="IC568" s="16"/>
      <c r="ID568" s="16"/>
      <c r="IE568" s="16"/>
      <c r="IF568" s="16"/>
      <c r="IG568" s="17"/>
      <c r="IK568" s="24"/>
      <c r="IL568" s="60"/>
      <c r="IM568" s="16"/>
      <c r="IN568" s="16"/>
      <c r="IO568" s="16"/>
      <c r="IP568" s="16"/>
      <c r="IQ568" s="16"/>
      <c r="IR568" s="17"/>
      <c r="IV568" s="24"/>
      <c r="IW568" s="60"/>
      <c r="IX568" s="16"/>
      <c r="IY568" s="16"/>
      <c r="IZ568" s="16"/>
      <c r="JA568" s="16"/>
      <c r="JB568" s="16"/>
      <c r="JC568" s="17"/>
      <c r="JG568" s="24"/>
      <c r="JH568" s="60"/>
      <c r="JI568" s="16"/>
      <c r="JJ568" s="16"/>
      <c r="JK568" s="16"/>
      <c r="JL568" s="16"/>
      <c r="JM568" s="16"/>
      <c r="JN568" s="17"/>
      <c r="JR568" s="24"/>
      <c r="JS568" s="60"/>
      <c r="JT568" s="16"/>
      <c r="JU568" s="16"/>
      <c r="JV568" s="16"/>
      <c r="JW568" s="16"/>
      <c r="JX568" s="16"/>
      <c r="JY568" s="17"/>
      <c r="KC568" s="24"/>
      <c r="KD568" s="60"/>
      <c r="KE568" s="16"/>
      <c r="KF568" s="16"/>
      <c r="KG568" s="16"/>
      <c r="KH568" s="16"/>
      <c r="KI568" s="16"/>
      <c r="KJ568" s="17"/>
      <c r="KN568" s="24"/>
      <c r="KO568" s="60"/>
      <c r="KP568" s="16"/>
      <c r="KQ568" s="16"/>
      <c r="KR568" s="16"/>
      <c r="KS568" s="16"/>
      <c r="KT568" s="16"/>
      <c r="KU568" s="17"/>
      <c r="KY568" s="24"/>
      <c r="KZ568" s="60"/>
      <c r="LA568" s="16"/>
      <c r="LB568" s="16"/>
      <c r="LC568" s="16"/>
      <c r="LD568" s="16"/>
      <c r="LE568" s="16"/>
      <c r="LF568" s="17"/>
      <c r="LJ568" s="24"/>
      <c r="LK568" s="60"/>
      <c r="LL568" s="16"/>
      <c r="LM568" s="16"/>
      <c r="LN568" s="16"/>
      <c r="LO568" s="16"/>
      <c r="LP568" s="16"/>
      <c r="LQ568" s="17"/>
    </row>
    <row r="569">
      <c r="C569" s="31"/>
      <c r="D569" s="61"/>
      <c r="E569" s="16"/>
      <c r="F569" s="16"/>
      <c r="G569" s="21"/>
      <c r="H569" s="16"/>
      <c r="I569" s="16"/>
      <c r="J569" s="17"/>
      <c r="N569" s="17"/>
      <c r="O569" s="61"/>
      <c r="P569" s="16"/>
      <c r="Q569" s="16"/>
      <c r="R569" s="16"/>
      <c r="S569" s="16"/>
      <c r="T569" s="16"/>
      <c r="U569" s="17"/>
      <c r="Y569" s="24"/>
      <c r="Z569" s="61"/>
      <c r="AA569" s="16"/>
      <c r="AB569" s="16"/>
      <c r="AC569" s="16"/>
      <c r="AD569" s="16"/>
      <c r="AE569" s="16"/>
      <c r="AF569" s="17"/>
      <c r="AJ569" s="24"/>
      <c r="AK569" s="61"/>
      <c r="AL569" s="16"/>
      <c r="AM569" s="16"/>
      <c r="AN569" s="16"/>
      <c r="AO569" s="16"/>
      <c r="AP569" s="16"/>
      <c r="AQ569" s="17"/>
      <c r="AU569" s="24"/>
      <c r="AV569" s="61"/>
      <c r="AW569" s="16"/>
      <c r="AX569" s="16"/>
      <c r="AY569" s="16"/>
      <c r="AZ569" s="16"/>
      <c r="BA569" s="16"/>
      <c r="BB569" s="17"/>
      <c r="BF569" s="24"/>
      <c r="BG569" s="61"/>
      <c r="BH569" s="16"/>
      <c r="BI569" s="16"/>
      <c r="BJ569" s="16"/>
      <c r="BK569" s="16"/>
      <c r="BL569" s="16"/>
      <c r="BM569" s="17"/>
      <c r="BQ569" s="24"/>
      <c r="BR569" s="61"/>
      <c r="BS569" s="16"/>
      <c r="BT569" s="16"/>
      <c r="BU569" s="16"/>
      <c r="BV569" s="16"/>
      <c r="BW569" s="16"/>
      <c r="BX569" s="17"/>
      <c r="CB569" s="24"/>
      <c r="CC569" s="61"/>
      <c r="CD569" s="16"/>
      <c r="CE569" s="16"/>
      <c r="CF569" s="16"/>
      <c r="CG569" s="16"/>
      <c r="CH569" s="16"/>
      <c r="CI569" s="17"/>
      <c r="CM569" s="24"/>
      <c r="CN569" s="61"/>
      <c r="CO569" s="16"/>
      <c r="CP569" s="16"/>
      <c r="CQ569" s="16"/>
      <c r="CR569" s="16"/>
      <c r="CS569" s="16"/>
      <c r="CT569" s="17"/>
      <c r="CX569" s="24"/>
      <c r="CY569" s="60"/>
      <c r="CZ569" s="16"/>
      <c r="DA569" s="16"/>
      <c r="DB569" s="16"/>
      <c r="DC569" s="16"/>
      <c r="DD569" s="16"/>
      <c r="DE569" s="17"/>
      <c r="DI569" s="24"/>
      <c r="DJ569" s="60"/>
      <c r="DK569" s="16"/>
      <c r="DL569" s="16"/>
      <c r="DM569" s="16"/>
      <c r="DN569" s="16"/>
      <c r="DO569" s="16"/>
      <c r="DP569" s="17"/>
      <c r="DT569" s="24"/>
      <c r="DU569" s="60"/>
      <c r="DV569" s="16"/>
      <c r="DW569" s="16"/>
      <c r="DX569" s="16"/>
      <c r="DY569" s="16"/>
      <c r="DZ569" s="16"/>
      <c r="EA569" s="17"/>
      <c r="EE569" s="24"/>
      <c r="EF569" s="60"/>
      <c r="EG569" s="16"/>
      <c r="EH569" s="16"/>
      <c r="EI569" s="16"/>
      <c r="EJ569" s="16"/>
      <c r="EK569" s="16"/>
      <c r="EL569" s="17"/>
      <c r="EP569" s="24"/>
      <c r="EQ569" s="60"/>
      <c r="ER569" s="16"/>
      <c r="ES569" s="16"/>
      <c r="ET569" s="16"/>
      <c r="EU569" s="16"/>
      <c r="EV569" s="16"/>
      <c r="EW569" s="17"/>
      <c r="FA569" s="24"/>
      <c r="FB569" s="60"/>
      <c r="FC569" s="16"/>
      <c r="FD569" s="16"/>
      <c r="FE569" s="16"/>
      <c r="FF569" s="16"/>
      <c r="FG569" s="16"/>
      <c r="FH569" s="17"/>
      <c r="FL569" s="24"/>
      <c r="FM569" s="60"/>
      <c r="FN569" s="16"/>
      <c r="FO569" s="16"/>
      <c r="FP569" s="16"/>
      <c r="FQ569" s="16"/>
      <c r="FR569" s="16"/>
      <c r="FS569" s="17"/>
      <c r="FW569" s="24"/>
      <c r="FX569" s="60"/>
      <c r="FY569" s="16"/>
      <c r="FZ569" s="16"/>
      <c r="GA569" s="16"/>
      <c r="GB569" s="16"/>
      <c r="GC569" s="16"/>
      <c r="GD569" s="17"/>
      <c r="GH569" s="24"/>
      <c r="GI569" s="60"/>
      <c r="GJ569" s="16"/>
      <c r="GK569" s="16"/>
      <c r="GL569" s="16"/>
      <c r="GM569" s="16"/>
      <c r="GN569" s="16"/>
      <c r="GO569" s="17"/>
      <c r="GS569" s="24"/>
      <c r="GT569" s="60"/>
      <c r="GU569" s="16"/>
      <c r="GV569" s="16"/>
      <c r="GW569" s="16"/>
      <c r="GX569" s="16"/>
      <c r="GY569" s="16"/>
      <c r="GZ569" s="17"/>
      <c r="HD569" s="24"/>
      <c r="HE569" s="60"/>
      <c r="HF569" s="16"/>
      <c r="HG569" s="16"/>
      <c r="HH569" s="16"/>
      <c r="HI569" s="16"/>
      <c r="HJ569" s="16"/>
      <c r="HK569" s="17"/>
      <c r="HO569" s="24"/>
      <c r="HP569" s="60"/>
      <c r="HQ569" s="16"/>
      <c r="HR569" s="16"/>
      <c r="HS569" s="16"/>
      <c r="HT569" s="16"/>
      <c r="HU569" s="16"/>
      <c r="HV569" s="17"/>
      <c r="HZ569" s="24"/>
      <c r="IA569" s="60"/>
      <c r="IB569" s="16"/>
      <c r="IC569" s="16"/>
      <c r="ID569" s="16"/>
      <c r="IE569" s="16"/>
      <c r="IF569" s="16"/>
      <c r="IG569" s="17"/>
      <c r="IK569" s="24"/>
      <c r="IL569" s="60"/>
      <c r="IM569" s="16"/>
      <c r="IN569" s="16"/>
      <c r="IO569" s="16"/>
      <c r="IP569" s="16"/>
      <c r="IQ569" s="16"/>
      <c r="IR569" s="17"/>
      <c r="IV569" s="24"/>
      <c r="IW569" s="60"/>
      <c r="IX569" s="16"/>
      <c r="IY569" s="16"/>
      <c r="IZ569" s="16"/>
      <c r="JA569" s="16"/>
      <c r="JB569" s="16"/>
      <c r="JC569" s="17"/>
      <c r="JG569" s="24"/>
      <c r="JH569" s="60"/>
      <c r="JI569" s="16"/>
      <c r="JJ569" s="16"/>
      <c r="JK569" s="16"/>
      <c r="JL569" s="16"/>
      <c r="JM569" s="16"/>
      <c r="JN569" s="17"/>
      <c r="JR569" s="24"/>
      <c r="JS569" s="60"/>
      <c r="JT569" s="16"/>
      <c r="JU569" s="16"/>
      <c r="JV569" s="16"/>
      <c r="JW569" s="16"/>
      <c r="JX569" s="16"/>
      <c r="JY569" s="17"/>
      <c r="KC569" s="24"/>
      <c r="KD569" s="60"/>
      <c r="KE569" s="16"/>
      <c r="KF569" s="16"/>
      <c r="KG569" s="16"/>
      <c r="KH569" s="16"/>
      <c r="KI569" s="16"/>
      <c r="KJ569" s="17"/>
      <c r="KN569" s="24"/>
      <c r="KO569" s="60"/>
      <c r="KP569" s="16"/>
      <c r="KQ569" s="16"/>
      <c r="KR569" s="16"/>
      <c r="KS569" s="16"/>
      <c r="KT569" s="16"/>
      <c r="KU569" s="17"/>
      <c r="KY569" s="24"/>
      <c r="KZ569" s="60"/>
      <c r="LA569" s="16"/>
      <c r="LB569" s="16"/>
      <c r="LC569" s="16"/>
      <c r="LD569" s="16"/>
      <c r="LE569" s="16"/>
      <c r="LF569" s="17"/>
      <c r="LJ569" s="24"/>
      <c r="LK569" s="60"/>
      <c r="LL569" s="16"/>
      <c r="LM569" s="16"/>
      <c r="LN569" s="16"/>
      <c r="LO569" s="16"/>
      <c r="LP569" s="16"/>
      <c r="LQ569" s="17"/>
    </row>
    <row r="570">
      <c r="C570" s="31"/>
      <c r="D570" s="61"/>
      <c r="E570" s="16"/>
      <c r="F570" s="16"/>
      <c r="G570" s="21"/>
      <c r="H570" s="16"/>
      <c r="I570" s="16"/>
      <c r="J570" s="17"/>
      <c r="N570" s="17"/>
      <c r="O570" s="61"/>
      <c r="P570" s="16"/>
      <c r="Q570" s="16"/>
      <c r="R570" s="16"/>
      <c r="S570" s="16"/>
      <c r="T570" s="16"/>
      <c r="U570" s="17"/>
      <c r="Y570" s="24"/>
      <c r="Z570" s="61"/>
      <c r="AA570" s="16"/>
      <c r="AB570" s="16"/>
      <c r="AC570" s="16"/>
      <c r="AD570" s="16"/>
      <c r="AE570" s="16"/>
      <c r="AF570" s="17"/>
      <c r="AJ570" s="24"/>
      <c r="AK570" s="61"/>
      <c r="AL570" s="16"/>
      <c r="AM570" s="16"/>
      <c r="AN570" s="16"/>
      <c r="AO570" s="16"/>
      <c r="AP570" s="16"/>
      <c r="AQ570" s="17"/>
      <c r="AU570" s="24"/>
      <c r="AV570" s="61"/>
      <c r="AW570" s="16"/>
      <c r="AX570" s="16"/>
      <c r="AY570" s="16"/>
      <c r="AZ570" s="16"/>
      <c r="BA570" s="16"/>
      <c r="BB570" s="17"/>
      <c r="BF570" s="24"/>
      <c r="BG570" s="61"/>
      <c r="BH570" s="16"/>
      <c r="BI570" s="16"/>
      <c r="BJ570" s="16"/>
      <c r="BK570" s="16"/>
      <c r="BL570" s="16"/>
      <c r="BM570" s="17"/>
      <c r="BQ570" s="24"/>
      <c r="BR570" s="61"/>
      <c r="BS570" s="16"/>
      <c r="BT570" s="16"/>
      <c r="BU570" s="16"/>
      <c r="BV570" s="16"/>
      <c r="BW570" s="16"/>
      <c r="BX570" s="17"/>
      <c r="CB570" s="24"/>
      <c r="CC570" s="61"/>
      <c r="CD570" s="16"/>
      <c r="CE570" s="16"/>
      <c r="CF570" s="16"/>
      <c r="CG570" s="16"/>
      <c r="CH570" s="16"/>
      <c r="CI570" s="17"/>
      <c r="CM570" s="24"/>
      <c r="CN570" s="61"/>
      <c r="CO570" s="16"/>
      <c r="CP570" s="16"/>
      <c r="CQ570" s="16"/>
      <c r="CR570" s="16"/>
      <c r="CS570" s="16"/>
      <c r="CT570" s="17"/>
      <c r="CX570" s="24"/>
      <c r="CY570" s="60"/>
      <c r="CZ570" s="16"/>
      <c r="DA570" s="16"/>
      <c r="DB570" s="16"/>
      <c r="DC570" s="16"/>
      <c r="DD570" s="16"/>
      <c r="DE570" s="17"/>
      <c r="DI570" s="24"/>
      <c r="DJ570" s="60"/>
      <c r="DK570" s="16"/>
      <c r="DL570" s="16"/>
      <c r="DM570" s="16"/>
      <c r="DN570" s="16"/>
      <c r="DO570" s="16"/>
      <c r="DP570" s="17"/>
      <c r="DT570" s="24"/>
      <c r="DU570" s="60"/>
      <c r="DV570" s="16"/>
      <c r="DW570" s="16"/>
      <c r="DX570" s="16"/>
      <c r="DY570" s="16"/>
      <c r="DZ570" s="16"/>
      <c r="EA570" s="17"/>
      <c r="EE570" s="24"/>
      <c r="EF570" s="60"/>
      <c r="EG570" s="16"/>
      <c r="EH570" s="16"/>
      <c r="EI570" s="16"/>
      <c r="EJ570" s="16"/>
      <c r="EK570" s="16"/>
      <c r="EL570" s="17"/>
      <c r="EP570" s="24"/>
      <c r="EQ570" s="60"/>
      <c r="ER570" s="16"/>
      <c r="ES570" s="16"/>
      <c r="ET570" s="16"/>
      <c r="EU570" s="16"/>
      <c r="EV570" s="16"/>
      <c r="EW570" s="17"/>
      <c r="FA570" s="24"/>
      <c r="FB570" s="60"/>
      <c r="FC570" s="16"/>
      <c r="FD570" s="16"/>
      <c r="FE570" s="16"/>
      <c r="FF570" s="16"/>
      <c r="FG570" s="16"/>
      <c r="FH570" s="17"/>
      <c r="FL570" s="24"/>
      <c r="FM570" s="60"/>
      <c r="FN570" s="16"/>
      <c r="FO570" s="16"/>
      <c r="FP570" s="16"/>
      <c r="FQ570" s="16"/>
      <c r="FR570" s="16"/>
      <c r="FS570" s="17"/>
      <c r="FW570" s="24"/>
      <c r="FX570" s="60"/>
      <c r="FY570" s="16"/>
      <c r="FZ570" s="16"/>
      <c r="GA570" s="16"/>
      <c r="GB570" s="16"/>
      <c r="GC570" s="16"/>
      <c r="GD570" s="17"/>
      <c r="GH570" s="24"/>
      <c r="GI570" s="60"/>
      <c r="GJ570" s="16"/>
      <c r="GK570" s="16"/>
      <c r="GL570" s="16"/>
      <c r="GM570" s="16"/>
      <c r="GN570" s="16"/>
      <c r="GO570" s="17"/>
      <c r="GS570" s="24"/>
      <c r="GT570" s="60"/>
      <c r="GU570" s="16"/>
      <c r="GV570" s="16"/>
      <c r="GW570" s="16"/>
      <c r="GX570" s="16"/>
      <c r="GY570" s="16"/>
      <c r="GZ570" s="17"/>
      <c r="HD570" s="24"/>
      <c r="HE570" s="60"/>
      <c r="HF570" s="16"/>
      <c r="HG570" s="16"/>
      <c r="HH570" s="16"/>
      <c r="HI570" s="16"/>
      <c r="HJ570" s="16"/>
      <c r="HK570" s="17"/>
      <c r="HO570" s="24"/>
      <c r="HP570" s="60"/>
      <c r="HQ570" s="16"/>
      <c r="HR570" s="16"/>
      <c r="HS570" s="16"/>
      <c r="HT570" s="16"/>
      <c r="HU570" s="16"/>
      <c r="HV570" s="17"/>
      <c r="HZ570" s="24"/>
      <c r="IA570" s="60"/>
      <c r="IB570" s="16"/>
      <c r="IC570" s="16"/>
      <c r="ID570" s="16"/>
      <c r="IE570" s="16"/>
      <c r="IF570" s="16"/>
      <c r="IG570" s="17"/>
      <c r="IK570" s="24"/>
      <c r="IL570" s="60"/>
      <c r="IM570" s="16"/>
      <c r="IN570" s="16"/>
      <c r="IO570" s="16"/>
      <c r="IP570" s="16"/>
      <c r="IQ570" s="16"/>
      <c r="IR570" s="17"/>
      <c r="IV570" s="24"/>
      <c r="IW570" s="60"/>
      <c r="IX570" s="16"/>
      <c r="IY570" s="16"/>
      <c r="IZ570" s="16"/>
      <c r="JA570" s="16"/>
      <c r="JB570" s="16"/>
      <c r="JC570" s="17"/>
      <c r="JG570" s="24"/>
      <c r="JH570" s="60"/>
      <c r="JI570" s="16"/>
      <c r="JJ570" s="16"/>
      <c r="JK570" s="16"/>
      <c r="JL570" s="16"/>
      <c r="JM570" s="16"/>
      <c r="JN570" s="17"/>
      <c r="JR570" s="24"/>
      <c r="JS570" s="60"/>
      <c r="JT570" s="16"/>
      <c r="JU570" s="16"/>
      <c r="JV570" s="16"/>
      <c r="JW570" s="16"/>
      <c r="JX570" s="16"/>
      <c r="JY570" s="17"/>
      <c r="KC570" s="24"/>
      <c r="KD570" s="60"/>
      <c r="KE570" s="16"/>
      <c r="KF570" s="16"/>
      <c r="KG570" s="16"/>
      <c r="KH570" s="16"/>
      <c r="KI570" s="16"/>
      <c r="KJ570" s="17"/>
      <c r="KN570" s="24"/>
      <c r="KO570" s="60"/>
      <c r="KP570" s="16"/>
      <c r="KQ570" s="16"/>
      <c r="KR570" s="16"/>
      <c r="KS570" s="16"/>
      <c r="KT570" s="16"/>
      <c r="KU570" s="17"/>
      <c r="KY570" s="24"/>
      <c r="KZ570" s="60"/>
      <c r="LA570" s="16"/>
      <c r="LB570" s="16"/>
      <c r="LC570" s="16"/>
      <c r="LD570" s="16"/>
      <c r="LE570" s="16"/>
      <c r="LF570" s="17"/>
      <c r="LJ570" s="24"/>
      <c r="LK570" s="60"/>
      <c r="LL570" s="16"/>
      <c r="LM570" s="16"/>
      <c r="LN570" s="16"/>
      <c r="LO570" s="16"/>
      <c r="LP570" s="16"/>
      <c r="LQ570" s="17"/>
    </row>
    <row r="571">
      <c r="C571" s="31"/>
      <c r="D571" s="61"/>
      <c r="E571" s="16"/>
      <c r="F571" s="16"/>
      <c r="G571" s="21"/>
      <c r="H571" s="16"/>
      <c r="I571" s="16"/>
      <c r="J571" s="17"/>
      <c r="N571" s="17"/>
      <c r="O571" s="61"/>
      <c r="P571" s="16"/>
      <c r="Q571" s="16"/>
      <c r="R571" s="16"/>
      <c r="S571" s="16"/>
      <c r="T571" s="16"/>
      <c r="U571" s="17"/>
      <c r="Y571" s="24"/>
      <c r="Z571" s="61"/>
      <c r="AA571" s="16"/>
      <c r="AB571" s="16"/>
      <c r="AC571" s="16"/>
      <c r="AD571" s="16"/>
      <c r="AE571" s="16"/>
      <c r="AF571" s="17"/>
      <c r="AJ571" s="24"/>
      <c r="AK571" s="61"/>
      <c r="AL571" s="16"/>
      <c r="AM571" s="16"/>
      <c r="AN571" s="16"/>
      <c r="AO571" s="16"/>
      <c r="AP571" s="16"/>
      <c r="AQ571" s="17"/>
      <c r="AU571" s="24"/>
      <c r="AV571" s="61"/>
      <c r="AW571" s="16"/>
      <c r="AX571" s="16"/>
      <c r="AY571" s="16"/>
      <c r="AZ571" s="16"/>
      <c r="BA571" s="16"/>
      <c r="BB571" s="17"/>
      <c r="BF571" s="24"/>
      <c r="BG571" s="61"/>
      <c r="BH571" s="16"/>
      <c r="BI571" s="16"/>
      <c r="BJ571" s="16"/>
      <c r="BK571" s="16"/>
      <c r="BL571" s="16"/>
      <c r="BM571" s="17"/>
      <c r="BQ571" s="24"/>
      <c r="BR571" s="61"/>
      <c r="BS571" s="16"/>
      <c r="BT571" s="16"/>
      <c r="BU571" s="16"/>
      <c r="BV571" s="16"/>
      <c r="BW571" s="16"/>
      <c r="BX571" s="17"/>
      <c r="CB571" s="24"/>
      <c r="CC571" s="61"/>
      <c r="CD571" s="16"/>
      <c r="CE571" s="16"/>
      <c r="CF571" s="16"/>
      <c r="CG571" s="16"/>
      <c r="CH571" s="16"/>
      <c r="CI571" s="17"/>
      <c r="CM571" s="24"/>
      <c r="CN571" s="61"/>
      <c r="CO571" s="16"/>
      <c r="CP571" s="16"/>
      <c r="CQ571" s="16"/>
      <c r="CR571" s="16"/>
      <c r="CS571" s="16"/>
      <c r="CT571" s="17"/>
      <c r="CX571" s="24"/>
      <c r="CY571" s="60"/>
      <c r="CZ571" s="16"/>
      <c r="DA571" s="16"/>
      <c r="DB571" s="16"/>
      <c r="DC571" s="16"/>
      <c r="DD571" s="16"/>
      <c r="DE571" s="17"/>
      <c r="DI571" s="24"/>
      <c r="DJ571" s="60"/>
      <c r="DK571" s="16"/>
      <c r="DL571" s="16"/>
      <c r="DM571" s="16"/>
      <c r="DN571" s="16"/>
      <c r="DO571" s="16"/>
      <c r="DP571" s="17"/>
      <c r="DT571" s="24"/>
      <c r="DU571" s="60"/>
      <c r="DV571" s="16"/>
      <c r="DW571" s="16"/>
      <c r="DX571" s="16"/>
      <c r="DY571" s="16"/>
      <c r="DZ571" s="16"/>
      <c r="EA571" s="17"/>
      <c r="EE571" s="24"/>
      <c r="EF571" s="60"/>
      <c r="EG571" s="16"/>
      <c r="EH571" s="16"/>
      <c r="EI571" s="16"/>
      <c r="EJ571" s="16"/>
      <c r="EK571" s="16"/>
      <c r="EL571" s="17"/>
      <c r="EP571" s="24"/>
      <c r="EQ571" s="60"/>
      <c r="ER571" s="16"/>
      <c r="ES571" s="16"/>
      <c r="ET571" s="16"/>
      <c r="EU571" s="16"/>
      <c r="EV571" s="16"/>
      <c r="EW571" s="17"/>
      <c r="FA571" s="24"/>
      <c r="FB571" s="60"/>
      <c r="FC571" s="16"/>
      <c r="FD571" s="16"/>
      <c r="FE571" s="16"/>
      <c r="FF571" s="16"/>
      <c r="FG571" s="16"/>
      <c r="FH571" s="17"/>
      <c r="FL571" s="24"/>
      <c r="FM571" s="60"/>
      <c r="FN571" s="16"/>
      <c r="FO571" s="16"/>
      <c r="FP571" s="16"/>
      <c r="FQ571" s="16"/>
      <c r="FR571" s="16"/>
      <c r="FS571" s="17"/>
      <c r="FW571" s="24"/>
      <c r="FX571" s="60"/>
      <c r="FY571" s="16"/>
      <c r="FZ571" s="16"/>
      <c r="GA571" s="16"/>
      <c r="GB571" s="16"/>
      <c r="GC571" s="16"/>
      <c r="GD571" s="17"/>
      <c r="GH571" s="24"/>
      <c r="GI571" s="60"/>
      <c r="GJ571" s="16"/>
      <c r="GK571" s="16"/>
      <c r="GL571" s="16"/>
      <c r="GM571" s="16"/>
      <c r="GN571" s="16"/>
      <c r="GO571" s="17"/>
      <c r="GS571" s="24"/>
      <c r="GT571" s="60"/>
      <c r="GU571" s="16"/>
      <c r="GV571" s="16"/>
      <c r="GW571" s="16"/>
      <c r="GX571" s="16"/>
      <c r="GY571" s="16"/>
      <c r="GZ571" s="17"/>
      <c r="HD571" s="24"/>
      <c r="HE571" s="60"/>
      <c r="HF571" s="16"/>
      <c r="HG571" s="16"/>
      <c r="HH571" s="16"/>
      <c r="HI571" s="16"/>
      <c r="HJ571" s="16"/>
      <c r="HK571" s="17"/>
      <c r="HO571" s="24"/>
      <c r="HP571" s="60"/>
      <c r="HQ571" s="16"/>
      <c r="HR571" s="16"/>
      <c r="HS571" s="16"/>
      <c r="HT571" s="16"/>
      <c r="HU571" s="16"/>
      <c r="HV571" s="17"/>
      <c r="HZ571" s="24"/>
      <c r="IA571" s="60"/>
      <c r="IB571" s="16"/>
      <c r="IC571" s="16"/>
      <c r="ID571" s="16"/>
      <c r="IE571" s="16"/>
      <c r="IF571" s="16"/>
      <c r="IG571" s="17"/>
      <c r="IK571" s="24"/>
      <c r="IL571" s="60"/>
      <c r="IM571" s="16"/>
      <c r="IN571" s="16"/>
      <c r="IO571" s="16"/>
      <c r="IP571" s="16"/>
      <c r="IQ571" s="16"/>
      <c r="IR571" s="17"/>
      <c r="IV571" s="24"/>
      <c r="IW571" s="60"/>
      <c r="IX571" s="16"/>
      <c r="IY571" s="16"/>
      <c r="IZ571" s="16"/>
      <c r="JA571" s="16"/>
      <c r="JB571" s="16"/>
      <c r="JC571" s="17"/>
      <c r="JG571" s="24"/>
      <c r="JH571" s="60"/>
      <c r="JI571" s="16"/>
      <c r="JJ571" s="16"/>
      <c r="JK571" s="16"/>
      <c r="JL571" s="16"/>
      <c r="JM571" s="16"/>
      <c r="JN571" s="17"/>
      <c r="JR571" s="24"/>
      <c r="JS571" s="60"/>
      <c r="JT571" s="16"/>
      <c r="JU571" s="16"/>
      <c r="JV571" s="16"/>
      <c r="JW571" s="16"/>
      <c r="JX571" s="16"/>
      <c r="JY571" s="17"/>
      <c r="KC571" s="24"/>
      <c r="KD571" s="60"/>
      <c r="KE571" s="16"/>
      <c r="KF571" s="16"/>
      <c r="KG571" s="16"/>
      <c r="KH571" s="16"/>
      <c r="KI571" s="16"/>
      <c r="KJ571" s="17"/>
      <c r="KN571" s="24"/>
      <c r="KO571" s="60"/>
      <c r="KP571" s="16"/>
      <c r="KQ571" s="16"/>
      <c r="KR571" s="16"/>
      <c r="KS571" s="16"/>
      <c r="KT571" s="16"/>
      <c r="KU571" s="17"/>
      <c r="KY571" s="24"/>
      <c r="KZ571" s="60"/>
      <c r="LA571" s="16"/>
      <c r="LB571" s="16"/>
      <c r="LC571" s="16"/>
      <c r="LD571" s="16"/>
      <c r="LE571" s="16"/>
      <c r="LF571" s="17"/>
      <c r="LJ571" s="24"/>
      <c r="LK571" s="60"/>
      <c r="LL571" s="16"/>
      <c r="LM571" s="16"/>
      <c r="LN571" s="16"/>
      <c r="LO571" s="16"/>
      <c r="LP571" s="16"/>
      <c r="LQ571" s="17"/>
    </row>
    <row r="572">
      <c r="C572" s="31"/>
      <c r="D572" s="61"/>
      <c r="E572" s="16"/>
      <c r="F572" s="16"/>
      <c r="G572" s="21"/>
      <c r="H572" s="16"/>
      <c r="I572" s="16"/>
      <c r="J572" s="17"/>
      <c r="N572" s="17"/>
      <c r="O572" s="61"/>
      <c r="P572" s="16"/>
      <c r="Q572" s="16"/>
      <c r="R572" s="16"/>
      <c r="S572" s="16"/>
      <c r="T572" s="16"/>
      <c r="U572" s="17"/>
      <c r="Y572" s="24"/>
      <c r="Z572" s="61"/>
      <c r="AA572" s="16"/>
      <c r="AB572" s="16"/>
      <c r="AC572" s="16"/>
      <c r="AD572" s="16"/>
      <c r="AE572" s="16"/>
      <c r="AF572" s="17"/>
      <c r="AJ572" s="24"/>
      <c r="AK572" s="61"/>
      <c r="AL572" s="16"/>
      <c r="AM572" s="16"/>
      <c r="AN572" s="16"/>
      <c r="AO572" s="16"/>
      <c r="AP572" s="16"/>
      <c r="AQ572" s="17"/>
      <c r="AU572" s="24"/>
      <c r="AV572" s="61"/>
      <c r="AW572" s="16"/>
      <c r="AX572" s="16"/>
      <c r="AY572" s="16"/>
      <c r="AZ572" s="16"/>
      <c r="BA572" s="16"/>
      <c r="BB572" s="17"/>
      <c r="BF572" s="24"/>
      <c r="BG572" s="61"/>
      <c r="BH572" s="16"/>
      <c r="BI572" s="16"/>
      <c r="BJ572" s="16"/>
      <c r="BK572" s="16"/>
      <c r="BL572" s="16"/>
      <c r="BM572" s="17"/>
      <c r="BQ572" s="24"/>
      <c r="BR572" s="61"/>
      <c r="BS572" s="16"/>
      <c r="BT572" s="16"/>
      <c r="BU572" s="16"/>
      <c r="BV572" s="16"/>
      <c r="BW572" s="16"/>
      <c r="BX572" s="17"/>
      <c r="CB572" s="24"/>
      <c r="CC572" s="61"/>
      <c r="CD572" s="16"/>
      <c r="CE572" s="16"/>
      <c r="CF572" s="16"/>
      <c r="CG572" s="16"/>
      <c r="CH572" s="16"/>
      <c r="CI572" s="17"/>
      <c r="CM572" s="24"/>
      <c r="CN572" s="61"/>
      <c r="CO572" s="16"/>
      <c r="CP572" s="16"/>
      <c r="CQ572" s="16"/>
      <c r="CR572" s="16"/>
      <c r="CS572" s="16"/>
      <c r="CT572" s="17"/>
      <c r="CX572" s="24"/>
      <c r="CY572" s="60"/>
      <c r="CZ572" s="16"/>
      <c r="DA572" s="16"/>
      <c r="DB572" s="16"/>
      <c r="DC572" s="16"/>
      <c r="DD572" s="16"/>
      <c r="DE572" s="17"/>
      <c r="DI572" s="24"/>
      <c r="DJ572" s="60"/>
      <c r="DK572" s="16"/>
      <c r="DL572" s="16"/>
      <c r="DM572" s="16"/>
      <c r="DN572" s="16"/>
      <c r="DO572" s="16"/>
      <c r="DP572" s="17"/>
      <c r="DT572" s="24"/>
      <c r="DU572" s="60"/>
      <c r="DV572" s="16"/>
      <c r="DW572" s="16"/>
      <c r="DX572" s="16"/>
      <c r="DY572" s="16"/>
      <c r="DZ572" s="16"/>
      <c r="EA572" s="17"/>
      <c r="EE572" s="24"/>
      <c r="EF572" s="60"/>
      <c r="EG572" s="16"/>
      <c r="EH572" s="16"/>
      <c r="EI572" s="16"/>
      <c r="EJ572" s="16"/>
      <c r="EK572" s="16"/>
      <c r="EL572" s="17"/>
      <c r="EP572" s="24"/>
      <c r="EQ572" s="60"/>
      <c r="ER572" s="16"/>
      <c r="ES572" s="16"/>
      <c r="ET572" s="16"/>
      <c r="EU572" s="16"/>
      <c r="EV572" s="16"/>
      <c r="EW572" s="17"/>
      <c r="FA572" s="24"/>
      <c r="FB572" s="60"/>
      <c r="FC572" s="16"/>
      <c r="FD572" s="16"/>
      <c r="FE572" s="16"/>
      <c r="FF572" s="16"/>
      <c r="FG572" s="16"/>
      <c r="FH572" s="17"/>
      <c r="FL572" s="24"/>
      <c r="FM572" s="60"/>
      <c r="FN572" s="16"/>
      <c r="FO572" s="16"/>
      <c r="FP572" s="16"/>
      <c r="FQ572" s="16"/>
      <c r="FR572" s="16"/>
      <c r="FS572" s="17"/>
      <c r="FW572" s="24"/>
      <c r="FX572" s="60"/>
      <c r="FY572" s="16"/>
      <c r="FZ572" s="16"/>
      <c r="GA572" s="16"/>
      <c r="GB572" s="16"/>
      <c r="GC572" s="16"/>
      <c r="GD572" s="17"/>
      <c r="GH572" s="24"/>
      <c r="GI572" s="60"/>
      <c r="GJ572" s="16"/>
      <c r="GK572" s="16"/>
      <c r="GL572" s="16"/>
      <c r="GM572" s="16"/>
      <c r="GN572" s="16"/>
      <c r="GO572" s="17"/>
      <c r="GS572" s="24"/>
      <c r="GT572" s="60"/>
      <c r="GU572" s="16"/>
      <c r="GV572" s="16"/>
      <c r="GW572" s="16"/>
      <c r="GX572" s="16"/>
      <c r="GY572" s="16"/>
      <c r="GZ572" s="17"/>
      <c r="HD572" s="24"/>
      <c r="HE572" s="60"/>
      <c r="HF572" s="16"/>
      <c r="HG572" s="16"/>
      <c r="HH572" s="16"/>
      <c r="HI572" s="16"/>
      <c r="HJ572" s="16"/>
      <c r="HK572" s="17"/>
      <c r="HO572" s="24"/>
      <c r="HP572" s="60"/>
      <c r="HQ572" s="16"/>
      <c r="HR572" s="16"/>
      <c r="HS572" s="16"/>
      <c r="HT572" s="16"/>
      <c r="HU572" s="16"/>
      <c r="HV572" s="17"/>
      <c r="HZ572" s="24"/>
      <c r="IA572" s="60"/>
      <c r="IB572" s="16"/>
      <c r="IC572" s="16"/>
      <c r="ID572" s="16"/>
      <c r="IE572" s="16"/>
      <c r="IF572" s="16"/>
      <c r="IG572" s="17"/>
      <c r="IK572" s="24"/>
      <c r="IL572" s="60"/>
      <c r="IM572" s="16"/>
      <c r="IN572" s="16"/>
      <c r="IO572" s="16"/>
      <c r="IP572" s="16"/>
      <c r="IQ572" s="16"/>
      <c r="IR572" s="17"/>
      <c r="IV572" s="24"/>
      <c r="IW572" s="60"/>
      <c r="IX572" s="16"/>
      <c r="IY572" s="16"/>
      <c r="IZ572" s="16"/>
      <c r="JA572" s="16"/>
      <c r="JB572" s="16"/>
      <c r="JC572" s="17"/>
      <c r="JG572" s="24"/>
      <c r="JH572" s="60"/>
      <c r="JI572" s="16"/>
      <c r="JJ572" s="16"/>
      <c r="JK572" s="16"/>
      <c r="JL572" s="16"/>
      <c r="JM572" s="16"/>
      <c r="JN572" s="17"/>
      <c r="JR572" s="24"/>
      <c r="JS572" s="60"/>
      <c r="JT572" s="16"/>
      <c r="JU572" s="16"/>
      <c r="JV572" s="16"/>
      <c r="JW572" s="16"/>
      <c r="JX572" s="16"/>
      <c r="JY572" s="17"/>
      <c r="KC572" s="24"/>
      <c r="KD572" s="60"/>
      <c r="KE572" s="16"/>
      <c r="KF572" s="16"/>
      <c r="KG572" s="16"/>
      <c r="KH572" s="16"/>
      <c r="KI572" s="16"/>
      <c r="KJ572" s="17"/>
      <c r="KN572" s="24"/>
      <c r="KO572" s="60"/>
      <c r="KP572" s="16"/>
      <c r="KQ572" s="16"/>
      <c r="KR572" s="16"/>
      <c r="KS572" s="16"/>
      <c r="KT572" s="16"/>
      <c r="KU572" s="17"/>
      <c r="KY572" s="24"/>
      <c r="KZ572" s="60"/>
      <c r="LA572" s="16"/>
      <c r="LB572" s="16"/>
      <c r="LC572" s="16"/>
      <c r="LD572" s="16"/>
      <c r="LE572" s="16"/>
      <c r="LF572" s="17"/>
      <c r="LJ572" s="24"/>
      <c r="LK572" s="60"/>
      <c r="LL572" s="16"/>
      <c r="LM572" s="16"/>
      <c r="LN572" s="16"/>
      <c r="LO572" s="16"/>
      <c r="LP572" s="16"/>
      <c r="LQ572" s="17"/>
    </row>
    <row r="573">
      <c r="C573" s="31"/>
      <c r="D573" s="61"/>
      <c r="E573" s="16"/>
      <c r="F573" s="16"/>
      <c r="G573" s="21"/>
      <c r="H573" s="16"/>
      <c r="I573" s="16"/>
      <c r="J573" s="17"/>
      <c r="N573" s="17"/>
      <c r="O573" s="61"/>
      <c r="P573" s="16"/>
      <c r="Q573" s="16"/>
      <c r="R573" s="16"/>
      <c r="S573" s="16"/>
      <c r="T573" s="16"/>
      <c r="U573" s="17"/>
      <c r="Y573" s="24"/>
      <c r="Z573" s="61"/>
      <c r="AA573" s="16"/>
      <c r="AB573" s="16"/>
      <c r="AC573" s="16"/>
      <c r="AD573" s="16"/>
      <c r="AE573" s="16"/>
      <c r="AF573" s="17"/>
      <c r="AJ573" s="24"/>
      <c r="AK573" s="61"/>
      <c r="AL573" s="16"/>
      <c r="AM573" s="16"/>
      <c r="AN573" s="16"/>
      <c r="AO573" s="16"/>
      <c r="AP573" s="16"/>
      <c r="AQ573" s="17"/>
      <c r="AU573" s="24"/>
      <c r="AV573" s="61"/>
      <c r="AW573" s="16"/>
      <c r="AX573" s="16"/>
      <c r="AY573" s="16"/>
      <c r="AZ573" s="16"/>
      <c r="BA573" s="16"/>
      <c r="BB573" s="17"/>
      <c r="BF573" s="24"/>
      <c r="BG573" s="61"/>
      <c r="BH573" s="16"/>
      <c r="BI573" s="16"/>
      <c r="BJ573" s="16"/>
      <c r="BK573" s="16"/>
      <c r="BL573" s="16"/>
      <c r="BM573" s="17"/>
      <c r="BQ573" s="24"/>
      <c r="BR573" s="61"/>
      <c r="BS573" s="16"/>
      <c r="BT573" s="16"/>
      <c r="BU573" s="16"/>
      <c r="BV573" s="16"/>
      <c r="BW573" s="16"/>
      <c r="BX573" s="17"/>
      <c r="CB573" s="24"/>
      <c r="CC573" s="61"/>
      <c r="CD573" s="16"/>
      <c r="CE573" s="16"/>
      <c r="CF573" s="16"/>
      <c r="CG573" s="16"/>
      <c r="CH573" s="16"/>
      <c r="CI573" s="17"/>
      <c r="CM573" s="24"/>
      <c r="CN573" s="61"/>
      <c r="CO573" s="16"/>
      <c r="CP573" s="16"/>
      <c r="CQ573" s="16"/>
      <c r="CR573" s="16"/>
      <c r="CS573" s="16"/>
      <c r="CT573" s="17"/>
      <c r="CX573" s="24"/>
      <c r="CY573" s="60"/>
      <c r="CZ573" s="16"/>
      <c r="DA573" s="16"/>
      <c r="DB573" s="16"/>
      <c r="DC573" s="16"/>
      <c r="DD573" s="16"/>
      <c r="DE573" s="17"/>
      <c r="DI573" s="24"/>
      <c r="DJ573" s="60"/>
      <c r="DK573" s="16"/>
      <c r="DL573" s="16"/>
      <c r="DM573" s="16"/>
      <c r="DN573" s="16"/>
      <c r="DO573" s="16"/>
      <c r="DP573" s="17"/>
      <c r="DT573" s="24"/>
      <c r="DU573" s="60"/>
      <c r="DV573" s="16"/>
      <c r="DW573" s="16"/>
      <c r="DX573" s="16"/>
      <c r="DY573" s="16"/>
      <c r="DZ573" s="16"/>
      <c r="EA573" s="17"/>
      <c r="EE573" s="24"/>
      <c r="EF573" s="60"/>
      <c r="EG573" s="16"/>
      <c r="EH573" s="16"/>
      <c r="EI573" s="16"/>
      <c r="EJ573" s="16"/>
      <c r="EK573" s="16"/>
      <c r="EL573" s="17"/>
      <c r="EP573" s="24"/>
      <c r="EQ573" s="60"/>
      <c r="ER573" s="16"/>
      <c r="ES573" s="16"/>
      <c r="ET573" s="16"/>
      <c r="EU573" s="16"/>
      <c r="EV573" s="16"/>
      <c r="EW573" s="17"/>
      <c r="FA573" s="24"/>
      <c r="FB573" s="60"/>
      <c r="FC573" s="16"/>
      <c r="FD573" s="16"/>
      <c r="FE573" s="16"/>
      <c r="FF573" s="16"/>
      <c r="FG573" s="16"/>
      <c r="FH573" s="17"/>
      <c r="FL573" s="24"/>
      <c r="FM573" s="60"/>
      <c r="FN573" s="16"/>
      <c r="FO573" s="16"/>
      <c r="FP573" s="16"/>
      <c r="FQ573" s="16"/>
      <c r="FR573" s="16"/>
      <c r="FS573" s="17"/>
      <c r="FW573" s="24"/>
      <c r="FX573" s="60"/>
      <c r="FY573" s="16"/>
      <c r="FZ573" s="16"/>
      <c r="GA573" s="16"/>
      <c r="GB573" s="16"/>
      <c r="GC573" s="16"/>
      <c r="GD573" s="17"/>
      <c r="GH573" s="24"/>
      <c r="GI573" s="60"/>
      <c r="GJ573" s="16"/>
      <c r="GK573" s="16"/>
      <c r="GL573" s="16"/>
      <c r="GM573" s="16"/>
      <c r="GN573" s="16"/>
      <c r="GO573" s="17"/>
      <c r="GS573" s="24"/>
      <c r="GT573" s="60"/>
      <c r="GU573" s="16"/>
      <c r="GV573" s="16"/>
      <c r="GW573" s="16"/>
      <c r="GX573" s="16"/>
      <c r="GY573" s="16"/>
      <c r="GZ573" s="17"/>
      <c r="HD573" s="24"/>
      <c r="HE573" s="60"/>
      <c r="HF573" s="16"/>
      <c r="HG573" s="16"/>
      <c r="HH573" s="16"/>
      <c r="HI573" s="16"/>
      <c r="HJ573" s="16"/>
      <c r="HK573" s="17"/>
      <c r="HO573" s="24"/>
      <c r="HP573" s="60"/>
      <c r="HQ573" s="16"/>
      <c r="HR573" s="16"/>
      <c r="HS573" s="16"/>
      <c r="HT573" s="16"/>
      <c r="HU573" s="16"/>
      <c r="HV573" s="17"/>
      <c r="HZ573" s="24"/>
      <c r="IA573" s="60"/>
      <c r="IB573" s="16"/>
      <c r="IC573" s="16"/>
      <c r="ID573" s="16"/>
      <c r="IE573" s="16"/>
      <c r="IF573" s="16"/>
      <c r="IG573" s="17"/>
      <c r="IK573" s="24"/>
      <c r="IL573" s="60"/>
      <c r="IM573" s="16"/>
      <c r="IN573" s="16"/>
      <c r="IO573" s="16"/>
      <c r="IP573" s="16"/>
      <c r="IQ573" s="16"/>
      <c r="IR573" s="17"/>
      <c r="IV573" s="24"/>
      <c r="IW573" s="60"/>
      <c r="IX573" s="16"/>
      <c r="IY573" s="16"/>
      <c r="IZ573" s="16"/>
      <c r="JA573" s="16"/>
      <c r="JB573" s="16"/>
      <c r="JC573" s="17"/>
      <c r="JG573" s="24"/>
      <c r="JH573" s="60"/>
      <c r="JI573" s="16"/>
      <c r="JJ573" s="16"/>
      <c r="JK573" s="16"/>
      <c r="JL573" s="16"/>
      <c r="JM573" s="16"/>
      <c r="JN573" s="17"/>
      <c r="JR573" s="24"/>
      <c r="JS573" s="60"/>
      <c r="JT573" s="16"/>
      <c r="JU573" s="16"/>
      <c r="JV573" s="16"/>
      <c r="JW573" s="16"/>
      <c r="JX573" s="16"/>
      <c r="JY573" s="17"/>
      <c r="KC573" s="24"/>
      <c r="KD573" s="60"/>
      <c r="KE573" s="16"/>
      <c r="KF573" s="16"/>
      <c r="KG573" s="16"/>
      <c r="KH573" s="16"/>
      <c r="KI573" s="16"/>
      <c r="KJ573" s="17"/>
      <c r="KN573" s="24"/>
      <c r="KO573" s="60"/>
      <c r="KP573" s="16"/>
      <c r="KQ573" s="16"/>
      <c r="KR573" s="16"/>
      <c r="KS573" s="16"/>
      <c r="KT573" s="16"/>
      <c r="KU573" s="17"/>
      <c r="KY573" s="24"/>
      <c r="KZ573" s="60"/>
      <c r="LA573" s="16"/>
      <c r="LB573" s="16"/>
      <c r="LC573" s="16"/>
      <c r="LD573" s="16"/>
      <c r="LE573" s="16"/>
      <c r="LF573" s="17"/>
      <c r="LJ573" s="24"/>
      <c r="LK573" s="60"/>
      <c r="LL573" s="16"/>
      <c r="LM573" s="16"/>
      <c r="LN573" s="16"/>
      <c r="LO573" s="16"/>
      <c r="LP573" s="16"/>
      <c r="LQ573" s="17"/>
    </row>
    <row r="574">
      <c r="C574" s="31"/>
      <c r="D574" s="61"/>
      <c r="E574" s="16"/>
      <c r="F574" s="16"/>
      <c r="G574" s="21"/>
      <c r="H574" s="16"/>
      <c r="I574" s="16"/>
      <c r="J574" s="17"/>
      <c r="N574" s="17"/>
      <c r="O574" s="61"/>
      <c r="P574" s="16"/>
      <c r="Q574" s="16"/>
      <c r="R574" s="16"/>
      <c r="S574" s="16"/>
      <c r="T574" s="16"/>
      <c r="U574" s="17"/>
      <c r="Y574" s="24"/>
      <c r="Z574" s="61"/>
      <c r="AA574" s="16"/>
      <c r="AB574" s="16"/>
      <c r="AC574" s="16"/>
      <c r="AD574" s="16"/>
      <c r="AE574" s="16"/>
      <c r="AF574" s="17"/>
      <c r="AJ574" s="24"/>
      <c r="AK574" s="61"/>
      <c r="AL574" s="16"/>
      <c r="AM574" s="16"/>
      <c r="AN574" s="16"/>
      <c r="AO574" s="16"/>
      <c r="AP574" s="16"/>
      <c r="AQ574" s="17"/>
      <c r="AU574" s="24"/>
      <c r="AV574" s="61"/>
      <c r="AW574" s="16"/>
      <c r="AX574" s="16"/>
      <c r="AY574" s="16"/>
      <c r="AZ574" s="16"/>
      <c r="BA574" s="16"/>
      <c r="BB574" s="17"/>
      <c r="BF574" s="24"/>
      <c r="BG574" s="61"/>
      <c r="BH574" s="16"/>
      <c r="BI574" s="16"/>
      <c r="BJ574" s="16"/>
      <c r="BK574" s="16"/>
      <c r="BL574" s="16"/>
      <c r="BM574" s="17"/>
      <c r="BQ574" s="24"/>
      <c r="BR574" s="61"/>
      <c r="BS574" s="16"/>
      <c r="BT574" s="16"/>
      <c r="BU574" s="16"/>
      <c r="BV574" s="16"/>
      <c r="BW574" s="16"/>
      <c r="BX574" s="17"/>
      <c r="CB574" s="24"/>
      <c r="CC574" s="61"/>
      <c r="CD574" s="16"/>
      <c r="CE574" s="16"/>
      <c r="CF574" s="16"/>
      <c r="CG574" s="16"/>
      <c r="CH574" s="16"/>
      <c r="CI574" s="17"/>
      <c r="CM574" s="24"/>
      <c r="CN574" s="61"/>
      <c r="CO574" s="16"/>
      <c r="CP574" s="16"/>
      <c r="CQ574" s="16"/>
      <c r="CR574" s="16"/>
      <c r="CS574" s="16"/>
      <c r="CT574" s="17"/>
      <c r="CX574" s="24"/>
      <c r="CY574" s="60"/>
      <c r="CZ574" s="16"/>
      <c r="DA574" s="16"/>
      <c r="DB574" s="16"/>
      <c r="DC574" s="16"/>
      <c r="DD574" s="16"/>
      <c r="DE574" s="17"/>
      <c r="DI574" s="24"/>
      <c r="DJ574" s="60"/>
      <c r="DK574" s="16"/>
      <c r="DL574" s="16"/>
      <c r="DM574" s="16"/>
      <c r="DN574" s="16"/>
      <c r="DO574" s="16"/>
      <c r="DP574" s="17"/>
      <c r="DT574" s="24"/>
      <c r="DU574" s="60"/>
      <c r="DV574" s="16"/>
      <c r="DW574" s="16"/>
      <c r="DX574" s="16"/>
      <c r="DY574" s="16"/>
      <c r="DZ574" s="16"/>
      <c r="EA574" s="17"/>
      <c r="EE574" s="24"/>
      <c r="EF574" s="60"/>
      <c r="EG574" s="16"/>
      <c r="EH574" s="16"/>
      <c r="EI574" s="16"/>
      <c r="EJ574" s="16"/>
      <c r="EK574" s="16"/>
      <c r="EL574" s="17"/>
      <c r="EP574" s="24"/>
      <c r="EQ574" s="60"/>
      <c r="ER574" s="16"/>
      <c r="ES574" s="16"/>
      <c r="ET574" s="16"/>
      <c r="EU574" s="16"/>
      <c r="EV574" s="16"/>
      <c r="EW574" s="17"/>
      <c r="FA574" s="24"/>
      <c r="FB574" s="60"/>
      <c r="FC574" s="16"/>
      <c r="FD574" s="16"/>
      <c r="FE574" s="16"/>
      <c r="FF574" s="16"/>
      <c r="FG574" s="16"/>
      <c r="FH574" s="17"/>
      <c r="FL574" s="24"/>
      <c r="FM574" s="60"/>
      <c r="FN574" s="16"/>
      <c r="FO574" s="16"/>
      <c r="FP574" s="16"/>
      <c r="FQ574" s="16"/>
      <c r="FR574" s="16"/>
      <c r="FS574" s="17"/>
      <c r="FW574" s="24"/>
      <c r="FX574" s="60"/>
      <c r="FY574" s="16"/>
      <c r="FZ574" s="16"/>
      <c r="GA574" s="16"/>
      <c r="GB574" s="16"/>
      <c r="GC574" s="16"/>
      <c r="GD574" s="17"/>
      <c r="GH574" s="24"/>
      <c r="GI574" s="60"/>
      <c r="GJ574" s="16"/>
      <c r="GK574" s="16"/>
      <c r="GL574" s="16"/>
      <c r="GM574" s="16"/>
      <c r="GN574" s="16"/>
      <c r="GO574" s="17"/>
      <c r="GS574" s="24"/>
      <c r="GT574" s="60"/>
      <c r="GU574" s="16"/>
      <c r="GV574" s="16"/>
      <c r="GW574" s="16"/>
      <c r="GX574" s="16"/>
      <c r="GY574" s="16"/>
      <c r="GZ574" s="17"/>
      <c r="HD574" s="24"/>
      <c r="HE574" s="60"/>
      <c r="HF574" s="16"/>
      <c r="HG574" s="16"/>
      <c r="HH574" s="16"/>
      <c r="HI574" s="16"/>
      <c r="HJ574" s="16"/>
      <c r="HK574" s="17"/>
      <c r="HO574" s="24"/>
      <c r="HP574" s="60"/>
      <c r="HQ574" s="16"/>
      <c r="HR574" s="16"/>
      <c r="HS574" s="16"/>
      <c r="HT574" s="16"/>
      <c r="HU574" s="16"/>
      <c r="HV574" s="17"/>
      <c r="HZ574" s="24"/>
      <c r="IA574" s="60"/>
      <c r="IB574" s="16"/>
      <c r="IC574" s="16"/>
      <c r="ID574" s="16"/>
      <c r="IE574" s="16"/>
      <c r="IF574" s="16"/>
      <c r="IG574" s="17"/>
      <c r="IK574" s="24"/>
      <c r="IL574" s="60"/>
      <c r="IM574" s="16"/>
      <c r="IN574" s="16"/>
      <c r="IO574" s="16"/>
      <c r="IP574" s="16"/>
      <c r="IQ574" s="16"/>
      <c r="IR574" s="17"/>
      <c r="IV574" s="24"/>
      <c r="IW574" s="60"/>
      <c r="IX574" s="16"/>
      <c r="IY574" s="16"/>
      <c r="IZ574" s="16"/>
      <c r="JA574" s="16"/>
      <c r="JB574" s="16"/>
      <c r="JC574" s="17"/>
      <c r="JG574" s="24"/>
      <c r="JH574" s="60"/>
      <c r="JI574" s="16"/>
      <c r="JJ574" s="16"/>
      <c r="JK574" s="16"/>
      <c r="JL574" s="16"/>
      <c r="JM574" s="16"/>
      <c r="JN574" s="17"/>
      <c r="JR574" s="24"/>
      <c r="JS574" s="60"/>
      <c r="JT574" s="16"/>
      <c r="JU574" s="16"/>
      <c r="JV574" s="16"/>
      <c r="JW574" s="16"/>
      <c r="JX574" s="16"/>
      <c r="JY574" s="17"/>
      <c r="KC574" s="24"/>
      <c r="KD574" s="60"/>
      <c r="KE574" s="16"/>
      <c r="KF574" s="16"/>
      <c r="KG574" s="16"/>
      <c r="KH574" s="16"/>
      <c r="KI574" s="16"/>
      <c r="KJ574" s="17"/>
      <c r="KN574" s="24"/>
      <c r="KO574" s="60"/>
      <c r="KP574" s="16"/>
      <c r="KQ574" s="16"/>
      <c r="KR574" s="16"/>
      <c r="KS574" s="16"/>
      <c r="KT574" s="16"/>
      <c r="KU574" s="17"/>
      <c r="KY574" s="24"/>
      <c r="KZ574" s="60"/>
      <c r="LA574" s="16"/>
      <c r="LB574" s="16"/>
      <c r="LC574" s="16"/>
      <c r="LD574" s="16"/>
      <c r="LE574" s="16"/>
      <c r="LF574" s="17"/>
      <c r="LJ574" s="24"/>
      <c r="LK574" s="60"/>
      <c r="LL574" s="16"/>
      <c r="LM574" s="16"/>
      <c r="LN574" s="16"/>
      <c r="LO574" s="16"/>
      <c r="LP574" s="16"/>
      <c r="LQ574" s="17"/>
    </row>
    <row r="575">
      <c r="C575" s="31"/>
      <c r="D575" s="61"/>
      <c r="E575" s="16"/>
      <c r="F575" s="16"/>
      <c r="G575" s="21"/>
      <c r="H575" s="16"/>
      <c r="I575" s="16"/>
      <c r="J575" s="17"/>
      <c r="N575" s="17"/>
      <c r="O575" s="61"/>
      <c r="P575" s="16"/>
      <c r="Q575" s="16"/>
      <c r="R575" s="16"/>
      <c r="S575" s="16"/>
      <c r="T575" s="16"/>
      <c r="U575" s="17"/>
      <c r="Y575" s="24"/>
      <c r="Z575" s="61"/>
      <c r="AA575" s="16"/>
      <c r="AB575" s="16"/>
      <c r="AC575" s="16"/>
      <c r="AD575" s="16"/>
      <c r="AE575" s="16"/>
      <c r="AF575" s="17"/>
      <c r="AJ575" s="24"/>
      <c r="AK575" s="61"/>
      <c r="AL575" s="16"/>
      <c r="AM575" s="16"/>
      <c r="AN575" s="16"/>
      <c r="AO575" s="16"/>
      <c r="AP575" s="16"/>
      <c r="AQ575" s="17"/>
      <c r="AU575" s="24"/>
      <c r="AV575" s="61"/>
      <c r="AW575" s="16"/>
      <c r="AX575" s="16"/>
      <c r="AY575" s="16"/>
      <c r="AZ575" s="16"/>
      <c r="BA575" s="16"/>
      <c r="BB575" s="17"/>
      <c r="BF575" s="24"/>
      <c r="BG575" s="61"/>
      <c r="BH575" s="16"/>
      <c r="BI575" s="16"/>
      <c r="BJ575" s="16"/>
      <c r="BK575" s="16"/>
      <c r="BL575" s="16"/>
      <c r="BM575" s="17"/>
      <c r="BQ575" s="24"/>
      <c r="BR575" s="61"/>
      <c r="BS575" s="16"/>
      <c r="BT575" s="16"/>
      <c r="BU575" s="16"/>
      <c r="BV575" s="16"/>
      <c r="BW575" s="16"/>
      <c r="BX575" s="17"/>
      <c r="CB575" s="24"/>
      <c r="CC575" s="61"/>
      <c r="CD575" s="16"/>
      <c r="CE575" s="16"/>
      <c r="CF575" s="16"/>
      <c r="CG575" s="16"/>
      <c r="CH575" s="16"/>
      <c r="CI575" s="17"/>
      <c r="CM575" s="24"/>
      <c r="CN575" s="61"/>
      <c r="CO575" s="16"/>
      <c r="CP575" s="16"/>
      <c r="CQ575" s="16"/>
      <c r="CR575" s="16"/>
      <c r="CS575" s="16"/>
      <c r="CT575" s="17"/>
      <c r="CX575" s="24"/>
      <c r="CY575" s="60"/>
      <c r="CZ575" s="16"/>
      <c r="DA575" s="16"/>
      <c r="DB575" s="16"/>
      <c r="DC575" s="16"/>
      <c r="DD575" s="16"/>
      <c r="DE575" s="17"/>
      <c r="DI575" s="24"/>
      <c r="DJ575" s="60"/>
      <c r="DK575" s="16"/>
      <c r="DL575" s="16"/>
      <c r="DM575" s="16"/>
      <c r="DN575" s="16"/>
      <c r="DO575" s="16"/>
      <c r="DP575" s="17"/>
      <c r="DT575" s="24"/>
      <c r="DU575" s="60"/>
      <c r="DV575" s="16"/>
      <c r="DW575" s="16"/>
      <c r="DX575" s="16"/>
      <c r="DY575" s="16"/>
      <c r="DZ575" s="16"/>
      <c r="EA575" s="17"/>
      <c r="EE575" s="24"/>
      <c r="EF575" s="60"/>
      <c r="EG575" s="16"/>
      <c r="EH575" s="16"/>
      <c r="EI575" s="16"/>
      <c r="EJ575" s="16"/>
      <c r="EK575" s="16"/>
      <c r="EL575" s="17"/>
      <c r="EP575" s="24"/>
      <c r="EQ575" s="60"/>
      <c r="ER575" s="16"/>
      <c r="ES575" s="16"/>
      <c r="ET575" s="16"/>
      <c r="EU575" s="16"/>
      <c r="EV575" s="16"/>
      <c r="EW575" s="17"/>
      <c r="FA575" s="24"/>
      <c r="FB575" s="60"/>
      <c r="FC575" s="16"/>
      <c r="FD575" s="16"/>
      <c r="FE575" s="16"/>
      <c r="FF575" s="16"/>
      <c r="FG575" s="16"/>
      <c r="FH575" s="17"/>
      <c r="FL575" s="24"/>
      <c r="FM575" s="60"/>
      <c r="FN575" s="16"/>
      <c r="FO575" s="16"/>
      <c r="FP575" s="16"/>
      <c r="FQ575" s="16"/>
      <c r="FR575" s="16"/>
      <c r="FS575" s="17"/>
      <c r="FW575" s="24"/>
      <c r="FX575" s="60"/>
      <c r="FY575" s="16"/>
      <c r="FZ575" s="16"/>
      <c r="GA575" s="16"/>
      <c r="GB575" s="16"/>
      <c r="GC575" s="16"/>
      <c r="GD575" s="17"/>
      <c r="GH575" s="24"/>
      <c r="GI575" s="60"/>
      <c r="GJ575" s="16"/>
      <c r="GK575" s="16"/>
      <c r="GL575" s="16"/>
      <c r="GM575" s="16"/>
      <c r="GN575" s="16"/>
      <c r="GO575" s="17"/>
      <c r="GS575" s="24"/>
      <c r="GT575" s="60"/>
      <c r="GU575" s="16"/>
      <c r="GV575" s="16"/>
      <c r="GW575" s="16"/>
      <c r="GX575" s="16"/>
      <c r="GY575" s="16"/>
      <c r="GZ575" s="17"/>
      <c r="HD575" s="24"/>
      <c r="HE575" s="60"/>
      <c r="HF575" s="16"/>
      <c r="HG575" s="16"/>
      <c r="HH575" s="16"/>
      <c r="HI575" s="16"/>
      <c r="HJ575" s="16"/>
      <c r="HK575" s="17"/>
      <c r="HO575" s="24"/>
      <c r="HP575" s="60"/>
      <c r="HQ575" s="16"/>
      <c r="HR575" s="16"/>
      <c r="HS575" s="16"/>
      <c r="HT575" s="16"/>
      <c r="HU575" s="16"/>
      <c r="HV575" s="17"/>
      <c r="HZ575" s="24"/>
      <c r="IA575" s="60"/>
      <c r="IB575" s="16"/>
      <c r="IC575" s="16"/>
      <c r="ID575" s="16"/>
      <c r="IE575" s="16"/>
      <c r="IF575" s="16"/>
      <c r="IG575" s="17"/>
      <c r="IK575" s="24"/>
      <c r="IL575" s="60"/>
      <c r="IM575" s="16"/>
      <c r="IN575" s="16"/>
      <c r="IO575" s="16"/>
      <c r="IP575" s="16"/>
      <c r="IQ575" s="16"/>
      <c r="IR575" s="17"/>
      <c r="IV575" s="24"/>
      <c r="IW575" s="60"/>
      <c r="IX575" s="16"/>
      <c r="IY575" s="16"/>
      <c r="IZ575" s="16"/>
      <c r="JA575" s="16"/>
      <c r="JB575" s="16"/>
      <c r="JC575" s="17"/>
      <c r="JG575" s="24"/>
      <c r="JH575" s="60"/>
      <c r="JI575" s="16"/>
      <c r="JJ575" s="16"/>
      <c r="JK575" s="16"/>
      <c r="JL575" s="16"/>
      <c r="JM575" s="16"/>
      <c r="JN575" s="17"/>
      <c r="JR575" s="24"/>
      <c r="JS575" s="60"/>
      <c r="JT575" s="16"/>
      <c r="JU575" s="16"/>
      <c r="JV575" s="16"/>
      <c r="JW575" s="16"/>
      <c r="JX575" s="16"/>
      <c r="JY575" s="17"/>
      <c r="KC575" s="24"/>
      <c r="KD575" s="60"/>
      <c r="KE575" s="16"/>
      <c r="KF575" s="16"/>
      <c r="KG575" s="16"/>
      <c r="KH575" s="16"/>
      <c r="KI575" s="16"/>
      <c r="KJ575" s="17"/>
      <c r="KN575" s="24"/>
      <c r="KO575" s="60"/>
      <c r="KP575" s="16"/>
      <c r="KQ575" s="16"/>
      <c r="KR575" s="16"/>
      <c r="KS575" s="16"/>
      <c r="KT575" s="16"/>
      <c r="KU575" s="17"/>
      <c r="KY575" s="24"/>
      <c r="KZ575" s="60"/>
      <c r="LA575" s="16"/>
      <c r="LB575" s="16"/>
      <c r="LC575" s="16"/>
      <c r="LD575" s="16"/>
      <c r="LE575" s="16"/>
      <c r="LF575" s="17"/>
      <c r="LJ575" s="24"/>
      <c r="LK575" s="60"/>
      <c r="LL575" s="16"/>
      <c r="LM575" s="16"/>
      <c r="LN575" s="16"/>
      <c r="LO575" s="16"/>
      <c r="LP575" s="16"/>
      <c r="LQ575" s="17"/>
    </row>
    <row r="576">
      <c r="C576" s="31"/>
      <c r="D576" s="61"/>
      <c r="E576" s="16"/>
      <c r="F576" s="16"/>
      <c r="G576" s="21"/>
      <c r="H576" s="16"/>
      <c r="I576" s="16"/>
      <c r="J576" s="17"/>
      <c r="N576" s="17"/>
      <c r="O576" s="61"/>
      <c r="P576" s="16"/>
      <c r="Q576" s="16"/>
      <c r="R576" s="16"/>
      <c r="S576" s="16"/>
      <c r="T576" s="16"/>
      <c r="U576" s="17"/>
      <c r="Y576" s="24"/>
      <c r="Z576" s="61"/>
      <c r="AA576" s="16"/>
      <c r="AB576" s="16"/>
      <c r="AC576" s="16"/>
      <c r="AD576" s="16"/>
      <c r="AE576" s="16"/>
      <c r="AF576" s="17"/>
      <c r="AJ576" s="24"/>
      <c r="AK576" s="61"/>
      <c r="AL576" s="16"/>
      <c r="AM576" s="16"/>
      <c r="AN576" s="16"/>
      <c r="AO576" s="16"/>
      <c r="AP576" s="16"/>
      <c r="AQ576" s="17"/>
      <c r="AU576" s="24"/>
      <c r="AV576" s="61"/>
      <c r="AW576" s="16"/>
      <c r="AX576" s="16"/>
      <c r="AY576" s="16"/>
      <c r="AZ576" s="16"/>
      <c r="BA576" s="16"/>
      <c r="BB576" s="17"/>
      <c r="BF576" s="24"/>
      <c r="BG576" s="61"/>
      <c r="BH576" s="16"/>
      <c r="BI576" s="16"/>
      <c r="BJ576" s="16"/>
      <c r="BK576" s="16"/>
      <c r="BL576" s="16"/>
      <c r="BM576" s="17"/>
      <c r="BQ576" s="24"/>
      <c r="BR576" s="61"/>
      <c r="BS576" s="16"/>
      <c r="BT576" s="16"/>
      <c r="BU576" s="16"/>
      <c r="BV576" s="16"/>
      <c r="BW576" s="16"/>
      <c r="BX576" s="17"/>
      <c r="CB576" s="24"/>
      <c r="CC576" s="61"/>
      <c r="CD576" s="16"/>
      <c r="CE576" s="16"/>
      <c r="CF576" s="16"/>
      <c r="CG576" s="16"/>
      <c r="CH576" s="16"/>
      <c r="CI576" s="17"/>
      <c r="CM576" s="24"/>
      <c r="CN576" s="61"/>
      <c r="CO576" s="16"/>
      <c r="CP576" s="16"/>
      <c r="CQ576" s="16"/>
      <c r="CR576" s="16"/>
      <c r="CS576" s="16"/>
      <c r="CT576" s="17"/>
      <c r="CX576" s="24"/>
      <c r="CY576" s="60"/>
      <c r="CZ576" s="16"/>
      <c r="DA576" s="16"/>
      <c r="DB576" s="16"/>
      <c r="DC576" s="16"/>
      <c r="DD576" s="16"/>
      <c r="DE576" s="17"/>
      <c r="DI576" s="24"/>
      <c r="DJ576" s="60"/>
      <c r="DK576" s="16"/>
      <c r="DL576" s="16"/>
      <c r="DM576" s="16"/>
      <c r="DN576" s="16"/>
      <c r="DO576" s="16"/>
      <c r="DP576" s="17"/>
      <c r="DT576" s="24"/>
      <c r="DU576" s="60"/>
      <c r="DV576" s="16"/>
      <c r="DW576" s="16"/>
      <c r="DX576" s="16"/>
      <c r="DY576" s="16"/>
      <c r="DZ576" s="16"/>
      <c r="EA576" s="17"/>
      <c r="EE576" s="24"/>
      <c r="EF576" s="60"/>
      <c r="EG576" s="16"/>
      <c r="EH576" s="16"/>
      <c r="EI576" s="16"/>
      <c r="EJ576" s="16"/>
      <c r="EK576" s="16"/>
      <c r="EL576" s="17"/>
      <c r="EP576" s="24"/>
      <c r="EQ576" s="60"/>
      <c r="ER576" s="16"/>
      <c r="ES576" s="16"/>
      <c r="ET576" s="16"/>
      <c r="EU576" s="16"/>
      <c r="EV576" s="16"/>
      <c r="EW576" s="17"/>
      <c r="FA576" s="24"/>
      <c r="FB576" s="60"/>
      <c r="FC576" s="16"/>
      <c r="FD576" s="16"/>
      <c r="FE576" s="16"/>
      <c r="FF576" s="16"/>
      <c r="FG576" s="16"/>
      <c r="FH576" s="17"/>
      <c r="FL576" s="24"/>
      <c r="FM576" s="60"/>
      <c r="FN576" s="16"/>
      <c r="FO576" s="16"/>
      <c r="FP576" s="16"/>
      <c r="FQ576" s="16"/>
      <c r="FR576" s="16"/>
      <c r="FS576" s="17"/>
      <c r="FW576" s="24"/>
      <c r="FX576" s="60"/>
      <c r="FY576" s="16"/>
      <c r="FZ576" s="16"/>
      <c r="GA576" s="16"/>
      <c r="GB576" s="16"/>
      <c r="GC576" s="16"/>
      <c r="GD576" s="17"/>
      <c r="GH576" s="24"/>
      <c r="GI576" s="60"/>
      <c r="GJ576" s="16"/>
      <c r="GK576" s="16"/>
      <c r="GL576" s="16"/>
      <c r="GM576" s="16"/>
      <c r="GN576" s="16"/>
      <c r="GO576" s="17"/>
      <c r="GS576" s="24"/>
      <c r="GT576" s="60"/>
      <c r="GU576" s="16"/>
      <c r="GV576" s="16"/>
      <c r="GW576" s="16"/>
      <c r="GX576" s="16"/>
      <c r="GY576" s="16"/>
      <c r="GZ576" s="17"/>
      <c r="HD576" s="24"/>
      <c r="HE576" s="60"/>
      <c r="HF576" s="16"/>
      <c r="HG576" s="16"/>
      <c r="HH576" s="16"/>
      <c r="HI576" s="16"/>
      <c r="HJ576" s="16"/>
      <c r="HK576" s="17"/>
      <c r="HO576" s="24"/>
      <c r="HP576" s="60"/>
      <c r="HQ576" s="16"/>
      <c r="HR576" s="16"/>
      <c r="HS576" s="16"/>
      <c r="HT576" s="16"/>
      <c r="HU576" s="16"/>
      <c r="HV576" s="17"/>
      <c r="HZ576" s="24"/>
      <c r="IA576" s="60"/>
      <c r="IB576" s="16"/>
      <c r="IC576" s="16"/>
      <c r="ID576" s="16"/>
      <c r="IE576" s="16"/>
      <c r="IF576" s="16"/>
      <c r="IG576" s="17"/>
      <c r="IK576" s="24"/>
      <c r="IL576" s="60"/>
      <c r="IM576" s="16"/>
      <c r="IN576" s="16"/>
      <c r="IO576" s="16"/>
      <c r="IP576" s="16"/>
      <c r="IQ576" s="16"/>
      <c r="IR576" s="17"/>
      <c r="IV576" s="24"/>
      <c r="IW576" s="60"/>
      <c r="IX576" s="16"/>
      <c r="IY576" s="16"/>
      <c r="IZ576" s="16"/>
      <c r="JA576" s="16"/>
      <c r="JB576" s="16"/>
      <c r="JC576" s="17"/>
      <c r="JG576" s="24"/>
      <c r="JH576" s="60"/>
      <c r="JI576" s="16"/>
      <c r="JJ576" s="16"/>
      <c r="JK576" s="16"/>
      <c r="JL576" s="16"/>
      <c r="JM576" s="16"/>
      <c r="JN576" s="17"/>
      <c r="JR576" s="24"/>
      <c r="JS576" s="60"/>
      <c r="JT576" s="16"/>
      <c r="JU576" s="16"/>
      <c r="JV576" s="16"/>
      <c r="JW576" s="16"/>
      <c r="JX576" s="16"/>
      <c r="JY576" s="17"/>
      <c r="KC576" s="24"/>
      <c r="KD576" s="60"/>
      <c r="KE576" s="16"/>
      <c r="KF576" s="16"/>
      <c r="KG576" s="16"/>
      <c r="KH576" s="16"/>
      <c r="KI576" s="16"/>
      <c r="KJ576" s="17"/>
      <c r="KN576" s="24"/>
      <c r="KO576" s="60"/>
      <c r="KP576" s="16"/>
      <c r="KQ576" s="16"/>
      <c r="KR576" s="16"/>
      <c r="KS576" s="16"/>
      <c r="KT576" s="16"/>
      <c r="KU576" s="17"/>
      <c r="KY576" s="24"/>
      <c r="KZ576" s="60"/>
      <c r="LA576" s="16"/>
      <c r="LB576" s="16"/>
      <c r="LC576" s="16"/>
      <c r="LD576" s="16"/>
      <c r="LE576" s="16"/>
      <c r="LF576" s="17"/>
      <c r="LJ576" s="24"/>
      <c r="LK576" s="60"/>
      <c r="LL576" s="16"/>
      <c r="LM576" s="16"/>
      <c r="LN576" s="16"/>
      <c r="LO576" s="16"/>
      <c r="LP576" s="16"/>
      <c r="LQ576" s="17"/>
    </row>
    <row r="577">
      <c r="C577" s="31"/>
      <c r="D577" s="61"/>
      <c r="E577" s="16"/>
      <c r="F577" s="16"/>
      <c r="G577" s="21"/>
      <c r="H577" s="16"/>
      <c r="I577" s="16"/>
      <c r="J577" s="17"/>
      <c r="N577" s="17"/>
      <c r="O577" s="61"/>
      <c r="P577" s="16"/>
      <c r="Q577" s="16"/>
      <c r="R577" s="16"/>
      <c r="S577" s="16"/>
      <c r="T577" s="16"/>
      <c r="U577" s="17"/>
      <c r="Y577" s="24"/>
      <c r="Z577" s="61"/>
      <c r="AA577" s="16"/>
      <c r="AB577" s="16"/>
      <c r="AC577" s="16"/>
      <c r="AD577" s="16"/>
      <c r="AE577" s="16"/>
      <c r="AF577" s="17"/>
      <c r="AJ577" s="24"/>
      <c r="AK577" s="61"/>
      <c r="AL577" s="16"/>
      <c r="AM577" s="16"/>
      <c r="AN577" s="16"/>
      <c r="AO577" s="16"/>
      <c r="AP577" s="16"/>
      <c r="AQ577" s="17"/>
      <c r="AU577" s="24"/>
      <c r="AV577" s="61"/>
      <c r="AW577" s="16"/>
      <c r="AX577" s="16"/>
      <c r="AY577" s="16"/>
      <c r="AZ577" s="16"/>
      <c r="BA577" s="16"/>
      <c r="BB577" s="17"/>
      <c r="BF577" s="24"/>
      <c r="BG577" s="61"/>
      <c r="BH577" s="16"/>
      <c r="BI577" s="16"/>
      <c r="BJ577" s="16"/>
      <c r="BK577" s="16"/>
      <c r="BL577" s="16"/>
      <c r="BM577" s="17"/>
      <c r="BQ577" s="24"/>
      <c r="BR577" s="61"/>
      <c r="BS577" s="16"/>
      <c r="BT577" s="16"/>
      <c r="BU577" s="16"/>
      <c r="BV577" s="16"/>
      <c r="BW577" s="16"/>
      <c r="BX577" s="17"/>
      <c r="CB577" s="24"/>
      <c r="CC577" s="61"/>
      <c r="CD577" s="16"/>
      <c r="CE577" s="16"/>
      <c r="CF577" s="16"/>
      <c r="CG577" s="16"/>
      <c r="CH577" s="16"/>
      <c r="CI577" s="17"/>
      <c r="CM577" s="24"/>
      <c r="CN577" s="61"/>
      <c r="CO577" s="16"/>
      <c r="CP577" s="16"/>
      <c r="CQ577" s="16"/>
      <c r="CR577" s="16"/>
      <c r="CS577" s="16"/>
      <c r="CT577" s="17"/>
      <c r="CX577" s="24"/>
      <c r="CY577" s="60"/>
      <c r="CZ577" s="16"/>
      <c r="DA577" s="16"/>
      <c r="DB577" s="16"/>
      <c r="DC577" s="16"/>
      <c r="DD577" s="16"/>
      <c r="DE577" s="17"/>
      <c r="DI577" s="24"/>
      <c r="DJ577" s="60"/>
      <c r="DK577" s="16"/>
      <c r="DL577" s="16"/>
      <c r="DM577" s="16"/>
      <c r="DN577" s="16"/>
      <c r="DO577" s="16"/>
      <c r="DP577" s="17"/>
      <c r="DT577" s="24"/>
      <c r="DU577" s="60"/>
      <c r="DV577" s="16"/>
      <c r="DW577" s="16"/>
      <c r="DX577" s="16"/>
      <c r="DY577" s="16"/>
      <c r="DZ577" s="16"/>
      <c r="EA577" s="17"/>
      <c r="EE577" s="24"/>
      <c r="EF577" s="60"/>
      <c r="EG577" s="16"/>
      <c r="EH577" s="16"/>
      <c r="EI577" s="16"/>
      <c r="EJ577" s="16"/>
      <c r="EK577" s="16"/>
      <c r="EL577" s="17"/>
      <c r="EP577" s="24"/>
      <c r="EQ577" s="60"/>
      <c r="ER577" s="16"/>
      <c r="ES577" s="16"/>
      <c r="ET577" s="16"/>
      <c r="EU577" s="16"/>
      <c r="EV577" s="16"/>
      <c r="EW577" s="17"/>
      <c r="FA577" s="24"/>
      <c r="FB577" s="60"/>
      <c r="FC577" s="16"/>
      <c r="FD577" s="16"/>
      <c r="FE577" s="16"/>
      <c r="FF577" s="16"/>
      <c r="FG577" s="16"/>
      <c r="FH577" s="17"/>
      <c r="FL577" s="24"/>
      <c r="FM577" s="60"/>
      <c r="FN577" s="16"/>
      <c r="FO577" s="16"/>
      <c r="FP577" s="16"/>
      <c r="FQ577" s="16"/>
      <c r="FR577" s="16"/>
      <c r="FS577" s="17"/>
      <c r="FW577" s="24"/>
      <c r="FX577" s="60"/>
      <c r="FY577" s="16"/>
      <c r="FZ577" s="16"/>
      <c r="GA577" s="16"/>
      <c r="GB577" s="16"/>
      <c r="GC577" s="16"/>
      <c r="GD577" s="17"/>
      <c r="GH577" s="24"/>
      <c r="GI577" s="60"/>
      <c r="GJ577" s="16"/>
      <c r="GK577" s="16"/>
      <c r="GL577" s="16"/>
      <c r="GM577" s="16"/>
      <c r="GN577" s="16"/>
      <c r="GO577" s="17"/>
      <c r="GS577" s="24"/>
      <c r="GT577" s="60"/>
      <c r="GU577" s="16"/>
      <c r="GV577" s="16"/>
      <c r="GW577" s="16"/>
      <c r="GX577" s="16"/>
      <c r="GY577" s="16"/>
      <c r="GZ577" s="17"/>
      <c r="HD577" s="24"/>
      <c r="HE577" s="60"/>
      <c r="HF577" s="16"/>
      <c r="HG577" s="16"/>
      <c r="HH577" s="16"/>
      <c r="HI577" s="16"/>
      <c r="HJ577" s="16"/>
      <c r="HK577" s="17"/>
      <c r="HO577" s="24"/>
      <c r="HP577" s="60"/>
      <c r="HQ577" s="16"/>
      <c r="HR577" s="16"/>
      <c r="HS577" s="16"/>
      <c r="HT577" s="16"/>
      <c r="HU577" s="16"/>
      <c r="HV577" s="17"/>
      <c r="HZ577" s="24"/>
      <c r="IA577" s="60"/>
      <c r="IB577" s="16"/>
      <c r="IC577" s="16"/>
      <c r="ID577" s="16"/>
      <c r="IE577" s="16"/>
      <c r="IF577" s="16"/>
      <c r="IG577" s="17"/>
      <c r="IK577" s="24"/>
      <c r="IL577" s="60"/>
      <c r="IM577" s="16"/>
      <c r="IN577" s="16"/>
      <c r="IO577" s="16"/>
      <c r="IP577" s="16"/>
      <c r="IQ577" s="16"/>
      <c r="IR577" s="17"/>
      <c r="IV577" s="24"/>
      <c r="IW577" s="60"/>
      <c r="IX577" s="16"/>
      <c r="IY577" s="16"/>
      <c r="IZ577" s="16"/>
      <c r="JA577" s="16"/>
      <c r="JB577" s="16"/>
      <c r="JC577" s="17"/>
      <c r="JG577" s="24"/>
      <c r="JH577" s="60"/>
      <c r="JI577" s="16"/>
      <c r="JJ577" s="16"/>
      <c r="JK577" s="16"/>
      <c r="JL577" s="16"/>
      <c r="JM577" s="16"/>
      <c r="JN577" s="17"/>
      <c r="JR577" s="24"/>
      <c r="JS577" s="60"/>
      <c r="JT577" s="16"/>
      <c r="JU577" s="16"/>
      <c r="JV577" s="16"/>
      <c r="JW577" s="16"/>
      <c r="JX577" s="16"/>
      <c r="JY577" s="17"/>
      <c r="KC577" s="24"/>
      <c r="KD577" s="60"/>
      <c r="KE577" s="16"/>
      <c r="KF577" s="16"/>
      <c r="KG577" s="16"/>
      <c r="KH577" s="16"/>
      <c r="KI577" s="16"/>
      <c r="KJ577" s="17"/>
      <c r="KN577" s="24"/>
      <c r="KO577" s="60"/>
      <c r="KP577" s="16"/>
      <c r="KQ577" s="16"/>
      <c r="KR577" s="16"/>
      <c r="KS577" s="16"/>
      <c r="KT577" s="16"/>
      <c r="KU577" s="17"/>
      <c r="KY577" s="24"/>
      <c r="KZ577" s="60"/>
      <c r="LA577" s="16"/>
      <c r="LB577" s="16"/>
      <c r="LC577" s="16"/>
      <c r="LD577" s="16"/>
      <c r="LE577" s="16"/>
      <c r="LF577" s="17"/>
      <c r="LJ577" s="24"/>
      <c r="LK577" s="60"/>
      <c r="LL577" s="16"/>
      <c r="LM577" s="16"/>
      <c r="LN577" s="16"/>
      <c r="LO577" s="16"/>
      <c r="LP577" s="16"/>
      <c r="LQ577" s="17"/>
    </row>
    <row r="578">
      <c r="C578" s="31"/>
      <c r="D578" s="61"/>
      <c r="E578" s="16"/>
      <c r="F578" s="16"/>
      <c r="G578" s="21"/>
      <c r="H578" s="16"/>
      <c r="I578" s="16"/>
      <c r="J578" s="17"/>
      <c r="N578" s="17"/>
      <c r="O578" s="61"/>
      <c r="P578" s="16"/>
      <c r="Q578" s="16"/>
      <c r="R578" s="16"/>
      <c r="S578" s="16"/>
      <c r="T578" s="16"/>
      <c r="U578" s="17"/>
      <c r="Y578" s="24"/>
      <c r="Z578" s="61"/>
      <c r="AA578" s="16"/>
      <c r="AB578" s="16"/>
      <c r="AC578" s="16"/>
      <c r="AD578" s="16"/>
      <c r="AE578" s="16"/>
      <c r="AF578" s="17"/>
      <c r="AJ578" s="24"/>
      <c r="AK578" s="61"/>
      <c r="AL578" s="16"/>
      <c r="AM578" s="16"/>
      <c r="AN578" s="16"/>
      <c r="AO578" s="16"/>
      <c r="AP578" s="16"/>
      <c r="AQ578" s="17"/>
      <c r="AU578" s="24"/>
      <c r="AV578" s="61"/>
      <c r="AW578" s="16"/>
      <c r="AX578" s="16"/>
      <c r="AY578" s="16"/>
      <c r="AZ578" s="16"/>
      <c r="BA578" s="16"/>
      <c r="BB578" s="17"/>
      <c r="BF578" s="24"/>
      <c r="BG578" s="61"/>
      <c r="BH578" s="16"/>
      <c r="BI578" s="16"/>
      <c r="BJ578" s="16"/>
      <c r="BK578" s="16"/>
      <c r="BL578" s="16"/>
      <c r="BM578" s="17"/>
      <c r="BQ578" s="24"/>
      <c r="BR578" s="61"/>
      <c r="BS578" s="16"/>
      <c r="BT578" s="16"/>
      <c r="BU578" s="16"/>
      <c r="BV578" s="16"/>
      <c r="BW578" s="16"/>
      <c r="BX578" s="17"/>
      <c r="CB578" s="24"/>
      <c r="CC578" s="61"/>
      <c r="CD578" s="16"/>
      <c r="CE578" s="16"/>
      <c r="CF578" s="16"/>
      <c r="CG578" s="16"/>
      <c r="CH578" s="16"/>
      <c r="CI578" s="17"/>
      <c r="CM578" s="24"/>
      <c r="CN578" s="61"/>
      <c r="CO578" s="16"/>
      <c r="CP578" s="16"/>
      <c r="CQ578" s="16"/>
      <c r="CR578" s="16"/>
      <c r="CS578" s="16"/>
      <c r="CT578" s="17"/>
      <c r="CX578" s="24"/>
      <c r="CY578" s="60"/>
      <c r="CZ578" s="16"/>
      <c r="DA578" s="16"/>
      <c r="DB578" s="16"/>
      <c r="DC578" s="16"/>
      <c r="DD578" s="16"/>
      <c r="DE578" s="17"/>
      <c r="DI578" s="24"/>
      <c r="DJ578" s="60"/>
      <c r="DK578" s="16"/>
      <c r="DL578" s="16"/>
      <c r="DM578" s="16"/>
      <c r="DN578" s="16"/>
      <c r="DO578" s="16"/>
      <c r="DP578" s="17"/>
      <c r="DT578" s="24"/>
      <c r="DU578" s="60"/>
      <c r="DV578" s="16"/>
      <c r="DW578" s="16"/>
      <c r="DX578" s="16"/>
      <c r="DY578" s="16"/>
      <c r="DZ578" s="16"/>
      <c r="EA578" s="17"/>
      <c r="EE578" s="24"/>
      <c r="EF578" s="60"/>
      <c r="EG578" s="16"/>
      <c r="EH578" s="16"/>
      <c r="EI578" s="16"/>
      <c r="EJ578" s="16"/>
      <c r="EK578" s="16"/>
      <c r="EL578" s="17"/>
      <c r="EP578" s="24"/>
      <c r="EQ578" s="60"/>
      <c r="ER578" s="16"/>
      <c r="ES578" s="16"/>
      <c r="ET578" s="16"/>
      <c r="EU578" s="16"/>
      <c r="EV578" s="16"/>
      <c r="EW578" s="17"/>
      <c r="FA578" s="24"/>
      <c r="FB578" s="60"/>
      <c r="FC578" s="16"/>
      <c r="FD578" s="16"/>
      <c r="FE578" s="16"/>
      <c r="FF578" s="16"/>
      <c r="FG578" s="16"/>
      <c r="FH578" s="17"/>
      <c r="FL578" s="24"/>
      <c r="FM578" s="60"/>
      <c r="FN578" s="16"/>
      <c r="FO578" s="16"/>
      <c r="FP578" s="16"/>
      <c r="FQ578" s="16"/>
      <c r="FR578" s="16"/>
      <c r="FS578" s="17"/>
      <c r="FW578" s="24"/>
      <c r="FX578" s="60"/>
      <c r="FY578" s="16"/>
      <c r="FZ578" s="16"/>
      <c r="GA578" s="16"/>
      <c r="GB578" s="16"/>
      <c r="GC578" s="16"/>
      <c r="GD578" s="17"/>
      <c r="GH578" s="24"/>
      <c r="GI578" s="60"/>
      <c r="GJ578" s="16"/>
      <c r="GK578" s="16"/>
      <c r="GL578" s="16"/>
      <c r="GM578" s="16"/>
      <c r="GN578" s="16"/>
      <c r="GO578" s="17"/>
      <c r="GS578" s="24"/>
      <c r="GT578" s="60"/>
      <c r="GU578" s="16"/>
      <c r="GV578" s="16"/>
      <c r="GW578" s="16"/>
      <c r="GX578" s="16"/>
      <c r="GY578" s="16"/>
      <c r="GZ578" s="17"/>
      <c r="HD578" s="24"/>
      <c r="HE578" s="60"/>
      <c r="HF578" s="16"/>
      <c r="HG578" s="16"/>
      <c r="HH578" s="16"/>
      <c r="HI578" s="16"/>
      <c r="HJ578" s="16"/>
      <c r="HK578" s="17"/>
      <c r="HO578" s="24"/>
      <c r="HP578" s="60"/>
      <c r="HQ578" s="16"/>
      <c r="HR578" s="16"/>
      <c r="HS578" s="16"/>
      <c r="HT578" s="16"/>
      <c r="HU578" s="16"/>
      <c r="HV578" s="17"/>
      <c r="HZ578" s="24"/>
      <c r="IA578" s="60"/>
      <c r="IB578" s="16"/>
      <c r="IC578" s="16"/>
      <c r="ID578" s="16"/>
      <c r="IE578" s="16"/>
      <c r="IF578" s="16"/>
      <c r="IG578" s="17"/>
      <c r="IK578" s="24"/>
      <c r="IL578" s="60"/>
      <c r="IM578" s="16"/>
      <c r="IN578" s="16"/>
      <c r="IO578" s="16"/>
      <c r="IP578" s="16"/>
      <c r="IQ578" s="16"/>
      <c r="IR578" s="17"/>
      <c r="IV578" s="24"/>
      <c r="IW578" s="60"/>
      <c r="IX578" s="16"/>
      <c r="IY578" s="16"/>
      <c r="IZ578" s="16"/>
      <c r="JA578" s="16"/>
      <c r="JB578" s="16"/>
      <c r="JC578" s="17"/>
      <c r="JG578" s="24"/>
      <c r="JH578" s="60"/>
      <c r="JI578" s="16"/>
      <c r="JJ578" s="16"/>
      <c r="JK578" s="16"/>
      <c r="JL578" s="16"/>
      <c r="JM578" s="16"/>
      <c r="JN578" s="17"/>
      <c r="JR578" s="24"/>
      <c r="JS578" s="60"/>
      <c r="JT578" s="16"/>
      <c r="JU578" s="16"/>
      <c r="JV578" s="16"/>
      <c r="JW578" s="16"/>
      <c r="JX578" s="16"/>
      <c r="JY578" s="17"/>
      <c r="KC578" s="24"/>
      <c r="KD578" s="60"/>
      <c r="KE578" s="16"/>
      <c r="KF578" s="16"/>
      <c r="KG578" s="16"/>
      <c r="KH578" s="16"/>
      <c r="KI578" s="16"/>
      <c r="KJ578" s="17"/>
      <c r="KN578" s="24"/>
      <c r="KO578" s="60"/>
      <c r="KP578" s="16"/>
      <c r="KQ578" s="16"/>
      <c r="KR578" s="16"/>
      <c r="KS578" s="16"/>
      <c r="KT578" s="16"/>
      <c r="KU578" s="17"/>
      <c r="KY578" s="24"/>
      <c r="KZ578" s="60"/>
      <c r="LA578" s="16"/>
      <c r="LB578" s="16"/>
      <c r="LC578" s="16"/>
      <c r="LD578" s="16"/>
      <c r="LE578" s="16"/>
      <c r="LF578" s="17"/>
      <c r="LJ578" s="24"/>
      <c r="LK578" s="60"/>
      <c r="LL578" s="16"/>
      <c r="LM578" s="16"/>
      <c r="LN578" s="16"/>
      <c r="LO578" s="16"/>
      <c r="LP578" s="16"/>
      <c r="LQ578" s="17"/>
    </row>
    <row r="579">
      <c r="C579" s="31"/>
      <c r="D579" s="61"/>
      <c r="E579" s="16"/>
      <c r="F579" s="16"/>
      <c r="G579" s="21"/>
      <c r="H579" s="16"/>
      <c r="I579" s="16"/>
      <c r="J579" s="17"/>
      <c r="N579" s="17"/>
      <c r="O579" s="61"/>
      <c r="P579" s="16"/>
      <c r="Q579" s="16"/>
      <c r="R579" s="16"/>
      <c r="S579" s="16"/>
      <c r="T579" s="16"/>
      <c r="U579" s="17"/>
      <c r="Y579" s="24"/>
      <c r="Z579" s="61"/>
      <c r="AA579" s="16"/>
      <c r="AB579" s="16"/>
      <c r="AC579" s="16"/>
      <c r="AD579" s="16"/>
      <c r="AE579" s="16"/>
      <c r="AF579" s="17"/>
      <c r="AJ579" s="24"/>
      <c r="AK579" s="61"/>
      <c r="AL579" s="16"/>
      <c r="AM579" s="16"/>
      <c r="AN579" s="16"/>
      <c r="AO579" s="16"/>
      <c r="AP579" s="16"/>
      <c r="AQ579" s="17"/>
      <c r="AU579" s="24"/>
      <c r="AV579" s="61"/>
      <c r="AW579" s="16"/>
      <c r="AX579" s="16"/>
      <c r="AY579" s="16"/>
      <c r="AZ579" s="16"/>
      <c r="BA579" s="16"/>
      <c r="BB579" s="17"/>
      <c r="BF579" s="24"/>
      <c r="BG579" s="61"/>
      <c r="BH579" s="16"/>
      <c r="BI579" s="16"/>
      <c r="BJ579" s="16"/>
      <c r="BK579" s="16"/>
      <c r="BL579" s="16"/>
      <c r="BM579" s="17"/>
      <c r="BQ579" s="24"/>
      <c r="BR579" s="61"/>
      <c r="BS579" s="16"/>
      <c r="BT579" s="16"/>
      <c r="BU579" s="16"/>
      <c r="BV579" s="16"/>
      <c r="BW579" s="16"/>
      <c r="BX579" s="17"/>
      <c r="CB579" s="24"/>
      <c r="CC579" s="61"/>
      <c r="CD579" s="16"/>
      <c r="CE579" s="16"/>
      <c r="CF579" s="16"/>
      <c r="CG579" s="16"/>
      <c r="CH579" s="16"/>
      <c r="CI579" s="17"/>
      <c r="CM579" s="24"/>
      <c r="CN579" s="61"/>
      <c r="CO579" s="16"/>
      <c r="CP579" s="16"/>
      <c r="CQ579" s="16"/>
      <c r="CR579" s="16"/>
      <c r="CS579" s="16"/>
      <c r="CT579" s="17"/>
      <c r="CX579" s="24"/>
      <c r="CY579" s="60"/>
      <c r="CZ579" s="16"/>
      <c r="DA579" s="16"/>
      <c r="DB579" s="16"/>
      <c r="DC579" s="16"/>
      <c r="DD579" s="16"/>
      <c r="DE579" s="17"/>
      <c r="DI579" s="24"/>
      <c r="DJ579" s="60"/>
      <c r="DK579" s="16"/>
      <c r="DL579" s="16"/>
      <c r="DM579" s="16"/>
      <c r="DN579" s="16"/>
      <c r="DO579" s="16"/>
      <c r="DP579" s="17"/>
      <c r="DT579" s="24"/>
      <c r="DU579" s="60"/>
      <c r="DV579" s="16"/>
      <c r="DW579" s="16"/>
      <c r="DX579" s="16"/>
      <c r="DY579" s="16"/>
      <c r="DZ579" s="16"/>
      <c r="EA579" s="17"/>
      <c r="EE579" s="24"/>
      <c r="EF579" s="60"/>
      <c r="EG579" s="16"/>
      <c r="EH579" s="16"/>
      <c r="EI579" s="16"/>
      <c r="EJ579" s="16"/>
      <c r="EK579" s="16"/>
      <c r="EL579" s="17"/>
      <c r="EP579" s="24"/>
      <c r="EQ579" s="60"/>
      <c r="ER579" s="16"/>
      <c r="ES579" s="16"/>
      <c r="ET579" s="16"/>
      <c r="EU579" s="16"/>
      <c r="EV579" s="16"/>
      <c r="EW579" s="17"/>
      <c r="FA579" s="24"/>
      <c r="FB579" s="60"/>
      <c r="FC579" s="16"/>
      <c r="FD579" s="16"/>
      <c r="FE579" s="16"/>
      <c r="FF579" s="16"/>
      <c r="FG579" s="16"/>
      <c r="FH579" s="17"/>
      <c r="FL579" s="24"/>
      <c r="FM579" s="60"/>
      <c r="FN579" s="16"/>
      <c r="FO579" s="16"/>
      <c r="FP579" s="16"/>
      <c r="FQ579" s="16"/>
      <c r="FR579" s="16"/>
      <c r="FS579" s="17"/>
      <c r="FW579" s="24"/>
      <c r="FX579" s="60"/>
      <c r="FY579" s="16"/>
      <c r="FZ579" s="16"/>
      <c r="GA579" s="16"/>
      <c r="GB579" s="16"/>
      <c r="GC579" s="16"/>
      <c r="GD579" s="17"/>
      <c r="GH579" s="24"/>
      <c r="GI579" s="60"/>
      <c r="GJ579" s="16"/>
      <c r="GK579" s="16"/>
      <c r="GL579" s="16"/>
      <c r="GM579" s="16"/>
      <c r="GN579" s="16"/>
      <c r="GO579" s="17"/>
      <c r="GS579" s="24"/>
      <c r="GT579" s="60"/>
      <c r="GU579" s="16"/>
      <c r="GV579" s="16"/>
      <c r="GW579" s="16"/>
      <c r="GX579" s="16"/>
      <c r="GY579" s="16"/>
      <c r="GZ579" s="17"/>
      <c r="HD579" s="24"/>
      <c r="HE579" s="60"/>
      <c r="HF579" s="16"/>
      <c r="HG579" s="16"/>
      <c r="HH579" s="16"/>
      <c r="HI579" s="16"/>
      <c r="HJ579" s="16"/>
      <c r="HK579" s="17"/>
      <c r="HO579" s="24"/>
      <c r="HP579" s="60"/>
      <c r="HQ579" s="16"/>
      <c r="HR579" s="16"/>
      <c r="HS579" s="16"/>
      <c r="HT579" s="16"/>
      <c r="HU579" s="16"/>
      <c r="HV579" s="17"/>
      <c r="HZ579" s="24"/>
      <c r="IA579" s="60"/>
      <c r="IB579" s="16"/>
      <c r="IC579" s="16"/>
      <c r="ID579" s="16"/>
      <c r="IE579" s="16"/>
      <c r="IF579" s="16"/>
      <c r="IG579" s="17"/>
      <c r="IK579" s="24"/>
      <c r="IL579" s="60"/>
      <c r="IM579" s="16"/>
      <c r="IN579" s="16"/>
      <c r="IO579" s="16"/>
      <c r="IP579" s="16"/>
      <c r="IQ579" s="16"/>
      <c r="IR579" s="17"/>
      <c r="IV579" s="24"/>
      <c r="IW579" s="60"/>
      <c r="IX579" s="16"/>
      <c r="IY579" s="16"/>
      <c r="IZ579" s="16"/>
      <c r="JA579" s="16"/>
      <c r="JB579" s="16"/>
      <c r="JC579" s="17"/>
      <c r="JG579" s="24"/>
      <c r="JH579" s="60"/>
      <c r="JI579" s="16"/>
      <c r="JJ579" s="16"/>
      <c r="JK579" s="16"/>
      <c r="JL579" s="16"/>
      <c r="JM579" s="16"/>
      <c r="JN579" s="17"/>
      <c r="JR579" s="24"/>
      <c r="JS579" s="60"/>
      <c r="JT579" s="16"/>
      <c r="JU579" s="16"/>
      <c r="JV579" s="16"/>
      <c r="JW579" s="16"/>
      <c r="JX579" s="16"/>
      <c r="JY579" s="17"/>
      <c r="KC579" s="24"/>
      <c r="KD579" s="60"/>
      <c r="KE579" s="16"/>
      <c r="KF579" s="16"/>
      <c r="KG579" s="16"/>
      <c r="KH579" s="16"/>
      <c r="KI579" s="16"/>
      <c r="KJ579" s="17"/>
      <c r="KN579" s="24"/>
      <c r="KO579" s="60"/>
      <c r="KP579" s="16"/>
      <c r="KQ579" s="16"/>
      <c r="KR579" s="16"/>
      <c r="KS579" s="16"/>
      <c r="KT579" s="16"/>
      <c r="KU579" s="17"/>
      <c r="KY579" s="24"/>
      <c r="KZ579" s="60"/>
      <c r="LA579" s="16"/>
      <c r="LB579" s="16"/>
      <c r="LC579" s="16"/>
      <c r="LD579" s="16"/>
      <c r="LE579" s="16"/>
      <c r="LF579" s="17"/>
      <c r="LJ579" s="24"/>
      <c r="LK579" s="60"/>
      <c r="LL579" s="16"/>
      <c r="LM579" s="16"/>
      <c r="LN579" s="16"/>
      <c r="LO579" s="16"/>
      <c r="LP579" s="16"/>
      <c r="LQ579" s="17"/>
    </row>
    <row r="580">
      <c r="C580" s="31"/>
      <c r="D580" s="61"/>
      <c r="E580" s="16"/>
      <c r="F580" s="16"/>
      <c r="G580" s="21"/>
      <c r="H580" s="16"/>
      <c r="I580" s="16"/>
      <c r="J580" s="17"/>
      <c r="N580" s="17"/>
      <c r="O580" s="61"/>
      <c r="P580" s="16"/>
      <c r="Q580" s="16"/>
      <c r="R580" s="16"/>
      <c r="S580" s="16"/>
      <c r="T580" s="16"/>
      <c r="U580" s="17"/>
      <c r="Y580" s="24"/>
      <c r="Z580" s="61"/>
      <c r="AA580" s="16"/>
      <c r="AB580" s="16"/>
      <c r="AC580" s="16"/>
      <c r="AD580" s="16"/>
      <c r="AE580" s="16"/>
      <c r="AF580" s="17"/>
      <c r="AJ580" s="24"/>
      <c r="AK580" s="61"/>
      <c r="AL580" s="16"/>
      <c r="AM580" s="16"/>
      <c r="AN580" s="16"/>
      <c r="AO580" s="16"/>
      <c r="AP580" s="16"/>
      <c r="AQ580" s="17"/>
      <c r="AU580" s="24"/>
      <c r="AV580" s="61"/>
      <c r="AW580" s="16"/>
      <c r="AX580" s="16"/>
      <c r="AY580" s="16"/>
      <c r="AZ580" s="16"/>
      <c r="BA580" s="16"/>
      <c r="BB580" s="17"/>
      <c r="BF580" s="24"/>
      <c r="BG580" s="61"/>
      <c r="BH580" s="16"/>
      <c r="BI580" s="16"/>
      <c r="BJ580" s="16"/>
      <c r="BK580" s="16"/>
      <c r="BL580" s="16"/>
      <c r="BM580" s="17"/>
      <c r="BQ580" s="24"/>
      <c r="BR580" s="61"/>
      <c r="BS580" s="16"/>
      <c r="BT580" s="16"/>
      <c r="BU580" s="16"/>
      <c r="BV580" s="16"/>
      <c r="BW580" s="16"/>
      <c r="BX580" s="17"/>
      <c r="CB580" s="24"/>
      <c r="CC580" s="61"/>
      <c r="CD580" s="16"/>
      <c r="CE580" s="16"/>
      <c r="CF580" s="16"/>
      <c r="CG580" s="16"/>
      <c r="CH580" s="16"/>
      <c r="CI580" s="17"/>
      <c r="CM580" s="24"/>
      <c r="CN580" s="61"/>
      <c r="CO580" s="16"/>
      <c r="CP580" s="16"/>
      <c r="CQ580" s="16"/>
      <c r="CR580" s="16"/>
      <c r="CS580" s="16"/>
      <c r="CT580" s="17"/>
      <c r="CX580" s="24"/>
      <c r="CY580" s="60"/>
      <c r="CZ580" s="16"/>
      <c r="DA580" s="16"/>
      <c r="DB580" s="16"/>
      <c r="DC580" s="16"/>
      <c r="DD580" s="16"/>
      <c r="DE580" s="17"/>
      <c r="DI580" s="24"/>
      <c r="DJ580" s="60"/>
      <c r="DK580" s="16"/>
      <c r="DL580" s="16"/>
      <c r="DM580" s="16"/>
      <c r="DN580" s="16"/>
      <c r="DO580" s="16"/>
      <c r="DP580" s="17"/>
      <c r="DT580" s="24"/>
      <c r="DU580" s="60"/>
      <c r="DV580" s="16"/>
      <c r="DW580" s="16"/>
      <c r="DX580" s="16"/>
      <c r="DY580" s="16"/>
      <c r="DZ580" s="16"/>
      <c r="EA580" s="17"/>
      <c r="EE580" s="24"/>
      <c r="EF580" s="60"/>
      <c r="EG580" s="16"/>
      <c r="EH580" s="16"/>
      <c r="EI580" s="16"/>
      <c r="EJ580" s="16"/>
      <c r="EK580" s="16"/>
      <c r="EL580" s="17"/>
      <c r="EP580" s="24"/>
      <c r="EQ580" s="60"/>
      <c r="ER580" s="16"/>
      <c r="ES580" s="16"/>
      <c r="ET580" s="16"/>
      <c r="EU580" s="16"/>
      <c r="EV580" s="16"/>
      <c r="EW580" s="17"/>
      <c r="FA580" s="24"/>
      <c r="FB580" s="60"/>
      <c r="FC580" s="16"/>
      <c r="FD580" s="16"/>
      <c r="FE580" s="16"/>
      <c r="FF580" s="16"/>
      <c r="FG580" s="16"/>
      <c r="FH580" s="17"/>
      <c r="FL580" s="24"/>
      <c r="FM580" s="60"/>
      <c r="FN580" s="16"/>
      <c r="FO580" s="16"/>
      <c r="FP580" s="16"/>
      <c r="FQ580" s="16"/>
      <c r="FR580" s="16"/>
      <c r="FS580" s="17"/>
      <c r="FW580" s="24"/>
      <c r="FX580" s="60"/>
      <c r="FY580" s="16"/>
      <c r="FZ580" s="16"/>
      <c r="GA580" s="16"/>
      <c r="GB580" s="16"/>
      <c r="GC580" s="16"/>
      <c r="GD580" s="17"/>
      <c r="GH580" s="24"/>
      <c r="GI580" s="60"/>
      <c r="GJ580" s="16"/>
      <c r="GK580" s="16"/>
      <c r="GL580" s="16"/>
      <c r="GM580" s="16"/>
      <c r="GN580" s="16"/>
      <c r="GO580" s="17"/>
      <c r="GS580" s="24"/>
      <c r="GT580" s="60"/>
      <c r="GU580" s="16"/>
      <c r="GV580" s="16"/>
      <c r="GW580" s="16"/>
      <c r="GX580" s="16"/>
      <c r="GY580" s="16"/>
      <c r="GZ580" s="17"/>
      <c r="HD580" s="24"/>
      <c r="HE580" s="60"/>
      <c r="HF580" s="16"/>
      <c r="HG580" s="16"/>
      <c r="HH580" s="16"/>
      <c r="HI580" s="16"/>
      <c r="HJ580" s="16"/>
      <c r="HK580" s="17"/>
      <c r="HO580" s="24"/>
      <c r="HP580" s="60"/>
      <c r="HQ580" s="16"/>
      <c r="HR580" s="16"/>
      <c r="HS580" s="16"/>
      <c r="HT580" s="16"/>
      <c r="HU580" s="16"/>
      <c r="HV580" s="17"/>
      <c r="HZ580" s="24"/>
      <c r="IA580" s="60"/>
      <c r="IB580" s="16"/>
      <c r="IC580" s="16"/>
      <c r="ID580" s="16"/>
      <c r="IE580" s="16"/>
      <c r="IF580" s="16"/>
      <c r="IG580" s="17"/>
      <c r="IK580" s="24"/>
      <c r="IL580" s="60"/>
      <c r="IM580" s="16"/>
      <c r="IN580" s="16"/>
      <c r="IO580" s="16"/>
      <c r="IP580" s="16"/>
      <c r="IQ580" s="16"/>
      <c r="IR580" s="17"/>
      <c r="IV580" s="24"/>
      <c r="IW580" s="60"/>
      <c r="IX580" s="16"/>
      <c r="IY580" s="16"/>
      <c r="IZ580" s="16"/>
      <c r="JA580" s="16"/>
      <c r="JB580" s="16"/>
      <c r="JC580" s="17"/>
      <c r="JG580" s="24"/>
      <c r="JH580" s="60"/>
      <c r="JI580" s="16"/>
      <c r="JJ580" s="16"/>
      <c r="JK580" s="16"/>
      <c r="JL580" s="16"/>
      <c r="JM580" s="16"/>
      <c r="JN580" s="17"/>
      <c r="JR580" s="24"/>
      <c r="JS580" s="60"/>
      <c r="JT580" s="16"/>
      <c r="JU580" s="16"/>
      <c r="JV580" s="16"/>
      <c r="JW580" s="16"/>
      <c r="JX580" s="16"/>
      <c r="JY580" s="17"/>
      <c r="KC580" s="24"/>
      <c r="KD580" s="60"/>
      <c r="KE580" s="16"/>
      <c r="KF580" s="16"/>
      <c r="KG580" s="16"/>
      <c r="KH580" s="16"/>
      <c r="KI580" s="16"/>
      <c r="KJ580" s="17"/>
      <c r="KN580" s="24"/>
      <c r="KO580" s="60"/>
      <c r="KP580" s="16"/>
      <c r="KQ580" s="16"/>
      <c r="KR580" s="16"/>
      <c r="KS580" s="16"/>
      <c r="KT580" s="16"/>
      <c r="KU580" s="17"/>
      <c r="KY580" s="24"/>
      <c r="KZ580" s="60"/>
      <c r="LA580" s="16"/>
      <c r="LB580" s="16"/>
      <c r="LC580" s="16"/>
      <c r="LD580" s="16"/>
      <c r="LE580" s="16"/>
      <c r="LF580" s="17"/>
      <c r="LJ580" s="24"/>
      <c r="LK580" s="60"/>
      <c r="LL580" s="16"/>
      <c r="LM580" s="16"/>
      <c r="LN580" s="16"/>
      <c r="LO580" s="16"/>
      <c r="LP580" s="16"/>
      <c r="LQ580" s="17"/>
    </row>
    <row r="581">
      <c r="C581" s="31"/>
      <c r="D581" s="61"/>
      <c r="E581" s="16"/>
      <c r="F581" s="16"/>
      <c r="G581" s="21"/>
      <c r="H581" s="16"/>
      <c r="I581" s="16"/>
      <c r="J581" s="17"/>
      <c r="N581" s="17"/>
      <c r="O581" s="61"/>
      <c r="P581" s="16"/>
      <c r="Q581" s="16"/>
      <c r="R581" s="16"/>
      <c r="S581" s="16"/>
      <c r="T581" s="16"/>
      <c r="U581" s="17"/>
      <c r="Y581" s="24"/>
      <c r="Z581" s="61"/>
      <c r="AA581" s="16"/>
      <c r="AB581" s="16"/>
      <c r="AC581" s="16"/>
      <c r="AD581" s="16"/>
      <c r="AE581" s="16"/>
      <c r="AF581" s="17"/>
      <c r="AJ581" s="24"/>
      <c r="AK581" s="61"/>
      <c r="AL581" s="16"/>
      <c r="AM581" s="16"/>
      <c r="AN581" s="16"/>
      <c r="AO581" s="16"/>
      <c r="AP581" s="16"/>
      <c r="AQ581" s="17"/>
      <c r="AU581" s="24"/>
      <c r="AV581" s="61"/>
      <c r="AW581" s="16"/>
      <c r="AX581" s="16"/>
      <c r="AY581" s="16"/>
      <c r="AZ581" s="16"/>
      <c r="BA581" s="16"/>
      <c r="BB581" s="17"/>
      <c r="BF581" s="24"/>
      <c r="BG581" s="61"/>
      <c r="BH581" s="16"/>
      <c r="BI581" s="16"/>
      <c r="BJ581" s="16"/>
      <c r="BK581" s="16"/>
      <c r="BL581" s="16"/>
      <c r="BM581" s="17"/>
      <c r="BQ581" s="24"/>
      <c r="BR581" s="61"/>
      <c r="BS581" s="16"/>
      <c r="BT581" s="16"/>
      <c r="BU581" s="16"/>
      <c r="BV581" s="16"/>
      <c r="BW581" s="16"/>
      <c r="BX581" s="17"/>
      <c r="CB581" s="24"/>
      <c r="CC581" s="61"/>
      <c r="CD581" s="16"/>
      <c r="CE581" s="16"/>
      <c r="CF581" s="16"/>
      <c r="CG581" s="16"/>
      <c r="CH581" s="16"/>
      <c r="CI581" s="17"/>
      <c r="CM581" s="24"/>
      <c r="CN581" s="61"/>
      <c r="CO581" s="16"/>
      <c r="CP581" s="16"/>
      <c r="CQ581" s="16"/>
      <c r="CR581" s="16"/>
      <c r="CS581" s="16"/>
      <c r="CT581" s="17"/>
      <c r="CX581" s="24"/>
      <c r="CY581" s="60"/>
      <c r="CZ581" s="16"/>
      <c r="DA581" s="16"/>
      <c r="DB581" s="16"/>
      <c r="DC581" s="16"/>
      <c r="DD581" s="16"/>
      <c r="DE581" s="17"/>
      <c r="DI581" s="24"/>
      <c r="DJ581" s="60"/>
      <c r="DK581" s="16"/>
      <c r="DL581" s="16"/>
      <c r="DM581" s="16"/>
      <c r="DN581" s="16"/>
      <c r="DO581" s="16"/>
      <c r="DP581" s="17"/>
      <c r="DT581" s="24"/>
      <c r="DU581" s="60"/>
      <c r="DV581" s="16"/>
      <c r="DW581" s="16"/>
      <c r="DX581" s="16"/>
      <c r="DY581" s="16"/>
      <c r="DZ581" s="16"/>
      <c r="EA581" s="17"/>
      <c r="EE581" s="24"/>
      <c r="EF581" s="60"/>
      <c r="EG581" s="16"/>
      <c r="EH581" s="16"/>
      <c r="EI581" s="16"/>
      <c r="EJ581" s="16"/>
      <c r="EK581" s="16"/>
      <c r="EL581" s="17"/>
      <c r="EP581" s="24"/>
      <c r="EQ581" s="60"/>
      <c r="ER581" s="16"/>
      <c r="ES581" s="16"/>
      <c r="ET581" s="16"/>
      <c r="EU581" s="16"/>
      <c r="EV581" s="16"/>
      <c r="EW581" s="17"/>
      <c r="FA581" s="24"/>
      <c r="FB581" s="60"/>
      <c r="FC581" s="16"/>
      <c r="FD581" s="16"/>
      <c r="FE581" s="16"/>
      <c r="FF581" s="16"/>
      <c r="FG581" s="16"/>
      <c r="FH581" s="17"/>
      <c r="FL581" s="24"/>
      <c r="FM581" s="60"/>
      <c r="FN581" s="16"/>
      <c r="FO581" s="16"/>
      <c r="FP581" s="16"/>
      <c r="FQ581" s="16"/>
      <c r="FR581" s="16"/>
      <c r="FS581" s="17"/>
      <c r="FW581" s="24"/>
      <c r="FX581" s="60"/>
      <c r="FY581" s="16"/>
      <c r="FZ581" s="16"/>
      <c r="GA581" s="16"/>
      <c r="GB581" s="16"/>
      <c r="GC581" s="16"/>
      <c r="GD581" s="17"/>
      <c r="GH581" s="24"/>
      <c r="GI581" s="60"/>
      <c r="GJ581" s="16"/>
      <c r="GK581" s="16"/>
      <c r="GL581" s="16"/>
      <c r="GM581" s="16"/>
      <c r="GN581" s="16"/>
      <c r="GO581" s="17"/>
      <c r="GS581" s="24"/>
      <c r="GT581" s="60"/>
      <c r="GU581" s="16"/>
      <c r="GV581" s="16"/>
      <c r="GW581" s="16"/>
      <c r="GX581" s="16"/>
      <c r="GY581" s="16"/>
      <c r="GZ581" s="17"/>
      <c r="HD581" s="24"/>
      <c r="HE581" s="60"/>
      <c r="HF581" s="16"/>
      <c r="HG581" s="16"/>
      <c r="HH581" s="16"/>
      <c r="HI581" s="16"/>
      <c r="HJ581" s="16"/>
      <c r="HK581" s="17"/>
      <c r="HO581" s="24"/>
      <c r="HP581" s="60"/>
      <c r="HQ581" s="16"/>
      <c r="HR581" s="16"/>
      <c r="HS581" s="16"/>
      <c r="HT581" s="16"/>
      <c r="HU581" s="16"/>
      <c r="HV581" s="17"/>
      <c r="HZ581" s="24"/>
      <c r="IA581" s="60"/>
      <c r="IB581" s="16"/>
      <c r="IC581" s="16"/>
      <c r="ID581" s="16"/>
      <c r="IE581" s="16"/>
      <c r="IF581" s="16"/>
      <c r="IG581" s="17"/>
      <c r="IK581" s="24"/>
      <c r="IL581" s="60"/>
      <c r="IM581" s="16"/>
      <c r="IN581" s="16"/>
      <c r="IO581" s="16"/>
      <c r="IP581" s="16"/>
      <c r="IQ581" s="16"/>
      <c r="IR581" s="17"/>
      <c r="IV581" s="24"/>
      <c r="IW581" s="60"/>
      <c r="IX581" s="16"/>
      <c r="IY581" s="16"/>
      <c r="IZ581" s="16"/>
      <c r="JA581" s="16"/>
      <c r="JB581" s="16"/>
      <c r="JC581" s="17"/>
      <c r="JG581" s="24"/>
      <c r="JH581" s="60"/>
      <c r="JI581" s="16"/>
      <c r="JJ581" s="16"/>
      <c r="JK581" s="16"/>
      <c r="JL581" s="16"/>
      <c r="JM581" s="16"/>
      <c r="JN581" s="17"/>
      <c r="JR581" s="24"/>
      <c r="JS581" s="60"/>
      <c r="JT581" s="16"/>
      <c r="JU581" s="16"/>
      <c r="JV581" s="16"/>
      <c r="JW581" s="16"/>
      <c r="JX581" s="16"/>
      <c r="JY581" s="17"/>
      <c r="KC581" s="24"/>
      <c r="KD581" s="60"/>
      <c r="KE581" s="16"/>
      <c r="KF581" s="16"/>
      <c r="KG581" s="16"/>
      <c r="KH581" s="16"/>
      <c r="KI581" s="16"/>
      <c r="KJ581" s="17"/>
      <c r="KN581" s="24"/>
      <c r="KO581" s="60"/>
      <c r="KP581" s="16"/>
      <c r="KQ581" s="16"/>
      <c r="KR581" s="16"/>
      <c r="KS581" s="16"/>
      <c r="KT581" s="16"/>
      <c r="KU581" s="17"/>
      <c r="KY581" s="24"/>
      <c r="KZ581" s="60"/>
      <c r="LA581" s="16"/>
      <c r="LB581" s="16"/>
      <c r="LC581" s="16"/>
      <c r="LD581" s="16"/>
      <c r="LE581" s="16"/>
      <c r="LF581" s="17"/>
      <c r="LJ581" s="24"/>
      <c r="LK581" s="60"/>
      <c r="LL581" s="16"/>
      <c r="LM581" s="16"/>
      <c r="LN581" s="16"/>
      <c r="LO581" s="16"/>
      <c r="LP581" s="16"/>
      <c r="LQ581" s="17"/>
    </row>
    <row r="582">
      <c r="C582" s="31"/>
      <c r="D582" s="61"/>
      <c r="E582" s="16"/>
      <c r="F582" s="16"/>
      <c r="G582" s="21"/>
      <c r="H582" s="16"/>
      <c r="I582" s="16"/>
      <c r="J582" s="17"/>
      <c r="N582" s="17"/>
      <c r="O582" s="61"/>
      <c r="P582" s="16"/>
      <c r="Q582" s="16"/>
      <c r="R582" s="16"/>
      <c r="S582" s="16"/>
      <c r="T582" s="16"/>
      <c r="U582" s="17"/>
      <c r="Y582" s="24"/>
      <c r="Z582" s="61"/>
      <c r="AA582" s="16"/>
      <c r="AB582" s="16"/>
      <c r="AC582" s="16"/>
      <c r="AD582" s="16"/>
      <c r="AE582" s="16"/>
      <c r="AF582" s="17"/>
      <c r="AJ582" s="24"/>
      <c r="AK582" s="61"/>
      <c r="AL582" s="16"/>
      <c r="AM582" s="16"/>
      <c r="AN582" s="16"/>
      <c r="AO582" s="16"/>
      <c r="AP582" s="16"/>
      <c r="AQ582" s="17"/>
      <c r="AU582" s="24"/>
      <c r="AV582" s="61"/>
      <c r="AW582" s="16"/>
      <c r="AX582" s="16"/>
      <c r="AY582" s="16"/>
      <c r="AZ582" s="16"/>
      <c r="BA582" s="16"/>
      <c r="BB582" s="17"/>
      <c r="BF582" s="24"/>
      <c r="BG582" s="61"/>
      <c r="BH582" s="16"/>
      <c r="BI582" s="16"/>
      <c r="BJ582" s="16"/>
      <c r="BK582" s="16"/>
      <c r="BL582" s="16"/>
      <c r="BM582" s="17"/>
      <c r="BQ582" s="24"/>
      <c r="BR582" s="61"/>
      <c r="BS582" s="16"/>
      <c r="BT582" s="16"/>
      <c r="BU582" s="16"/>
      <c r="BV582" s="16"/>
      <c r="BW582" s="16"/>
      <c r="BX582" s="17"/>
      <c r="CB582" s="24"/>
      <c r="CC582" s="61"/>
      <c r="CD582" s="16"/>
      <c r="CE582" s="16"/>
      <c r="CF582" s="16"/>
      <c r="CG582" s="16"/>
      <c r="CH582" s="16"/>
      <c r="CI582" s="17"/>
      <c r="CM582" s="24"/>
      <c r="CN582" s="61"/>
      <c r="CO582" s="16"/>
      <c r="CP582" s="16"/>
      <c r="CQ582" s="16"/>
      <c r="CR582" s="16"/>
      <c r="CS582" s="16"/>
      <c r="CT582" s="17"/>
      <c r="CX582" s="24"/>
      <c r="CY582" s="60"/>
      <c r="CZ582" s="16"/>
      <c r="DA582" s="16"/>
      <c r="DB582" s="16"/>
      <c r="DC582" s="16"/>
      <c r="DD582" s="16"/>
      <c r="DE582" s="17"/>
      <c r="DI582" s="24"/>
      <c r="DJ582" s="60"/>
      <c r="DK582" s="16"/>
      <c r="DL582" s="16"/>
      <c r="DM582" s="16"/>
      <c r="DN582" s="16"/>
      <c r="DO582" s="16"/>
      <c r="DP582" s="17"/>
      <c r="DT582" s="24"/>
      <c r="DU582" s="60"/>
      <c r="DV582" s="16"/>
      <c r="DW582" s="16"/>
      <c r="DX582" s="16"/>
      <c r="DY582" s="16"/>
      <c r="DZ582" s="16"/>
      <c r="EA582" s="17"/>
      <c r="EE582" s="24"/>
      <c r="EF582" s="60"/>
      <c r="EG582" s="16"/>
      <c r="EH582" s="16"/>
      <c r="EI582" s="16"/>
      <c r="EJ582" s="16"/>
      <c r="EK582" s="16"/>
      <c r="EL582" s="17"/>
      <c r="EP582" s="24"/>
      <c r="EQ582" s="60"/>
      <c r="ER582" s="16"/>
      <c r="ES582" s="16"/>
      <c r="ET582" s="16"/>
      <c r="EU582" s="16"/>
      <c r="EV582" s="16"/>
      <c r="EW582" s="17"/>
      <c r="FA582" s="24"/>
      <c r="FB582" s="60"/>
      <c r="FC582" s="16"/>
      <c r="FD582" s="16"/>
      <c r="FE582" s="16"/>
      <c r="FF582" s="16"/>
      <c r="FG582" s="16"/>
      <c r="FH582" s="17"/>
      <c r="FL582" s="24"/>
      <c r="FM582" s="60"/>
      <c r="FN582" s="16"/>
      <c r="FO582" s="16"/>
      <c r="FP582" s="16"/>
      <c r="FQ582" s="16"/>
      <c r="FR582" s="16"/>
      <c r="FS582" s="17"/>
      <c r="FW582" s="24"/>
      <c r="FX582" s="60"/>
      <c r="FY582" s="16"/>
      <c r="FZ582" s="16"/>
      <c r="GA582" s="16"/>
      <c r="GB582" s="16"/>
      <c r="GC582" s="16"/>
      <c r="GD582" s="17"/>
      <c r="GH582" s="24"/>
      <c r="GI582" s="60"/>
      <c r="GJ582" s="16"/>
      <c r="GK582" s="16"/>
      <c r="GL582" s="16"/>
      <c r="GM582" s="16"/>
      <c r="GN582" s="16"/>
      <c r="GO582" s="17"/>
      <c r="GS582" s="24"/>
      <c r="GT582" s="60"/>
      <c r="GU582" s="16"/>
      <c r="GV582" s="16"/>
      <c r="GW582" s="16"/>
      <c r="GX582" s="16"/>
      <c r="GY582" s="16"/>
      <c r="GZ582" s="17"/>
      <c r="HD582" s="24"/>
      <c r="HE582" s="60"/>
      <c r="HF582" s="16"/>
      <c r="HG582" s="16"/>
      <c r="HH582" s="16"/>
      <c r="HI582" s="16"/>
      <c r="HJ582" s="16"/>
      <c r="HK582" s="17"/>
      <c r="HO582" s="24"/>
      <c r="HP582" s="60"/>
      <c r="HQ582" s="16"/>
      <c r="HR582" s="16"/>
      <c r="HS582" s="16"/>
      <c r="HT582" s="16"/>
      <c r="HU582" s="16"/>
      <c r="HV582" s="17"/>
      <c r="HZ582" s="24"/>
      <c r="IA582" s="60"/>
      <c r="IB582" s="16"/>
      <c r="IC582" s="16"/>
      <c r="ID582" s="16"/>
      <c r="IE582" s="16"/>
      <c r="IF582" s="16"/>
      <c r="IG582" s="17"/>
      <c r="IK582" s="24"/>
      <c r="IL582" s="60"/>
      <c r="IM582" s="16"/>
      <c r="IN582" s="16"/>
      <c r="IO582" s="16"/>
      <c r="IP582" s="16"/>
      <c r="IQ582" s="16"/>
      <c r="IR582" s="17"/>
      <c r="IV582" s="24"/>
      <c r="IW582" s="60"/>
      <c r="IX582" s="16"/>
      <c r="IY582" s="16"/>
      <c r="IZ582" s="16"/>
      <c r="JA582" s="16"/>
      <c r="JB582" s="16"/>
      <c r="JC582" s="17"/>
      <c r="JG582" s="24"/>
      <c r="JH582" s="60"/>
      <c r="JI582" s="16"/>
      <c r="JJ582" s="16"/>
      <c r="JK582" s="16"/>
      <c r="JL582" s="16"/>
      <c r="JM582" s="16"/>
      <c r="JN582" s="17"/>
      <c r="JR582" s="24"/>
      <c r="JS582" s="60"/>
      <c r="JT582" s="16"/>
      <c r="JU582" s="16"/>
      <c r="JV582" s="16"/>
      <c r="JW582" s="16"/>
      <c r="JX582" s="16"/>
      <c r="JY582" s="17"/>
      <c r="KC582" s="24"/>
      <c r="KD582" s="60"/>
      <c r="KE582" s="16"/>
      <c r="KF582" s="16"/>
      <c r="KG582" s="16"/>
      <c r="KH582" s="16"/>
      <c r="KI582" s="16"/>
      <c r="KJ582" s="17"/>
      <c r="KN582" s="24"/>
      <c r="KO582" s="60"/>
      <c r="KP582" s="16"/>
      <c r="KQ582" s="16"/>
      <c r="KR582" s="16"/>
      <c r="KS582" s="16"/>
      <c r="KT582" s="16"/>
      <c r="KU582" s="17"/>
      <c r="KY582" s="24"/>
      <c r="KZ582" s="60"/>
      <c r="LA582" s="16"/>
      <c r="LB582" s="16"/>
      <c r="LC582" s="16"/>
      <c r="LD582" s="16"/>
      <c r="LE582" s="16"/>
      <c r="LF582" s="17"/>
      <c r="LJ582" s="24"/>
      <c r="LK582" s="60"/>
      <c r="LL582" s="16"/>
      <c r="LM582" s="16"/>
      <c r="LN582" s="16"/>
      <c r="LO582" s="16"/>
      <c r="LP582" s="16"/>
      <c r="LQ582" s="17"/>
    </row>
    <row r="583">
      <c r="C583" s="31"/>
      <c r="D583" s="61"/>
      <c r="E583" s="16"/>
      <c r="F583" s="16"/>
      <c r="G583" s="21"/>
      <c r="H583" s="16"/>
      <c r="I583" s="16"/>
      <c r="J583" s="17"/>
      <c r="N583" s="17"/>
      <c r="O583" s="61"/>
      <c r="P583" s="16"/>
      <c r="Q583" s="16"/>
      <c r="R583" s="16"/>
      <c r="S583" s="16"/>
      <c r="T583" s="16"/>
      <c r="U583" s="17"/>
      <c r="Y583" s="24"/>
      <c r="Z583" s="61"/>
      <c r="AA583" s="16"/>
      <c r="AB583" s="16"/>
      <c r="AC583" s="16"/>
      <c r="AD583" s="16"/>
      <c r="AE583" s="16"/>
      <c r="AF583" s="17"/>
      <c r="AJ583" s="24"/>
      <c r="AK583" s="61"/>
      <c r="AL583" s="16"/>
      <c r="AM583" s="16"/>
      <c r="AN583" s="16"/>
      <c r="AO583" s="16"/>
      <c r="AP583" s="16"/>
      <c r="AQ583" s="17"/>
      <c r="AU583" s="24"/>
      <c r="AV583" s="61"/>
      <c r="AW583" s="16"/>
      <c r="AX583" s="16"/>
      <c r="AY583" s="16"/>
      <c r="AZ583" s="16"/>
      <c r="BA583" s="16"/>
      <c r="BB583" s="17"/>
      <c r="BF583" s="24"/>
      <c r="BG583" s="61"/>
      <c r="BH583" s="16"/>
      <c r="BI583" s="16"/>
      <c r="BJ583" s="16"/>
      <c r="BK583" s="16"/>
      <c r="BL583" s="16"/>
      <c r="BM583" s="17"/>
      <c r="BQ583" s="24"/>
      <c r="BR583" s="61"/>
      <c r="BS583" s="16"/>
      <c r="BT583" s="16"/>
      <c r="BU583" s="16"/>
      <c r="BV583" s="16"/>
      <c r="BW583" s="16"/>
      <c r="BX583" s="17"/>
      <c r="CB583" s="24"/>
      <c r="CC583" s="61"/>
      <c r="CD583" s="16"/>
      <c r="CE583" s="16"/>
      <c r="CF583" s="16"/>
      <c r="CG583" s="16"/>
      <c r="CH583" s="16"/>
      <c r="CI583" s="17"/>
      <c r="CM583" s="24"/>
      <c r="CN583" s="61"/>
      <c r="CO583" s="16"/>
      <c r="CP583" s="16"/>
      <c r="CQ583" s="16"/>
      <c r="CR583" s="16"/>
      <c r="CS583" s="16"/>
      <c r="CT583" s="17"/>
      <c r="CX583" s="24"/>
      <c r="CY583" s="60"/>
      <c r="CZ583" s="16"/>
      <c r="DA583" s="16"/>
      <c r="DB583" s="16"/>
      <c r="DC583" s="16"/>
      <c r="DD583" s="16"/>
      <c r="DE583" s="17"/>
      <c r="DI583" s="24"/>
      <c r="DJ583" s="60"/>
      <c r="DK583" s="16"/>
      <c r="DL583" s="16"/>
      <c r="DM583" s="16"/>
      <c r="DN583" s="16"/>
      <c r="DO583" s="16"/>
      <c r="DP583" s="17"/>
      <c r="DT583" s="24"/>
      <c r="DU583" s="60"/>
      <c r="DV583" s="16"/>
      <c r="DW583" s="16"/>
      <c r="DX583" s="16"/>
      <c r="DY583" s="16"/>
      <c r="DZ583" s="16"/>
      <c r="EA583" s="17"/>
      <c r="EE583" s="24"/>
      <c r="EF583" s="60"/>
      <c r="EG583" s="16"/>
      <c r="EH583" s="16"/>
      <c r="EI583" s="16"/>
      <c r="EJ583" s="16"/>
      <c r="EK583" s="16"/>
      <c r="EL583" s="17"/>
      <c r="EP583" s="24"/>
      <c r="EQ583" s="60"/>
      <c r="ER583" s="16"/>
      <c r="ES583" s="16"/>
      <c r="ET583" s="16"/>
      <c r="EU583" s="16"/>
      <c r="EV583" s="16"/>
      <c r="EW583" s="17"/>
      <c r="FA583" s="24"/>
      <c r="FB583" s="60"/>
      <c r="FC583" s="16"/>
      <c r="FD583" s="16"/>
      <c r="FE583" s="16"/>
      <c r="FF583" s="16"/>
      <c r="FG583" s="16"/>
      <c r="FH583" s="17"/>
      <c r="FL583" s="24"/>
      <c r="FM583" s="60"/>
      <c r="FN583" s="16"/>
      <c r="FO583" s="16"/>
      <c r="FP583" s="16"/>
      <c r="FQ583" s="16"/>
      <c r="FR583" s="16"/>
      <c r="FS583" s="17"/>
      <c r="FW583" s="24"/>
      <c r="FX583" s="60"/>
      <c r="FY583" s="16"/>
      <c r="FZ583" s="16"/>
      <c r="GA583" s="16"/>
      <c r="GB583" s="16"/>
      <c r="GC583" s="16"/>
      <c r="GD583" s="17"/>
      <c r="GH583" s="24"/>
      <c r="GI583" s="60"/>
      <c r="GJ583" s="16"/>
      <c r="GK583" s="16"/>
      <c r="GL583" s="16"/>
      <c r="GM583" s="16"/>
      <c r="GN583" s="16"/>
      <c r="GO583" s="17"/>
      <c r="GS583" s="24"/>
      <c r="GT583" s="60"/>
      <c r="GU583" s="16"/>
      <c r="GV583" s="16"/>
      <c r="GW583" s="16"/>
      <c r="GX583" s="16"/>
      <c r="GY583" s="16"/>
      <c r="GZ583" s="17"/>
      <c r="HD583" s="24"/>
      <c r="HE583" s="60"/>
      <c r="HF583" s="16"/>
      <c r="HG583" s="16"/>
      <c r="HH583" s="16"/>
      <c r="HI583" s="16"/>
      <c r="HJ583" s="16"/>
      <c r="HK583" s="17"/>
      <c r="HO583" s="24"/>
      <c r="HP583" s="60"/>
      <c r="HQ583" s="16"/>
      <c r="HR583" s="16"/>
      <c r="HS583" s="16"/>
      <c r="HT583" s="16"/>
      <c r="HU583" s="16"/>
      <c r="HV583" s="17"/>
      <c r="HZ583" s="24"/>
      <c r="IA583" s="60"/>
      <c r="IB583" s="16"/>
      <c r="IC583" s="16"/>
      <c r="ID583" s="16"/>
      <c r="IE583" s="16"/>
      <c r="IF583" s="16"/>
      <c r="IG583" s="17"/>
      <c r="IK583" s="24"/>
      <c r="IL583" s="60"/>
      <c r="IM583" s="16"/>
      <c r="IN583" s="16"/>
      <c r="IO583" s="16"/>
      <c r="IP583" s="16"/>
      <c r="IQ583" s="16"/>
      <c r="IR583" s="17"/>
      <c r="IV583" s="24"/>
      <c r="IW583" s="60"/>
      <c r="IX583" s="16"/>
      <c r="IY583" s="16"/>
      <c r="IZ583" s="16"/>
      <c r="JA583" s="16"/>
      <c r="JB583" s="16"/>
      <c r="JC583" s="17"/>
      <c r="JG583" s="24"/>
      <c r="JH583" s="60"/>
      <c r="JI583" s="16"/>
      <c r="JJ583" s="16"/>
      <c r="JK583" s="16"/>
      <c r="JL583" s="16"/>
      <c r="JM583" s="16"/>
      <c r="JN583" s="17"/>
      <c r="JR583" s="24"/>
      <c r="JS583" s="60"/>
      <c r="JT583" s="16"/>
      <c r="JU583" s="16"/>
      <c r="JV583" s="16"/>
      <c r="JW583" s="16"/>
      <c r="JX583" s="16"/>
      <c r="JY583" s="17"/>
      <c r="KC583" s="24"/>
      <c r="KD583" s="60"/>
      <c r="KE583" s="16"/>
      <c r="KF583" s="16"/>
      <c r="KG583" s="16"/>
      <c r="KH583" s="16"/>
      <c r="KI583" s="16"/>
      <c r="KJ583" s="17"/>
      <c r="KN583" s="24"/>
      <c r="KO583" s="60"/>
      <c r="KP583" s="16"/>
      <c r="KQ583" s="16"/>
      <c r="KR583" s="16"/>
      <c r="KS583" s="16"/>
      <c r="KT583" s="16"/>
      <c r="KU583" s="17"/>
      <c r="KY583" s="24"/>
      <c r="KZ583" s="60"/>
      <c r="LA583" s="16"/>
      <c r="LB583" s="16"/>
      <c r="LC583" s="16"/>
      <c r="LD583" s="16"/>
      <c r="LE583" s="16"/>
      <c r="LF583" s="17"/>
      <c r="LJ583" s="24"/>
      <c r="LK583" s="60"/>
      <c r="LL583" s="16"/>
      <c r="LM583" s="16"/>
      <c r="LN583" s="16"/>
      <c r="LO583" s="16"/>
      <c r="LP583" s="16"/>
      <c r="LQ583" s="17"/>
    </row>
    <row r="584">
      <c r="C584" s="31"/>
      <c r="D584" s="61"/>
      <c r="E584" s="16"/>
      <c r="F584" s="16"/>
      <c r="G584" s="21"/>
      <c r="H584" s="16"/>
      <c r="I584" s="16"/>
      <c r="J584" s="17"/>
      <c r="N584" s="17"/>
      <c r="O584" s="61"/>
      <c r="P584" s="16"/>
      <c r="Q584" s="16"/>
      <c r="R584" s="16"/>
      <c r="S584" s="16"/>
      <c r="T584" s="16"/>
      <c r="U584" s="17"/>
      <c r="Y584" s="24"/>
      <c r="Z584" s="61"/>
      <c r="AA584" s="16"/>
      <c r="AB584" s="16"/>
      <c r="AC584" s="16"/>
      <c r="AD584" s="16"/>
      <c r="AE584" s="16"/>
      <c r="AF584" s="17"/>
      <c r="AJ584" s="24"/>
      <c r="AK584" s="61"/>
      <c r="AL584" s="16"/>
      <c r="AM584" s="16"/>
      <c r="AN584" s="16"/>
      <c r="AO584" s="16"/>
      <c r="AP584" s="16"/>
      <c r="AQ584" s="17"/>
      <c r="AU584" s="24"/>
      <c r="AV584" s="61"/>
      <c r="AW584" s="16"/>
      <c r="AX584" s="16"/>
      <c r="AY584" s="16"/>
      <c r="AZ584" s="16"/>
      <c r="BA584" s="16"/>
      <c r="BB584" s="17"/>
      <c r="BF584" s="24"/>
      <c r="BG584" s="61"/>
      <c r="BH584" s="16"/>
      <c r="BI584" s="16"/>
      <c r="BJ584" s="16"/>
      <c r="BK584" s="16"/>
      <c r="BL584" s="16"/>
      <c r="BM584" s="17"/>
      <c r="BQ584" s="24"/>
      <c r="BR584" s="61"/>
      <c r="BS584" s="16"/>
      <c r="BT584" s="16"/>
      <c r="BU584" s="16"/>
      <c r="BV584" s="16"/>
      <c r="BW584" s="16"/>
      <c r="BX584" s="17"/>
      <c r="CB584" s="24"/>
      <c r="CC584" s="61"/>
      <c r="CD584" s="16"/>
      <c r="CE584" s="16"/>
      <c r="CF584" s="16"/>
      <c r="CG584" s="16"/>
      <c r="CH584" s="16"/>
      <c r="CI584" s="17"/>
      <c r="CM584" s="24"/>
      <c r="CN584" s="61"/>
      <c r="CO584" s="16"/>
      <c r="CP584" s="16"/>
      <c r="CQ584" s="16"/>
      <c r="CR584" s="16"/>
      <c r="CS584" s="16"/>
      <c r="CT584" s="17"/>
      <c r="CX584" s="24"/>
      <c r="CY584" s="60"/>
      <c r="CZ584" s="16"/>
      <c r="DA584" s="16"/>
      <c r="DB584" s="16"/>
      <c r="DC584" s="16"/>
      <c r="DD584" s="16"/>
      <c r="DE584" s="17"/>
      <c r="DI584" s="24"/>
      <c r="DJ584" s="60"/>
      <c r="DK584" s="16"/>
      <c r="DL584" s="16"/>
      <c r="DM584" s="16"/>
      <c r="DN584" s="16"/>
      <c r="DO584" s="16"/>
      <c r="DP584" s="17"/>
      <c r="DT584" s="24"/>
      <c r="DU584" s="60"/>
      <c r="DV584" s="16"/>
      <c r="DW584" s="16"/>
      <c r="DX584" s="16"/>
      <c r="DY584" s="16"/>
      <c r="DZ584" s="16"/>
      <c r="EA584" s="17"/>
      <c r="EE584" s="24"/>
      <c r="EF584" s="60"/>
      <c r="EG584" s="16"/>
      <c r="EH584" s="16"/>
      <c r="EI584" s="16"/>
      <c r="EJ584" s="16"/>
      <c r="EK584" s="16"/>
      <c r="EL584" s="17"/>
      <c r="EP584" s="24"/>
      <c r="EQ584" s="60"/>
      <c r="ER584" s="16"/>
      <c r="ES584" s="16"/>
      <c r="ET584" s="16"/>
      <c r="EU584" s="16"/>
      <c r="EV584" s="16"/>
      <c r="EW584" s="17"/>
      <c r="FA584" s="24"/>
      <c r="FB584" s="60"/>
      <c r="FC584" s="16"/>
      <c r="FD584" s="16"/>
      <c r="FE584" s="16"/>
      <c r="FF584" s="16"/>
      <c r="FG584" s="16"/>
      <c r="FH584" s="17"/>
      <c r="FL584" s="24"/>
      <c r="FM584" s="60"/>
      <c r="FN584" s="16"/>
      <c r="FO584" s="16"/>
      <c r="FP584" s="16"/>
      <c r="FQ584" s="16"/>
      <c r="FR584" s="16"/>
      <c r="FS584" s="17"/>
      <c r="FW584" s="24"/>
      <c r="FX584" s="60"/>
      <c r="FY584" s="16"/>
      <c r="FZ584" s="16"/>
      <c r="GA584" s="16"/>
      <c r="GB584" s="16"/>
      <c r="GC584" s="16"/>
      <c r="GD584" s="17"/>
      <c r="GH584" s="24"/>
      <c r="GI584" s="60"/>
      <c r="GJ584" s="16"/>
      <c r="GK584" s="16"/>
      <c r="GL584" s="16"/>
      <c r="GM584" s="16"/>
      <c r="GN584" s="16"/>
      <c r="GO584" s="17"/>
      <c r="GS584" s="24"/>
      <c r="GT584" s="60"/>
      <c r="GU584" s="16"/>
      <c r="GV584" s="16"/>
      <c r="GW584" s="16"/>
      <c r="GX584" s="16"/>
      <c r="GY584" s="16"/>
      <c r="GZ584" s="17"/>
      <c r="HD584" s="24"/>
      <c r="HE584" s="60"/>
      <c r="HF584" s="16"/>
      <c r="HG584" s="16"/>
      <c r="HH584" s="16"/>
      <c r="HI584" s="16"/>
      <c r="HJ584" s="16"/>
      <c r="HK584" s="17"/>
      <c r="HO584" s="24"/>
      <c r="HP584" s="60"/>
      <c r="HQ584" s="16"/>
      <c r="HR584" s="16"/>
      <c r="HS584" s="16"/>
      <c r="HT584" s="16"/>
      <c r="HU584" s="16"/>
      <c r="HV584" s="17"/>
      <c r="HZ584" s="24"/>
      <c r="IA584" s="60"/>
      <c r="IB584" s="16"/>
      <c r="IC584" s="16"/>
      <c r="ID584" s="16"/>
      <c r="IE584" s="16"/>
      <c r="IF584" s="16"/>
      <c r="IG584" s="17"/>
      <c r="IK584" s="24"/>
      <c r="IL584" s="60"/>
      <c r="IM584" s="16"/>
      <c r="IN584" s="16"/>
      <c r="IO584" s="16"/>
      <c r="IP584" s="16"/>
      <c r="IQ584" s="16"/>
      <c r="IR584" s="17"/>
      <c r="IV584" s="24"/>
      <c r="IW584" s="60"/>
      <c r="IX584" s="16"/>
      <c r="IY584" s="16"/>
      <c r="IZ584" s="16"/>
      <c r="JA584" s="16"/>
      <c r="JB584" s="16"/>
      <c r="JC584" s="17"/>
      <c r="JG584" s="24"/>
      <c r="JH584" s="60"/>
      <c r="JI584" s="16"/>
      <c r="JJ584" s="16"/>
      <c r="JK584" s="16"/>
      <c r="JL584" s="16"/>
      <c r="JM584" s="16"/>
      <c r="JN584" s="17"/>
      <c r="JR584" s="24"/>
      <c r="JS584" s="60"/>
      <c r="JT584" s="16"/>
      <c r="JU584" s="16"/>
      <c r="JV584" s="16"/>
      <c r="JW584" s="16"/>
      <c r="JX584" s="16"/>
      <c r="JY584" s="17"/>
      <c r="KC584" s="24"/>
      <c r="KD584" s="60"/>
      <c r="KE584" s="16"/>
      <c r="KF584" s="16"/>
      <c r="KG584" s="16"/>
      <c r="KH584" s="16"/>
      <c r="KI584" s="16"/>
      <c r="KJ584" s="17"/>
      <c r="KN584" s="24"/>
      <c r="KO584" s="60"/>
      <c r="KP584" s="16"/>
      <c r="KQ584" s="16"/>
      <c r="KR584" s="16"/>
      <c r="KS584" s="16"/>
      <c r="KT584" s="16"/>
      <c r="KU584" s="17"/>
      <c r="KY584" s="24"/>
      <c r="KZ584" s="60"/>
      <c r="LA584" s="16"/>
      <c r="LB584" s="16"/>
      <c r="LC584" s="16"/>
      <c r="LD584" s="16"/>
      <c r="LE584" s="16"/>
      <c r="LF584" s="17"/>
      <c r="LJ584" s="24"/>
      <c r="LK584" s="60"/>
      <c r="LL584" s="16"/>
      <c r="LM584" s="16"/>
      <c r="LN584" s="16"/>
      <c r="LO584" s="16"/>
      <c r="LP584" s="16"/>
      <c r="LQ584" s="17"/>
    </row>
    <row r="585">
      <c r="C585" s="31"/>
      <c r="D585" s="61"/>
      <c r="E585" s="16"/>
      <c r="F585" s="16"/>
      <c r="G585" s="21"/>
      <c r="H585" s="16"/>
      <c r="I585" s="16"/>
      <c r="J585" s="17"/>
      <c r="N585" s="17"/>
      <c r="O585" s="61"/>
      <c r="P585" s="16"/>
      <c r="Q585" s="16"/>
      <c r="R585" s="16"/>
      <c r="S585" s="16"/>
      <c r="T585" s="16"/>
      <c r="U585" s="17"/>
      <c r="Y585" s="24"/>
      <c r="Z585" s="61"/>
      <c r="AA585" s="16"/>
      <c r="AB585" s="16"/>
      <c r="AC585" s="16"/>
      <c r="AD585" s="16"/>
      <c r="AE585" s="16"/>
      <c r="AF585" s="17"/>
      <c r="AJ585" s="24"/>
      <c r="AK585" s="61"/>
      <c r="AL585" s="16"/>
      <c r="AM585" s="16"/>
      <c r="AN585" s="16"/>
      <c r="AO585" s="16"/>
      <c r="AP585" s="16"/>
      <c r="AQ585" s="17"/>
      <c r="AU585" s="24"/>
      <c r="AV585" s="61"/>
      <c r="AW585" s="16"/>
      <c r="AX585" s="16"/>
      <c r="AY585" s="16"/>
      <c r="AZ585" s="16"/>
      <c r="BA585" s="16"/>
      <c r="BB585" s="17"/>
      <c r="BF585" s="24"/>
      <c r="BG585" s="61"/>
      <c r="BH585" s="16"/>
      <c r="BI585" s="16"/>
      <c r="BJ585" s="16"/>
      <c r="BK585" s="16"/>
      <c r="BL585" s="16"/>
      <c r="BM585" s="17"/>
      <c r="BQ585" s="24"/>
      <c r="BR585" s="61"/>
      <c r="BS585" s="16"/>
      <c r="BT585" s="16"/>
      <c r="BU585" s="16"/>
      <c r="BV585" s="16"/>
      <c r="BW585" s="16"/>
      <c r="BX585" s="17"/>
      <c r="CB585" s="24"/>
      <c r="CC585" s="61"/>
      <c r="CD585" s="16"/>
      <c r="CE585" s="16"/>
      <c r="CF585" s="16"/>
      <c r="CG585" s="16"/>
      <c r="CH585" s="16"/>
      <c r="CI585" s="17"/>
      <c r="CM585" s="24"/>
      <c r="CN585" s="61"/>
      <c r="CO585" s="16"/>
      <c r="CP585" s="16"/>
      <c r="CQ585" s="16"/>
      <c r="CR585" s="16"/>
      <c r="CS585" s="16"/>
      <c r="CT585" s="17"/>
      <c r="CX585" s="24"/>
      <c r="CY585" s="60"/>
      <c r="CZ585" s="16"/>
      <c r="DA585" s="16"/>
      <c r="DB585" s="16"/>
      <c r="DC585" s="16"/>
      <c r="DD585" s="16"/>
      <c r="DE585" s="17"/>
      <c r="DI585" s="24"/>
      <c r="DJ585" s="60"/>
      <c r="DK585" s="16"/>
      <c r="DL585" s="16"/>
      <c r="DM585" s="16"/>
      <c r="DN585" s="16"/>
      <c r="DO585" s="16"/>
      <c r="DP585" s="17"/>
      <c r="DT585" s="24"/>
      <c r="DU585" s="60"/>
      <c r="DV585" s="16"/>
      <c r="DW585" s="16"/>
      <c r="DX585" s="16"/>
      <c r="DY585" s="16"/>
      <c r="DZ585" s="16"/>
      <c r="EA585" s="17"/>
      <c r="EE585" s="24"/>
      <c r="EF585" s="60"/>
      <c r="EG585" s="16"/>
      <c r="EH585" s="16"/>
      <c r="EI585" s="16"/>
      <c r="EJ585" s="16"/>
      <c r="EK585" s="16"/>
      <c r="EL585" s="17"/>
      <c r="EP585" s="24"/>
      <c r="EQ585" s="60"/>
      <c r="ER585" s="16"/>
      <c r="ES585" s="16"/>
      <c r="ET585" s="16"/>
      <c r="EU585" s="16"/>
      <c r="EV585" s="16"/>
      <c r="EW585" s="17"/>
      <c r="FA585" s="24"/>
      <c r="FB585" s="60"/>
      <c r="FC585" s="16"/>
      <c r="FD585" s="16"/>
      <c r="FE585" s="16"/>
      <c r="FF585" s="16"/>
      <c r="FG585" s="16"/>
      <c r="FH585" s="17"/>
      <c r="FL585" s="24"/>
      <c r="FM585" s="60"/>
      <c r="FN585" s="16"/>
      <c r="FO585" s="16"/>
      <c r="FP585" s="16"/>
      <c r="FQ585" s="16"/>
      <c r="FR585" s="16"/>
      <c r="FS585" s="17"/>
      <c r="FW585" s="24"/>
      <c r="FX585" s="60"/>
      <c r="FY585" s="16"/>
      <c r="FZ585" s="16"/>
      <c r="GA585" s="16"/>
      <c r="GB585" s="16"/>
      <c r="GC585" s="16"/>
      <c r="GD585" s="17"/>
      <c r="GH585" s="24"/>
      <c r="GI585" s="60"/>
      <c r="GJ585" s="16"/>
      <c r="GK585" s="16"/>
      <c r="GL585" s="16"/>
      <c r="GM585" s="16"/>
      <c r="GN585" s="16"/>
      <c r="GO585" s="17"/>
      <c r="GS585" s="24"/>
      <c r="GT585" s="60"/>
      <c r="GU585" s="16"/>
      <c r="GV585" s="16"/>
      <c r="GW585" s="16"/>
      <c r="GX585" s="16"/>
      <c r="GY585" s="16"/>
      <c r="GZ585" s="17"/>
      <c r="HD585" s="24"/>
      <c r="HE585" s="60"/>
      <c r="HF585" s="16"/>
      <c r="HG585" s="16"/>
      <c r="HH585" s="16"/>
      <c r="HI585" s="16"/>
      <c r="HJ585" s="16"/>
      <c r="HK585" s="17"/>
      <c r="HO585" s="24"/>
      <c r="HP585" s="60"/>
      <c r="HQ585" s="16"/>
      <c r="HR585" s="16"/>
      <c r="HS585" s="16"/>
      <c r="HT585" s="16"/>
      <c r="HU585" s="16"/>
      <c r="HV585" s="17"/>
      <c r="HZ585" s="24"/>
      <c r="IA585" s="60"/>
      <c r="IB585" s="16"/>
      <c r="IC585" s="16"/>
      <c r="ID585" s="16"/>
      <c r="IE585" s="16"/>
      <c r="IF585" s="16"/>
      <c r="IG585" s="17"/>
      <c r="IK585" s="24"/>
      <c r="IL585" s="60"/>
      <c r="IM585" s="16"/>
      <c r="IN585" s="16"/>
      <c r="IO585" s="16"/>
      <c r="IP585" s="16"/>
      <c r="IQ585" s="16"/>
      <c r="IR585" s="17"/>
      <c r="IV585" s="24"/>
      <c r="IW585" s="60"/>
      <c r="IX585" s="16"/>
      <c r="IY585" s="16"/>
      <c r="IZ585" s="16"/>
      <c r="JA585" s="16"/>
      <c r="JB585" s="16"/>
      <c r="JC585" s="17"/>
      <c r="JG585" s="24"/>
      <c r="JH585" s="60"/>
      <c r="JI585" s="16"/>
      <c r="JJ585" s="16"/>
      <c r="JK585" s="16"/>
      <c r="JL585" s="16"/>
      <c r="JM585" s="16"/>
      <c r="JN585" s="17"/>
      <c r="JR585" s="24"/>
      <c r="JS585" s="60"/>
      <c r="JT585" s="16"/>
      <c r="JU585" s="16"/>
      <c r="JV585" s="16"/>
      <c r="JW585" s="16"/>
      <c r="JX585" s="16"/>
      <c r="JY585" s="17"/>
      <c r="KC585" s="24"/>
      <c r="KD585" s="60"/>
      <c r="KE585" s="16"/>
      <c r="KF585" s="16"/>
      <c r="KG585" s="16"/>
      <c r="KH585" s="16"/>
      <c r="KI585" s="16"/>
      <c r="KJ585" s="17"/>
      <c r="KN585" s="24"/>
      <c r="KO585" s="60"/>
      <c r="KP585" s="16"/>
      <c r="KQ585" s="16"/>
      <c r="KR585" s="16"/>
      <c r="KS585" s="16"/>
      <c r="KT585" s="16"/>
      <c r="KU585" s="17"/>
      <c r="KY585" s="24"/>
      <c r="KZ585" s="60"/>
      <c r="LA585" s="16"/>
      <c r="LB585" s="16"/>
      <c r="LC585" s="16"/>
      <c r="LD585" s="16"/>
      <c r="LE585" s="16"/>
      <c r="LF585" s="17"/>
      <c r="LJ585" s="24"/>
      <c r="LK585" s="60"/>
      <c r="LL585" s="16"/>
      <c r="LM585" s="16"/>
      <c r="LN585" s="16"/>
      <c r="LO585" s="16"/>
      <c r="LP585" s="16"/>
      <c r="LQ585" s="17"/>
    </row>
    <row r="586">
      <c r="C586" s="31"/>
      <c r="D586" s="61"/>
      <c r="E586" s="16"/>
      <c r="F586" s="16"/>
      <c r="G586" s="21"/>
      <c r="H586" s="16"/>
      <c r="I586" s="16"/>
      <c r="J586" s="17"/>
      <c r="N586" s="17"/>
      <c r="O586" s="61"/>
      <c r="P586" s="16"/>
      <c r="Q586" s="16"/>
      <c r="R586" s="16"/>
      <c r="S586" s="16"/>
      <c r="T586" s="16"/>
      <c r="U586" s="17"/>
      <c r="Y586" s="24"/>
      <c r="Z586" s="61"/>
      <c r="AA586" s="16"/>
      <c r="AB586" s="16"/>
      <c r="AC586" s="16"/>
      <c r="AD586" s="16"/>
      <c r="AE586" s="16"/>
      <c r="AF586" s="17"/>
      <c r="AJ586" s="24"/>
      <c r="AK586" s="61"/>
      <c r="AL586" s="16"/>
      <c r="AM586" s="16"/>
      <c r="AN586" s="16"/>
      <c r="AO586" s="16"/>
      <c r="AP586" s="16"/>
      <c r="AQ586" s="17"/>
      <c r="AU586" s="24"/>
      <c r="AV586" s="61"/>
      <c r="AW586" s="16"/>
      <c r="AX586" s="16"/>
      <c r="AY586" s="16"/>
      <c r="AZ586" s="16"/>
      <c r="BA586" s="16"/>
      <c r="BB586" s="17"/>
      <c r="BF586" s="24"/>
      <c r="BG586" s="61"/>
      <c r="BH586" s="16"/>
      <c r="BI586" s="16"/>
      <c r="BJ586" s="16"/>
      <c r="BK586" s="16"/>
      <c r="BL586" s="16"/>
      <c r="BM586" s="17"/>
      <c r="BQ586" s="24"/>
      <c r="BR586" s="61"/>
      <c r="BS586" s="16"/>
      <c r="BT586" s="16"/>
      <c r="BU586" s="16"/>
      <c r="BV586" s="16"/>
      <c r="BW586" s="16"/>
      <c r="BX586" s="17"/>
      <c r="CB586" s="24"/>
      <c r="CC586" s="61"/>
      <c r="CD586" s="16"/>
      <c r="CE586" s="16"/>
      <c r="CF586" s="16"/>
      <c r="CG586" s="16"/>
      <c r="CH586" s="16"/>
      <c r="CI586" s="17"/>
      <c r="CM586" s="24"/>
      <c r="CN586" s="61"/>
      <c r="CO586" s="16"/>
      <c r="CP586" s="16"/>
      <c r="CQ586" s="16"/>
      <c r="CR586" s="16"/>
      <c r="CS586" s="16"/>
      <c r="CT586" s="17"/>
      <c r="CX586" s="24"/>
      <c r="CY586" s="60"/>
      <c r="CZ586" s="16"/>
      <c r="DA586" s="16"/>
      <c r="DB586" s="16"/>
      <c r="DC586" s="16"/>
      <c r="DD586" s="16"/>
      <c r="DE586" s="17"/>
      <c r="DI586" s="24"/>
      <c r="DJ586" s="60"/>
      <c r="DK586" s="16"/>
      <c r="DL586" s="16"/>
      <c r="DM586" s="16"/>
      <c r="DN586" s="16"/>
      <c r="DO586" s="16"/>
      <c r="DP586" s="17"/>
      <c r="DT586" s="24"/>
      <c r="DU586" s="60"/>
      <c r="DV586" s="16"/>
      <c r="DW586" s="16"/>
      <c r="DX586" s="16"/>
      <c r="DY586" s="16"/>
      <c r="DZ586" s="16"/>
      <c r="EA586" s="17"/>
      <c r="EE586" s="24"/>
      <c r="EF586" s="60"/>
      <c r="EG586" s="16"/>
      <c r="EH586" s="16"/>
      <c r="EI586" s="16"/>
      <c r="EJ586" s="16"/>
      <c r="EK586" s="16"/>
      <c r="EL586" s="17"/>
      <c r="EP586" s="24"/>
      <c r="EQ586" s="60"/>
      <c r="ER586" s="16"/>
      <c r="ES586" s="16"/>
      <c r="ET586" s="16"/>
      <c r="EU586" s="16"/>
      <c r="EV586" s="16"/>
      <c r="EW586" s="17"/>
      <c r="FA586" s="24"/>
      <c r="FB586" s="60"/>
      <c r="FC586" s="16"/>
      <c r="FD586" s="16"/>
      <c r="FE586" s="16"/>
      <c r="FF586" s="16"/>
      <c r="FG586" s="16"/>
      <c r="FH586" s="17"/>
      <c r="FL586" s="24"/>
      <c r="FM586" s="60"/>
      <c r="FN586" s="16"/>
      <c r="FO586" s="16"/>
      <c r="FP586" s="16"/>
      <c r="FQ586" s="16"/>
      <c r="FR586" s="16"/>
      <c r="FS586" s="17"/>
      <c r="FW586" s="24"/>
      <c r="FX586" s="60"/>
      <c r="FY586" s="16"/>
      <c r="FZ586" s="16"/>
      <c r="GA586" s="16"/>
      <c r="GB586" s="16"/>
      <c r="GC586" s="16"/>
      <c r="GD586" s="17"/>
      <c r="GH586" s="24"/>
      <c r="GI586" s="60"/>
      <c r="GJ586" s="16"/>
      <c r="GK586" s="16"/>
      <c r="GL586" s="16"/>
      <c r="GM586" s="16"/>
      <c r="GN586" s="16"/>
      <c r="GO586" s="17"/>
      <c r="GS586" s="24"/>
      <c r="GT586" s="60"/>
      <c r="GU586" s="16"/>
      <c r="GV586" s="16"/>
      <c r="GW586" s="16"/>
      <c r="GX586" s="16"/>
      <c r="GY586" s="16"/>
      <c r="GZ586" s="17"/>
      <c r="HD586" s="24"/>
      <c r="HE586" s="60"/>
      <c r="HF586" s="16"/>
      <c r="HG586" s="16"/>
      <c r="HH586" s="16"/>
      <c r="HI586" s="16"/>
      <c r="HJ586" s="16"/>
      <c r="HK586" s="17"/>
      <c r="HO586" s="24"/>
      <c r="HP586" s="60"/>
      <c r="HQ586" s="16"/>
      <c r="HR586" s="16"/>
      <c r="HS586" s="16"/>
      <c r="HT586" s="16"/>
      <c r="HU586" s="16"/>
      <c r="HV586" s="17"/>
      <c r="HZ586" s="24"/>
      <c r="IA586" s="60"/>
      <c r="IB586" s="16"/>
      <c r="IC586" s="16"/>
      <c r="ID586" s="16"/>
      <c r="IE586" s="16"/>
      <c r="IF586" s="16"/>
      <c r="IG586" s="17"/>
      <c r="IK586" s="24"/>
      <c r="IL586" s="60"/>
      <c r="IM586" s="16"/>
      <c r="IN586" s="16"/>
      <c r="IO586" s="16"/>
      <c r="IP586" s="16"/>
      <c r="IQ586" s="16"/>
      <c r="IR586" s="17"/>
      <c r="IV586" s="24"/>
      <c r="IW586" s="60"/>
      <c r="IX586" s="16"/>
      <c r="IY586" s="16"/>
      <c r="IZ586" s="16"/>
      <c r="JA586" s="16"/>
      <c r="JB586" s="16"/>
      <c r="JC586" s="17"/>
      <c r="JG586" s="24"/>
      <c r="JH586" s="60"/>
      <c r="JI586" s="16"/>
      <c r="JJ586" s="16"/>
      <c r="JK586" s="16"/>
      <c r="JL586" s="16"/>
      <c r="JM586" s="16"/>
      <c r="JN586" s="17"/>
      <c r="JR586" s="24"/>
      <c r="JS586" s="60"/>
      <c r="JT586" s="16"/>
      <c r="JU586" s="16"/>
      <c r="JV586" s="16"/>
      <c r="JW586" s="16"/>
      <c r="JX586" s="16"/>
      <c r="JY586" s="17"/>
      <c r="KC586" s="24"/>
      <c r="KD586" s="60"/>
      <c r="KE586" s="16"/>
      <c r="KF586" s="16"/>
      <c r="KG586" s="16"/>
      <c r="KH586" s="16"/>
      <c r="KI586" s="16"/>
      <c r="KJ586" s="17"/>
      <c r="KN586" s="24"/>
      <c r="KO586" s="60"/>
      <c r="KP586" s="16"/>
      <c r="KQ586" s="16"/>
      <c r="KR586" s="16"/>
      <c r="KS586" s="16"/>
      <c r="KT586" s="16"/>
      <c r="KU586" s="17"/>
      <c r="KY586" s="24"/>
      <c r="KZ586" s="60"/>
      <c r="LA586" s="16"/>
      <c r="LB586" s="16"/>
      <c r="LC586" s="16"/>
      <c r="LD586" s="16"/>
      <c r="LE586" s="16"/>
      <c r="LF586" s="17"/>
      <c r="LJ586" s="24"/>
      <c r="LK586" s="60"/>
      <c r="LL586" s="16"/>
      <c r="LM586" s="16"/>
      <c r="LN586" s="16"/>
      <c r="LO586" s="16"/>
      <c r="LP586" s="16"/>
      <c r="LQ586" s="17"/>
    </row>
    <row r="587">
      <c r="C587" s="31"/>
      <c r="D587" s="61"/>
      <c r="E587" s="16"/>
      <c r="F587" s="16"/>
      <c r="G587" s="21"/>
      <c r="H587" s="16"/>
      <c r="I587" s="16"/>
      <c r="J587" s="17"/>
      <c r="N587" s="17"/>
      <c r="O587" s="61"/>
      <c r="P587" s="16"/>
      <c r="Q587" s="16"/>
      <c r="R587" s="16"/>
      <c r="S587" s="16"/>
      <c r="T587" s="16"/>
      <c r="U587" s="17"/>
      <c r="Y587" s="24"/>
      <c r="Z587" s="61"/>
      <c r="AA587" s="16"/>
      <c r="AB587" s="16"/>
      <c r="AC587" s="16"/>
      <c r="AD587" s="16"/>
      <c r="AE587" s="16"/>
      <c r="AF587" s="17"/>
      <c r="AJ587" s="24"/>
      <c r="AK587" s="61"/>
      <c r="AL587" s="16"/>
      <c r="AM587" s="16"/>
      <c r="AN587" s="16"/>
      <c r="AO587" s="16"/>
      <c r="AP587" s="16"/>
      <c r="AQ587" s="17"/>
      <c r="AU587" s="24"/>
      <c r="AV587" s="61"/>
      <c r="AW587" s="16"/>
      <c r="AX587" s="16"/>
      <c r="AY587" s="16"/>
      <c r="AZ587" s="16"/>
      <c r="BA587" s="16"/>
      <c r="BB587" s="17"/>
      <c r="BF587" s="24"/>
      <c r="BG587" s="61"/>
      <c r="BH587" s="16"/>
      <c r="BI587" s="16"/>
      <c r="BJ587" s="16"/>
      <c r="BK587" s="16"/>
      <c r="BL587" s="16"/>
      <c r="BM587" s="17"/>
      <c r="BQ587" s="24"/>
      <c r="BR587" s="61"/>
      <c r="BS587" s="16"/>
      <c r="BT587" s="16"/>
      <c r="BU587" s="16"/>
      <c r="BV587" s="16"/>
      <c r="BW587" s="16"/>
      <c r="BX587" s="17"/>
      <c r="CB587" s="24"/>
      <c r="CC587" s="61"/>
      <c r="CD587" s="16"/>
      <c r="CE587" s="16"/>
      <c r="CF587" s="16"/>
      <c r="CG587" s="16"/>
      <c r="CH587" s="16"/>
      <c r="CI587" s="17"/>
      <c r="CM587" s="24"/>
      <c r="CN587" s="61"/>
      <c r="CO587" s="16"/>
      <c r="CP587" s="16"/>
      <c r="CQ587" s="16"/>
      <c r="CR587" s="16"/>
      <c r="CS587" s="16"/>
      <c r="CT587" s="17"/>
      <c r="CX587" s="24"/>
      <c r="CY587" s="60"/>
      <c r="CZ587" s="16"/>
      <c r="DA587" s="16"/>
      <c r="DB587" s="16"/>
      <c r="DC587" s="16"/>
      <c r="DD587" s="16"/>
      <c r="DE587" s="17"/>
      <c r="DI587" s="24"/>
      <c r="DJ587" s="60"/>
      <c r="DK587" s="16"/>
      <c r="DL587" s="16"/>
      <c r="DM587" s="16"/>
      <c r="DN587" s="16"/>
      <c r="DO587" s="16"/>
      <c r="DP587" s="17"/>
      <c r="DT587" s="24"/>
      <c r="DU587" s="60"/>
      <c r="DV587" s="16"/>
      <c r="DW587" s="16"/>
      <c r="DX587" s="16"/>
      <c r="DY587" s="16"/>
      <c r="DZ587" s="16"/>
      <c r="EA587" s="17"/>
      <c r="EE587" s="24"/>
      <c r="EF587" s="60"/>
      <c r="EG587" s="16"/>
      <c r="EH587" s="16"/>
      <c r="EI587" s="16"/>
      <c r="EJ587" s="16"/>
      <c r="EK587" s="16"/>
      <c r="EL587" s="17"/>
      <c r="EP587" s="24"/>
      <c r="EQ587" s="60"/>
      <c r="ER587" s="16"/>
      <c r="ES587" s="16"/>
      <c r="ET587" s="16"/>
      <c r="EU587" s="16"/>
      <c r="EV587" s="16"/>
      <c r="EW587" s="17"/>
      <c r="FA587" s="24"/>
      <c r="FB587" s="60"/>
      <c r="FC587" s="16"/>
      <c r="FD587" s="16"/>
      <c r="FE587" s="16"/>
      <c r="FF587" s="16"/>
      <c r="FG587" s="16"/>
      <c r="FH587" s="17"/>
      <c r="FL587" s="24"/>
      <c r="FM587" s="60"/>
      <c r="FN587" s="16"/>
      <c r="FO587" s="16"/>
      <c r="FP587" s="16"/>
      <c r="FQ587" s="16"/>
      <c r="FR587" s="16"/>
      <c r="FS587" s="17"/>
      <c r="FW587" s="24"/>
      <c r="FX587" s="60"/>
      <c r="FY587" s="16"/>
      <c r="FZ587" s="16"/>
      <c r="GA587" s="16"/>
      <c r="GB587" s="16"/>
      <c r="GC587" s="16"/>
      <c r="GD587" s="17"/>
      <c r="GH587" s="24"/>
      <c r="GI587" s="60"/>
      <c r="GJ587" s="16"/>
      <c r="GK587" s="16"/>
      <c r="GL587" s="16"/>
      <c r="GM587" s="16"/>
      <c r="GN587" s="16"/>
      <c r="GO587" s="17"/>
      <c r="GS587" s="24"/>
      <c r="GT587" s="60"/>
      <c r="GU587" s="16"/>
      <c r="GV587" s="16"/>
      <c r="GW587" s="16"/>
      <c r="GX587" s="16"/>
      <c r="GY587" s="16"/>
      <c r="GZ587" s="17"/>
      <c r="HD587" s="24"/>
      <c r="HE587" s="60"/>
      <c r="HF587" s="16"/>
      <c r="HG587" s="16"/>
      <c r="HH587" s="16"/>
      <c r="HI587" s="16"/>
      <c r="HJ587" s="16"/>
      <c r="HK587" s="17"/>
      <c r="HO587" s="24"/>
      <c r="HP587" s="60"/>
      <c r="HQ587" s="16"/>
      <c r="HR587" s="16"/>
      <c r="HS587" s="16"/>
      <c r="HT587" s="16"/>
      <c r="HU587" s="16"/>
      <c r="HV587" s="17"/>
      <c r="HZ587" s="24"/>
      <c r="IA587" s="60"/>
      <c r="IB587" s="16"/>
      <c r="IC587" s="16"/>
      <c r="ID587" s="16"/>
      <c r="IE587" s="16"/>
      <c r="IF587" s="16"/>
      <c r="IG587" s="17"/>
      <c r="IK587" s="24"/>
      <c r="IL587" s="60"/>
      <c r="IM587" s="16"/>
      <c r="IN587" s="16"/>
      <c r="IO587" s="16"/>
      <c r="IP587" s="16"/>
      <c r="IQ587" s="16"/>
      <c r="IR587" s="17"/>
      <c r="IV587" s="24"/>
      <c r="IW587" s="60"/>
      <c r="IX587" s="16"/>
      <c r="IY587" s="16"/>
      <c r="IZ587" s="16"/>
      <c r="JA587" s="16"/>
      <c r="JB587" s="16"/>
      <c r="JC587" s="17"/>
      <c r="JG587" s="24"/>
      <c r="JH587" s="60"/>
      <c r="JI587" s="16"/>
      <c r="JJ587" s="16"/>
      <c r="JK587" s="16"/>
      <c r="JL587" s="16"/>
      <c r="JM587" s="16"/>
      <c r="JN587" s="17"/>
      <c r="JR587" s="24"/>
      <c r="JS587" s="60"/>
      <c r="JT587" s="16"/>
      <c r="JU587" s="16"/>
      <c r="JV587" s="16"/>
      <c r="JW587" s="16"/>
      <c r="JX587" s="16"/>
      <c r="JY587" s="17"/>
      <c r="KC587" s="24"/>
      <c r="KD587" s="60"/>
      <c r="KE587" s="16"/>
      <c r="KF587" s="16"/>
      <c r="KG587" s="16"/>
      <c r="KH587" s="16"/>
      <c r="KI587" s="16"/>
      <c r="KJ587" s="17"/>
      <c r="KN587" s="24"/>
      <c r="KO587" s="60"/>
      <c r="KP587" s="16"/>
      <c r="KQ587" s="16"/>
      <c r="KR587" s="16"/>
      <c r="KS587" s="16"/>
      <c r="KT587" s="16"/>
      <c r="KU587" s="17"/>
      <c r="KY587" s="24"/>
      <c r="KZ587" s="60"/>
      <c r="LA587" s="16"/>
      <c r="LB587" s="16"/>
      <c r="LC587" s="16"/>
      <c r="LD587" s="16"/>
      <c r="LE587" s="16"/>
      <c r="LF587" s="17"/>
      <c r="LJ587" s="24"/>
      <c r="LK587" s="60"/>
      <c r="LL587" s="16"/>
      <c r="LM587" s="16"/>
      <c r="LN587" s="16"/>
      <c r="LO587" s="16"/>
      <c r="LP587" s="16"/>
      <c r="LQ587" s="17"/>
    </row>
    <row r="588">
      <c r="C588" s="31"/>
      <c r="D588" s="61"/>
      <c r="E588" s="16"/>
      <c r="F588" s="16"/>
      <c r="G588" s="21"/>
      <c r="H588" s="16"/>
      <c r="I588" s="16"/>
      <c r="J588" s="17"/>
      <c r="N588" s="17"/>
      <c r="O588" s="61"/>
      <c r="P588" s="16"/>
      <c r="Q588" s="16"/>
      <c r="R588" s="16"/>
      <c r="S588" s="16"/>
      <c r="T588" s="16"/>
      <c r="U588" s="17"/>
      <c r="Y588" s="24"/>
      <c r="Z588" s="61"/>
      <c r="AA588" s="16"/>
      <c r="AB588" s="16"/>
      <c r="AC588" s="16"/>
      <c r="AD588" s="16"/>
      <c r="AE588" s="16"/>
      <c r="AF588" s="17"/>
      <c r="AJ588" s="24"/>
      <c r="AK588" s="61"/>
      <c r="AL588" s="16"/>
      <c r="AM588" s="16"/>
      <c r="AN588" s="16"/>
      <c r="AO588" s="16"/>
      <c r="AP588" s="16"/>
      <c r="AQ588" s="17"/>
      <c r="AU588" s="24"/>
      <c r="AV588" s="61"/>
      <c r="AW588" s="16"/>
      <c r="AX588" s="16"/>
      <c r="AY588" s="16"/>
      <c r="AZ588" s="16"/>
      <c r="BA588" s="16"/>
      <c r="BB588" s="17"/>
      <c r="BF588" s="24"/>
      <c r="BG588" s="61"/>
      <c r="BH588" s="16"/>
      <c r="BI588" s="16"/>
      <c r="BJ588" s="16"/>
      <c r="BK588" s="16"/>
      <c r="BL588" s="16"/>
      <c r="BM588" s="17"/>
      <c r="BQ588" s="24"/>
      <c r="BR588" s="61"/>
      <c r="BS588" s="16"/>
      <c r="BT588" s="16"/>
      <c r="BU588" s="16"/>
      <c r="BV588" s="16"/>
      <c r="BW588" s="16"/>
      <c r="BX588" s="17"/>
      <c r="CB588" s="24"/>
      <c r="CC588" s="61"/>
      <c r="CD588" s="16"/>
      <c r="CE588" s="16"/>
      <c r="CF588" s="16"/>
      <c r="CG588" s="16"/>
      <c r="CH588" s="16"/>
      <c r="CI588" s="17"/>
      <c r="CM588" s="24"/>
      <c r="CN588" s="61"/>
      <c r="CO588" s="16"/>
      <c r="CP588" s="16"/>
      <c r="CQ588" s="16"/>
      <c r="CR588" s="16"/>
      <c r="CS588" s="16"/>
      <c r="CT588" s="17"/>
      <c r="CX588" s="24"/>
      <c r="CY588" s="60"/>
      <c r="CZ588" s="16"/>
      <c r="DA588" s="16"/>
      <c r="DB588" s="16"/>
      <c r="DC588" s="16"/>
      <c r="DD588" s="16"/>
      <c r="DE588" s="17"/>
      <c r="DI588" s="24"/>
      <c r="DJ588" s="60"/>
      <c r="DK588" s="16"/>
      <c r="DL588" s="16"/>
      <c r="DM588" s="16"/>
      <c r="DN588" s="16"/>
      <c r="DO588" s="16"/>
      <c r="DP588" s="17"/>
      <c r="DT588" s="24"/>
      <c r="DU588" s="60"/>
      <c r="DV588" s="16"/>
      <c r="DW588" s="16"/>
      <c r="DX588" s="16"/>
      <c r="DY588" s="16"/>
      <c r="DZ588" s="16"/>
      <c r="EA588" s="17"/>
      <c r="EE588" s="24"/>
      <c r="EF588" s="60"/>
      <c r="EG588" s="16"/>
      <c r="EH588" s="16"/>
      <c r="EI588" s="16"/>
      <c r="EJ588" s="16"/>
      <c r="EK588" s="16"/>
      <c r="EL588" s="17"/>
      <c r="EP588" s="24"/>
      <c r="EQ588" s="60"/>
      <c r="ER588" s="16"/>
      <c r="ES588" s="16"/>
      <c r="ET588" s="16"/>
      <c r="EU588" s="16"/>
      <c r="EV588" s="16"/>
      <c r="EW588" s="17"/>
      <c r="FA588" s="24"/>
      <c r="FB588" s="60"/>
      <c r="FC588" s="16"/>
      <c r="FD588" s="16"/>
      <c r="FE588" s="16"/>
      <c r="FF588" s="16"/>
      <c r="FG588" s="16"/>
      <c r="FH588" s="17"/>
      <c r="FL588" s="24"/>
      <c r="FM588" s="60"/>
      <c r="FN588" s="16"/>
      <c r="FO588" s="16"/>
      <c r="FP588" s="16"/>
      <c r="FQ588" s="16"/>
      <c r="FR588" s="16"/>
      <c r="FS588" s="17"/>
      <c r="FW588" s="24"/>
      <c r="FX588" s="60"/>
      <c r="FY588" s="16"/>
      <c r="FZ588" s="16"/>
      <c r="GA588" s="16"/>
      <c r="GB588" s="16"/>
      <c r="GC588" s="16"/>
      <c r="GD588" s="17"/>
      <c r="GH588" s="24"/>
      <c r="GI588" s="60"/>
      <c r="GJ588" s="16"/>
      <c r="GK588" s="16"/>
      <c r="GL588" s="16"/>
      <c r="GM588" s="16"/>
      <c r="GN588" s="16"/>
      <c r="GO588" s="17"/>
      <c r="GS588" s="24"/>
      <c r="GT588" s="60"/>
      <c r="GU588" s="16"/>
      <c r="GV588" s="16"/>
      <c r="GW588" s="16"/>
      <c r="GX588" s="16"/>
      <c r="GY588" s="16"/>
      <c r="GZ588" s="17"/>
      <c r="HD588" s="24"/>
      <c r="HE588" s="60"/>
      <c r="HF588" s="16"/>
      <c r="HG588" s="16"/>
      <c r="HH588" s="16"/>
      <c r="HI588" s="16"/>
      <c r="HJ588" s="16"/>
      <c r="HK588" s="17"/>
      <c r="HO588" s="24"/>
      <c r="HP588" s="60"/>
      <c r="HQ588" s="16"/>
      <c r="HR588" s="16"/>
      <c r="HS588" s="16"/>
      <c r="HT588" s="16"/>
      <c r="HU588" s="16"/>
      <c r="HV588" s="17"/>
      <c r="HZ588" s="24"/>
      <c r="IA588" s="60"/>
      <c r="IB588" s="16"/>
      <c r="IC588" s="16"/>
      <c r="ID588" s="16"/>
      <c r="IE588" s="16"/>
      <c r="IF588" s="16"/>
      <c r="IG588" s="17"/>
      <c r="IK588" s="24"/>
      <c r="IL588" s="60"/>
      <c r="IM588" s="16"/>
      <c r="IN588" s="16"/>
      <c r="IO588" s="16"/>
      <c r="IP588" s="16"/>
      <c r="IQ588" s="16"/>
      <c r="IR588" s="17"/>
      <c r="IV588" s="24"/>
      <c r="IW588" s="60"/>
      <c r="IX588" s="16"/>
      <c r="IY588" s="16"/>
      <c r="IZ588" s="16"/>
      <c r="JA588" s="16"/>
      <c r="JB588" s="16"/>
      <c r="JC588" s="17"/>
      <c r="JG588" s="24"/>
      <c r="JH588" s="60"/>
      <c r="JI588" s="16"/>
      <c r="JJ588" s="16"/>
      <c r="JK588" s="16"/>
      <c r="JL588" s="16"/>
      <c r="JM588" s="16"/>
      <c r="JN588" s="17"/>
      <c r="JR588" s="24"/>
      <c r="JS588" s="60"/>
      <c r="JT588" s="16"/>
      <c r="JU588" s="16"/>
      <c r="JV588" s="16"/>
      <c r="JW588" s="16"/>
      <c r="JX588" s="16"/>
      <c r="JY588" s="17"/>
      <c r="KC588" s="24"/>
      <c r="KD588" s="60"/>
      <c r="KE588" s="16"/>
      <c r="KF588" s="16"/>
      <c r="KG588" s="16"/>
      <c r="KH588" s="16"/>
      <c r="KI588" s="16"/>
      <c r="KJ588" s="17"/>
      <c r="KN588" s="24"/>
      <c r="KO588" s="60"/>
      <c r="KP588" s="16"/>
      <c r="KQ588" s="16"/>
      <c r="KR588" s="16"/>
      <c r="KS588" s="16"/>
      <c r="KT588" s="16"/>
      <c r="KU588" s="17"/>
      <c r="KY588" s="24"/>
      <c r="KZ588" s="60"/>
      <c r="LA588" s="16"/>
      <c r="LB588" s="16"/>
      <c r="LC588" s="16"/>
      <c r="LD588" s="16"/>
      <c r="LE588" s="16"/>
      <c r="LF588" s="17"/>
      <c r="LJ588" s="24"/>
      <c r="LK588" s="60"/>
      <c r="LL588" s="16"/>
      <c r="LM588" s="16"/>
      <c r="LN588" s="16"/>
      <c r="LO588" s="16"/>
      <c r="LP588" s="16"/>
      <c r="LQ588" s="17"/>
    </row>
    <row r="589">
      <c r="C589" s="31"/>
      <c r="D589" s="61"/>
      <c r="E589" s="16"/>
      <c r="F589" s="16"/>
      <c r="G589" s="21"/>
      <c r="H589" s="16"/>
      <c r="I589" s="16"/>
      <c r="J589" s="17"/>
      <c r="N589" s="17"/>
      <c r="O589" s="61"/>
      <c r="P589" s="16"/>
      <c r="Q589" s="16"/>
      <c r="R589" s="16"/>
      <c r="S589" s="16"/>
      <c r="T589" s="16"/>
      <c r="U589" s="17"/>
      <c r="Y589" s="24"/>
      <c r="Z589" s="61"/>
      <c r="AA589" s="16"/>
      <c r="AB589" s="16"/>
      <c r="AC589" s="16"/>
      <c r="AD589" s="16"/>
      <c r="AE589" s="16"/>
      <c r="AF589" s="17"/>
      <c r="AJ589" s="24"/>
      <c r="AK589" s="61"/>
      <c r="AL589" s="16"/>
      <c r="AM589" s="16"/>
      <c r="AN589" s="16"/>
      <c r="AO589" s="16"/>
      <c r="AP589" s="16"/>
      <c r="AQ589" s="17"/>
      <c r="AU589" s="24"/>
      <c r="AV589" s="61"/>
      <c r="AW589" s="16"/>
      <c r="AX589" s="16"/>
      <c r="AY589" s="16"/>
      <c r="AZ589" s="16"/>
      <c r="BA589" s="16"/>
      <c r="BB589" s="17"/>
      <c r="BF589" s="24"/>
      <c r="BG589" s="61"/>
      <c r="BH589" s="16"/>
      <c r="BI589" s="16"/>
      <c r="BJ589" s="16"/>
      <c r="BK589" s="16"/>
      <c r="BL589" s="16"/>
      <c r="BM589" s="17"/>
      <c r="BQ589" s="24"/>
      <c r="BR589" s="61"/>
      <c r="BS589" s="16"/>
      <c r="BT589" s="16"/>
      <c r="BU589" s="16"/>
      <c r="BV589" s="16"/>
      <c r="BW589" s="16"/>
      <c r="BX589" s="17"/>
      <c r="CB589" s="24"/>
      <c r="CC589" s="61"/>
      <c r="CD589" s="16"/>
      <c r="CE589" s="16"/>
      <c r="CF589" s="16"/>
      <c r="CG589" s="16"/>
      <c r="CH589" s="16"/>
      <c r="CI589" s="17"/>
      <c r="CM589" s="24"/>
      <c r="CN589" s="61"/>
      <c r="CO589" s="16"/>
      <c r="CP589" s="16"/>
      <c r="CQ589" s="16"/>
      <c r="CR589" s="16"/>
      <c r="CS589" s="16"/>
      <c r="CT589" s="17"/>
      <c r="CX589" s="24"/>
      <c r="CY589" s="60"/>
      <c r="CZ589" s="16"/>
      <c r="DA589" s="16"/>
      <c r="DB589" s="16"/>
      <c r="DC589" s="16"/>
      <c r="DD589" s="16"/>
      <c r="DE589" s="17"/>
      <c r="DI589" s="24"/>
      <c r="DJ589" s="60"/>
      <c r="DK589" s="16"/>
      <c r="DL589" s="16"/>
      <c r="DM589" s="16"/>
      <c r="DN589" s="16"/>
      <c r="DO589" s="16"/>
      <c r="DP589" s="17"/>
      <c r="DT589" s="24"/>
      <c r="DU589" s="60"/>
      <c r="DV589" s="16"/>
      <c r="DW589" s="16"/>
      <c r="DX589" s="16"/>
      <c r="DY589" s="16"/>
      <c r="DZ589" s="16"/>
      <c r="EA589" s="17"/>
      <c r="EE589" s="24"/>
      <c r="EF589" s="60"/>
      <c r="EG589" s="16"/>
      <c r="EH589" s="16"/>
      <c r="EI589" s="16"/>
      <c r="EJ589" s="16"/>
      <c r="EK589" s="16"/>
      <c r="EL589" s="17"/>
      <c r="EP589" s="24"/>
      <c r="EQ589" s="60"/>
      <c r="ER589" s="16"/>
      <c r="ES589" s="16"/>
      <c r="ET589" s="16"/>
      <c r="EU589" s="16"/>
      <c r="EV589" s="16"/>
      <c r="EW589" s="17"/>
      <c r="FA589" s="24"/>
      <c r="FB589" s="60"/>
      <c r="FC589" s="16"/>
      <c r="FD589" s="16"/>
      <c r="FE589" s="16"/>
      <c r="FF589" s="16"/>
      <c r="FG589" s="16"/>
      <c r="FH589" s="17"/>
      <c r="FL589" s="24"/>
      <c r="FM589" s="60"/>
      <c r="FN589" s="16"/>
      <c r="FO589" s="16"/>
      <c r="FP589" s="16"/>
      <c r="FQ589" s="16"/>
      <c r="FR589" s="16"/>
      <c r="FS589" s="17"/>
      <c r="FW589" s="24"/>
      <c r="FX589" s="60"/>
      <c r="FY589" s="16"/>
      <c r="FZ589" s="16"/>
      <c r="GA589" s="16"/>
      <c r="GB589" s="16"/>
      <c r="GC589" s="16"/>
      <c r="GD589" s="17"/>
      <c r="GH589" s="24"/>
      <c r="GI589" s="60"/>
      <c r="GJ589" s="16"/>
      <c r="GK589" s="16"/>
      <c r="GL589" s="16"/>
      <c r="GM589" s="16"/>
      <c r="GN589" s="16"/>
      <c r="GO589" s="17"/>
      <c r="GS589" s="24"/>
      <c r="GT589" s="60"/>
      <c r="GU589" s="16"/>
      <c r="GV589" s="16"/>
      <c r="GW589" s="16"/>
      <c r="GX589" s="16"/>
      <c r="GY589" s="16"/>
      <c r="GZ589" s="17"/>
      <c r="HD589" s="24"/>
      <c r="HE589" s="60"/>
      <c r="HF589" s="16"/>
      <c r="HG589" s="16"/>
      <c r="HH589" s="16"/>
      <c r="HI589" s="16"/>
      <c r="HJ589" s="16"/>
      <c r="HK589" s="17"/>
      <c r="HO589" s="24"/>
      <c r="HP589" s="60"/>
      <c r="HQ589" s="16"/>
      <c r="HR589" s="16"/>
      <c r="HS589" s="16"/>
      <c r="HT589" s="16"/>
      <c r="HU589" s="16"/>
      <c r="HV589" s="17"/>
      <c r="HZ589" s="24"/>
      <c r="IA589" s="60"/>
      <c r="IB589" s="16"/>
      <c r="IC589" s="16"/>
      <c r="ID589" s="16"/>
      <c r="IE589" s="16"/>
      <c r="IF589" s="16"/>
      <c r="IG589" s="17"/>
      <c r="IK589" s="24"/>
      <c r="IL589" s="60"/>
      <c r="IM589" s="16"/>
      <c r="IN589" s="16"/>
      <c r="IO589" s="16"/>
      <c r="IP589" s="16"/>
      <c r="IQ589" s="16"/>
      <c r="IR589" s="17"/>
      <c r="IV589" s="24"/>
      <c r="IW589" s="60"/>
      <c r="IX589" s="16"/>
      <c r="IY589" s="16"/>
      <c r="IZ589" s="16"/>
      <c r="JA589" s="16"/>
      <c r="JB589" s="16"/>
      <c r="JC589" s="17"/>
      <c r="JG589" s="24"/>
      <c r="JH589" s="60"/>
      <c r="JI589" s="16"/>
      <c r="JJ589" s="16"/>
      <c r="JK589" s="16"/>
      <c r="JL589" s="16"/>
      <c r="JM589" s="16"/>
      <c r="JN589" s="17"/>
      <c r="JR589" s="24"/>
      <c r="JS589" s="60"/>
      <c r="JT589" s="16"/>
      <c r="JU589" s="16"/>
      <c r="JV589" s="16"/>
      <c r="JW589" s="16"/>
      <c r="JX589" s="16"/>
      <c r="JY589" s="17"/>
      <c r="KC589" s="24"/>
      <c r="KD589" s="60"/>
      <c r="KE589" s="16"/>
      <c r="KF589" s="16"/>
      <c r="KG589" s="16"/>
      <c r="KH589" s="16"/>
      <c r="KI589" s="16"/>
      <c r="KJ589" s="17"/>
      <c r="KN589" s="24"/>
      <c r="KO589" s="60"/>
      <c r="KP589" s="16"/>
      <c r="KQ589" s="16"/>
      <c r="KR589" s="16"/>
      <c r="KS589" s="16"/>
      <c r="KT589" s="16"/>
      <c r="KU589" s="17"/>
      <c r="KY589" s="24"/>
      <c r="KZ589" s="60"/>
      <c r="LA589" s="16"/>
      <c r="LB589" s="16"/>
      <c r="LC589" s="16"/>
      <c r="LD589" s="16"/>
      <c r="LE589" s="16"/>
      <c r="LF589" s="17"/>
      <c r="LJ589" s="24"/>
      <c r="LK589" s="60"/>
      <c r="LL589" s="16"/>
      <c r="LM589" s="16"/>
      <c r="LN589" s="16"/>
      <c r="LO589" s="16"/>
      <c r="LP589" s="16"/>
      <c r="LQ589" s="17"/>
    </row>
    <row r="590">
      <c r="C590" s="31"/>
      <c r="D590" s="61"/>
      <c r="E590" s="16"/>
      <c r="F590" s="16"/>
      <c r="G590" s="21"/>
      <c r="H590" s="16"/>
      <c r="I590" s="16"/>
      <c r="J590" s="17"/>
      <c r="N590" s="17"/>
      <c r="O590" s="61"/>
      <c r="P590" s="16"/>
      <c r="Q590" s="16"/>
      <c r="R590" s="16"/>
      <c r="S590" s="16"/>
      <c r="T590" s="16"/>
      <c r="U590" s="17"/>
      <c r="Y590" s="24"/>
      <c r="Z590" s="61"/>
      <c r="AA590" s="16"/>
      <c r="AB590" s="16"/>
      <c r="AC590" s="16"/>
      <c r="AD590" s="16"/>
      <c r="AE590" s="16"/>
      <c r="AF590" s="17"/>
      <c r="AJ590" s="24"/>
      <c r="AK590" s="61"/>
      <c r="AL590" s="16"/>
      <c r="AM590" s="16"/>
      <c r="AN590" s="16"/>
      <c r="AO590" s="16"/>
      <c r="AP590" s="16"/>
      <c r="AQ590" s="17"/>
      <c r="AU590" s="24"/>
      <c r="AV590" s="61"/>
      <c r="AW590" s="16"/>
      <c r="AX590" s="16"/>
      <c r="AY590" s="16"/>
      <c r="AZ590" s="16"/>
      <c r="BA590" s="16"/>
      <c r="BB590" s="17"/>
      <c r="BF590" s="24"/>
      <c r="BG590" s="61"/>
      <c r="BH590" s="16"/>
      <c r="BI590" s="16"/>
      <c r="BJ590" s="16"/>
      <c r="BK590" s="16"/>
      <c r="BL590" s="16"/>
      <c r="BM590" s="17"/>
      <c r="BQ590" s="24"/>
      <c r="BR590" s="61"/>
      <c r="BS590" s="16"/>
      <c r="BT590" s="16"/>
      <c r="BU590" s="16"/>
      <c r="BV590" s="16"/>
      <c r="BW590" s="16"/>
      <c r="BX590" s="17"/>
      <c r="CB590" s="24"/>
      <c r="CC590" s="61"/>
      <c r="CD590" s="16"/>
      <c r="CE590" s="16"/>
      <c r="CF590" s="16"/>
      <c r="CG590" s="16"/>
      <c r="CH590" s="16"/>
      <c r="CI590" s="17"/>
      <c r="CM590" s="24"/>
      <c r="CN590" s="61"/>
      <c r="CO590" s="16"/>
      <c r="CP590" s="16"/>
      <c r="CQ590" s="16"/>
      <c r="CR590" s="16"/>
      <c r="CS590" s="16"/>
      <c r="CT590" s="17"/>
      <c r="CX590" s="24"/>
      <c r="CY590" s="60"/>
      <c r="CZ590" s="16"/>
      <c r="DA590" s="16"/>
      <c r="DB590" s="16"/>
      <c r="DC590" s="16"/>
      <c r="DD590" s="16"/>
      <c r="DE590" s="17"/>
      <c r="DI590" s="24"/>
      <c r="DJ590" s="60"/>
      <c r="DK590" s="16"/>
      <c r="DL590" s="16"/>
      <c r="DM590" s="16"/>
      <c r="DN590" s="16"/>
      <c r="DO590" s="16"/>
      <c r="DP590" s="17"/>
      <c r="DT590" s="24"/>
      <c r="DU590" s="60"/>
      <c r="DV590" s="16"/>
      <c r="DW590" s="16"/>
      <c r="DX590" s="16"/>
      <c r="DY590" s="16"/>
      <c r="DZ590" s="16"/>
      <c r="EA590" s="17"/>
      <c r="EE590" s="24"/>
      <c r="EF590" s="60"/>
      <c r="EG590" s="16"/>
      <c r="EH590" s="16"/>
      <c r="EI590" s="16"/>
      <c r="EJ590" s="16"/>
      <c r="EK590" s="16"/>
      <c r="EL590" s="17"/>
      <c r="EP590" s="24"/>
      <c r="EQ590" s="60"/>
      <c r="ER590" s="16"/>
      <c r="ES590" s="16"/>
      <c r="ET590" s="16"/>
      <c r="EU590" s="16"/>
      <c r="EV590" s="16"/>
      <c r="EW590" s="17"/>
      <c r="FA590" s="24"/>
      <c r="FB590" s="60"/>
      <c r="FC590" s="16"/>
      <c r="FD590" s="16"/>
      <c r="FE590" s="16"/>
      <c r="FF590" s="16"/>
      <c r="FG590" s="16"/>
      <c r="FH590" s="17"/>
      <c r="FL590" s="24"/>
      <c r="FM590" s="60"/>
      <c r="FN590" s="16"/>
      <c r="FO590" s="16"/>
      <c r="FP590" s="16"/>
      <c r="FQ590" s="16"/>
      <c r="FR590" s="16"/>
      <c r="FS590" s="17"/>
      <c r="FW590" s="24"/>
      <c r="FX590" s="60"/>
      <c r="FY590" s="16"/>
      <c r="FZ590" s="16"/>
      <c r="GA590" s="16"/>
      <c r="GB590" s="16"/>
      <c r="GC590" s="16"/>
      <c r="GD590" s="17"/>
      <c r="GH590" s="24"/>
      <c r="GI590" s="60"/>
      <c r="GJ590" s="16"/>
      <c r="GK590" s="16"/>
      <c r="GL590" s="16"/>
      <c r="GM590" s="16"/>
      <c r="GN590" s="16"/>
      <c r="GO590" s="17"/>
      <c r="GS590" s="24"/>
      <c r="GT590" s="60"/>
      <c r="GU590" s="16"/>
      <c r="GV590" s="16"/>
      <c r="GW590" s="16"/>
      <c r="GX590" s="16"/>
      <c r="GY590" s="16"/>
      <c r="GZ590" s="17"/>
      <c r="HD590" s="24"/>
      <c r="HE590" s="60"/>
      <c r="HF590" s="16"/>
      <c r="HG590" s="16"/>
      <c r="HH590" s="16"/>
      <c r="HI590" s="16"/>
      <c r="HJ590" s="16"/>
      <c r="HK590" s="17"/>
      <c r="HO590" s="24"/>
      <c r="HP590" s="60"/>
      <c r="HQ590" s="16"/>
      <c r="HR590" s="16"/>
      <c r="HS590" s="16"/>
      <c r="HT590" s="16"/>
      <c r="HU590" s="16"/>
      <c r="HV590" s="17"/>
      <c r="HZ590" s="24"/>
      <c r="IA590" s="60"/>
      <c r="IB590" s="16"/>
      <c r="IC590" s="16"/>
      <c r="ID590" s="16"/>
      <c r="IE590" s="16"/>
      <c r="IF590" s="16"/>
      <c r="IG590" s="17"/>
      <c r="IK590" s="24"/>
      <c r="IL590" s="60"/>
      <c r="IM590" s="16"/>
      <c r="IN590" s="16"/>
      <c r="IO590" s="16"/>
      <c r="IP590" s="16"/>
      <c r="IQ590" s="16"/>
      <c r="IR590" s="17"/>
      <c r="IV590" s="24"/>
      <c r="IW590" s="60"/>
      <c r="IX590" s="16"/>
      <c r="IY590" s="16"/>
      <c r="IZ590" s="16"/>
      <c r="JA590" s="16"/>
      <c r="JB590" s="16"/>
      <c r="JC590" s="17"/>
      <c r="JG590" s="24"/>
      <c r="JH590" s="60"/>
      <c r="JI590" s="16"/>
      <c r="JJ590" s="16"/>
      <c r="JK590" s="16"/>
      <c r="JL590" s="16"/>
      <c r="JM590" s="16"/>
      <c r="JN590" s="17"/>
      <c r="JR590" s="24"/>
      <c r="JS590" s="60"/>
      <c r="JT590" s="16"/>
      <c r="JU590" s="16"/>
      <c r="JV590" s="16"/>
      <c r="JW590" s="16"/>
      <c r="JX590" s="16"/>
      <c r="JY590" s="17"/>
      <c r="KC590" s="24"/>
      <c r="KD590" s="60"/>
      <c r="KE590" s="16"/>
      <c r="KF590" s="16"/>
      <c r="KG590" s="16"/>
      <c r="KH590" s="16"/>
      <c r="KI590" s="16"/>
      <c r="KJ590" s="17"/>
      <c r="KN590" s="24"/>
      <c r="KO590" s="60"/>
      <c r="KP590" s="16"/>
      <c r="KQ590" s="16"/>
      <c r="KR590" s="16"/>
      <c r="KS590" s="16"/>
      <c r="KT590" s="16"/>
      <c r="KU590" s="17"/>
      <c r="KY590" s="24"/>
      <c r="KZ590" s="60"/>
      <c r="LA590" s="16"/>
      <c r="LB590" s="16"/>
      <c r="LC590" s="16"/>
      <c r="LD590" s="16"/>
      <c r="LE590" s="16"/>
      <c r="LF590" s="17"/>
      <c r="LJ590" s="24"/>
      <c r="LK590" s="60"/>
      <c r="LL590" s="16"/>
      <c r="LM590" s="16"/>
      <c r="LN590" s="16"/>
      <c r="LO590" s="16"/>
      <c r="LP590" s="16"/>
      <c r="LQ590" s="17"/>
    </row>
    <row r="591">
      <c r="C591" s="31"/>
      <c r="D591" s="61"/>
      <c r="E591" s="16"/>
      <c r="F591" s="16"/>
      <c r="G591" s="21"/>
      <c r="H591" s="16"/>
      <c r="I591" s="16"/>
      <c r="J591" s="17"/>
      <c r="N591" s="17"/>
      <c r="O591" s="61"/>
      <c r="P591" s="16"/>
      <c r="Q591" s="16"/>
      <c r="R591" s="16"/>
      <c r="S591" s="16"/>
      <c r="T591" s="16"/>
      <c r="U591" s="17"/>
      <c r="Y591" s="24"/>
      <c r="Z591" s="61"/>
      <c r="AA591" s="16"/>
      <c r="AB591" s="16"/>
      <c r="AC591" s="16"/>
      <c r="AD591" s="16"/>
      <c r="AE591" s="16"/>
      <c r="AF591" s="17"/>
      <c r="AJ591" s="24"/>
      <c r="AK591" s="61"/>
      <c r="AL591" s="16"/>
      <c r="AM591" s="16"/>
      <c r="AN591" s="16"/>
      <c r="AO591" s="16"/>
      <c r="AP591" s="16"/>
      <c r="AQ591" s="17"/>
      <c r="AU591" s="24"/>
      <c r="AV591" s="61"/>
      <c r="AW591" s="16"/>
      <c r="AX591" s="16"/>
      <c r="AY591" s="16"/>
      <c r="AZ591" s="16"/>
      <c r="BA591" s="16"/>
      <c r="BB591" s="17"/>
      <c r="BF591" s="24"/>
      <c r="BG591" s="61"/>
      <c r="BH591" s="16"/>
      <c r="BI591" s="16"/>
      <c r="BJ591" s="16"/>
      <c r="BK591" s="16"/>
      <c r="BL591" s="16"/>
      <c r="BM591" s="17"/>
      <c r="BQ591" s="24"/>
      <c r="BR591" s="61"/>
      <c r="BS591" s="16"/>
      <c r="BT591" s="16"/>
      <c r="BU591" s="16"/>
      <c r="BV591" s="16"/>
      <c r="BW591" s="16"/>
      <c r="BX591" s="17"/>
      <c r="CB591" s="24"/>
      <c r="CC591" s="61"/>
      <c r="CD591" s="16"/>
      <c r="CE591" s="16"/>
      <c r="CF591" s="16"/>
      <c r="CG591" s="16"/>
      <c r="CH591" s="16"/>
      <c r="CI591" s="17"/>
      <c r="CM591" s="24"/>
      <c r="CN591" s="61"/>
      <c r="CO591" s="16"/>
      <c r="CP591" s="16"/>
      <c r="CQ591" s="16"/>
      <c r="CR591" s="16"/>
      <c r="CS591" s="16"/>
      <c r="CT591" s="17"/>
      <c r="CX591" s="24"/>
      <c r="CY591" s="60"/>
      <c r="CZ591" s="16"/>
      <c r="DA591" s="16"/>
      <c r="DB591" s="16"/>
      <c r="DC591" s="16"/>
      <c r="DD591" s="16"/>
      <c r="DE591" s="17"/>
      <c r="DI591" s="24"/>
      <c r="DJ591" s="60"/>
      <c r="DK591" s="16"/>
      <c r="DL591" s="16"/>
      <c r="DM591" s="16"/>
      <c r="DN591" s="16"/>
      <c r="DO591" s="16"/>
      <c r="DP591" s="17"/>
      <c r="DT591" s="24"/>
      <c r="DU591" s="60"/>
      <c r="DV591" s="16"/>
      <c r="DW591" s="16"/>
      <c r="DX591" s="16"/>
      <c r="DY591" s="16"/>
      <c r="DZ591" s="16"/>
      <c r="EA591" s="17"/>
      <c r="EE591" s="24"/>
      <c r="EF591" s="60"/>
      <c r="EG591" s="16"/>
      <c r="EH591" s="16"/>
      <c r="EI591" s="16"/>
      <c r="EJ591" s="16"/>
      <c r="EK591" s="16"/>
      <c r="EL591" s="17"/>
      <c r="EP591" s="24"/>
      <c r="EQ591" s="60"/>
      <c r="ER591" s="16"/>
      <c r="ES591" s="16"/>
      <c r="ET591" s="16"/>
      <c r="EU591" s="16"/>
      <c r="EV591" s="16"/>
      <c r="EW591" s="17"/>
      <c r="FA591" s="24"/>
      <c r="FB591" s="60"/>
      <c r="FC591" s="16"/>
      <c r="FD591" s="16"/>
      <c r="FE591" s="16"/>
      <c r="FF591" s="16"/>
      <c r="FG591" s="16"/>
      <c r="FH591" s="17"/>
      <c r="FL591" s="24"/>
      <c r="FM591" s="60"/>
      <c r="FN591" s="16"/>
      <c r="FO591" s="16"/>
      <c r="FP591" s="16"/>
      <c r="FQ591" s="16"/>
      <c r="FR591" s="16"/>
      <c r="FS591" s="17"/>
      <c r="FW591" s="24"/>
      <c r="FX591" s="60"/>
      <c r="FY591" s="16"/>
      <c r="FZ591" s="16"/>
      <c r="GA591" s="16"/>
      <c r="GB591" s="16"/>
      <c r="GC591" s="16"/>
      <c r="GD591" s="17"/>
      <c r="GH591" s="24"/>
      <c r="GI591" s="60"/>
      <c r="GJ591" s="16"/>
      <c r="GK591" s="16"/>
      <c r="GL591" s="16"/>
      <c r="GM591" s="16"/>
      <c r="GN591" s="16"/>
      <c r="GO591" s="17"/>
      <c r="GS591" s="24"/>
      <c r="GT591" s="60"/>
      <c r="GU591" s="16"/>
      <c r="GV591" s="16"/>
      <c r="GW591" s="16"/>
      <c r="GX591" s="16"/>
      <c r="GY591" s="16"/>
      <c r="GZ591" s="17"/>
      <c r="HD591" s="24"/>
      <c r="HE591" s="60"/>
      <c r="HF591" s="16"/>
      <c r="HG591" s="16"/>
      <c r="HH591" s="16"/>
      <c r="HI591" s="16"/>
      <c r="HJ591" s="16"/>
      <c r="HK591" s="17"/>
      <c r="HO591" s="24"/>
      <c r="HP591" s="60"/>
      <c r="HQ591" s="16"/>
      <c r="HR591" s="16"/>
      <c r="HS591" s="16"/>
      <c r="HT591" s="16"/>
      <c r="HU591" s="16"/>
      <c r="HV591" s="17"/>
      <c r="HZ591" s="24"/>
      <c r="IA591" s="60"/>
      <c r="IB591" s="16"/>
      <c r="IC591" s="16"/>
      <c r="ID591" s="16"/>
      <c r="IE591" s="16"/>
      <c r="IF591" s="16"/>
      <c r="IG591" s="17"/>
      <c r="IK591" s="24"/>
      <c r="IL591" s="60"/>
      <c r="IM591" s="16"/>
      <c r="IN591" s="16"/>
      <c r="IO591" s="16"/>
      <c r="IP591" s="16"/>
      <c r="IQ591" s="16"/>
      <c r="IR591" s="17"/>
      <c r="IV591" s="24"/>
      <c r="IW591" s="60"/>
      <c r="IX591" s="16"/>
      <c r="IY591" s="16"/>
      <c r="IZ591" s="16"/>
      <c r="JA591" s="16"/>
      <c r="JB591" s="16"/>
      <c r="JC591" s="17"/>
      <c r="JG591" s="24"/>
      <c r="JH591" s="60"/>
      <c r="JI591" s="16"/>
      <c r="JJ591" s="16"/>
      <c r="JK591" s="16"/>
      <c r="JL591" s="16"/>
      <c r="JM591" s="16"/>
      <c r="JN591" s="17"/>
      <c r="JR591" s="24"/>
      <c r="JS591" s="60"/>
      <c r="JT591" s="16"/>
      <c r="JU591" s="16"/>
      <c r="JV591" s="16"/>
      <c r="JW591" s="16"/>
      <c r="JX591" s="16"/>
      <c r="JY591" s="17"/>
      <c r="KC591" s="24"/>
      <c r="KD591" s="60"/>
      <c r="KE591" s="16"/>
      <c r="KF591" s="16"/>
      <c r="KG591" s="16"/>
      <c r="KH591" s="16"/>
      <c r="KI591" s="16"/>
      <c r="KJ591" s="17"/>
      <c r="KN591" s="24"/>
      <c r="KO591" s="60"/>
      <c r="KP591" s="16"/>
      <c r="KQ591" s="16"/>
      <c r="KR591" s="16"/>
      <c r="KS591" s="16"/>
      <c r="KT591" s="16"/>
      <c r="KU591" s="17"/>
      <c r="KY591" s="24"/>
      <c r="KZ591" s="60"/>
      <c r="LA591" s="16"/>
      <c r="LB591" s="16"/>
      <c r="LC591" s="16"/>
      <c r="LD591" s="16"/>
      <c r="LE591" s="16"/>
      <c r="LF591" s="17"/>
      <c r="LJ591" s="24"/>
      <c r="LK591" s="60"/>
      <c r="LL591" s="16"/>
      <c r="LM591" s="16"/>
      <c r="LN591" s="16"/>
      <c r="LO591" s="16"/>
      <c r="LP591" s="16"/>
      <c r="LQ591" s="17"/>
    </row>
    <row r="592">
      <c r="C592" s="31"/>
      <c r="D592" s="61"/>
      <c r="E592" s="16"/>
      <c r="F592" s="16"/>
      <c r="G592" s="21"/>
      <c r="H592" s="16"/>
      <c r="I592" s="16"/>
      <c r="J592" s="17"/>
      <c r="N592" s="17"/>
      <c r="O592" s="61"/>
      <c r="P592" s="16"/>
      <c r="Q592" s="16"/>
      <c r="R592" s="16"/>
      <c r="S592" s="16"/>
      <c r="T592" s="16"/>
      <c r="U592" s="17"/>
      <c r="Y592" s="24"/>
      <c r="Z592" s="61"/>
      <c r="AA592" s="16"/>
      <c r="AB592" s="16"/>
      <c r="AC592" s="16"/>
      <c r="AD592" s="16"/>
      <c r="AE592" s="16"/>
      <c r="AF592" s="17"/>
      <c r="AJ592" s="24"/>
      <c r="AK592" s="61"/>
      <c r="AL592" s="16"/>
      <c r="AM592" s="16"/>
      <c r="AN592" s="16"/>
      <c r="AO592" s="16"/>
      <c r="AP592" s="16"/>
      <c r="AQ592" s="17"/>
      <c r="AU592" s="24"/>
      <c r="AV592" s="61"/>
      <c r="AW592" s="16"/>
      <c r="AX592" s="16"/>
      <c r="AY592" s="16"/>
      <c r="AZ592" s="16"/>
      <c r="BA592" s="16"/>
      <c r="BB592" s="17"/>
      <c r="BF592" s="24"/>
      <c r="BG592" s="61"/>
      <c r="BH592" s="16"/>
      <c r="BI592" s="16"/>
      <c r="BJ592" s="16"/>
      <c r="BK592" s="16"/>
      <c r="BL592" s="16"/>
      <c r="BM592" s="17"/>
      <c r="BQ592" s="24"/>
      <c r="BR592" s="61"/>
      <c r="BS592" s="16"/>
      <c r="BT592" s="16"/>
      <c r="BU592" s="16"/>
      <c r="BV592" s="16"/>
      <c r="BW592" s="16"/>
      <c r="BX592" s="17"/>
      <c r="CB592" s="24"/>
      <c r="CC592" s="61"/>
      <c r="CD592" s="16"/>
      <c r="CE592" s="16"/>
      <c r="CF592" s="16"/>
      <c r="CG592" s="16"/>
      <c r="CH592" s="16"/>
      <c r="CI592" s="17"/>
      <c r="CM592" s="24"/>
      <c r="CN592" s="61"/>
      <c r="CO592" s="16"/>
      <c r="CP592" s="16"/>
      <c r="CQ592" s="16"/>
      <c r="CR592" s="16"/>
      <c r="CS592" s="16"/>
      <c r="CT592" s="17"/>
      <c r="CX592" s="24"/>
      <c r="CY592" s="60"/>
      <c r="CZ592" s="16"/>
      <c r="DA592" s="16"/>
      <c r="DB592" s="16"/>
      <c r="DC592" s="16"/>
      <c r="DD592" s="16"/>
      <c r="DE592" s="17"/>
      <c r="DI592" s="24"/>
      <c r="DJ592" s="60"/>
      <c r="DK592" s="16"/>
      <c r="DL592" s="16"/>
      <c r="DM592" s="16"/>
      <c r="DN592" s="16"/>
      <c r="DO592" s="16"/>
      <c r="DP592" s="17"/>
      <c r="DT592" s="24"/>
      <c r="DU592" s="60"/>
      <c r="DV592" s="16"/>
      <c r="DW592" s="16"/>
      <c r="DX592" s="16"/>
      <c r="DY592" s="16"/>
      <c r="DZ592" s="16"/>
      <c r="EA592" s="17"/>
      <c r="EE592" s="24"/>
      <c r="EF592" s="60"/>
      <c r="EG592" s="16"/>
      <c r="EH592" s="16"/>
      <c r="EI592" s="16"/>
      <c r="EJ592" s="16"/>
      <c r="EK592" s="16"/>
      <c r="EL592" s="17"/>
      <c r="EP592" s="24"/>
      <c r="EQ592" s="60"/>
      <c r="ER592" s="16"/>
      <c r="ES592" s="16"/>
      <c r="ET592" s="16"/>
      <c r="EU592" s="16"/>
      <c r="EV592" s="16"/>
      <c r="EW592" s="17"/>
      <c r="FA592" s="24"/>
      <c r="FB592" s="60"/>
      <c r="FC592" s="16"/>
      <c r="FD592" s="16"/>
      <c r="FE592" s="16"/>
      <c r="FF592" s="16"/>
      <c r="FG592" s="16"/>
      <c r="FH592" s="17"/>
      <c r="FL592" s="24"/>
      <c r="FM592" s="60"/>
      <c r="FN592" s="16"/>
      <c r="FO592" s="16"/>
      <c r="FP592" s="16"/>
      <c r="FQ592" s="16"/>
      <c r="FR592" s="16"/>
      <c r="FS592" s="17"/>
      <c r="FW592" s="24"/>
      <c r="FX592" s="60"/>
      <c r="FY592" s="16"/>
      <c r="FZ592" s="16"/>
      <c r="GA592" s="16"/>
      <c r="GB592" s="16"/>
      <c r="GC592" s="16"/>
      <c r="GD592" s="17"/>
      <c r="GH592" s="24"/>
      <c r="GI592" s="60"/>
      <c r="GJ592" s="16"/>
      <c r="GK592" s="16"/>
      <c r="GL592" s="16"/>
      <c r="GM592" s="16"/>
      <c r="GN592" s="16"/>
      <c r="GO592" s="17"/>
      <c r="GS592" s="24"/>
      <c r="GT592" s="60"/>
      <c r="GU592" s="16"/>
      <c r="GV592" s="16"/>
      <c r="GW592" s="16"/>
      <c r="GX592" s="16"/>
      <c r="GY592" s="16"/>
      <c r="GZ592" s="17"/>
      <c r="HD592" s="24"/>
      <c r="HE592" s="60"/>
      <c r="HF592" s="16"/>
      <c r="HG592" s="16"/>
      <c r="HH592" s="16"/>
      <c r="HI592" s="16"/>
      <c r="HJ592" s="16"/>
      <c r="HK592" s="17"/>
      <c r="HO592" s="24"/>
      <c r="HP592" s="60"/>
      <c r="HQ592" s="16"/>
      <c r="HR592" s="16"/>
      <c r="HS592" s="16"/>
      <c r="HT592" s="16"/>
      <c r="HU592" s="16"/>
      <c r="HV592" s="17"/>
      <c r="HZ592" s="24"/>
      <c r="IA592" s="60"/>
      <c r="IB592" s="16"/>
      <c r="IC592" s="16"/>
      <c r="ID592" s="16"/>
      <c r="IE592" s="16"/>
      <c r="IF592" s="16"/>
      <c r="IG592" s="17"/>
      <c r="IK592" s="24"/>
      <c r="IL592" s="60"/>
      <c r="IM592" s="16"/>
      <c r="IN592" s="16"/>
      <c r="IO592" s="16"/>
      <c r="IP592" s="16"/>
      <c r="IQ592" s="16"/>
      <c r="IR592" s="17"/>
      <c r="IV592" s="24"/>
      <c r="IW592" s="60"/>
      <c r="IX592" s="16"/>
      <c r="IY592" s="16"/>
      <c r="IZ592" s="16"/>
      <c r="JA592" s="16"/>
      <c r="JB592" s="16"/>
      <c r="JC592" s="17"/>
      <c r="JG592" s="24"/>
      <c r="JH592" s="60"/>
      <c r="JI592" s="16"/>
      <c r="JJ592" s="16"/>
      <c r="JK592" s="16"/>
      <c r="JL592" s="16"/>
      <c r="JM592" s="16"/>
      <c r="JN592" s="17"/>
      <c r="JR592" s="24"/>
      <c r="JS592" s="60"/>
      <c r="JT592" s="16"/>
      <c r="JU592" s="16"/>
      <c r="JV592" s="16"/>
      <c r="JW592" s="16"/>
      <c r="JX592" s="16"/>
      <c r="JY592" s="17"/>
      <c r="KC592" s="24"/>
      <c r="KD592" s="60"/>
      <c r="KE592" s="16"/>
      <c r="KF592" s="16"/>
      <c r="KG592" s="16"/>
      <c r="KH592" s="16"/>
      <c r="KI592" s="16"/>
      <c r="KJ592" s="17"/>
      <c r="KN592" s="24"/>
      <c r="KO592" s="60"/>
      <c r="KP592" s="16"/>
      <c r="KQ592" s="16"/>
      <c r="KR592" s="16"/>
      <c r="KS592" s="16"/>
      <c r="KT592" s="16"/>
      <c r="KU592" s="17"/>
      <c r="KY592" s="24"/>
      <c r="KZ592" s="60"/>
      <c r="LA592" s="16"/>
      <c r="LB592" s="16"/>
      <c r="LC592" s="16"/>
      <c r="LD592" s="16"/>
      <c r="LE592" s="16"/>
      <c r="LF592" s="17"/>
      <c r="LJ592" s="24"/>
      <c r="LK592" s="60"/>
      <c r="LL592" s="16"/>
      <c r="LM592" s="16"/>
      <c r="LN592" s="16"/>
      <c r="LO592" s="16"/>
      <c r="LP592" s="16"/>
      <c r="LQ592" s="17"/>
    </row>
    <row r="593">
      <c r="C593" s="31"/>
      <c r="D593" s="61"/>
      <c r="E593" s="16"/>
      <c r="F593" s="16"/>
      <c r="G593" s="21"/>
      <c r="H593" s="16"/>
      <c r="I593" s="16"/>
      <c r="J593" s="17"/>
      <c r="N593" s="17"/>
      <c r="O593" s="61"/>
      <c r="P593" s="16"/>
      <c r="Q593" s="16"/>
      <c r="R593" s="16"/>
      <c r="S593" s="16"/>
      <c r="T593" s="16"/>
      <c r="U593" s="17"/>
      <c r="Y593" s="24"/>
      <c r="Z593" s="61"/>
      <c r="AA593" s="16"/>
      <c r="AB593" s="16"/>
      <c r="AC593" s="16"/>
      <c r="AD593" s="16"/>
      <c r="AE593" s="16"/>
      <c r="AF593" s="17"/>
      <c r="AJ593" s="24"/>
      <c r="AK593" s="61"/>
      <c r="AL593" s="16"/>
      <c r="AM593" s="16"/>
      <c r="AN593" s="16"/>
      <c r="AO593" s="16"/>
      <c r="AP593" s="16"/>
      <c r="AQ593" s="17"/>
      <c r="AU593" s="24"/>
      <c r="AV593" s="61"/>
      <c r="AW593" s="16"/>
      <c r="AX593" s="16"/>
      <c r="AY593" s="16"/>
      <c r="AZ593" s="16"/>
      <c r="BA593" s="16"/>
      <c r="BB593" s="17"/>
      <c r="BF593" s="24"/>
      <c r="BG593" s="61"/>
      <c r="BH593" s="16"/>
      <c r="BI593" s="16"/>
      <c r="BJ593" s="16"/>
      <c r="BK593" s="16"/>
      <c r="BL593" s="16"/>
      <c r="BM593" s="17"/>
      <c r="BQ593" s="24"/>
      <c r="BR593" s="61"/>
      <c r="BS593" s="16"/>
      <c r="BT593" s="16"/>
      <c r="BU593" s="16"/>
      <c r="BV593" s="16"/>
      <c r="BW593" s="16"/>
      <c r="BX593" s="17"/>
      <c r="CB593" s="24"/>
      <c r="CC593" s="61"/>
      <c r="CD593" s="16"/>
      <c r="CE593" s="16"/>
      <c r="CF593" s="16"/>
      <c r="CG593" s="16"/>
      <c r="CH593" s="16"/>
      <c r="CI593" s="17"/>
      <c r="CM593" s="24"/>
      <c r="CN593" s="61"/>
      <c r="CO593" s="16"/>
      <c r="CP593" s="16"/>
      <c r="CQ593" s="16"/>
      <c r="CR593" s="16"/>
      <c r="CS593" s="16"/>
      <c r="CT593" s="17"/>
      <c r="CX593" s="24"/>
      <c r="CY593" s="60"/>
      <c r="CZ593" s="16"/>
      <c r="DA593" s="16"/>
      <c r="DB593" s="16"/>
      <c r="DC593" s="16"/>
      <c r="DD593" s="16"/>
      <c r="DE593" s="17"/>
      <c r="DI593" s="24"/>
      <c r="DJ593" s="60"/>
      <c r="DK593" s="16"/>
      <c r="DL593" s="16"/>
      <c r="DM593" s="16"/>
      <c r="DN593" s="16"/>
      <c r="DO593" s="16"/>
      <c r="DP593" s="17"/>
      <c r="DT593" s="24"/>
      <c r="DU593" s="60"/>
      <c r="DV593" s="16"/>
      <c r="DW593" s="16"/>
      <c r="DX593" s="16"/>
      <c r="DY593" s="16"/>
      <c r="DZ593" s="16"/>
      <c r="EA593" s="17"/>
      <c r="EE593" s="24"/>
      <c r="EF593" s="60"/>
      <c r="EG593" s="16"/>
      <c r="EH593" s="16"/>
      <c r="EI593" s="16"/>
      <c r="EJ593" s="16"/>
      <c r="EK593" s="16"/>
      <c r="EL593" s="17"/>
      <c r="EP593" s="24"/>
      <c r="EQ593" s="60"/>
      <c r="ER593" s="16"/>
      <c r="ES593" s="16"/>
      <c r="ET593" s="16"/>
      <c r="EU593" s="16"/>
      <c r="EV593" s="16"/>
      <c r="EW593" s="17"/>
      <c r="FA593" s="24"/>
      <c r="FB593" s="60"/>
      <c r="FC593" s="16"/>
      <c r="FD593" s="16"/>
      <c r="FE593" s="16"/>
      <c r="FF593" s="16"/>
      <c r="FG593" s="16"/>
      <c r="FH593" s="17"/>
      <c r="FL593" s="24"/>
      <c r="FM593" s="60"/>
      <c r="FN593" s="16"/>
      <c r="FO593" s="16"/>
      <c r="FP593" s="16"/>
      <c r="FQ593" s="16"/>
      <c r="FR593" s="16"/>
      <c r="FS593" s="17"/>
      <c r="FW593" s="24"/>
      <c r="FX593" s="60"/>
      <c r="FY593" s="16"/>
      <c r="FZ593" s="16"/>
      <c r="GA593" s="16"/>
      <c r="GB593" s="16"/>
      <c r="GC593" s="16"/>
      <c r="GD593" s="17"/>
      <c r="GH593" s="24"/>
      <c r="GI593" s="60"/>
      <c r="GJ593" s="16"/>
      <c r="GK593" s="16"/>
      <c r="GL593" s="16"/>
      <c r="GM593" s="16"/>
      <c r="GN593" s="16"/>
      <c r="GO593" s="17"/>
      <c r="GS593" s="24"/>
      <c r="GT593" s="60"/>
      <c r="GU593" s="16"/>
      <c r="GV593" s="16"/>
      <c r="GW593" s="16"/>
      <c r="GX593" s="16"/>
      <c r="GY593" s="16"/>
      <c r="GZ593" s="17"/>
      <c r="HD593" s="24"/>
      <c r="HE593" s="60"/>
      <c r="HF593" s="16"/>
      <c r="HG593" s="16"/>
      <c r="HH593" s="16"/>
      <c r="HI593" s="16"/>
      <c r="HJ593" s="16"/>
      <c r="HK593" s="17"/>
      <c r="HO593" s="24"/>
      <c r="HP593" s="60"/>
      <c r="HQ593" s="16"/>
      <c r="HR593" s="16"/>
      <c r="HS593" s="16"/>
      <c r="HT593" s="16"/>
      <c r="HU593" s="16"/>
      <c r="HV593" s="17"/>
      <c r="HZ593" s="24"/>
      <c r="IA593" s="60"/>
      <c r="IB593" s="16"/>
      <c r="IC593" s="16"/>
      <c r="ID593" s="16"/>
      <c r="IE593" s="16"/>
      <c r="IF593" s="16"/>
      <c r="IG593" s="17"/>
      <c r="IK593" s="24"/>
      <c r="IL593" s="60"/>
      <c r="IM593" s="16"/>
      <c r="IN593" s="16"/>
      <c r="IO593" s="16"/>
      <c r="IP593" s="16"/>
      <c r="IQ593" s="16"/>
      <c r="IR593" s="17"/>
      <c r="IV593" s="24"/>
      <c r="IW593" s="60"/>
      <c r="IX593" s="16"/>
      <c r="IY593" s="16"/>
      <c r="IZ593" s="16"/>
      <c r="JA593" s="16"/>
      <c r="JB593" s="16"/>
      <c r="JC593" s="17"/>
      <c r="JG593" s="24"/>
      <c r="JH593" s="60"/>
      <c r="JI593" s="16"/>
      <c r="JJ593" s="16"/>
      <c r="JK593" s="16"/>
      <c r="JL593" s="16"/>
      <c r="JM593" s="16"/>
      <c r="JN593" s="17"/>
      <c r="JR593" s="24"/>
      <c r="JS593" s="60"/>
      <c r="JT593" s="16"/>
      <c r="JU593" s="16"/>
      <c r="JV593" s="16"/>
      <c r="JW593" s="16"/>
      <c r="JX593" s="16"/>
      <c r="JY593" s="17"/>
      <c r="KC593" s="24"/>
      <c r="KD593" s="60"/>
      <c r="KE593" s="16"/>
      <c r="KF593" s="16"/>
      <c r="KG593" s="16"/>
      <c r="KH593" s="16"/>
      <c r="KI593" s="16"/>
      <c r="KJ593" s="17"/>
      <c r="KN593" s="24"/>
      <c r="KO593" s="60"/>
      <c r="KP593" s="16"/>
      <c r="KQ593" s="16"/>
      <c r="KR593" s="16"/>
      <c r="KS593" s="16"/>
      <c r="KT593" s="16"/>
      <c r="KU593" s="17"/>
      <c r="KY593" s="24"/>
      <c r="KZ593" s="60"/>
      <c r="LA593" s="16"/>
      <c r="LB593" s="16"/>
      <c r="LC593" s="16"/>
      <c r="LD593" s="16"/>
      <c r="LE593" s="16"/>
      <c r="LF593" s="17"/>
      <c r="LJ593" s="24"/>
      <c r="LK593" s="60"/>
      <c r="LL593" s="16"/>
      <c r="LM593" s="16"/>
      <c r="LN593" s="16"/>
      <c r="LO593" s="16"/>
      <c r="LP593" s="16"/>
      <c r="LQ593" s="17"/>
    </row>
    <row r="594">
      <c r="C594" s="31"/>
      <c r="D594" s="61"/>
      <c r="E594" s="16"/>
      <c r="F594" s="16"/>
      <c r="G594" s="21"/>
      <c r="H594" s="16"/>
      <c r="I594" s="16"/>
      <c r="J594" s="17"/>
      <c r="N594" s="17"/>
      <c r="O594" s="61"/>
      <c r="P594" s="16"/>
      <c r="Q594" s="16"/>
      <c r="R594" s="16"/>
      <c r="S594" s="16"/>
      <c r="T594" s="16"/>
      <c r="U594" s="17"/>
      <c r="Y594" s="24"/>
      <c r="Z594" s="61"/>
      <c r="AA594" s="16"/>
      <c r="AB594" s="16"/>
      <c r="AC594" s="16"/>
      <c r="AD594" s="16"/>
      <c r="AE594" s="16"/>
      <c r="AF594" s="17"/>
      <c r="AJ594" s="24"/>
      <c r="AK594" s="61"/>
      <c r="AL594" s="16"/>
      <c r="AM594" s="16"/>
      <c r="AN594" s="16"/>
      <c r="AO594" s="16"/>
      <c r="AP594" s="16"/>
      <c r="AQ594" s="17"/>
      <c r="AU594" s="24"/>
      <c r="AV594" s="61"/>
      <c r="AW594" s="16"/>
      <c r="AX594" s="16"/>
      <c r="AY594" s="16"/>
      <c r="AZ594" s="16"/>
      <c r="BA594" s="16"/>
      <c r="BB594" s="17"/>
      <c r="BF594" s="24"/>
      <c r="BG594" s="61"/>
      <c r="BH594" s="16"/>
      <c r="BI594" s="16"/>
      <c r="BJ594" s="16"/>
      <c r="BK594" s="16"/>
      <c r="BL594" s="16"/>
      <c r="BM594" s="17"/>
      <c r="BQ594" s="24"/>
      <c r="BR594" s="61"/>
      <c r="BS594" s="16"/>
      <c r="BT594" s="16"/>
      <c r="BU594" s="16"/>
      <c r="BV594" s="16"/>
      <c r="BW594" s="16"/>
      <c r="BX594" s="17"/>
      <c r="CB594" s="24"/>
      <c r="CC594" s="61"/>
      <c r="CD594" s="16"/>
      <c r="CE594" s="16"/>
      <c r="CF594" s="16"/>
      <c r="CG594" s="16"/>
      <c r="CH594" s="16"/>
      <c r="CI594" s="17"/>
      <c r="CM594" s="24"/>
      <c r="CN594" s="61"/>
      <c r="CO594" s="16"/>
      <c r="CP594" s="16"/>
      <c r="CQ594" s="16"/>
      <c r="CR594" s="16"/>
      <c r="CS594" s="16"/>
      <c r="CT594" s="17"/>
      <c r="CX594" s="24"/>
      <c r="CY594" s="60"/>
      <c r="CZ594" s="16"/>
      <c r="DA594" s="16"/>
      <c r="DB594" s="16"/>
      <c r="DC594" s="16"/>
      <c r="DD594" s="16"/>
      <c r="DE594" s="17"/>
      <c r="DI594" s="24"/>
      <c r="DJ594" s="60"/>
      <c r="DK594" s="16"/>
      <c r="DL594" s="16"/>
      <c r="DM594" s="16"/>
      <c r="DN594" s="16"/>
      <c r="DO594" s="16"/>
      <c r="DP594" s="17"/>
      <c r="DT594" s="24"/>
      <c r="DU594" s="60"/>
      <c r="DV594" s="16"/>
      <c r="DW594" s="16"/>
      <c r="DX594" s="16"/>
      <c r="DY594" s="16"/>
      <c r="DZ594" s="16"/>
      <c r="EA594" s="17"/>
      <c r="EE594" s="24"/>
      <c r="EF594" s="60"/>
      <c r="EG594" s="16"/>
      <c r="EH594" s="16"/>
      <c r="EI594" s="16"/>
      <c r="EJ594" s="16"/>
      <c r="EK594" s="16"/>
      <c r="EL594" s="17"/>
      <c r="EP594" s="24"/>
      <c r="EQ594" s="60"/>
      <c r="ER594" s="16"/>
      <c r="ES594" s="16"/>
      <c r="ET594" s="16"/>
      <c r="EU594" s="16"/>
      <c r="EV594" s="16"/>
      <c r="EW594" s="17"/>
      <c r="FA594" s="24"/>
      <c r="FB594" s="60"/>
      <c r="FC594" s="16"/>
      <c r="FD594" s="16"/>
      <c r="FE594" s="16"/>
      <c r="FF594" s="16"/>
      <c r="FG594" s="16"/>
      <c r="FH594" s="17"/>
      <c r="FL594" s="24"/>
      <c r="FM594" s="60"/>
      <c r="FN594" s="16"/>
      <c r="FO594" s="16"/>
      <c r="FP594" s="16"/>
      <c r="FQ594" s="16"/>
      <c r="FR594" s="16"/>
      <c r="FS594" s="17"/>
      <c r="FW594" s="24"/>
      <c r="FX594" s="60"/>
      <c r="FY594" s="16"/>
      <c r="FZ594" s="16"/>
      <c r="GA594" s="16"/>
      <c r="GB594" s="16"/>
      <c r="GC594" s="16"/>
      <c r="GD594" s="17"/>
      <c r="GH594" s="24"/>
      <c r="GI594" s="60"/>
      <c r="GJ594" s="16"/>
      <c r="GK594" s="16"/>
      <c r="GL594" s="16"/>
      <c r="GM594" s="16"/>
      <c r="GN594" s="16"/>
      <c r="GO594" s="17"/>
      <c r="GS594" s="24"/>
      <c r="GT594" s="60"/>
      <c r="GU594" s="16"/>
      <c r="GV594" s="16"/>
      <c r="GW594" s="16"/>
      <c r="GX594" s="16"/>
      <c r="GY594" s="16"/>
      <c r="GZ594" s="17"/>
      <c r="HD594" s="24"/>
      <c r="HE594" s="60"/>
      <c r="HF594" s="16"/>
      <c r="HG594" s="16"/>
      <c r="HH594" s="16"/>
      <c r="HI594" s="16"/>
      <c r="HJ594" s="16"/>
      <c r="HK594" s="17"/>
      <c r="HO594" s="24"/>
      <c r="HP594" s="60"/>
      <c r="HQ594" s="16"/>
      <c r="HR594" s="16"/>
      <c r="HS594" s="16"/>
      <c r="HT594" s="16"/>
      <c r="HU594" s="16"/>
      <c r="HV594" s="17"/>
      <c r="HZ594" s="24"/>
      <c r="IA594" s="60"/>
      <c r="IB594" s="16"/>
      <c r="IC594" s="16"/>
      <c r="ID594" s="16"/>
      <c r="IE594" s="16"/>
      <c r="IF594" s="16"/>
      <c r="IG594" s="17"/>
      <c r="IK594" s="24"/>
      <c r="IL594" s="60"/>
      <c r="IM594" s="16"/>
      <c r="IN594" s="16"/>
      <c r="IO594" s="16"/>
      <c r="IP594" s="16"/>
      <c r="IQ594" s="16"/>
      <c r="IR594" s="17"/>
      <c r="IV594" s="24"/>
      <c r="IW594" s="60"/>
      <c r="IX594" s="16"/>
      <c r="IY594" s="16"/>
      <c r="IZ594" s="16"/>
      <c r="JA594" s="16"/>
      <c r="JB594" s="16"/>
      <c r="JC594" s="17"/>
      <c r="JG594" s="24"/>
      <c r="JH594" s="60"/>
      <c r="JI594" s="16"/>
      <c r="JJ594" s="16"/>
      <c r="JK594" s="16"/>
      <c r="JL594" s="16"/>
      <c r="JM594" s="16"/>
      <c r="JN594" s="17"/>
      <c r="JR594" s="24"/>
      <c r="JS594" s="60"/>
      <c r="JT594" s="16"/>
      <c r="JU594" s="16"/>
      <c r="JV594" s="16"/>
      <c r="JW594" s="16"/>
      <c r="JX594" s="16"/>
      <c r="JY594" s="17"/>
      <c r="KC594" s="24"/>
      <c r="KD594" s="60"/>
      <c r="KE594" s="16"/>
      <c r="KF594" s="16"/>
      <c r="KG594" s="16"/>
      <c r="KH594" s="16"/>
      <c r="KI594" s="16"/>
      <c r="KJ594" s="17"/>
      <c r="KN594" s="24"/>
      <c r="KO594" s="60"/>
      <c r="KP594" s="16"/>
      <c r="KQ594" s="16"/>
      <c r="KR594" s="16"/>
      <c r="KS594" s="16"/>
      <c r="KT594" s="16"/>
      <c r="KU594" s="17"/>
      <c r="KY594" s="24"/>
      <c r="KZ594" s="60"/>
      <c r="LA594" s="16"/>
      <c r="LB594" s="16"/>
      <c r="LC594" s="16"/>
      <c r="LD594" s="16"/>
      <c r="LE594" s="16"/>
      <c r="LF594" s="17"/>
      <c r="LJ594" s="24"/>
      <c r="LK594" s="60"/>
      <c r="LL594" s="16"/>
      <c r="LM594" s="16"/>
      <c r="LN594" s="16"/>
      <c r="LO594" s="16"/>
      <c r="LP594" s="16"/>
      <c r="LQ594" s="17"/>
    </row>
    <row r="595">
      <c r="C595" s="31"/>
      <c r="D595" s="61"/>
      <c r="E595" s="16"/>
      <c r="F595" s="16"/>
      <c r="G595" s="21"/>
      <c r="H595" s="16"/>
      <c r="I595" s="16"/>
      <c r="J595" s="17"/>
      <c r="N595" s="17"/>
      <c r="O595" s="61"/>
      <c r="P595" s="16"/>
      <c r="Q595" s="16"/>
      <c r="R595" s="16"/>
      <c r="S595" s="16"/>
      <c r="T595" s="16"/>
      <c r="U595" s="17"/>
      <c r="Y595" s="24"/>
      <c r="Z595" s="61"/>
      <c r="AA595" s="16"/>
      <c r="AB595" s="16"/>
      <c r="AC595" s="16"/>
      <c r="AD595" s="16"/>
      <c r="AE595" s="16"/>
      <c r="AF595" s="17"/>
      <c r="AJ595" s="24"/>
      <c r="AK595" s="61"/>
      <c r="AL595" s="16"/>
      <c r="AM595" s="16"/>
      <c r="AN595" s="16"/>
      <c r="AO595" s="16"/>
      <c r="AP595" s="16"/>
      <c r="AQ595" s="17"/>
      <c r="AU595" s="24"/>
      <c r="AV595" s="61"/>
      <c r="AW595" s="16"/>
      <c r="AX595" s="16"/>
      <c r="AY595" s="16"/>
      <c r="AZ595" s="16"/>
      <c r="BA595" s="16"/>
      <c r="BB595" s="17"/>
      <c r="BF595" s="24"/>
      <c r="BG595" s="61"/>
      <c r="BH595" s="16"/>
      <c r="BI595" s="16"/>
      <c r="BJ595" s="16"/>
      <c r="BK595" s="16"/>
      <c r="BL595" s="16"/>
      <c r="BM595" s="17"/>
      <c r="BQ595" s="24"/>
      <c r="BR595" s="61"/>
      <c r="BS595" s="16"/>
      <c r="BT595" s="16"/>
      <c r="BU595" s="16"/>
      <c r="BV595" s="16"/>
      <c r="BW595" s="16"/>
      <c r="BX595" s="17"/>
      <c r="CB595" s="24"/>
      <c r="CC595" s="61"/>
      <c r="CD595" s="16"/>
      <c r="CE595" s="16"/>
      <c r="CF595" s="16"/>
      <c r="CG595" s="16"/>
      <c r="CH595" s="16"/>
      <c r="CI595" s="17"/>
      <c r="CM595" s="24"/>
      <c r="CN595" s="61"/>
      <c r="CO595" s="16"/>
      <c r="CP595" s="16"/>
      <c r="CQ595" s="16"/>
      <c r="CR595" s="16"/>
      <c r="CS595" s="16"/>
      <c r="CT595" s="17"/>
      <c r="CX595" s="24"/>
      <c r="CY595" s="60"/>
      <c r="CZ595" s="16"/>
      <c r="DA595" s="16"/>
      <c r="DB595" s="16"/>
      <c r="DC595" s="16"/>
      <c r="DD595" s="16"/>
      <c r="DE595" s="17"/>
      <c r="DI595" s="24"/>
      <c r="DJ595" s="60"/>
      <c r="DK595" s="16"/>
      <c r="DL595" s="16"/>
      <c r="DM595" s="16"/>
      <c r="DN595" s="16"/>
      <c r="DO595" s="16"/>
      <c r="DP595" s="17"/>
      <c r="DT595" s="24"/>
      <c r="DU595" s="60"/>
      <c r="DV595" s="16"/>
      <c r="DW595" s="16"/>
      <c r="DX595" s="16"/>
      <c r="DY595" s="16"/>
      <c r="DZ595" s="16"/>
      <c r="EA595" s="17"/>
      <c r="EE595" s="24"/>
      <c r="EF595" s="60"/>
      <c r="EG595" s="16"/>
      <c r="EH595" s="16"/>
      <c r="EI595" s="16"/>
      <c r="EJ595" s="16"/>
      <c r="EK595" s="16"/>
      <c r="EL595" s="17"/>
      <c r="EP595" s="24"/>
      <c r="EQ595" s="60"/>
      <c r="ER595" s="16"/>
      <c r="ES595" s="16"/>
      <c r="ET595" s="16"/>
      <c r="EU595" s="16"/>
      <c r="EV595" s="16"/>
      <c r="EW595" s="17"/>
      <c r="FA595" s="24"/>
      <c r="FB595" s="60"/>
      <c r="FC595" s="16"/>
      <c r="FD595" s="16"/>
      <c r="FE595" s="16"/>
      <c r="FF595" s="16"/>
      <c r="FG595" s="16"/>
      <c r="FH595" s="17"/>
      <c r="FL595" s="24"/>
      <c r="FM595" s="60"/>
      <c r="FN595" s="16"/>
      <c r="FO595" s="16"/>
      <c r="FP595" s="16"/>
      <c r="FQ595" s="16"/>
      <c r="FR595" s="16"/>
      <c r="FS595" s="17"/>
      <c r="FW595" s="24"/>
      <c r="FX595" s="60"/>
      <c r="FY595" s="16"/>
      <c r="FZ595" s="16"/>
      <c r="GA595" s="16"/>
      <c r="GB595" s="16"/>
      <c r="GC595" s="16"/>
      <c r="GD595" s="17"/>
      <c r="GH595" s="24"/>
      <c r="GI595" s="60"/>
      <c r="GJ595" s="16"/>
      <c r="GK595" s="16"/>
      <c r="GL595" s="16"/>
      <c r="GM595" s="16"/>
      <c r="GN595" s="16"/>
      <c r="GO595" s="17"/>
      <c r="GS595" s="24"/>
      <c r="GT595" s="60"/>
      <c r="GU595" s="16"/>
      <c r="GV595" s="16"/>
      <c r="GW595" s="16"/>
      <c r="GX595" s="16"/>
      <c r="GY595" s="16"/>
      <c r="GZ595" s="17"/>
      <c r="HD595" s="24"/>
      <c r="HE595" s="60"/>
      <c r="HF595" s="16"/>
      <c r="HG595" s="16"/>
      <c r="HH595" s="16"/>
      <c r="HI595" s="16"/>
      <c r="HJ595" s="16"/>
      <c r="HK595" s="17"/>
      <c r="HO595" s="24"/>
      <c r="HP595" s="60"/>
      <c r="HQ595" s="16"/>
      <c r="HR595" s="16"/>
      <c r="HS595" s="16"/>
      <c r="HT595" s="16"/>
      <c r="HU595" s="16"/>
      <c r="HV595" s="17"/>
      <c r="HZ595" s="24"/>
      <c r="IA595" s="60"/>
      <c r="IB595" s="16"/>
      <c r="IC595" s="16"/>
      <c r="ID595" s="16"/>
      <c r="IE595" s="16"/>
      <c r="IF595" s="16"/>
      <c r="IG595" s="17"/>
      <c r="IK595" s="24"/>
      <c r="IL595" s="60"/>
      <c r="IM595" s="16"/>
      <c r="IN595" s="16"/>
      <c r="IO595" s="16"/>
      <c r="IP595" s="16"/>
      <c r="IQ595" s="16"/>
      <c r="IR595" s="17"/>
      <c r="IV595" s="24"/>
      <c r="IW595" s="60"/>
      <c r="IX595" s="16"/>
      <c r="IY595" s="16"/>
      <c r="IZ595" s="16"/>
      <c r="JA595" s="16"/>
      <c r="JB595" s="16"/>
      <c r="JC595" s="17"/>
      <c r="JG595" s="24"/>
      <c r="JH595" s="60"/>
      <c r="JI595" s="16"/>
      <c r="JJ595" s="16"/>
      <c r="JK595" s="16"/>
      <c r="JL595" s="16"/>
      <c r="JM595" s="16"/>
      <c r="JN595" s="17"/>
      <c r="JR595" s="24"/>
      <c r="JS595" s="60"/>
      <c r="JT595" s="16"/>
      <c r="JU595" s="16"/>
      <c r="JV595" s="16"/>
      <c r="JW595" s="16"/>
      <c r="JX595" s="16"/>
      <c r="JY595" s="17"/>
      <c r="KC595" s="24"/>
      <c r="KD595" s="60"/>
      <c r="KE595" s="16"/>
      <c r="KF595" s="16"/>
      <c r="KG595" s="16"/>
      <c r="KH595" s="16"/>
      <c r="KI595" s="16"/>
      <c r="KJ595" s="17"/>
      <c r="KN595" s="24"/>
      <c r="KO595" s="60"/>
      <c r="KP595" s="16"/>
      <c r="KQ595" s="16"/>
      <c r="KR595" s="16"/>
      <c r="KS595" s="16"/>
      <c r="KT595" s="16"/>
      <c r="KU595" s="17"/>
      <c r="KY595" s="24"/>
      <c r="KZ595" s="60"/>
      <c r="LA595" s="16"/>
      <c r="LB595" s="16"/>
      <c r="LC595" s="16"/>
      <c r="LD595" s="16"/>
      <c r="LE595" s="16"/>
      <c r="LF595" s="17"/>
      <c r="LJ595" s="24"/>
      <c r="LK595" s="60"/>
      <c r="LL595" s="16"/>
      <c r="LM595" s="16"/>
      <c r="LN595" s="16"/>
      <c r="LO595" s="16"/>
      <c r="LP595" s="16"/>
      <c r="LQ595" s="17"/>
    </row>
    <row r="596">
      <c r="C596" s="31"/>
      <c r="D596" s="61"/>
      <c r="E596" s="16"/>
      <c r="F596" s="16"/>
      <c r="G596" s="21"/>
      <c r="H596" s="16"/>
      <c r="I596" s="16"/>
      <c r="J596" s="17"/>
      <c r="N596" s="17"/>
      <c r="O596" s="61"/>
      <c r="P596" s="16"/>
      <c r="Q596" s="16"/>
      <c r="R596" s="16"/>
      <c r="S596" s="16"/>
      <c r="T596" s="16"/>
      <c r="U596" s="17"/>
      <c r="Y596" s="24"/>
      <c r="Z596" s="61"/>
      <c r="AA596" s="16"/>
      <c r="AB596" s="16"/>
      <c r="AC596" s="16"/>
      <c r="AD596" s="16"/>
      <c r="AE596" s="16"/>
      <c r="AF596" s="17"/>
      <c r="AJ596" s="24"/>
      <c r="AK596" s="61"/>
      <c r="AL596" s="16"/>
      <c r="AM596" s="16"/>
      <c r="AN596" s="16"/>
      <c r="AO596" s="16"/>
      <c r="AP596" s="16"/>
      <c r="AQ596" s="17"/>
      <c r="AU596" s="24"/>
      <c r="AV596" s="61"/>
      <c r="AW596" s="16"/>
      <c r="AX596" s="16"/>
      <c r="AY596" s="16"/>
      <c r="AZ596" s="16"/>
      <c r="BA596" s="16"/>
      <c r="BB596" s="17"/>
      <c r="BF596" s="24"/>
      <c r="BG596" s="61"/>
      <c r="BH596" s="16"/>
      <c r="BI596" s="16"/>
      <c r="BJ596" s="16"/>
      <c r="BK596" s="16"/>
      <c r="BL596" s="16"/>
      <c r="BM596" s="17"/>
      <c r="BQ596" s="24"/>
      <c r="BR596" s="61"/>
      <c r="BS596" s="16"/>
      <c r="BT596" s="16"/>
      <c r="BU596" s="16"/>
      <c r="BV596" s="16"/>
      <c r="BW596" s="16"/>
      <c r="BX596" s="17"/>
      <c r="CB596" s="24"/>
      <c r="CC596" s="61"/>
      <c r="CD596" s="16"/>
      <c r="CE596" s="16"/>
      <c r="CF596" s="16"/>
      <c r="CG596" s="16"/>
      <c r="CH596" s="16"/>
      <c r="CI596" s="17"/>
      <c r="CM596" s="24"/>
      <c r="CN596" s="61"/>
      <c r="CO596" s="16"/>
      <c r="CP596" s="16"/>
      <c r="CQ596" s="16"/>
      <c r="CR596" s="16"/>
      <c r="CS596" s="16"/>
      <c r="CT596" s="17"/>
      <c r="CX596" s="24"/>
      <c r="CY596" s="60"/>
      <c r="CZ596" s="16"/>
      <c r="DA596" s="16"/>
      <c r="DB596" s="16"/>
      <c r="DC596" s="16"/>
      <c r="DD596" s="16"/>
      <c r="DE596" s="17"/>
      <c r="DI596" s="24"/>
      <c r="DJ596" s="60"/>
      <c r="DK596" s="16"/>
      <c r="DL596" s="16"/>
      <c r="DM596" s="16"/>
      <c r="DN596" s="16"/>
      <c r="DO596" s="16"/>
      <c r="DP596" s="17"/>
      <c r="DT596" s="24"/>
      <c r="DU596" s="60"/>
      <c r="DV596" s="16"/>
      <c r="DW596" s="16"/>
      <c r="DX596" s="16"/>
      <c r="DY596" s="16"/>
      <c r="DZ596" s="16"/>
      <c r="EA596" s="17"/>
      <c r="EE596" s="24"/>
      <c r="EF596" s="60"/>
      <c r="EG596" s="16"/>
      <c r="EH596" s="16"/>
      <c r="EI596" s="16"/>
      <c r="EJ596" s="16"/>
      <c r="EK596" s="16"/>
      <c r="EL596" s="17"/>
      <c r="EP596" s="24"/>
      <c r="EQ596" s="60"/>
      <c r="ER596" s="16"/>
      <c r="ES596" s="16"/>
      <c r="ET596" s="16"/>
      <c r="EU596" s="16"/>
      <c r="EV596" s="16"/>
      <c r="EW596" s="17"/>
      <c r="FA596" s="24"/>
      <c r="FB596" s="60"/>
      <c r="FC596" s="16"/>
      <c r="FD596" s="16"/>
      <c r="FE596" s="16"/>
      <c r="FF596" s="16"/>
      <c r="FG596" s="16"/>
      <c r="FH596" s="17"/>
      <c r="FL596" s="24"/>
      <c r="FM596" s="60"/>
      <c r="FN596" s="16"/>
      <c r="FO596" s="16"/>
      <c r="FP596" s="16"/>
      <c r="FQ596" s="16"/>
      <c r="FR596" s="16"/>
      <c r="FS596" s="17"/>
      <c r="FW596" s="24"/>
      <c r="FX596" s="60"/>
      <c r="FY596" s="16"/>
      <c r="FZ596" s="16"/>
      <c r="GA596" s="16"/>
      <c r="GB596" s="16"/>
      <c r="GC596" s="16"/>
      <c r="GD596" s="17"/>
      <c r="GH596" s="24"/>
      <c r="GI596" s="60"/>
      <c r="GJ596" s="16"/>
      <c r="GK596" s="16"/>
      <c r="GL596" s="16"/>
      <c r="GM596" s="16"/>
      <c r="GN596" s="16"/>
      <c r="GO596" s="17"/>
      <c r="GS596" s="24"/>
      <c r="GT596" s="60"/>
      <c r="GU596" s="16"/>
      <c r="GV596" s="16"/>
      <c r="GW596" s="16"/>
      <c r="GX596" s="16"/>
      <c r="GY596" s="16"/>
      <c r="GZ596" s="17"/>
      <c r="HD596" s="24"/>
      <c r="HE596" s="60"/>
      <c r="HF596" s="16"/>
      <c r="HG596" s="16"/>
      <c r="HH596" s="16"/>
      <c r="HI596" s="16"/>
      <c r="HJ596" s="16"/>
      <c r="HK596" s="17"/>
      <c r="HO596" s="24"/>
      <c r="HP596" s="60"/>
      <c r="HQ596" s="16"/>
      <c r="HR596" s="16"/>
      <c r="HS596" s="16"/>
      <c r="HT596" s="16"/>
      <c r="HU596" s="16"/>
      <c r="HV596" s="17"/>
      <c r="HZ596" s="24"/>
      <c r="IA596" s="60"/>
      <c r="IB596" s="16"/>
      <c r="IC596" s="16"/>
      <c r="ID596" s="16"/>
      <c r="IE596" s="16"/>
      <c r="IF596" s="16"/>
      <c r="IG596" s="17"/>
      <c r="IK596" s="24"/>
      <c r="IL596" s="60"/>
      <c r="IM596" s="16"/>
      <c r="IN596" s="16"/>
      <c r="IO596" s="16"/>
      <c r="IP596" s="16"/>
      <c r="IQ596" s="16"/>
      <c r="IR596" s="17"/>
      <c r="IV596" s="24"/>
      <c r="IW596" s="60"/>
      <c r="IX596" s="16"/>
      <c r="IY596" s="16"/>
      <c r="IZ596" s="16"/>
      <c r="JA596" s="16"/>
      <c r="JB596" s="16"/>
      <c r="JC596" s="17"/>
      <c r="JG596" s="24"/>
      <c r="JH596" s="60"/>
      <c r="JI596" s="16"/>
      <c r="JJ596" s="16"/>
      <c r="JK596" s="16"/>
      <c r="JL596" s="16"/>
      <c r="JM596" s="16"/>
      <c r="JN596" s="17"/>
      <c r="JR596" s="24"/>
      <c r="JS596" s="60"/>
      <c r="JT596" s="16"/>
      <c r="JU596" s="16"/>
      <c r="JV596" s="16"/>
      <c r="JW596" s="16"/>
      <c r="JX596" s="16"/>
      <c r="JY596" s="17"/>
      <c r="KC596" s="24"/>
      <c r="KD596" s="60"/>
      <c r="KE596" s="16"/>
      <c r="KF596" s="16"/>
      <c r="KG596" s="16"/>
      <c r="KH596" s="16"/>
      <c r="KI596" s="16"/>
      <c r="KJ596" s="17"/>
      <c r="KN596" s="24"/>
      <c r="KO596" s="60"/>
      <c r="KP596" s="16"/>
      <c r="KQ596" s="16"/>
      <c r="KR596" s="16"/>
      <c r="KS596" s="16"/>
      <c r="KT596" s="16"/>
      <c r="KU596" s="17"/>
      <c r="KY596" s="24"/>
      <c r="KZ596" s="60"/>
      <c r="LA596" s="16"/>
      <c r="LB596" s="16"/>
      <c r="LC596" s="16"/>
      <c r="LD596" s="16"/>
      <c r="LE596" s="16"/>
      <c r="LF596" s="17"/>
      <c r="LJ596" s="24"/>
      <c r="LK596" s="60"/>
      <c r="LL596" s="16"/>
      <c r="LM596" s="16"/>
      <c r="LN596" s="16"/>
      <c r="LO596" s="16"/>
      <c r="LP596" s="16"/>
      <c r="LQ596" s="17"/>
    </row>
    <row r="597">
      <c r="C597" s="31"/>
      <c r="D597" s="61"/>
      <c r="E597" s="16"/>
      <c r="F597" s="16"/>
      <c r="G597" s="21"/>
      <c r="H597" s="16"/>
      <c r="I597" s="16"/>
      <c r="J597" s="17"/>
      <c r="N597" s="17"/>
      <c r="O597" s="61"/>
      <c r="P597" s="16"/>
      <c r="Q597" s="16"/>
      <c r="R597" s="16"/>
      <c r="S597" s="16"/>
      <c r="T597" s="16"/>
      <c r="U597" s="17"/>
      <c r="Y597" s="24"/>
      <c r="Z597" s="61"/>
      <c r="AA597" s="16"/>
      <c r="AB597" s="16"/>
      <c r="AC597" s="16"/>
      <c r="AD597" s="16"/>
      <c r="AE597" s="16"/>
      <c r="AF597" s="17"/>
      <c r="AJ597" s="24"/>
      <c r="AK597" s="61"/>
      <c r="AL597" s="16"/>
      <c r="AM597" s="16"/>
      <c r="AN597" s="16"/>
      <c r="AO597" s="16"/>
      <c r="AP597" s="16"/>
      <c r="AQ597" s="17"/>
      <c r="AU597" s="24"/>
      <c r="AV597" s="61"/>
      <c r="AW597" s="16"/>
      <c r="AX597" s="16"/>
      <c r="AY597" s="16"/>
      <c r="AZ597" s="16"/>
      <c r="BA597" s="16"/>
      <c r="BB597" s="17"/>
      <c r="BF597" s="24"/>
      <c r="BG597" s="61"/>
      <c r="BH597" s="16"/>
      <c r="BI597" s="16"/>
      <c r="BJ597" s="16"/>
      <c r="BK597" s="16"/>
      <c r="BL597" s="16"/>
      <c r="BM597" s="17"/>
      <c r="BQ597" s="24"/>
      <c r="BR597" s="61"/>
      <c r="BS597" s="16"/>
      <c r="BT597" s="16"/>
      <c r="BU597" s="16"/>
      <c r="BV597" s="16"/>
      <c r="BW597" s="16"/>
      <c r="BX597" s="17"/>
      <c r="CB597" s="24"/>
      <c r="CC597" s="61"/>
      <c r="CD597" s="16"/>
      <c r="CE597" s="16"/>
      <c r="CF597" s="16"/>
      <c r="CG597" s="16"/>
      <c r="CH597" s="16"/>
      <c r="CI597" s="17"/>
      <c r="CM597" s="24"/>
      <c r="CN597" s="61"/>
      <c r="CO597" s="16"/>
      <c r="CP597" s="16"/>
      <c r="CQ597" s="16"/>
      <c r="CR597" s="16"/>
      <c r="CS597" s="16"/>
      <c r="CT597" s="17"/>
      <c r="CX597" s="24"/>
      <c r="CY597" s="60"/>
      <c r="CZ597" s="16"/>
      <c r="DA597" s="16"/>
      <c r="DB597" s="16"/>
      <c r="DC597" s="16"/>
      <c r="DD597" s="16"/>
      <c r="DE597" s="17"/>
      <c r="DI597" s="24"/>
      <c r="DJ597" s="60"/>
      <c r="DK597" s="16"/>
      <c r="DL597" s="16"/>
      <c r="DM597" s="16"/>
      <c r="DN597" s="16"/>
      <c r="DO597" s="16"/>
      <c r="DP597" s="17"/>
      <c r="DT597" s="24"/>
      <c r="DU597" s="60"/>
      <c r="DV597" s="16"/>
      <c r="DW597" s="16"/>
      <c r="DX597" s="16"/>
      <c r="DY597" s="16"/>
      <c r="DZ597" s="16"/>
      <c r="EA597" s="17"/>
      <c r="EE597" s="24"/>
      <c r="EF597" s="60"/>
      <c r="EG597" s="16"/>
      <c r="EH597" s="16"/>
      <c r="EI597" s="16"/>
      <c r="EJ597" s="16"/>
      <c r="EK597" s="16"/>
      <c r="EL597" s="17"/>
      <c r="EP597" s="24"/>
      <c r="EQ597" s="60"/>
      <c r="ER597" s="16"/>
      <c r="ES597" s="16"/>
      <c r="ET597" s="16"/>
      <c r="EU597" s="16"/>
      <c r="EV597" s="16"/>
      <c r="EW597" s="17"/>
      <c r="FA597" s="24"/>
      <c r="FB597" s="60"/>
      <c r="FC597" s="16"/>
      <c r="FD597" s="16"/>
      <c r="FE597" s="16"/>
      <c r="FF597" s="16"/>
      <c r="FG597" s="16"/>
      <c r="FH597" s="17"/>
      <c r="FL597" s="24"/>
      <c r="FM597" s="60"/>
      <c r="FN597" s="16"/>
      <c r="FO597" s="16"/>
      <c r="FP597" s="16"/>
      <c r="FQ597" s="16"/>
      <c r="FR597" s="16"/>
      <c r="FS597" s="17"/>
      <c r="FW597" s="24"/>
      <c r="FX597" s="60"/>
      <c r="FY597" s="16"/>
      <c r="FZ597" s="16"/>
      <c r="GA597" s="16"/>
      <c r="GB597" s="16"/>
      <c r="GC597" s="16"/>
      <c r="GD597" s="17"/>
      <c r="GH597" s="24"/>
      <c r="GI597" s="60"/>
      <c r="GJ597" s="16"/>
      <c r="GK597" s="16"/>
      <c r="GL597" s="16"/>
      <c r="GM597" s="16"/>
      <c r="GN597" s="16"/>
      <c r="GO597" s="17"/>
      <c r="GS597" s="24"/>
      <c r="GT597" s="60"/>
      <c r="GU597" s="16"/>
      <c r="GV597" s="16"/>
      <c r="GW597" s="16"/>
      <c r="GX597" s="16"/>
      <c r="GY597" s="16"/>
      <c r="GZ597" s="17"/>
      <c r="HD597" s="24"/>
      <c r="HE597" s="60"/>
      <c r="HF597" s="16"/>
      <c r="HG597" s="16"/>
      <c r="HH597" s="16"/>
      <c r="HI597" s="16"/>
      <c r="HJ597" s="16"/>
      <c r="HK597" s="17"/>
      <c r="HO597" s="24"/>
      <c r="HP597" s="60"/>
      <c r="HQ597" s="16"/>
      <c r="HR597" s="16"/>
      <c r="HS597" s="16"/>
      <c r="HT597" s="16"/>
      <c r="HU597" s="16"/>
      <c r="HV597" s="17"/>
      <c r="HZ597" s="24"/>
      <c r="IA597" s="60"/>
      <c r="IB597" s="16"/>
      <c r="IC597" s="16"/>
      <c r="ID597" s="16"/>
      <c r="IE597" s="16"/>
      <c r="IF597" s="16"/>
      <c r="IG597" s="17"/>
      <c r="IK597" s="24"/>
      <c r="IL597" s="60"/>
      <c r="IM597" s="16"/>
      <c r="IN597" s="16"/>
      <c r="IO597" s="16"/>
      <c r="IP597" s="16"/>
      <c r="IQ597" s="16"/>
      <c r="IR597" s="17"/>
      <c r="IV597" s="24"/>
      <c r="IW597" s="60"/>
      <c r="IX597" s="16"/>
      <c r="IY597" s="16"/>
      <c r="IZ597" s="16"/>
      <c r="JA597" s="16"/>
      <c r="JB597" s="16"/>
      <c r="JC597" s="17"/>
      <c r="JG597" s="24"/>
      <c r="JH597" s="60"/>
      <c r="JI597" s="16"/>
      <c r="JJ597" s="16"/>
      <c r="JK597" s="16"/>
      <c r="JL597" s="16"/>
      <c r="JM597" s="16"/>
      <c r="JN597" s="17"/>
      <c r="JR597" s="24"/>
      <c r="JS597" s="60"/>
      <c r="JT597" s="16"/>
      <c r="JU597" s="16"/>
      <c r="JV597" s="16"/>
      <c r="JW597" s="16"/>
      <c r="JX597" s="16"/>
      <c r="JY597" s="17"/>
      <c r="KC597" s="24"/>
      <c r="KD597" s="60"/>
      <c r="KE597" s="16"/>
      <c r="KF597" s="16"/>
      <c r="KG597" s="16"/>
      <c r="KH597" s="16"/>
      <c r="KI597" s="16"/>
      <c r="KJ597" s="17"/>
      <c r="KN597" s="24"/>
      <c r="KO597" s="60"/>
      <c r="KP597" s="16"/>
      <c r="KQ597" s="16"/>
      <c r="KR597" s="16"/>
      <c r="KS597" s="16"/>
      <c r="KT597" s="16"/>
      <c r="KU597" s="17"/>
      <c r="KY597" s="24"/>
      <c r="KZ597" s="60"/>
      <c r="LA597" s="16"/>
      <c r="LB597" s="16"/>
      <c r="LC597" s="16"/>
      <c r="LD597" s="16"/>
      <c r="LE597" s="16"/>
      <c r="LF597" s="17"/>
      <c r="LJ597" s="24"/>
      <c r="LK597" s="60"/>
      <c r="LL597" s="16"/>
      <c r="LM597" s="16"/>
      <c r="LN597" s="16"/>
      <c r="LO597" s="16"/>
      <c r="LP597" s="16"/>
      <c r="LQ597" s="17"/>
    </row>
    <row r="598">
      <c r="C598" s="31"/>
      <c r="D598" s="61"/>
      <c r="E598" s="16"/>
      <c r="F598" s="16"/>
      <c r="G598" s="21"/>
      <c r="H598" s="16"/>
      <c r="I598" s="16"/>
      <c r="J598" s="17"/>
      <c r="N598" s="17"/>
      <c r="O598" s="61"/>
      <c r="P598" s="16"/>
      <c r="Q598" s="16"/>
      <c r="R598" s="16"/>
      <c r="S598" s="16"/>
      <c r="T598" s="16"/>
      <c r="U598" s="17"/>
      <c r="Y598" s="24"/>
      <c r="Z598" s="61"/>
      <c r="AA598" s="16"/>
      <c r="AB598" s="16"/>
      <c r="AC598" s="16"/>
      <c r="AD598" s="16"/>
      <c r="AE598" s="16"/>
      <c r="AF598" s="17"/>
      <c r="AJ598" s="24"/>
      <c r="AK598" s="61"/>
      <c r="AL598" s="16"/>
      <c r="AM598" s="16"/>
      <c r="AN598" s="16"/>
      <c r="AO598" s="16"/>
      <c r="AP598" s="16"/>
      <c r="AQ598" s="17"/>
      <c r="AU598" s="24"/>
      <c r="AV598" s="61"/>
      <c r="AW598" s="16"/>
      <c r="AX598" s="16"/>
      <c r="AY598" s="16"/>
      <c r="AZ598" s="16"/>
      <c r="BA598" s="16"/>
      <c r="BB598" s="17"/>
      <c r="BF598" s="24"/>
      <c r="BG598" s="61"/>
      <c r="BH598" s="16"/>
      <c r="BI598" s="16"/>
      <c r="BJ598" s="16"/>
      <c r="BK598" s="16"/>
      <c r="BL598" s="16"/>
      <c r="BM598" s="17"/>
      <c r="BQ598" s="24"/>
      <c r="BR598" s="61"/>
      <c r="BS598" s="16"/>
      <c r="BT598" s="16"/>
      <c r="BU598" s="16"/>
      <c r="BV598" s="16"/>
      <c r="BW598" s="16"/>
      <c r="BX598" s="17"/>
      <c r="CB598" s="24"/>
      <c r="CC598" s="61"/>
      <c r="CD598" s="16"/>
      <c r="CE598" s="16"/>
      <c r="CF598" s="16"/>
      <c r="CG598" s="16"/>
      <c r="CH598" s="16"/>
      <c r="CI598" s="17"/>
      <c r="CM598" s="24"/>
      <c r="CN598" s="61"/>
      <c r="CO598" s="16"/>
      <c r="CP598" s="16"/>
      <c r="CQ598" s="16"/>
      <c r="CR598" s="16"/>
      <c r="CS598" s="16"/>
      <c r="CT598" s="17"/>
      <c r="CX598" s="24"/>
      <c r="CY598" s="60"/>
      <c r="CZ598" s="16"/>
      <c r="DA598" s="16"/>
      <c r="DB598" s="16"/>
      <c r="DC598" s="16"/>
      <c r="DD598" s="16"/>
      <c r="DE598" s="17"/>
      <c r="DI598" s="24"/>
      <c r="DJ598" s="60"/>
      <c r="DK598" s="16"/>
      <c r="DL598" s="16"/>
      <c r="DM598" s="16"/>
      <c r="DN598" s="16"/>
      <c r="DO598" s="16"/>
      <c r="DP598" s="17"/>
      <c r="DT598" s="24"/>
      <c r="DU598" s="60"/>
      <c r="DV598" s="16"/>
      <c r="DW598" s="16"/>
      <c r="DX598" s="16"/>
      <c r="DY598" s="16"/>
      <c r="DZ598" s="16"/>
      <c r="EA598" s="17"/>
      <c r="EE598" s="24"/>
      <c r="EF598" s="60"/>
      <c r="EG598" s="16"/>
      <c r="EH598" s="16"/>
      <c r="EI598" s="16"/>
      <c r="EJ598" s="16"/>
      <c r="EK598" s="16"/>
      <c r="EL598" s="17"/>
      <c r="EP598" s="24"/>
      <c r="EQ598" s="60"/>
      <c r="ER598" s="16"/>
      <c r="ES598" s="16"/>
      <c r="ET598" s="16"/>
      <c r="EU598" s="16"/>
      <c r="EV598" s="16"/>
      <c r="EW598" s="17"/>
      <c r="FA598" s="24"/>
      <c r="FB598" s="60"/>
      <c r="FC598" s="16"/>
      <c r="FD598" s="16"/>
      <c r="FE598" s="16"/>
      <c r="FF598" s="16"/>
      <c r="FG598" s="16"/>
      <c r="FH598" s="17"/>
      <c r="FL598" s="24"/>
      <c r="FM598" s="60"/>
      <c r="FN598" s="16"/>
      <c r="FO598" s="16"/>
      <c r="FP598" s="16"/>
      <c r="FQ598" s="16"/>
      <c r="FR598" s="16"/>
      <c r="FS598" s="17"/>
      <c r="FW598" s="24"/>
      <c r="FX598" s="60"/>
      <c r="FY598" s="16"/>
      <c r="FZ598" s="16"/>
      <c r="GA598" s="16"/>
      <c r="GB598" s="16"/>
      <c r="GC598" s="16"/>
      <c r="GD598" s="17"/>
      <c r="GH598" s="24"/>
      <c r="GI598" s="60"/>
      <c r="GJ598" s="16"/>
      <c r="GK598" s="16"/>
      <c r="GL598" s="16"/>
      <c r="GM598" s="16"/>
      <c r="GN598" s="16"/>
      <c r="GO598" s="17"/>
      <c r="GS598" s="24"/>
      <c r="GT598" s="60"/>
      <c r="GU598" s="16"/>
      <c r="GV598" s="16"/>
      <c r="GW598" s="16"/>
      <c r="GX598" s="16"/>
      <c r="GY598" s="16"/>
      <c r="GZ598" s="17"/>
      <c r="HD598" s="24"/>
      <c r="HE598" s="60"/>
      <c r="HF598" s="16"/>
      <c r="HG598" s="16"/>
      <c r="HH598" s="16"/>
      <c r="HI598" s="16"/>
      <c r="HJ598" s="16"/>
      <c r="HK598" s="17"/>
      <c r="HO598" s="24"/>
      <c r="HP598" s="60"/>
      <c r="HQ598" s="16"/>
      <c r="HR598" s="16"/>
      <c r="HS598" s="16"/>
      <c r="HT598" s="16"/>
      <c r="HU598" s="16"/>
      <c r="HV598" s="17"/>
      <c r="HZ598" s="24"/>
      <c r="IA598" s="60"/>
      <c r="IB598" s="16"/>
      <c r="IC598" s="16"/>
      <c r="ID598" s="16"/>
      <c r="IE598" s="16"/>
      <c r="IF598" s="16"/>
      <c r="IG598" s="17"/>
      <c r="IK598" s="24"/>
      <c r="IL598" s="60"/>
      <c r="IM598" s="16"/>
      <c r="IN598" s="16"/>
      <c r="IO598" s="16"/>
      <c r="IP598" s="16"/>
      <c r="IQ598" s="16"/>
      <c r="IR598" s="17"/>
      <c r="IV598" s="24"/>
      <c r="IW598" s="60"/>
      <c r="IX598" s="16"/>
      <c r="IY598" s="16"/>
      <c r="IZ598" s="16"/>
      <c r="JA598" s="16"/>
      <c r="JB598" s="16"/>
      <c r="JC598" s="17"/>
      <c r="JG598" s="24"/>
      <c r="JH598" s="60"/>
      <c r="JI598" s="16"/>
      <c r="JJ598" s="16"/>
      <c r="JK598" s="16"/>
      <c r="JL598" s="16"/>
      <c r="JM598" s="16"/>
      <c r="JN598" s="17"/>
      <c r="JR598" s="24"/>
      <c r="JS598" s="60"/>
      <c r="JT598" s="16"/>
      <c r="JU598" s="16"/>
      <c r="JV598" s="16"/>
      <c r="JW598" s="16"/>
      <c r="JX598" s="16"/>
      <c r="JY598" s="17"/>
      <c r="KC598" s="24"/>
      <c r="KD598" s="60"/>
      <c r="KE598" s="16"/>
      <c r="KF598" s="16"/>
      <c r="KG598" s="16"/>
      <c r="KH598" s="16"/>
      <c r="KI598" s="16"/>
      <c r="KJ598" s="17"/>
      <c r="KN598" s="24"/>
      <c r="KO598" s="60"/>
      <c r="KP598" s="16"/>
      <c r="KQ598" s="16"/>
      <c r="KR598" s="16"/>
      <c r="KS598" s="16"/>
      <c r="KT598" s="16"/>
      <c r="KU598" s="17"/>
      <c r="KY598" s="24"/>
      <c r="KZ598" s="60"/>
      <c r="LA598" s="16"/>
      <c r="LB598" s="16"/>
      <c r="LC598" s="16"/>
      <c r="LD598" s="16"/>
      <c r="LE598" s="16"/>
      <c r="LF598" s="17"/>
      <c r="LJ598" s="24"/>
      <c r="LK598" s="60"/>
      <c r="LL598" s="16"/>
      <c r="LM598" s="16"/>
      <c r="LN598" s="16"/>
      <c r="LO598" s="16"/>
      <c r="LP598" s="16"/>
      <c r="LQ598" s="17"/>
    </row>
    <row r="599">
      <c r="C599" s="31"/>
      <c r="D599" s="61"/>
      <c r="E599" s="16"/>
      <c r="F599" s="16"/>
      <c r="G599" s="21"/>
      <c r="H599" s="16"/>
      <c r="I599" s="16"/>
      <c r="J599" s="17"/>
      <c r="N599" s="17"/>
      <c r="O599" s="61"/>
      <c r="P599" s="16"/>
      <c r="Q599" s="16"/>
      <c r="R599" s="16"/>
      <c r="S599" s="16"/>
      <c r="T599" s="16"/>
      <c r="U599" s="17"/>
      <c r="Y599" s="24"/>
      <c r="Z599" s="61"/>
      <c r="AA599" s="16"/>
      <c r="AB599" s="16"/>
      <c r="AC599" s="16"/>
      <c r="AD599" s="16"/>
      <c r="AE599" s="16"/>
      <c r="AF599" s="17"/>
      <c r="AJ599" s="24"/>
      <c r="AK599" s="61"/>
      <c r="AL599" s="16"/>
      <c r="AM599" s="16"/>
      <c r="AN599" s="16"/>
      <c r="AO599" s="16"/>
      <c r="AP599" s="16"/>
      <c r="AQ599" s="17"/>
      <c r="AU599" s="24"/>
      <c r="AV599" s="61"/>
      <c r="AW599" s="16"/>
      <c r="AX599" s="16"/>
      <c r="AY599" s="16"/>
      <c r="AZ599" s="16"/>
      <c r="BA599" s="16"/>
      <c r="BB599" s="17"/>
      <c r="BF599" s="24"/>
      <c r="BG599" s="61"/>
      <c r="BH599" s="16"/>
      <c r="BI599" s="16"/>
      <c r="BJ599" s="16"/>
      <c r="BK599" s="16"/>
      <c r="BL599" s="16"/>
      <c r="BM599" s="17"/>
      <c r="BQ599" s="24"/>
      <c r="BR599" s="61"/>
      <c r="BS599" s="16"/>
      <c r="BT599" s="16"/>
      <c r="BU599" s="16"/>
      <c r="BV599" s="16"/>
      <c r="BW599" s="16"/>
      <c r="BX599" s="17"/>
      <c r="CB599" s="24"/>
      <c r="CC599" s="61"/>
      <c r="CD599" s="16"/>
      <c r="CE599" s="16"/>
      <c r="CF599" s="16"/>
      <c r="CG599" s="16"/>
      <c r="CH599" s="16"/>
      <c r="CI599" s="17"/>
      <c r="CM599" s="24"/>
      <c r="CN599" s="61"/>
      <c r="CO599" s="16"/>
      <c r="CP599" s="16"/>
      <c r="CQ599" s="16"/>
      <c r="CR599" s="16"/>
      <c r="CS599" s="16"/>
      <c r="CT599" s="17"/>
      <c r="CX599" s="24"/>
      <c r="CY599" s="60"/>
      <c r="CZ599" s="16"/>
      <c r="DA599" s="16"/>
      <c r="DB599" s="16"/>
      <c r="DC599" s="16"/>
      <c r="DD599" s="16"/>
      <c r="DE599" s="17"/>
      <c r="DI599" s="24"/>
      <c r="DJ599" s="60"/>
      <c r="DK599" s="16"/>
      <c r="DL599" s="16"/>
      <c r="DM599" s="16"/>
      <c r="DN599" s="16"/>
      <c r="DO599" s="16"/>
      <c r="DP599" s="17"/>
      <c r="DT599" s="24"/>
      <c r="DU599" s="60"/>
      <c r="DV599" s="16"/>
      <c r="DW599" s="16"/>
      <c r="DX599" s="16"/>
      <c r="DY599" s="16"/>
      <c r="DZ599" s="16"/>
      <c r="EA599" s="17"/>
      <c r="EE599" s="24"/>
      <c r="EF599" s="60"/>
      <c r="EG599" s="16"/>
      <c r="EH599" s="16"/>
      <c r="EI599" s="16"/>
      <c r="EJ599" s="16"/>
      <c r="EK599" s="16"/>
      <c r="EL599" s="17"/>
      <c r="EP599" s="24"/>
      <c r="EQ599" s="60"/>
      <c r="ER599" s="16"/>
      <c r="ES599" s="16"/>
      <c r="ET599" s="16"/>
      <c r="EU599" s="16"/>
      <c r="EV599" s="16"/>
      <c r="EW599" s="17"/>
      <c r="FA599" s="24"/>
      <c r="FB599" s="60"/>
      <c r="FC599" s="16"/>
      <c r="FD599" s="16"/>
      <c r="FE599" s="16"/>
      <c r="FF599" s="16"/>
      <c r="FG599" s="16"/>
      <c r="FH599" s="17"/>
      <c r="FL599" s="24"/>
      <c r="FM599" s="60"/>
      <c r="FN599" s="16"/>
      <c r="FO599" s="16"/>
      <c r="FP599" s="16"/>
      <c r="FQ599" s="16"/>
      <c r="FR599" s="16"/>
      <c r="FS599" s="17"/>
      <c r="FW599" s="24"/>
      <c r="FX599" s="60"/>
      <c r="FY599" s="16"/>
      <c r="FZ599" s="16"/>
      <c r="GA599" s="16"/>
      <c r="GB599" s="16"/>
      <c r="GC599" s="16"/>
      <c r="GD599" s="17"/>
      <c r="GH599" s="24"/>
      <c r="GI599" s="60"/>
      <c r="GJ599" s="16"/>
      <c r="GK599" s="16"/>
      <c r="GL599" s="16"/>
      <c r="GM599" s="16"/>
      <c r="GN599" s="16"/>
      <c r="GO599" s="17"/>
      <c r="GS599" s="24"/>
      <c r="GT599" s="60"/>
      <c r="GU599" s="16"/>
      <c r="GV599" s="16"/>
      <c r="GW599" s="16"/>
      <c r="GX599" s="16"/>
      <c r="GY599" s="16"/>
      <c r="GZ599" s="17"/>
      <c r="HD599" s="24"/>
      <c r="HE599" s="60"/>
      <c r="HF599" s="16"/>
      <c r="HG599" s="16"/>
      <c r="HH599" s="16"/>
      <c r="HI599" s="16"/>
      <c r="HJ599" s="16"/>
      <c r="HK599" s="17"/>
      <c r="HO599" s="24"/>
      <c r="HP599" s="60"/>
      <c r="HQ599" s="16"/>
      <c r="HR599" s="16"/>
      <c r="HS599" s="16"/>
      <c r="HT599" s="16"/>
      <c r="HU599" s="16"/>
      <c r="HV599" s="17"/>
      <c r="HZ599" s="24"/>
      <c r="IA599" s="60"/>
      <c r="IB599" s="16"/>
      <c r="IC599" s="16"/>
      <c r="ID599" s="16"/>
      <c r="IE599" s="16"/>
      <c r="IF599" s="16"/>
      <c r="IG599" s="17"/>
      <c r="IK599" s="24"/>
      <c r="IL599" s="60"/>
      <c r="IM599" s="16"/>
      <c r="IN599" s="16"/>
      <c r="IO599" s="16"/>
      <c r="IP599" s="16"/>
      <c r="IQ599" s="16"/>
      <c r="IR599" s="17"/>
      <c r="IV599" s="24"/>
      <c r="IW599" s="60"/>
      <c r="IX599" s="16"/>
      <c r="IY599" s="16"/>
      <c r="IZ599" s="16"/>
      <c r="JA599" s="16"/>
      <c r="JB599" s="16"/>
      <c r="JC599" s="17"/>
      <c r="JG599" s="24"/>
      <c r="JH599" s="60"/>
      <c r="JI599" s="16"/>
      <c r="JJ599" s="16"/>
      <c r="JK599" s="16"/>
      <c r="JL599" s="16"/>
      <c r="JM599" s="16"/>
      <c r="JN599" s="17"/>
      <c r="JR599" s="24"/>
      <c r="JS599" s="60"/>
      <c r="JT599" s="16"/>
      <c r="JU599" s="16"/>
      <c r="JV599" s="16"/>
      <c r="JW599" s="16"/>
      <c r="JX599" s="16"/>
      <c r="JY599" s="17"/>
      <c r="KC599" s="24"/>
      <c r="KD599" s="60"/>
      <c r="KE599" s="16"/>
      <c r="KF599" s="16"/>
      <c r="KG599" s="16"/>
      <c r="KH599" s="16"/>
      <c r="KI599" s="16"/>
      <c r="KJ599" s="17"/>
      <c r="KN599" s="24"/>
      <c r="KO599" s="60"/>
      <c r="KP599" s="16"/>
      <c r="KQ599" s="16"/>
      <c r="KR599" s="16"/>
      <c r="KS599" s="16"/>
      <c r="KT599" s="16"/>
      <c r="KU599" s="17"/>
      <c r="KY599" s="24"/>
      <c r="KZ599" s="60"/>
      <c r="LA599" s="16"/>
      <c r="LB599" s="16"/>
      <c r="LC599" s="16"/>
      <c r="LD599" s="16"/>
      <c r="LE599" s="16"/>
      <c r="LF599" s="17"/>
      <c r="LJ599" s="24"/>
      <c r="LK599" s="60"/>
      <c r="LL599" s="16"/>
      <c r="LM599" s="16"/>
      <c r="LN599" s="16"/>
      <c r="LO599" s="16"/>
      <c r="LP599" s="16"/>
      <c r="LQ599" s="17"/>
    </row>
    <row r="600">
      <c r="C600" s="31"/>
      <c r="D600" s="61"/>
      <c r="E600" s="16"/>
      <c r="F600" s="16"/>
      <c r="G600" s="21"/>
      <c r="H600" s="16"/>
      <c r="I600" s="16"/>
      <c r="J600" s="17"/>
      <c r="N600" s="17"/>
      <c r="O600" s="61"/>
      <c r="P600" s="16"/>
      <c r="Q600" s="16"/>
      <c r="R600" s="16"/>
      <c r="S600" s="16"/>
      <c r="T600" s="16"/>
      <c r="U600" s="17"/>
      <c r="Y600" s="24"/>
      <c r="Z600" s="61"/>
      <c r="AA600" s="16"/>
      <c r="AB600" s="16"/>
      <c r="AC600" s="16"/>
      <c r="AD600" s="16"/>
      <c r="AE600" s="16"/>
      <c r="AF600" s="17"/>
      <c r="AJ600" s="24"/>
      <c r="AK600" s="61"/>
      <c r="AL600" s="16"/>
      <c r="AM600" s="16"/>
      <c r="AN600" s="16"/>
      <c r="AO600" s="16"/>
      <c r="AP600" s="16"/>
      <c r="AQ600" s="17"/>
      <c r="AU600" s="24"/>
      <c r="AV600" s="61"/>
      <c r="AW600" s="16"/>
      <c r="AX600" s="16"/>
      <c r="AY600" s="16"/>
      <c r="AZ600" s="16"/>
      <c r="BA600" s="16"/>
      <c r="BB600" s="17"/>
      <c r="BF600" s="24"/>
      <c r="BG600" s="61"/>
      <c r="BH600" s="16"/>
      <c r="BI600" s="16"/>
      <c r="BJ600" s="16"/>
      <c r="BK600" s="16"/>
      <c r="BL600" s="16"/>
      <c r="BM600" s="17"/>
      <c r="BQ600" s="24"/>
      <c r="BR600" s="61"/>
      <c r="BS600" s="16"/>
      <c r="BT600" s="16"/>
      <c r="BU600" s="16"/>
      <c r="BV600" s="16"/>
      <c r="BW600" s="16"/>
      <c r="BX600" s="17"/>
      <c r="CB600" s="24"/>
      <c r="CC600" s="61"/>
      <c r="CD600" s="16"/>
      <c r="CE600" s="16"/>
      <c r="CF600" s="16"/>
      <c r="CG600" s="16"/>
      <c r="CH600" s="16"/>
      <c r="CI600" s="17"/>
      <c r="CM600" s="24"/>
      <c r="CN600" s="61"/>
      <c r="CO600" s="16"/>
      <c r="CP600" s="16"/>
      <c r="CQ600" s="16"/>
      <c r="CR600" s="16"/>
      <c r="CS600" s="16"/>
      <c r="CT600" s="17"/>
      <c r="CX600" s="24"/>
      <c r="CY600" s="60"/>
      <c r="CZ600" s="16"/>
      <c r="DA600" s="16"/>
      <c r="DB600" s="16"/>
      <c r="DC600" s="16"/>
      <c r="DD600" s="16"/>
      <c r="DE600" s="17"/>
      <c r="DI600" s="24"/>
      <c r="DJ600" s="60"/>
      <c r="DK600" s="16"/>
      <c r="DL600" s="16"/>
      <c r="DM600" s="16"/>
      <c r="DN600" s="16"/>
      <c r="DO600" s="16"/>
      <c r="DP600" s="17"/>
      <c r="DT600" s="24"/>
      <c r="DU600" s="60"/>
      <c r="DV600" s="16"/>
      <c r="DW600" s="16"/>
      <c r="DX600" s="16"/>
      <c r="DY600" s="16"/>
      <c r="DZ600" s="16"/>
      <c r="EA600" s="17"/>
      <c r="EE600" s="24"/>
      <c r="EF600" s="60"/>
      <c r="EG600" s="16"/>
      <c r="EH600" s="16"/>
      <c r="EI600" s="16"/>
      <c r="EJ600" s="16"/>
      <c r="EK600" s="16"/>
      <c r="EL600" s="17"/>
      <c r="EP600" s="24"/>
      <c r="EQ600" s="60"/>
      <c r="ER600" s="16"/>
      <c r="ES600" s="16"/>
      <c r="ET600" s="16"/>
      <c r="EU600" s="16"/>
      <c r="EV600" s="16"/>
      <c r="EW600" s="17"/>
      <c r="FA600" s="24"/>
      <c r="FB600" s="60"/>
      <c r="FC600" s="16"/>
      <c r="FD600" s="16"/>
      <c r="FE600" s="16"/>
      <c r="FF600" s="16"/>
      <c r="FG600" s="16"/>
      <c r="FH600" s="17"/>
      <c r="FL600" s="24"/>
      <c r="FM600" s="60"/>
      <c r="FN600" s="16"/>
      <c r="FO600" s="16"/>
      <c r="FP600" s="16"/>
      <c r="FQ600" s="16"/>
      <c r="FR600" s="16"/>
      <c r="FS600" s="17"/>
      <c r="FW600" s="24"/>
      <c r="FX600" s="60"/>
      <c r="FY600" s="16"/>
      <c r="FZ600" s="16"/>
      <c r="GA600" s="16"/>
      <c r="GB600" s="16"/>
      <c r="GC600" s="16"/>
      <c r="GD600" s="17"/>
      <c r="GH600" s="24"/>
      <c r="GI600" s="60"/>
      <c r="GJ600" s="16"/>
      <c r="GK600" s="16"/>
      <c r="GL600" s="16"/>
      <c r="GM600" s="16"/>
      <c r="GN600" s="16"/>
      <c r="GO600" s="17"/>
      <c r="GS600" s="24"/>
      <c r="GT600" s="60"/>
      <c r="GU600" s="16"/>
      <c r="GV600" s="16"/>
      <c r="GW600" s="16"/>
      <c r="GX600" s="16"/>
      <c r="GY600" s="16"/>
      <c r="GZ600" s="17"/>
      <c r="HD600" s="24"/>
      <c r="HE600" s="60"/>
      <c r="HF600" s="16"/>
      <c r="HG600" s="16"/>
      <c r="HH600" s="16"/>
      <c r="HI600" s="16"/>
      <c r="HJ600" s="16"/>
      <c r="HK600" s="17"/>
      <c r="HO600" s="24"/>
      <c r="HP600" s="60"/>
      <c r="HQ600" s="16"/>
      <c r="HR600" s="16"/>
      <c r="HS600" s="16"/>
      <c r="HT600" s="16"/>
      <c r="HU600" s="16"/>
      <c r="HV600" s="17"/>
      <c r="HZ600" s="24"/>
      <c r="IA600" s="60"/>
      <c r="IB600" s="16"/>
      <c r="IC600" s="16"/>
      <c r="ID600" s="16"/>
      <c r="IE600" s="16"/>
      <c r="IF600" s="16"/>
      <c r="IG600" s="17"/>
      <c r="IK600" s="24"/>
      <c r="IL600" s="60"/>
      <c r="IM600" s="16"/>
      <c r="IN600" s="16"/>
      <c r="IO600" s="16"/>
      <c r="IP600" s="16"/>
      <c r="IQ600" s="16"/>
      <c r="IR600" s="17"/>
      <c r="IV600" s="24"/>
      <c r="IW600" s="60"/>
      <c r="IX600" s="16"/>
      <c r="IY600" s="16"/>
      <c r="IZ600" s="16"/>
      <c r="JA600" s="16"/>
      <c r="JB600" s="16"/>
      <c r="JC600" s="17"/>
      <c r="JG600" s="24"/>
      <c r="JH600" s="60"/>
      <c r="JI600" s="16"/>
      <c r="JJ600" s="16"/>
      <c r="JK600" s="16"/>
      <c r="JL600" s="16"/>
      <c r="JM600" s="16"/>
      <c r="JN600" s="17"/>
      <c r="JR600" s="24"/>
      <c r="JS600" s="60"/>
      <c r="JT600" s="16"/>
      <c r="JU600" s="16"/>
      <c r="JV600" s="16"/>
      <c r="JW600" s="16"/>
      <c r="JX600" s="16"/>
      <c r="JY600" s="17"/>
      <c r="KC600" s="24"/>
      <c r="KD600" s="60"/>
      <c r="KE600" s="16"/>
      <c r="KF600" s="16"/>
      <c r="KG600" s="16"/>
      <c r="KH600" s="16"/>
      <c r="KI600" s="16"/>
      <c r="KJ600" s="17"/>
      <c r="KN600" s="24"/>
      <c r="KO600" s="60"/>
      <c r="KP600" s="16"/>
      <c r="KQ600" s="16"/>
      <c r="KR600" s="16"/>
      <c r="KS600" s="16"/>
      <c r="KT600" s="16"/>
      <c r="KU600" s="17"/>
      <c r="KY600" s="24"/>
      <c r="KZ600" s="60"/>
      <c r="LA600" s="16"/>
      <c r="LB600" s="16"/>
      <c r="LC600" s="16"/>
      <c r="LD600" s="16"/>
      <c r="LE600" s="16"/>
      <c r="LF600" s="17"/>
      <c r="LJ600" s="24"/>
      <c r="LK600" s="60"/>
      <c r="LL600" s="16"/>
      <c r="LM600" s="16"/>
      <c r="LN600" s="16"/>
      <c r="LO600" s="16"/>
      <c r="LP600" s="16"/>
      <c r="LQ600" s="17"/>
    </row>
    <row r="601">
      <c r="C601" s="31"/>
      <c r="D601" s="61"/>
      <c r="E601" s="16"/>
      <c r="F601" s="16"/>
      <c r="G601" s="21"/>
      <c r="H601" s="16"/>
      <c r="I601" s="16"/>
      <c r="J601" s="17"/>
      <c r="N601" s="17"/>
      <c r="O601" s="61"/>
      <c r="P601" s="16"/>
      <c r="Q601" s="16"/>
      <c r="R601" s="16"/>
      <c r="S601" s="16"/>
      <c r="T601" s="16"/>
      <c r="U601" s="17"/>
      <c r="Y601" s="24"/>
      <c r="Z601" s="61"/>
      <c r="AA601" s="16"/>
      <c r="AB601" s="16"/>
      <c r="AC601" s="16"/>
      <c r="AD601" s="16"/>
      <c r="AE601" s="16"/>
      <c r="AF601" s="17"/>
      <c r="AJ601" s="24"/>
      <c r="AK601" s="61"/>
      <c r="AL601" s="16"/>
      <c r="AM601" s="16"/>
      <c r="AN601" s="16"/>
      <c r="AO601" s="16"/>
      <c r="AP601" s="16"/>
      <c r="AQ601" s="17"/>
      <c r="AU601" s="24"/>
      <c r="AV601" s="61"/>
      <c r="AW601" s="16"/>
      <c r="AX601" s="16"/>
      <c r="AY601" s="16"/>
      <c r="AZ601" s="16"/>
      <c r="BA601" s="16"/>
      <c r="BB601" s="17"/>
      <c r="BF601" s="24"/>
      <c r="BG601" s="61"/>
      <c r="BH601" s="16"/>
      <c r="BI601" s="16"/>
      <c r="BJ601" s="16"/>
      <c r="BK601" s="16"/>
      <c r="BL601" s="16"/>
      <c r="BM601" s="17"/>
      <c r="BQ601" s="24"/>
      <c r="BR601" s="61"/>
      <c r="BS601" s="16"/>
      <c r="BT601" s="16"/>
      <c r="BU601" s="16"/>
      <c r="BV601" s="16"/>
      <c r="BW601" s="16"/>
      <c r="BX601" s="17"/>
      <c r="CB601" s="24"/>
      <c r="CC601" s="61"/>
      <c r="CD601" s="16"/>
      <c r="CE601" s="16"/>
      <c r="CF601" s="16"/>
      <c r="CG601" s="16"/>
      <c r="CH601" s="16"/>
      <c r="CI601" s="17"/>
      <c r="CM601" s="24"/>
      <c r="CN601" s="61"/>
      <c r="CO601" s="16"/>
      <c r="CP601" s="16"/>
      <c r="CQ601" s="16"/>
      <c r="CR601" s="16"/>
      <c r="CS601" s="16"/>
      <c r="CT601" s="17"/>
      <c r="CX601" s="24"/>
      <c r="CY601" s="60"/>
      <c r="CZ601" s="16"/>
      <c r="DA601" s="16"/>
      <c r="DB601" s="16"/>
      <c r="DC601" s="16"/>
      <c r="DD601" s="16"/>
      <c r="DE601" s="17"/>
      <c r="DI601" s="24"/>
      <c r="DJ601" s="60"/>
      <c r="DK601" s="16"/>
      <c r="DL601" s="16"/>
      <c r="DM601" s="16"/>
      <c r="DN601" s="16"/>
      <c r="DO601" s="16"/>
      <c r="DP601" s="17"/>
      <c r="DT601" s="24"/>
      <c r="DU601" s="60"/>
      <c r="DV601" s="16"/>
      <c r="DW601" s="16"/>
      <c r="DX601" s="16"/>
      <c r="DY601" s="16"/>
      <c r="DZ601" s="16"/>
      <c r="EA601" s="17"/>
      <c r="EE601" s="24"/>
      <c r="EF601" s="60"/>
      <c r="EG601" s="16"/>
      <c r="EH601" s="16"/>
      <c r="EI601" s="16"/>
      <c r="EJ601" s="16"/>
      <c r="EK601" s="16"/>
      <c r="EL601" s="17"/>
      <c r="EP601" s="24"/>
      <c r="EQ601" s="60"/>
      <c r="ER601" s="16"/>
      <c r="ES601" s="16"/>
      <c r="ET601" s="16"/>
      <c r="EU601" s="16"/>
      <c r="EV601" s="16"/>
      <c r="EW601" s="17"/>
      <c r="FA601" s="24"/>
      <c r="FB601" s="60"/>
      <c r="FC601" s="16"/>
      <c r="FD601" s="16"/>
      <c r="FE601" s="16"/>
      <c r="FF601" s="16"/>
      <c r="FG601" s="16"/>
      <c r="FH601" s="17"/>
      <c r="FL601" s="24"/>
      <c r="FM601" s="60"/>
      <c r="FN601" s="16"/>
      <c r="FO601" s="16"/>
      <c r="FP601" s="16"/>
      <c r="FQ601" s="16"/>
      <c r="FR601" s="16"/>
      <c r="FS601" s="17"/>
      <c r="FW601" s="24"/>
      <c r="FX601" s="60"/>
      <c r="FY601" s="16"/>
      <c r="FZ601" s="16"/>
      <c r="GA601" s="16"/>
      <c r="GB601" s="16"/>
      <c r="GC601" s="16"/>
      <c r="GD601" s="17"/>
      <c r="GH601" s="24"/>
      <c r="GI601" s="60"/>
      <c r="GJ601" s="16"/>
      <c r="GK601" s="16"/>
      <c r="GL601" s="16"/>
      <c r="GM601" s="16"/>
      <c r="GN601" s="16"/>
      <c r="GO601" s="17"/>
      <c r="GS601" s="24"/>
      <c r="GT601" s="60"/>
      <c r="GU601" s="16"/>
      <c r="GV601" s="16"/>
      <c r="GW601" s="16"/>
      <c r="GX601" s="16"/>
      <c r="GY601" s="16"/>
      <c r="GZ601" s="17"/>
      <c r="HD601" s="24"/>
      <c r="HE601" s="60"/>
      <c r="HF601" s="16"/>
      <c r="HG601" s="16"/>
      <c r="HH601" s="16"/>
      <c r="HI601" s="16"/>
      <c r="HJ601" s="16"/>
      <c r="HK601" s="17"/>
      <c r="HO601" s="24"/>
      <c r="HP601" s="60"/>
      <c r="HQ601" s="16"/>
      <c r="HR601" s="16"/>
      <c r="HS601" s="16"/>
      <c r="HT601" s="16"/>
      <c r="HU601" s="16"/>
      <c r="HV601" s="17"/>
      <c r="HZ601" s="24"/>
      <c r="IA601" s="60"/>
      <c r="IB601" s="16"/>
      <c r="IC601" s="16"/>
      <c r="ID601" s="16"/>
      <c r="IE601" s="16"/>
      <c r="IF601" s="16"/>
      <c r="IG601" s="17"/>
      <c r="IK601" s="24"/>
      <c r="IL601" s="60"/>
      <c r="IM601" s="16"/>
      <c r="IN601" s="16"/>
      <c r="IO601" s="16"/>
      <c r="IP601" s="16"/>
      <c r="IQ601" s="16"/>
      <c r="IR601" s="17"/>
      <c r="IV601" s="24"/>
      <c r="IW601" s="60"/>
      <c r="IX601" s="16"/>
      <c r="IY601" s="16"/>
      <c r="IZ601" s="16"/>
      <c r="JA601" s="16"/>
      <c r="JB601" s="16"/>
      <c r="JC601" s="17"/>
      <c r="JG601" s="24"/>
      <c r="JH601" s="60"/>
      <c r="JI601" s="16"/>
      <c r="JJ601" s="16"/>
      <c r="JK601" s="16"/>
      <c r="JL601" s="16"/>
      <c r="JM601" s="16"/>
      <c r="JN601" s="17"/>
      <c r="JR601" s="24"/>
      <c r="JS601" s="60"/>
      <c r="JT601" s="16"/>
      <c r="JU601" s="16"/>
      <c r="JV601" s="16"/>
      <c r="JW601" s="16"/>
      <c r="JX601" s="16"/>
      <c r="JY601" s="17"/>
      <c r="KC601" s="24"/>
      <c r="KD601" s="60"/>
      <c r="KE601" s="16"/>
      <c r="KF601" s="16"/>
      <c r="KG601" s="16"/>
      <c r="KH601" s="16"/>
      <c r="KI601" s="16"/>
      <c r="KJ601" s="17"/>
      <c r="KN601" s="24"/>
      <c r="KO601" s="60"/>
      <c r="KP601" s="16"/>
      <c r="KQ601" s="16"/>
      <c r="KR601" s="16"/>
      <c r="KS601" s="16"/>
      <c r="KT601" s="16"/>
      <c r="KU601" s="17"/>
      <c r="KY601" s="24"/>
      <c r="KZ601" s="60"/>
      <c r="LA601" s="16"/>
      <c r="LB601" s="16"/>
      <c r="LC601" s="16"/>
      <c r="LD601" s="16"/>
      <c r="LE601" s="16"/>
      <c r="LF601" s="17"/>
      <c r="LJ601" s="24"/>
      <c r="LK601" s="60"/>
      <c r="LL601" s="16"/>
      <c r="LM601" s="16"/>
      <c r="LN601" s="16"/>
      <c r="LO601" s="16"/>
      <c r="LP601" s="16"/>
      <c r="LQ601" s="17"/>
    </row>
    <row r="602">
      <c r="C602" s="31"/>
      <c r="D602" s="61"/>
      <c r="E602" s="16"/>
      <c r="F602" s="16"/>
      <c r="G602" s="21"/>
      <c r="H602" s="16"/>
      <c r="I602" s="16"/>
      <c r="J602" s="17"/>
      <c r="N602" s="17"/>
      <c r="O602" s="61"/>
      <c r="P602" s="16"/>
      <c r="Q602" s="16"/>
      <c r="R602" s="16"/>
      <c r="S602" s="16"/>
      <c r="T602" s="16"/>
      <c r="U602" s="17"/>
      <c r="Y602" s="24"/>
      <c r="Z602" s="61"/>
      <c r="AA602" s="16"/>
      <c r="AB602" s="16"/>
      <c r="AC602" s="16"/>
      <c r="AD602" s="16"/>
      <c r="AE602" s="16"/>
      <c r="AF602" s="17"/>
      <c r="AJ602" s="24"/>
      <c r="AK602" s="61"/>
      <c r="AL602" s="16"/>
      <c r="AM602" s="16"/>
      <c r="AN602" s="16"/>
      <c r="AO602" s="16"/>
      <c r="AP602" s="16"/>
      <c r="AQ602" s="17"/>
      <c r="AU602" s="24"/>
      <c r="AV602" s="61"/>
      <c r="AW602" s="16"/>
      <c r="AX602" s="16"/>
      <c r="AY602" s="16"/>
      <c r="AZ602" s="16"/>
      <c r="BA602" s="16"/>
      <c r="BB602" s="17"/>
      <c r="BF602" s="24"/>
      <c r="BG602" s="61"/>
      <c r="BH602" s="16"/>
      <c r="BI602" s="16"/>
      <c r="BJ602" s="16"/>
      <c r="BK602" s="16"/>
      <c r="BL602" s="16"/>
      <c r="BM602" s="17"/>
      <c r="BQ602" s="24"/>
      <c r="BR602" s="61"/>
      <c r="BS602" s="16"/>
      <c r="BT602" s="16"/>
      <c r="BU602" s="16"/>
      <c r="BV602" s="16"/>
      <c r="BW602" s="16"/>
      <c r="BX602" s="17"/>
      <c r="CB602" s="24"/>
      <c r="CC602" s="61"/>
      <c r="CD602" s="16"/>
      <c r="CE602" s="16"/>
      <c r="CF602" s="16"/>
      <c r="CG602" s="16"/>
      <c r="CH602" s="16"/>
      <c r="CI602" s="17"/>
      <c r="CM602" s="24"/>
      <c r="CN602" s="61"/>
      <c r="CO602" s="16"/>
      <c r="CP602" s="16"/>
      <c r="CQ602" s="16"/>
      <c r="CR602" s="16"/>
      <c r="CS602" s="16"/>
      <c r="CT602" s="17"/>
      <c r="CX602" s="24"/>
      <c r="CY602" s="60"/>
      <c r="CZ602" s="16"/>
      <c r="DA602" s="16"/>
      <c r="DB602" s="16"/>
      <c r="DC602" s="16"/>
      <c r="DD602" s="16"/>
      <c r="DE602" s="17"/>
      <c r="DI602" s="24"/>
      <c r="DJ602" s="60"/>
      <c r="DK602" s="16"/>
      <c r="DL602" s="16"/>
      <c r="DM602" s="16"/>
      <c r="DN602" s="16"/>
      <c r="DO602" s="16"/>
      <c r="DP602" s="17"/>
      <c r="DT602" s="24"/>
      <c r="DU602" s="60"/>
      <c r="DV602" s="16"/>
      <c r="DW602" s="16"/>
      <c r="DX602" s="16"/>
      <c r="DY602" s="16"/>
      <c r="DZ602" s="16"/>
      <c r="EA602" s="17"/>
      <c r="EE602" s="24"/>
      <c r="EF602" s="60"/>
      <c r="EG602" s="16"/>
      <c r="EH602" s="16"/>
      <c r="EI602" s="16"/>
      <c r="EJ602" s="16"/>
      <c r="EK602" s="16"/>
      <c r="EL602" s="17"/>
      <c r="EP602" s="24"/>
      <c r="EQ602" s="60"/>
      <c r="ER602" s="16"/>
      <c r="ES602" s="16"/>
      <c r="ET602" s="16"/>
      <c r="EU602" s="16"/>
      <c r="EV602" s="16"/>
      <c r="EW602" s="17"/>
      <c r="FA602" s="24"/>
      <c r="FB602" s="60"/>
      <c r="FC602" s="16"/>
      <c r="FD602" s="16"/>
      <c r="FE602" s="16"/>
      <c r="FF602" s="16"/>
      <c r="FG602" s="16"/>
      <c r="FH602" s="17"/>
      <c r="FL602" s="24"/>
      <c r="FM602" s="60"/>
      <c r="FN602" s="16"/>
      <c r="FO602" s="16"/>
      <c r="FP602" s="16"/>
      <c r="FQ602" s="16"/>
      <c r="FR602" s="16"/>
      <c r="FS602" s="17"/>
      <c r="FW602" s="24"/>
      <c r="FX602" s="60"/>
      <c r="FY602" s="16"/>
      <c r="FZ602" s="16"/>
      <c r="GA602" s="16"/>
      <c r="GB602" s="16"/>
      <c r="GC602" s="16"/>
      <c r="GD602" s="17"/>
      <c r="GH602" s="24"/>
      <c r="GI602" s="60"/>
      <c r="GJ602" s="16"/>
      <c r="GK602" s="16"/>
      <c r="GL602" s="16"/>
      <c r="GM602" s="16"/>
      <c r="GN602" s="16"/>
      <c r="GO602" s="17"/>
      <c r="GS602" s="24"/>
      <c r="GT602" s="60"/>
      <c r="GU602" s="16"/>
      <c r="GV602" s="16"/>
      <c r="GW602" s="16"/>
      <c r="GX602" s="16"/>
      <c r="GY602" s="16"/>
      <c r="GZ602" s="17"/>
      <c r="HD602" s="24"/>
      <c r="HE602" s="60"/>
      <c r="HF602" s="16"/>
      <c r="HG602" s="16"/>
      <c r="HH602" s="16"/>
      <c r="HI602" s="16"/>
      <c r="HJ602" s="16"/>
      <c r="HK602" s="17"/>
      <c r="HO602" s="24"/>
      <c r="HP602" s="60"/>
      <c r="HQ602" s="16"/>
      <c r="HR602" s="16"/>
      <c r="HS602" s="16"/>
      <c r="HT602" s="16"/>
      <c r="HU602" s="16"/>
      <c r="HV602" s="17"/>
      <c r="HZ602" s="24"/>
      <c r="IA602" s="60"/>
      <c r="IB602" s="16"/>
      <c r="IC602" s="16"/>
      <c r="ID602" s="16"/>
      <c r="IE602" s="16"/>
      <c r="IF602" s="16"/>
      <c r="IG602" s="17"/>
      <c r="IK602" s="24"/>
      <c r="IL602" s="60"/>
      <c r="IM602" s="16"/>
      <c r="IN602" s="16"/>
      <c r="IO602" s="16"/>
      <c r="IP602" s="16"/>
      <c r="IQ602" s="16"/>
      <c r="IR602" s="17"/>
      <c r="IV602" s="24"/>
      <c r="IW602" s="60"/>
      <c r="IX602" s="16"/>
      <c r="IY602" s="16"/>
      <c r="IZ602" s="16"/>
      <c r="JA602" s="16"/>
      <c r="JB602" s="16"/>
      <c r="JC602" s="17"/>
      <c r="JG602" s="24"/>
      <c r="JH602" s="60"/>
      <c r="JI602" s="16"/>
      <c r="JJ602" s="16"/>
      <c r="JK602" s="16"/>
      <c r="JL602" s="16"/>
      <c r="JM602" s="16"/>
      <c r="JN602" s="17"/>
      <c r="JR602" s="24"/>
      <c r="JS602" s="60"/>
      <c r="JT602" s="16"/>
      <c r="JU602" s="16"/>
      <c r="JV602" s="16"/>
      <c r="JW602" s="16"/>
      <c r="JX602" s="16"/>
      <c r="JY602" s="17"/>
      <c r="KC602" s="24"/>
      <c r="KD602" s="60"/>
      <c r="KE602" s="16"/>
      <c r="KF602" s="16"/>
      <c r="KG602" s="16"/>
      <c r="KH602" s="16"/>
      <c r="KI602" s="16"/>
      <c r="KJ602" s="17"/>
      <c r="KN602" s="24"/>
      <c r="KO602" s="60"/>
      <c r="KP602" s="16"/>
      <c r="KQ602" s="16"/>
      <c r="KR602" s="16"/>
      <c r="KS602" s="16"/>
      <c r="KT602" s="16"/>
      <c r="KU602" s="17"/>
      <c r="KY602" s="24"/>
      <c r="KZ602" s="60"/>
      <c r="LA602" s="16"/>
      <c r="LB602" s="16"/>
      <c r="LC602" s="16"/>
      <c r="LD602" s="16"/>
      <c r="LE602" s="16"/>
      <c r="LF602" s="17"/>
      <c r="LJ602" s="24"/>
      <c r="LK602" s="60"/>
      <c r="LL602" s="16"/>
      <c r="LM602" s="16"/>
      <c r="LN602" s="16"/>
      <c r="LO602" s="16"/>
      <c r="LP602" s="16"/>
      <c r="LQ602" s="17"/>
    </row>
    <row r="603">
      <c r="C603" s="31"/>
      <c r="D603" s="61"/>
      <c r="E603" s="16"/>
      <c r="F603" s="16"/>
      <c r="G603" s="21"/>
      <c r="H603" s="16"/>
      <c r="I603" s="16"/>
      <c r="J603" s="17"/>
      <c r="N603" s="17"/>
      <c r="O603" s="61"/>
      <c r="P603" s="16"/>
      <c r="Q603" s="16"/>
      <c r="R603" s="16"/>
      <c r="S603" s="16"/>
      <c r="T603" s="16"/>
      <c r="U603" s="17"/>
      <c r="Y603" s="24"/>
      <c r="Z603" s="61"/>
      <c r="AA603" s="16"/>
      <c r="AB603" s="16"/>
      <c r="AC603" s="16"/>
      <c r="AD603" s="16"/>
      <c r="AE603" s="16"/>
      <c r="AF603" s="17"/>
      <c r="AJ603" s="24"/>
      <c r="AK603" s="61"/>
      <c r="AL603" s="16"/>
      <c r="AM603" s="16"/>
      <c r="AN603" s="16"/>
      <c r="AO603" s="16"/>
      <c r="AP603" s="16"/>
      <c r="AQ603" s="17"/>
      <c r="AU603" s="24"/>
      <c r="AV603" s="61"/>
      <c r="AW603" s="16"/>
      <c r="AX603" s="16"/>
      <c r="AY603" s="16"/>
      <c r="AZ603" s="16"/>
      <c r="BA603" s="16"/>
      <c r="BB603" s="17"/>
      <c r="BF603" s="24"/>
      <c r="BG603" s="61"/>
      <c r="BH603" s="16"/>
      <c r="BI603" s="16"/>
      <c r="BJ603" s="16"/>
      <c r="BK603" s="16"/>
      <c r="BL603" s="16"/>
      <c r="BM603" s="17"/>
      <c r="BQ603" s="24"/>
      <c r="BR603" s="61"/>
      <c r="BS603" s="16"/>
      <c r="BT603" s="16"/>
      <c r="BU603" s="16"/>
      <c r="BV603" s="16"/>
      <c r="BW603" s="16"/>
      <c r="BX603" s="17"/>
      <c r="CB603" s="24"/>
      <c r="CC603" s="61"/>
      <c r="CD603" s="16"/>
      <c r="CE603" s="16"/>
      <c r="CF603" s="16"/>
      <c r="CG603" s="16"/>
      <c r="CH603" s="16"/>
      <c r="CI603" s="17"/>
      <c r="CM603" s="24"/>
      <c r="CN603" s="61"/>
      <c r="CO603" s="16"/>
      <c r="CP603" s="16"/>
      <c r="CQ603" s="16"/>
      <c r="CR603" s="16"/>
      <c r="CS603" s="16"/>
      <c r="CT603" s="17"/>
      <c r="CX603" s="24"/>
      <c r="CY603" s="60"/>
      <c r="CZ603" s="16"/>
      <c r="DA603" s="16"/>
      <c r="DB603" s="16"/>
      <c r="DC603" s="16"/>
      <c r="DD603" s="16"/>
      <c r="DE603" s="17"/>
      <c r="DI603" s="24"/>
      <c r="DJ603" s="60"/>
      <c r="DK603" s="16"/>
      <c r="DL603" s="16"/>
      <c r="DM603" s="16"/>
      <c r="DN603" s="16"/>
      <c r="DO603" s="16"/>
      <c r="DP603" s="17"/>
      <c r="DT603" s="24"/>
      <c r="DU603" s="60"/>
      <c r="DV603" s="16"/>
      <c r="DW603" s="16"/>
      <c r="DX603" s="16"/>
      <c r="DY603" s="16"/>
      <c r="DZ603" s="16"/>
      <c r="EA603" s="17"/>
      <c r="EE603" s="24"/>
      <c r="EF603" s="60"/>
      <c r="EG603" s="16"/>
      <c r="EH603" s="16"/>
      <c r="EI603" s="16"/>
      <c r="EJ603" s="16"/>
      <c r="EK603" s="16"/>
      <c r="EL603" s="17"/>
      <c r="EP603" s="24"/>
      <c r="EQ603" s="60"/>
      <c r="ER603" s="16"/>
      <c r="ES603" s="16"/>
      <c r="ET603" s="16"/>
      <c r="EU603" s="16"/>
      <c r="EV603" s="16"/>
      <c r="EW603" s="17"/>
      <c r="FA603" s="24"/>
      <c r="FB603" s="60"/>
      <c r="FC603" s="16"/>
      <c r="FD603" s="16"/>
      <c r="FE603" s="16"/>
      <c r="FF603" s="16"/>
      <c r="FG603" s="16"/>
      <c r="FH603" s="17"/>
      <c r="FL603" s="24"/>
      <c r="FM603" s="60"/>
      <c r="FN603" s="16"/>
      <c r="FO603" s="16"/>
      <c r="FP603" s="16"/>
      <c r="FQ603" s="16"/>
      <c r="FR603" s="16"/>
      <c r="FS603" s="17"/>
      <c r="FW603" s="24"/>
      <c r="FX603" s="60"/>
      <c r="FY603" s="16"/>
      <c r="FZ603" s="16"/>
      <c r="GA603" s="16"/>
      <c r="GB603" s="16"/>
      <c r="GC603" s="16"/>
      <c r="GD603" s="17"/>
      <c r="GH603" s="24"/>
      <c r="GI603" s="60"/>
      <c r="GJ603" s="16"/>
      <c r="GK603" s="16"/>
      <c r="GL603" s="16"/>
      <c r="GM603" s="16"/>
      <c r="GN603" s="16"/>
      <c r="GO603" s="17"/>
      <c r="GS603" s="24"/>
      <c r="GT603" s="60"/>
      <c r="GU603" s="16"/>
      <c r="GV603" s="16"/>
      <c r="GW603" s="16"/>
      <c r="GX603" s="16"/>
      <c r="GY603" s="16"/>
      <c r="GZ603" s="17"/>
      <c r="HD603" s="24"/>
      <c r="HE603" s="60"/>
      <c r="HF603" s="16"/>
      <c r="HG603" s="16"/>
      <c r="HH603" s="16"/>
      <c r="HI603" s="16"/>
      <c r="HJ603" s="16"/>
      <c r="HK603" s="17"/>
      <c r="HO603" s="24"/>
      <c r="HP603" s="60"/>
      <c r="HQ603" s="16"/>
      <c r="HR603" s="16"/>
      <c r="HS603" s="16"/>
      <c r="HT603" s="16"/>
      <c r="HU603" s="16"/>
      <c r="HV603" s="17"/>
      <c r="HZ603" s="24"/>
      <c r="IA603" s="60"/>
      <c r="IB603" s="16"/>
      <c r="IC603" s="16"/>
      <c r="ID603" s="16"/>
      <c r="IE603" s="16"/>
      <c r="IF603" s="16"/>
      <c r="IG603" s="17"/>
      <c r="IK603" s="24"/>
      <c r="IL603" s="60"/>
      <c r="IM603" s="16"/>
      <c r="IN603" s="16"/>
      <c r="IO603" s="16"/>
      <c r="IP603" s="16"/>
      <c r="IQ603" s="16"/>
      <c r="IR603" s="17"/>
      <c r="IV603" s="24"/>
      <c r="IW603" s="60"/>
      <c r="IX603" s="16"/>
      <c r="IY603" s="16"/>
      <c r="IZ603" s="16"/>
      <c r="JA603" s="16"/>
      <c r="JB603" s="16"/>
      <c r="JC603" s="17"/>
      <c r="JG603" s="24"/>
      <c r="JH603" s="60"/>
      <c r="JI603" s="16"/>
      <c r="JJ603" s="16"/>
      <c r="JK603" s="16"/>
      <c r="JL603" s="16"/>
      <c r="JM603" s="16"/>
      <c r="JN603" s="17"/>
      <c r="JR603" s="24"/>
      <c r="JS603" s="60"/>
      <c r="JT603" s="16"/>
      <c r="JU603" s="16"/>
      <c r="JV603" s="16"/>
      <c r="JW603" s="16"/>
      <c r="JX603" s="16"/>
      <c r="JY603" s="17"/>
      <c r="KC603" s="24"/>
      <c r="KD603" s="60"/>
      <c r="KE603" s="16"/>
      <c r="KF603" s="16"/>
      <c r="KG603" s="16"/>
      <c r="KH603" s="16"/>
      <c r="KI603" s="16"/>
      <c r="KJ603" s="17"/>
      <c r="KN603" s="24"/>
      <c r="KO603" s="60"/>
      <c r="KP603" s="16"/>
      <c r="KQ603" s="16"/>
      <c r="KR603" s="16"/>
      <c r="KS603" s="16"/>
      <c r="KT603" s="16"/>
      <c r="KU603" s="17"/>
      <c r="KY603" s="24"/>
      <c r="KZ603" s="60"/>
      <c r="LA603" s="16"/>
      <c r="LB603" s="16"/>
      <c r="LC603" s="16"/>
      <c r="LD603" s="16"/>
      <c r="LE603" s="16"/>
      <c r="LF603" s="17"/>
      <c r="LJ603" s="24"/>
      <c r="LK603" s="60"/>
      <c r="LL603" s="16"/>
      <c r="LM603" s="16"/>
      <c r="LN603" s="16"/>
      <c r="LO603" s="16"/>
      <c r="LP603" s="16"/>
      <c r="LQ603" s="17"/>
    </row>
    <row r="604">
      <c r="C604" s="31"/>
      <c r="D604" s="61"/>
      <c r="E604" s="16"/>
      <c r="F604" s="16"/>
      <c r="G604" s="21"/>
      <c r="H604" s="16"/>
      <c r="I604" s="16"/>
      <c r="J604" s="17"/>
      <c r="N604" s="17"/>
      <c r="O604" s="61"/>
      <c r="P604" s="16"/>
      <c r="Q604" s="16"/>
      <c r="R604" s="16"/>
      <c r="S604" s="16"/>
      <c r="T604" s="16"/>
      <c r="U604" s="17"/>
      <c r="Y604" s="24"/>
      <c r="Z604" s="61"/>
      <c r="AA604" s="16"/>
      <c r="AB604" s="16"/>
      <c r="AC604" s="16"/>
      <c r="AD604" s="16"/>
      <c r="AE604" s="16"/>
      <c r="AF604" s="17"/>
      <c r="AJ604" s="24"/>
      <c r="AK604" s="61"/>
      <c r="AL604" s="16"/>
      <c r="AM604" s="16"/>
      <c r="AN604" s="16"/>
      <c r="AO604" s="16"/>
      <c r="AP604" s="16"/>
      <c r="AQ604" s="17"/>
      <c r="AU604" s="24"/>
      <c r="AV604" s="61"/>
      <c r="AW604" s="16"/>
      <c r="AX604" s="16"/>
      <c r="AY604" s="16"/>
      <c r="AZ604" s="16"/>
      <c r="BA604" s="16"/>
      <c r="BB604" s="17"/>
      <c r="BF604" s="24"/>
      <c r="BG604" s="61"/>
      <c r="BH604" s="16"/>
      <c r="BI604" s="16"/>
      <c r="BJ604" s="16"/>
      <c r="BK604" s="16"/>
      <c r="BL604" s="16"/>
      <c r="BM604" s="17"/>
      <c r="BQ604" s="24"/>
      <c r="BR604" s="61"/>
      <c r="BS604" s="16"/>
      <c r="BT604" s="16"/>
      <c r="BU604" s="16"/>
      <c r="BV604" s="16"/>
      <c r="BW604" s="16"/>
      <c r="BX604" s="17"/>
      <c r="CB604" s="24"/>
      <c r="CC604" s="61"/>
      <c r="CD604" s="16"/>
      <c r="CE604" s="16"/>
      <c r="CF604" s="16"/>
      <c r="CG604" s="16"/>
      <c r="CH604" s="16"/>
      <c r="CI604" s="17"/>
      <c r="CM604" s="24"/>
      <c r="CN604" s="61"/>
      <c r="CO604" s="16"/>
      <c r="CP604" s="16"/>
      <c r="CQ604" s="16"/>
      <c r="CR604" s="16"/>
      <c r="CS604" s="16"/>
      <c r="CT604" s="17"/>
      <c r="CX604" s="24"/>
      <c r="CY604" s="60"/>
      <c r="CZ604" s="16"/>
      <c r="DA604" s="16"/>
      <c r="DB604" s="16"/>
      <c r="DC604" s="16"/>
      <c r="DD604" s="16"/>
      <c r="DE604" s="17"/>
      <c r="DI604" s="24"/>
      <c r="DJ604" s="60"/>
      <c r="DK604" s="16"/>
      <c r="DL604" s="16"/>
      <c r="DM604" s="16"/>
      <c r="DN604" s="16"/>
      <c r="DO604" s="16"/>
      <c r="DP604" s="17"/>
      <c r="DT604" s="24"/>
      <c r="DU604" s="60"/>
      <c r="DV604" s="16"/>
      <c r="DW604" s="16"/>
      <c r="DX604" s="16"/>
      <c r="DY604" s="16"/>
      <c r="DZ604" s="16"/>
      <c r="EA604" s="17"/>
      <c r="EE604" s="24"/>
      <c r="EF604" s="60"/>
      <c r="EG604" s="16"/>
      <c r="EH604" s="16"/>
      <c r="EI604" s="16"/>
      <c r="EJ604" s="16"/>
      <c r="EK604" s="16"/>
      <c r="EL604" s="17"/>
      <c r="EP604" s="24"/>
      <c r="EQ604" s="60"/>
      <c r="ER604" s="16"/>
      <c r="ES604" s="16"/>
      <c r="ET604" s="16"/>
      <c r="EU604" s="16"/>
      <c r="EV604" s="16"/>
      <c r="EW604" s="17"/>
      <c r="FA604" s="24"/>
      <c r="FB604" s="60"/>
      <c r="FC604" s="16"/>
      <c r="FD604" s="16"/>
      <c r="FE604" s="16"/>
      <c r="FF604" s="16"/>
      <c r="FG604" s="16"/>
      <c r="FH604" s="17"/>
      <c r="FL604" s="24"/>
      <c r="FM604" s="60"/>
      <c r="FN604" s="16"/>
      <c r="FO604" s="16"/>
      <c r="FP604" s="16"/>
      <c r="FQ604" s="16"/>
      <c r="FR604" s="16"/>
      <c r="FS604" s="17"/>
      <c r="FW604" s="24"/>
      <c r="FX604" s="60"/>
      <c r="FY604" s="16"/>
      <c r="FZ604" s="16"/>
      <c r="GA604" s="16"/>
      <c r="GB604" s="16"/>
      <c r="GC604" s="16"/>
      <c r="GD604" s="17"/>
      <c r="GH604" s="24"/>
      <c r="GI604" s="60"/>
      <c r="GJ604" s="16"/>
      <c r="GK604" s="16"/>
      <c r="GL604" s="16"/>
      <c r="GM604" s="16"/>
      <c r="GN604" s="16"/>
      <c r="GO604" s="17"/>
      <c r="GS604" s="24"/>
      <c r="GT604" s="60"/>
      <c r="GU604" s="16"/>
      <c r="GV604" s="16"/>
      <c r="GW604" s="16"/>
      <c r="GX604" s="16"/>
      <c r="GY604" s="16"/>
      <c r="GZ604" s="17"/>
      <c r="HD604" s="24"/>
      <c r="HE604" s="60"/>
      <c r="HF604" s="16"/>
      <c r="HG604" s="16"/>
      <c r="HH604" s="16"/>
      <c r="HI604" s="16"/>
      <c r="HJ604" s="16"/>
      <c r="HK604" s="17"/>
      <c r="HO604" s="24"/>
      <c r="HP604" s="60"/>
      <c r="HQ604" s="16"/>
      <c r="HR604" s="16"/>
      <c r="HS604" s="16"/>
      <c r="HT604" s="16"/>
      <c r="HU604" s="16"/>
      <c r="HV604" s="17"/>
      <c r="HZ604" s="24"/>
      <c r="IA604" s="60"/>
      <c r="IB604" s="16"/>
      <c r="IC604" s="16"/>
      <c r="ID604" s="16"/>
      <c r="IE604" s="16"/>
      <c r="IF604" s="16"/>
      <c r="IG604" s="17"/>
      <c r="IK604" s="24"/>
      <c r="IL604" s="60"/>
      <c r="IM604" s="16"/>
      <c r="IN604" s="16"/>
      <c r="IO604" s="16"/>
      <c r="IP604" s="16"/>
      <c r="IQ604" s="16"/>
      <c r="IR604" s="17"/>
      <c r="IV604" s="24"/>
      <c r="IW604" s="60"/>
      <c r="IX604" s="16"/>
      <c r="IY604" s="16"/>
      <c r="IZ604" s="16"/>
      <c r="JA604" s="16"/>
      <c r="JB604" s="16"/>
      <c r="JC604" s="17"/>
      <c r="JG604" s="24"/>
      <c r="JH604" s="60"/>
      <c r="JI604" s="16"/>
      <c r="JJ604" s="16"/>
      <c r="JK604" s="16"/>
      <c r="JL604" s="16"/>
      <c r="JM604" s="16"/>
      <c r="JN604" s="17"/>
      <c r="JR604" s="24"/>
      <c r="JS604" s="60"/>
      <c r="JT604" s="16"/>
      <c r="JU604" s="16"/>
      <c r="JV604" s="16"/>
      <c r="JW604" s="16"/>
      <c r="JX604" s="16"/>
      <c r="JY604" s="17"/>
      <c r="KC604" s="24"/>
      <c r="KD604" s="60"/>
      <c r="KE604" s="16"/>
      <c r="KF604" s="16"/>
      <c r="KG604" s="16"/>
      <c r="KH604" s="16"/>
      <c r="KI604" s="16"/>
      <c r="KJ604" s="17"/>
      <c r="KN604" s="24"/>
      <c r="KO604" s="60"/>
      <c r="KP604" s="16"/>
      <c r="KQ604" s="16"/>
      <c r="KR604" s="16"/>
      <c r="KS604" s="16"/>
      <c r="KT604" s="16"/>
      <c r="KU604" s="17"/>
      <c r="KY604" s="24"/>
      <c r="KZ604" s="60"/>
      <c r="LA604" s="16"/>
      <c r="LB604" s="16"/>
      <c r="LC604" s="16"/>
      <c r="LD604" s="16"/>
      <c r="LE604" s="16"/>
      <c r="LF604" s="17"/>
      <c r="LJ604" s="24"/>
      <c r="LK604" s="60"/>
      <c r="LL604" s="16"/>
      <c r="LM604" s="16"/>
      <c r="LN604" s="16"/>
      <c r="LO604" s="16"/>
      <c r="LP604" s="16"/>
      <c r="LQ604" s="17"/>
    </row>
    <row r="605">
      <c r="C605" s="31"/>
      <c r="D605" s="61"/>
      <c r="E605" s="16"/>
      <c r="F605" s="16"/>
      <c r="G605" s="21"/>
      <c r="H605" s="16"/>
      <c r="I605" s="16"/>
      <c r="J605" s="17"/>
      <c r="N605" s="17"/>
      <c r="O605" s="61"/>
      <c r="P605" s="16"/>
      <c r="Q605" s="16"/>
      <c r="R605" s="16"/>
      <c r="S605" s="16"/>
      <c r="T605" s="16"/>
      <c r="U605" s="17"/>
      <c r="Y605" s="24"/>
      <c r="Z605" s="61"/>
      <c r="AA605" s="16"/>
      <c r="AB605" s="16"/>
      <c r="AC605" s="16"/>
      <c r="AD605" s="16"/>
      <c r="AE605" s="16"/>
      <c r="AF605" s="17"/>
      <c r="AJ605" s="24"/>
      <c r="AK605" s="61"/>
      <c r="AL605" s="16"/>
      <c r="AM605" s="16"/>
      <c r="AN605" s="16"/>
      <c r="AO605" s="16"/>
      <c r="AP605" s="16"/>
      <c r="AQ605" s="17"/>
      <c r="AU605" s="24"/>
      <c r="AV605" s="61"/>
      <c r="AW605" s="16"/>
      <c r="AX605" s="16"/>
      <c r="AY605" s="16"/>
      <c r="AZ605" s="16"/>
      <c r="BA605" s="16"/>
      <c r="BB605" s="17"/>
      <c r="BF605" s="24"/>
      <c r="BG605" s="61"/>
      <c r="BH605" s="16"/>
      <c r="BI605" s="16"/>
      <c r="BJ605" s="16"/>
      <c r="BK605" s="16"/>
      <c r="BL605" s="16"/>
      <c r="BM605" s="17"/>
      <c r="BQ605" s="24"/>
      <c r="BR605" s="61"/>
      <c r="BS605" s="16"/>
      <c r="BT605" s="16"/>
      <c r="BU605" s="16"/>
      <c r="BV605" s="16"/>
      <c r="BW605" s="16"/>
      <c r="BX605" s="17"/>
      <c r="CB605" s="24"/>
      <c r="CC605" s="61"/>
      <c r="CD605" s="16"/>
      <c r="CE605" s="16"/>
      <c r="CF605" s="16"/>
      <c r="CG605" s="16"/>
      <c r="CH605" s="16"/>
      <c r="CI605" s="17"/>
      <c r="CM605" s="24"/>
      <c r="CN605" s="61"/>
      <c r="CO605" s="16"/>
      <c r="CP605" s="16"/>
      <c r="CQ605" s="16"/>
      <c r="CR605" s="16"/>
      <c r="CS605" s="16"/>
      <c r="CT605" s="17"/>
      <c r="CX605" s="24"/>
      <c r="CY605" s="60"/>
      <c r="CZ605" s="16"/>
      <c r="DA605" s="16"/>
      <c r="DB605" s="16"/>
      <c r="DC605" s="16"/>
      <c r="DD605" s="16"/>
      <c r="DE605" s="17"/>
      <c r="DI605" s="24"/>
      <c r="DJ605" s="60"/>
      <c r="DK605" s="16"/>
      <c r="DL605" s="16"/>
      <c r="DM605" s="16"/>
      <c r="DN605" s="16"/>
      <c r="DO605" s="16"/>
      <c r="DP605" s="17"/>
      <c r="DT605" s="24"/>
      <c r="DU605" s="60"/>
      <c r="DV605" s="16"/>
      <c r="DW605" s="16"/>
      <c r="DX605" s="16"/>
      <c r="DY605" s="16"/>
      <c r="DZ605" s="16"/>
      <c r="EA605" s="17"/>
      <c r="EE605" s="24"/>
      <c r="EF605" s="60"/>
      <c r="EG605" s="16"/>
      <c r="EH605" s="16"/>
      <c r="EI605" s="16"/>
      <c r="EJ605" s="16"/>
      <c r="EK605" s="16"/>
      <c r="EL605" s="17"/>
      <c r="EP605" s="24"/>
      <c r="EQ605" s="60"/>
      <c r="ER605" s="16"/>
      <c r="ES605" s="16"/>
      <c r="ET605" s="16"/>
      <c r="EU605" s="16"/>
      <c r="EV605" s="16"/>
      <c r="EW605" s="17"/>
      <c r="FA605" s="24"/>
      <c r="FB605" s="60"/>
      <c r="FC605" s="16"/>
      <c r="FD605" s="16"/>
      <c r="FE605" s="16"/>
      <c r="FF605" s="16"/>
      <c r="FG605" s="16"/>
      <c r="FH605" s="17"/>
      <c r="FL605" s="24"/>
      <c r="FM605" s="60"/>
      <c r="FN605" s="16"/>
      <c r="FO605" s="16"/>
      <c r="FP605" s="16"/>
      <c r="FQ605" s="16"/>
      <c r="FR605" s="16"/>
      <c r="FS605" s="17"/>
      <c r="FW605" s="24"/>
      <c r="FX605" s="60"/>
      <c r="FY605" s="16"/>
      <c r="FZ605" s="16"/>
      <c r="GA605" s="16"/>
      <c r="GB605" s="16"/>
      <c r="GC605" s="16"/>
      <c r="GD605" s="17"/>
      <c r="GH605" s="24"/>
      <c r="GI605" s="60"/>
      <c r="GJ605" s="16"/>
      <c r="GK605" s="16"/>
      <c r="GL605" s="16"/>
      <c r="GM605" s="16"/>
      <c r="GN605" s="16"/>
      <c r="GO605" s="17"/>
      <c r="GS605" s="24"/>
      <c r="GT605" s="60"/>
      <c r="GU605" s="16"/>
      <c r="GV605" s="16"/>
      <c r="GW605" s="16"/>
      <c r="GX605" s="16"/>
      <c r="GY605" s="16"/>
      <c r="GZ605" s="17"/>
      <c r="HD605" s="24"/>
      <c r="HE605" s="60"/>
      <c r="HF605" s="16"/>
      <c r="HG605" s="16"/>
      <c r="HH605" s="16"/>
      <c r="HI605" s="16"/>
      <c r="HJ605" s="16"/>
      <c r="HK605" s="17"/>
      <c r="HO605" s="24"/>
      <c r="HP605" s="60"/>
      <c r="HQ605" s="16"/>
      <c r="HR605" s="16"/>
      <c r="HS605" s="16"/>
      <c r="HT605" s="16"/>
      <c r="HU605" s="16"/>
      <c r="HV605" s="17"/>
      <c r="HZ605" s="24"/>
      <c r="IA605" s="60"/>
      <c r="IB605" s="16"/>
      <c r="IC605" s="16"/>
      <c r="ID605" s="16"/>
      <c r="IE605" s="16"/>
      <c r="IF605" s="16"/>
      <c r="IG605" s="17"/>
      <c r="IK605" s="24"/>
      <c r="IL605" s="60"/>
      <c r="IM605" s="16"/>
      <c r="IN605" s="16"/>
      <c r="IO605" s="16"/>
      <c r="IP605" s="16"/>
      <c r="IQ605" s="16"/>
      <c r="IR605" s="17"/>
      <c r="IV605" s="24"/>
      <c r="IW605" s="60"/>
      <c r="IX605" s="16"/>
      <c r="IY605" s="16"/>
      <c r="IZ605" s="16"/>
      <c r="JA605" s="16"/>
      <c r="JB605" s="16"/>
      <c r="JC605" s="17"/>
      <c r="JG605" s="24"/>
      <c r="JH605" s="60"/>
      <c r="JI605" s="16"/>
      <c r="JJ605" s="16"/>
      <c r="JK605" s="16"/>
      <c r="JL605" s="16"/>
      <c r="JM605" s="16"/>
      <c r="JN605" s="17"/>
      <c r="JR605" s="24"/>
      <c r="JS605" s="60"/>
      <c r="JT605" s="16"/>
      <c r="JU605" s="16"/>
      <c r="JV605" s="16"/>
      <c r="JW605" s="16"/>
      <c r="JX605" s="16"/>
      <c r="JY605" s="17"/>
      <c r="KC605" s="24"/>
      <c r="KD605" s="60"/>
      <c r="KE605" s="16"/>
      <c r="KF605" s="16"/>
      <c r="KG605" s="16"/>
      <c r="KH605" s="16"/>
      <c r="KI605" s="16"/>
      <c r="KJ605" s="17"/>
      <c r="KN605" s="24"/>
      <c r="KO605" s="60"/>
      <c r="KP605" s="16"/>
      <c r="KQ605" s="16"/>
      <c r="KR605" s="16"/>
      <c r="KS605" s="16"/>
      <c r="KT605" s="16"/>
      <c r="KU605" s="17"/>
      <c r="KY605" s="24"/>
      <c r="KZ605" s="60"/>
      <c r="LA605" s="16"/>
      <c r="LB605" s="16"/>
      <c r="LC605" s="16"/>
      <c r="LD605" s="16"/>
      <c r="LE605" s="16"/>
      <c r="LF605" s="17"/>
      <c r="LJ605" s="24"/>
      <c r="LK605" s="60"/>
      <c r="LL605" s="16"/>
      <c r="LM605" s="16"/>
      <c r="LN605" s="16"/>
      <c r="LO605" s="16"/>
      <c r="LP605" s="16"/>
      <c r="LQ605" s="17"/>
    </row>
    <row r="606">
      <c r="C606" s="31"/>
      <c r="D606" s="61"/>
      <c r="E606" s="16"/>
      <c r="F606" s="16"/>
      <c r="G606" s="21"/>
      <c r="H606" s="16"/>
      <c r="I606" s="16"/>
      <c r="J606" s="17"/>
      <c r="N606" s="17"/>
      <c r="O606" s="61"/>
      <c r="P606" s="16"/>
      <c r="Q606" s="16"/>
      <c r="R606" s="16"/>
      <c r="S606" s="16"/>
      <c r="T606" s="16"/>
      <c r="U606" s="17"/>
      <c r="Y606" s="24"/>
      <c r="Z606" s="61"/>
      <c r="AA606" s="16"/>
      <c r="AB606" s="16"/>
      <c r="AC606" s="16"/>
      <c r="AD606" s="16"/>
      <c r="AE606" s="16"/>
      <c r="AF606" s="17"/>
      <c r="AJ606" s="24"/>
      <c r="AK606" s="61"/>
      <c r="AL606" s="16"/>
      <c r="AM606" s="16"/>
      <c r="AN606" s="16"/>
      <c r="AO606" s="16"/>
      <c r="AP606" s="16"/>
      <c r="AQ606" s="17"/>
      <c r="AU606" s="24"/>
      <c r="AV606" s="61"/>
      <c r="AW606" s="16"/>
      <c r="AX606" s="16"/>
      <c r="AY606" s="16"/>
      <c r="AZ606" s="16"/>
      <c r="BA606" s="16"/>
      <c r="BB606" s="17"/>
      <c r="BF606" s="24"/>
      <c r="BG606" s="61"/>
      <c r="BH606" s="16"/>
      <c r="BI606" s="16"/>
      <c r="BJ606" s="16"/>
      <c r="BK606" s="16"/>
      <c r="BL606" s="16"/>
      <c r="BM606" s="17"/>
      <c r="BQ606" s="24"/>
      <c r="BR606" s="61"/>
      <c r="BS606" s="16"/>
      <c r="BT606" s="16"/>
      <c r="BU606" s="16"/>
      <c r="BV606" s="16"/>
      <c r="BW606" s="16"/>
      <c r="BX606" s="17"/>
      <c r="CB606" s="24"/>
      <c r="CC606" s="61"/>
      <c r="CD606" s="16"/>
      <c r="CE606" s="16"/>
      <c r="CF606" s="16"/>
      <c r="CG606" s="16"/>
      <c r="CH606" s="16"/>
      <c r="CI606" s="17"/>
      <c r="CM606" s="24"/>
      <c r="CN606" s="61"/>
      <c r="CO606" s="16"/>
      <c r="CP606" s="16"/>
      <c r="CQ606" s="16"/>
      <c r="CR606" s="16"/>
      <c r="CS606" s="16"/>
      <c r="CT606" s="17"/>
      <c r="CX606" s="24"/>
      <c r="CY606" s="60"/>
      <c r="CZ606" s="16"/>
      <c r="DA606" s="16"/>
      <c r="DB606" s="16"/>
      <c r="DC606" s="16"/>
      <c r="DD606" s="16"/>
      <c r="DE606" s="17"/>
      <c r="DI606" s="24"/>
      <c r="DJ606" s="60"/>
      <c r="DK606" s="16"/>
      <c r="DL606" s="16"/>
      <c r="DM606" s="16"/>
      <c r="DN606" s="16"/>
      <c r="DO606" s="16"/>
      <c r="DP606" s="17"/>
      <c r="DT606" s="24"/>
      <c r="DU606" s="60"/>
      <c r="DV606" s="16"/>
      <c r="DW606" s="16"/>
      <c r="DX606" s="16"/>
      <c r="DY606" s="16"/>
      <c r="DZ606" s="16"/>
      <c r="EA606" s="17"/>
      <c r="EE606" s="24"/>
      <c r="EF606" s="60"/>
      <c r="EG606" s="16"/>
      <c r="EH606" s="16"/>
      <c r="EI606" s="16"/>
      <c r="EJ606" s="16"/>
      <c r="EK606" s="16"/>
      <c r="EL606" s="17"/>
      <c r="EP606" s="24"/>
      <c r="EQ606" s="60"/>
      <c r="ER606" s="16"/>
      <c r="ES606" s="16"/>
      <c r="ET606" s="16"/>
      <c r="EU606" s="16"/>
      <c r="EV606" s="16"/>
      <c r="EW606" s="17"/>
      <c r="FA606" s="24"/>
      <c r="FB606" s="60"/>
      <c r="FC606" s="16"/>
      <c r="FD606" s="16"/>
      <c r="FE606" s="16"/>
      <c r="FF606" s="16"/>
      <c r="FG606" s="16"/>
      <c r="FH606" s="17"/>
      <c r="FL606" s="24"/>
      <c r="FM606" s="60"/>
      <c r="FN606" s="16"/>
      <c r="FO606" s="16"/>
      <c r="FP606" s="16"/>
      <c r="FQ606" s="16"/>
      <c r="FR606" s="16"/>
      <c r="FS606" s="17"/>
      <c r="FW606" s="24"/>
      <c r="FX606" s="60"/>
      <c r="FY606" s="16"/>
      <c r="FZ606" s="16"/>
      <c r="GA606" s="16"/>
      <c r="GB606" s="16"/>
      <c r="GC606" s="16"/>
      <c r="GD606" s="17"/>
      <c r="GH606" s="24"/>
      <c r="GI606" s="60"/>
      <c r="GJ606" s="16"/>
      <c r="GK606" s="16"/>
      <c r="GL606" s="16"/>
      <c r="GM606" s="16"/>
      <c r="GN606" s="16"/>
      <c r="GO606" s="17"/>
      <c r="GS606" s="24"/>
      <c r="GT606" s="60"/>
      <c r="GU606" s="16"/>
      <c r="GV606" s="16"/>
      <c r="GW606" s="16"/>
      <c r="GX606" s="16"/>
      <c r="GY606" s="16"/>
      <c r="GZ606" s="17"/>
      <c r="HD606" s="24"/>
      <c r="HE606" s="60"/>
      <c r="HF606" s="16"/>
      <c r="HG606" s="16"/>
      <c r="HH606" s="16"/>
      <c r="HI606" s="16"/>
      <c r="HJ606" s="16"/>
      <c r="HK606" s="17"/>
      <c r="HO606" s="24"/>
      <c r="HP606" s="60"/>
      <c r="HQ606" s="16"/>
      <c r="HR606" s="16"/>
      <c r="HS606" s="16"/>
      <c r="HT606" s="16"/>
      <c r="HU606" s="16"/>
      <c r="HV606" s="17"/>
      <c r="HZ606" s="24"/>
      <c r="IA606" s="60"/>
      <c r="IB606" s="16"/>
      <c r="IC606" s="16"/>
      <c r="ID606" s="16"/>
      <c r="IE606" s="16"/>
      <c r="IF606" s="16"/>
      <c r="IG606" s="17"/>
      <c r="IK606" s="24"/>
      <c r="IL606" s="60"/>
      <c r="IM606" s="16"/>
      <c r="IN606" s="16"/>
      <c r="IO606" s="16"/>
      <c r="IP606" s="16"/>
      <c r="IQ606" s="16"/>
      <c r="IR606" s="17"/>
      <c r="IV606" s="24"/>
      <c r="IW606" s="60"/>
      <c r="IX606" s="16"/>
      <c r="IY606" s="16"/>
      <c r="IZ606" s="16"/>
      <c r="JA606" s="16"/>
      <c r="JB606" s="16"/>
      <c r="JC606" s="17"/>
      <c r="JG606" s="24"/>
      <c r="JH606" s="60"/>
      <c r="JI606" s="16"/>
      <c r="JJ606" s="16"/>
      <c r="JK606" s="16"/>
      <c r="JL606" s="16"/>
      <c r="JM606" s="16"/>
      <c r="JN606" s="17"/>
      <c r="JR606" s="24"/>
      <c r="JS606" s="60"/>
      <c r="JT606" s="16"/>
      <c r="JU606" s="16"/>
      <c r="JV606" s="16"/>
      <c r="JW606" s="16"/>
      <c r="JX606" s="16"/>
      <c r="JY606" s="17"/>
      <c r="KC606" s="24"/>
      <c r="KD606" s="60"/>
      <c r="KE606" s="16"/>
      <c r="KF606" s="16"/>
      <c r="KG606" s="16"/>
      <c r="KH606" s="16"/>
      <c r="KI606" s="16"/>
      <c r="KJ606" s="17"/>
      <c r="KN606" s="24"/>
      <c r="KO606" s="60"/>
      <c r="KP606" s="16"/>
      <c r="KQ606" s="16"/>
      <c r="KR606" s="16"/>
      <c r="KS606" s="16"/>
      <c r="KT606" s="16"/>
      <c r="KU606" s="17"/>
      <c r="KY606" s="24"/>
      <c r="KZ606" s="60"/>
      <c r="LA606" s="16"/>
      <c r="LB606" s="16"/>
      <c r="LC606" s="16"/>
      <c r="LD606" s="16"/>
      <c r="LE606" s="16"/>
      <c r="LF606" s="17"/>
      <c r="LJ606" s="24"/>
      <c r="LK606" s="60"/>
      <c r="LL606" s="16"/>
      <c r="LM606" s="16"/>
      <c r="LN606" s="16"/>
      <c r="LO606" s="16"/>
      <c r="LP606" s="16"/>
      <c r="LQ606" s="17"/>
    </row>
    <row r="607">
      <c r="C607" s="31"/>
      <c r="D607" s="61"/>
      <c r="E607" s="16"/>
      <c r="F607" s="16"/>
      <c r="G607" s="21"/>
      <c r="H607" s="16"/>
      <c r="I607" s="16"/>
      <c r="J607" s="17"/>
      <c r="N607" s="17"/>
      <c r="O607" s="61"/>
      <c r="P607" s="16"/>
      <c r="Q607" s="16"/>
      <c r="R607" s="16"/>
      <c r="S607" s="16"/>
      <c r="T607" s="16"/>
      <c r="U607" s="17"/>
      <c r="Y607" s="24"/>
      <c r="Z607" s="61"/>
      <c r="AA607" s="16"/>
      <c r="AB607" s="16"/>
      <c r="AC607" s="16"/>
      <c r="AD607" s="16"/>
      <c r="AE607" s="16"/>
      <c r="AF607" s="17"/>
      <c r="AJ607" s="24"/>
      <c r="AK607" s="61"/>
      <c r="AL607" s="16"/>
      <c r="AM607" s="16"/>
      <c r="AN607" s="16"/>
      <c r="AO607" s="16"/>
      <c r="AP607" s="16"/>
      <c r="AQ607" s="17"/>
      <c r="AU607" s="24"/>
      <c r="AV607" s="61"/>
      <c r="AW607" s="16"/>
      <c r="AX607" s="16"/>
      <c r="AY607" s="16"/>
      <c r="AZ607" s="16"/>
      <c r="BA607" s="16"/>
      <c r="BB607" s="17"/>
      <c r="BF607" s="24"/>
      <c r="BG607" s="61"/>
      <c r="BH607" s="16"/>
      <c r="BI607" s="16"/>
      <c r="BJ607" s="16"/>
      <c r="BK607" s="16"/>
      <c r="BL607" s="16"/>
      <c r="BM607" s="17"/>
      <c r="BQ607" s="24"/>
      <c r="BR607" s="61"/>
      <c r="BS607" s="16"/>
      <c r="BT607" s="16"/>
      <c r="BU607" s="16"/>
      <c r="BV607" s="16"/>
      <c r="BW607" s="16"/>
      <c r="BX607" s="17"/>
      <c r="CB607" s="24"/>
      <c r="CC607" s="61"/>
      <c r="CD607" s="16"/>
      <c r="CE607" s="16"/>
      <c r="CF607" s="16"/>
      <c r="CG607" s="16"/>
      <c r="CH607" s="16"/>
      <c r="CI607" s="17"/>
      <c r="CM607" s="24"/>
      <c r="CN607" s="61"/>
      <c r="CO607" s="16"/>
      <c r="CP607" s="16"/>
      <c r="CQ607" s="16"/>
      <c r="CR607" s="16"/>
      <c r="CS607" s="16"/>
      <c r="CT607" s="17"/>
      <c r="CX607" s="24"/>
      <c r="CY607" s="60"/>
      <c r="CZ607" s="16"/>
      <c r="DA607" s="16"/>
      <c r="DB607" s="16"/>
      <c r="DC607" s="16"/>
      <c r="DD607" s="16"/>
      <c r="DE607" s="17"/>
      <c r="DI607" s="24"/>
      <c r="DJ607" s="60"/>
      <c r="DK607" s="16"/>
      <c r="DL607" s="16"/>
      <c r="DM607" s="16"/>
      <c r="DN607" s="16"/>
      <c r="DO607" s="16"/>
      <c r="DP607" s="17"/>
      <c r="DT607" s="24"/>
      <c r="DU607" s="60"/>
      <c r="DV607" s="16"/>
      <c r="DW607" s="16"/>
      <c r="DX607" s="16"/>
      <c r="DY607" s="16"/>
      <c r="DZ607" s="16"/>
      <c r="EA607" s="17"/>
      <c r="EE607" s="24"/>
      <c r="EF607" s="60"/>
      <c r="EG607" s="16"/>
      <c r="EH607" s="16"/>
      <c r="EI607" s="16"/>
      <c r="EJ607" s="16"/>
      <c r="EK607" s="16"/>
      <c r="EL607" s="17"/>
      <c r="EP607" s="24"/>
      <c r="EQ607" s="60"/>
      <c r="ER607" s="16"/>
      <c r="ES607" s="16"/>
      <c r="ET607" s="16"/>
      <c r="EU607" s="16"/>
      <c r="EV607" s="16"/>
      <c r="EW607" s="17"/>
      <c r="FA607" s="24"/>
      <c r="FB607" s="60"/>
      <c r="FC607" s="16"/>
      <c r="FD607" s="16"/>
      <c r="FE607" s="16"/>
      <c r="FF607" s="16"/>
      <c r="FG607" s="16"/>
      <c r="FH607" s="17"/>
      <c r="FL607" s="24"/>
      <c r="FM607" s="60"/>
      <c r="FN607" s="16"/>
      <c r="FO607" s="16"/>
      <c r="FP607" s="16"/>
      <c r="FQ607" s="16"/>
      <c r="FR607" s="16"/>
      <c r="FS607" s="17"/>
      <c r="FW607" s="24"/>
      <c r="FX607" s="60"/>
      <c r="FY607" s="16"/>
      <c r="FZ607" s="16"/>
      <c r="GA607" s="16"/>
      <c r="GB607" s="16"/>
      <c r="GC607" s="16"/>
      <c r="GD607" s="17"/>
      <c r="GH607" s="24"/>
      <c r="GI607" s="60"/>
      <c r="GJ607" s="16"/>
      <c r="GK607" s="16"/>
      <c r="GL607" s="16"/>
      <c r="GM607" s="16"/>
      <c r="GN607" s="16"/>
      <c r="GO607" s="17"/>
      <c r="GS607" s="24"/>
      <c r="GT607" s="60"/>
      <c r="GU607" s="16"/>
      <c r="GV607" s="16"/>
      <c r="GW607" s="16"/>
      <c r="GX607" s="16"/>
      <c r="GY607" s="16"/>
      <c r="GZ607" s="17"/>
      <c r="HD607" s="24"/>
      <c r="HE607" s="60"/>
      <c r="HF607" s="16"/>
      <c r="HG607" s="16"/>
      <c r="HH607" s="16"/>
      <c r="HI607" s="16"/>
      <c r="HJ607" s="16"/>
      <c r="HK607" s="17"/>
      <c r="HO607" s="24"/>
      <c r="HP607" s="60"/>
      <c r="HQ607" s="16"/>
      <c r="HR607" s="16"/>
      <c r="HS607" s="16"/>
      <c r="HT607" s="16"/>
      <c r="HU607" s="16"/>
      <c r="HV607" s="17"/>
      <c r="HZ607" s="24"/>
      <c r="IA607" s="60"/>
      <c r="IB607" s="16"/>
      <c r="IC607" s="16"/>
      <c r="ID607" s="16"/>
      <c r="IE607" s="16"/>
      <c r="IF607" s="16"/>
      <c r="IG607" s="17"/>
      <c r="IK607" s="24"/>
      <c r="IL607" s="60"/>
      <c r="IM607" s="16"/>
      <c r="IN607" s="16"/>
      <c r="IO607" s="16"/>
      <c r="IP607" s="16"/>
      <c r="IQ607" s="16"/>
      <c r="IR607" s="17"/>
      <c r="IV607" s="24"/>
      <c r="IW607" s="60"/>
      <c r="IX607" s="16"/>
      <c r="IY607" s="16"/>
      <c r="IZ607" s="16"/>
      <c r="JA607" s="16"/>
      <c r="JB607" s="16"/>
      <c r="JC607" s="17"/>
      <c r="JG607" s="24"/>
      <c r="JH607" s="60"/>
      <c r="JI607" s="16"/>
      <c r="JJ607" s="16"/>
      <c r="JK607" s="16"/>
      <c r="JL607" s="16"/>
      <c r="JM607" s="16"/>
      <c r="JN607" s="17"/>
      <c r="JR607" s="24"/>
      <c r="JS607" s="60"/>
      <c r="JT607" s="16"/>
      <c r="JU607" s="16"/>
      <c r="JV607" s="16"/>
      <c r="JW607" s="16"/>
      <c r="JX607" s="16"/>
      <c r="JY607" s="17"/>
      <c r="KC607" s="24"/>
      <c r="KD607" s="60"/>
      <c r="KE607" s="16"/>
      <c r="KF607" s="16"/>
      <c r="KG607" s="16"/>
      <c r="KH607" s="16"/>
      <c r="KI607" s="16"/>
      <c r="KJ607" s="17"/>
      <c r="KN607" s="24"/>
      <c r="KO607" s="60"/>
      <c r="KP607" s="16"/>
      <c r="KQ607" s="16"/>
      <c r="KR607" s="16"/>
      <c r="KS607" s="16"/>
      <c r="KT607" s="16"/>
      <c r="KU607" s="17"/>
      <c r="KY607" s="24"/>
      <c r="KZ607" s="60"/>
      <c r="LA607" s="16"/>
      <c r="LB607" s="16"/>
      <c r="LC607" s="16"/>
      <c r="LD607" s="16"/>
      <c r="LE607" s="16"/>
      <c r="LF607" s="17"/>
      <c r="LJ607" s="24"/>
      <c r="LK607" s="60"/>
      <c r="LL607" s="16"/>
      <c r="LM607" s="16"/>
      <c r="LN607" s="16"/>
      <c r="LO607" s="16"/>
      <c r="LP607" s="16"/>
      <c r="LQ607" s="17"/>
    </row>
    <row r="608">
      <c r="C608" s="31"/>
      <c r="D608" s="61"/>
      <c r="E608" s="16"/>
      <c r="F608" s="16"/>
      <c r="G608" s="21"/>
      <c r="H608" s="16"/>
      <c r="I608" s="16"/>
      <c r="J608" s="17"/>
      <c r="N608" s="17"/>
      <c r="O608" s="61"/>
      <c r="P608" s="16"/>
      <c r="Q608" s="16"/>
      <c r="R608" s="16"/>
      <c r="S608" s="16"/>
      <c r="T608" s="16"/>
      <c r="U608" s="17"/>
      <c r="Y608" s="24"/>
      <c r="Z608" s="61"/>
      <c r="AA608" s="16"/>
      <c r="AB608" s="16"/>
      <c r="AC608" s="16"/>
      <c r="AD608" s="16"/>
      <c r="AE608" s="16"/>
      <c r="AF608" s="17"/>
      <c r="AJ608" s="24"/>
      <c r="AK608" s="61"/>
      <c r="AL608" s="16"/>
      <c r="AM608" s="16"/>
      <c r="AN608" s="16"/>
      <c r="AO608" s="16"/>
      <c r="AP608" s="16"/>
      <c r="AQ608" s="17"/>
      <c r="AU608" s="24"/>
      <c r="AV608" s="61"/>
      <c r="AW608" s="16"/>
      <c r="AX608" s="16"/>
      <c r="AY608" s="16"/>
      <c r="AZ608" s="16"/>
      <c r="BA608" s="16"/>
      <c r="BB608" s="17"/>
      <c r="BF608" s="24"/>
      <c r="BG608" s="61"/>
      <c r="BH608" s="16"/>
      <c r="BI608" s="16"/>
      <c r="BJ608" s="16"/>
      <c r="BK608" s="16"/>
      <c r="BL608" s="16"/>
      <c r="BM608" s="17"/>
      <c r="BQ608" s="24"/>
      <c r="BR608" s="61"/>
      <c r="BS608" s="16"/>
      <c r="BT608" s="16"/>
      <c r="BU608" s="16"/>
      <c r="BV608" s="16"/>
      <c r="BW608" s="16"/>
      <c r="BX608" s="17"/>
      <c r="CB608" s="24"/>
      <c r="CC608" s="61"/>
      <c r="CD608" s="16"/>
      <c r="CE608" s="16"/>
      <c r="CF608" s="16"/>
      <c r="CG608" s="16"/>
      <c r="CH608" s="16"/>
      <c r="CI608" s="17"/>
      <c r="CM608" s="24"/>
      <c r="CN608" s="61"/>
      <c r="CO608" s="16"/>
      <c r="CP608" s="16"/>
      <c r="CQ608" s="16"/>
      <c r="CR608" s="16"/>
      <c r="CS608" s="16"/>
      <c r="CT608" s="17"/>
      <c r="CX608" s="24"/>
      <c r="CY608" s="60"/>
      <c r="CZ608" s="16"/>
      <c r="DA608" s="16"/>
      <c r="DB608" s="16"/>
      <c r="DC608" s="16"/>
      <c r="DD608" s="16"/>
      <c r="DE608" s="17"/>
      <c r="DI608" s="24"/>
      <c r="DJ608" s="60"/>
      <c r="DK608" s="16"/>
      <c r="DL608" s="16"/>
      <c r="DM608" s="16"/>
      <c r="DN608" s="16"/>
      <c r="DO608" s="16"/>
      <c r="DP608" s="17"/>
      <c r="DT608" s="24"/>
      <c r="DU608" s="60"/>
      <c r="DV608" s="16"/>
      <c r="DW608" s="16"/>
      <c r="DX608" s="16"/>
      <c r="DY608" s="16"/>
      <c r="DZ608" s="16"/>
      <c r="EA608" s="17"/>
      <c r="EE608" s="24"/>
      <c r="EF608" s="60"/>
      <c r="EG608" s="16"/>
      <c r="EH608" s="16"/>
      <c r="EI608" s="16"/>
      <c r="EJ608" s="16"/>
      <c r="EK608" s="16"/>
      <c r="EL608" s="17"/>
      <c r="EP608" s="24"/>
      <c r="EQ608" s="60"/>
      <c r="ER608" s="16"/>
      <c r="ES608" s="16"/>
      <c r="ET608" s="16"/>
      <c r="EU608" s="16"/>
      <c r="EV608" s="16"/>
      <c r="EW608" s="17"/>
      <c r="FA608" s="24"/>
      <c r="FB608" s="60"/>
      <c r="FC608" s="16"/>
      <c r="FD608" s="16"/>
      <c r="FE608" s="16"/>
      <c r="FF608" s="16"/>
      <c r="FG608" s="16"/>
      <c r="FH608" s="17"/>
      <c r="FL608" s="24"/>
      <c r="FM608" s="60"/>
      <c r="FN608" s="16"/>
      <c r="FO608" s="16"/>
      <c r="FP608" s="16"/>
      <c r="FQ608" s="16"/>
      <c r="FR608" s="16"/>
      <c r="FS608" s="17"/>
      <c r="FW608" s="24"/>
      <c r="FX608" s="60"/>
      <c r="FY608" s="16"/>
      <c r="FZ608" s="16"/>
      <c r="GA608" s="16"/>
      <c r="GB608" s="16"/>
      <c r="GC608" s="16"/>
      <c r="GD608" s="17"/>
      <c r="GH608" s="24"/>
      <c r="GI608" s="60"/>
      <c r="GJ608" s="16"/>
      <c r="GK608" s="16"/>
      <c r="GL608" s="16"/>
      <c r="GM608" s="16"/>
      <c r="GN608" s="16"/>
      <c r="GO608" s="17"/>
      <c r="GS608" s="24"/>
      <c r="GT608" s="60"/>
      <c r="GU608" s="16"/>
      <c r="GV608" s="16"/>
      <c r="GW608" s="16"/>
      <c r="GX608" s="16"/>
      <c r="GY608" s="16"/>
      <c r="GZ608" s="17"/>
      <c r="HD608" s="24"/>
      <c r="HE608" s="60"/>
      <c r="HF608" s="16"/>
      <c r="HG608" s="16"/>
      <c r="HH608" s="16"/>
      <c r="HI608" s="16"/>
      <c r="HJ608" s="16"/>
      <c r="HK608" s="17"/>
      <c r="HO608" s="24"/>
      <c r="HP608" s="60"/>
      <c r="HQ608" s="16"/>
      <c r="HR608" s="16"/>
      <c r="HS608" s="16"/>
      <c r="HT608" s="16"/>
      <c r="HU608" s="16"/>
      <c r="HV608" s="17"/>
      <c r="HZ608" s="24"/>
      <c r="IA608" s="60"/>
      <c r="IB608" s="16"/>
      <c r="IC608" s="16"/>
      <c r="ID608" s="16"/>
      <c r="IE608" s="16"/>
      <c r="IF608" s="16"/>
      <c r="IG608" s="17"/>
      <c r="IK608" s="24"/>
      <c r="IL608" s="60"/>
      <c r="IM608" s="16"/>
      <c r="IN608" s="16"/>
      <c r="IO608" s="16"/>
      <c r="IP608" s="16"/>
      <c r="IQ608" s="16"/>
      <c r="IR608" s="17"/>
      <c r="IV608" s="24"/>
      <c r="IW608" s="60"/>
      <c r="IX608" s="16"/>
      <c r="IY608" s="16"/>
      <c r="IZ608" s="16"/>
      <c r="JA608" s="16"/>
      <c r="JB608" s="16"/>
      <c r="JC608" s="17"/>
      <c r="JG608" s="24"/>
      <c r="JH608" s="60"/>
      <c r="JI608" s="16"/>
      <c r="JJ608" s="16"/>
      <c r="JK608" s="16"/>
      <c r="JL608" s="16"/>
      <c r="JM608" s="16"/>
      <c r="JN608" s="17"/>
      <c r="JR608" s="24"/>
      <c r="JS608" s="60"/>
      <c r="JT608" s="16"/>
      <c r="JU608" s="16"/>
      <c r="JV608" s="16"/>
      <c r="JW608" s="16"/>
      <c r="JX608" s="16"/>
      <c r="JY608" s="17"/>
      <c r="KC608" s="24"/>
      <c r="KD608" s="60"/>
      <c r="KE608" s="16"/>
      <c r="KF608" s="16"/>
      <c r="KG608" s="16"/>
      <c r="KH608" s="16"/>
      <c r="KI608" s="16"/>
      <c r="KJ608" s="17"/>
      <c r="KN608" s="24"/>
      <c r="KO608" s="60"/>
      <c r="KP608" s="16"/>
      <c r="KQ608" s="16"/>
      <c r="KR608" s="16"/>
      <c r="KS608" s="16"/>
      <c r="KT608" s="16"/>
      <c r="KU608" s="17"/>
      <c r="KY608" s="24"/>
      <c r="KZ608" s="60"/>
      <c r="LA608" s="16"/>
      <c r="LB608" s="16"/>
      <c r="LC608" s="16"/>
      <c r="LD608" s="16"/>
      <c r="LE608" s="16"/>
      <c r="LF608" s="17"/>
      <c r="LJ608" s="24"/>
      <c r="LK608" s="60"/>
      <c r="LL608" s="16"/>
      <c r="LM608" s="16"/>
      <c r="LN608" s="16"/>
      <c r="LO608" s="16"/>
      <c r="LP608" s="16"/>
      <c r="LQ608" s="17"/>
    </row>
    <row r="609">
      <c r="C609" s="31"/>
      <c r="D609" s="61"/>
      <c r="E609" s="16"/>
      <c r="F609" s="16"/>
      <c r="G609" s="21"/>
      <c r="H609" s="16"/>
      <c r="I609" s="16"/>
      <c r="J609" s="17"/>
      <c r="N609" s="17"/>
      <c r="O609" s="61"/>
      <c r="P609" s="16"/>
      <c r="Q609" s="16"/>
      <c r="R609" s="16"/>
      <c r="S609" s="16"/>
      <c r="T609" s="16"/>
      <c r="U609" s="17"/>
      <c r="Y609" s="24"/>
      <c r="Z609" s="61"/>
      <c r="AA609" s="16"/>
      <c r="AB609" s="16"/>
      <c r="AC609" s="16"/>
      <c r="AD609" s="16"/>
      <c r="AE609" s="16"/>
      <c r="AF609" s="17"/>
      <c r="AJ609" s="24"/>
      <c r="AK609" s="61"/>
      <c r="AL609" s="16"/>
      <c r="AM609" s="16"/>
      <c r="AN609" s="16"/>
      <c r="AO609" s="16"/>
      <c r="AP609" s="16"/>
      <c r="AQ609" s="17"/>
      <c r="AU609" s="24"/>
      <c r="AV609" s="61"/>
      <c r="AW609" s="16"/>
      <c r="AX609" s="16"/>
      <c r="AY609" s="16"/>
      <c r="AZ609" s="16"/>
      <c r="BA609" s="16"/>
      <c r="BB609" s="17"/>
      <c r="BF609" s="24"/>
      <c r="BG609" s="61"/>
      <c r="BH609" s="16"/>
      <c r="BI609" s="16"/>
      <c r="BJ609" s="16"/>
      <c r="BK609" s="16"/>
      <c r="BL609" s="16"/>
      <c r="BM609" s="17"/>
      <c r="BQ609" s="24"/>
      <c r="BR609" s="61"/>
      <c r="BS609" s="16"/>
      <c r="BT609" s="16"/>
      <c r="BU609" s="16"/>
      <c r="BV609" s="16"/>
      <c r="BW609" s="16"/>
      <c r="BX609" s="17"/>
      <c r="CB609" s="24"/>
      <c r="CC609" s="61"/>
      <c r="CD609" s="16"/>
      <c r="CE609" s="16"/>
      <c r="CF609" s="16"/>
      <c r="CG609" s="16"/>
      <c r="CH609" s="16"/>
      <c r="CI609" s="17"/>
      <c r="CM609" s="24"/>
      <c r="CN609" s="61"/>
      <c r="CO609" s="16"/>
      <c r="CP609" s="16"/>
      <c r="CQ609" s="16"/>
      <c r="CR609" s="16"/>
      <c r="CS609" s="16"/>
      <c r="CT609" s="17"/>
      <c r="CX609" s="24"/>
      <c r="CY609" s="60"/>
      <c r="CZ609" s="16"/>
      <c r="DA609" s="16"/>
      <c r="DB609" s="16"/>
      <c r="DC609" s="16"/>
      <c r="DD609" s="16"/>
      <c r="DE609" s="17"/>
      <c r="DI609" s="24"/>
      <c r="DJ609" s="60"/>
      <c r="DK609" s="16"/>
      <c r="DL609" s="16"/>
      <c r="DM609" s="16"/>
      <c r="DN609" s="16"/>
      <c r="DO609" s="16"/>
      <c r="DP609" s="17"/>
      <c r="DT609" s="24"/>
      <c r="DU609" s="60"/>
      <c r="DV609" s="16"/>
      <c r="DW609" s="16"/>
      <c r="DX609" s="16"/>
      <c r="DY609" s="16"/>
      <c r="DZ609" s="16"/>
      <c r="EA609" s="17"/>
      <c r="EE609" s="24"/>
      <c r="EF609" s="60"/>
      <c r="EG609" s="16"/>
      <c r="EH609" s="16"/>
      <c r="EI609" s="16"/>
      <c r="EJ609" s="16"/>
      <c r="EK609" s="16"/>
      <c r="EL609" s="17"/>
      <c r="EP609" s="24"/>
      <c r="EQ609" s="60"/>
      <c r="ER609" s="16"/>
      <c r="ES609" s="16"/>
      <c r="ET609" s="16"/>
      <c r="EU609" s="16"/>
      <c r="EV609" s="16"/>
      <c r="EW609" s="17"/>
      <c r="FA609" s="24"/>
      <c r="FB609" s="60"/>
      <c r="FC609" s="16"/>
      <c r="FD609" s="16"/>
      <c r="FE609" s="16"/>
      <c r="FF609" s="16"/>
      <c r="FG609" s="16"/>
      <c r="FH609" s="17"/>
      <c r="FL609" s="24"/>
      <c r="FM609" s="60"/>
      <c r="FN609" s="16"/>
      <c r="FO609" s="16"/>
      <c r="FP609" s="16"/>
      <c r="FQ609" s="16"/>
      <c r="FR609" s="16"/>
      <c r="FS609" s="17"/>
      <c r="FW609" s="24"/>
      <c r="FX609" s="60"/>
      <c r="FY609" s="16"/>
      <c r="FZ609" s="16"/>
      <c r="GA609" s="16"/>
      <c r="GB609" s="16"/>
      <c r="GC609" s="16"/>
      <c r="GD609" s="17"/>
      <c r="GH609" s="24"/>
      <c r="GI609" s="60"/>
      <c r="GJ609" s="16"/>
      <c r="GK609" s="16"/>
      <c r="GL609" s="16"/>
      <c r="GM609" s="16"/>
      <c r="GN609" s="16"/>
      <c r="GO609" s="17"/>
      <c r="GS609" s="24"/>
      <c r="GT609" s="60"/>
      <c r="GU609" s="16"/>
      <c r="GV609" s="16"/>
      <c r="GW609" s="16"/>
      <c r="GX609" s="16"/>
      <c r="GY609" s="16"/>
      <c r="GZ609" s="17"/>
      <c r="HD609" s="24"/>
      <c r="HE609" s="60"/>
      <c r="HF609" s="16"/>
      <c r="HG609" s="16"/>
      <c r="HH609" s="16"/>
      <c r="HI609" s="16"/>
      <c r="HJ609" s="16"/>
      <c r="HK609" s="17"/>
      <c r="HO609" s="24"/>
      <c r="HP609" s="60"/>
      <c r="HQ609" s="16"/>
      <c r="HR609" s="16"/>
      <c r="HS609" s="16"/>
      <c r="HT609" s="16"/>
      <c r="HU609" s="16"/>
      <c r="HV609" s="17"/>
      <c r="HZ609" s="24"/>
      <c r="IA609" s="60"/>
      <c r="IB609" s="16"/>
      <c r="IC609" s="16"/>
      <c r="ID609" s="16"/>
      <c r="IE609" s="16"/>
      <c r="IF609" s="16"/>
      <c r="IG609" s="17"/>
      <c r="IK609" s="24"/>
      <c r="IL609" s="60"/>
      <c r="IM609" s="16"/>
      <c r="IN609" s="16"/>
      <c r="IO609" s="16"/>
      <c r="IP609" s="16"/>
      <c r="IQ609" s="16"/>
      <c r="IR609" s="17"/>
      <c r="IV609" s="24"/>
      <c r="IW609" s="60"/>
      <c r="IX609" s="16"/>
      <c r="IY609" s="16"/>
      <c r="IZ609" s="16"/>
      <c r="JA609" s="16"/>
      <c r="JB609" s="16"/>
      <c r="JC609" s="17"/>
      <c r="JG609" s="24"/>
      <c r="JH609" s="60"/>
      <c r="JI609" s="16"/>
      <c r="JJ609" s="16"/>
      <c r="JK609" s="16"/>
      <c r="JL609" s="16"/>
      <c r="JM609" s="16"/>
      <c r="JN609" s="17"/>
      <c r="JR609" s="24"/>
      <c r="JS609" s="60"/>
      <c r="JT609" s="16"/>
      <c r="JU609" s="16"/>
      <c r="JV609" s="16"/>
      <c r="JW609" s="16"/>
      <c r="JX609" s="16"/>
      <c r="JY609" s="17"/>
      <c r="KC609" s="24"/>
      <c r="KD609" s="60"/>
      <c r="KE609" s="16"/>
      <c r="KF609" s="16"/>
      <c r="KG609" s="16"/>
      <c r="KH609" s="16"/>
      <c r="KI609" s="16"/>
      <c r="KJ609" s="17"/>
      <c r="KN609" s="24"/>
      <c r="KO609" s="60"/>
      <c r="KP609" s="16"/>
      <c r="KQ609" s="16"/>
      <c r="KR609" s="16"/>
      <c r="KS609" s="16"/>
      <c r="KT609" s="16"/>
      <c r="KU609" s="17"/>
      <c r="KY609" s="24"/>
      <c r="KZ609" s="60"/>
      <c r="LA609" s="16"/>
      <c r="LB609" s="16"/>
      <c r="LC609" s="16"/>
      <c r="LD609" s="16"/>
      <c r="LE609" s="16"/>
      <c r="LF609" s="17"/>
      <c r="LJ609" s="24"/>
      <c r="LK609" s="60"/>
      <c r="LL609" s="16"/>
      <c r="LM609" s="16"/>
      <c r="LN609" s="16"/>
      <c r="LO609" s="16"/>
      <c r="LP609" s="16"/>
      <c r="LQ609" s="17"/>
    </row>
    <row r="610">
      <c r="C610" s="31"/>
      <c r="D610" s="61"/>
      <c r="E610" s="16"/>
      <c r="F610" s="16"/>
      <c r="G610" s="21"/>
      <c r="H610" s="16"/>
      <c r="I610" s="16"/>
      <c r="J610" s="17"/>
      <c r="N610" s="17"/>
      <c r="O610" s="61"/>
      <c r="P610" s="16"/>
      <c r="Q610" s="16"/>
      <c r="R610" s="16"/>
      <c r="S610" s="16"/>
      <c r="T610" s="16"/>
      <c r="U610" s="17"/>
      <c r="Y610" s="24"/>
      <c r="Z610" s="61"/>
      <c r="AA610" s="16"/>
      <c r="AB610" s="16"/>
      <c r="AC610" s="16"/>
      <c r="AD610" s="16"/>
      <c r="AE610" s="16"/>
      <c r="AF610" s="17"/>
      <c r="AJ610" s="24"/>
      <c r="AK610" s="61"/>
      <c r="AL610" s="16"/>
      <c r="AM610" s="16"/>
      <c r="AN610" s="16"/>
      <c r="AO610" s="16"/>
      <c r="AP610" s="16"/>
      <c r="AQ610" s="17"/>
      <c r="AU610" s="24"/>
      <c r="AV610" s="61"/>
      <c r="AW610" s="16"/>
      <c r="AX610" s="16"/>
      <c r="AY610" s="16"/>
      <c r="AZ610" s="16"/>
      <c r="BA610" s="16"/>
      <c r="BB610" s="17"/>
      <c r="BF610" s="24"/>
      <c r="BG610" s="61"/>
      <c r="BH610" s="16"/>
      <c r="BI610" s="16"/>
      <c r="BJ610" s="16"/>
      <c r="BK610" s="16"/>
      <c r="BL610" s="16"/>
      <c r="BM610" s="17"/>
      <c r="BQ610" s="24"/>
      <c r="BR610" s="61"/>
      <c r="BS610" s="16"/>
      <c r="BT610" s="16"/>
      <c r="BU610" s="16"/>
      <c r="BV610" s="16"/>
      <c r="BW610" s="16"/>
      <c r="BX610" s="17"/>
      <c r="CB610" s="24"/>
      <c r="CC610" s="61"/>
      <c r="CD610" s="16"/>
      <c r="CE610" s="16"/>
      <c r="CF610" s="16"/>
      <c r="CG610" s="16"/>
      <c r="CH610" s="16"/>
      <c r="CI610" s="17"/>
      <c r="CM610" s="24"/>
      <c r="CN610" s="61"/>
      <c r="CO610" s="16"/>
      <c r="CP610" s="16"/>
      <c r="CQ610" s="16"/>
      <c r="CR610" s="16"/>
      <c r="CS610" s="16"/>
      <c r="CT610" s="17"/>
      <c r="CX610" s="24"/>
      <c r="CY610" s="60"/>
      <c r="CZ610" s="16"/>
      <c r="DA610" s="16"/>
      <c r="DB610" s="16"/>
      <c r="DC610" s="16"/>
      <c r="DD610" s="16"/>
      <c r="DE610" s="17"/>
      <c r="DI610" s="24"/>
      <c r="DJ610" s="60"/>
      <c r="DK610" s="16"/>
      <c r="DL610" s="16"/>
      <c r="DM610" s="16"/>
      <c r="DN610" s="16"/>
      <c r="DO610" s="16"/>
      <c r="DP610" s="17"/>
      <c r="DT610" s="24"/>
      <c r="DU610" s="60"/>
      <c r="DV610" s="16"/>
      <c r="DW610" s="16"/>
      <c r="DX610" s="16"/>
      <c r="DY610" s="16"/>
      <c r="DZ610" s="16"/>
      <c r="EA610" s="17"/>
      <c r="EE610" s="24"/>
      <c r="EF610" s="60"/>
      <c r="EG610" s="16"/>
      <c r="EH610" s="16"/>
      <c r="EI610" s="16"/>
      <c r="EJ610" s="16"/>
      <c r="EK610" s="16"/>
      <c r="EL610" s="17"/>
      <c r="EP610" s="24"/>
      <c r="EQ610" s="60"/>
      <c r="ER610" s="16"/>
      <c r="ES610" s="16"/>
      <c r="ET610" s="16"/>
      <c r="EU610" s="16"/>
      <c r="EV610" s="16"/>
      <c r="EW610" s="17"/>
      <c r="FA610" s="24"/>
      <c r="FB610" s="60"/>
      <c r="FC610" s="16"/>
      <c r="FD610" s="16"/>
      <c r="FE610" s="16"/>
      <c r="FF610" s="16"/>
      <c r="FG610" s="16"/>
      <c r="FH610" s="17"/>
      <c r="FL610" s="24"/>
      <c r="FM610" s="60"/>
      <c r="FN610" s="16"/>
      <c r="FO610" s="16"/>
      <c r="FP610" s="16"/>
      <c r="FQ610" s="16"/>
      <c r="FR610" s="16"/>
      <c r="FS610" s="17"/>
      <c r="FW610" s="24"/>
      <c r="FX610" s="60"/>
      <c r="FY610" s="16"/>
      <c r="FZ610" s="16"/>
      <c r="GA610" s="16"/>
      <c r="GB610" s="16"/>
      <c r="GC610" s="16"/>
      <c r="GD610" s="17"/>
      <c r="GH610" s="24"/>
      <c r="GI610" s="60"/>
      <c r="GJ610" s="16"/>
      <c r="GK610" s="16"/>
      <c r="GL610" s="16"/>
      <c r="GM610" s="16"/>
      <c r="GN610" s="16"/>
      <c r="GO610" s="17"/>
      <c r="GS610" s="24"/>
      <c r="GT610" s="60"/>
      <c r="GU610" s="16"/>
      <c r="GV610" s="16"/>
      <c r="GW610" s="16"/>
      <c r="GX610" s="16"/>
      <c r="GY610" s="16"/>
      <c r="GZ610" s="17"/>
      <c r="HD610" s="24"/>
      <c r="HE610" s="60"/>
      <c r="HF610" s="16"/>
      <c r="HG610" s="16"/>
      <c r="HH610" s="16"/>
      <c r="HI610" s="16"/>
      <c r="HJ610" s="16"/>
      <c r="HK610" s="17"/>
      <c r="HO610" s="24"/>
      <c r="HP610" s="60"/>
      <c r="HQ610" s="16"/>
      <c r="HR610" s="16"/>
      <c r="HS610" s="16"/>
      <c r="HT610" s="16"/>
      <c r="HU610" s="16"/>
      <c r="HV610" s="17"/>
      <c r="HZ610" s="24"/>
      <c r="IA610" s="60"/>
      <c r="IB610" s="16"/>
      <c r="IC610" s="16"/>
      <c r="ID610" s="16"/>
      <c r="IE610" s="16"/>
      <c r="IF610" s="16"/>
      <c r="IG610" s="17"/>
      <c r="IK610" s="24"/>
      <c r="IL610" s="60"/>
      <c r="IM610" s="16"/>
      <c r="IN610" s="16"/>
      <c r="IO610" s="16"/>
      <c r="IP610" s="16"/>
      <c r="IQ610" s="16"/>
      <c r="IR610" s="17"/>
      <c r="IV610" s="24"/>
      <c r="IW610" s="60"/>
      <c r="IX610" s="16"/>
      <c r="IY610" s="16"/>
      <c r="IZ610" s="16"/>
      <c r="JA610" s="16"/>
      <c r="JB610" s="16"/>
      <c r="JC610" s="17"/>
      <c r="JG610" s="24"/>
      <c r="JH610" s="60"/>
      <c r="JI610" s="16"/>
      <c r="JJ610" s="16"/>
      <c r="JK610" s="16"/>
      <c r="JL610" s="16"/>
      <c r="JM610" s="16"/>
      <c r="JN610" s="17"/>
      <c r="JR610" s="24"/>
      <c r="JS610" s="60"/>
      <c r="JT610" s="16"/>
      <c r="JU610" s="16"/>
      <c r="JV610" s="16"/>
      <c r="JW610" s="16"/>
      <c r="JX610" s="16"/>
      <c r="JY610" s="17"/>
      <c r="KC610" s="24"/>
      <c r="KD610" s="60"/>
      <c r="KE610" s="16"/>
      <c r="KF610" s="16"/>
      <c r="KG610" s="16"/>
      <c r="KH610" s="16"/>
      <c r="KI610" s="16"/>
      <c r="KJ610" s="17"/>
      <c r="KN610" s="24"/>
      <c r="KO610" s="60"/>
      <c r="KP610" s="16"/>
      <c r="KQ610" s="16"/>
      <c r="KR610" s="16"/>
      <c r="KS610" s="16"/>
      <c r="KT610" s="16"/>
      <c r="KU610" s="17"/>
      <c r="KY610" s="24"/>
      <c r="KZ610" s="60"/>
      <c r="LA610" s="16"/>
      <c r="LB610" s="16"/>
      <c r="LC610" s="16"/>
      <c r="LD610" s="16"/>
      <c r="LE610" s="16"/>
      <c r="LF610" s="17"/>
      <c r="LJ610" s="24"/>
      <c r="LK610" s="60"/>
      <c r="LL610" s="16"/>
      <c r="LM610" s="16"/>
      <c r="LN610" s="16"/>
      <c r="LO610" s="16"/>
      <c r="LP610" s="16"/>
      <c r="LQ610" s="17"/>
    </row>
    <row r="611">
      <c r="C611" s="31"/>
      <c r="D611" s="61"/>
      <c r="E611" s="16"/>
      <c r="F611" s="16"/>
      <c r="G611" s="21"/>
      <c r="H611" s="16"/>
      <c r="I611" s="16"/>
      <c r="J611" s="17"/>
      <c r="N611" s="17"/>
      <c r="O611" s="61"/>
      <c r="P611" s="16"/>
      <c r="Q611" s="16"/>
      <c r="R611" s="16"/>
      <c r="S611" s="16"/>
      <c r="T611" s="16"/>
      <c r="U611" s="17"/>
      <c r="Y611" s="24"/>
      <c r="Z611" s="61"/>
      <c r="AA611" s="16"/>
      <c r="AB611" s="16"/>
      <c r="AC611" s="16"/>
      <c r="AD611" s="16"/>
      <c r="AE611" s="16"/>
      <c r="AF611" s="17"/>
      <c r="AJ611" s="24"/>
      <c r="AK611" s="61"/>
      <c r="AL611" s="16"/>
      <c r="AM611" s="16"/>
      <c r="AN611" s="16"/>
      <c r="AO611" s="16"/>
      <c r="AP611" s="16"/>
      <c r="AQ611" s="17"/>
      <c r="AU611" s="24"/>
      <c r="AV611" s="61"/>
      <c r="AW611" s="16"/>
      <c r="AX611" s="16"/>
      <c r="AY611" s="16"/>
      <c r="AZ611" s="16"/>
      <c r="BA611" s="16"/>
      <c r="BB611" s="17"/>
      <c r="BF611" s="24"/>
      <c r="BG611" s="61"/>
      <c r="BH611" s="16"/>
      <c r="BI611" s="16"/>
      <c r="BJ611" s="16"/>
      <c r="BK611" s="16"/>
      <c r="BL611" s="16"/>
      <c r="BM611" s="17"/>
      <c r="BQ611" s="24"/>
      <c r="BR611" s="61"/>
      <c r="BS611" s="16"/>
      <c r="BT611" s="16"/>
      <c r="BU611" s="16"/>
      <c r="BV611" s="16"/>
      <c r="BW611" s="16"/>
      <c r="BX611" s="17"/>
      <c r="CB611" s="24"/>
      <c r="CC611" s="61"/>
      <c r="CD611" s="16"/>
      <c r="CE611" s="16"/>
      <c r="CF611" s="16"/>
      <c r="CG611" s="16"/>
      <c r="CH611" s="16"/>
      <c r="CI611" s="17"/>
      <c r="CM611" s="24"/>
      <c r="CN611" s="61"/>
      <c r="CO611" s="16"/>
      <c r="CP611" s="16"/>
      <c r="CQ611" s="16"/>
      <c r="CR611" s="16"/>
      <c r="CS611" s="16"/>
      <c r="CT611" s="17"/>
      <c r="CX611" s="24"/>
      <c r="CY611" s="60"/>
      <c r="CZ611" s="16"/>
      <c r="DA611" s="16"/>
      <c r="DB611" s="16"/>
      <c r="DC611" s="16"/>
      <c r="DD611" s="16"/>
      <c r="DE611" s="17"/>
      <c r="DI611" s="24"/>
      <c r="DJ611" s="60"/>
      <c r="DK611" s="16"/>
      <c r="DL611" s="16"/>
      <c r="DM611" s="16"/>
      <c r="DN611" s="16"/>
      <c r="DO611" s="16"/>
      <c r="DP611" s="17"/>
      <c r="DT611" s="24"/>
      <c r="DU611" s="60"/>
      <c r="DV611" s="16"/>
      <c r="DW611" s="16"/>
      <c r="DX611" s="16"/>
      <c r="DY611" s="16"/>
      <c r="DZ611" s="16"/>
      <c r="EA611" s="17"/>
      <c r="EE611" s="24"/>
      <c r="EF611" s="60"/>
      <c r="EG611" s="16"/>
      <c r="EH611" s="16"/>
      <c r="EI611" s="16"/>
      <c r="EJ611" s="16"/>
      <c r="EK611" s="16"/>
      <c r="EL611" s="17"/>
      <c r="EP611" s="24"/>
      <c r="EQ611" s="60"/>
      <c r="ER611" s="16"/>
      <c r="ES611" s="16"/>
      <c r="ET611" s="16"/>
      <c r="EU611" s="16"/>
      <c r="EV611" s="16"/>
      <c r="EW611" s="17"/>
      <c r="FA611" s="24"/>
      <c r="FB611" s="60"/>
      <c r="FC611" s="16"/>
      <c r="FD611" s="16"/>
      <c r="FE611" s="16"/>
      <c r="FF611" s="16"/>
      <c r="FG611" s="16"/>
      <c r="FH611" s="17"/>
      <c r="FL611" s="24"/>
      <c r="FM611" s="60"/>
      <c r="FN611" s="16"/>
      <c r="FO611" s="16"/>
      <c r="FP611" s="16"/>
      <c r="FQ611" s="16"/>
      <c r="FR611" s="16"/>
      <c r="FS611" s="17"/>
      <c r="FW611" s="24"/>
      <c r="FX611" s="60"/>
      <c r="FY611" s="16"/>
      <c r="FZ611" s="16"/>
      <c r="GA611" s="16"/>
      <c r="GB611" s="16"/>
      <c r="GC611" s="16"/>
      <c r="GD611" s="17"/>
      <c r="GH611" s="24"/>
      <c r="GI611" s="60"/>
      <c r="GJ611" s="16"/>
      <c r="GK611" s="16"/>
      <c r="GL611" s="16"/>
      <c r="GM611" s="16"/>
      <c r="GN611" s="16"/>
      <c r="GO611" s="17"/>
      <c r="GS611" s="24"/>
      <c r="GT611" s="60"/>
      <c r="GU611" s="16"/>
      <c r="GV611" s="16"/>
      <c r="GW611" s="16"/>
      <c r="GX611" s="16"/>
      <c r="GY611" s="16"/>
      <c r="GZ611" s="17"/>
      <c r="HD611" s="24"/>
      <c r="HE611" s="60"/>
      <c r="HF611" s="16"/>
      <c r="HG611" s="16"/>
      <c r="HH611" s="16"/>
      <c r="HI611" s="16"/>
      <c r="HJ611" s="16"/>
      <c r="HK611" s="17"/>
      <c r="HO611" s="24"/>
      <c r="HP611" s="60"/>
      <c r="HQ611" s="16"/>
      <c r="HR611" s="16"/>
      <c r="HS611" s="16"/>
      <c r="HT611" s="16"/>
      <c r="HU611" s="16"/>
      <c r="HV611" s="17"/>
      <c r="HZ611" s="24"/>
      <c r="IA611" s="60"/>
      <c r="IB611" s="16"/>
      <c r="IC611" s="16"/>
      <c r="ID611" s="16"/>
      <c r="IE611" s="16"/>
      <c r="IF611" s="16"/>
      <c r="IG611" s="17"/>
      <c r="IK611" s="24"/>
      <c r="IL611" s="60"/>
      <c r="IM611" s="16"/>
      <c r="IN611" s="16"/>
      <c r="IO611" s="16"/>
      <c r="IP611" s="16"/>
      <c r="IQ611" s="16"/>
      <c r="IR611" s="17"/>
      <c r="IV611" s="24"/>
      <c r="IW611" s="60"/>
      <c r="IX611" s="16"/>
      <c r="IY611" s="16"/>
      <c r="IZ611" s="16"/>
      <c r="JA611" s="16"/>
      <c r="JB611" s="16"/>
      <c r="JC611" s="17"/>
      <c r="JG611" s="24"/>
      <c r="JH611" s="60"/>
      <c r="JI611" s="16"/>
      <c r="JJ611" s="16"/>
      <c r="JK611" s="16"/>
      <c r="JL611" s="16"/>
      <c r="JM611" s="16"/>
      <c r="JN611" s="17"/>
      <c r="JR611" s="24"/>
      <c r="JS611" s="60"/>
      <c r="JT611" s="16"/>
      <c r="JU611" s="16"/>
      <c r="JV611" s="16"/>
      <c r="JW611" s="16"/>
      <c r="JX611" s="16"/>
      <c r="JY611" s="17"/>
      <c r="KC611" s="24"/>
      <c r="KD611" s="60"/>
      <c r="KE611" s="16"/>
      <c r="KF611" s="16"/>
      <c r="KG611" s="16"/>
      <c r="KH611" s="16"/>
      <c r="KI611" s="16"/>
      <c r="KJ611" s="17"/>
      <c r="KN611" s="24"/>
      <c r="KO611" s="60"/>
      <c r="KP611" s="16"/>
      <c r="KQ611" s="16"/>
      <c r="KR611" s="16"/>
      <c r="KS611" s="16"/>
      <c r="KT611" s="16"/>
      <c r="KU611" s="17"/>
      <c r="KY611" s="24"/>
      <c r="KZ611" s="60"/>
      <c r="LA611" s="16"/>
      <c r="LB611" s="16"/>
      <c r="LC611" s="16"/>
      <c r="LD611" s="16"/>
      <c r="LE611" s="16"/>
      <c r="LF611" s="17"/>
      <c r="LJ611" s="24"/>
      <c r="LK611" s="60"/>
      <c r="LL611" s="16"/>
      <c r="LM611" s="16"/>
      <c r="LN611" s="16"/>
      <c r="LO611" s="16"/>
      <c r="LP611" s="16"/>
      <c r="LQ611" s="17"/>
    </row>
    <row r="612">
      <c r="C612" s="31"/>
      <c r="D612" s="61"/>
      <c r="E612" s="16"/>
      <c r="F612" s="16"/>
      <c r="G612" s="21"/>
      <c r="H612" s="16"/>
      <c r="I612" s="16"/>
      <c r="J612" s="17"/>
      <c r="N612" s="17"/>
      <c r="O612" s="61"/>
      <c r="P612" s="16"/>
      <c r="Q612" s="16"/>
      <c r="R612" s="16"/>
      <c r="S612" s="16"/>
      <c r="T612" s="16"/>
      <c r="U612" s="17"/>
      <c r="Y612" s="24"/>
      <c r="Z612" s="61"/>
      <c r="AA612" s="16"/>
      <c r="AB612" s="16"/>
      <c r="AC612" s="16"/>
      <c r="AD612" s="16"/>
      <c r="AE612" s="16"/>
      <c r="AF612" s="17"/>
      <c r="AJ612" s="24"/>
      <c r="AK612" s="61"/>
      <c r="AL612" s="16"/>
      <c r="AM612" s="16"/>
      <c r="AN612" s="16"/>
      <c r="AO612" s="16"/>
      <c r="AP612" s="16"/>
      <c r="AQ612" s="17"/>
      <c r="AU612" s="24"/>
      <c r="AV612" s="61"/>
      <c r="AW612" s="16"/>
      <c r="AX612" s="16"/>
      <c r="AY612" s="16"/>
      <c r="AZ612" s="16"/>
      <c r="BA612" s="16"/>
      <c r="BB612" s="17"/>
      <c r="BF612" s="24"/>
      <c r="BG612" s="61"/>
      <c r="BH612" s="16"/>
      <c r="BI612" s="16"/>
      <c r="BJ612" s="16"/>
      <c r="BK612" s="16"/>
      <c r="BL612" s="16"/>
      <c r="BM612" s="17"/>
      <c r="BQ612" s="24"/>
      <c r="BR612" s="61"/>
      <c r="BS612" s="16"/>
      <c r="BT612" s="16"/>
      <c r="BU612" s="16"/>
      <c r="BV612" s="16"/>
      <c r="BW612" s="16"/>
      <c r="BX612" s="17"/>
      <c r="CB612" s="24"/>
      <c r="CC612" s="61"/>
      <c r="CD612" s="16"/>
      <c r="CE612" s="16"/>
      <c r="CF612" s="16"/>
      <c r="CG612" s="16"/>
      <c r="CH612" s="16"/>
      <c r="CI612" s="17"/>
      <c r="CM612" s="24"/>
      <c r="CN612" s="61"/>
      <c r="CO612" s="16"/>
      <c r="CP612" s="16"/>
      <c r="CQ612" s="16"/>
      <c r="CR612" s="16"/>
      <c r="CS612" s="16"/>
      <c r="CT612" s="17"/>
      <c r="CX612" s="24"/>
      <c r="CY612" s="60"/>
      <c r="CZ612" s="16"/>
      <c r="DA612" s="16"/>
      <c r="DB612" s="16"/>
      <c r="DC612" s="16"/>
      <c r="DD612" s="16"/>
      <c r="DE612" s="17"/>
      <c r="DI612" s="24"/>
      <c r="DJ612" s="60"/>
      <c r="DK612" s="16"/>
      <c r="DL612" s="16"/>
      <c r="DM612" s="16"/>
      <c r="DN612" s="16"/>
      <c r="DO612" s="16"/>
      <c r="DP612" s="17"/>
      <c r="DT612" s="24"/>
      <c r="DU612" s="60"/>
      <c r="DV612" s="16"/>
      <c r="DW612" s="16"/>
      <c r="DX612" s="16"/>
      <c r="DY612" s="16"/>
      <c r="DZ612" s="16"/>
      <c r="EA612" s="17"/>
      <c r="EE612" s="24"/>
      <c r="EF612" s="60"/>
      <c r="EG612" s="16"/>
      <c r="EH612" s="16"/>
      <c r="EI612" s="16"/>
      <c r="EJ612" s="16"/>
      <c r="EK612" s="16"/>
      <c r="EL612" s="17"/>
      <c r="EP612" s="24"/>
      <c r="EQ612" s="60"/>
      <c r="ER612" s="16"/>
      <c r="ES612" s="16"/>
      <c r="ET612" s="16"/>
      <c r="EU612" s="16"/>
      <c r="EV612" s="16"/>
      <c r="EW612" s="17"/>
      <c r="FA612" s="24"/>
      <c r="FB612" s="60"/>
      <c r="FC612" s="16"/>
      <c r="FD612" s="16"/>
      <c r="FE612" s="16"/>
      <c r="FF612" s="16"/>
      <c r="FG612" s="16"/>
      <c r="FH612" s="17"/>
      <c r="FL612" s="24"/>
      <c r="FM612" s="60"/>
      <c r="FN612" s="16"/>
      <c r="FO612" s="16"/>
      <c r="FP612" s="16"/>
      <c r="FQ612" s="16"/>
      <c r="FR612" s="16"/>
      <c r="FS612" s="17"/>
      <c r="FW612" s="24"/>
      <c r="FX612" s="60"/>
      <c r="FY612" s="16"/>
      <c r="FZ612" s="16"/>
      <c r="GA612" s="16"/>
      <c r="GB612" s="16"/>
      <c r="GC612" s="16"/>
      <c r="GD612" s="17"/>
      <c r="GH612" s="24"/>
      <c r="GI612" s="60"/>
      <c r="GJ612" s="16"/>
      <c r="GK612" s="16"/>
      <c r="GL612" s="16"/>
      <c r="GM612" s="16"/>
      <c r="GN612" s="16"/>
      <c r="GO612" s="17"/>
      <c r="GS612" s="24"/>
      <c r="GT612" s="60"/>
      <c r="GU612" s="16"/>
      <c r="GV612" s="16"/>
      <c r="GW612" s="16"/>
      <c r="GX612" s="16"/>
      <c r="GY612" s="16"/>
      <c r="GZ612" s="17"/>
      <c r="HD612" s="24"/>
      <c r="HE612" s="60"/>
      <c r="HF612" s="16"/>
      <c r="HG612" s="16"/>
      <c r="HH612" s="16"/>
      <c r="HI612" s="16"/>
      <c r="HJ612" s="16"/>
      <c r="HK612" s="17"/>
      <c r="HO612" s="24"/>
      <c r="HP612" s="60"/>
      <c r="HQ612" s="16"/>
      <c r="HR612" s="16"/>
      <c r="HS612" s="16"/>
      <c r="HT612" s="16"/>
      <c r="HU612" s="16"/>
      <c r="HV612" s="17"/>
      <c r="HZ612" s="24"/>
      <c r="IA612" s="60"/>
      <c r="IB612" s="16"/>
      <c r="IC612" s="16"/>
      <c r="ID612" s="16"/>
      <c r="IE612" s="16"/>
      <c r="IF612" s="16"/>
      <c r="IG612" s="17"/>
      <c r="IK612" s="24"/>
      <c r="IL612" s="60"/>
      <c r="IM612" s="16"/>
      <c r="IN612" s="16"/>
      <c r="IO612" s="16"/>
      <c r="IP612" s="16"/>
      <c r="IQ612" s="16"/>
      <c r="IR612" s="17"/>
      <c r="IV612" s="24"/>
      <c r="IW612" s="60"/>
      <c r="IX612" s="16"/>
      <c r="IY612" s="16"/>
      <c r="IZ612" s="16"/>
      <c r="JA612" s="16"/>
      <c r="JB612" s="16"/>
      <c r="JC612" s="17"/>
      <c r="JG612" s="24"/>
      <c r="JH612" s="60"/>
      <c r="JI612" s="16"/>
      <c r="JJ612" s="16"/>
      <c r="JK612" s="16"/>
      <c r="JL612" s="16"/>
      <c r="JM612" s="16"/>
      <c r="JN612" s="17"/>
      <c r="JR612" s="24"/>
      <c r="JS612" s="60"/>
      <c r="JT612" s="16"/>
      <c r="JU612" s="16"/>
      <c r="JV612" s="16"/>
      <c r="JW612" s="16"/>
      <c r="JX612" s="16"/>
      <c r="JY612" s="17"/>
      <c r="KC612" s="24"/>
      <c r="KD612" s="60"/>
      <c r="KE612" s="16"/>
      <c r="KF612" s="16"/>
      <c r="KG612" s="16"/>
      <c r="KH612" s="16"/>
      <c r="KI612" s="16"/>
      <c r="KJ612" s="17"/>
      <c r="KN612" s="24"/>
      <c r="KO612" s="60"/>
      <c r="KP612" s="16"/>
      <c r="KQ612" s="16"/>
      <c r="KR612" s="16"/>
      <c r="KS612" s="16"/>
      <c r="KT612" s="16"/>
      <c r="KU612" s="17"/>
      <c r="KY612" s="24"/>
      <c r="KZ612" s="60"/>
      <c r="LA612" s="16"/>
      <c r="LB612" s="16"/>
      <c r="LC612" s="16"/>
      <c r="LD612" s="16"/>
      <c r="LE612" s="16"/>
      <c r="LF612" s="17"/>
      <c r="LJ612" s="24"/>
      <c r="LK612" s="60"/>
      <c r="LL612" s="16"/>
      <c r="LM612" s="16"/>
      <c r="LN612" s="16"/>
      <c r="LO612" s="16"/>
      <c r="LP612" s="16"/>
      <c r="LQ612" s="17"/>
    </row>
    <row r="613">
      <c r="C613" s="31"/>
      <c r="D613" s="61"/>
      <c r="E613" s="16"/>
      <c r="F613" s="16"/>
      <c r="G613" s="21"/>
      <c r="H613" s="16"/>
      <c r="I613" s="16"/>
      <c r="J613" s="17"/>
      <c r="N613" s="17"/>
      <c r="O613" s="61"/>
      <c r="P613" s="16"/>
      <c r="Q613" s="16"/>
      <c r="R613" s="16"/>
      <c r="S613" s="16"/>
      <c r="T613" s="16"/>
      <c r="U613" s="17"/>
      <c r="Y613" s="24"/>
      <c r="Z613" s="61"/>
      <c r="AA613" s="16"/>
      <c r="AB613" s="16"/>
      <c r="AC613" s="16"/>
      <c r="AD613" s="16"/>
      <c r="AE613" s="16"/>
      <c r="AF613" s="17"/>
      <c r="AJ613" s="24"/>
      <c r="AK613" s="61"/>
      <c r="AL613" s="16"/>
      <c r="AM613" s="16"/>
      <c r="AN613" s="16"/>
      <c r="AO613" s="16"/>
      <c r="AP613" s="16"/>
      <c r="AQ613" s="17"/>
      <c r="AU613" s="24"/>
      <c r="AV613" s="61"/>
      <c r="AW613" s="16"/>
      <c r="AX613" s="16"/>
      <c r="AY613" s="16"/>
      <c r="AZ613" s="16"/>
      <c r="BA613" s="16"/>
      <c r="BB613" s="17"/>
      <c r="BF613" s="24"/>
      <c r="BG613" s="61"/>
      <c r="BH613" s="16"/>
      <c r="BI613" s="16"/>
      <c r="BJ613" s="16"/>
      <c r="BK613" s="16"/>
      <c r="BL613" s="16"/>
      <c r="BM613" s="17"/>
      <c r="BQ613" s="24"/>
      <c r="BR613" s="61"/>
      <c r="BS613" s="16"/>
      <c r="BT613" s="16"/>
      <c r="BU613" s="16"/>
      <c r="BV613" s="16"/>
      <c r="BW613" s="16"/>
      <c r="BX613" s="17"/>
      <c r="CB613" s="24"/>
      <c r="CC613" s="61"/>
      <c r="CD613" s="16"/>
      <c r="CE613" s="16"/>
      <c r="CF613" s="16"/>
      <c r="CG613" s="16"/>
      <c r="CH613" s="16"/>
      <c r="CI613" s="17"/>
      <c r="CM613" s="24"/>
      <c r="CN613" s="61"/>
      <c r="CO613" s="16"/>
      <c r="CP613" s="16"/>
      <c r="CQ613" s="16"/>
      <c r="CR613" s="16"/>
      <c r="CS613" s="16"/>
      <c r="CT613" s="17"/>
      <c r="CX613" s="24"/>
      <c r="CY613" s="60"/>
      <c r="CZ613" s="16"/>
      <c r="DA613" s="16"/>
      <c r="DB613" s="16"/>
      <c r="DC613" s="16"/>
      <c r="DD613" s="16"/>
      <c r="DE613" s="17"/>
      <c r="DI613" s="24"/>
      <c r="DJ613" s="60"/>
      <c r="DK613" s="16"/>
      <c r="DL613" s="16"/>
      <c r="DM613" s="16"/>
      <c r="DN613" s="16"/>
      <c r="DO613" s="16"/>
      <c r="DP613" s="17"/>
      <c r="DT613" s="24"/>
      <c r="DU613" s="60"/>
      <c r="DV613" s="16"/>
      <c r="DW613" s="16"/>
      <c r="DX613" s="16"/>
      <c r="DY613" s="16"/>
      <c r="DZ613" s="16"/>
      <c r="EA613" s="17"/>
      <c r="EE613" s="24"/>
      <c r="EF613" s="60"/>
      <c r="EG613" s="16"/>
      <c r="EH613" s="16"/>
      <c r="EI613" s="16"/>
      <c r="EJ613" s="16"/>
      <c r="EK613" s="16"/>
      <c r="EL613" s="17"/>
      <c r="EP613" s="24"/>
      <c r="EQ613" s="60"/>
      <c r="ER613" s="16"/>
      <c r="ES613" s="16"/>
      <c r="ET613" s="16"/>
      <c r="EU613" s="16"/>
      <c r="EV613" s="16"/>
      <c r="EW613" s="17"/>
      <c r="FA613" s="24"/>
      <c r="FB613" s="60"/>
      <c r="FC613" s="16"/>
      <c r="FD613" s="16"/>
      <c r="FE613" s="16"/>
      <c r="FF613" s="16"/>
      <c r="FG613" s="16"/>
      <c r="FH613" s="17"/>
      <c r="FL613" s="24"/>
      <c r="FM613" s="60"/>
      <c r="FN613" s="16"/>
      <c r="FO613" s="16"/>
      <c r="FP613" s="16"/>
      <c r="FQ613" s="16"/>
      <c r="FR613" s="16"/>
      <c r="FS613" s="17"/>
      <c r="FW613" s="24"/>
      <c r="FX613" s="60"/>
      <c r="FY613" s="16"/>
      <c r="FZ613" s="16"/>
      <c r="GA613" s="16"/>
      <c r="GB613" s="16"/>
      <c r="GC613" s="16"/>
      <c r="GD613" s="17"/>
      <c r="GH613" s="24"/>
      <c r="GI613" s="60"/>
      <c r="GJ613" s="16"/>
      <c r="GK613" s="16"/>
      <c r="GL613" s="16"/>
      <c r="GM613" s="16"/>
      <c r="GN613" s="16"/>
      <c r="GO613" s="17"/>
      <c r="GS613" s="24"/>
      <c r="GT613" s="60"/>
      <c r="GU613" s="16"/>
      <c r="GV613" s="16"/>
      <c r="GW613" s="16"/>
      <c r="GX613" s="16"/>
      <c r="GY613" s="16"/>
      <c r="GZ613" s="17"/>
      <c r="HD613" s="24"/>
      <c r="HE613" s="60"/>
      <c r="HF613" s="16"/>
      <c r="HG613" s="16"/>
      <c r="HH613" s="16"/>
      <c r="HI613" s="16"/>
      <c r="HJ613" s="16"/>
      <c r="HK613" s="17"/>
      <c r="HO613" s="24"/>
      <c r="HP613" s="60"/>
      <c r="HQ613" s="16"/>
      <c r="HR613" s="16"/>
      <c r="HS613" s="16"/>
      <c r="HT613" s="16"/>
      <c r="HU613" s="16"/>
      <c r="HV613" s="17"/>
      <c r="HZ613" s="24"/>
      <c r="IA613" s="60"/>
      <c r="IB613" s="16"/>
      <c r="IC613" s="16"/>
      <c r="ID613" s="16"/>
      <c r="IE613" s="16"/>
      <c r="IF613" s="16"/>
      <c r="IG613" s="17"/>
      <c r="IK613" s="24"/>
      <c r="IL613" s="60"/>
      <c r="IM613" s="16"/>
      <c r="IN613" s="16"/>
      <c r="IO613" s="16"/>
      <c r="IP613" s="16"/>
      <c r="IQ613" s="16"/>
      <c r="IR613" s="17"/>
      <c r="IV613" s="24"/>
      <c r="IW613" s="60"/>
      <c r="IX613" s="16"/>
      <c r="IY613" s="16"/>
      <c r="IZ613" s="16"/>
      <c r="JA613" s="16"/>
      <c r="JB613" s="16"/>
      <c r="JC613" s="17"/>
      <c r="JG613" s="24"/>
      <c r="JH613" s="60"/>
      <c r="JI613" s="16"/>
      <c r="JJ613" s="16"/>
      <c r="JK613" s="16"/>
      <c r="JL613" s="16"/>
      <c r="JM613" s="16"/>
      <c r="JN613" s="17"/>
      <c r="JR613" s="24"/>
      <c r="JS613" s="60"/>
      <c r="JT613" s="16"/>
      <c r="JU613" s="16"/>
      <c r="JV613" s="16"/>
      <c r="JW613" s="16"/>
      <c r="JX613" s="16"/>
      <c r="JY613" s="17"/>
      <c r="KC613" s="24"/>
      <c r="KD613" s="60"/>
      <c r="KE613" s="16"/>
      <c r="KF613" s="16"/>
      <c r="KG613" s="16"/>
      <c r="KH613" s="16"/>
      <c r="KI613" s="16"/>
      <c r="KJ613" s="17"/>
      <c r="KN613" s="24"/>
      <c r="KO613" s="60"/>
      <c r="KP613" s="16"/>
      <c r="KQ613" s="16"/>
      <c r="KR613" s="16"/>
      <c r="KS613" s="16"/>
      <c r="KT613" s="16"/>
      <c r="KU613" s="17"/>
      <c r="KY613" s="24"/>
      <c r="KZ613" s="60"/>
      <c r="LA613" s="16"/>
      <c r="LB613" s="16"/>
      <c r="LC613" s="16"/>
      <c r="LD613" s="16"/>
      <c r="LE613" s="16"/>
      <c r="LF613" s="17"/>
      <c r="LJ613" s="24"/>
      <c r="LK613" s="60"/>
      <c r="LL613" s="16"/>
      <c r="LM613" s="16"/>
      <c r="LN613" s="16"/>
      <c r="LO613" s="16"/>
      <c r="LP613" s="16"/>
      <c r="LQ613" s="17"/>
    </row>
    <row r="614">
      <c r="C614" s="31"/>
      <c r="D614" s="61"/>
      <c r="E614" s="16"/>
      <c r="F614" s="16"/>
      <c r="G614" s="21"/>
      <c r="H614" s="16"/>
      <c r="I614" s="16"/>
      <c r="J614" s="17"/>
      <c r="N614" s="17"/>
      <c r="O614" s="61"/>
      <c r="P614" s="16"/>
      <c r="Q614" s="16"/>
      <c r="R614" s="16"/>
      <c r="S614" s="16"/>
      <c r="T614" s="16"/>
      <c r="U614" s="17"/>
      <c r="Y614" s="24"/>
      <c r="Z614" s="61"/>
      <c r="AA614" s="16"/>
      <c r="AB614" s="16"/>
      <c r="AC614" s="16"/>
      <c r="AD614" s="16"/>
      <c r="AE614" s="16"/>
      <c r="AF614" s="17"/>
      <c r="AJ614" s="24"/>
      <c r="AK614" s="61"/>
      <c r="AL614" s="16"/>
      <c r="AM614" s="16"/>
      <c r="AN614" s="16"/>
      <c r="AO614" s="16"/>
      <c r="AP614" s="16"/>
      <c r="AQ614" s="17"/>
      <c r="AU614" s="24"/>
      <c r="AV614" s="61"/>
      <c r="AW614" s="16"/>
      <c r="AX614" s="16"/>
      <c r="AY614" s="16"/>
      <c r="AZ614" s="16"/>
      <c r="BA614" s="16"/>
      <c r="BB614" s="17"/>
      <c r="BF614" s="24"/>
      <c r="BG614" s="61"/>
      <c r="BH614" s="16"/>
      <c r="BI614" s="16"/>
      <c r="BJ614" s="16"/>
      <c r="BK614" s="16"/>
      <c r="BL614" s="16"/>
      <c r="BM614" s="17"/>
      <c r="BQ614" s="24"/>
      <c r="BR614" s="61"/>
      <c r="BS614" s="16"/>
      <c r="BT614" s="16"/>
      <c r="BU614" s="16"/>
      <c r="BV614" s="16"/>
      <c r="BW614" s="16"/>
      <c r="BX614" s="17"/>
      <c r="CB614" s="24"/>
      <c r="CC614" s="61"/>
      <c r="CD614" s="16"/>
      <c r="CE614" s="16"/>
      <c r="CF614" s="16"/>
      <c r="CG614" s="16"/>
      <c r="CH614" s="16"/>
      <c r="CI614" s="17"/>
      <c r="CM614" s="24"/>
      <c r="CN614" s="61"/>
      <c r="CO614" s="16"/>
      <c r="CP614" s="16"/>
      <c r="CQ614" s="16"/>
      <c r="CR614" s="16"/>
      <c r="CS614" s="16"/>
      <c r="CT614" s="17"/>
      <c r="CX614" s="24"/>
      <c r="CY614" s="60"/>
      <c r="CZ614" s="16"/>
      <c r="DA614" s="16"/>
      <c r="DB614" s="16"/>
      <c r="DC614" s="16"/>
      <c r="DD614" s="16"/>
      <c r="DE614" s="17"/>
      <c r="DI614" s="24"/>
      <c r="DJ614" s="60"/>
      <c r="DK614" s="16"/>
      <c r="DL614" s="16"/>
      <c r="DM614" s="16"/>
      <c r="DN614" s="16"/>
      <c r="DO614" s="16"/>
      <c r="DP614" s="17"/>
      <c r="DT614" s="24"/>
      <c r="DU614" s="60"/>
      <c r="DV614" s="16"/>
      <c r="DW614" s="16"/>
      <c r="DX614" s="16"/>
      <c r="DY614" s="16"/>
      <c r="DZ614" s="16"/>
      <c r="EA614" s="17"/>
      <c r="EE614" s="24"/>
      <c r="EF614" s="60"/>
      <c r="EG614" s="16"/>
      <c r="EH614" s="16"/>
      <c r="EI614" s="16"/>
      <c r="EJ614" s="16"/>
      <c r="EK614" s="16"/>
      <c r="EL614" s="17"/>
      <c r="EP614" s="24"/>
      <c r="EQ614" s="60"/>
      <c r="ER614" s="16"/>
      <c r="ES614" s="16"/>
      <c r="ET614" s="16"/>
      <c r="EU614" s="16"/>
      <c r="EV614" s="16"/>
      <c r="EW614" s="17"/>
      <c r="FA614" s="24"/>
      <c r="FB614" s="60"/>
      <c r="FC614" s="16"/>
      <c r="FD614" s="16"/>
      <c r="FE614" s="16"/>
      <c r="FF614" s="16"/>
      <c r="FG614" s="16"/>
      <c r="FH614" s="17"/>
      <c r="FL614" s="24"/>
      <c r="FM614" s="60"/>
      <c r="FN614" s="16"/>
      <c r="FO614" s="16"/>
      <c r="FP614" s="16"/>
      <c r="FQ614" s="16"/>
      <c r="FR614" s="16"/>
      <c r="FS614" s="17"/>
      <c r="FW614" s="24"/>
      <c r="FX614" s="60"/>
      <c r="FY614" s="16"/>
      <c r="FZ614" s="16"/>
      <c r="GA614" s="16"/>
      <c r="GB614" s="16"/>
      <c r="GC614" s="16"/>
      <c r="GD614" s="17"/>
      <c r="GH614" s="24"/>
      <c r="GI614" s="60"/>
      <c r="GJ614" s="16"/>
      <c r="GK614" s="16"/>
      <c r="GL614" s="16"/>
      <c r="GM614" s="16"/>
      <c r="GN614" s="16"/>
      <c r="GO614" s="17"/>
      <c r="GS614" s="24"/>
      <c r="GT614" s="60"/>
      <c r="GU614" s="16"/>
      <c r="GV614" s="16"/>
      <c r="GW614" s="16"/>
      <c r="GX614" s="16"/>
      <c r="GY614" s="16"/>
      <c r="GZ614" s="17"/>
      <c r="HD614" s="24"/>
      <c r="HE614" s="60"/>
      <c r="HF614" s="16"/>
      <c r="HG614" s="16"/>
      <c r="HH614" s="16"/>
      <c r="HI614" s="16"/>
      <c r="HJ614" s="16"/>
      <c r="HK614" s="17"/>
      <c r="HO614" s="24"/>
      <c r="HP614" s="60"/>
      <c r="HQ614" s="16"/>
      <c r="HR614" s="16"/>
      <c r="HS614" s="16"/>
      <c r="HT614" s="16"/>
      <c r="HU614" s="16"/>
      <c r="HV614" s="17"/>
      <c r="HZ614" s="24"/>
      <c r="IA614" s="60"/>
      <c r="IB614" s="16"/>
      <c r="IC614" s="16"/>
      <c r="ID614" s="16"/>
      <c r="IE614" s="16"/>
      <c r="IF614" s="16"/>
      <c r="IG614" s="17"/>
      <c r="IK614" s="24"/>
      <c r="IL614" s="60"/>
      <c r="IM614" s="16"/>
      <c r="IN614" s="16"/>
      <c r="IO614" s="16"/>
      <c r="IP614" s="16"/>
      <c r="IQ614" s="16"/>
      <c r="IR614" s="17"/>
      <c r="IV614" s="24"/>
      <c r="IW614" s="60"/>
      <c r="IX614" s="16"/>
      <c r="IY614" s="16"/>
      <c r="IZ614" s="16"/>
      <c r="JA614" s="16"/>
      <c r="JB614" s="16"/>
      <c r="JC614" s="17"/>
      <c r="JG614" s="24"/>
      <c r="JH614" s="60"/>
      <c r="JI614" s="16"/>
      <c r="JJ614" s="16"/>
      <c r="JK614" s="16"/>
      <c r="JL614" s="16"/>
      <c r="JM614" s="16"/>
      <c r="JN614" s="17"/>
      <c r="JR614" s="24"/>
      <c r="JS614" s="60"/>
      <c r="JT614" s="16"/>
      <c r="JU614" s="16"/>
      <c r="JV614" s="16"/>
      <c r="JW614" s="16"/>
      <c r="JX614" s="16"/>
      <c r="JY614" s="17"/>
      <c r="KC614" s="24"/>
      <c r="KD614" s="60"/>
      <c r="KE614" s="16"/>
      <c r="KF614" s="16"/>
      <c r="KG614" s="16"/>
      <c r="KH614" s="16"/>
      <c r="KI614" s="16"/>
      <c r="KJ614" s="17"/>
      <c r="KN614" s="24"/>
      <c r="KO614" s="60"/>
      <c r="KP614" s="16"/>
      <c r="KQ614" s="16"/>
      <c r="KR614" s="16"/>
      <c r="KS614" s="16"/>
      <c r="KT614" s="16"/>
      <c r="KU614" s="17"/>
      <c r="KY614" s="24"/>
      <c r="KZ614" s="60"/>
      <c r="LA614" s="16"/>
      <c r="LB614" s="16"/>
      <c r="LC614" s="16"/>
      <c r="LD614" s="16"/>
      <c r="LE614" s="16"/>
      <c r="LF614" s="17"/>
      <c r="LJ614" s="24"/>
      <c r="LK614" s="60"/>
      <c r="LL614" s="16"/>
      <c r="LM614" s="16"/>
      <c r="LN614" s="16"/>
      <c r="LO614" s="16"/>
      <c r="LP614" s="16"/>
      <c r="LQ614" s="17"/>
    </row>
    <row r="615">
      <c r="C615" s="31"/>
      <c r="D615" s="61"/>
      <c r="E615" s="16"/>
      <c r="F615" s="16"/>
      <c r="G615" s="21"/>
      <c r="H615" s="16"/>
      <c r="I615" s="16"/>
      <c r="J615" s="17"/>
      <c r="N615" s="17"/>
      <c r="O615" s="61"/>
      <c r="P615" s="16"/>
      <c r="Q615" s="16"/>
      <c r="R615" s="16"/>
      <c r="S615" s="16"/>
      <c r="T615" s="16"/>
      <c r="U615" s="17"/>
      <c r="Y615" s="24"/>
      <c r="Z615" s="61"/>
      <c r="AA615" s="16"/>
      <c r="AB615" s="16"/>
      <c r="AC615" s="16"/>
      <c r="AD615" s="16"/>
      <c r="AE615" s="16"/>
      <c r="AF615" s="17"/>
      <c r="AJ615" s="24"/>
      <c r="AK615" s="61"/>
      <c r="AL615" s="16"/>
      <c r="AM615" s="16"/>
      <c r="AN615" s="16"/>
      <c r="AO615" s="16"/>
      <c r="AP615" s="16"/>
      <c r="AQ615" s="17"/>
      <c r="AU615" s="24"/>
      <c r="AV615" s="61"/>
      <c r="AW615" s="16"/>
      <c r="AX615" s="16"/>
      <c r="AY615" s="16"/>
      <c r="AZ615" s="16"/>
      <c r="BA615" s="16"/>
      <c r="BB615" s="17"/>
      <c r="BF615" s="24"/>
      <c r="BG615" s="61"/>
      <c r="BH615" s="16"/>
      <c r="BI615" s="16"/>
      <c r="BJ615" s="16"/>
      <c r="BK615" s="16"/>
      <c r="BL615" s="16"/>
      <c r="BM615" s="17"/>
      <c r="BQ615" s="24"/>
      <c r="BR615" s="61"/>
      <c r="BS615" s="16"/>
      <c r="BT615" s="16"/>
      <c r="BU615" s="16"/>
      <c r="BV615" s="16"/>
      <c r="BW615" s="16"/>
      <c r="BX615" s="17"/>
      <c r="CB615" s="24"/>
      <c r="CC615" s="61"/>
      <c r="CD615" s="16"/>
      <c r="CE615" s="16"/>
      <c r="CF615" s="16"/>
      <c r="CG615" s="16"/>
      <c r="CH615" s="16"/>
      <c r="CI615" s="17"/>
      <c r="CM615" s="24"/>
      <c r="CN615" s="61"/>
      <c r="CO615" s="16"/>
      <c r="CP615" s="16"/>
      <c r="CQ615" s="16"/>
      <c r="CR615" s="16"/>
      <c r="CS615" s="16"/>
      <c r="CT615" s="17"/>
      <c r="CX615" s="24"/>
      <c r="CY615" s="60"/>
      <c r="CZ615" s="16"/>
      <c r="DA615" s="16"/>
      <c r="DB615" s="16"/>
      <c r="DC615" s="16"/>
      <c r="DD615" s="16"/>
      <c r="DE615" s="17"/>
      <c r="DI615" s="24"/>
      <c r="DJ615" s="60"/>
      <c r="DK615" s="16"/>
      <c r="DL615" s="16"/>
      <c r="DM615" s="16"/>
      <c r="DN615" s="16"/>
      <c r="DO615" s="16"/>
      <c r="DP615" s="17"/>
      <c r="DT615" s="24"/>
      <c r="DU615" s="60"/>
      <c r="DV615" s="16"/>
      <c r="DW615" s="16"/>
      <c r="DX615" s="16"/>
      <c r="DY615" s="16"/>
      <c r="DZ615" s="16"/>
      <c r="EA615" s="17"/>
      <c r="EE615" s="24"/>
      <c r="EF615" s="60"/>
      <c r="EG615" s="16"/>
      <c r="EH615" s="16"/>
      <c r="EI615" s="16"/>
      <c r="EJ615" s="16"/>
      <c r="EK615" s="16"/>
      <c r="EL615" s="17"/>
      <c r="EP615" s="24"/>
      <c r="EQ615" s="60"/>
      <c r="ER615" s="16"/>
      <c r="ES615" s="16"/>
      <c r="ET615" s="16"/>
      <c r="EU615" s="16"/>
      <c r="EV615" s="16"/>
      <c r="EW615" s="17"/>
      <c r="FA615" s="24"/>
      <c r="FB615" s="60"/>
      <c r="FC615" s="16"/>
      <c r="FD615" s="16"/>
      <c r="FE615" s="16"/>
      <c r="FF615" s="16"/>
      <c r="FG615" s="16"/>
      <c r="FH615" s="17"/>
      <c r="FL615" s="24"/>
      <c r="FM615" s="60"/>
      <c r="FN615" s="16"/>
      <c r="FO615" s="16"/>
      <c r="FP615" s="16"/>
      <c r="FQ615" s="16"/>
      <c r="FR615" s="16"/>
      <c r="FS615" s="17"/>
      <c r="FW615" s="24"/>
      <c r="FX615" s="60"/>
      <c r="FY615" s="16"/>
      <c r="FZ615" s="16"/>
      <c r="GA615" s="16"/>
      <c r="GB615" s="16"/>
      <c r="GC615" s="16"/>
      <c r="GD615" s="17"/>
      <c r="GH615" s="24"/>
      <c r="GI615" s="60"/>
      <c r="GJ615" s="16"/>
      <c r="GK615" s="16"/>
      <c r="GL615" s="16"/>
      <c r="GM615" s="16"/>
      <c r="GN615" s="16"/>
      <c r="GO615" s="17"/>
      <c r="GS615" s="24"/>
      <c r="GT615" s="60"/>
      <c r="GU615" s="16"/>
      <c r="GV615" s="16"/>
      <c r="GW615" s="16"/>
      <c r="GX615" s="16"/>
      <c r="GY615" s="16"/>
      <c r="GZ615" s="17"/>
      <c r="HD615" s="24"/>
      <c r="HE615" s="60"/>
      <c r="HF615" s="16"/>
      <c r="HG615" s="16"/>
      <c r="HH615" s="16"/>
      <c r="HI615" s="16"/>
      <c r="HJ615" s="16"/>
      <c r="HK615" s="17"/>
      <c r="HO615" s="24"/>
      <c r="HP615" s="60"/>
      <c r="HQ615" s="16"/>
      <c r="HR615" s="16"/>
      <c r="HS615" s="16"/>
      <c r="HT615" s="16"/>
      <c r="HU615" s="16"/>
      <c r="HV615" s="17"/>
      <c r="HZ615" s="24"/>
      <c r="IA615" s="60"/>
      <c r="IB615" s="16"/>
      <c r="IC615" s="16"/>
      <c r="ID615" s="16"/>
      <c r="IE615" s="16"/>
      <c r="IF615" s="16"/>
      <c r="IG615" s="17"/>
      <c r="IK615" s="24"/>
      <c r="IL615" s="60"/>
      <c r="IM615" s="16"/>
      <c r="IN615" s="16"/>
      <c r="IO615" s="16"/>
      <c r="IP615" s="16"/>
      <c r="IQ615" s="16"/>
      <c r="IR615" s="17"/>
      <c r="IV615" s="24"/>
      <c r="IW615" s="60"/>
      <c r="IX615" s="16"/>
      <c r="IY615" s="16"/>
      <c r="IZ615" s="16"/>
      <c r="JA615" s="16"/>
      <c r="JB615" s="16"/>
      <c r="JC615" s="17"/>
      <c r="JG615" s="24"/>
      <c r="JH615" s="60"/>
      <c r="JI615" s="16"/>
      <c r="JJ615" s="16"/>
      <c r="JK615" s="16"/>
      <c r="JL615" s="16"/>
      <c r="JM615" s="16"/>
      <c r="JN615" s="17"/>
      <c r="JR615" s="24"/>
      <c r="JS615" s="60"/>
      <c r="JT615" s="16"/>
      <c r="JU615" s="16"/>
      <c r="JV615" s="16"/>
      <c r="JW615" s="16"/>
      <c r="JX615" s="16"/>
      <c r="JY615" s="17"/>
      <c r="KC615" s="24"/>
      <c r="KD615" s="60"/>
      <c r="KE615" s="16"/>
      <c r="KF615" s="16"/>
      <c r="KG615" s="16"/>
      <c r="KH615" s="16"/>
      <c r="KI615" s="16"/>
      <c r="KJ615" s="17"/>
      <c r="KN615" s="24"/>
      <c r="KO615" s="60"/>
      <c r="KP615" s="16"/>
      <c r="KQ615" s="16"/>
      <c r="KR615" s="16"/>
      <c r="KS615" s="16"/>
      <c r="KT615" s="16"/>
      <c r="KU615" s="17"/>
      <c r="KY615" s="24"/>
      <c r="KZ615" s="60"/>
      <c r="LA615" s="16"/>
      <c r="LB615" s="16"/>
      <c r="LC615" s="16"/>
      <c r="LD615" s="16"/>
      <c r="LE615" s="16"/>
      <c r="LF615" s="17"/>
      <c r="LJ615" s="24"/>
      <c r="LK615" s="60"/>
      <c r="LL615" s="16"/>
      <c r="LM615" s="16"/>
      <c r="LN615" s="16"/>
      <c r="LO615" s="16"/>
      <c r="LP615" s="16"/>
      <c r="LQ615" s="17"/>
    </row>
    <row r="616">
      <c r="C616" s="31"/>
      <c r="D616" s="61"/>
      <c r="E616" s="16"/>
      <c r="F616" s="16"/>
      <c r="G616" s="21"/>
      <c r="H616" s="16"/>
      <c r="I616" s="16"/>
      <c r="J616" s="17"/>
      <c r="N616" s="17"/>
      <c r="O616" s="61"/>
      <c r="P616" s="16"/>
      <c r="Q616" s="16"/>
      <c r="R616" s="16"/>
      <c r="S616" s="16"/>
      <c r="T616" s="16"/>
      <c r="U616" s="17"/>
      <c r="Y616" s="24"/>
      <c r="Z616" s="61"/>
      <c r="AA616" s="16"/>
      <c r="AB616" s="16"/>
      <c r="AC616" s="16"/>
      <c r="AD616" s="16"/>
      <c r="AE616" s="16"/>
      <c r="AF616" s="17"/>
      <c r="AJ616" s="24"/>
      <c r="AK616" s="61"/>
      <c r="AL616" s="16"/>
      <c r="AM616" s="16"/>
      <c r="AN616" s="16"/>
      <c r="AO616" s="16"/>
      <c r="AP616" s="16"/>
      <c r="AQ616" s="17"/>
      <c r="AU616" s="24"/>
      <c r="AV616" s="61"/>
      <c r="AW616" s="16"/>
      <c r="AX616" s="16"/>
      <c r="AY616" s="16"/>
      <c r="AZ616" s="16"/>
      <c r="BA616" s="16"/>
      <c r="BB616" s="17"/>
      <c r="BF616" s="24"/>
      <c r="BG616" s="61"/>
      <c r="BH616" s="16"/>
      <c r="BI616" s="16"/>
      <c r="BJ616" s="16"/>
      <c r="BK616" s="16"/>
      <c r="BL616" s="16"/>
      <c r="BM616" s="17"/>
      <c r="BQ616" s="24"/>
      <c r="BR616" s="61"/>
      <c r="BS616" s="16"/>
      <c r="BT616" s="16"/>
      <c r="BU616" s="16"/>
      <c r="BV616" s="16"/>
      <c r="BW616" s="16"/>
      <c r="BX616" s="17"/>
      <c r="CB616" s="24"/>
      <c r="CC616" s="61"/>
      <c r="CD616" s="16"/>
      <c r="CE616" s="16"/>
      <c r="CF616" s="16"/>
      <c r="CG616" s="16"/>
      <c r="CH616" s="16"/>
      <c r="CI616" s="17"/>
      <c r="CM616" s="24"/>
      <c r="CN616" s="61"/>
      <c r="CO616" s="16"/>
      <c r="CP616" s="16"/>
      <c r="CQ616" s="16"/>
      <c r="CR616" s="16"/>
      <c r="CS616" s="16"/>
      <c r="CT616" s="17"/>
      <c r="CX616" s="24"/>
      <c r="CY616" s="60"/>
      <c r="CZ616" s="16"/>
      <c r="DA616" s="16"/>
      <c r="DB616" s="16"/>
      <c r="DC616" s="16"/>
      <c r="DD616" s="16"/>
      <c r="DE616" s="17"/>
      <c r="DI616" s="24"/>
      <c r="DJ616" s="60"/>
      <c r="DK616" s="16"/>
      <c r="DL616" s="16"/>
      <c r="DM616" s="16"/>
      <c r="DN616" s="16"/>
      <c r="DO616" s="16"/>
      <c r="DP616" s="17"/>
      <c r="DT616" s="24"/>
      <c r="DU616" s="60"/>
      <c r="DV616" s="16"/>
      <c r="DW616" s="16"/>
      <c r="DX616" s="16"/>
      <c r="DY616" s="16"/>
      <c r="DZ616" s="16"/>
      <c r="EA616" s="17"/>
      <c r="EE616" s="24"/>
      <c r="EF616" s="60"/>
      <c r="EG616" s="16"/>
      <c r="EH616" s="16"/>
      <c r="EI616" s="16"/>
      <c r="EJ616" s="16"/>
      <c r="EK616" s="16"/>
      <c r="EL616" s="17"/>
      <c r="EP616" s="24"/>
      <c r="EQ616" s="60"/>
      <c r="ER616" s="16"/>
      <c r="ES616" s="16"/>
      <c r="ET616" s="16"/>
      <c r="EU616" s="16"/>
      <c r="EV616" s="16"/>
      <c r="EW616" s="17"/>
      <c r="FA616" s="24"/>
      <c r="FB616" s="60"/>
      <c r="FC616" s="16"/>
      <c r="FD616" s="16"/>
      <c r="FE616" s="16"/>
      <c r="FF616" s="16"/>
      <c r="FG616" s="16"/>
      <c r="FH616" s="17"/>
      <c r="FL616" s="24"/>
      <c r="FM616" s="60"/>
      <c r="FN616" s="16"/>
      <c r="FO616" s="16"/>
      <c r="FP616" s="16"/>
      <c r="FQ616" s="16"/>
      <c r="FR616" s="16"/>
      <c r="FS616" s="17"/>
      <c r="FW616" s="24"/>
      <c r="FX616" s="60"/>
      <c r="FY616" s="16"/>
      <c r="FZ616" s="16"/>
      <c r="GA616" s="16"/>
      <c r="GB616" s="16"/>
      <c r="GC616" s="16"/>
      <c r="GD616" s="17"/>
      <c r="GH616" s="24"/>
      <c r="GI616" s="60"/>
      <c r="GJ616" s="16"/>
      <c r="GK616" s="16"/>
      <c r="GL616" s="16"/>
      <c r="GM616" s="16"/>
      <c r="GN616" s="16"/>
      <c r="GO616" s="17"/>
      <c r="GS616" s="24"/>
      <c r="GT616" s="60"/>
      <c r="GU616" s="16"/>
      <c r="GV616" s="16"/>
      <c r="GW616" s="16"/>
      <c r="GX616" s="16"/>
      <c r="GY616" s="16"/>
      <c r="GZ616" s="17"/>
      <c r="HD616" s="24"/>
      <c r="HE616" s="60"/>
      <c r="HF616" s="16"/>
      <c r="HG616" s="16"/>
      <c r="HH616" s="16"/>
      <c r="HI616" s="16"/>
      <c r="HJ616" s="16"/>
      <c r="HK616" s="17"/>
      <c r="HO616" s="24"/>
      <c r="HP616" s="60"/>
      <c r="HQ616" s="16"/>
      <c r="HR616" s="16"/>
      <c r="HS616" s="16"/>
      <c r="HT616" s="16"/>
      <c r="HU616" s="16"/>
      <c r="HV616" s="17"/>
      <c r="HZ616" s="24"/>
      <c r="IA616" s="60"/>
      <c r="IB616" s="16"/>
      <c r="IC616" s="16"/>
      <c r="ID616" s="16"/>
      <c r="IE616" s="16"/>
      <c r="IF616" s="16"/>
      <c r="IG616" s="17"/>
      <c r="IK616" s="24"/>
      <c r="IL616" s="60"/>
      <c r="IM616" s="16"/>
      <c r="IN616" s="16"/>
      <c r="IO616" s="16"/>
      <c r="IP616" s="16"/>
      <c r="IQ616" s="16"/>
      <c r="IR616" s="17"/>
      <c r="IV616" s="24"/>
      <c r="IW616" s="60"/>
      <c r="IX616" s="16"/>
      <c r="IY616" s="16"/>
      <c r="IZ616" s="16"/>
      <c r="JA616" s="16"/>
      <c r="JB616" s="16"/>
      <c r="JC616" s="17"/>
      <c r="JG616" s="24"/>
      <c r="JH616" s="60"/>
      <c r="JI616" s="16"/>
      <c r="JJ616" s="16"/>
      <c r="JK616" s="16"/>
      <c r="JL616" s="16"/>
      <c r="JM616" s="16"/>
      <c r="JN616" s="17"/>
      <c r="JR616" s="24"/>
      <c r="JS616" s="60"/>
      <c r="JT616" s="16"/>
      <c r="JU616" s="16"/>
      <c r="JV616" s="16"/>
      <c r="JW616" s="16"/>
      <c r="JX616" s="16"/>
      <c r="JY616" s="17"/>
      <c r="KC616" s="24"/>
      <c r="KD616" s="60"/>
      <c r="KE616" s="16"/>
      <c r="KF616" s="16"/>
      <c r="KG616" s="16"/>
      <c r="KH616" s="16"/>
      <c r="KI616" s="16"/>
      <c r="KJ616" s="17"/>
      <c r="KN616" s="24"/>
      <c r="KO616" s="60"/>
      <c r="KP616" s="16"/>
      <c r="KQ616" s="16"/>
      <c r="KR616" s="16"/>
      <c r="KS616" s="16"/>
      <c r="KT616" s="16"/>
      <c r="KU616" s="17"/>
      <c r="KY616" s="24"/>
      <c r="KZ616" s="60"/>
      <c r="LA616" s="16"/>
      <c r="LB616" s="16"/>
      <c r="LC616" s="16"/>
      <c r="LD616" s="16"/>
      <c r="LE616" s="16"/>
      <c r="LF616" s="17"/>
      <c r="LJ616" s="24"/>
      <c r="LK616" s="60"/>
      <c r="LL616" s="16"/>
      <c r="LM616" s="16"/>
      <c r="LN616" s="16"/>
      <c r="LO616" s="16"/>
      <c r="LP616" s="16"/>
      <c r="LQ616" s="17"/>
    </row>
    <row r="617">
      <c r="C617" s="31"/>
      <c r="D617" s="61"/>
      <c r="E617" s="16"/>
      <c r="F617" s="16"/>
      <c r="G617" s="21"/>
      <c r="H617" s="16"/>
      <c r="I617" s="16"/>
      <c r="J617" s="17"/>
      <c r="N617" s="17"/>
      <c r="O617" s="61"/>
      <c r="P617" s="16"/>
      <c r="Q617" s="16"/>
      <c r="R617" s="16"/>
      <c r="S617" s="16"/>
      <c r="T617" s="16"/>
      <c r="U617" s="17"/>
      <c r="Y617" s="24"/>
      <c r="Z617" s="61"/>
      <c r="AA617" s="16"/>
      <c r="AB617" s="16"/>
      <c r="AC617" s="16"/>
      <c r="AD617" s="16"/>
      <c r="AE617" s="16"/>
      <c r="AF617" s="17"/>
      <c r="AJ617" s="24"/>
      <c r="AK617" s="61"/>
      <c r="AL617" s="16"/>
      <c r="AM617" s="16"/>
      <c r="AN617" s="16"/>
      <c r="AO617" s="16"/>
      <c r="AP617" s="16"/>
      <c r="AQ617" s="17"/>
      <c r="AU617" s="24"/>
      <c r="AV617" s="61"/>
      <c r="AW617" s="16"/>
      <c r="AX617" s="16"/>
      <c r="AY617" s="16"/>
      <c r="AZ617" s="16"/>
      <c r="BA617" s="16"/>
      <c r="BB617" s="17"/>
      <c r="BF617" s="24"/>
      <c r="BG617" s="61"/>
      <c r="BH617" s="16"/>
      <c r="BI617" s="16"/>
      <c r="BJ617" s="16"/>
      <c r="BK617" s="16"/>
      <c r="BL617" s="16"/>
      <c r="BM617" s="17"/>
      <c r="BQ617" s="24"/>
      <c r="BR617" s="61"/>
      <c r="BS617" s="16"/>
      <c r="BT617" s="16"/>
      <c r="BU617" s="16"/>
      <c r="BV617" s="16"/>
      <c r="BW617" s="16"/>
      <c r="BX617" s="17"/>
      <c r="CB617" s="24"/>
      <c r="CC617" s="61"/>
      <c r="CD617" s="16"/>
      <c r="CE617" s="16"/>
      <c r="CF617" s="16"/>
      <c r="CG617" s="16"/>
      <c r="CH617" s="16"/>
      <c r="CI617" s="17"/>
      <c r="CM617" s="24"/>
      <c r="CN617" s="61"/>
      <c r="CO617" s="16"/>
      <c r="CP617" s="16"/>
      <c r="CQ617" s="16"/>
      <c r="CR617" s="16"/>
      <c r="CS617" s="16"/>
      <c r="CT617" s="17"/>
      <c r="CX617" s="24"/>
      <c r="CY617" s="60"/>
      <c r="CZ617" s="16"/>
      <c r="DA617" s="16"/>
      <c r="DB617" s="16"/>
      <c r="DC617" s="16"/>
      <c r="DD617" s="16"/>
      <c r="DE617" s="17"/>
      <c r="DI617" s="24"/>
      <c r="DJ617" s="60"/>
      <c r="DK617" s="16"/>
      <c r="DL617" s="16"/>
      <c r="DM617" s="16"/>
      <c r="DN617" s="16"/>
      <c r="DO617" s="16"/>
      <c r="DP617" s="17"/>
      <c r="DT617" s="24"/>
      <c r="DU617" s="60"/>
      <c r="DV617" s="16"/>
      <c r="DW617" s="16"/>
      <c r="DX617" s="16"/>
      <c r="DY617" s="16"/>
      <c r="DZ617" s="16"/>
      <c r="EA617" s="17"/>
      <c r="EE617" s="24"/>
      <c r="EF617" s="60"/>
      <c r="EG617" s="16"/>
      <c r="EH617" s="16"/>
      <c r="EI617" s="16"/>
      <c r="EJ617" s="16"/>
      <c r="EK617" s="16"/>
      <c r="EL617" s="17"/>
      <c r="EP617" s="24"/>
      <c r="EQ617" s="60"/>
      <c r="ER617" s="16"/>
      <c r="ES617" s="16"/>
      <c r="ET617" s="16"/>
      <c r="EU617" s="16"/>
      <c r="EV617" s="16"/>
      <c r="EW617" s="17"/>
      <c r="FA617" s="24"/>
      <c r="FB617" s="60"/>
      <c r="FC617" s="16"/>
      <c r="FD617" s="16"/>
      <c r="FE617" s="16"/>
      <c r="FF617" s="16"/>
      <c r="FG617" s="16"/>
      <c r="FH617" s="17"/>
      <c r="FL617" s="24"/>
      <c r="FM617" s="60"/>
      <c r="FN617" s="16"/>
      <c r="FO617" s="16"/>
      <c r="FP617" s="16"/>
      <c r="FQ617" s="16"/>
      <c r="FR617" s="16"/>
      <c r="FS617" s="17"/>
      <c r="FW617" s="24"/>
      <c r="FX617" s="60"/>
      <c r="FY617" s="16"/>
      <c r="FZ617" s="16"/>
      <c r="GA617" s="16"/>
      <c r="GB617" s="16"/>
      <c r="GC617" s="16"/>
      <c r="GD617" s="17"/>
      <c r="GH617" s="24"/>
      <c r="GI617" s="60"/>
      <c r="GJ617" s="16"/>
      <c r="GK617" s="16"/>
      <c r="GL617" s="16"/>
      <c r="GM617" s="16"/>
      <c r="GN617" s="16"/>
      <c r="GO617" s="17"/>
      <c r="GS617" s="24"/>
      <c r="GT617" s="60"/>
      <c r="GU617" s="16"/>
      <c r="GV617" s="16"/>
      <c r="GW617" s="16"/>
      <c r="GX617" s="16"/>
      <c r="GY617" s="16"/>
      <c r="GZ617" s="17"/>
      <c r="HD617" s="24"/>
      <c r="HE617" s="60"/>
      <c r="HF617" s="16"/>
      <c r="HG617" s="16"/>
      <c r="HH617" s="16"/>
      <c r="HI617" s="16"/>
      <c r="HJ617" s="16"/>
      <c r="HK617" s="17"/>
      <c r="HO617" s="24"/>
      <c r="HP617" s="60"/>
      <c r="HQ617" s="16"/>
      <c r="HR617" s="16"/>
      <c r="HS617" s="16"/>
      <c r="HT617" s="16"/>
      <c r="HU617" s="16"/>
      <c r="HV617" s="17"/>
      <c r="HZ617" s="24"/>
      <c r="IA617" s="60"/>
      <c r="IB617" s="16"/>
      <c r="IC617" s="16"/>
      <c r="ID617" s="16"/>
      <c r="IE617" s="16"/>
      <c r="IF617" s="16"/>
      <c r="IG617" s="17"/>
      <c r="IK617" s="24"/>
      <c r="IL617" s="60"/>
      <c r="IM617" s="16"/>
      <c r="IN617" s="16"/>
      <c r="IO617" s="16"/>
      <c r="IP617" s="16"/>
      <c r="IQ617" s="16"/>
      <c r="IR617" s="17"/>
      <c r="IV617" s="24"/>
      <c r="IW617" s="60"/>
      <c r="IX617" s="16"/>
      <c r="IY617" s="16"/>
      <c r="IZ617" s="16"/>
      <c r="JA617" s="16"/>
      <c r="JB617" s="16"/>
      <c r="JC617" s="17"/>
      <c r="JG617" s="24"/>
      <c r="JH617" s="60"/>
      <c r="JI617" s="16"/>
      <c r="JJ617" s="16"/>
      <c r="JK617" s="16"/>
      <c r="JL617" s="16"/>
      <c r="JM617" s="16"/>
      <c r="JN617" s="17"/>
      <c r="JR617" s="24"/>
      <c r="JS617" s="60"/>
      <c r="JT617" s="16"/>
      <c r="JU617" s="16"/>
      <c r="JV617" s="16"/>
      <c r="JW617" s="16"/>
      <c r="JX617" s="16"/>
      <c r="JY617" s="17"/>
      <c r="KC617" s="24"/>
      <c r="KD617" s="60"/>
      <c r="KE617" s="16"/>
      <c r="KF617" s="16"/>
      <c r="KG617" s="16"/>
      <c r="KH617" s="16"/>
      <c r="KI617" s="16"/>
      <c r="KJ617" s="17"/>
      <c r="KN617" s="24"/>
      <c r="KO617" s="60"/>
      <c r="KP617" s="16"/>
      <c r="KQ617" s="16"/>
      <c r="KR617" s="16"/>
      <c r="KS617" s="16"/>
      <c r="KT617" s="16"/>
      <c r="KU617" s="17"/>
      <c r="KY617" s="24"/>
      <c r="KZ617" s="60"/>
      <c r="LA617" s="16"/>
      <c r="LB617" s="16"/>
      <c r="LC617" s="16"/>
      <c r="LD617" s="16"/>
      <c r="LE617" s="16"/>
      <c r="LF617" s="17"/>
      <c r="LJ617" s="24"/>
      <c r="LK617" s="60"/>
      <c r="LL617" s="16"/>
      <c r="LM617" s="16"/>
      <c r="LN617" s="16"/>
      <c r="LO617" s="16"/>
      <c r="LP617" s="16"/>
      <c r="LQ617" s="17"/>
    </row>
    <row r="618">
      <c r="C618" s="31"/>
      <c r="D618" s="61"/>
      <c r="E618" s="16"/>
      <c r="F618" s="16"/>
      <c r="G618" s="21"/>
      <c r="H618" s="16"/>
      <c r="I618" s="16"/>
      <c r="J618" s="17"/>
      <c r="N618" s="17"/>
      <c r="O618" s="61"/>
      <c r="P618" s="16"/>
      <c r="Q618" s="16"/>
      <c r="R618" s="16"/>
      <c r="S618" s="16"/>
      <c r="T618" s="16"/>
      <c r="U618" s="17"/>
      <c r="Y618" s="24"/>
      <c r="Z618" s="61"/>
      <c r="AA618" s="16"/>
      <c r="AB618" s="16"/>
      <c r="AC618" s="16"/>
      <c r="AD618" s="16"/>
      <c r="AE618" s="16"/>
      <c r="AF618" s="17"/>
      <c r="AJ618" s="24"/>
      <c r="AK618" s="61"/>
      <c r="AL618" s="16"/>
      <c r="AM618" s="16"/>
      <c r="AN618" s="16"/>
      <c r="AO618" s="16"/>
      <c r="AP618" s="16"/>
      <c r="AQ618" s="17"/>
      <c r="AU618" s="24"/>
      <c r="AV618" s="61"/>
      <c r="AW618" s="16"/>
      <c r="AX618" s="16"/>
      <c r="AY618" s="16"/>
      <c r="AZ618" s="16"/>
      <c r="BA618" s="16"/>
      <c r="BB618" s="17"/>
      <c r="BF618" s="24"/>
      <c r="BG618" s="61"/>
      <c r="BH618" s="16"/>
      <c r="BI618" s="16"/>
      <c r="BJ618" s="16"/>
      <c r="BK618" s="16"/>
      <c r="BL618" s="16"/>
      <c r="BM618" s="17"/>
      <c r="BQ618" s="24"/>
      <c r="BR618" s="61"/>
      <c r="BS618" s="16"/>
      <c r="BT618" s="16"/>
      <c r="BU618" s="16"/>
      <c r="BV618" s="16"/>
      <c r="BW618" s="16"/>
      <c r="BX618" s="17"/>
      <c r="CB618" s="24"/>
      <c r="CC618" s="61"/>
      <c r="CD618" s="16"/>
      <c r="CE618" s="16"/>
      <c r="CF618" s="16"/>
      <c r="CG618" s="16"/>
      <c r="CH618" s="16"/>
      <c r="CI618" s="17"/>
      <c r="CM618" s="24"/>
      <c r="CN618" s="61"/>
      <c r="CO618" s="16"/>
      <c r="CP618" s="16"/>
      <c r="CQ618" s="16"/>
      <c r="CR618" s="16"/>
      <c r="CS618" s="16"/>
      <c r="CT618" s="17"/>
      <c r="CX618" s="24"/>
      <c r="CY618" s="60"/>
      <c r="CZ618" s="16"/>
      <c r="DA618" s="16"/>
      <c r="DB618" s="16"/>
      <c r="DC618" s="16"/>
      <c r="DD618" s="16"/>
      <c r="DE618" s="17"/>
      <c r="DI618" s="24"/>
      <c r="DJ618" s="60"/>
      <c r="DK618" s="16"/>
      <c r="DL618" s="16"/>
      <c r="DM618" s="16"/>
      <c r="DN618" s="16"/>
      <c r="DO618" s="16"/>
      <c r="DP618" s="17"/>
      <c r="DT618" s="24"/>
      <c r="DU618" s="60"/>
      <c r="DV618" s="16"/>
      <c r="DW618" s="16"/>
      <c r="DX618" s="16"/>
      <c r="DY618" s="16"/>
      <c r="DZ618" s="16"/>
      <c r="EA618" s="17"/>
      <c r="EE618" s="24"/>
      <c r="EF618" s="60"/>
      <c r="EG618" s="16"/>
      <c r="EH618" s="16"/>
      <c r="EI618" s="16"/>
      <c r="EJ618" s="16"/>
      <c r="EK618" s="16"/>
      <c r="EL618" s="17"/>
      <c r="EP618" s="24"/>
      <c r="EQ618" s="60"/>
      <c r="ER618" s="16"/>
      <c r="ES618" s="16"/>
      <c r="ET618" s="16"/>
      <c r="EU618" s="16"/>
      <c r="EV618" s="16"/>
      <c r="EW618" s="17"/>
      <c r="FA618" s="24"/>
      <c r="FB618" s="60"/>
      <c r="FC618" s="16"/>
      <c r="FD618" s="16"/>
      <c r="FE618" s="16"/>
      <c r="FF618" s="16"/>
      <c r="FG618" s="16"/>
      <c r="FH618" s="17"/>
      <c r="FL618" s="24"/>
      <c r="FM618" s="60"/>
      <c r="FN618" s="16"/>
      <c r="FO618" s="16"/>
      <c r="FP618" s="16"/>
      <c r="FQ618" s="16"/>
      <c r="FR618" s="16"/>
      <c r="FS618" s="17"/>
      <c r="FW618" s="24"/>
      <c r="FX618" s="60"/>
      <c r="FY618" s="16"/>
      <c r="FZ618" s="16"/>
      <c r="GA618" s="16"/>
      <c r="GB618" s="16"/>
      <c r="GC618" s="16"/>
      <c r="GD618" s="17"/>
      <c r="GH618" s="24"/>
      <c r="GI618" s="60"/>
      <c r="GJ618" s="16"/>
      <c r="GK618" s="16"/>
      <c r="GL618" s="16"/>
      <c r="GM618" s="16"/>
      <c r="GN618" s="16"/>
      <c r="GO618" s="17"/>
      <c r="GS618" s="24"/>
      <c r="GT618" s="60"/>
      <c r="GU618" s="16"/>
      <c r="GV618" s="16"/>
      <c r="GW618" s="16"/>
      <c r="GX618" s="16"/>
      <c r="GY618" s="16"/>
      <c r="GZ618" s="17"/>
      <c r="HD618" s="24"/>
      <c r="HE618" s="60"/>
      <c r="HF618" s="16"/>
      <c r="HG618" s="16"/>
      <c r="HH618" s="16"/>
      <c r="HI618" s="16"/>
      <c r="HJ618" s="16"/>
      <c r="HK618" s="17"/>
      <c r="HO618" s="24"/>
      <c r="HP618" s="60"/>
      <c r="HQ618" s="16"/>
      <c r="HR618" s="16"/>
      <c r="HS618" s="16"/>
      <c r="HT618" s="16"/>
      <c r="HU618" s="16"/>
      <c r="HV618" s="17"/>
      <c r="HZ618" s="24"/>
      <c r="IA618" s="60"/>
      <c r="IB618" s="16"/>
      <c r="IC618" s="16"/>
      <c r="ID618" s="16"/>
      <c r="IE618" s="16"/>
      <c r="IF618" s="16"/>
      <c r="IG618" s="17"/>
      <c r="IK618" s="24"/>
      <c r="IL618" s="60"/>
      <c r="IM618" s="16"/>
      <c r="IN618" s="16"/>
      <c r="IO618" s="16"/>
      <c r="IP618" s="16"/>
      <c r="IQ618" s="16"/>
      <c r="IR618" s="17"/>
      <c r="IV618" s="24"/>
      <c r="IW618" s="60"/>
      <c r="IX618" s="16"/>
      <c r="IY618" s="16"/>
      <c r="IZ618" s="16"/>
      <c r="JA618" s="16"/>
      <c r="JB618" s="16"/>
      <c r="JC618" s="17"/>
      <c r="JG618" s="24"/>
      <c r="JH618" s="60"/>
      <c r="JI618" s="16"/>
      <c r="JJ618" s="16"/>
      <c r="JK618" s="16"/>
      <c r="JL618" s="16"/>
      <c r="JM618" s="16"/>
      <c r="JN618" s="17"/>
      <c r="JR618" s="24"/>
      <c r="JS618" s="60"/>
      <c r="JT618" s="16"/>
      <c r="JU618" s="16"/>
      <c r="JV618" s="16"/>
      <c r="JW618" s="16"/>
      <c r="JX618" s="16"/>
      <c r="JY618" s="17"/>
      <c r="KC618" s="24"/>
      <c r="KD618" s="60"/>
      <c r="KE618" s="16"/>
      <c r="KF618" s="16"/>
      <c r="KG618" s="16"/>
      <c r="KH618" s="16"/>
      <c r="KI618" s="16"/>
      <c r="KJ618" s="17"/>
      <c r="KN618" s="24"/>
      <c r="KO618" s="60"/>
      <c r="KP618" s="16"/>
      <c r="KQ618" s="16"/>
      <c r="KR618" s="16"/>
      <c r="KS618" s="16"/>
      <c r="KT618" s="16"/>
      <c r="KU618" s="17"/>
      <c r="KY618" s="24"/>
      <c r="KZ618" s="60"/>
      <c r="LA618" s="16"/>
      <c r="LB618" s="16"/>
      <c r="LC618" s="16"/>
      <c r="LD618" s="16"/>
      <c r="LE618" s="16"/>
      <c r="LF618" s="17"/>
      <c r="LJ618" s="24"/>
      <c r="LK618" s="60"/>
      <c r="LL618" s="16"/>
      <c r="LM618" s="16"/>
      <c r="LN618" s="16"/>
      <c r="LO618" s="16"/>
      <c r="LP618" s="16"/>
      <c r="LQ618" s="17"/>
    </row>
    <row r="619">
      <c r="C619" s="31"/>
      <c r="D619" s="61"/>
      <c r="E619" s="16"/>
      <c r="F619" s="16"/>
      <c r="G619" s="21"/>
      <c r="H619" s="16"/>
      <c r="I619" s="16"/>
      <c r="J619" s="17"/>
      <c r="N619" s="17"/>
      <c r="O619" s="61"/>
      <c r="P619" s="16"/>
      <c r="Q619" s="16"/>
      <c r="R619" s="16"/>
      <c r="S619" s="16"/>
      <c r="T619" s="16"/>
      <c r="U619" s="17"/>
      <c r="Y619" s="24"/>
      <c r="Z619" s="61"/>
      <c r="AA619" s="16"/>
      <c r="AB619" s="16"/>
      <c r="AC619" s="16"/>
      <c r="AD619" s="16"/>
      <c r="AE619" s="16"/>
      <c r="AF619" s="17"/>
      <c r="AJ619" s="24"/>
      <c r="AK619" s="61"/>
      <c r="AL619" s="16"/>
      <c r="AM619" s="16"/>
      <c r="AN619" s="16"/>
      <c r="AO619" s="16"/>
      <c r="AP619" s="16"/>
      <c r="AQ619" s="17"/>
      <c r="AU619" s="24"/>
      <c r="AV619" s="61"/>
      <c r="AW619" s="16"/>
      <c r="AX619" s="16"/>
      <c r="AY619" s="16"/>
      <c r="AZ619" s="16"/>
      <c r="BA619" s="16"/>
      <c r="BB619" s="17"/>
      <c r="BF619" s="24"/>
      <c r="BG619" s="61"/>
      <c r="BH619" s="16"/>
      <c r="BI619" s="16"/>
      <c r="BJ619" s="16"/>
      <c r="BK619" s="16"/>
      <c r="BL619" s="16"/>
      <c r="BM619" s="17"/>
      <c r="BQ619" s="24"/>
      <c r="BR619" s="61"/>
      <c r="BS619" s="16"/>
      <c r="BT619" s="16"/>
      <c r="BU619" s="16"/>
      <c r="BV619" s="16"/>
      <c r="BW619" s="16"/>
      <c r="BX619" s="17"/>
      <c r="CB619" s="24"/>
      <c r="CC619" s="61"/>
      <c r="CD619" s="16"/>
      <c r="CE619" s="16"/>
      <c r="CF619" s="16"/>
      <c r="CG619" s="16"/>
      <c r="CH619" s="16"/>
      <c r="CI619" s="17"/>
      <c r="CM619" s="24"/>
      <c r="CN619" s="61"/>
      <c r="CO619" s="16"/>
      <c r="CP619" s="16"/>
      <c r="CQ619" s="16"/>
      <c r="CR619" s="16"/>
      <c r="CS619" s="16"/>
      <c r="CT619" s="17"/>
      <c r="CX619" s="24"/>
      <c r="CY619" s="60"/>
      <c r="CZ619" s="16"/>
      <c r="DA619" s="16"/>
      <c r="DB619" s="16"/>
      <c r="DC619" s="16"/>
      <c r="DD619" s="16"/>
      <c r="DE619" s="17"/>
      <c r="DI619" s="24"/>
      <c r="DJ619" s="60"/>
      <c r="DK619" s="16"/>
      <c r="DL619" s="16"/>
      <c r="DM619" s="16"/>
      <c r="DN619" s="16"/>
      <c r="DO619" s="16"/>
      <c r="DP619" s="17"/>
      <c r="DT619" s="24"/>
      <c r="DU619" s="60"/>
      <c r="DV619" s="16"/>
      <c r="DW619" s="16"/>
      <c r="DX619" s="16"/>
      <c r="DY619" s="16"/>
      <c r="DZ619" s="16"/>
      <c r="EA619" s="17"/>
      <c r="EE619" s="24"/>
      <c r="EF619" s="60"/>
      <c r="EG619" s="16"/>
      <c r="EH619" s="16"/>
      <c r="EI619" s="16"/>
      <c r="EJ619" s="16"/>
      <c r="EK619" s="16"/>
      <c r="EL619" s="17"/>
      <c r="EP619" s="24"/>
      <c r="EQ619" s="60"/>
      <c r="ER619" s="16"/>
      <c r="ES619" s="16"/>
      <c r="ET619" s="16"/>
      <c r="EU619" s="16"/>
      <c r="EV619" s="16"/>
      <c r="EW619" s="17"/>
      <c r="FA619" s="24"/>
      <c r="FB619" s="60"/>
      <c r="FC619" s="16"/>
      <c r="FD619" s="16"/>
      <c r="FE619" s="16"/>
      <c r="FF619" s="16"/>
      <c r="FG619" s="16"/>
      <c r="FH619" s="17"/>
      <c r="FL619" s="24"/>
      <c r="FM619" s="60"/>
      <c r="FN619" s="16"/>
      <c r="FO619" s="16"/>
      <c r="FP619" s="16"/>
      <c r="FQ619" s="16"/>
      <c r="FR619" s="16"/>
      <c r="FS619" s="17"/>
      <c r="FW619" s="24"/>
      <c r="FX619" s="60"/>
      <c r="FY619" s="16"/>
      <c r="FZ619" s="16"/>
      <c r="GA619" s="16"/>
      <c r="GB619" s="16"/>
      <c r="GC619" s="16"/>
      <c r="GD619" s="17"/>
      <c r="GH619" s="24"/>
      <c r="GI619" s="60"/>
      <c r="GJ619" s="16"/>
      <c r="GK619" s="16"/>
      <c r="GL619" s="16"/>
      <c r="GM619" s="16"/>
      <c r="GN619" s="16"/>
      <c r="GO619" s="17"/>
      <c r="GS619" s="24"/>
      <c r="GT619" s="60"/>
      <c r="GU619" s="16"/>
      <c r="GV619" s="16"/>
      <c r="GW619" s="16"/>
      <c r="GX619" s="16"/>
      <c r="GY619" s="16"/>
      <c r="GZ619" s="17"/>
      <c r="HD619" s="24"/>
      <c r="HE619" s="60"/>
      <c r="HF619" s="16"/>
      <c r="HG619" s="16"/>
      <c r="HH619" s="16"/>
      <c r="HI619" s="16"/>
      <c r="HJ619" s="16"/>
      <c r="HK619" s="17"/>
      <c r="HO619" s="24"/>
      <c r="HP619" s="60"/>
      <c r="HQ619" s="16"/>
      <c r="HR619" s="16"/>
      <c r="HS619" s="16"/>
      <c r="HT619" s="16"/>
      <c r="HU619" s="16"/>
      <c r="HV619" s="17"/>
      <c r="HZ619" s="24"/>
      <c r="IA619" s="60"/>
      <c r="IB619" s="16"/>
      <c r="IC619" s="16"/>
      <c r="ID619" s="16"/>
      <c r="IE619" s="16"/>
      <c r="IF619" s="16"/>
      <c r="IG619" s="17"/>
      <c r="IK619" s="24"/>
      <c r="IL619" s="60"/>
      <c r="IM619" s="16"/>
      <c r="IN619" s="16"/>
      <c r="IO619" s="16"/>
      <c r="IP619" s="16"/>
      <c r="IQ619" s="16"/>
      <c r="IR619" s="17"/>
      <c r="IV619" s="24"/>
      <c r="IW619" s="60"/>
      <c r="IX619" s="16"/>
      <c r="IY619" s="16"/>
      <c r="IZ619" s="16"/>
      <c r="JA619" s="16"/>
      <c r="JB619" s="16"/>
      <c r="JC619" s="17"/>
      <c r="JG619" s="24"/>
      <c r="JH619" s="60"/>
      <c r="JI619" s="16"/>
      <c r="JJ619" s="16"/>
      <c r="JK619" s="16"/>
      <c r="JL619" s="16"/>
      <c r="JM619" s="16"/>
      <c r="JN619" s="17"/>
      <c r="JR619" s="24"/>
      <c r="JS619" s="60"/>
      <c r="JT619" s="16"/>
      <c r="JU619" s="16"/>
      <c r="JV619" s="16"/>
      <c r="JW619" s="16"/>
      <c r="JX619" s="16"/>
      <c r="JY619" s="17"/>
      <c r="KC619" s="24"/>
      <c r="KD619" s="60"/>
      <c r="KE619" s="16"/>
      <c r="KF619" s="16"/>
      <c r="KG619" s="16"/>
      <c r="KH619" s="16"/>
      <c r="KI619" s="16"/>
      <c r="KJ619" s="17"/>
      <c r="KN619" s="24"/>
      <c r="KO619" s="60"/>
      <c r="KP619" s="16"/>
      <c r="KQ619" s="16"/>
      <c r="KR619" s="16"/>
      <c r="KS619" s="16"/>
      <c r="KT619" s="16"/>
      <c r="KU619" s="17"/>
      <c r="KY619" s="24"/>
      <c r="KZ619" s="60"/>
      <c r="LA619" s="16"/>
      <c r="LB619" s="16"/>
      <c r="LC619" s="16"/>
      <c r="LD619" s="16"/>
      <c r="LE619" s="16"/>
      <c r="LF619" s="17"/>
      <c r="LJ619" s="24"/>
      <c r="LK619" s="60"/>
      <c r="LL619" s="16"/>
      <c r="LM619" s="16"/>
      <c r="LN619" s="16"/>
      <c r="LO619" s="16"/>
      <c r="LP619" s="16"/>
      <c r="LQ619" s="17"/>
    </row>
    <row r="620">
      <c r="C620" s="31"/>
      <c r="D620" s="61"/>
      <c r="E620" s="16"/>
      <c r="F620" s="16"/>
      <c r="G620" s="21"/>
      <c r="H620" s="16"/>
      <c r="I620" s="16"/>
      <c r="J620" s="17"/>
      <c r="N620" s="17"/>
      <c r="O620" s="61"/>
      <c r="P620" s="16"/>
      <c r="Q620" s="16"/>
      <c r="R620" s="16"/>
      <c r="S620" s="16"/>
      <c r="T620" s="16"/>
      <c r="U620" s="17"/>
      <c r="Y620" s="24"/>
      <c r="Z620" s="61"/>
      <c r="AA620" s="16"/>
      <c r="AB620" s="16"/>
      <c r="AC620" s="16"/>
      <c r="AD620" s="16"/>
      <c r="AE620" s="16"/>
      <c r="AF620" s="17"/>
      <c r="AJ620" s="24"/>
      <c r="AK620" s="61"/>
      <c r="AL620" s="16"/>
      <c r="AM620" s="16"/>
      <c r="AN620" s="16"/>
      <c r="AO620" s="16"/>
      <c r="AP620" s="16"/>
      <c r="AQ620" s="17"/>
      <c r="AU620" s="24"/>
      <c r="AV620" s="61"/>
      <c r="AW620" s="16"/>
      <c r="AX620" s="16"/>
      <c r="AY620" s="16"/>
      <c r="AZ620" s="16"/>
      <c r="BA620" s="16"/>
      <c r="BB620" s="17"/>
      <c r="BF620" s="24"/>
      <c r="BG620" s="61"/>
      <c r="BH620" s="16"/>
      <c r="BI620" s="16"/>
      <c r="BJ620" s="16"/>
      <c r="BK620" s="16"/>
      <c r="BL620" s="16"/>
      <c r="BM620" s="17"/>
      <c r="BQ620" s="24"/>
      <c r="BR620" s="61"/>
      <c r="BS620" s="16"/>
      <c r="BT620" s="16"/>
      <c r="BU620" s="16"/>
      <c r="BV620" s="16"/>
      <c r="BW620" s="16"/>
      <c r="BX620" s="17"/>
      <c r="CB620" s="24"/>
      <c r="CC620" s="61"/>
      <c r="CD620" s="16"/>
      <c r="CE620" s="16"/>
      <c r="CF620" s="16"/>
      <c r="CG620" s="16"/>
      <c r="CH620" s="16"/>
      <c r="CI620" s="17"/>
      <c r="CM620" s="24"/>
      <c r="CN620" s="61"/>
      <c r="CO620" s="16"/>
      <c r="CP620" s="16"/>
      <c r="CQ620" s="16"/>
      <c r="CR620" s="16"/>
      <c r="CS620" s="16"/>
      <c r="CT620" s="17"/>
      <c r="CX620" s="24"/>
      <c r="CY620" s="60"/>
      <c r="CZ620" s="16"/>
      <c r="DA620" s="16"/>
      <c r="DB620" s="16"/>
      <c r="DC620" s="16"/>
      <c r="DD620" s="16"/>
      <c r="DE620" s="17"/>
      <c r="DI620" s="24"/>
      <c r="DJ620" s="60"/>
      <c r="DK620" s="16"/>
      <c r="DL620" s="16"/>
      <c r="DM620" s="16"/>
      <c r="DN620" s="16"/>
      <c r="DO620" s="16"/>
      <c r="DP620" s="17"/>
      <c r="DT620" s="24"/>
      <c r="DU620" s="60"/>
      <c r="DV620" s="16"/>
      <c r="DW620" s="16"/>
      <c r="DX620" s="16"/>
      <c r="DY620" s="16"/>
      <c r="DZ620" s="16"/>
      <c r="EA620" s="17"/>
      <c r="EE620" s="24"/>
      <c r="EF620" s="60"/>
      <c r="EG620" s="16"/>
      <c r="EH620" s="16"/>
      <c r="EI620" s="16"/>
      <c r="EJ620" s="16"/>
      <c r="EK620" s="16"/>
      <c r="EL620" s="17"/>
      <c r="EP620" s="24"/>
      <c r="EQ620" s="60"/>
      <c r="ER620" s="16"/>
      <c r="ES620" s="16"/>
      <c r="ET620" s="16"/>
      <c r="EU620" s="16"/>
      <c r="EV620" s="16"/>
      <c r="EW620" s="17"/>
      <c r="FA620" s="24"/>
      <c r="FB620" s="60"/>
      <c r="FC620" s="16"/>
      <c r="FD620" s="16"/>
      <c r="FE620" s="16"/>
      <c r="FF620" s="16"/>
      <c r="FG620" s="16"/>
      <c r="FH620" s="17"/>
      <c r="FL620" s="24"/>
      <c r="FM620" s="60"/>
      <c r="FN620" s="16"/>
      <c r="FO620" s="16"/>
      <c r="FP620" s="16"/>
      <c r="FQ620" s="16"/>
      <c r="FR620" s="16"/>
      <c r="FS620" s="17"/>
      <c r="FW620" s="24"/>
      <c r="FX620" s="60"/>
      <c r="FY620" s="16"/>
      <c r="FZ620" s="16"/>
      <c r="GA620" s="16"/>
      <c r="GB620" s="16"/>
      <c r="GC620" s="16"/>
      <c r="GD620" s="17"/>
      <c r="GH620" s="24"/>
      <c r="GI620" s="60"/>
      <c r="GJ620" s="16"/>
      <c r="GK620" s="16"/>
      <c r="GL620" s="16"/>
      <c r="GM620" s="16"/>
      <c r="GN620" s="16"/>
      <c r="GO620" s="17"/>
      <c r="GS620" s="24"/>
      <c r="GT620" s="60"/>
      <c r="GU620" s="16"/>
      <c r="GV620" s="16"/>
      <c r="GW620" s="16"/>
      <c r="GX620" s="16"/>
      <c r="GY620" s="16"/>
      <c r="GZ620" s="17"/>
      <c r="HD620" s="24"/>
      <c r="HE620" s="60"/>
      <c r="HF620" s="16"/>
      <c r="HG620" s="16"/>
      <c r="HH620" s="16"/>
      <c r="HI620" s="16"/>
      <c r="HJ620" s="16"/>
      <c r="HK620" s="17"/>
      <c r="HO620" s="24"/>
      <c r="HP620" s="60"/>
      <c r="HQ620" s="16"/>
      <c r="HR620" s="16"/>
      <c r="HS620" s="16"/>
      <c r="HT620" s="16"/>
      <c r="HU620" s="16"/>
      <c r="HV620" s="17"/>
      <c r="HZ620" s="24"/>
      <c r="IA620" s="60"/>
      <c r="IB620" s="16"/>
      <c r="IC620" s="16"/>
      <c r="ID620" s="16"/>
      <c r="IE620" s="16"/>
      <c r="IF620" s="16"/>
      <c r="IG620" s="17"/>
      <c r="IK620" s="24"/>
      <c r="IL620" s="60"/>
      <c r="IM620" s="16"/>
      <c r="IN620" s="16"/>
      <c r="IO620" s="16"/>
      <c r="IP620" s="16"/>
      <c r="IQ620" s="16"/>
      <c r="IR620" s="17"/>
      <c r="IV620" s="24"/>
      <c r="IW620" s="60"/>
      <c r="IX620" s="16"/>
      <c r="IY620" s="16"/>
      <c r="IZ620" s="16"/>
      <c r="JA620" s="16"/>
      <c r="JB620" s="16"/>
      <c r="JC620" s="17"/>
      <c r="JG620" s="24"/>
      <c r="JH620" s="60"/>
      <c r="JI620" s="16"/>
      <c r="JJ620" s="16"/>
      <c r="JK620" s="16"/>
      <c r="JL620" s="16"/>
      <c r="JM620" s="16"/>
      <c r="JN620" s="17"/>
      <c r="JR620" s="24"/>
      <c r="JS620" s="60"/>
      <c r="JT620" s="16"/>
      <c r="JU620" s="16"/>
      <c r="JV620" s="16"/>
      <c r="JW620" s="16"/>
      <c r="JX620" s="16"/>
      <c r="JY620" s="17"/>
      <c r="KC620" s="24"/>
      <c r="KD620" s="60"/>
      <c r="KE620" s="16"/>
      <c r="KF620" s="16"/>
      <c r="KG620" s="16"/>
      <c r="KH620" s="16"/>
      <c r="KI620" s="16"/>
      <c r="KJ620" s="17"/>
      <c r="KN620" s="24"/>
      <c r="KO620" s="60"/>
      <c r="KP620" s="16"/>
      <c r="KQ620" s="16"/>
      <c r="KR620" s="16"/>
      <c r="KS620" s="16"/>
      <c r="KT620" s="16"/>
      <c r="KU620" s="17"/>
      <c r="KY620" s="24"/>
      <c r="KZ620" s="60"/>
      <c r="LA620" s="16"/>
      <c r="LB620" s="16"/>
      <c r="LC620" s="16"/>
      <c r="LD620" s="16"/>
      <c r="LE620" s="16"/>
      <c r="LF620" s="17"/>
      <c r="LJ620" s="24"/>
      <c r="LK620" s="60"/>
      <c r="LL620" s="16"/>
      <c r="LM620" s="16"/>
      <c r="LN620" s="16"/>
      <c r="LO620" s="16"/>
      <c r="LP620" s="16"/>
      <c r="LQ620" s="17"/>
    </row>
    <row r="621">
      <c r="C621" s="31"/>
      <c r="D621" s="61"/>
      <c r="E621" s="16"/>
      <c r="F621" s="16"/>
      <c r="G621" s="21"/>
      <c r="H621" s="16"/>
      <c r="I621" s="16"/>
      <c r="J621" s="17"/>
      <c r="N621" s="17"/>
      <c r="O621" s="61"/>
      <c r="P621" s="16"/>
      <c r="Q621" s="16"/>
      <c r="R621" s="16"/>
      <c r="S621" s="16"/>
      <c r="T621" s="16"/>
      <c r="U621" s="17"/>
      <c r="Y621" s="24"/>
      <c r="Z621" s="61"/>
      <c r="AA621" s="16"/>
      <c r="AB621" s="16"/>
      <c r="AC621" s="16"/>
      <c r="AD621" s="16"/>
      <c r="AE621" s="16"/>
      <c r="AF621" s="17"/>
      <c r="AJ621" s="24"/>
      <c r="AK621" s="61"/>
      <c r="AL621" s="16"/>
      <c r="AM621" s="16"/>
      <c r="AN621" s="16"/>
      <c r="AO621" s="16"/>
      <c r="AP621" s="16"/>
      <c r="AQ621" s="17"/>
      <c r="AU621" s="24"/>
      <c r="AV621" s="61"/>
      <c r="AW621" s="16"/>
      <c r="AX621" s="16"/>
      <c r="AY621" s="16"/>
      <c r="AZ621" s="16"/>
      <c r="BA621" s="16"/>
      <c r="BB621" s="17"/>
      <c r="BF621" s="24"/>
      <c r="BG621" s="61"/>
      <c r="BH621" s="16"/>
      <c r="BI621" s="16"/>
      <c r="BJ621" s="16"/>
      <c r="BK621" s="16"/>
      <c r="BL621" s="16"/>
      <c r="BM621" s="17"/>
      <c r="BQ621" s="24"/>
      <c r="BR621" s="61"/>
      <c r="BS621" s="16"/>
      <c r="BT621" s="16"/>
      <c r="BU621" s="16"/>
      <c r="BV621" s="16"/>
      <c r="BW621" s="16"/>
      <c r="BX621" s="17"/>
      <c r="CB621" s="24"/>
      <c r="CC621" s="61"/>
      <c r="CD621" s="16"/>
      <c r="CE621" s="16"/>
      <c r="CF621" s="16"/>
      <c r="CG621" s="16"/>
      <c r="CH621" s="16"/>
      <c r="CI621" s="17"/>
      <c r="CM621" s="24"/>
      <c r="CN621" s="61"/>
      <c r="CO621" s="16"/>
      <c r="CP621" s="16"/>
      <c r="CQ621" s="16"/>
      <c r="CR621" s="16"/>
      <c r="CS621" s="16"/>
      <c r="CT621" s="17"/>
      <c r="CX621" s="24"/>
      <c r="CY621" s="60"/>
      <c r="CZ621" s="16"/>
      <c r="DA621" s="16"/>
      <c r="DB621" s="16"/>
      <c r="DC621" s="16"/>
      <c r="DD621" s="16"/>
      <c r="DE621" s="17"/>
      <c r="DI621" s="24"/>
      <c r="DJ621" s="60"/>
      <c r="DK621" s="16"/>
      <c r="DL621" s="16"/>
      <c r="DM621" s="16"/>
      <c r="DN621" s="16"/>
      <c r="DO621" s="16"/>
      <c r="DP621" s="17"/>
      <c r="DT621" s="24"/>
      <c r="DU621" s="60"/>
      <c r="DV621" s="16"/>
      <c r="DW621" s="16"/>
      <c r="DX621" s="16"/>
      <c r="DY621" s="16"/>
      <c r="DZ621" s="16"/>
      <c r="EA621" s="17"/>
      <c r="EE621" s="24"/>
      <c r="EF621" s="60"/>
      <c r="EG621" s="16"/>
      <c r="EH621" s="16"/>
      <c r="EI621" s="16"/>
      <c r="EJ621" s="16"/>
      <c r="EK621" s="16"/>
      <c r="EL621" s="17"/>
      <c r="EP621" s="24"/>
      <c r="EQ621" s="60"/>
      <c r="ER621" s="16"/>
      <c r="ES621" s="16"/>
      <c r="ET621" s="16"/>
      <c r="EU621" s="16"/>
      <c r="EV621" s="16"/>
      <c r="EW621" s="17"/>
      <c r="FA621" s="24"/>
      <c r="FB621" s="60"/>
      <c r="FC621" s="16"/>
      <c r="FD621" s="16"/>
      <c r="FE621" s="16"/>
      <c r="FF621" s="16"/>
      <c r="FG621" s="16"/>
      <c r="FH621" s="17"/>
      <c r="FL621" s="24"/>
      <c r="FM621" s="60"/>
      <c r="FN621" s="16"/>
      <c r="FO621" s="16"/>
      <c r="FP621" s="16"/>
      <c r="FQ621" s="16"/>
      <c r="FR621" s="16"/>
      <c r="FS621" s="17"/>
      <c r="FW621" s="24"/>
      <c r="FX621" s="60"/>
      <c r="FY621" s="16"/>
      <c r="FZ621" s="16"/>
      <c r="GA621" s="16"/>
      <c r="GB621" s="16"/>
      <c r="GC621" s="16"/>
      <c r="GD621" s="17"/>
      <c r="GH621" s="24"/>
      <c r="GI621" s="60"/>
      <c r="GJ621" s="16"/>
      <c r="GK621" s="16"/>
      <c r="GL621" s="16"/>
      <c r="GM621" s="16"/>
      <c r="GN621" s="16"/>
      <c r="GO621" s="17"/>
      <c r="GS621" s="24"/>
      <c r="GT621" s="60"/>
      <c r="GU621" s="16"/>
      <c r="GV621" s="16"/>
      <c r="GW621" s="16"/>
      <c r="GX621" s="16"/>
      <c r="GY621" s="16"/>
      <c r="GZ621" s="17"/>
      <c r="HD621" s="24"/>
      <c r="HE621" s="60"/>
      <c r="HF621" s="16"/>
      <c r="HG621" s="16"/>
      <c r="HH621" s="16"/>
      <c r="HI621" s="16"/>
      <c r="HJ621" s="16"/>
      <c r="HK621" s="17"/>
      <c r="HO621" s="24"/>
      <c r="HP621" s="60"/>
      <c r="HQ621" s="16"/>
      <c r="HR621" s="16"/>
      <c r="HS621" s="16"/>
      <c r="HT621" s="16"/>
      <c r="HU621" s="16"/>
      <c r="HV621" s="17"/>
      <c r="HZ621" s="24"/>
      <c r="IA621" s="60"/>
      <c r="IB621" s="16"/>
      <c r="IC621" s="16"/>
      <c r="ID621" s="16"/>
      <c r="IE621" s="16"/>
      <c r="IF621" s="16"/>
      <c r="IG621" s="17"/>
      <c r="IK621" s="24"/>
      <c r="IL621" s="60"/>
      <c r="IM621" s="16"/>
      <c r="IN621" s="16"/>
      <c r="IO621" s="16"/>
      <c r="IP621" s="16"/>
      <c r="IQ621" s="16"/>
      <c r="IR621" s="17"/>
      <c r="IV621" s="24"/>
      <c r="IW621" s="60"/>
      <c r="IX621" s="16"/>
      <c r="IY621" s="16"/>
      <c r="IZ621" s="16"/>
      <c r="JA621" s="16"/>
      <c r="JB621" s="16"/>
      <c r="JC621" s="17"/>
      <c r="JG621" s="24"/>
      <c r="JH621" s="60"/>
      <c r="JI621" s="16"/>
      <c r="JJ621" s="16"/>
      <c r="JK621" s="16"/>
      <c r="JL621" s="16"/>
      <c r="JM621" s="16"/>
      <c r="JN621" s="17"/>
      <c r="JR621" s="24"/>
      <c r="JS621" s="60"/>
      <c r="JT621" s="16"/>
      <c r="JU621" s="16"/>
      <c r="JV621" s="16"/>
      <c r="JW621" s="16"/>
      <c r="JX621" s="16"/>
      <c r="JY621" s="17"/>
      <c r="KC621" s="24"/>
      <c r="KD621" s="60"/>
      <c r="KE621" s="16"/>
      <c r="KF621" s="16"/>
      <c r="KG621" s="16"/>
      <c r="KH621" s="16"/>
      <c r="KI621" s="16"/>
      <c r="KJ621" s="17"/>
      <c r="KN621" s="24"/>
      <c r="KO621" s="60"/>
      <c r="KP621" s="16"/>
      <c r="KQ621" s="16"/>
      <c r="KR621" s="16"/>
      <c r="KS621" s="16"/>
      <c r="KT621" s="16"/>
      <c r="KU621" s="17"/>
      <c r="KY621" s="24"/>
      <c r="KZ621" s="60"/>
      <c r="LA621" s="16"/>
      <c r="LB621" s="16"/>
      <c r="LC621" s="16"/>
      <c r="LD621" s="16"/>
      <c r="LE621" s="16"/>
      <c r="LF621" s="17"/>
      <c r="LJ621" s="24"/>
      <c r="LK621" s="60"/>
      <c r="LL621" s="16"/>
      <c r="LM621" s="16"/>
      <c r="LN621" s="16"/>
      <c r="LO621" s="16"/>
      <c r="LP621" s="16"/>
      <c r="LQ621" s="17"/>
    </row>
    <row r="622">
      <c r="C622" s="31"/>
      <c r="D622" s="61"/>
      <c r="E622" s="16"/>
      <c r="F622" s="16"/>
      <c r="G622" s="21"/>
      <c r="H622" s="16"/>
      <c r="I622" s="16"/>
      <c r="J622" s="17"/>
      <c r="N622" s="17"/>
      <c r="O622" s="61"/>
      <c r="P622" s="16"/>
      <c r="Q622" s="16"/>
      <c r="R622" s="16"/>
      <c r="S622" s="16"/>
      <c r="T622" s="16"/>
      <c r="U622" s="17"/>
      <c r="Y622" s="24"/>
      <c r="Z622" s="61"/>
      <c r="AA622" s="16"/>
      <c r="AB622" s="16"/>
      <c r="AC622" s="16"/>
      <c r="AD622" s="16"/>
      <c r="AE622" s="16"/>
      <c r="AF622" s="17"/>
      <c r="AJ622" s="24"/>
      <c r="AK622" s="61"/>
      <c r="AL622" s="16"/>
      <c r="AM622" s="16"/>
      <c r="AN622" s="16"/>
      <c r="AO622" s="16"/>
      <c r="AP622" s="16"/>
      <c r="AQ622" s="17"/>
      <c r="AU622" s="24"/>
      <c r="AV622" s="61"/>
      <c r="AW622" s="16"/>
      <c r="AX622" s="16"/>
      <c r="AY622" s="16"/>
      <c r="AZ622" s="16"/>
      <c r="BA622" s="16"/>
      <c r="BB622" s="17"/>
      <c r="BF622" s="24"/>
      <c r="BG622" s="61"/>
      <c r="BH622" s="16"/>
      <c r="BI622" s="16"/>
      <c r="BJ622" s="16"/>
      <c r="BK622" s="16"/>
      <c r="BL622" s="16"/>
      <c r="BM622" s="17"/>
      <c r="BQ622" s="24"/>
      <c r="BR622" s="61"/>
      <c r="BS622" s="16"/>
      <c r="BT622" s="16"/>
      <c r="BU622" s="16"/>
      <c r="BV622" s="16"/>
      <c r="BW622" s="16"/>
      <c r="BX622" s="17"/>
      <c r="CB622" s="24"/>
      <c r="CC622" s="61"/>
      <c r="CD622" s="16"/>
      <c r="CE622" s="16"/>
      <c r="CF622" s="16"/>
      <c r="CG622" s="16"/>
      <c r="CH622" s="16"/>
      <c r="CI622" s="17"/>
      <c r="CM622" s="24"/>
      <c r="CN622" s="61"/>
      <c r="CO622" s="16"/>
      <c r="CP622" s="16"/>
      <c r="CQ622" s="16"/>
      <c r="CR622" s="16"/>
      <c r="CS622" s="16"/>
      <c r="CT622" s="17"/>
      <c r="CX622" s="24"/>
      <c r="CY622" s="60"/>
      <c r="CZ622" s="16"/>
      <c r="DA622" s="16"/>
      <c r="DB622" s="16"/>
      <c r="DC622" s="16"/>
      <c r="DD622" s="16"/>
      <c r="DE622" s="17"/>
      <c r="DI622" s="24"/>
      <c r="DJ622" s="60"/>
      <c r="DK622" s="16"/>
      <c r="DL622" s="16"/>
      <c r="DM622" s="16"/>
      <c r="DN622" s="16"/>
      <c r="DO622" s="16"/>
      <c r="DP622" s="17"/>
      <c r="DT622" s="24"/>
      <c r="DU622" s="60"/>
      <c r="DV622" s="16"/>
      <c r="DW622" s="16"/>
      <c r="DX622" s="16"/>
      <c r="DY622" s="16"/>
      <c r="DZ622" s="16"/>
      <c r="EA622" s="17"/>
      <c r="EE622" s="24"/>
      <c r="EF622" s="60"/>
      <c r="EG622" s="16"/>
      <c r="EH622" s="16"/>
      <c r="EI622" s="16"/>
      <c r="EJ622" s="16"/>
      <c r="EK622" s="16"/>
      <c r="EL622" s="17"/>
      <c r="EP622" s="24"/>
      <c r="EQ622" s="60"/>
      <c r="ER622" s="16"/>
      <c r="ES622" s="16"/>
      <c r="ET622" s="16"/>
      <c r="EU622" s="16"/>
      <c r="EV622" s="16"/>
      <c r="EW622" s="17"/>
      <c r="FA622" s="24"/>
      <c r="FB622" s="60"/>
      <c r="FC622" s="16"/>
      <c r="FD622" s="16"/>
      <c r="FE622" s="16"/>
      <c r="FF622" s="16"/>
      <c r="FG622" s="16"/>
      <c r="FH622" s="17"/>
      <c r="FL622" s="24"/>
      <c r="FM622" s="60"/>
      <c r="FN622" s="16"/>
      <c r="FO622" s="16"/>
      <c r="FP622" s="16"/>
      <c r="FQ622" s="16"/>
      <c r="FR622" s="16"/>
      <c r="FS622" s="17"/>
      <c r="FW622" s="24"/>
      <c r="FX622" s="60"/>
      <c r="FY622" s="16"/>
      <c r="FZ622" s="16"/>
      <c r="GA622" s="16"/>
      <c r="GB622" s="16"/>
      <c r="GC622" s="16"/>
      <c r="GD622" s="17"/>
      <c r="GH622" s="24"/>
      <c r="GI622" s="60"/>
      <c r="GJ622" s="16"/>
      <c r="GK622" s="16"/>
      <c r="GL622" s="16"/>
      <c r="GM622" s="16"/>
      <c r="GN622" s="16"/>
      <c r="GO622" s="17"/>
      <c r="GS622" s="24"/>
      <c r="GT622" s="60"/>
      <c r="GU622" s="16"/>
      <c r="GV622" s="16"/>
      <c r="GW622" s="16"/>
      <c r="GX622" s="16"/>
      <c r="GY622" s="16"/>
      <c r="GZ622" s="17"/>
      <c r="HD622" s="24"/>
      <c r="HE622" s="60"/>
      <c r="HF622" s="16"/>
      <c r="HG622" s="16"/>
      <c r="HH622" s="16"/>
      <c r="HI622" s="16"/>
      <c r="HJ622" s="16"/>
      <c r="HK622" s="17"/>
      <c r="HO622" s="24"/>
      <c r="HP622" s="60"/>
      <c r="HQ622" s="16"/>
      <c r="HR622" s="16"/>
      <c r="HS622" s="16"/>
      <c r="HT622" s="16"/>
      <c r="HU622" s="16"/>
      <c r="HV622" s="17"/>
      <c r="HZ622" s="24"/>
      <c r="IA622" s="60"/>
      <c r="IB622" s="16"/>
      <c r="IC622" s="16"/>
      <c r="ID622" s="16"/>
      <c r="IE622" s="16"/>
      <c r="IF622" s="16"/>
      <c r="IG622" s="17"/>
      <c r="IK622" s="24"/>
      <c r="IL622" s="60"/>
      <c r="IM622" s="16"/>
      <c r="IN622" s="16"/>
      <c r="IO622" s="16"/>
      <c r="IP622" s="16"/>
      <c r="IQ622" s="16"/>
      <c r="IR622" s="17"/>
      <c r="IV622" s="24"/>
      <c r="IW622" s="60"/>
      <c r="IX622" s="16"/>
      <c r="IY622" s="16"/>
      <c r="IZ622" s="16"/>
      <c r="JA622" s="16"/>
      <c r="JB622" s="16"/>
      <c r="JC622" s="17"/>
      <c r="JG622" s="24"/>
      <c r="JH622" s="60"/>
      <c r="JI622" s="16"/>
      <c r="JJ622" s="16"/>
      <c r="JK622" s="16"/>
      <c r="JL622" s="16"/>
      <c r="JM622" s="16"/>
      <c r="JN622" s="17"/>
      <c r="JR622" s="24"/>
      <c r="JS622" s="60"/>
      <c r="JT622" s="16"/>
      <c r="JU622" s="16"/>
      <c r="JV622" s="16"/>
      <c r="JW622" s="16"/>
      <c r="JX622" s="16"/>
      <c r="JY622" s="17"/>
      <c r="KC622" s="24"/>
      <c r="KD622" s="60"/>
      <c r="KE622" s="16"/>
      <c r="KF622" s="16"/>
      <c r="KG622" s="16"/>
      <c r="KH622" s="16"/>
      <c r="KI622" s="16"/>
      <c r="KJ622" s="17"/>
      <c r="KN622" s="24"/>
      <c r="KO622" s="60"/>
      <c r="KP622" s="16"/>
      <c r="KQ622" s="16"/>
      <c r="KR622" s="16"/>
      <c r="KS622" s="16"/>
      <c r="KT622" s="16"/>
      <c r="KU622" s="17"/>
      <c r="KY622" s="24"/>
      <c r="KZ622" s="60"/>
      <c r="LA622" s="16"/>
      <c r="LB622" s="16"/>
      <c r="LC622" s="16"/>
      <c r="LD622" s="16"/>
      <c r="LE622" s="16"/>
      <c r="LF622" s="17"/>
      <c r="LJ622" s="24"/>
      <c r="LK622" s="60"/>
      <c r="LL622" s="16"/>
      <c r="LM622" s="16"/>
      <c r="LN622" s="16"/>
      <c r="LO622" s="16"/>
      <c r="LP622" s="16"/>
      <c r="LQ622" s="17"/>
    </row>
    <row r="623">
      <c r="C623" s="31"/>
      <c r="D623" s="61"/>
      <c r="E623" s="16"/>
      <c r="F623" s="16"/>
      <c r="G623" s="21"/>
      <c r="H623" s="16"/>
      <c r="I623" s="16"/>
      <c r="J623" s="17"/>
      <c r="N623" s="17"/>
      <c r="O623" s="61"/>
      <c r="P623" s="16"/>
      <c r="Q623" s="16"/>
      <c r="R623" s="16"/>
      <c r="S623" s="16"/>
      <c r="T623" s="16"/>
      <c r="U623" s="17"/>
      <c r="Y623" s="24"/>
      <c r="Z623" s="61"/>
      <c r="AA623" s="16"/>
      <c r="AB623" s="16"/>
      <c r="AC623" s="16"/>
      <c r="AD623" s="16"/>
      <c r="AE623" s="16"/>
      <c r="AF623" s="17"/>
      <c r="AJ623" s="24"/>
      <c r="AK623" s="61"/>
      <c r="AL623" s="16"/>
      <c r="AM623" s="16"/>
      <c r="AN623" s="16"/>
      <c r="AO623" s="16"/>
      <c r="AP623" s="16"/>
      <c r="AQ623" s="17"/>
      <c r="AU623" s="24"/>
      <c r="AV623" s="61"/>
      <c r="AW623" s="16"/>
      <c r="AX623" s="16"/>
      <c r="AY623" s="16"/>
      <c r="AZ623" s="16"/>
      <c r="BA623" s="16"/>
      <c r="BB623" s="17"/>
      <c r="BF623" s="24"/>
      <c r="BG623" s="61"/>
      <c r="BH623" s="16"/>
      <c r="BI623" s="16"/>
      <c r="BJ623" s="16"/>
      <c r="BK623" s="16"/>
      <c r="BL623" s="16"/>
      <c r="BM623" s="17"/>
      <c r="BQ623" s="24"/>
      <c r="BR623" s="61"/>
      <c r="BS623" s="16"/>
      <c r="BT623" s="16"/>
      <c r="BU623" s="16"/>
      <c r="BV623" s="16"/>
      <c r="BW623" s="16"/>
      <c r="BX623" s="17"/>
      <c r="CB623" s="24"/>
      <c r="CC623" s="61"/>
      <c r="CD623" s="16"/>
      <c r="CE623" s="16"/>
      <c r="CF623" s="16"/>
      <c r="CG623" s="16"/>
      <c r="CH623" s="16"/>
      <c r="CI623" s="17"/>
      <c r="CM623" s="24"/>
      <c r="CN623" s="61"/>
      <c r="CO623" s="16"/>
      <c r="CP623" s="16"/>
      <c r="CQ623" s="16"/>
      <c r="CR623" s="16"/>
      <c r="CS623" s="16"/>
      <c r="CT623" s="17"/>
      <c r="CX623" s="24"/>
      <c r="CY623" s="60"/>
      <c r="CZ623" s="16"/>
      <c r="DA623" s="16"/>
      <c r="DB623" s="16"/>
      <c r="DC623" s="16"/>
      <c r="DD623" s="16"/>
      <c r="DE623" s="17"/>
      <c r="DI623" s="24"/>
      <c r="DJ623" s="60"/>
      <c r="DK623" s="16"/>
      <c r="DL623" s="16"/>
      <c r="DM623" s="16"/>
      <c r="DN623" s="16"/>
      <c r="DO623" s="16"/>
      <c r="DP623" s="17"/>
      <c r="DT623" s="24"/>
      <c r="DU623" s="60"/>
      <c r="DV623" s="16"/>
      <c r="DW623" s="16"/>
      <c r="DX623" s="16"/>
      <c r="DY623" s="16"/>
      <c r="DZ623" s="16"/>
      <c r="EA623" s="17"/>
      <c r="EE623" s="24"/>
      <c r="EF623" s="60"/>
      <c r="EG623" s="16"/>
      <c r="EH623" s="16"/>
      <c r="EI623" s="16"/>
      <c r="EJ623" s="16"/>
      <c r="EK623" s="16"/>
      <c r="EL623" s="17"/>
      <c r="EP623" s="24"/>
      <c r="EQ623" s="60"/>
      <c r="ER623" s="16"/>
      <c r="ES623" s="16"/>
      <c r="ET623" s="16"/>
      <c r="EU623" s="16"/>
      <c r="EV623" s="16"/>
      <c r="EW623" s="17"/>
      <c r="FA623" s="24"/>
      <c r="FB623" s="60"/>
      <c r="FC623" s="16"/>
      <c r="FD623" s="16"/>
      <c r="FE623" s="16"/>
      <c r="FF623" s="16"/>
      <c r="FG623" s="16"/>
      <c r="FH623" s="17"/>
      <c r="FL623" s="24"/>
      <c r="FM623" s="60"/>
      <c r="FN623" s="16"/>
      <c r="FO623" s="16"/>
      <c r="FP623" s="16"/>
      <c r="FQ623" s="16"/>
      <c r="FR623" s="16"/>
      <c r="FS623" s="17"/>
      <c r="FW623" s="24"/>
      <c r="FX623" s="60"/>
      <c r="FY623" s="16"/>
      <c r="FZ623" s="16"/>
      <c r="GA623" s="16"/>
      <c r="GB623" s="16"/>
      <c r="GC623" s="16"/>
      <c r="GD623" s="17"/>
      <c r="GH623" s="24"/>
      <c r="GI623" s="60"/>
      <c r="GJ623" s="16"/>
      <c r="GK623" s="16"/>
      <c r="GL623" s="16"/>
      <c r="GM623" s="16"/>
      <c r="GN623" s="16"/>
      <c r="GO623" s="17"/>
      <c r="GS623" s="24"/>
      <c r="GT623" s="60"/>
      <c r="GU623" s="16"/>
      <c r="GV623" s="16"/>
      <c r="GW623" s="16"/>
      <c r="GX623" s="16"/>
      <c r="GY623" s="16"/>
      <c r="GZ623" s="17"/>
      <c r="HD623" s="24"/>
      <c r="HE623" s="60"/>
      <c r="HF623" s="16"/>
      <c r="HG623" s="16"/>
      <c r="HH623" s="16"/>
      <c r="HI623" s="16"/>
      <c r="HJ623" s="16"/>
      <c r="HK623" s="17"/>
      <c r="HO623" s="24"/>
      <c r="HP623" s="60"/>
      <c r="HQ623" s="16"/>
      <c r="HR623" s="16"/>
      <c r="HS623" s="16"/>
      <c r="HT623" s="16"/>
      <c r="HU623" s="16"/>
      <c r="HV623" s="17"/>
      <c r="HZ623" s="24"/>
      <c r="IA623" s="60"/>
      <c r="IB623" s="16"/>
      <c r="IC623" s="16"/>
      <c r="ID623" s="16"/>
      <c r="IE623" s="16"/>
      <c r="IF623" s="16"/>
      <c r="IG623" s="17"/>
      <c r="IK623" s="24"/>
      <c r="IL623" s="60"/>
      <c r="IM623" s="16"/>
      <c r="IN623" s="16"/>
      <c r="IO623" s="16"/>
      <c r="IP623" s="16"/>
      <c r="IQ623" s="16"/>
      <c r="IR623" s="17"/>
      <c r="IV623" s="24"/>
      <c r="IW623" s="60"/>
      <c r="IX623" s="16"/>
      <c r="IY623" s="16"/>
      <c r="IZ623" s="16"/>
      <c r="JA623" s="16"/>
      <c r="JB623" s="16"/>
      <c r="JC623" s="17"/>
      <c r="JG623" s="24"/>
      <c r="JH623" s="60"/>
      <c r="JI623" s="16"/>
      <c r="JJ623" s="16"/>
      <c r="JK623" s="16"/>
      <c r="JL623" s="16"/>
      <c r="JM623" s="16"/>
      <c r="JN623" s="17"/>
      <c r="JR623" s="24"/>
      <c r="JS623" s="60"/>
      <c r="JT623" s="16"/>
      <c r="JU623" s="16"/>
      <c r="JV623" s="16"/>
      <c r="JW623" s="16"/>
      <c r="JX623" s="16"/>
      <c r="JY623" s="17"/>
      <c r="KC623" s="24"/>
      <c r="KD623" s="60"/>
      <c r="KE623" s="16"/>
      <c r="KF623" s="16"/>
      <c r="KG623" s="16"/>
      <c r="KH623" s="16"/>
      <c r="KI623" s="16"/>
      <c r="KJ623" s="17"/>
      <c r="KN623" s="24"/>
      <c r="KO623" s="60"/>
      <c r="KP623" s="16"/>
      <c r="KQ623" s="16"/>
      <c r="KR623" s="16"/>
      <c r="KS623" s="16"/>
      <c r="KT623" s="16"/>
      <c r="KU623" s="17"/>
      <c r="KY623" s="24"/>
      <c r="KZ623" s="60"/>
      <c r="LA623" s="16"/>
      <c r="LB623" s="16"/>
      <c r="LC623" s="16"/>
      <c r="LD623" s="16"/>
      <c r="LE623" s="16"/>
      <c r="LF623" s="17"/>
      <c r="LJ623" s="24"/>
      <c r="LK623" s="60"/>
      <c r="LL623" s="16"/>
      <c r="LM623" s="16"/>
      <c r="LN623" s="16"/>
      <c r="LO623" s="16"/>
      <c r="LP623" s="16"/>
      <c r="LQ623" s="17"/>
    </row>
    <row r="624">
      <c r="C624" s="31"/>
      <c r="D624" s="61"/>
      <c r="E624" s="16"/>
      <c r="F624" s="16"/>
      <c r="G624" s="21"/>
      <c r="H624" s="16"/>
      <c r="I624" s="16"/>
      <c r="J624" s="17"/>
      <c r="N624" s="17"/>
      <c r="O624" s="61"/>
      <c r="P624" s="16"/>
      <c r="Q624" s="16"/>
      <c r="R624" s="16"/>
      <c r="S624" s="16"/>
      <c r="T624" s="16"/>
      <c r="U624" s="17"/>
      <c r="Y624" s="24"/>
      <c r="Z624" s="61"/>
      <c r="AA624" s="16"/>
      <c r="AB624" s="16"/>
      <c r="AC624" s="16"/>
      <c r="AD624" s="16"/>
      <c r="AE624" s="16"/>
      <c r="AF624" s="17"/>
      <c r="AJ624" s="24"/>
      <c r="AK624" s="61"/>
      <c r="AL624" s="16"/>
      <c r="AM624" s="16"/>
      <c r="AN624" s="16"/>
      <c r="AO624" s="16"/>
      <c r="AP624" s="16"/>
      <c r="AQ624" s="17"/>
      <c r="AU624" s="24"/>
      <c r="AV624" s="61"/>
      <c r="AW624" s="16"/>
      <c r="AX624" s="16"/>
      <c r="AY624" s="16"/>
      <c r="AZ624" s="16"/>
      <c r="BA624" s="16"/>
      <c r="BB624" s="17"/>
      <c r="BF624" s="24"/>
      <c r="BG624" s="61"/>
      <c r="BH624" s="16"/>
      <c r="BI624" s="16"/>
      <c r="BJ624" s="16"/>
      <c r="BK624" s="16"/>
      <c r="BL624" s="16"/>
      <c r="BM624" s="17"/>
      <c r="BQ624" s="24"/>
      <c r="BR624" s="61"/>
      <c r="BS624" s="16"/>
      <c r="BT624" s="16"/>
      <c r="BU624" s="16"/>
      <c r="BV624" s="16"/>
      <c r="BW624" s="16"/>
      <c r="BX624" s="17"/>
      <c r="CB624" s="24"/>
      <c r="CC624" s="61"/>
      <c r="CD624" s="16"/>
      <c r="CE624" s="16"/>
      <c r="CF624" s="16"/>
      <c r="CG624" s="16"/>
      <c r="CH624" s="16"/>
      <c r="CI624" s="17"/>
      <c r="CM624" s="24"/>
      <c r="CN624" s="61"/>
      <c r="CO624" s="16"/>
      <c r="CP624" s="16"/>
      <c r="CQ624" s="16"/>
      <c r="CR624" s="16"/>
      <c r="CS624" s="16"/>
      <c r="CT624" s="17"/>
      <c r="CX624" s="24"/>
      <c r="CY624" s="60"/>
      <c r="CZ624" s="16"/>
      <c r="DA624" s="16"/>
      <c r="DB624" s="16"/>
      <c r="DC624" s="16"/>
      <c r="DD624" s="16"/>
      <c r="DE624" s="17"/>
      <c r="DI624" s="24"/>
      <c r="DJ624" s="60"/>
      <c r="DK624" s="16"/>
      <c r="DL624" s="16"/>
      <c r="DM624" s="16"/>
      <c r="DN624" s="16"/>
      <c r="DO624" s="16"/>
      <c r="DP624" s="17"/>
      <c r="DT624" s="24"/>
      <c r="DU624" s="60"/>
      <c r="DV624" s="16"/>
      <c r="DW624" s="16"/>
      <c r="DX624" s="16"/>
      <c r="DY624" s="16"/>
      <c r="DZ624" s="16"/>
      <c r="EA624" s="17"/>
      <c r="EE624" s="24"/>
      <c r="EF624" s="60"/>
      <c r="EG624" s="16"/>
      <c r="EH624" s="16"/>
      <c r="EI624" s="16"/>
      <c r="EJ624" s="16"/>
      <c r="EK624" s="16"/>
      <c r="EL624" s="17"/>
      <c r="EP624" s="24"/>
      <c r="EQ624" s="60"/>
      <c r="ER624" s="16"/>
      <c r="ES624" s="16"/>
      <c r="ET624" s="16"/>
      <c r="EU624" s="16"/>
      <c r="EV624" s="16"/>
      <c r="EW624" s="17"/>
      <c r="FA624" s="24"/>
      <c r="FB624" s="60"/>
      <c r="FC624" s="16"/>
      <c r="FD624" s="16"/>
      <c r="FE624" s="16"/>
      <c r="FF624" s="16"/>
      <c r="FG624" s="16"/>
      <c r="FH624" s="17"/>
      <c r="FL624" s="24"/>
      <c r="FM624" s="60"/>
      <c r="FN624" s="16"/>
      <c r="FO624" s="16"/>
      <c r="FP624" s="16"/>
      <c r="FQ624" s="16"/>
      <c r="FR624" s="16"/>
      <c r="FS624" s="17"/>
      <c r="FW624" s="24"/>
      <c r="FX624" s="60"/>
      <c r="FY624" s="16"/>
      <c r="FZ624" s="16"/>
      <c r="GA624" s="16"/>
      <c r="GB624" s="16"/>
      <c r="GC624" s="16"/>
      <c r="GD624" s="17"/>
      <c r="GH624" s="24"/>
      <c r="GI624" s="60"/>
      <c r="GJ624" s="16"/>
      <c r="GK624" s="16"/>
      <c r="GL624" s="16"/>
      <c r="GM624" s="16"/>
      <c r="GN624" s="16"/>
      <c r="GO624" s="17"/>
      <c r="GS624" s="24"/>
      <c r="GT624" s="60"/>
      <c r="GU624" s="16"/>
      <c r="GV624" s="16"/>
      <c r="GW624" s="16"/>
      <c r="GX624" s="16"/>
      <c r="GY624" s="16"/>
      <c r="GZ624" s="17"/>
      <c r="HD624" s="24"/>
      <c r="HE624" s="60"/>
      <c r="HF624" s="16"/>
      <c r="HG624" s="16"/>
      <c r="HH624" s="16"/>
      <c r="HI624" s="16"/>
      <c r="HJ624" s="16"/>
      <c r="HK624" s="17"/>
      <c r="HO624" s="24"/>
      <c r="HP624" s="60"/>
      <c r="HQ624" s="16"/>
      <c r="HR624" s="16"/>
      <c r="HS624" s="16"/>
      <c r="HT624" s="16"/>
      <c r="HU624" s="16"/>
      <c r="HV624" s="17"/>
      <c r="HZ624" s="24"/>
      <c r="IA624" s="60"/>
      <c r="IB624" s="16"/>
      <c r="IC624" s="16"/>
      <c r="ID624" s="16"/>
      <c r="IE624" s="16"/>
      <c r="IF624" s="16"/>
      <c r="IG624" s="17"/>
      <c r="IK624" s="24"/>
      <c r="IL624" s="60"/>
      <c r="IM624" s="16"/>
      <c r="IN624" s="16"/>
      <c r="IO624" s="16"/>
      <c r="IP624" s="16"/>
      <c r="IQ624" s="16"/>
      <c r="IR624" s="17"/>
      <c r="IV624" s="24"/>
      <c r="IW624" s="60"/>
      <c r="IX624" s="16"/>
      <c r="IY624" s="16"/>
      <c r="IZ624" s="16"/>
      <c r="JA624" s="16"/>
      <c r="JB624" s="16"/>
      <c r="JC624" s="17"/>
      <c r="JG624" s="24"/>
      <c r="JH624" s="60"/>
      <c r="JI624" s="16"/>
      <c r="JJ624" s="16"/>
      <c r="JK624" s="16"/>
      <c r="JL624" s="16"/>
      <c r="JM624" s="16"/>
      <c r="JN624" s="17"/>
      <c r="JR624" s="24"/>
      <c r="JS624" s="60"/>
      <c r="JT624" s="16"/>
      <c r="JU624" s="16"/>
      <c r="JV624" s="16"/>
      <c r="JW624" s="16"/>
      <c r="JX624" s="16"/>
      <c r="JY624" s="17"/>
      <c r="KC624" s="24"/>
      <c r="KD624" s="60"/>
      <c r="KE624" s="16"/>
      <c r="KF624" s="16"/>
      <c r="KG624" s="16"/>
      <c r="KH624" s="16"/>
      <c r="KI624" s="16"/>
      <c r="KJ624" s="17"/>
      <c r="KN624" s="24"/>
      <c r="KO624" s="60"/>
      <c r="KP624" s="16"/>
      <c r="KQ624" s="16"/>
      <c r="KR624" s="16"/>
      <c r="KS624" s="16"/>
      <c r="KT624" s="16"/>
      <c r="KU624" s="17"/>
      <c r="KY624" s="24"/>
      <c r="KZ624" s="60"/>
      <c r="LA624" s="16"/>
      <c r="LB624" s="16"/>
      <c r="LC624" s="16"/>
      <c r="LD624" s="16"/>
      <c r="LE624" s="16"/>
      <c r="LF624" s="17"/>
      <c r="LJ624" s="24"/>
      <c r="LK624" s="60"/>
      <c r="LL624" s="16"/>
      <c r="LM624" s="16"/>
      <c r="LN624" s="16"/>
      <c r="LO624" s="16"/>
      <c r="LP624" s="16"/>
      <c r="LQ624" s="17"/>
    </row>
    <row r="625">
      <c r="C625" s="31"/>
      <c r="D625" s="61"/>
      <c r="E625" s="16"/>
      <c r="F625" s="16"/>
      <c r="G625" s="21"/>
      <c r="H625" s="16"/>
      <c r="I625" s="16"/>
      <c r="J625" s="17"/>
      <c r="N625" s="17"/>
      <c r="O625" s="61"/>
      <c r="P625" s="16"/>
      <c r="Q625" s="16"/>
      <c r="R625" s="16"/>
      <c r="S625" s="16"/>
      <c r="T625" s="16"/>
      <c r="U625" s="17"/>
      <c r="Y625" s="24"/>
      <c r="Z625" s="61"/>
      <c r="AA625" s="16"/>
      <c r="AB625" s="16"/>
      <c r="AC625" s="16"/>
      <c r="AD625" s="16"/>
      <c r="AE625" s="16"/>
      <c r="AF625" s="17"/>
      <c r="AJ625" s="24"/>
      <c r="AK625" s="61"/>
      <c r="AL625" s="16"/>
      <c r="AM625" s="16"/>
      <c r="AN625" s="16"/>
      <c r="AO625" s="16"/>
      <c r="AP625" s="16"/>
      <c r="AQ625" s="17"/>
      <c r="AU625" s="24"/>
      <c r="AV625" s="61"/>
      <c r="AW625" s="16"/>
      <c r="AX625" s="16"/>
      <c r="AY625" s="16"/>
      <c r="AZ625" s="16"/>
      <c r="BA625" s="16"/>
      <c r="BB625" s="17"/>
      <c r="BF625" s="24"/>
      <c r="BG625" s="61"/>
      <c r="BH625" s="16"/>
      <c r="BI625" s="16"/>
      <c r="BJ625" s="16"/>
      <c r="BK625" s="16"/>
      <c r="BL625" s="16"/>
      <c r="BM625" s="17"/>
      <c r="BQ625" s="24"/>
      <c r="BR625" s="61"/>
      <c r="BS625" s="16"/>
      <c r="BT625" s="16"/>
      <c r="BU625" s="16"/>
      <c r="BV625" s="16"/>
      <c r="BW625" s="16"/>
      <c r="BX625" s="17"/>
      <c r="CB625" s="24"/>
      <c r="CC625" s="61"/>
      <c r="CD625" s="16"/>
      <c r="CE625" s="16"/>
      <c r="CF625" s="16"/>
      <c r="CG625" s="16"/>
      <c r="CH625" s="16"/>
      <c r="CI625" s="17"/>
      <c r="CM625" s="24"/>
      <c r="CN625" s="61"/>
      <c r="CO625" s="16"/>
      <c r="CP625" s="16"/>
      <c r="CQ625" s="16"/>
      <c r="CR625" s="16"/>
      <c r="CS625" s="16"/>
      <c r="CT625" s="17"/>
      <c r="CX625" s="24"/>
      <c r="CY625" s="60"/>
      <c r="CZ625" s="16"/>
      <c r="DA625" s="16"/>
      <c r="DB625" s="16"/>
      <c r="DC625" s="16"/>
      <c r="DD625" s="16"/>
      <c r="DE625" s="17"/>
      <c r="DI625" s="24"/>
      <c r="DJ625" s="60"/>
      <c r="DK625" s="16"/>
      <c r="DL625" s="16"/>
      <c r="DM625" s="16"/>
      <c r="DN625" s="16"/>
      <c r="DO625" s="16"/>
      <c r="DP625" s="17"/>
      <c r="DT625" s="24"/>
      <c r="DU625" s="60"/>
      <c r="DV625" s="16"/>
      <c r="DW625" s="16"/>
      <c r="DX625" s="16"/>
      <c r="DY625" s="16"/>
      <c r="DZ625" s="16"/>
      <c r="EA625" s="17"/>
      <c r="EE625" s="24"/>
      <c r="EF625" s="60"/>
      <c r="EG625" s="16"/>
      <c r="EH625" s="16"/>
      <c r="EI625" s="16"/>
      <c r="EJ625" s="16"/>
      <c r="EK625" s="16"/>
      <c r="EL625" s="17"/>
      <c r="EP625" s="24"/>
      <c r="EQ625" s="60"/>
      <c r="ER625" s="16"/>
      <c r="ES625" s="16"/>
      <c r="ET625" s="16"/>
      <c r="EU625" s="16"/>
      <c r="EV625" s="16"/>
      <c r="EW625" s="17"/>
      <c r="FA625" s="24"/>
      <c r="FB625" s="60"/>
      <c r="FC625" s="16"/>
      <c r="FD625" s="16"/>
      <c r="FE625" s="16"/>
      <c r="FF625" s="16"/>
      <c r="FG625" s="16"/>
      <c r="FH625" s="17"/>
      <c r="FL625" s="24"/>
      <c r="FM625" s="60"/>
      <c r="FN625" s="16"/>
      <c r="FO625" s="16"/>
      <c r="FP625" s="16"/>
      <c r="FQ625" s="16"/>
      <c r="FR625" s="16"/>
      <c r="FS625" s="17"/>
      <c r="FW625" s="24"/>
      <c r="FX625" s="60"/>
      <c r="FY625" s="16"/>
      <c r="FZ625" s="16"/>
      <c r="GA625" s="16"/>
      <c r="GB625" s="16"/>
      <c r="GC625" s="16"/>
      <c r="GD625" s="17"/>
      <c r="GH625" s="24"/>
      <c r="GI625" s="60"/>
      <c r="GJ625" s="16"/>
      <c r="GK625" s="16"/>
      <c r="GL625" s="16"/>
      <c r="GM625" s="16"/>
      <c r="GN625" s="16"/>
      <c r="GO625" s="17"/>
      <c r="GS625" s="24"/>
      <c r="GT625" s="60"/>
      <c r="GU625" s="16"/>
      <c r="GV625" s="16"/>
      <c r="GW625" s="16"/>
      <c r="GX625" s="16"/>
      <c r="GY625" s="16"/>
      <c r="GZ625" s="17"/>
      <c r="HD625" s="24"/>
      <c r="HE625" s="60"/>
      <c r="HF625" s="16"/>
      <c r="HG625" s="16"/>
      <c r="HH625" s="16"/>
      <c r="HI625" s="16"/>
      <c r="HJ625" s="16"/>
      <c r="HK625" s="17"/>
      <c r="HO625" s="24"/>
      <c r="HP625" s="60"/>
      <c r="HQ625" s="16"/>
      <c r="HR625" s="16"/>
      <c r="HS625" s="16"/>
      <c r="HT625" s="16"/>
      <c r="HU625" s="16"/>
      <c r="HV625" s="17"/>
      <c r="HZ625" s="24"/>
      <c r="IA625" s="60"/>
      <c r="IB625" s="16"/>
      <c r="IC625" s="16"/>
      <c r="ID625" s="16"/>
      <c r="IE625" s="16"/>
      <c r="IF625" s="16"/>
      <c r="IG625" s="17"/>
      <c r="IK625" s="24"/>
      <c r="IL625" s="60"/>
      <c r="IM625" s="16"/>
      <c r="IN625" s="16"/>
      <c r="IO625" s="16"/>
      <c r="IP625" s="16"/>
      <c r="IQ625" s="16"/>
      <c r="IR625" s="17"/>
      <c r="IV625" s="24"/>
      <c r="IW625" s="60"/>
      <c r="IX625" s="16"/>
      <c r="IY625" s="16"/>
      <c r="IZ625" s="16"/>
      <c r="JA625" s="16"/>
      <c r="JB625" s="16"/>
      <c r="JC625" s="17"/>
      <c r="JG625" s="24"/>
      <c r="JH625" s="60"/>
      <c r="JI625" s="16"/>
      <c r="JJ625" s="16"/>
      <c r="JK625" s="16"/>
      <c r="JL625" s="16"/>
      <c r="JM625" s="16"/>
      <c r="JN625" s="17"/>
      <c r="JR625" s="24"/>
      <c r="JS625" s="60"/>
      <c r="JT625" s="16"/>
      <c r="JU625" s="16"/>
      <c r="JV625" s="16"/>
      <c r="JW625" s="16"/>
      <c r="JX625" s="16"/>
      <c r="JY625" s="17"/>
      <c r="KC625" s="24"/>
      <c r="KD625" s="60"/>
      <c r="KE625" s="16"/>
      <c r="KF625" s="16"/>
      <c r="KG625" s="16"/>
      <c r="KH625" s="16"/>
      <c r="KI625" s="16"/>
      <c r="KJ625" s="17"/>
      <c r="KN625" s="24"/>
      <c r="KO625" s="60"/>
      <c r="KP625" s="16"/>
      <c r="KQ625" s="16"/>
      <c r="KR625" s="16"/>
      <c r="KS625" s="16"/>
      <c r="KT625" s="16"/>
      <c r="KU625" s="17"/>
      <c r="KY625" s="24"/>
      <c r="KZ625" s="60"/>
      <c r="LA625" s="16"/>
      <c r="LB625" s="16"/>
      <c r="LC625" s="16"/>
      <c r="LD625" s="16"/>
      <c r="LE625" s="16"/>
      <c r="LF625" s="17"/>
      <c r="LJ625" s="24"/>
      <c r="LK625" s="60"/>
      <c r="LL625" s="16"/>
      <c r="LM625" s="16"/>
      <c r="LN625" s="16"/>
      <c r="LO625" s="16"/>
      <c r="LP625" s="16"/>
      <c r="LQ625" s="17"/>
    </row>
    <row r="626">
      <c r="C626" s="31"/>
      <c r="D626" s="61"/>
      <c r="E626" s="16"/>
      <c r="F626" s="16"/>
      <c r="G626" s="21"/>
      <c r="H626" s="16"/>
      <c r="I626" s="16"/>
      <c r="J626" s="17"/>
      <c r="N626" s="17"/>
      <c r="O626" s="61"/>
      <c r="P626" s="16"/>
      <c r="Q626" s="16"/>
      <c r="R626" s="16"/>
      <c r="S626" s="16"/>
      <c r="T626" s="16"/>
      <c r="U626" s="17"/>
      <c r="Y626" s="24"/>
      <c r="Z626" s="61"/>
      <c r="AA626" s="16"/>
      <c r="AB626" s="16"/>
      <c r="AC626" s="16"/>
      <c r="AD626" s="16"/>
      <c r="AE626" s="16"/>
      <c r="AF626" s="17"/>
      <c r="AJ626" s="24"/>
      <c r="AK626" s="61"/>
      <c r="AL626" s="16"/>
      <c r="AM626" s="16"/>
      <c r="AN626" s="16"/>
      <c r="AO626" s="16"/>
      <c r="AP626" s="16"/>
      <c r="AQ626" s="17"/>
      <c r="AU626" s="24"/>
      <c r="AV626" s="61"/>
      <c r="AW626" s="16"/>
      <c r="AX626" s="16"/>
      <c r="AY626" s="16"/>
      <c r="AZ626" s="16"/>
      <c r="BA626" s="16"/>
      <c r="BB626" s="17"/>
      <c r="BF626" s="24"/>
      <c r="BG626" s="61"/>
      <c r="BH626" s="16"/>
      <c r="BI626" s="16"/>
      <c r="BJ626" s="16"/>
      <c r="BK626" s="16"/>
      <c r="BL626" s="16"/>
      <c r="BM626" s="17"/>
      <c r="BQ626" s="24"/>
      <c r="BR626" s="61"/>
      <c r="BS626" s="16"/>
      <c r="BT626" s="16"/>
      <c r="BU626" s="16"/>
      <c r="BV626" s="16"/>
      <c r="BW626" s="16"/>
      <c r="BX626" s="17"/>
      <c r="CB626" s="24"/>
      <c r="CC626" s="61"/>
      <c r="CD626" s="16"/>
      <c r="CE626" s="16"/>
      <c r="CF626" s="16"/>
      <c r="CG626" s="16"/>
      <c r="CH626" s="16"/>
      <c r="CI626" s="17"/>
      <c r="CM626" s="24"/>
      <c r="CN626" s="61"/>
      <c r="CO626" s="16"/>
      <c r="CP626" s="16"/>
      <c r="CQ626" s="16"/>
      <c r="CR626" s="16"/>
      <c r="CS626" s="16"/>
      <c r="CT626" s="17"/>
      <c r="CX626" s="24"/>
      <c r="CY626" s="60"/>
      <c r="CZ626" s="16"/>
      <c r="DA626" s="16"/>
      <c r="DB626" s="16"/>
      <c r="DC626" s="16"/>
      <c r="DD626" s="16"/>
      <c r="DE626" s="17"/>
      <c r="DI626" s="24"/>
      <c r="DJ626" s="60"/>
      <c r="DK626" s="16"/>
      <c r="DL626" s="16"/>
      <c r="DM626" s="16"/>
      <c r="DN626" s="16"/>
      <c r="DO626" s="16"/>
      <c r="DP626" s="17"/>
      <c r="DT626" s="24"/>
      <c r="DU626" s="60"/>
      <c r="DV626" s="16"/>
      <c r="DW626" s="16"/>
      <c r="DX626" s="16"/>
      <c r="DY626" s="16"/>
      <c r="DZ626" s="16"/>
      <c r="EA626" s="17"/>
      <c r="EE626" s="24"/>
      <c r="EF626" s="60"/>
      <c r="EG626" s="16"/>
      <c r="EH626" s="16"/>
      <c r="EI626" s="16"/>
      <c r="EJ626" s="16"/>
      <c r="EK626" s="16"/>
      <c r="EL626" s="17"/>
      <c r="EP626" s="24"/>
      <c r="EQ626" s="60"/>
      <c r="ER626" s="16"/>
      <c r="ES626" s="16"/>
      <c r="ET626" s="16"/>
      <c r="EU626" s="16"/>
      <c r="EV626" s="16"/>
      <c r="EW626" s="17"/>
      <c r="FA626" s="24"/>
      <c r="FB626" s="60"/>
      <c r="FC626" s="16"/>
      <c r="FD626" s="16"/>
      <c r="FE626" s="16"/>
      <c r="FF626" s="16"/>
      <c r="FG626" s="16"/>
      <c r="FH626" s="17"/>
      <c r="FL626" s="24"/>
      <c r="FM626" s="60"/>
      <c r="FN626" s="16"/>
      <c r="FO626" s="16"/>
      <c r="FP626" s="16"/>
      <c r="FQ626" s="16"/>
      <c r="FR626" s="16"/>
      <c r="FS626" s="17"/>
      <c r="FW626" s="24"/>
      <c r="FX626" s="60"/>
      <c r="FY626" s="16"/>
      <c r="FZ626" s="16"/>
      <c r="GA626" s="16"/>
      <c r="GB626" s="16"/>
      <c r="GC626" s="16"/>
      <c r="GD626" s="17"/>
      <c r="GH626" s="24"/>
      <c r="GI626" s="60"/>
      <c r="GJ626" s="16"/>
      <c r="GK626" s="16"/>
      <c r="GL626" s="16"/>
      <c r="GM626" s="16"/>
      <c r="GN626" s="16"/>
      <c r="GO626" s="17"/>
      <c r="GS626" s="24"/>
      <c r="GT626" s="60"/>
      <c r="GU626" s="16"/>
      <c r="GV626" s="16"/>
      <c r="GW626" s="16"/>
      <c r="GX626" s="16"/>
      <c r="GY626" s="16"/>
      <c r="GZ626" s="17"/>
      <c r="HD626" s="24"/>
      <c r="HE626" s="60"/>
      <c r="HF626" s="16"/>
      <c r="HG626" s="16"/>
      <c r="HH626" s="16"/>
      <c r="HI626" s="16"/>
      <c r="HJ626" s="16"/>
      <c r="HK626" s="17"/>
      <c r="HO626" s="24"/>
      <c r="HP626" s="60"/>
      <c r="HQ626" s="16"/>
      <c r="HR626" s="16"/>
      <c r="HS626" s="16"/>
      <c r="HT626" s="16"/>
      <c r="HU626" s="16"/>
      <c r="HV626" s="17"/>
      <c r="HZ626" s="24"/>
      <c r="IA626" s="60"/>
      <c r="IB626" s="16"/>
      <c r="IC626" s="16"/>
      <c r="ID626" s="16"/>
      <c r="IE626" s="16"/>
      <c r="IF626" s="16"/>
      <c r="IG626" s="17"/>
      <c r="IK626" s="24"/>
      <c r="IL626" s="60"/>
      <c r="IM626" s="16"/>
      <c r="IN626" s="16"/>
      <c r="IO626" s="16"/>
      <c r="IP626" s="16"/>
      <c r="IQ626" s="16"/>
      <c r="IR626" s="17"/>
      <c r="IV626" s="24"/>
      <c r="IW626" s="60"/>
      <c r="IX626" s="16"/>
      <c r="IY626" s="16"/>
      <c r="IZ626" s="16"/>
      <c r="JA626" s="16"/>
      <c r="JB626" s="16"/>
      <c r="JC626" s="17"/>
      <c r="JG626" s="24"/>
      <c r="JH626" s="60"/>
      <c r="JI626" s="16"/>
      <c r="JJ626" s="16"/>
      <c r="JK626" s="16"/>
      <c r="JL626" s="16"/>
      <c r="JM626" s="16"/>
      <c r="JN626" s="17"/>
      <c r="JR626" s="24"/>
      <c r="JS626" s="60"/>
      <c r="JT626" s="16"/>
      <c r="JU626" s="16"/>
      <c r="JV626" s="16"/>
      <c r="JW626" s="16"/>
      <c r="JX626" s="16"/>
      <c r="JY626" s="17"/>
      <c r="KC626" s="24"/>
      <c r="KD626" s="60"/>
      <c r="KE626" s="16"/>
      <c r="KF626" s="16"/>
      <c r="KG626" s="16"/>
      <c r="KH626" s="16"/>
      <c r="KI626" s="16"/>
      <c r="KJ626" s="17"/>
      <c r="KN626" s="24"/>
      <c r="KO626" s="60"/>
      <c r="KP626" s="16"/>
      <c r="KQ626" s="16"/>
      <c r="KR626" s="16"/>
      <c r="KS626" s="16"/>
      <c r="KT626" s="16"/>
      <c r="KU626" s="17"/>
      <c r="KY626" s="24"/>
      <c r="KZ626" s="60"/>
      <c r="LA626" s="16"/>
      <c r="LB626" s="16"/>
      <c r="LC626" s="16"/>
      <c r="LD626" s="16"/>
      <c r="LE626" s="16"/>
      <c r="LF626" s="17"/>
      <c r="LJ626" s="24"/>
      <c r="LK626" s="60"/>
      <c r="LL626" s="16"/>
      <c r="LM626" s="16"/>
      <c r="LN626" s="16"/>
      <c r="LO626" s="16"/>
      <c r="LP626" s="16"/>
      <c r="LQ626" s="17"/>
    </row>
    <row r="627">
      <c r="C627" s="31"/>
      <c r="D627" s="61"/>
      <c r="E627" s="16"/>
      <c r="F627" s="16"/>
      <c r="G627" s="21"/>
      <c r="H627" s="16"/>
      <c r="I627" s="16"/>
      <c r="J627" s="17"/>
      <c r="N627" s="17"/>
      <c r="O627" s="61"/>
      <c r="P627" s="16"/>
      <c r="Q627" s="16"/>
      <c r="R627" s="16"/>
      <c r="S627" s="16"/>
      <c r="T627" s="16"/>
      <c r="U627" s="17"/>
      <c r="Y627" s="24"/>
      <c r="Z627" s="61"/>
      <c r="AA627" s="16"/>
      <c r="AB627" s="16"/>
      <c r="AC627" s="16"/>
      <c r="AD627" s="16"/>
      <c r="AE627" s="16"/>
      <c r="AF627" s="17"/>
      <c r="AJ627" s="24"/>
      <c r="AK627" s="61"/>
      <c r="AL627" s="16"/>
      <c r="AM627" s="16"/>
      <c r="AN627" s="16"/>
      <c r="AO627" s="16"/>
      <c r="AP627" s="16"/>
      <c r="AQ627" s="17"/>
      <c r="AU627" s="24"/>
      <c r="AV627" s="61"/>
      <c r="AW627" s="16"/>
      <c r="AX627" s="16"/>
      <c r="AY627" s="16"/>
      <c r="AZ627" s="16"/>
      <c r="BA627" s="16"/>
      <c r="BB627" s="17"/>
      <c r="BF627" s="24"/>
      <c r="BG627" s="61"/>
      <c r="BH627" s="16"/>
      <c r="BI627" s="16"/>
      <c r="BJ627" s="16"/>
      <c r="BK627" s="16"/>
      <c r="BL627" s="16"/>
      <c r="BM627" s="17"/>
      <c r="BQ627" s="24"/>
      <c r="BR627" s="61"/>
      <c r="BS627" s="16"/>
      <c r="BT627" s="16"/>
      <c r="BU627" s="16"/>
      <c r="BV627" s="16"/>
      <c r="BW627" s="16"/>
      <c r="BX627" s="17"/>
      <c r="CB627" s="24"/>
      <c r="CC627" s="61"/>
      <c r="CD627" s="16"/>
      <c r="CE627" s="16"/>
      <c r="CF627" s="16"/>
      <c r="CG627" s="16"/>
      <c r="CH627" s="16"/>
      <c r="CI627" s="17"/>
      <c r="CM627" s="24"/>
      <c r="CN627" s="61"/>
      <c r="CO627" s="16"/>
      <c r="CP627" s="16"/>
      <c r="CQ627" s="16"/>
      <c r="CR627" s="16"/>
      <c r="CS627" s="16"/>
      <c r="CT627" s="17"/>
      <c r="CX627" s="24"/>
      <c r="CY627" s="60"/>
      <c r="CZ627" s="16"/>
      <c r="DA627" s="16"/>
      <c r="DB627" s="16"/>
      <c r="DC627" s="16"/>
      <c r="DD627" s="16"/>
      <c r="DE627" s="17"/>
      <c r="DI627" s="24"/>
      <c r="DJ627" s="60"/>
      <c r="DK627" s="16"/>
      <c r="DL627" s="16"/>
      <c r="DM627" s="16"/>
      <c r="DN627" s="16"/>
      <c r="DO627" s="16"/>
      <c r="DP627" s="17"/>
      <c r="DT627" s="24"/>
      <c r="DU627" s="60"/>
      <c r="DV627" s="16"/>
      <c r="DW627" s="16"/>
      <c r="DX627" s="16"/>
      <c r="DY627" s="16"/>
      <c r="DZ627" s="16"/>
      <c r="EA627" s="17"/>
      <c r="EE627" s="24"/>
      <c r="EF627" s="60"/>
      <c r="EG627" s="16"/>
      <c r="EH627" s="16"/>
      <c r="EI627" s="16"/>
      <c r="EJ627" s="16"/>
      <c r="EK627" s="16"/>
      <c r="EL627" s="17"/>
      <c r="EP627" s="24"/>
      <c r="EQ627" s="60"/>
      <c r="ER627" s="16"/>
      <c r="ES627" s="16"/>
      <c r="ET627" s="16"/>
      <c r="EU627" s="16"/>
      <c r="EV627" s="16"/>
      <c r="EW627" s="17"/>
      <c r="FA627" s="24"/>
      <c r="FB627" s="60"/>
      <c r="FC627" s="16"/>
      <c r="FD627" s="16"/>
      <c r="FE627" s="16"/>
      <c r="FF627" s="16"/>
      <c r="FG627" s="16"/>
      <c r="FH627" s="17"/>
      <c r="FL627" s="24"/>
      <c r="FM627" s="60"/>
      <c r="FN627" s="16"/>
      <c r="FO627" s="16"/>
      <c r="FP627" s="16"/>
      <c r="FQ627" s="16"/>
      <c r="FR627" s="16"/>
      <c r="FS627" s="17"/>
      <c r="FW627" s="24"/>
      <c r="FX627" s="60"/>
      <c r="FY627" s="16"/>
      <c r="FZ627" s="16"/>
      <c r="GA627" s="16"/>
      <c r="GB627" s="16"/>
      <c r="GC627" s="16"/>
      <c r="GD627" s="17"/>
      <c r="GH627" s="24"/>
      <c r="GI627" s="60"/>
      <c r="GJ627" s="16"/>
      <c r="GK627" s="16"/>
      <c r="GL627" s="16"/>
      <c r="GM627" s="16"/>
      <c r="GN627" s="16"/>
      <c r="GO627" s="17"/>
      <c r="GS627" s="24"/>
      <c r="GT627" s="60"/>
      <c r="GU627" s="16"/>
      <c r="GV627" s="16"/>
      <c r="GW627" s="16"/>
      <c r="GX627" s="16"/>
      <c r="GY627" s="16"/>
      <c r="GZ627" s="17"/>
      <c r="HD627" s="24"/>
      <c r="HE627" s="60"/>
      <c r="HF627" s="16"/>
      <c r="HG627" s="16"/>
      <c r="HH627" s="16"/>
      <c r="HI627" s="16"/>
      <c r="HJ627" s="16"/>
      <c r="HK627" s="17"/>
      <c r="HO627" s="24"/>
      <c r="HP627" s="60"/>
      <c r="HQ627" s="16"/>
      <c r="HR627" s="16"/>
      <c r="HS627" s="16"/>
      <c r="HT627" s="16"/>
      <c r="HU627" s="16"/>
      <c r="HV627" s="17"/>
      <c r="HZ627" s="24"/>
      <c r="IA627" s="60"/>
      <c r="IB627" s="16"/>
      <c r="IC627" s="16"/>
      <c r="ID627" s="16"/>
      <c r="IE627" s="16"/>
      <c r="IF627" s="16"/>
      <c r="IG627" s="17"/>
      <c r="IK627" s="24"/>
      <c r="IL627" s="60"/>
      <c r="IM627" s="16"/>
      <c r="IN627" s="16"/>
      <c r="IO627" s="16"/>
      <c r="IP627" s="16"/>
      <c r="IQ627" s="16"/>
      <c r="IR627" s="17"/>
      <c r="IV627" s="24"/>
      <c r="IW627" s="60"/>
      <c r="IX627" s="16"/>
      <c r="IY627" s="16"/>
      <c r="IZ627" s="16"/>
      <c r="JA627" s="16"/>
      <c r="JB627" s="16"/>
      <c r="JC627" s="17"/>
      <c r="JG627" s="24"/>
      <c r="JH627" s="60"/>
      <c r="JI627" s="16"/>
      <c r="JJ627" s="16"/>
      <c r="JK627" s="16"/>
      <c r="JL627" s="16"/>
      <c r="JM627" s="16"/>
      <c r="JN627" s="17"/>
      <c r="JR627" s="24"/>
      <c r="JS627" s="60"/>
      <c r="JT627" s="16"/>
      <c r="JU627" s="16"/>
      <c r="JV627" s="16"/>
      <c r="JW627" s="16"/>
      <c r="JX627" s="16"/>
      <c r="JY627" s="17"/>
      <c r="KC627" s="24"/>
      <c r="KD627" s="60"/>
      <c r="KE627" s="16"/>
      <c r="KF627" s="16"/>
      <c r="KG627" s="16"/>
      <c r="KH627" s="16"/>
      <c r="KI627" s="16"/>
      <c r="KJ627" s="17"/>
      <c r="KN627" s="24"/>
      <c r="KO627" s="60"/>
      <c r="KP627" s="16"/>
      <c r="KQ627" s="16"/>
      <c r="KR627" s="16"/>
      <c r="KS627" s="16"/>
      <c r="KT627" s="16"/>
      <c r="KU627" s="17"/>
      <c r="KY627" s="24"/>
      <c r="KZ627" s="60"/>
      <c r="LA627" s="16"/>
      <c r="LB627" s="16"/>
      <c r="LC627" s="16"/>
      <c r="LD627" s="16"/>
      <c r="LE627" s="16"/>
      <c r="LF627" s="17"/>
      <c r="LJ627" s="24"/>
      <c r="LK627" s="60"/>
      <c r="LL627" s="16"/>
      <c r="LM627" s="16"/>
      <c r="LN627" s="16"/>
      <c r="LO627" s="16"/>
      <c r="LP627" s="16"/>
      <c r="LQ627" s="17"/>
    </row>
    <row r="628">
      <c r="C628" s="31"/>
      <c r="D628" s="61"/>
      <c r="E628" s="16"/>
      <c r="F628" s="16"/>
      <c r="G628" s="21"/>
      <c r="H628" s="16"/>
      <c r="I628" s="16"/>
      <c r="J628" s="17"/>
      <c r="N628" s="17"/>
      <c r="O628" s="61"/>
      <c r="P628" s="16"/>
      <c r="Q628" s="16"/>
      <c r="R628" s="16"/>
      <c r="S628" s="16"/>
      <c r="T628" s="16"/>
      <c r="U628" s="17"/>
      <c r="Y628" s="24"/>
      <c r="Z628" s="61"/>
      <c r="AA628" s="16"/>
      <c r="AB628" s="16"/>
      <c r="AC628" s="16"/>
      <c r="AD628" s="16"/>
      <c r="AE628" s="16"/>
      <c r="AF628" s="17"/>
      <c r="AJ628" s="24"/>
      <c r="AK628" s="61"/>
      <c r="AL628" s="16"/>
      <c r="AM628" s="16"/>
      <c r="AN628" s="16"/>
      <c r="AO628" s="16"/>
      <c r="AP628" s="16"/>
      <c r="AQ628" s="17"/>
      <c r="AU628" s="24"/>
      <c r="AV628" s="61"/>
      <c r="AW628" s="16"/>
      <c r="AX628" s="16"/>
      <c r="AY628" s="16"/>
      <c r="AZ628" s="16"/>
      <c r="BA628" s="16"/>
      <c r="BB628" s="17"/>
      <c r="BF628" s="24"/>
      <c r="BG628" s="61"/>
      <c r="BH628" s="16"/>
      <c r="BI628" s="16"/>
      <c r="BJ628" s="16"/>
      <c r="BK628" s="16"/>
      <c r="BL628" s="16"/>
      <c r="BM628" s="17"/>
      <c r="BQ628" s="24"/>
      <c r="BR628" s="61"/>
      <c r="BS628" s="16"/>
      <c r="BT628" s="16"/>
      <c r="BU628" s="16"/>
      <c r="BV628" s="16"/>
      <c r="BW628" s="16"/>
      <c r="BX628" s="17"/>
      <c r="CB628" s="24"/>
      <c r="CC628" s="61"/>
      <c r="CD628" s="16"/>
      <c r="CE628" s="16"/>
      <c r="CF628" s="16"/>
      <c r="CG628" s="16"/>
      <c r="CH628" s="16"/>
      <c r="CI628" s="17"/>
      <c r="CM628" s="24"/>
      <c r="CN628" s="61"/>
      <c r="CO628" s="16"/>
      <c r="CP628" s="16"/>
      <c r="CQ628" s="16"/>
      <c r="CR628" s="16"/>
      <c r="CS628" s="16"/>
      <c r="CT628" s="17"/>
      <c r="CX628" s="24"/>
      <c r="CY628" s="60"/>
      <c r="CZ628" s="16"/>
      <c r="DA628" s="16"/>
      <c r="DB628" s="16"/>
      <c r="DC628" s="16"/>
      <c r="DD628" s="16"/>
      <c r="DE628" s="17"/>
      <c r="DI628" s="24"/>
      <c r="DJ628" s="60"/>
      <c r="DK628" s="16"/>
      <c r="DL628" s="16"/>
      <c r="DM628" s="16"/>
      <c r="DN628" s="16"/>
      <c r="DO628" s="16"/>
      <c r="DP628" s="17"/>
      <c r="DT628" s="24"/>
      <c r="DU628" s="60"/>
      <c r="DV628" s="16"/>
      <c r="DW628" s="16"/>
      <c r="DX628" s="16"/>
      <c r="DY628" s="16"/>
      <c r="DZ628" s="16"/>
      <c r="EA628" s="17"/>
      <c r="EE628" s="24"/>
      <c r="EF628" s="60"/>
      <c r="EG628" s="16"/>
      <c r="EH628" s="16"/>
      <c r="EI628" s="16"/>
      <c r="EJ628" s="16"/>
      <c r="EK628" s="16"/>
      <c r="EL628" s="17"/>
      <c r="EP628" s="24"/>
      <c r="EQ628" s="60"/>
      <c r="ER628" s="16"/>
      <c r="ES628" s="16"/>
      <c r="ET628" s="16"/>
      <c r="EU628" s="16"/>
      <c r="EV628" s="16"/>
      <c r="EW628" s="17"/>
      <c r="FA628" s="24"/>
      <c r="FB628" s="60"/>
      <c r="FC628" s="16"/>
      <c r="FD628" s="16"/>
      <c r="FE628" s="16"/>
      <c r="FF628" s="16"/>
      <c r="FG628" s="16"/>
      <c r="FH628" s="17"/>
      <c r="FL628" s="24"/>
      <c r="FM628" s="60"/>
      <c r="FN628" s="16"/>
      <c r="FO628" s="16"/>
      <c r="FP628" s="16"/>
      <c r="FQ628" s="16"/>
      <c r="FR628" s="16"/>
      <c r="FS628" s="17"/>
      <c r="FW628" s="24"/>
      <c r="FX628" s="60"/>
      <c r="FY628" s="16"/>
      <c r="FZ628" s="16"/>
      <c r="GA628" s="16"/>
      <c r="GB628" s="16"/>
      <c r="GC628" s="16"/>
      <c r="GD628" s="17"/>
      <c r="GH628" s="24"/>
      <c r="GI628" s="60"/>
      <c r="GJ628" s="16"/>
      <c r="GK628" s="16"/>
      <c r="GL628" s="16"/>
      <c r="GM628" s="16"/>
      <c r="GN628" s="16"/>
      <c r="GO628" s="17"/>
      <c r="GS628" s="24"/>
      <c r="GT628" s="60"/>
      <c r="GU628" s="16"/>
      <c r="GV628" s="16"/>
      <c r="GW628" s="16"/>
      <c r="GX628" s="16"/>
      <c r="GY628" s="16"/>
      <c r="GZ628" s="17"/>
      <c r="HD628" s="24"/>
      <c r="HE628" s="60"/>
      <c r="HF628" s="16"/>
      <c r="HG628" s="16"/>
      <c r="HH628" s="16"/>
      <c r="HI628" s="16"/>
      <c r="HJ628" s="16"/>
      <c r="HK628" s="17"/>
      <c r="HO628" s="24"/>
      <c r="HP628" s="60"/>
      <c r="HQ628" s="16"/>
      <c r="HR628" s="16"/>
      <c r="HS628" s="16"/>
      <c r="HT628" s="16"/>
      <c r="HU628" s="16"/>
      <c r="HV628" s="17"/>
      <c r="HZ628" s="24"/>
      <c r="IA628" s="60"/>
      <c r="IB628" s="16"/>
      <c r="IC628" s="16"/>
      <c r="ID628" s="16"/>
      <c r="IE628" s="16"/>
      <c r="IF628" s="16"/>
      <c r="IG628" s="17"/>
      <c r="IK628" s="24"/>
      <c r="IL628" s="60"/>
      <c r="IM628" s="16"/>
      <c r="IN628" s="16"/>
      <c r="IO628" s="16"/>
      <c r="IP628" s="16"/>
      <c r="IQ628" s="16"/>
      <c r="IR628" s="17"/>
      <c r="IV628" s="24"/>
      <c r="IW628" s="60"/>
      <c r="IX628" s="16"/>
      <c r="IY628" s="16"/>
      <c r="IZ628" s="16"/>
      <c r="JA628" s="16"/>
      <c r="JB628" s="16"/>
      <c r="JC628" s="17"/>
      <c r="JG628" s="24"/>
      <c r="JH628" s="60"/>
      <c r="JI628" s="16"/>
      <c r="JJ628" s="16"/>
      <c r="JK628" s="16"/>
      <c r="JL628" s="16"/>
      <c r="JM628" s="16"/>
      <c r="JN628" s="17"/>
      <c r="JR628" s="24"/>
      <c r="JS628" s="60"/>
      <c r="JT628" s="16"/>
      <c r="JU628" s="16"/>
      <c r="JV628" s="16"/>
      <c r="JW628" s="16"/>
      <c r="JX628" s="16"/>
      <c r="JY628" s="17"/>
      <c r="KC628" s="24"/>
      <c r="KD628" s="60"/>
      <c r="KE628" s="16"/>
      <c r="KF628" s="16"/>
      <c r="KG628" s="16"/>
      <c r="KH628" s="16"/>
      <c r="KI628" s="16"/>
      <c r="KJ628" s="17"/>
      <c r="KN628" s="24"/>
      <c r="KO628" s="60"/>
      <c r="KP628" s="16"/>
      <c r="KQ628" s="16"/>
      <c r="KR628" s="16"/>
      <c r="KS628" s="16"/>
      <c r="KT628" s="16"/>
      <c r="KU628" s="17"/>
      <c r="KY628" s="24"/>
      <c r="KZ628" s="60"/>
      <c r="LA628" s="16"/>
      <c r="LB628" s="16"/>
      <c r="LC628" s="16"/>
      <c r="LD628" s="16"/>
      <c r="LE628" s="16"/>
      <c r="LF628" s="17"/>
      <c r="LJ628" s="24"/>
      <c r="LK628" s="60"/>
      <c r="LL628" s="16"/>
      <c r="LM628" s="16"/>
      <c r="LN628" s="16"/>
      <c r="LO628" s="16"/>
      <c r="LP628" s="16"/>
      <c r="LQ628" s="17"/>
    </row>
    <row r="629">
      <c r="C629" s="31"/>
      <c r="D629" s="61"/>
      <c r="E629" s="16"/>
      <c r="F629" s="16"/>
      <c r="G629" s="21"/>
      <c r="H629" s="16"/>
      <c r="I629" s="16"/>
      <c r="J629" s="17"/>
      <c r="N629" s="17"/>
      <c r="O629" s="61"/>
      <c r="P629" s="16"/>
      <c r="Q629" s="16"/>
      <c r="R629" s="16"/>
      <c r="S629" s="16"/>
      <c r="T629" s="16"/>
      <c r="U629" s="17"/>
      <c r="Y629" s="24"/>
      <c r="Z629" s="61"/>
      <c r="AA629" s="16"/>
      <c r="AB629" s="16"/>
      <c r="AC629" s="16"/>
      <c r="AD629" s="16"/>
      <c r="AE629" s="16"/>
      <c r="AF629" s="17"/>
      <c r="AJ629" s="24"/>
      <c r="AK629" s="61"/>
      <c r="AL629" s="16"/>
      <c r="AM629" s="16"/>
      <c r="AN629" s="16"/>
      <c r="AO629" s="16"/>
      <c r="AP629" s="16"/>
      <c r="AQ629" s="17"/>
      <c r="AU629" s="24"/>
      <c r="AV629" s="61"/>
      <c r="AW629" s="16"/>
      <c r="AX629" s="16"/>
      <c r="AY629" s="16"/>
      <c r="AZ629" s="16"/>
      <c r="BA629" s="16"/>
      <c r="BB629" s="17"/>
      <c r="BF629" s="24"/>
      <c r="BG629" s="61"/>
      <c r="BH629" s="16"/>
      <c r="BI629" s="16"/>
      <c r="BJ629" s="16"/>
      <c r="BK629" s="16"/>
      <c r="BL629" s="16"/>
      <c r="BM629" s="17"/>
      <c r="BQ629" s="24"/>
      <c r="BR629" s="61"/>
      <c r="BS629" s="16"/>
      <c r="BT629" s="16"/>
      <c r="BU629" s="16"/>
      <c r="BV629" s="16"/>
      <c r="BW629" s="16"/>
      <c r="BX629" s="17"/>
      <c r="CB629" s="24"/>
      <c r="CC629" s="61"/>
      <c r="CD629" s="16"/>
      <c r="CE629" s="16"/>
      <c r="CF629" s="16"/>
      <c r="CG629" s="16"/>
      <c r="CH629" s="16"/>
      <c r="CI629" s="17"/>
      <c r="CM629" s="24"/>
      <c r="CN629" s="61"/>
      <c r="CO629" s="16"/>
      <c r="CP629" s="16"/>
      <c r="CQ629" s="16"/>
      <c r="CR629" s="16"/>
      <c r="CS629" s="16"/>
      <c r="CT629" s="17"/>
      <c r="CX629" s="24"/>
      <c r="CY629" s="60"/>
      <c r="CZ629" s="16"/>
      <c r="DA629" s="16"/>
      <c r="DB629" s="16"/>
      <c r="DC629" s="16"/>
      <c r="DD629" s="16"/>
      <c r="DE629" s="17"/>
      <c r="DI629" s="24"/>
      <c r="DJ629" s="60"/>
      <c r="DK629" s="16"/>
      <c r="DL629" s="16"/>
      <c r="DM629" s="16"/>
      <c r="DN629" s="16"/>
      <c r="DO629" s="16"/>
      <c r="DP629" s="17"/>
      <c r="DT629" s="24"/>
      <c r="DU629" s="60"/>
      <c r="DV629" s="16"/>
      <c r="DW629" s="16"/>
      <c r="DX629" s="16"/>
      <c r="DY629" s="16"/>
      <c r="DZ629" s="16"/>
      <c r="EA629" s="17"/>
      <c r="EE629" s="24"/>
      <c r="EF629" s="60"/>
      <c r="EG629" s="16"/>
      <c r="EH629" s="16"/>
      <c r="EI629" s="16"/>
      <c r="EJ629" s="16"/>
      <c r="EK629" s="16"/>
      <c r="EL629" s="17"/>
      <c r="EP629" s="24"/>
      <c r="EQ629" s="60"/>
      <c r="ER629" s="16"/>
      <c r="ES629" s="16"/>
      <c r="ET629" s="16"/>
      <c r="EU629" s="16"/>
      <c r="EV629" s="16"/>
      <c r="EW629" s="17"/>
      <c r="FA629" s="24"/>
      <c r="FB629" s="60"/>
      <c r="FC629" s="16"/>
      <c r="FD629" s="16"/>
      <c r="FE629" s="16"/>
      <c r="FF629" s="16"/>
      <c r="FG629" s="16"/>
      <c r="FH629" s="17"/>
      <c r="FL629" s="24"/>
      <c r="FM629" s="60"/>
      <c r="FN629" s="16"/>
      <c r="FO629" s="16"/>
      <c r="FP629" s="16"/>
      <c r="FQ629" s="16"/>
      <c r="FR629" s="16"/>
      <c r="FS629" s="17"/>
      <c r="FW629" s="24"/>
      <c r="FX629" s="60"/>
      <c r="FY629" s="16"/>
      <c r="FZ629" s="16"/>
      <c r="GA629" s="16"/>
      <c r="GB629" s="16"/>
      <c r="GC629" s="16"/>
      <c r="GD629" s="17"/>
      <c r="GH629" s="24"/>
      <c r="GI629" s="60"/>
      <c r="GJ629" s="16"/>
      <c r="GK629" s="16"/>
      <c r="GL629" s="16"/>
      <c r="GM629" s="16"/>
      <c r="GN629" s="16"/>
      <c r="GO629" s="17"/>
      <c r="GS629" s="24"/>
      <c r="GT629" s="60"/>
      <c r="GU629" s="16"/>
      <c r="GV629" s="16"/>
      <c r="GW629" s="16"/>
      <c r="GX629" s="16"/>
      <c r="GY629" s="16"/>
      <c r="GZ629" s="17"/>
      <c r="HD629" s="24"/>
      <c r="HE629" s="60"/>
      <c r="HF629" s="16"/>
      <c r="HG629" s="16"/>
      <c r="HH629" s="16"/>
      <c r="HI629" s="16"/>
      <c r="HJ629" s="16"/>
      <c r="HK629" s="17"/>
      <c r="HO629" s="24"/>
      <c r="HP629" s="60"/>
      <c r="HQ629" s="16"/>
      <c r="HR629" s="16"/>
      <c r="HS629" s="16"/>
      <c r="HT629" s="16"/>
      <c r="HU629" s="16"/>
      <c r="HV629" s="17"/>
      <c r="HZ629" s="24"/>
      <c r="IA629" s="60"/>
      <c r="IB629" s="16"/>
      <c r="IC629" s="16"/>
      <c r="ID629" s="16"/>
      <c r="IE629" s="16"/>
      <c r="IF629" s="16"/>
      <c r="IG629" s="17"/>
      <c r="IK629" s="24"/>
      <c r="IL629" s="60"/>
      <c r="IM629" s="16"/>
      <c r="IN629" s="16"/>
      <c r="IO629" s="16"/>
      <c r="IP629" s="16"/>
      <c r="IQ629" s="16"/>
      <c r="IR629" s="17"/>
      <c r="IV629" s="24"/>
      <c r="IW629" s="60"/>
      <c r="IX629" s="16"/>
      <c r="IY629" s="16"/>
      <c r="IZ629" s="16"/>
      <c r="JA629" s="16"/>
      <c r="JB629" s="16"/>
      <c r="JC629" s="17"/>
      <c r="JG629" s="24"/>
      <c r="JH629" s="60"/>
      <c r="JI629" s="16"/>
      <c r="JJ629" s="16"/>
      <c r="JK629" s="16"/>
      <c r="JL629" s="16"/>
      <c r="JM629" s="16"/>
      <c r="JN629" s="17"/>
      <c r="JR629" s="24"/>
      <c r="JS629" s="60"/>
      <c r="JT629" s="16"/>
      <c r="JU629" s="16"/>
      <c r="JV629" s="16"/>
      <c r="JW629" s="16"/>
      <c r="JX629" s="16"/>
      <c r="JY629" s="17"/>
      <c r="KC629" s="24"/>
      <c r="KD629" s="60"/>
      <c r="KE629" s="16"/>
      <c r="KF629" s="16"/>
      <c r="KG629" s="16"/>
      <c r="KH629" s="16"/>
      <c r="KI629" s="16"/>
      <c r="KJ629" s="17"/>
      <c r="KN629" s="24"/>
      <c r="KO629" s="60"/>
      <c r="KP629" s="16"/>
      <c r="KQ629" s="16"/>
      <c r="KR629" s="16"/>
      <c r="KS629" s="16"/>
      <c r="KT629" s="16"/>
      <c r="KU629" s="17"/>
      <c r="KY629" s="24"/>
      <c r="KZ629" s="60"/>
      <c r="LA629" s="16"/>
      <c r="LB629" s="16"/>
      <c r="LC629" s="16"/>
      <c r="LD629" s="16"/>
      <c r="LE629" s="16"/>
      <c r="LF629" s="17"/>
      <c r="LJ629" s="24"/>
      <c r="LK629" s="60"/>
      <c r="LL629" s="16"/>
      <c r="LM629" s="16"/>
      <c r="LN629" s="16"/>
      <c r="LO629" s="16"/>
      <c r="LP629" s="16"/>
      <c r="LQ629" s="17"/>
    </row>
    <row r="630">
      <c r="C630" s="31"/>
      <c r="D630" s="61"/>
      <c r="E630" s="16"/>
      <c r="F630" s="16"/>
      <c r="G630" s="21"/>
      <c r="H630" s="16"/>
      <c r="I630" s="16"/>
      <c r="J630" s="17"/>
      <c r="N630" s="17"/>
      <c r="O630" s="61"/>
      <c r="P630" s="16"/>
      <c r="Q630" s="16"/>
      <c r="R630" s="16"/>
      <c r="S630" s="16"/>
      <c r="T630" s="16"/>
      <c r="U630" s="17"/>
      <c r="Y630" s="24"/>
      <c r="Z630" s="61"/>
      <c r="AA630" s="16"/>
      <c r="AB630" s="16"/>
      <c r="AC630" s="16"/>
      <c r="AD630" s="16"/>
      <c r="AE630" s="16"/>
      <c r="AF630" s="17"/>
      <c r="AJ630" s="24"/>
      <c r="AK630" s="61"/>
      <c r="AL630" s="16"/>
      <c r="AM630" s="16"/>
      <c r="AN630" s="16"/>
      <c r="AO630" s="16"/>
      <c r="AP630" s="16"/>
      <c r="AQ630" s="17"/>
      <c r="AU630" s="24"/>
      <c r="AV630" s="61"/>
      <c r="AW630" s="16"/>
      <c r="AX630" s="16"/>
      <c r="AY630" s="16"/>
      <c r="AZ630" s="16"/>
      <c r="BA630" s="16"/>
      <c r="BB630" s="17"/>
      <c r="BF630" s="24"/>
      <c r="BG630" s="61"/>
      <c r="BH630" s="16"/>
      <c r="BI630" s="16"/>
      <c r="BJ630" s="16"/>
      <c r="BK630" s="16"/>
      <c r="BL630" s="16"/>
      <c r="BM630" s="17"/>
      <c r="BQ630" s="24"/>
      <c r="BR630" s="61"/>
      <c r="BS630" s="16"/>
      <c r="BT630" s="16"/>
      <c r="BU630" s="16"/>
      <c r="BV630" s="16"/>
      <c r="BW630" s="16"/>
      <c r="BX630" s="17"/>
      <c r="CB630" s="24"/>
      <c r="CC630" s="61"/>
      <c r="CD630" s="16"/>
      <c r="CE630" s="16"/>
      <c r="CF630" s="16"/>
      <c r="CG630" s="16"/>
      <c r="CH630" s="16"/>
      <c r="CI630" s="17"/>
      <c r="CM630" s="24"/>
      <c r="CN630" s="61"/>
      <c r="CO630" s="16"/>
      <c r="CP630" s="16"/>
      <c r="CQ630" s="16"/>
      <c r="CR630" s="16"/>
      <c r="CS630" s="16"/>
      <c r="CT630" s="17"/>
      <c r="CX630" s="24"/>
      <c r="CY630" s="60"/>
      <c r="CZ630" s="16"/>
      <c r="DA630" s="16"/>
      <c r="DB630" s="16"/>
      <c r="DC630" s="16"/>
      <c r="DD630" s="16"/>
      <c r="DE630" s="17"/>
      <c r="DI630" s="24"/>
      <c r="DJ630" s="60"/>
      <c r="DK630" s="16"/>
      <c r="DL630" s="16"/>
      <c r="DM630" s="16"/>
      <c r="DN630" s="16"/>
      <c r="DO630" s="16"/>
      <c r="DP630" s="17"/>
      <c r="DT630" s="24"/>
      <c r="DU630" s="60"/>
      <c r="DV630" s="16"/>
      <c r="DW630" s="16"/>
      <c r="DX630" s="16"/>
      <c r="DY630" s="16"/>
      <c r="DZ630" s="16"/>
      <c r="EA630" s="17"/>
      <c r="EE630" s="24"/>
      <c r="EF630" s="60"/>
      <c r="EG630" s="16"/>
      <c r="EH630" s="16"/>
      <c r="EI630" s="16"/>
      <c r="EJ630" s="16"/>
      <c r="EK630" s="16"/>
      <c r="EL630" s="17"/>
      <c r="EP630" s="24"/>
      <c r="EQ630" s="60"/>
      <c r="ER630" s="16"/>
      <c r="ES630" s="16"/>
      <c r="ET630" s="16"/>
      <c r="EU630" s="16"/>
      <c r="EV630" s="16"/>
      <c r="EW630" s="17"/>
      <c r="FA630" s="24"/>
      <c r="FB630" s="60"/>
      <c r="FC630" s="16"/>
      <c r="FD630" s="16"/>
      <c r="FE630" s="16"/>
      <c r="FF630" s="16"/>
      <c r="FG630" s="16"/>
      <c r="FH630" s="17"/>
      <c r="FL630" s="24"/>
      <c r="FM630" s="60"/>
      <c r="FN630" s="16"/>
      <c r="FO630" s="16"/>
      <c r="FP630" s="16"/>
      <c r="FQ630" s="16"/>
      <c r="FR630" s="16"/>
      <c r="FS630" s="17"/>
      <c r="FW630" s="24"/>
      <c r="FX630" s="60"/>
      <c r="FY630" s="16"/>
      <c r="FZ630" s="16"/>
      <c r="GA630" s="16"/>
      <c r="GB630" s="16"/>
      <c r="GC630" s="16"/>
      <c r="GD630" s="17"/>
      <c r="GH630" s="24"/>
      <c r="GI630" s="60"/>
      <c r="GJ630" s="16"/>
      <c r="GK630" s="16"/>
      <c r="GL630" s="16"/>
      <c r="GM630" s="16"/>
      <c r="GN630" s="16"/>
      <c r="GO630" s="17"/>
      <c r="GS630" s="24"/>
      <c r="GT630" s="60"/>
      <c r="GU630" s="16"/>
      <c r="GV630" s="16"/>
      <c r="GW630" s="16"/>
      <c r="GX630" s="16"/>
      <c r="GY630" s="16"/>
      <c r="GZ630" s="17"/>
      <c r="HD630" s="24"/>
      <c r="HE630" s="60"/>
      <c r="HF630" s="16"/>
      <c r="HG630" s="16"/>
      <c r="HH630" s="16"/>
      <c r="HI630" s="16"/>
      <c r="HJ630" s="16"/>
      <c r="HK630" s="17"/>
      <c r="HO630" s="24"/>
      <c r="HP630" s="60"/>
      <c r="HQ630" s="16"/>
      <c r="HR630" s="16"/>
      <c r="HS630" s="16"/>
      <c r="HT630" s="16"/>
      <c r="HU630" s="16"/>
      <c r="HV630" s="17"/>
      <c r="HZ630" s="24"/>
      <c r="IA630" s="60"/>
      <c r="IB630" s="16"/>
      <c r="IC630" s="16"/>
      <c r="ID630" s="16"/>
      <c r="IE630" s="16"/>
      <c r="IF630" s="16"/>
      <c r="IG630" s="17"/>
      <c r="IK630" s="24"/>
      <c r="IL630" s="60"/>
      <c r="IM630" s="16"/>
      <c r="IN630" s="16"/>
      <c r="IO630" s="16"/>
      <c r="IP630" s="16"/>
      <c r="IQ630" s="16"/>
      <c r="IR630" s="17"/>
      <c r="IV630" s="24"/>
      <c r="IW630" s="60"/>
      <c r="IX630" s="16"/>
      <c r="IY630" s="16"/>
      <c r="IZ630" s="16"/>
      <c r="JA630" s="16"/>
      <c r="JB630" s="16"/>
      <c r="JC630" s="17"/>
      <c r="JG630" s="24"/>
      <c r="JH630" s="60"/>
      <c r="JI630" s="16"/>
      <c r="JJ630" s="16"/>
      <c r="JK630" s="16"/>
      <c r="JL630" s="16"/>
      <c r="JM630" s="16"/>
      <c r="JN630" s="17"/>
      <c r="JR630" s="24"/>
      <c r="JS630" s="60"/>
      <c r="JT630" s="16"/>
      <c r="JU630" s="16"/>
      <c r="JV630" s="16"/>
      <c r="JW630" s="16"/>
      <c r="JX630" s="16"/>
      <c r="JY630" s="17"/>
      <c r="KC630" s="24"/>
      <c r="KD630" s="60"/>
      <c r="KE630" s="16"/>
      <c r="KF630" s="16"/>
      <c r="KG630" s="16"/>
      <c r="KH630" s="16"/>
      <c r="KI630" s="16"/>
      <c r="KJ630" s="17"/>
      <c r="KN630" s="24"/>
      <c r="KO630" s="60"/>
      <c r="KP630" s="16"/>
      <c r="KQ630" s="16"/>
      <c r="KR630" s="16"/>
      <c r="KS630" s="16"/>
      <c r="KT630" s="16"/>
      <c r="KU630" s="17"/>
      <c r="KY630" s="24"/>
      <c r="KZ630" s="60"/>
      <c r="LA630" s="16"/>
      <c r="LB630" s="16"/>
      <c r="LC630" s="16"/>
      <c r="LD630" s="16"/>
      <c r="LE630" s="16"/>
      <c r="LF630" s="17"/>
      <c r="LJ630" s="24"/>
      <c r="LK630" s="60"/>
      <c r="LL630" s="16"/>
      <c r="LM630" s="16"/>
      <c r="LN630" s="16"/>
      <c r="LO630" s="16"/>
      <c r="LP630" s="16"/>
      <c r="LQ630" s="17"/>
    </row>
    <row r="631">
      <c r="C631" s="31"/>
      <c r="D631" s="61"/>
      <c r="E631" s="16"/>
      <c r="F631" s="16"/>
      <c r="G631" s="21"/>
      <c r="H631" s="16"/>
      <c r="I631" s="16"/>
      <c r="J631" s="17"/>
      <c r="N631" s="17"/>
      <c r="O631" s="61"/>
      <c r="P631" s="16"/>
      <c r="Q631" s="16"/>
      <c r="R631" s="16"/>
      <c r="S631" s="16"/>
      <c r="T631" s="16"/>
      <c r="U631" s="17"/>
      <c r="Y631" s="24"/>
      <c r="Z631" s="61"/>
      <c r="AA631" s="16"/>
      <c r="AB631" s="16"/>
      <c r="AC631" s="16"/>
      <c r="AD631" s="16"/>
      <c r="AE631" s="16"/>
      <c r="AF631" s="17"/>
      <c r="AJ631" s="24"/>
      <c r="AK631" s="61"/>
      <c r="AL631" s="16"/>
      <c r="AM631" s="16"/>
      <c r="AN631" s="16"/>
      <c r="AO631" s="16"/>
      <c r="AP631" s="16"/>
      <c r="AQ631" s="17"/>
      <c r="AU631" s="24"/>
      <c r="AV631" s="61"/>
      <c r="AW631" s="16"/>
      <c r="AX631" s="16"/>
      <c r="AY631" s="16"/>
      <c r="AZ631" s="16"/>
      <c r="BA631" s="16"/>
      <c r="BB631" s="17"/>
      <c r="BF631" s="24"/>
      <c r="BG631" s="61"/>
      <c r="BH631" s="16"/>
      <c r="BI631" s="16"/>
      <c r="BJ631" s="16"/>
      <c r="BK631" s="16"/>
      <c r="BL631" s="16"/>
      <c r="BM631" s="17"/>
      <c r="BQ631" s="24"/>
      <c r="BR631" s="61"/>
      <c r="BS631" s="16"/>
      <c r="BT631" s="16"/>
      <c r="BU631" s="16"/>
      <c r="BV631" s="16"/>
      <c r="BW631" s="16"/>
      <c r="BX631" s="17"/>
      <c r="CB631" s="24"/>
      <c r="CC631" s="61"/>
      <c r="CD631" s="16"/>
      <c r="CE631" s="16"/>
      <c r="CF631" s="16"/>
      <c r="CG631" s="16"/>
      <c r="CH631" s="16"/>
      <c r="CI631" s="17"/>
      <c r="CM631" s="24"/>
      <c r="CN631" s="61"/>
      <c r="CO631" s="16"/>
      <c r="CP631" s="16"/>
      <c r="CQ631" s="16"/>
      <c r="CR631" s="16"/>
      <c r="CS631" s="16"/>
      <c r="CT631" s="17"/>
      <c r="CX631" s="24"/>
      <c r="CY631" s="60"/>
      <c r="CZ631" s="16"/>
      <c r="DA631" s="16"/>
      <c r="DB631" s="16"/>
      <c r="DC631" s="16"/>
      <c r="DD631" s="16"/>
      <c r="DE631" s="17"/>
      <c r="DI631" s="24"/>
      <c r="DJ631" s="60"/>
      <c r="DK631" s="16"/>
      <c r="DL631" s="16"/>
      <c r="DM631" s="16"/>
      <c r="DN631" s="16"/>
      <c r="DO631" s="16"/>
      <c r="DP631" s="17"/>
      <c r="DT631" s="24"/>
      <c r="DU631" s="60"/>
      <c r="DV631" s="16"/>
      <c r="DW631" s="16"/>
      <c r="DX631" s="16"/>
      <c r="DY631" s="16"/>
      <c r="DZ631" s="16"/>
      <c r="EA631" s="17"/>
      <c r="EE631" s="24"/>
      <c r="EF631" s="60"/>
      <c r="EG631" s="16"/>
      <c r="EH631" s="16"/>
      <c r="EI631" s="16"/>
      <c r="EJ631" s="16"/>
      <c r="EK631" s="16"/>
      <c r="EL631" s="17"/>
      <c r="EP631" s="24"/>
      <c r="EQ631" s="60"/>
      <c r="ER631" s="16"/>
      <c r="ES631" s="16"/>
      <c r="ET631" s="16"/>
      <c r="EU631" s="16"/>
      <c r="EV631" s="16"/>
      <c r="EW631" s="17"/>
      <c r="FA631" s="24"/>
      <c r="FB631" s="60"/>
      <c r="FC631" s="16"/>
      <c r="FD631" s="16"/>
      <c r="FE631" s="16"/>
      <c r="FF631" s="16"/>
      <c r="FG631" s="16"/>
      <c r="FH631" s="17"/>
      <c r="FL631" s="24"/>
      <c r="FM631" s="60"/>
      <c r="FN631" s="16"/>
      <c r="FO631" s="16"/>
      <c r="FP631" s="16"/>
      <c r="FQ631" s="16"/>
      <c r="FR631" s="16"/>
      <c r="FS631" s="17"/>
      <c r="FW631" s="24"/>
      <c r="FX631" s="60"/>
      <c r="FY631" s="16"/>
      <c r="FZ631" s="16"/>
      <c r="GA631" s="16"/>
      <c r="GB631" s="16"/>
      <c r="GC631" s="16"/>
      <c r="GD631" s="17"/>
      <c r="GH631" s="24"/>
      <c r="GI631" s="60"/>
      <c r="GJ631" s="16"/>
      <c r="GK631" s="16"/>
      <c r="GL631" s="16"/>
      <c r="GM631" s="16"/>
      <c r="GN631" s="16"/>
      <c r="GO631" s="17"/>
      <c r="GS631" s="24"/>
      <c r="GT631" s="60"/>
      <c r="GU631" s="16"/>
      <c r="GV631" s="16"/>
      <c r="GW631" s="16"/>
      <c r="GX631" s="16"/>
      <c r="GY631" s="16"/>
      <c r="GZ631" s="17"/>
      <c r="HD631" s="24"/>
      <c r="HE631" s="60"/>
      <c r="HF631" s="16"/>
      <c r="HG631" s="16"/>
      <c r="HH631" s="16"/>
      <c r="HI631" s="16"/>
      <c r="HJ631" s="16"/>
      <c r="HK631" s="17"/>
      <c r="HO631" s="24"/>
      <c r="HP631" s="60"/>
      <c r="HQ631" s="16"/>
      <c r="HR631" s="16"/>
      <c r="HS631" s="16"/>
      <c r="HT631" s="16"/>
      <c r="HU631" s="16"/>
      <c r="HV631" s="17"/>
      <c r="HZ631" s="24"/>
      <c r="IA631" s="60"/>
      <c r="IB631" s="16"/>
      <c r="IC631" s="16"/>
      <c r="ID631" s="16"/>
      <c r="IE631" s="16"/>
      <c r="IF631" s="16"/>
      <c r="IG631" s="17"/>
      <c r="IK631" s="24"/>
      <c r="IL631" s="60"/>
      <c r="IM631" s="16"/>
      <c r="IN631" s="16"/>
      <c r="IO631" s="16"/>
      <c r="IP631" s="16"/>
      <c r="IQ631" s="16"/>
      <c r="IR631" s="17"/>
      <c r="IV631" s="24"/>
      <c r="IW631" s="60"/>
      <c r="IX631" s="16"/>
      <c r="IY631" s="16"/>
      <c r="IZ631" s="16"/>
      <c r="JA631" s="16"/>
      <c r="JB631" s="16"/>
      <c r="JC631" s="17"/>
      <c r="JG631" s="24"/>
      <c r="JH631" s="60"/>
      <c r="JI631" s="16"/>
      <c r="JJ631" s="16"/>
      <c r="JK631" s="16"/>
      <c r="JL631" s="16"/>
      <c r="JM631" s="16"/>
      <c r="JN631" s="17"/>
      <c r="JR631" s="24"/>
      <c r="JS631" s="60"/>
      <c r="JT631" s="16"/>
      <c r="JU631" s="16"/>
      <c r="JV631" s="16"/>
      <c r="JW631" s="16"/>
      <c r="JX631" s="16"/>
      <c r="JY631" s="17"/>
      <c r="KC631" s="24"/>
      <c r="KD631" s="60"/>
      <c r="KE631" s="16"/>
      <c r="KF631" s="16"/>
      <c r="KG631" s="16"/>
      <c r="KH631" s="16"/>
      <c r="KI631" s="16"/>
      <c r="KJ631" s="17"/>
      <c r="KN631" s="24"/>
      <c r="KO631" s="60"/>
      <c r="KP631" s="16"/>
      <c r="KQ631" s="16"/>
      <c r="KR631" s="16"/>
      <c r="KS631" s="16"/>
      <c r="KT631" s="16"/>
      <c r="KU631" s="17"/>
      <c r="KY631" s="24"/>
      <c r="KZ631" s="60"/>
      <c r="LA631" s="16"/>
      <c r="LB631" s="16"/>
      <c r="LC631" s="16"/>
      <c r="LD631" s="16"/>
      <c r="LE631" s="16"/>
      <c r="LF631" s="17"/>
      <c r="LJ631" s="24"/>
      <c r="LK631" s="60"/>
      <c r="LL631" s="16"/>
      <c r="LM631" s="16"/>
      <c r="LN631" s="16"/>
      <c r="LO631" s="16"/>
      <c r="LP631" s="16"/>
      <c r="LQ631" s="17"/>
    </row>
    <row r="632">
      <c r="C632" s="31"/>
      <c r="D632" s="61"/>
      <c r="E632" s="16"/>
      <c r="F632" s="16"/>
      <c r="G632" s="21"/>
      <c r="H632" s="16"/>
      <c r="I632" s="16"/>
      <c r="J632" s="17"/>
      <c r="N632" s="17"/>
      <c r="O632" s="61"/>
      <c r="P632" s="16"/>
      <c r="Q632" s="16"/>
      <c r="R632" s="16"/>
      <c r="S632" s="16"/>
      <c r="T632" s="16"/>
      <c r="U632" s="17"/>
      <c r="Y632" s="24"/>
      <c r="Z632" s="61"/>
      <c r="AA632" s="16"/>
      <c r="AB632" s="16"/>
      <c r="AC632" s="16"/>
      <c r="AD632" s="16"/>
      <c r="AE632" s="16"/>
      <c r="AF632" s="17"/>
      <c r="AJ632" s="24"/>
      <c r="AK632" s="61"/>
      <c r="AL632" s="16"/>
      <c r="AM632" s="16"/>
      <c r="AN632" s="16"/>
      <c r="AO632" s="16"/>
      <c r="AP632" s="16"/>
      <c r="AQ632" s="17"/>
      <c r="AU632" s="24"/>
      <c r="AV632" s="61"/>
      <c r="AW632" s="16"/>
      <c r="AX632" s="16"/>
      <c r="AY632" s="16"/>
      <c r="AZ632" s="16"/>
      <c r="BA632" s="16"/>
      <c r="BB632" s="17"/>
      <c r="BF632" s="24"/>
      <c r="BG632" s="61"/>
      <c r="BH632" s="16"/>
      <c r="BI632" s="16"/>
      <c r="BJ632" s="16"/>
      <c r="BK632" s="16"/>
      <c r="BL632" s="16"/>
      <c r="BM632" s="17"/>
      <c r="BQ632" s="24"/>
      <c r="BR632" s="61"/>
      <c r="BS632" s="16"/>
      <c r="BT632" s="16"/>
      <c r="BU632" s="16"/>
      <c r="BV632" s="16"/>
      <c r="BW632" s="16"/>
      <c r="BX632" s="17"/>
      <c r="CB632" s="24"/>
      <c r="CC632" s="61"/>
      <c r="CD632" s="16"/>
      <c r="CE632" s="16"/>
      <c r="CF632" s="16"/>
      <c r="CG632" s="16"/>
      <c r="CH632" s="16"/>
      <c r="CI632" s="17"/>
      <c r="CM632" s="24"/>
      <c r="CN632" s="61"/>
      <c r="CO632" s="16"/>
      <c r="CP632" s="16"/>
      <c r="CQ632" s="16"/>
      <c r="CR632" s="16"/>
      <c r="CS632" s="16"/>
      <c r="CT632" s="17"/>
      <c r="CX632" s="24"/>
      <c r="CY632" s="60"/>
      <c r="CZ632" s="16"/>
      <c r="DA632" s="16"/>
      <c r="DB632" s="16"/>
      <c r="DC632" s="16"/>
      <c r="DD632" s="16"/>
      <c r="DE632" s="17"/>
      <c r="DI632" s="24"/>
      <c r="DJ632" s="60"/>
      <c r="DK632" s="16"/>
      <c r="DL632" s="16"/>
      <c r="DM632" s="16"/>
      <c r="DN632" s="16"/>
      <c r="DO632" s="16"/>
      <c r="DP632" s="17"/>
      <c r="DT632" s="24"/>
      <c r="DU632" s="60"/>
      <c r="DV632" s="16"/>
      <c r="DW632" s="16"/>
      <c r="DX632" s="16"/>
      <c r="DY632" s="16"/>
      <c r="DZ632" s="16"/>
      <c r="EA632" s="17"/>
      <c r="EE632" s="24"/>
      <c r="EF632" s="60"/>
      <c r="EG632" s="16"/>
      <c r="EH632" s="16"/>
      <c r="EI632" s="16"/>
      <c r="EJ632" s="16"/>
      <c r="EK632" s="16"/>
      <c r="EL632" s="17"/>
      <c r="EP632" s="24"/>
      <c r="EQ632" s="60"/>
      <c r="ER632" s="16"/>
      <c r="ES632" s="16"/>
      <c r="ET632" s="16"/>
      <c r="EU632" s="16"/>
      <c r="EV632" s="16"/>
      <c r="EW632" s="17"/>
      <c r="FA632" s="24"/>
      <c r="FB632" s="60"/>
      <c r="FC632" s="16"/>
      <c r="FD632" s="16"/>
      <c r="FE632" s="16"/>
      <c r="FF632" s="16"/>
      <c r="FG632" s="16"/>
      <c r="FH632" s="17"/>
      <c r="FL632" s="24"/>
      <c r="FM632" s="60"/>
      <c r="FN632" s="16"/>
      <c r="FO632" s="16"/>
      <c r="FP632" s="16"/>
      <c r="FQ632" s="16"/>
      <c r="FR632" s="16"/>
      <c r="FS632" s="17"/>
      <c r="FW632" s="24"/>
      <c r="FX632" s="60"/>
      <c r="FY632" s="16"/>
      <c r="FZ632" s="16"/>
      <c r="GA632" s="16"/>
      <c r="GB632" s="16"/>
      <c r="GC632" s="16"/>
      <c r="GD632" s="17"/>
      <c r="GH632" s="24"/>
      <c r="GI632" s="60"/>
      <c r="GJ632" s="16"/>
      <c r="GK632" s="16"/>
      <c r="GL632" s="16"/>
      <c r="GM632" s="16"/>
      <c r="GN632" s="16"/>
      <c r="GO632" s="17"/>
      <c r="GS632" s="24"/>
      <c r="GT632" s="60"/>
      <c r="GU632" s="16"/>
      <c r="GV632" s="16"/>
      <c r="GW632" s="16"/>
      <c r="GX632" s="16"/>
      <c r="GY632" s="16"/>
      <c r="GZ632" s="17"/>
      <c r="HD632" s="24"/>
      <c r="HE632" s="60"/>
      <c r="HF632" s="16"/>
      <c r="HG632" s="16"/>
      <c r="HH632" s="16"/>
      <c r="HI632" s="16"/>
      <c r="HJ632" s="16"/>
      <c r="HK632" s="17"/>
      <c r="HO632" s="24"/>
      <c r="HP632" s="60"/>
      <c r="HQ632" s="16"/>
      <c r="HR632" s="16"/>
      <c r="HS632" s="16"/>
      <c r="HT632" s="16"/>
      <c r="HU632" s="16"/>
      <c r="HV632" s="17"/>
      <c r="HZ632" s="24"/>
      <c r="IA632" s="60"/>
      <c r="IB632" s="16"/>
      <c r="IC632" s="16"/>
      <c r="ID632" s="16"/>
      <c r="IE632" s="16"/>
      <c r="IF632" s="16"/>
      <c r="IG632" s="17"/>
      <c r="IK632" s="24"/>
      <c r="IL632" s="60"/>
      <c r="IM632" s="16"/>
      <c r="IN632" s="16"/>
      <c r="IO632" s="16"/>
      <c r="IP632" s="16"/>
      <c r="IQ632" s="16"/>
      <c r="IR632" s="17"/>
      <c r="IV632" s="24"/>
      <c r="IW632" s="60"/>
      <c r="IX632" s="16"/>
      <c r="IY632" s="16"/>
      <c r="IZ632" s="16"/>
      <c r="JA632" s="16"/>
      <c r="JB632" s="16"/>
      <c r="JC632" s="17"/>
      <c r="JG632" s="24"/>
      <c r="JH632" s="60"/>
      <c r="JI632" s="16"/>
      <c r="JJ632" s="16"/>
      <c r="JK632" s="16"/>
      <c r="JL632" s="16"/>
      <c r="JM632" s="16"/>
      <c r="JN632" s="17"/>
      <c r="JR632" s="24"/>
      <c r="JS632" s="60"/>
      <c r="JT632" s="16"/>
      <c r="JU632" s="16"/>
      <c r="JV632" s="16"/>
      <c r="JW632" s="16"/>
      <c r="JX632" s="16"/>
      <c r="JY632" s="17"/>
      <c r="KC632" s="24"/>
      <c r="KD632" s="60"/>
      <c r="KE632" s="16"/>
      <c r="KF632" s="16"/>
      <c r="KG632" s="16"/>
      <c r="KH632" s="16"/>
      <c r="KI632" s="16"/>
      <c r="KJ632" s="17"/>
      <c r="KN632" s="24"/>
      <c r="KO632" s="60"/>
      <c r="KP632" s="16"/>
      <c r="KQ632" s="16"/>
      <c r="KR632" s="16"/>
      <c r="KS632" s="16"/>
      <c r="KT632" s="16"/>
      <c r="KU632" s="17"/>
      <c r="KY632" s="24"/>
      <c r="KZ632" s="60"/>
      <c r="LA632" s="16"/>
      <c r="LB632" s="16"/>
      <c r="LC632" s="16"/>
      <c r="LD632" s="16"/>
      <c r="LE632" s="16"/>
      <c r="LF632" s="17"/>
      <c r="LJ632" s="24"/>
      <c r="LK632" s="60"/>
      <c r="LL632" s="16"/>
      <c r="LM632" s="16"/>
      <c r="LN632" s="16"/>
      <c r="LO632" s="16"/>
      <c r="LP632" s="16"/>
      <c r="LQ632" s="17"/>
    </row>
    <row r="633">
      <c r="C633" s="31"/>
      <c r="D633" s="61"/>
      <c r="E633" s="16"/>
      <c r="F633" s="16"/>
      <c r="G633" s="21"/>
      <c r="H633" s="16"/>
      <c r="I633" s="16"/>
      <c r="J633" s="17"/>
      <c r="N633" s="17"/>
      <c r="O633" s="61"/>
      <c r="P633" s="16"/>
      <c r="Q633" s="16"/>
      <c r="R633" s="16"/>
      <c r="S633" s="16"/>
      <c r="T633" s="16"/>
      <c r="U633" s="17"/>
      <c r="Y633" s="24"/>
      <c r="Z633" s="61"/>
      <c r="AA633" s="16"/>
      <c r="AB633" s="16"/>
      <c r="AC633" s="16"/>
      <c r="AD633" s="16"/>
      <c r="AE633" s="16"/>
      <c r="AF633" s="17"/>
      <c r="AJ633" s="24"/>
      <c r="AK633" s="61"/>
      <c r="AL633" s="16"/>
      <c r="AM633" s="16"/>
      <c r="AN633" s="16"/>
      <c r="AO633" s="16"/>
      <c r="AP633" s="16"/>
      <c r="AQ633" s="17"/>
      <c r="AU633" s="24"/>
      <c r="AV633" s="61"/>
      <c r="AW633" s="16"/>
      <c r="AX633" s="16"/>
      <c r="AY633" s="16"/>
      <c r="AZ633" s="16"/>
      <c r="BA633" s="16"/>
      <c r="BB633" s="17"/>
      <c r="BF633" s="24"/>
      <c r="BG633" s="61"/>
      <c r="BH633" s="16"/>
      <c r="BI633" s="16"/>
      <c r="BJ633" s="16"/>
      <c r="BK633" s="16"/>
      <c r="BL633" s="16"/>
      <c r="BM633" s="17"/>
      <c r="BQ633" s="24"/>
      <c r="BR633" s="61"/>
      <c r="BS633" s="16"/>
      <c r="BT633" s="16"/>
      <c r="BU633" s="16"/>
      <c r="BV633" s="16"/>
      <c r="BW633" s="16"/>
      <c r="BX633" s="17"/>
      <c r="CB633" s="24"/>
      <c r="CC633" s="61"/>
      <c r="CD633" s="16"/>
      <c r="CE633" s="16"/>
      <c r="CF633" s="16"/>
      <c r="CG633" s="16"/>
      <c r="CH633" s="16"/>
      <c r="CI633" s="17"/>
      <c r="CM633" s="24"/>
      <c r="CN633" s="61"/>
      <c r="CO633" s="16"/>
      <c r="CP633" s="16"/>
      <c r="CQ633" s="16"/>
      <c r="CR633" s="16"/>
      <c r="CS633" s="16"/>
      <c r="CT633" s="17"/>
      <c r="CX633" s="24"/>
      <c r="CY633" s="60"/>
      <c r="CZ633" s="16"/>
      <c r="DA633" s="16"/>
      <c r="DB633" s="16"/>
      <c r="DC633" s="16"/>
      <c r="DD633" s="16"/>
      <c r="DE633" s="17"/>
      <c r="DI633" s="24"/>
      <c r="DJ633" s="60"/>
      <c r="DK633" s="16"/>
      <c r="DL633" s="16"/>
      <c r="DM633" s="16"/>
      <c r="DN633" s="16"/>
      <c r="DO633" s="16"/>
      <c r="DP633" s="17"/>
      <c r="DT633" s="24"/>
      <c r="DU633" s="60"/>
      <c r="DV633" s="16"/>
      <c r="DW633" s="16"/>
      <c r="DX633" s="16"/>
      <c r="DY633" s="16"/>
      <c r="DZ633" s="16"/>
      <c r="EA633" s="17"/>
      <c r="EE633" s="24"/>
      <c r="EF633" s="60"/>
      <c r="EG633" s="16"/>
      <c r="EH633" s="16"/>
      <c r="EI633" s="16"/>
      <c r="EJ633" s="16"/>
      <c r="EK633" s="16"/>
      <c r="EL633" s="17"/>
      <c r="EP633" s="24"/>
      <c r="EQ633" s="60"/>
      <c r="ER633" s="16"/>
      <c r="ES633" s="16"/>
      <c r="ET633" s="16"/>
      <c r="EU633" s="16"/>
      <c r="EV633" s="16"/>
      <c r="EW633" s="17"/>
      <c r="FA633" s="24"/>
      <c r="FB633" s="60"/>
      <c r="FC633" s="16"/>
      <c r="FD633" s="16"/>
      <c r="FE633" s="16"/>
      <c r="FF633" s="16"/>
      <c r="FG633" s="16"/>
      <c r="FH633" s="17"/>
      <c r="FL633" s="24"/>
      <c r="FM633" s="60"/>
      <c r="FN633" s="16"/>
      <c r="FO633" s="16"/>
      <c r="FP633" s="16"/>
      <c r="FQ633" s="16"/>
      <c r="FR633" s="16"/>
      <c r="FS633" s="17"/>
      <c r="FW633" s="24"/>
      <c r="FX633" s="60"/>
      <c r="FY633" s="16"/>
      <c r="FZ633" s="16"/>
      <c r="GA633" s="16"/>
      <c r="GB633" s="16"/>
      <c r="GC633" s="16"/>
      <c r="GD633" s="17"/>
      <c r="GH633" s="24"/>
      <c r="GI633" s="60"/>
      <c r="GJ633" s="16"/>
      <c r="GK633" s="16"/>
      <c r="GL633" s="16"/>
      <c r="GM633" s="16"/>
      <c r="GN633" s="16"/>
      <c r="GO633" s="17"/>
      <c r="GS633" s="24"/>
      <c r="GT633" s="60"/>
      <c r="GU633" s="16"/>
      <c r="GV633" s="16"/>
      <c r="GW633" s="16"/>
      <c r="GX633" s="16"/>
      <c r="GY633" s="16"/>
      <c r="GZ633" s="17"/>
      <c r="HD633" s="24"/>
      <c r="HE633" s="60"/>
      <c r="HF633" s="16"/>
      <c r="HG633" s="16"/>
      <c r="HH633" s="16"/>
      <c r="HI633" s="16"/>
      <c r="HJ633" s="16"/>
      <c r="HK633" s="17"/>
      <c r="HO633" s="24"/>
      <c r="HP633" s="60"/>
      <c r="HQ633" s="16"/>
      <c r="HR633" s="16"/>
      <c r="HS633" s="16"/>
      <c r="HT633" s="16"/>
      <c r="HU633" s="16"/>
      <c r="HV633" s="17"/>
      <c r="HZ633" s="24"/>
      <c r="IA633" s="60"/>
      <c r="IB633" s="16"/>
      <c r="IC633" s="16"/>
      <c r="ID633" s="16"/>
      <c r="IE633" s="16"/>
      <c r="IF633" s="16"/>
      <c r="IG633" s="17"/>
      <c r="IK633" s="24"/>
      <c r="IL633" s="60"/>
      <c r="IM633" s="16"/>
      <c r="IN633" s="16"/>
      <c r="IO633" s="16"/>
      <c r="IP633" s="16"/>
      <c r="IQ633" s="16"/>
      <c r="IR633" s="17"/>
      <c r="IV633" s="24"/>
      <c r="IW633" s="60"/>
      <c r="IX633" s="16"/>
      <c r="IY633" s="16"/>
      <c r="IZ633" s="16"/>
      <c r="JA633" s="16"/>
      <c r="JB633" s="16"/>
      <c r="JC633" s="17"/>
      <c r="JG633" s="24"/>
      <c r="JH633" s="60"/>
      <c r="JI633" s="16"/>
      <c r="JJ633" s="16"/>
      <c r="JK633" s="16"/>
      <c r="JL633" s="16"/>
      <c r="JM633" s="16"/>
      <c r="JN633" s="17"/>
      <c r="JR633" s="24"/>
      <c r="JS633" s="60"/>
      <c r="JT633" s="16"/>
      <c r="JU633" s="16"/>
      <c r="JV633" s="16"/>
      <c r="JW633" s="16"/>
      <c r="JX633" s="16"/>
      <c r="JY633" s="17"/>
      <c r="KC633" s="24"/>
      <c r="KD633" s="60"/>
      <c r="KE633" s="16"/>
      <c r="KF633" s="16"/>
      <c r="KG633" s="16"/>
      <c r="KH633" s="16"/>
      <c r="KI633" s="16"/>
      <c r="KJ633" s="17"/>
      <c r="KN633" s="24"/>
      <c r="KO633" s="60"/>
      <c r="KP633" s="16"/>
      <c r="KQ633" s="16"/>
      <c r="KR633" s="16"/>
      <c r="KS633" s="16"/>
      <c r="KT633" s="16"/>
      <c r="KU633" s="17"/>
      <c r="KY633" s="24"/>
      <c r="KZ633" s="60"/>
      <c r="LA633" s="16"/>
      <c r="LB633" s="16"/>
      <c r="LC633" s="16"/>
      <c r="LD633" s="16"/>
      <c r="LE633" s="16"/>
      <c r="LF633" s="17"/>
      <c r="LJ633" s="24"/>
      <c r="LK633" s="60"/>
      <c r="LL633" s="16"/>
      <c r="LM633" s="16"/>
      <c r="LN633" s="16"/>
      <c r="LO633" s="16"/>
      <c r="LP633" s="16"/>
      <c r="LQ633" s="17"/>
    </row>
    <row r="634">
      <c r="C634" s="31"/>
      <c r="D634" s="61"/>
      <c r="E634" s="16"/>
      <c r="F634" s="16"/>
      <c r="G634" s="21"/>
      <c r="H634" s="16"/>
      <c r="I634" s="16"/>
      <c r="J634" s="17"/>
      <c r="N634" s="17"/>
      <c r="O634" s="61"/>
      <c r="P634" s="16"/>
      <c r="Q634" s="16"/>
      <c r="R634" s="16"/>
      <c r="S634" s="16"/>
      <c r="T634" s="16"/>
      <c r="U634" s="17"/>
      <c r="Y634" s="24"/>
      <c r="Z634" s="61"/>
      <c r="AA634" s="16"/>
      <c r="AB634" s="16"/>
      <c r="AC634" s="16"/>
      <c r="AD634" s="16"/>
      <c r="AE634" s="16"/>
      <c r="AF634" s="17"/>
      <c r="AJ634" s="24"/>
      <c r="AK634" s="61"/>
      <c r="AL634" s="16"/>
      <c r="AM634" s="16"/>
      <c r="AN634" s="16"/>
      <c r="AO634" s="16"/>
      <c r="AP634" s="16"/>
      <c r="AQ634" s="17"/>
      <c r="AU634" s="24"/>
      <c r="AV634" s="61"/>
      <c r="AW634" s="16"/>
      <c r="AX634" s="16"/>
      <c r="AY634" s="16"/>
      <c r="AZ634" s="16"/>
      <c r="BA634" s="16"/>
      <c r="BB634" s="17"/>
      <c r="BF634" s="24"/>
      <c r="BG634" s="61"/>
      <c r="BH634" s="16"/>
      <c r="BI634" s="16"/>
      <c r="BJ634" s="16"/>
      <c r="BK634" s="16"/>
      <c r="BL634" s="16"/>
      <c r="BM634" s="17"/>
      <c r="BQ634" s="24"/>
      <c r="BR634" s="61"/>
      <c r="BS634" s="16"/>
      <c r="BT634" s="16"/>
      <c r="BU634" s="16"/>
      <c r="BV634" s="16"/>
      <c r="BW634" s="16"/>
      <c r="BX634" s="17"/>
      <c r="CB634" s="24"/>
      <c r="CC634" s="61"/>
      <c r="CD634" s="16"/>
      <c r="CE634" s="16"/>
      <c r="CF634" s="16"/>
      <c r="CG634" s="16"/>
      <c r="CH634" s="16"/>
      <c r="CI634" s="17"/>
      <c r="CM634" s="24"/>
      <c r="CN634" s="61"/>
      <c r="CO634" s="16"/>
      <c r="CP634" s="16"/>
      <c r="CQ634" s="16"/>
      <c r="CR634" s="16"/>
      <c r="CS634" s="16"/>
      <c r="CT634" s="17"/>
      <c r="CX634" s="24"/>
      <c r="CY634" s="60"/>
      <c r="CZ634" s="16"/>
      <c r="DA634" s="16"/>
      <c r="DB634" s="16"/>
      <c r="DC634" s="16"/>
      <c r="DD634" s="16"/>
      <c r="DE634" s="17"/>
      <c r="DI634" s="24"/>
      <c r="DJ634" s="60"/>
      <c r="DK634" s="16"/>
      <c r="DL634" s="16"/>
      <c r="DM634" s="16"/>
      <c r="DN634" s="16"/>
      <c r="DO634" s="16"/>
      <c r="DP634" s="17"/>
      <c r="DT634" s="24"/>
      <c r="DU634" s="60"/>
      <c r="DV634" s="16"/>
      <c r="DW634" s="16"/>
      <c r="DX634" s="16"/>
      <c r="DY634" s="16"/>
      <c r="DZ634" s="16"/>
      <c r="EA634" s="17"/>
      <c r="EE634" s="24"/>
      <c r="EF634" s="60"/>
      <c r="EG634" s="16"/>
      <c r="EH634" s="16"/>
      <c r="EI634" s="16"/>
      <c r="EJ634" s="16"/>
      <c r="EK634" s="16"/>
      <c r="EL634" s="17"/>
      <c r="EP634" s="24"/>
      <c r="EQ634" s="60"/>
      <c r="ER634" s="16"/>
      <c r="ES634" s="16"/>
      <c r="ET634" s="16"/>
      <c r="EU634" s="16"/>
      <c r="EV634" s="16"/>
      <c r="EW634" s="17"/>
      <c r="FA634" s="24"/>
      <c r="FB634" s="60"/>
      <c r="FC634" s="16"/>
      <c r="FD634" s="16"/>
      <c r="FE634" s="16"/>
      <c r="FF634" s="16"/>
      <c r="FG634" s="16"/>
      <c r="FH634" s="17"/>
      <c r="FL634" s="24"/>
      <c r="FM634" s="60"/>
      <c r="FN634" s="16"/>
      <c r="FO634" s="16"/>
      <c r="FP634" s="16"/>
      <c r="FQ634" s="16"/>
      <c r="FR634" s="16"/>
      <c r="FS634" s="17"/>
      <c r="FW634" s="24"/>
      <c r="FX634" s="60"/>
      <c r="FY634" s="16"/>
      <c r="FZ634" s="16"/>
      <c r="GA634" s="16"/>
      <c r="GB634" s="16"/>
      <c r="GC634" s="16"/>
      <c r="GD634" s="17"/>
      <c r="GH634" s="24"/>
      <c r="GI634" s="60"/>
      <c r="GJ634" s="16"/>
      <c r="GK634" s="16"/>
      <c r="GL634" s="16"/>
      <c r="GM634" s="16"/>
      <c r="GN634" s="16"/>
      <c r="GO634" s="17"/>
      <c r="GS634" s="24"/>
      <c r="GT634" s="60"/>
      <c r="GU634" s="16"/>
      <c r="GV634" s="16"/>
      <c r="GW634" s="16"/>
      <c r="GX634" s="16"/>
      <c r="GY634" s="16"/>
      <c r="GZ634" s="17"/>
      <c r="HD634" s="24"/>
      <c r="HE634" s="60"/>
      <c r="HF634" s="16"/>
      <c r="HG634" s="16"/>
      <c r="HH634" s="16"/>
      <c r="HI634" s="16"/>
      <c r="HJ634" s="16"/>
      <c r="HK634" s="17"/>
      <c r="HO634" s="24"/>
      <c r="HP634" s="60"/>
      <c r="HQ634" s="16"/>
      <c r="HR634" s="16"/>
      <c r="HS634" s="16"/>
      <c r="HT634" s="16"/>
      <c r="HU634" s="16"/>
      <c r="HV634" s="17"/>
      <c r="HZ634" s="24"/>
      <c r="IA634" s="60"/>
      <c r="IB634" s="16"/>
      <c r="IC634" s="16"/>
      <c r="ID634" s="16"/>
      <c r="IE634" s="16"/>
      <c r="IF634" s="16"/>
      <c r="IG634" s="17"/>
      <c r="IK634" s="24"/>
      <c r="IL634" s="60"/>
      <c r="IM634" s="16"/>
      <c r="IN634" s="16"/>
      <c r="IO634" s="16"/>
      <c r="IP634" s="16"/>
      <c r="IQ634" s="16"/>
      <c r="IR634" s="17"/>
      <c r="IV634" s="24"/>
      <c r="IW634" s="60"/>
      <c r="IX634" s="16"/>
      <c r="IY634" s="16"/>
      <c r="IZ634" s="16"/>
      <c r="JA634" s="16"/>
      <c r="JB634" s="16"/>
      <c r="JC634" s="17"/>
      <c r="JG634" s="24"/>
      <c r="JH634" s="60"/>
      <c r="JI634" s="16"/>
      <c r="JJ634" s="16"/>
      <c r="JK634" s="16"/>
      <c r="JL634" s="16"/>
      <c r="JM634" s="16"/>
      <c r="JN634" s="17"/>
      <c r="JR634" s="24"/>
      <c r="JS634" s="60"/>
      <c r="JT634" s="16"/>
      <c r="JU634" s="16"/>
      <c r="JV634" s="16"/>
      <c r="JW634" s="16"/>
      <c r="JX634" s="16"/>
      <c r="JY634" s="17"/>
      <c r="KC634" s="24"/>
      <c r="KD634" s="60"/>
      <c r="KE634" s="16"/>
      <c r="KF634" s="16"/>
      <c r="KG634" s="16"/>
      <c r="KH634" s="16"/>
      <c r="KI634" s="16"/>
      <c r="KJ634" s="17"/>
      <c r="KN634" s="24"/>
      <c r="KO634" s="60"/>
      <c r="KP634" s="16"/>
      <c r="KQ634" s="16"/>
      <c r="KR634" s="16"/>
      <c r="KS634" s="16"/>
      <c r="KT634" s="16"/>
      <c r="KU634" s="17"/>
      <c r="KY634" s="24"/>
      <c r="KZ634" s="60"/>
      <c r="LA634" s="16"/>
      <c r="LB634" s="16"/>
      <c r="LC634" s="16"/>
      <c r="LD634" s="16"/>
      <c r="LE634" s="16"/>
      <c r="LF634" s="17"/>
      <c r="LJ634" s="24"/>
      <c r="LK634" s="60"/>
      <c r="LL634" s="16"/>
      <c r="LM634" s="16"/>
      <c r="LN634" s="16"/>
      <c r="LO634" s="16"/>
      <c r="LP634" s="16"/>
      <c r="LQ634" s="17"/>
    </row>
    <row r="635">
      <c r="C635" s="31"/>
      <c r="D635" s="61"/>
      <c r="E635" s="16"/>
      <c r="F635" s="16"/>
      <c r="G635" s="21"/>
      <c r="H635" s="16"/>
      <c r="I635" s="16"/>
      <c r="J635" s="17"/>
      <c r="N635" s="17"/>
      <c r="O635" s="61"/>
      <c r="P635" s="16"/>
      <c r="Q635" s="16"/>
      <c r="R635" s="16"/>
      <c r="S635" s="16"/>
      <c r="T635" s="16"/>
      <c r="U635" s="17"/>
      <c r="Y635" s="24"/>
      <c r="Z635" s="61"/>
      <c r="AA635" s="16"/>
      <c r="AB635" s="16"/>
      <c r="AC635" s="16"/>
      <c r="AD635" s="16"/>
      <c r="AE635" s="16"/>
      <c r="AF635" s="17"/>
      <c r="AJ635" s="24"/>
      <c r="AK635" s="61"/>
      <c r="AL635" s="16"/>
      <c r="AM635" s="16"/>
      <c r="AN635" s="16"/>
      <c r="AO635" s="16"/>
      <c r="AP635" s="16"/>
      <c r="AQ635" s="17"/>
      <c r="AU635" s="24"/>
      <c r="AV635" s="61"/>
      <c r="AW635" s="16"/>
      <c r="AX635" s="16"/>
      <c r="AY635" s="16"/>
      <c r="AZ635" s="16"/>
      <c r="BA635" s="16"/>
      <c r="BB635" s="17"/>
      <c r="BF635" s="24"/>
      <c r="BG635" s="61"/>
      <c r="BH635" s="16"/>
      <c r="BI635" s="16"/>
      <c r="BJ635" s="16"/>
      <c r="BK635" s="16"/>
      <c r="BL635" s="16"/>
      <c r="BM635" s="17"/>
      <c r="BQ635" s="24"/>
      <c r="BR635" s="61"/>
      <c r="BS635" s="16"/>
      <c r="BT635" s="16"/>
      <c r="BU635" s="16"/>
      <c r="BV635" s="16"/>
      <c r="BW635" s="16"/>
      <c r="BX635" s="17"/>
      <c r="CB635" s="24"/>
      <c r="CC635" s="61"/>
      <c r="CD635" s="16"/>
      <c r="CE635" s="16"/>
      <c r="CF635" s="16"/>
      <c r="CG635" s="16"/>
      <c r="CH635" s="16"/>
      <c r="CI635" s="17"/>
      <c r="CM635" s="24"/>
      <c r="CN635" s="61"/>
      <c r="CO635" s="16"/>
      <c r="CP635" s="16"/>
      <c r="CQ635" s="16"/>
      <c r="CR635" s="16"/>
      <c r="CS635" s="16"/>
      <c r="CT635" s="17"/>
      <c r="CX635" s="24"/>
      <c r="CY635" s="60"/>
      <c r="CZ635" s="16"/>
      <c r="DA635" s="16"/>
      <c r="DB635" s="16"/>
      <c r="DC635" s="16"/>
      <c r="DD635" s="16"/>
      <c r="DE635" s="17"/>
      <c r="DI635" s="24"/>
      <c r="DJ635" s="60"/>
      <c r="DK635" s="16"/>
      <c r="DL635" s="16"/>
      <c r="DM635" s="16"/>
      <c r="DN635" s="16"/>
      <c r="DO635" s="16"/>
      <c r="DP635" s="17"/>
      <c r="DT635" s="24"/>
      <c r="DU635" s="60"/>
      <c r="DV635" s="16"/>
      <c r="DW635" s="16"/>
      <c r="DX635" s="16"/>
      <c r="DY635" s="16"/>
      <c r="DZ635" s="16"/>
      <c r="EA635" s="17"/>
      <c r="EE635" s="24"/>
      <c r="EF635" s="60"/>
      <c r="EG635" s="16"/>
      <c r="EH635" s="16"/>
      <c r="EI635" s="16"/>
      <c r="EJ635" s="16"/>
      <c r="EK635" s="16"/>
      <c r="EL635" s="17"/>
      <c r="EP635" s="24"/>
      <c r="EQ635" s="60"/>
      <c r="ER635" s="16"/>
      <c r="ES635" s="16"/>
      <c r="ET635" s="16"/>
      <c r="EU635" s="16"/>
      <c r="EV635" s="16"/>
      <c r="EW635" s="17"/>
      <c r="FA635" s="24"/>
      <c r="FB635" s="60"/>
      <c r="FC635" s="16"/>
      <c r="FD635" s="16"/>
      <c r="FE635" s="16"/>
      <c r="FF635" s="16"/>
      <c r="FG635" s="16"/>
      <c r="FH635" s="17"/>
      <c r="FL635" s="24"/>
      <c r="FM635" s="60"/>
      <c r="FN635" s="16"/>
      <c r="FO635" s="16"/>
      <c r="FP635" s="16"/>
      <c r="FQ635" s="16"/>
      <c r="FR635" s="16"/>
      <c r="FS635" s="17"/>
      <c r="FW635" s="24"/>
      <c r="FX635" s="60"/>
      <c r="FY635" s="16"/>
      <c r="FZ635" s="16"/>
      <c r="GA635" s="16"/>
      <c r="GB635" s="16"/>
      <c r="GC635" s="16"/>
      <c r="GD635" s="17"/>
      <c r="GH635" s="24"/>
      <c r="GI635" s="60"/>
      <c r="GJ635" s="16"/>
      <c r="GK635" s="16"/>
      <c r="GL635" s="16"/>
      <c r="GM635" s="16"/>
      <c r="GN635" s="16"/>
      <c r="GO635" s="17"/>
      <c r="GS635" s="24"/>
      <c r="GT635" s="60"/>
      <c r="GU635" s="16"/>
      <c r="GV635" s="16"/>
      <c r="GW635" s="16"/>
      <c r="GX635" s="16"/>
      <c r="GY635" s="16"/>
      <c r="GZ635" s="17"/>
      <c r="HD635" s="24"/>
      <c r="HE635" s="60"/>
      <c r="HF635" s="16"/>
      <c r="HG635" s="16"/>
      <c r="HH635" s="16"/>
      <c r="HI635" s="16"/>
      <c r="HJ635" s="16"/>
      <c r="HK635" s="17"/>
      <c r="HO635" s="24"/>
      <c r="HP635" s="60"/>
      <c r="HQ635" s="16"/>
      <c r="HR635" s="16"/>
      <c r="HS635" s="16"/>
      <c r="HT635" s="16"/>
      <c r="HU635" s="16"/>
      <c r="HV635" s="17"/>
      <c r="HZ635" s="24"/>
      <c r="IA635" s="60"/>
      <c r="IB635" s="16"/>
      <c r="IC635" s="16"/>
      <c r="ID635" s="16"/>
      <c r="IE635" s="16"/>
      <c r="IF635" s="16"/>
      <c r="IG635" s="17"/>
      <c r="IK635" s="24"/>
      <c r="IL635" s="60"/>
      <c r="IM635" s="16"/>
      <c r="IN635" s="16"/>
      <c r="IO635" s="16"/>
      <c r="IP635" s="16"/>
      <c r="IQ635" s="16"/>
      <c r="IR635" s="17"/>
      <c r="IV635" s="24"/>
      <c r="IW635" s="60"/>
      <c r="IX635" s="16"/>
      <c r="IY635" s="16"/>
      <c r="IZ635" s="16"/>
      <c r="JA635" s="16"/>
      <c r="JB635" s="16"/>
      <c r="JC635" s="17"/>
      <c r="JG635" s="24"/>
      <c r="JH635" s="60"/>
      <c r="JI635" s="16"/>
      <c r="JJ635" s="16"/>
      <c r="JK635" s="16"/>
      <c r="JL635" s="16"/>
      <c r="JM635" s="16"/>
      <c r="JN635" s="17"/>
      <c r="JR635" s="24"/>
      <c r="JS635" s="60"/>
      <c r="JT635" s="16"/>
      <c r="JU635" s="16"/>
      <c r="JV635" s="16"/>
      <c r="JW635" s="16"/>
      <c r="JX635" s="16"/>
      <c r="JY635" s="17"/>
      <c r="KC635" s="24"/>
      <c r="KD635" s="60"/>
      <c r="KE635" s="16"/>
      <c r="KF635" s="16"/>
      <c r="KG635" s="16"/>
      <c r="KH635" s="16"/>
      <c r="KI635" s="16"/>
      <c r="KJ635" s="17"/>
      <c r="KN635" s="24"/>
      <c r="KO635" s="60"/>
      <c r="KP635" s="16"/>
      <c r="KQ635" s="16"/>
      <c r="KR635" s="16"/>
      <c r="KS635" s="16"/>
      <c r="KT635" s="16"/>
      <c r="KU635" s="17"/>
      <c r="KY635" s="24"/>
      <c r="KZ635" s="60"/>
      <c r="LA635" s="16"/>
      <c r="LB635" s="16"/>
      <c r="LC635" s="16"/>
      <c r="LD635" s="16"/>
      <c r="LE635" s="16"/>
      <c r="LF635" s="17"/>
      <c r="LJ635" s="24"/>
      <c r="LK635" s="60"/>
      <c r="LL635" s="16"/>
      <c r="LM635" s="16"/>
      <c r="LN635" s="16"/>
      <c r="LO635" s="16"/>
      <c r="LP635" s="16"/>
      <c r="LQ635" s="17"/>
    </row>
    <row r="636">
      <c r="C636" s="31"/>
      <c r="D636" s="61"/>
      <c r="E636" s="16"/>
      <c r="F636" s="16"/>
      <c r="G636" s="21"/>
      <c r="H636" s="16"/>
      <c r="I636" s="16"/>
      <c r="J636" s="17"/>
      <c r="N636" s="17"/>
      <c r="O636" s="61"/>
      <c r="P636" s="16"/>
      <c r="Q636" s="16"/>
      <c r="R636" s="16"/>
      <c r="S636" s="16"/>
      <c r="T636" s="16"/>
      <c r="U636" s="17"/>
      <c r="Y636" s="24"/>
      <c r="Z636" s="61"/>
      <c r="AA636" s="16"/>
      <c r="AB636" s="16"/>
      <c r="AC636" s="16"/>
      <c r="AD636" s="16"/>
      <c r="AE636" s="16"/>
      <c r="AF636" s="17"/>
      <c r="AJ636" s="24"/>
      <c r="AK636" s="61"/>
      <c r="AL636" s="16"/>
      <c r="AM636" s="16"/>
      <c r="AN636" s="16"/>
      <c r="AO636" s="16"/>
      <c r="AP636" s="16"/>
      <c r="AQ636" s="17"/>
      <c r="AU636" s="24"/>
      <c r="AV636" s="61"/>
      <c r="AW636" s="16"/>
      <c r="AX636" s="16"/>
      <c r="AY636" s="16"/>
      <c r="AZ636" s="16"/>
      <c r="BA636" s="16"/>
      <c r="BB636" s="17"/>
      <c r="BF636" s="24"/>
      <c r="BG636" s="61"/>
      <c r="BH636" s="16"/>
      <c r="BI636" s="16"/>
      <c r="BJ636" s="16"/>
      <c r="BK636" s="16"/>
      <c r="BL636" s="16"/>
      <c r="BM636" s="17"/>
      <c r="BQ636" s="24"/>
      <c r="BR636" s="61"/>
      <c r="BS636" s="16"/>
      <c r="BT636" s="16"/>
      <c r="BU636" s="16"/>
      <c r="BV636" s="16"/>
      <c r="BW636" s="16"/>
      <c r="BX636" s="17"/>
      <c r="CB636" s="24"/>
      <c r="CC636" s="61"/>
      <c r="CD636" s="16"/>
      <c r="CE636" s="16"/>
      <c r="CF636" s="16"/>
      <c r="CG636" s="16"/>
      <c r="CH636" s="16"/>
      <c r="CI636" s="17"/>
      <c r="CM636" s="24"/>
      <c r="CN636" s="61"/>
      <c r="CO636" s="16"/>
      <c r="CP636" s="16"/>
      <c r="CQ636" s="16"/>
      <c r="CR636" s="16"/>
      <c r="CS636" s="16"/>
      <c r="CT636" s="17"/>
      <c r="CX636" s="24"/>
      <c r="CY636" s="60"/>
      <c r="CZ636" s="16"/>
      <c r="DA636" s="16"/>
      <c r="DB636" s="16"/>
      <c r="DC636" s="16"/>
      <c r="DD636" s="16"/>
      <c r="DE636" s="17"/>
      <c r="DI636" s="24"/>
      <c r="DJ636" s="60"/>
      <c r="DK636" s="16"/>
      <c r="DL636" s="16"/>
      <c r="DM636" s="16"/>
      <c r="DN636" s="16"/>
      <c r="DO636" s="16"/>
      <c r="DP636" s="17"/>
      <c r="DT636" s="24"/>
      <c r="DU636" s="60"/>
      <c r="DV636" s="16"/>
      <c r="DW636" s="16"/>
      <c r="DX636" s="16"/>
      <c r="DY636" s="16"/>
      <c r="DZ636" s="16"/>
      <c r="EA636" s="17"/>
      <c r="EE636" s="24"/>
      <c r="EF636" s="60"/>
      <c r="EG636" s="16"/>
      <c r="EH636" s="16"/>
      <c r="EI636" s="16"/>
      <c r="EJ636" s="16"/>
      <c r="EK636" s="16"/>
      <c r="EL636" s="17"/>
      <c r="EP636" s="24"/>
      <c r="EQ636" s="60"/>
      <c r="ER636" s="16"/>
      <c r="ES636" s="16"/>
      <c r="ET636" s="16"/>
      <c r="EU636" s="16"/>
      <c r="EV636" s="16"/>
      <c r="EW636" s="17"/>
      <c r="FA636" s="24"/>
      <c r="FB636" s="60"/>
      <c r="FC636" s="16"/>
      <c r="FD636" s="16"/>
      <c r="FE636" s="16"/>
      <c r="FF636" s="16"/>
      <c r="FG636" s="16"/>
      <c r="FH636" s="17"/>
      <c r="FL636" s="24"/>
      <c r="FM636" s="60"/>
      <c r="FN636" s="16"/>
      <c r="FO636" s="16"/>
      <c r="FP636" s="16"/>
      <c r="FQ636" s="16"/>
      <c r="FR636" s="16"/>
      <c r="FS636" s="17"/>
      <c r="FW636" s="24"/>
      <c r="FX636" s="60"/>
      <c r="FY636" s="16"/>
      <c r="FZ636" s="16"/>
      <c r="GA636" s="16"/>
      <c r="GB636" s="16"/>
      <c r="GC636" s="16"/>
      <c r="GD636" s="17"/>
      <c r="GH636" s="24"/>
      <c r="GI636" s="60"/>
      <c r="GJ636" s="16"/>
      <c r="GK636" s="16"/>
      <c r="GL636" s="16"/>
      <c r="GM636" s="16"/>
      <c r="GN636" s="16"/>
      <c r="GO636" s="17"/>
      <c r="GS636" s="24"/>
      <c r="GT636" s="60"/>
      <c r="GU636" s="16"/>
      <c r="GV636" s="16"/>
      <c r="GW636" s="16"/>
      <c r="GX636" s="16"/>
      <c r="GY636" s="16"/>
      <c r="GZ636" s="17"/>
      <c r="HD636" s="24"/>
      <c r="HE636" s="60"/>
      <c r="HF636" s="16"/>
      <c r="HG636" s="16"/>
      <c r="HH636" s="16"/>
      <c r="HI636" s="16"/>
      <c r="HJ636" s="16"/>
      <c r="HK636" s="17"/>
      <c r="HO636" s="24"/>
      <c r="HP636" s="60"/>
      <c r="HQ636" s="16"/>
      <c r="HR636" s="16"/>
      <c r="HS636" s="16"/>
      <c r="HT636" s="16"/>
      <c r="HU636" s="16"/>
      <c r="HV636" s="17"/>
      <c r="HZ636" s="24"/>
      <c r="IA636" s="60"/>
      <c r="IB636" s="16"/>
      <c r="IC636" s="16"/>
      <c r="ID636" s="16"/>
      <c r="IE636" s="16"/>
      <c r="IF636" s="16"/>
      <c r="IG636" s="17"/>
      <c r="IK636" s="24"/>
      <c r="IL636" s="60"/>
      <c r="IM636" s="16"/>
      <c r="IN636" s="16"/>
      <c r="IO636" s="16"/>
      <c r="IP636" s="16"/>
      <c r="IQ636" s="16"/>
      <c r="IR636" s="17"/>
      <c r="IV636" s="24"/>
      <c r="IW636" s="60"/>
      <c r="IX636" s="16"/>
      <c r="IY636" s="16"/>
      <c r="IZ636" s="16"/>
      <c r="JA636" s="16"/>
      <c r="JB636" s="16"/>
      <c r="JC636" s="17"/>
      <c r="JG636" s="24"/>
      <c r="JH636" s="60"/>
      <c r="JI636" s="16"/>
      <c r="JJ636" s="16"/>
      <c r="JK636" s="16"/>
      <c r="JL636" s="16"/>
      <c r="JM636" s="16"/>
      <c r="JN636" s="17"/>
      <c r="JR636" s="24"/>
      <c r="JS636" s="60"/>
      <c r="JT636" s="16"/>
      <c r="JU636" s="16"/>
      <c r="JV636" s="16"/>
      <c r="JW636" s="16"/>
      <c r="JX636" s="16"/>
      <c r="JY636" s="17"/>
      <c r="KC636" s="24"/>
      <c r="KD636" s="60"/>
      <c r="KE636" s="16"/>
      <c r="KF636" s="16"/>
      <c r="KG636" s="16"/>
      <c r="KH636" s="16"/>
      <c r="KI636" s="16"/>
      <c r="KJ636" s="17"/>
      <c r="KN636" s="24"/>
      <c r="KO636" s="60"/>
      <c r="KP636" s="16"/>
      <c r="KQ636" s="16"/>
      <c r="KR636" s="16"/>
      <c r="KS636" s="16"/>
      <c r="KT636" s="16"/>
      <c r="KU636" s="17"/>
      <c r="KY636" s="24"/>
      <c r="KZ636" s="60"/>
      <c r="LA636" s="16"/>
      <c r="LB636" s="16"/>
      <c r="LC636" s="16"/>
      <c r="LD636" s="16"/>
      <c r="LE636" s="16"/>
      <c r="LF636" s="17"/>
      <c r="LJ636" s="24"/>
      <c r="LK636" s="60"/>
      <c r="LL636" s="16"/>
      <c r="LM636" s="16"/>
      <c r="LN636" s="16"/>
      <c r="LO636" s="16"/>
      <c r="LP636" s="16"/>
      <c r="LQ636" s="17"/>
    </row>
    <row r="637">
      <c r="C637" s="31"/>
      <c r="D637" s="61"/>
      <c r="E637" s="16"/>
      <c r="F637" s="16"/>
      <c r="G637" s="21"/>
      <c r="H637" s="16"/>
      <c r="I637" s="16"/>
      <c r="J637" s="17"/>
      <c r="N637" s="17"/>
      <c r="O637" s="61"/>
      <c r="P637" s="16"/>
      <c r="Q637" s="16"/>
      <c r="R637" s="16"/>
      <c r="S637" s="16"/>
      <c r="T637" s="16"/>
      <c r="U637" s="17"/>
      <c r="Y637" s="24"/>
      <c r="Z637" s="61"/>
      <c r="AA637" s="16"/>
      <c r="AB637" s="16"/>
      <c r="AC637" s="16"/>
      <c r="AD637" s="16"/>
      <c r="AE637" s="16"/>
      <c r="AF637" s="17"/>
      <c r="AJ637" s="24"/>
      <c r="AK637" s="61"/>
      <c r="AL637" s="16"/>
      <c r="AM637" s="16"/>
      <c r="AN637" s="16"/>
      <c r="AO637" s="16"/>
      <c r="AP637" s="16"/>
      <c r="AQ637" s="17"/>
      <c r="AU637" s="24"/>
      <c r="AV637" s="61"/>
      <c r="AW637" s="16"/>
      <c r="AX637" s="16"/>
      <c r="AY637" s="16"/>
      <c r="AZ637" s="16"/>
      <c r="BA637" s="16"/>
      <c r="BB637" s="17"/>
      <c r="BF637" s="24"/>
      <c r="BG637" s="61"/>
      <c r="BH637" s="16"/>
      <c r="BI637" s="16"/>
      <c r="BJ637" s="16"/>
      <c r="BK637" s="16"/>
      <c r="BL637" s="16"/>
      <c r="BM637" s="17"/>
      <c r="BQ637" s="24"/>
      <c r="BR637" s="61"/>
      <c r="BS637" s="16"/>
      <c r="BT637" s="16"/>
      <c r="BU637" s="16"/>
      <c r="BV637" s="16"/>
      <c r="BW637" s="16"/>
      <c r="BX637" s="17"/>
      <c r="CB637" s="24"/>
      <c r="CC637" s="61"/>
      <c r="CD637" s="16"/>
      <c r="CE637" s="16"/>
      <c r="CF637" s="16"/>
      <c r="CG637" s="16"/>
      <c r="CH637" s="16"/>
      <c r="CI637" s="17"/>
      <c r="CM637" s="24"/>
      <c r="CN637" s="61"/>
      <c r="CO637" s="16"/>
      <c r="CP637" s="16"/>
      <c r="CQ637" s="16"/>
      <c r="CR637" s="16"/>
      <c r="CS637" s="16"/>
      <c r="CT637" s="17"/>
      <c r="CX637" s="24"/>
      <c r="CY637" s="60"/>
      <c r="CZ637" s="16"/>
      <c r="DA637" s="16"/>
      <c r="DB637" s="16"/>
      <c r="DC637" s="16"/>
      <c r="DD637" s="16"/>
      <c r="DE637" s="17"/>
      <c r="DI637" s="24"/>
      <c r="DJ637" s="60"/>
      <c r="DK637" s="16"/>
      <c r="DL637" s="16"/>
      <c r="DM637" s="16"/>
      <c r="DN637" s="16"/>
      <c r="DO637" s="16"/>
      <c r="DP637" s="17"/>
      <c r="DT637" s="24"/>
      <c r="DU637" s="60"/>
      <c r="DV637" s="16"/>
      <c r="DW637" s="16"/>
      <c r="DX637" s="16"/>
      <c r="DY637" s="16"/>
      <c r="DZ637" s="16"/>
      <c r="EA637" s="17"/>
      <c r="EE637" s="24"/>
      <c r="EF637" s="60"/>
      <c r="EG637" s="16"/>
      <c r="EH637" s="16"/>
      <c r="EI637" s="16"/>
      <c r="EJ637" s="16"/>
      <c r="EK637" s="16"/>
      <c r="EL637" s="17"/>
      <c r="EP637" s="24"/>
      <c r="EQ637" s="60"/>
      <c r="ER637" s="16"/>
      <c r="ES637" s="16"/>
      <c r="ET637" s="16"/>
      <c r="EU637" s="16"/>
      <c r="EV637" s="16"/>
      <c r="EW637" s="17"/>
      <c r="FA637" s="24"/>
      <c r="FB637" s="60"/>
      <c r="FC637" s="16"/>
      <c r="FD637" s="16"/>
      <c r="FE637" s="16"/>
      <c r="FF637" s="16"/>
      <c r="FG637" s="16"/>
      <c r="FH637" s="17"/>
      <c r="FL637" s="24"/>
      <c r="FM637" s="60"/>
      <c r="FN637" s="16"/>
      <c r="FO637" s="16"/>
      <c r="FP637" s="16"/>
      <c r="FQ637" s="16"/>
      <c r="FR637" s="16"/>
      <c r="FS637" s="17"/>
      <c r="FW637" s="24"/>
      <c r="FX637" s="60"/>
      <c r="FY637" s="16"/>
      <c r="FZ637" s="16"/>
      <c r="GA637" s="16"/>
      <c r="GB637" s="16"/>
      <c r="GC637" s="16"/>
      <c r="GD637" s="17"/>
      <c r="GH637" s="24"/>
      <c r="GI637" s="60"/>
      <c r="GJ637" s="16"/>
      <c r="GK637" s="16"/>
      <c r="GL637" s="16"/>
      <c r="GM637" s="16"/>
      <c r="GN637" s="16"/>
      <c r="GO637" s="17"/>
      <c r="GS637" s="24"/>
      <c r="GT637" s="60"/>
      <c r="GU637" s="16"/>
      <c r="GV637" s="16"/>
      <c r="GW637" s="16"/>
      <c r="GX637" s="16"/>
      <c r="GY637" s="16"/>
      <c r="GZ637" s="17"/>
      <c r="HD637" s="24"/>
      <c r="HE637" s="60"/>
      <c r="HF637" s="16"/>
      <c r="HG637" s="16"/>
      <c r="HH637" s="16"/>
      <c r="HI637" s="16"/>
      <c r="HJ637" s="16"/>
      <c r="HK637" s="17"/>
      <c r="HO637" s="24"/>
      <c r="HP637" s="60"/>
      <c r="HQ637" s="16"/>
      <c r="HR637" s="16"/>
      <c r="HS637" s="16"/>
      <c r="HT637" s="16"/>
      <c r="HU637" s="16"/>
      <c r="HV637" s="17"/>
      <c r="HZ637" s="24"/>
      <c r="IA637" s="60"/>
      <c r="IB637" s="16"/>
      <c r="IC637" s="16"/>
      <c r="ID637" s="16"/>
      <c r="IE637" s="16"/>
      <c r="IF637" s="16"/>
      <c r="IG637" s="17"/>
      <c r="IK637" s="24"/>
      <c r="IL637" s="60"/>
      <c r="IM637" s="16"/>
      <c r="IN637" s="16"/>
      <c r="IO637" s="16"/>
      <c r="IP637" s="16"/>
      <c r="IQ637" s="16"/>
      <c r="IR637" s="17"/>
      <c r="IV637" s="24"/>
      <c r="IW637" s="60"/>
      <c r="IX637" s="16"/>
      <c r="IY637" s="16"/>
      <c r="IZ637" s="16"/>
      <c r="JA637" s="16"/>
      <c r="JB637" s="16"/>
      <c r="JC637" s="17"/>
      <c r="JG637" s="24"/>
      <c r="JH637" s="60"/>
      <c r="JI637" s="16"/>
      <c r="JJ637" s="16"/>
      <c r="JK637" s="16"/>
      <c r="JL637" s="16"/>
      <c r="JM637" s="16"/>
      <c r="JN637" s="17"/>
      <c r="JR637" s="24"/>
      <c r="JS637" s="60"/>
      <c r="JT637" s="16"/>
      <c r="JU637" s="16"/>
      <c r="JV637" s="16"/>
      <c r="JW637" s="16"/>
      <c r="JX637" s="16"/>
      <c r="JY637" s="17"/>
      <c r="KC637" s="24"/>
      <c r="KD637" s="60"/>
      <c r="KE637" s="16"/>
      <c r="KF637" s="16"/>
      <c r="KG637" s="16"/>
      <c r="KH637" s="16"/>
      <c r="KI637" s="16"/>
      <c r="KJ637" s="17"/>
      <c r="KN637" s="24"/>
      <c r="KO637" s="60"/>
      <c r="KP637" s="16"/>
      <c r="KQ637" s="16"/>
      <c r="KR637" s="16"/>
      <c r="KS637" s="16"/>
      <c r="KT637" s="16"/>
      <c r="KU637" s="17"/>
      <c r="KY637" s="24"/>
      <c r="KZ637" s="60"/>
      <c r="LA637" s="16"/>
      <c r="LB637" s="16"/>
      <c r="LC637" s="16"/>
      <c r="LD637" s="16"/>
      <c r="LE637" s="16"/>
      <c r="LF637" s="17"/>
      <c r="LJ637" s="24"/>
      <c r="LK637" s="60"/>
      <c r="LL637" s="16"/>
      <c r="LM637" s="16"/>
      <c r="LN637" s="16"/>
      <c r="LO637" s="16"/>
      <c r="LP637" s="16"/>
      <c r="LQ637" s="17"/>
    </row>
    <row r="638">
      <c r="C638" s="31"/>
      <c r="D638" s="61"/>
      <c r="E638" s="16"/>
      <c r="F638" s="16"/>
      <c r="G638" s="21"/>
      <c r="H638" s="16"/>
      <c r="I638" s="16"/>
      <c r="J638" s="17"/>
      <c r="N638" s="17"/>
      <c r="O638" s="61"/>
      <c r="P638" s="16"/>
      <c r="Q638" s="16"/>
      <c r="R638" s="16"/>
      <c r="S638" s="16"/>
      <c r="T638" s="16"/>
      <c r="U638" s="17"/>
      <c r="Y638" s="24"/>
      <c r="Z638" s="61"/>
      <c r="AA638" s="16"/>
      <c r="AB638" s="16"/>
      <c r="AC638" s="16"/>
      <c r="AD638" s="16"/>
      <c r="AE638" s="16"/>
      <c r="AF638" s="17"/>
      <c r="AJ638" s="24"/>
      <c r="AK638" s="61"/>
      <c r="AL638" s="16"/>
      <c r="AM638" s="16"/>
      <c r="AN638" s="16"/>
      <c r="AO638" s="16"/>
      <c r="AP638" s="16"/>
      <c r="AQ638" s="17"/>
      <c r="AU638" s="24"/>
      <c r="AV638" s="61"/>
      <c r="AW638" s="16"/>
      <c r="AX638" s="16"/>
      <c r="AY638" s="16"/>
      <c r="AZ638" s="16"/>
      <c r="BA638" s="16"/>
      <c r="BB638" s="17"/>
      <c r="BF638" s="24"/>
      <c r="BG638" s="61"/>
      <c r="BH638" s="16"/>
      <c r="BI638" s="16"/>
      <c r="BJ638" s="16"/>
      <c r="BK638" s="16"/>
      <c r="BL638" s="16"/>
      <c r="BM638" s="17"/>
      <c r="BQ638" s="24"/>
      <c r="BR638" s="61"/>
      <c r="BS638" s="16"/>
      <c r="BT638" s="16"/>
      <c r="BU638" s="16"/>
      <c r="BV638" s="16"/>
      <c r="BW638" s="16"/>
      <c r="BX638" s="17"/>
      <c r="CB638" s="24"/>
      <c r="CC638" s="61"/>
      <c r="CD638" s="16"/>
      <c r="CE638" s="16"/>
      <c r="CF638" s="16"/>
      <c r="CG638" s="16"/>
      <c r="CH638" s="16"/>
      <c r="CI638" s="17"/>
      <c r="CM638" s="24"/>
      <c r="CN638" s="61"/>
      <c r="CO638" s="16"/>
      <c r="CP638" s="16"/>
      <c r="CQ638" s="16"/>
      <c r="CR638" s="16"/>
      <c r="CS638" s="16"/>
      <c r="CT638" s="17"/>
      <c r="CX638" s="24"/>
      <c r="CY638" s="60"/>
      <c r="CZ638" s="16"/>
      <c r="DA638" s="16"/>
      <c r="DB638" s="16"/>
      <c r="DC638" s="16"/>
      <c r="DD638" s="16"/>
      <c r="DE638" s="17"/>
      <c r="DI638" s="24"/>
      <c r="DJ638" s="60"/>
      <c r="DK638" s="16"/>
      <c r="DL638" s="16"/>
      <c r="DM638" s="16"/>
      <c r="DN638" s="16"/>
      <c r="DO638" s="16"/>
      <c r="DP638" s="17"/>
      <c r="DT638" s="24"/>
      <c r="DU638" s="60"/>
      <c r="DV638" s="16"/>
      <c r="DW638" s="16"/>
      <c r="DX638" s="16"/>
      <c r="DY638" s="16"/>
      <c r="DZ638" s="16"/>
      <c r="EA638" s="17"/>
      <c r="EE638" s="24"/>
      <c r="EF638" s="60"/>
      <c r="EG638" s="16"/>
      <c r="EH638" s="16"/>
      <c r="EI638" s="16"/>
      <c r="EJ638" s="16"/>
      <c r="EK638" s="16"/>
      <c r="EL638" s="17"/>
      <c r="EP638" s="24"/>
      <c r="EQ638" s="60"/>
      <c r="ER638" s="16"/>
      <c r="ES638" s="16"/>
      <c r="ET638" s="16"/>
      <c r="EU638" s="16"/>
      <c r="EV638" s="16"/>
      <c r="EW638" s="17"/>
      <c r="FA638" s="24"/>
      <c r="FB638" s="60"/>
      <c r="FC638" s="16"/>
      <c r="FD638" s="16"/>
      <c r="FE638" s="16"/>
      <c r="FF638" s="16"/>
      <c r="FG638" s="16"/>
      <c r="FH638" s="17"/>
      <c r="FL638" s="24"/>
      <c r="FM638" s="60"/>
      <c r="FN638" s="16"/>
      <c r="FO638" s="16"/>
      <c r="FP638" s="16"/>
      <c r="FQ638" s="16"/>
      <c r="FR638" s="16"/>
      <c r="FS638" s="17"/>
      <c r="FW638" s="24"/>
      <c r="FX638" s="60"/>
      <c r="FY638" s="16"/>
      <c r="FZ638" s="16"/>
      <c r="GA638" s="16"/>
      <c r="GB638" s="16"/>
      <c r="GC638" s="16"/>
      <c r="GD638" s="17"/>
      <c r="GH638" s="24"/>
      <c r="GI638" s="60"/>
      <c r="GJ638" s="16"/>
      <c r="GK638" s="16"/>
      <c r="GL638" s="16"/>
      <c r="GM638" s="16"/>
      <c r="GN638" s="16"/>
      <c r="GO638" s="17"/>
      <c r="GS638" s="24"/>
      <c r="GT638" s="60"/>
      <c r="GU638" s="16"/>
      <c r="GV638" s="16"/>
      <c r="GW638" s="16"/>
      <c r="GX638" s="16"/>
      <c r="GY638" s="16"/>
      <c r="GZ638" s="17"/>
      <c r="HD638" s="24"/>
      <c r="HE638" s="60"/>
      <c r="HF638" s="16"/>
      <c r="HG638" s="16"/>
      <c r="HH638" s="16"/>
      <c r="HI638" s="16"/>
      <c r="HJ638" s="16"/>
      <c r="HK638" s="17"/>
      <c r="HO638" s="24"/>
      <c r="HP638" s="60"/>
      <c r="HQ638" s="16"/>
      <c r="HR638" s="16"/>
      <c r="HS638" s="16"/>
      <c r="HT638" s="16"/>
      <c r="HU638" s="16"/>
      <c r="HV638" s="17"/>
      <c r="HZ638" s="24"/>
      <c r="IA638" s="60"/>
      <c r="IB638" s="16"/>
      <c r="IC638" s="16"/>
      <c r="ID638" s="16"/>
      <c r="IE638" s="16"/>
      <c r="IF638" s="16"/>
      <c r="IG638" s="17"/>
      <c r="IK638" s="24"/>
      <c r="IL638" s="60"/>
      <c r="IM638" s="16"/>
      <c r="IN638" s="16"/>
      <c r="IO638" s="16"/>
      <c r="IP638" s="16"/>
      <c r="IQ638" s="16"/>
      <c r="IR638" s="17"/>
      <c r="IV638" s="24"/>
      <c r="IW638" s="60"/>
      <c r="IX638" s="16"/>
      <c r="IY638" s="16"/>
      <c r="IZ638" s="16"/>
      <c r="JA638" s="16"/>
      <c r="JB638" s="16"/>
      <c r="JC638" s="17"/>
      <c r="JG638" s="24"/>
      <c r="JH638" s="60"/>
      <c r="JI638" s="16"/>
      <c r="JJ638" s="16"/>
      <c r="JK638" s="16"/>
      <c r="JL638" s="16"/>
      <c r="JM638" s="16"/>
      <c r="JN638" s="17"/>
      <c r="JR638" s="24"/>
      <c r="JS638" s="60"/>
      <c r="JT638" s="16"/>
      <c r="JU638" s="16"/>
      <c r="JV638" s="16"/>
      <c r="JW638" s="16"/>
      <c r="JX638" s="16"/>
      <c r="JY638" s="17"/>
      <c r="KC638" s="24"/>
      <c r="KD638" s="60"/>
      <c r="KE638" s="16"/>
      <c r="KF638" s="16"/>
      <c r="KG638" s="16"/>
      <c r="KH638" s="16"/>
      <c r="KI638" s="16"/>
      <c r="KJ638" s="17"/>
      <c r="KN638" s="24"/>
      <c r="KO638" s="60"/>
      <c r="KP638" s="16"/>
      <c r="KQ638" s="16"/>
      <c r="KR638" s="16"/>
      <c r="KS638" s="16"/>
      <c r="KT638" s="16"/>
      <c r="KU638" s="17"/>
      <c r="KY638" s="24"/>
      <c r="KZ638" s="60"/>
      <c r="LA638" s="16"/>
      <c r="LB638" s="16"/>
      <c r="LC638" s="16"/>
      <c r="LD638" s="16"/>
      <c r="LE638" s="16"/>
      <c r="LF638" s="17"/>
      <c r="LJ638" s="24"/>
      <c r="LK638" s="60"/>
      <c r="LL638" s="16"/>
      <c r="LM638" s="16"/>
      <c r="LN638" s="16"/>
      <c r="LO638" s="16"/>
      <c r="LP638" s="16"/>
      <c r="LQ638" s="17"/>
    </row>
    <row r="639">
      <c r="C639" s="31"/>
      <c r="D639" s="61"/>
      <c r="E639" s="16"/>
      <c r="F639" s="16"/>
      <c r="G639" s="21"/>
      <c r="H639" s="16"/>
      <c r="I639" s="16"/>
      <c r="J639" s="17"/>
      <c r="N639" s="17"/>
      <c r="O639" s="61"/>
      <c r="P639" s="16"/>
      <c r="Q639" s="16"/>
      <c r="R639" s="16"/>
      <c r="S639" s="16"/>
      <c r="T639" s="16"/>
      <c r="U639" s="17"/>
      <c r="Y639" s="24"/>
      <c r="Z639" s="61"/>
      <c r="AA639" s="16"/>
      <c r="AB639" s="16"/>
      <c r="AC639" s="16"/>
      <c r="AD639" s="16"/>
      <c r="AE639" s="16"/>
      <c r="AF639" s="17"/>
      <c r="AJ639" s="24"/>
      <c r="AK639" s="61"/>
      <c r="AL639" s="16"/>
      <c r="AM639" s="16"/>
      <c r="AN639" s="16"/>
      <c r="AO639" s="16"/>
      <c r="AP639" s="16"/>
      <c r="AQ639" s="17"/>
      <c r="AU639" s="24"/>
      <c r="AV639" s="61"/>
      <c r="AW639" s="16"/>
      <c r="AX639" s="16"/>
      <c r="AY639" s="16"/>
      <c r="AZ639" s="16"/>
      <c r="BA639" s="16"/>
      <c r="BB639" s="17"/>
      <c r="BF639" s="24"/>
      <c r="BG639" s="61"/>
      <c r="BH639" s="16"/>
      <c r="BI639" s="16"/>
      <c r="BJ639" s="16"/>
      <c r="BK639" s="16"/>
      <c r="BL639" s="16"/>
      <c r="BM639" s="17"/>
      <c r="BQ639" s="24"/>
      <c r="BR639" s="61"/>
      <c r="BS639" s="16"/>
      <c r="BT639" s="16"/>
      <c r="BU639" s="16"/>
      <c r="BV639" s="16"/>
      <c r="BW639" s="16"/>
      <c r="BX639" s="17"/>
      <c r="CB639" s="24"/>
      <c r="CC639" s="61"/>
      <c r="CD639" s="16"/>
      <c r="CE639" s="16"/>
      <c r="CF639" s="16"/>
      <c r="CG639" s="16"/>
      <c r="CH639" s="16"/>
      <c r="CI639" s="17"/>
      <c r="CM639" s="24"/>
      <c r="CN639" s="61"/>
      <c r="CO639" s="16"/>
      <c r="CP639" s="16"/>
      <c r="CQ639" s="16"/>
      <c r="CR639" s="16"/>
      <c r="CS639" s="16"/>
      <c r="CT639" s="17"/>
      <c r="CX639" s="24"/>
      <c r="CY639" s="60"/>
      <c r="CZ639" s="16"/>
      <c r="DA639" s="16"/>
      <c r="DB639" s="16"/>
      <c r="DC639" s="16"/>
      <c r="DD639" s="16"/>
      <c r="DE639" s="17"/>
      <c r="DI639" s="24"/>
      <c r="DJ639" s="60"/>
      <c r="DK639" s="16"/>
      <c r="DL639" s="16"/>
      <c r="DM639" s="16"/>
      <c r="DN639" s="16"/>
      <c r="DO639" s="16"/>
      <c r="DP639" s="17"/>
      <c r="DT639" s="24"/>
      <c r="DU639" s="60"/>
      <c r="DV639" s="16"/>
      <c r="DW639" s="16"/>
      <c r="DX639" s="16"/>
      <c r="DY639" s="16"/>
      <c r="DZ639" s="16"/>
      <c r="EA639" s="17"/>
      <c r="EE639" s="24"/>
      <c r="EF639" s="60"/>
      <c r="EG639" s="16"/>
      <c r="EH639" s="16"/>
      <c r="EI639" s="16"/>
      <c r="EJ639" s="16"/>
      <c r="EK639" s="16"/>
      <c r="EL639" s="17"/>
      <c r="EP639" s="24"/>
      <c r="EQ639" s="60"/>
      <c r="ER639" s="16"/>
      <c r="ES639" s="16"/>
      <c r="ET639" s="16"/>
      <c r="EU639" s="16"/>
      <c r="EV639" s="16"/>
      <c r="EW639" s="17"/>
      <c r="FA639" s="24"/>
      <c r="FB639" s="60"/>
      <c r="FC639" s="16"/>
      <c r="FD639" s="16"/>
      <c r="FE639" s="16"/>
      <c r="FF639" s="16"/>
      <c r="FG639" s="16"/>
      <c r="FH639" s="17"/>
      <c r="FL639" s="24"/>
      <c r="FM639" s="60"/>
      <c r="FN639" s="16"/>
      <c r="FO639" s="16"/>
      <c r="FP639" s="16"/>
      <c r="FQ639" s="16"/>
      <c r="FR639" s="16"/>
      <c r="FS639" s="17"/>
      <c r="FW639" s="24"/>
      <c r="FX639" s="60"/>
      <c r="FY639" s="16"/>
      <c r="FZ639" s="16"/>
      <c r="GA639" s="16"/>
      <c r="GB639" s="16"/>
      <c r="GC639" s="16"/>
      <c r="GD639" s="17"/>
      <c r="GH639" s="24"/>
      <c r="GI639" s="60"/>
      <c r="GJ639" s="16"/>
      <c r="GK639" s="16"/>
      <c r="GL639" s="16"/>
      <c r="GM639" s="16"/>
      <c r="GN639" s="16"/>
      <c r="GO639" s="17"/>
      <c r="GS639" s="24"/>
      <c r="GT639" s="60"/>
      <c r="GU639" s="16"/>
      <c r="GV639" s="16"/>
      <c r="GW639" s="16"/>
      <c r="GX639" s="16"/>
      <c r="GY639" s="16"/>
      <c r="GZ639" s="17"/>
      <c r="HD639" s="24"/>
      <c r="HE639" s="60"/>
      <c r="HF639" s="16"/>
      <c r="HG639" s="16"/>
      <c r="HH639" s="16"/>
      <c r="HI639" s="16"/>
      <c r="HJ639" s="16"/>
      <c r="HK639" s="17"/>
      <c r="HO639" s="24"/>
      <c r="HP639" s="60"/>
      <c r="HQ639" s="16"/>
      <c r="HR639" s="16"/>
      <c r="HS639" s="16"/>
      <c r="HT639" s="16"/>
      <c r="HU639" s="16"/>
      <c r="HV639" s="17"/>
      <c r="HZ639" s="24"/>
      <c r="IA639" s="60"/>
      <c r="IB639" s="16"/>
      <c r="IC639" s="16"/>
      <c r="ID639" s="16"/>
      <c r="IE639" s="16"/>
      <c r="IF639" s="16"/>
      <c r="IG639" s="17"/>
      <c r="IK639" s="24"/>
      <c r="IL639" s="60"/>
      <c r="IM639" s="16"/>
      <c r="IN639" s="16"/>
      <c r="IO639" s="16"/>
      <c r="IP639" s="16"/>
      <c r="IQ639" s="16"/>
      <c r="IR639" s="17"/>
      <c r="IV639" s="24"/>
      <c r="IW639" s="60"/>
      <c r="IX639" s="16"/>
      <c r="IY639" s="16"/>
      <c r="IZ639" s="16"/>
      <c r="JA639" s="16"/>
      <c r="JB639" s="16"/>
      <c r="JC639" s="17"/>
      <c r="JG639" s="24"/>
      <c r="JH639" s="60"/>
      <c r="JI639" s="16"/>
      <c r="JJ639" s="16"/>
      <c r="JK639" s="16"/>
      <c r="JL639" s="16"/>
      <c r="JM639" s="16"/>
      <c r="JN639" s="17"/>
      <c r="JR639" s="24"/>
      <c r="JS639" s="60"/>
      <c r="JT639" s="16"/>
      <c r="JU639" s="16"/>
      <c r="JV639" s="16"/>
      <c r="JW639" s="16"/>
      <c r="JX639" s="16"/>
      <c r="JY639" s="17"/>
      <c r="KC639" s="24"/>
      <c r="KD639" s="60"/>
      <c r="KE639" s="16"/>
      <c r="KF639" s="16"/>
      <c r="KG639" s="16"/>
      <c r="KH639" s="16"/>
      <c r="KI639" s="16"/>
      <c r="KJ639" s="17"/>
      <c r="KN639" s="24"/>
      <c r="KO639" s="60"/>
      <c r="KP639" s="16"/>
      <c r="KQ639" s="16"/>
      <c r="KR639" s="16"/>
      <c r="KS639" s="16"/>
      <c r="KT639" s="16"/>
      <c r="KU639" s="17"/>
      <c r="KY639" s="24"/>
      <c r="KZ639" s="60"/>
      <c r="LA639" s="16"/>
      <c r="LB639" s="16"/>
      <c r="LC639" s="16"/>
      <c r="LD639" s="16"/>
      <c r="LE639" s="16"/>
      <c r="LF639" s="17"/>
      <c r="LJ639" s="24"/>
      <c r="LK639" s="60"/>
      <c r="LL639" s="16"/>
      <c r="LM639" s="16"/>
      <c r="LN639" s="16"/>
      <c r="LO639" s="16"/>
      <c r="LP639" s="16"/>
      <c r="LQ639" s="17"/>
    </row>
    <row r="640">
      <c r="C640" s="31"/>
      <c r="D640" s="61"/>
      <c r="E640" s="16"/>
      <c r="F640" s="16"/>
      <c r="G640" s="21"/>
      <c r="H640" s="16"/>
      <c r="I640" s="16"/>
      <c r="J640" s="17"/>
      <c r="N640" s="17"/>
      <c r="O640" s="61"/>
      <c r="P640" s="16"/>
      <c r="Q640" s="16"/>
      <c r="R640" s="16"/>
      <c r="S640" s="16"/>
      <c r="T640" s="16"/>
      <c r="U640" s="17"/>
      <c r="Y640" s="24"/>
      <c r="Z640" s="61"/>
      <c r="AA640" s="16"/>
      <c r="AB640" s="16"/>
      <c r="AC640" s="16"/>
      <c r="AD640" s="16"/>
      <c r="AE640" s="16"/>
      <c r="AF640" s="17"/>
      <c r="AJ640" s="24"/>
      <c r="AK640" s="61"/>
      <c r="AL640" s="16"/>
      <c r="AM640" s="16"/>
      <c r="AN640" s="16"/>
      <c r="AO640" s="16"/>
      <c r="AP640" s="16"/>
      <c r="AQ640" s="17"/>
      <c r="AU640" s="24"/>
      <c r="AV640" s="61"/>
      <c r="AW640" s="16"/>
      <c r="AX640" s="16"/>
      <c r="AY640" s="16"/>
      <c r="AZ640" s="16"/>
      <c r="BA640" s="16"/>
      <c r="BB640" s="17"/>
      <c r="BF640" s="24"/>
      <c r="BG640" s="61"/>
      <c r="BH640" s="16"/>
      <c r="BI640" s="16"/>
      <c r="BJ640" s="16"/>
      <c r="BK640" s="16"/>
      <c r="BL640" s="16"/>
      <c r="BM640" s="17"/>
      <c r="BQ640" s="24"/>
      <c r="BR640" s="61"/>
      <c r="BS640" s="16"/>
      <c r="BT640" s="16"/>
      <c r="BU640" s="16"/>
      <c r="BV640" s="16"/>
      <c r="BW640" s="16"/>
      <c r="BX640" s="17"/>
      <c r="CB640" s="24"/>
      <c r="CC640" s="61"/>
      <c r="CD640" s="16"/>
      <c r="CE640" s="16"/>
      <c r="CF640" s="16"/>
      <c r="CG640" s="16"/>
      <c r="CH640" s="16"/>
      <c r="CI640" s="17"/>
      <c r="CM640" s="24"/>
      <c r="CN640" s="61"/>
      <c r="CO640" s="16"/>
      <c r="CP640" s="16"/>
      <c r="CQ640" s="16"/>
      <c r="CR640" s="16"/>
      <c r="CS640" s="16"/>
      <c r="CT640" s="17"/>
      <c r="CX640" s="24"/>
      <c r="CY640" s="60"/>
      <c r="CZ640" s="16"/>
      <c r="DA640" s="16"/>
      <c r="DB640" s="16"/>
      <c r="DC640" s="16"/>
      <c r="DD640" s="16"/>
      <c r="DE640" s="17"/>
      <c r="DI640" s="24"/>
      <c r="DJ640" s="60"/>
      <c r="DK640" s="16"/>
      <c r="DL640" s="16"/>
      <c r="DM640" s="16"/>
      <c r="DN640" s="16"/>
      <c r="DO640" s="16"/>
      <c r="DP640" s="17"/>
      <c r="DT640" s="24"/>
      <c r="DU640" s="60"/>
      <c r="DV640" s="16"/>
      <c r="DW640" s="16"/>
      <c r="DX640" s="16"/>
      <c r="DY640" s="16"/>
      <c r="DZ640" s="16"/>
      <c r="EA640" s="17"/>
      <c r="EE640" s="24"/>
      <c r="EF640" s="60"/>
      <c r="EG640" s="16"/>
      <c r="EH640" s="16"/>
      <c r="EI640" s="16"/>
      <c r="EJ640" s="16"/>
      <c r="EK640" s="16"/>
      <c r="EL640" s="17"/>
      <c r="EP640" s="24"/>
      <c r="EQ640" s="60"/>
      <c r="ER640" s="16"/>
      <c r="ES640" s="16"/>
      <c r="ET640" s="16"/>
      <c r="EU640" s="16"/>
      <c r="EV640" s="16"/>
      <c r="EW640" s="17"/>
      <c r="FA640" s="24"/>
      <c r="FB640" s="60"/>
      <c r="FC640" s="16"/>
      <c r="FD640" s="16"/>
      <c r="FE640" s="16"/>
      <c r="FF640" s="16"/>
      <c r="FG640" s="16"/>
      <c r="FH640" s="17"/>
      <c r="FL640" s="24"/>
      <c r="FM640" s="60"/>
      <c r="FN640" s="16"/>
      <c r="FO640" s="16"/>
      <c r="FP640" s="16"/>
      <c r="FQ640" s="16"/>
      <c r="FR640" s="16"/>
      <c r="FS640" s="17"/>
      <c r="FW640" s="24"/>
      <c r="FX640" s="60"/>
      <c r="FY640" s="16"/>
      <c r="FZ640" s="16"/>
      <c r="GA640" s="16"/>
      <c r="GB640" s="16"/>
      <c r="GC640" s="16"/>
      <c r="GD640" s="17"/>
      <c r="GH640" s="24"/>
      <c r="GI640" s="60"/>
      <c r="GJ640" s="16"/>
      <c r="GK640" s="16"/>
      <c r="GL640" s="16"/>
      <c r="GM640" s="16"/>
      <c r="GN640" s="16"/>
      <c r="GO640" s="17"/>
      <c r="GS640" s="24"/>
      <c r="GT640" s="60"/>
      <c r="GU640" s="16"/>
      <c r="GV640" s="16"/>
      <c r="GW640" s="16"/>
      <c r="GX640" s="16"/>
      <c r="GY640" s="16"/>
      <c r="GZ640" s="17"/>
      <c r="HD640" s="24"/>
      <c r="HE640" s="60"/>
      <c r="HF640" s="16"/>
      <c r="HG640" s="16"/>
      <c r="HH640" s="16"/>
      <c r="HI640" s="16"/>
      <c r="HJ640" s="16"/>
      <c r="HK640" s="17"/>
      <c r="HO640" s="24"/>
      <c r="HP640" s="60"/>
      <c r="HQ640" s="16"/>
      <c r="HR640" s="16"/>
      <c r="HS640" s="16"/>
      <c r="HT640" s="16"/>
      <c r="HU640" s="16"/>
      <c r="HV640" s="17"/>
      <c r="HZ640" s="24"/>
      <c r="IA640" s="60"/>
      <c r="IB640" s="16"/>
      <c r="IC640" s="16"/>
      <c r="ID640" s="16"/>
      <c r="IE640" s="16"/>
      <c r="IF640" s="16"/>
      <c r="IG640" s="17"/>
      <c r="IK640" s="24"/>
      <c r="IL640" s="60"/>
      <c r="IM640" s="16"/>
      <c r="IN640" s="16"/>
      <c r="IO640" s="16"/>
      <c r="IP640" s="16"/>
      <c r="IQ640" s="16"/>
      <c r="IR640" s="17"/>
      <c r="IV640" s="24"/>
      <c r="IW640" s="60"/>
      <c r="IX640" s="16"/>
      <c r="IY640" s="16"/>
      <c r="IZ640" s="16"/>
      <c r="JA640" s="16"/>
      <c r="JB640" s="16"/>
      <c r="JC640" s="17"/>
      <c r="JG640" s="24"/>
      <c r="JH640" s="60"/>
      <c r="JI640" s="16"/>
      <c r="JJ640" s="16"/>
      <c r="JK640" s="16"/>
      <c r="JL640" s="16"/>
      <c r="JM640" s="16"/>
      <c r="JN640" s="17"/>
      <c r="JR640" s="24"/>
      <c r="JS640" s="60"/>
      <c r="JT640" s="16"/>
      <c r="JU640" s="16"/>
      <c r="JV640" s="16"/>
      <c r="JW640" s="16"/>
      <c r="JX640" s="16"/>
      <c r="JY640" s="17"/>
      <c r="KC640" s="24"/>
      <c r="KD640" s="60"/>
      <c r="KE640" s="16"/>
      <c r="KF640" s="16"/>
      <c r="KG640" s="16"/>
      <c r="KH640" s="16"/>
      <c r="KI640" s="16"/>
      <c r="KJ640" s="17"/>
      <c r="KN640" s="24"/>
      <c r="KO640" s="60"/>
      <c r="KP640" s="16"/>
      <c r="KQ640" s="16"/>
      <c r="KR640" s="16"/>
      <c r="KS640" s="16"/>
      <c r="KT640" s="16"/>
      <c r="KU640" s="17"/>
      <c r="KY640" s="24"/>
      <c r="KZ640" s="60"/>
      <c r="LA640" s="16"/>
      <c r="LB640" s="16"/>
      <c r="LC640" s="16"/>
      <c r="LD640" s="16"/>
      <c r="LE640" s="16"/>
      <c r="LF640" s="17"/>
      <c r="LJ640" s="24"/>
      <c r="LK640" s="60"/>
      <c r="LL640" s="16"/>
      <c r="LM640" s="16"/>
      <c r="LN640" s="16"/>
      <c r="LO640" s="16"/>
      <c r="LP640" s="16"/>
      <c r="LQ640" s="17"/>
    </row>
    <row r="641">
      <c r="C641" s="31"/>
      <c r="D641" s="61"/>
      <c r="E641" s="16"/>
      <c r="F641" s="16"/>
      <c r="G641" s="21"/>
      <c r="H641" s="16"/>
      <c r="I641" s="16"/>
      <c r="J641" s="17"/>
      <c r="N641" s="17"/>
      <c r="O641" s="61"/>
      <c r="P641" s="16"/>
      <c r="Q641" s="16"/>
      <c r="R641" s="16"/>
      <c r="S641" s="16"/>
      <c r="T641" s="16"/>
      <c r="U641" s="17"/>
      <c r="Y641" s="24"/>
      <c r="Z641" s="61"/>
      <c r="AA641" s="16"/>
      <c r="AB641" s="16"/>
      <c r="AC641" s="16"/>
      <c r="AD641" s="16"/>
      <c r="AE641" s="16"/>
      <c r="AF641" s="17"/>
      <c r="AJ641" s="24"/>
      <c r="AK641" s="61"/>
      <c r="AL641" s="16"/>
      <c r="AM641" s="16"/>
      <c r="AN641" s="16"/>
      <c r="AO641" s="16"/>
      <c r="AP641" s="16"/>
      <c r="AQ641" s="17"/>
      <c r="AU641" s="24"/>
      <c r="AV641" s="61"/>
      <c r="AW641" s="16"/>
      <c r="AX641" s="16"/>
      <c r="AY641" s="16"/>
      <c r="AZ641" s="16"/>
      <c r="BA641" s="16"/>
      <c r="BB641" s="17"/>
      <c r="BF641" s="24"/>
      <c r="BG641" s="61"/>
      <c r="BH641" s="16"/>
      <c r="BI641" s="16"/>
      <c r="BJ641" s="16"/>
      <c r="BK641" s="16"/>
      <c r="BL641" s="16"/>
      <c r="BM641" s="17"/>
      <c r="BQ641" s="24"/>
      <c r="BR641" s="61"/>
      <c r="BS641" s="16"/>
      <c r="BT641" s="16"/>
      <c r="BU641" s="16"/>
      <c r="BV641" s="16"/>
      <c r="BW641" s="16"/>
      <c r="BX641" s="17"/>
      <c r="CB641" s="24"/>
      <c r="CC641" s="61"/>
      <c r="CD641" s="16"/>
      <c r="CE641" s="16"/>
      <c r="CF641" s="16"/>
      <c r="CG641" s="16"/>
      <c r="CH641" s="16"/>
      <c r="CI641" s="17"/>
      <c r="CM641" s="24"/>
      <c r="CN641" s="61"/>
      <c r="CO641" s="16"/>
      <c r="CP641" s="16"/>
      <c r="CQ641" s="16"/>
      <c r="CR641" s="16"/>
      <c r="CS641" s="16"/>
      <c r="CT641" s="17"/>
      <c r="CX641" s="24"/>
      <c r="CY641" s="60"/>
      <c r="CZ641" s="16"/>
      <c r="DA641" s="16"/>
      <c r="DB641" s="16"/>
      <c r="DC641" s="16"/>
      <c r="DD641" s="16"/>
      <c r="DE641" s="17"/>
      <c r="DI641" s="24"/>
      <c r="DJ641" s="60"/>
      <c r="DK641" s="16"/>
      <c r="DL641" s="16"/>
      <c r="DM641" s="16"/>
      <c r="DN641" s="16"/>
      <c r="DO641" s="16"/>
      <c r="DP641" s="17"/>
      <c r="DT641" s="24"/>
      <c r="DU641" s="60"/>
      <c r="DV641" s="16"/>
      <c r="DW641" s="16"/>
      <c r="DX641" s="16"/>
      <c r="DY641" s="16"/>
      <c r="DZ641" s="16"/>
      <c r="EA641" s="17"/>
      <c r="EE641" s="24"/>
      <c r="EF641" s="60"/>
      <c r="EG641" s="16"/>
      <c r="EH641" s="16"/>
      <c r="EI641" s="16"/>
      <c r="EJ641" s="16"/>
      <c r="EK641" s="16"/>
      <c r="EL641" s="17"/>
      <c r="EP641" s="24"/>
      <c r="EQ641" s="60"/>
      <c r="ER641" s="16"/>
      <c r="ES641" s="16"/>
      <c r="ET641" s="16"/>
      <c r="EU641" s="16"/>
      <c r="EV641" s="16"/>
      <c r="EW641" s="17"/>
      <c r="FA641" s="24"/>
      <c r="FB641" s="60"/>
      <c r="FC641" s="16"/>
      <c r="FD641" s="16"/>
      <c r="FE641" s="16"/>
      <c r="FF641" s="16"/>
      <c r="FG641" s="16"/>
      <c r="FH641" s="17"/>
      <c r="FL641" s="24"/>
      <c r="FM641" s="60"/>
      <c r="FN641" s="16"/>
      <c r="FO641" s="16"/>
      <c r="FP641" s="16"/>
      <c r="FQ641" s="16"/>
      <c r="FR641" s="16"/>
      <c r="FS641" s="17"/>
      <c r="FW641" s="24"/>
      <c r="FX641" s="60"/>
      <c r="FY641" s="16"/>
      <c r="FZ641" s="16"/>
      <c r="GA641" s="16"/>
      <c r="GB641" s="16"/>
      <c r="GC641" s="16"/>
      <c r="GD641" s="17"/>
      <c r="GH641" s="24"/>
      <c r="GI641" s="60"/>
      <c r="GJ641" s="16"/>
      <c r="GK641" s="16"/>
      <c r="GL641" s="16"/>
      <c r="GM641" s="16"/>
      <c r="GN641" s="16"/>
      <c r="GO641" s="17"/>
      <c r="GS641" s="24"/>
      <c r="GT641" s="60"/>
      <c r="GU641" s="16"/>
      <c r="GV641" s="16"/>
      <c r="GW641" s="16"/>
      <c r="GX641" s="16"/>
      <c r="GY641" s="16"/>
      <c r="GZ641" s="17"/>
      <c r="HD641" s="24"/>
      <c r="HE641" s="60"/>
      <c r="HF641" s="16"/>
      <c r="HG641" s="16"/>
      <c r="HH641" s="16"/>
      <c r="HI641" s="16"/>
      <c r="HJ641" s="16"/>
      <c r="HK641" s="17"/>
      <c r="HO641" s="24"/>
      <c r="HP641" s="60"/>
      <c r="HQ641" s="16"/>
      <c r="HR641" s="16"/>
      <c r="HS641" s="16"/>
      <c r="HT641" s="16"/>
      <c r="HU641" s="16"/>
      <c r="HV641" s="17"/>
      <c r="HZ641" s="24"/>
      <c r="IA641" s="60"/>
      <c r="IB641" s="16"/>
      <c r="IC641" s="16"/>
      <c r="ID641" s="16"/>
      <c r="IE641" s="16"/>
      <c r="IF641" s="16"/>
      <c r="IG641" s="17"/>
      <c r="IK641" s="24"/>
      <c r="IL641" s="60"/>
      <c r="IM641" s="16"/>
      <c r="IN641" s="16"/>
      <c r="IO641" s="16"/>
      <c r="IP641" s="16"/>
      <c r="IQ641" s="16"/>
      <c r="IR641" s="17"/>
      <c r="IV641" s="24"/>
      <c r="IW641" s="60"/>
      <c r="IX641" s="16"/>
      <c r="IY641" s="16"/>
      <c r="IZ641" s="16"/>
      <c r="JA641" s="16"/>
      <c r="JB641" s="16"/>
      <c r="JC641" s="17"/>
      <c r="JG641" s="24"/>
      <c r="JH641" s="60"/>
      <c r="JI641" s="16"/>
      <c r="JJ641" s="16"/>
      <c r="JK641" s="16"/>
      <c r="JL641" s="16"/>
      <c r="JM641" s="16"/>
      <c r="JN641" s="17"/>
      <c r="JR641" s="24"/>
      <c r="JS641" s="60"/>
      <c r="JT641" s="16"/>
      <c r="JU641" s="16"/>
      <c r="JV641" s="16"/>
      <c r="JW641" s="16"/>
      <c r="JX641" s="16"/>
      <c r="JY641" s="17"/>
      <c r="KC641" s="24"/>
      <c r="KD641" s="60"/>
      <c r="KE641" s="16"/>
      <c r="KF641" s="16"/>
      <c r="KG641" s="16"/>
      <c r="KH641" s="16"/>
      <c r="KI641" s="16"/>
      <c r="KJ641" s="17"/>
      <c r="KN641" s="24"/>
      <c r="KO641" s="60"/>
      <c r="KP641" s="16"/>
      <c r="KQ641" s="16"/>
      <c r="KR641" s="16"/>
      <c r="KS641" s="16"/>
      <c r="KT641" s="16"/>
      <c r="KU641" s="17"/>
      <c r="KY641" s="24"/>
      <c r="KZ641" s="60"/>
      <c r="LA641" s="16"/>
      <c r="LB641" s="16"/>
      <c r="LC641" s="16"/>
      <c r="LD641" s="16"/>
      <c r="LE641" s="16"/>
      <c r="LF641" s="17"/>
      <c r="LJ641" s="24"/>
      <c r="LK641" s="60"/>
      <c r="LL641" s="16"/>
      <c r="LM641" s="16"/>
      <c r="LN641" s="16"/>
      <c r="LO641" s="16"/>
      <c r="LP641" s="16"/>
      <c r="LQ641" s="17"/>
    </row>
    <row r="642">
      <c r="C642" s="31"/>
      <c r="D642" s="61"/>
      <c r="E642" s="16"/>
      <c r="F642" s="16"/>
      <c r="G642" s="21"/>
      <c r="H642" s="16"/>
      <c r="I642" s="16"/>
      <c r="J642" s="17"/>
      <c r="N642" s="17"/>
      <c r="O642" s="61"/>
      <c r="P642" s="16"/>
      <c r="Q642" s="16"/>
      <c r="R642" s="16"/>
      <c r="S642" s="16"/>
      <c r="T642" s="16"/>
      <c r="U642" s="17"/>
      <c r="Y642" s="24"/>
      <c r="Z642" s="61"/>
      <c r="AA642" s="16"/>
      <c r="AB642" s="16"/>
      <c r="AC642" s="16"/>
      <c r="AD642" s="16"/>
      <c r="AE642" s="16"/>
      <c r="AF642" s="17"/>
      <c r="AJ642" s="24"/>
      <c r="AK642" s="61"/>
      <c r="AL642" s="16"/>
      <c r="AM642" s="16"/>
      <c r="AN642" s="16"/>
      <c r="AO642" s="16"/>
      <c r="AP642" s="16"/>
      <c r="AQ642" s="17"/>
      <c r="AU642" s="24"/>
      <c r="AV642" s="61"/>
      <c r="AW642" s="16"/>
      <c r="AX642" s="16"/>
      <c r="AY642" s="16"/>
      <c r="AZ642" s="16"/>
      <c r="BA642" s="16"/>
      <c r="BB642" s="17"/>
      <c r="BF642" s="24"/>
      <c r="BG642" s="61"/>
      <c r="BH642" s="16"/>
      <c r="BI642" s="16"/>
      <c r="BJ642" s="16"/>
      <c r="BK642" s="16"/>
      <c r="BL642" s="16"/>
      <c r="BM642" s="17"/>
      <c r="BQ642" s="24"/>
      <c r="BR642" s="61"/>
      <c r="BS642" s="16"/>
      <c r="BT642" s="16"/>
      <c r="BU642" s="16"/>
      <c r="BV642" s="16"/>
      <c r="BW642" s="16"/>
      <c r="BX642" s="17"/>
      <c r="CB642" s="24"/>
      <c r="CC642" s="61"/>
      <c r="CD642" s="16"/>
      <c r="CE642" s="16"/>
      <c r="CF642" s="16"/>
      <c r="CG642" s="16"/>
      <c r="CH642" s="16"/>
      <c r="CI642" s="17"/>
      <c r="CM642" s="24"/>
      <c r="CN642" s="61"/>
      <c r="CO642" s="16"/>
      <c r="CP642" s="16"/>
      <c r="CQ642" s="16"/>
      <c r="CR642" s="16"/>
      <c r="CS642" s="16"/>
      <c r="CT642" s="17"/>
      <c r="CX642" s="24"/>
      <c r="CY642" s="60"/>
      <c r="CZ642" s="16"/>
      <c r="DA642" s="16"/>
      <c r="DB642" s="16"/>
      <c r="DC642" s="16"/>
      <c r="DD642" s="16"/>
      <c r="DE642" s="17"/>
      <c r="DI642" s="24"/>
      <c r="DJ642" s="60"/>
      <c r="DK642" s="16"/>
      <c r="DL642" s="16"/>
      <c r="DM642" s="16"/>
      <c r="DN642" s="16"/>
      <c r="DO642" s="16"/>
      <c r="DP642" s="17"/>
      <c r="DT642" s="24"/>
      <c r="DU642" s="60"/>
      <c r="DV642" s="16"/>
      <c r="DW642" s="16"/>
      <c r="DX642" s="16"/>
      <c r="DY642" s="16"/>
      <c r="DZ642" s="16"/>
      <c r="EA642" s="17"/>
      <c r="EE642" s="24"/>
      <c r="EF642" s="60"/>
      <c r="EG642" s="16"/>
      <c r="EH642" s="16"/>
      <c r="EI642" s="16"/>
      <c r="EJ642" s="16"/>
      <c r="EK642" s="16"/>
      <c r="EL642" s="17"/>
      <c r="EP642" s="24"/>
      <c r="EQ642" s="60"/>
      <c r="ER642" s="16"/>
      <c r="ES642" s="16"/>
      <c r="ET642" s="16"/>
      <c r="EU642" s="16"/>
      <c r="EV642" s="16"/>
      <c r="EW642" s="17"/>
      <c r="FA642" s="24"/>
      <c r="FB642" s="60"/>
      <c r="FC642" s="16"/>
      <c r="FD642" s="16"/>
      <c r="FE642" s="16"/>
      <c r="FF642" s="16"/>
      <c r="FG642" s="16"/>
      <c r="FH642" s="17"/>
      <c r="FL642" s="24"/>
      <c r="FM642" s="60"/>
      <c r="FN642" s="16"/>
      <c r="FO642" s="16"/>
      <c r="FP642" s="16"/>
      <c r="FQ642" s="16"/>
      <c r="FR642" s="16"/>
      <c r="FS642" s="17"/>
      <c r="FW642" s="24"/>
      <c r="FX642" s="60"/>
      <c r="FY642" s="16"/>
      <c r="FZ642" s="16"/>
      <c r="GA642" s="16"/>
      <c r="GB642" s="16"/>
      <c r="GC642" s="16"/>
      <c r="GD642" s="17"/>
      <c r="GH642" s="24"/>
      <c r="GI642" s="60"/>
      <c r="GJ642" s="16"/>
      <c r="GK642" s="16"/>
      <c r="GL642" s="16"/>
      <c r="GM642" s="16"/>
      <c r="GN642" s="16"/>
      <c r="GO642" s="17"/>
      <c r="GS642" s="24"/>
      <c r="GT642" s="60"/>
      <c r="GU642" s="16"/>
      <c r="GV642" s="16"/>
      <c r="GW642" s="16"/>
      <c r="GX642" s="16"/>
      <c r="GY642" s="16"/>
      <c r="GZ642" s="17"/>
      <c r="HD642" s="24"/>
      <c r="HE642" s="60"/>
      <c r="HF642" s="16"/>
      <c r="HG642" s="16"/>
      <c r="HH642" s="16"/>
      <c r="HI642" s="16"/>
      <c r="HJ642" s="16"/>
      <c r="HK642" s="17"/>
      <c r="HO642" s="24"/>
      <c r="HP642" s="60"/>
      <c r="HQ642" s="16"/>
      <c r="HR642" s="16"/>
      <c r="HS642" s="16"/>
      <c r="HT642" s="16"/>
      <c r="HU642" s="16"/>
      <c r="HV642" s="17"/>
      <c r="HZ642" s="24"/>
      <c r="IA642" s="60"/>
      <c r="IB642" s="16"/>
      <c r="IC642" s="16"/>
      <c r="ID642" s="16"/>
      <c r="IE642" s="16"/>
      <c r="IF642" s="16"/>
      <c r="IG642" s="17"/>
      <c r="IK642" s="24"/>
      <c r="IL642" s="60"/>
      <c r="IM642" s="16"/>
      <c r="IN642" s="16"/>
      <c r="IO642" s="16"/>
      <c r="IP642" s="16"/>
      <c r="IQ642" s="16"/>
      <c r="IR642" s="17"/>
      <c r="IV642" s="24"/>
      <c r="IW642" s="60"/>
      <c r="IX642" s="16"/>
      <c r="IY642" s="16"/>
      <c r="IZ642" s="16"/>
      <c r="JA642" s="16"/>
      <c r="JB642" s="16"/>
      <c r="JC642" s="17"/>
      <c r="JG642" s="24"/>
      <c r="JH642" s="60"/>
      <c r="JI642" s="16"/>
      <c r="JJ642" s="16"/>
      <c r="JK642" s="16"/>
      <c r="JL642" s="16"/>
      <c r="JM642" s="16"/>
      <c r="JN642" s="17"/>
      <c r="JR642" s="24"/>
      <c r="JS642" s="60"/>
      <c r="JT642" s="16"/>
      <c r="JU642" s="16"/>
      <c r="JV642" s="16"/>
      <c r="JW642" s="16"/>
      <c r="JX642" s="16"/>
      <c r="JY642" s="17"/>
      <c r="KC642" s="24"/>
      <c r="KD642" s="60"/>
      <c r="KE642" s="16"/>
      <c r="KF642" s="16"/>
      <c r="KG642" s="16"/>
      <c r="KH642" s="16"/>
      <c r="KI642" s="16"/>
      <c r="KJ642" s="17"/>
      <c r="KN642" s="24"/>
      <c r="KO642" s="60"/>
      <c r="KP642" s="16"/>
      <c r="KQ642" s="16"/>
      <c r="KR642" s="16"/>
      <c r="KS642" s="16"/>
      <c r="KT642" s="16"/>
      <c r="KU642" s="17"/>
      <c r="KY642" s="24"/>
      <c r="KZ642" s="60"/>
      <c r="LA642" s="16"/>
      <c r="LB642" s="16"/>
      <c r="LC642" s="16"/>
      <c r="LD642" s="16"/>
      <c r="LE642" s="16"/>
      <c r="LF642" s="17"/>
      <c r="LJ642" s="24"/>
      <c r="LK642" s="60"/>
      <c r="LL642" s="16"/>
      <c r="LM642" s="16"/>
      <c r="LN642" s="16"/>
      <c r="LO642" s="16"/>
      <c r="LP642" s="16"/>
      <c r="LQ642" s="17"/>
    </row>
    <row r="643">
      <c r="C643" s="31"/>
      <c r="D643" s="61"/>
      <c r="E643" s="16"/>
      <c r="F643" s="16"/>
      <c r="G643" s="21"/>
      <c r="H643" s="16"/>
      <c r="I643" s="16"/>
      <c r="J643" s="17"/>
      <c r="N643" s="17"/>
      <c r="O643" s="61"/>
      <c r="P643" s="16"/>
      <c r="Q643" s="16"/>
      <c r="R643" s="16"/>
      <c r="S643" s="16"/>
      <c r="T643" s="16"/>
      <c r="U643" s="17"/>
      <c r="Y643" s="24"/>
      <c r="Z643" s="61"/>
      <c r="AA643" s="16"/>
      <c r="AB643" s="16"/>
      <c r="AC643" s="16"/>
      <c r="AD643" s="16"/>
      <c r="AE643" s="16"/>
      <c r="AF643" s="17"/>
      <c r="AJ643" s="24"/>
      <c r="AK643" s="61"/>
      <c r="AL643" s="16"/>
      <c r="AM643" s="16"/>
      <c r="AN643" s="16"/>
      <c r="AO643" s="16"/>
      <c r="AP643" s="16"/>
      <c r="AQ643" s="17"/>
      <c r="AU643" s="24"/>
      <c r="AV643" s="61"/>
      <c r="AW643" s="16"/>
      <c r="AX643" s="16"/>
      <c r="AY643" s="16"/>
      <c r="AZ643" s="16"/>
      <c r="BA643" s="16"/>
      <c r="BB643" s="17"/>
      <c r="BF643" s="24"/>
      <c r="BG643" s="61"/>
      <c r="BH643" s="16"/>
      <c r="BI643" s="16"/>
      <c r="BJ643" s="16"/>
      <c r="BK643" s="16"/>
      <c r="BL643" s="16"/>
      <c r="BM643" s="17"/>
      <c r="BQ643" s="24"/>
      <c r="BR643" s="61"/>
      <c r="BS643" s="16"/>
      <c r="BT643" s="16"/>
      <c r="BU643" s="16"/>
      <c r="BV643" s="16"/>
      <c r="BW643" s="16"/>
      <c r="BX643" s="17"/>
      <c r="CB643" s="24"/>
      <c r="CC643" s="61"/>
      <c r="CD643" s="16"/>
      <c r="CE643" s="16"/>
      <c r="CF643" s="16"/>
      <c r="CG643" s="16"/>
      <c r="CH643" s="16"/>
      <c r="CI643" s="17"/>
      <c r="CM643" s="24"/>
      <c r="CN643" s="61"/>
      <c r="CO643" s="16"/>
      <c r="CP643" s="16"/>
      <c r="CQ643" s="16"/>
      <c r="CR643" s="16"/>
      <c r="CS643" s="16"/>
      <c r="CT643" s="17"/>
      <c r="CX643" s="24"/>
      <c r="CY643" s="60"/>
      <c r="CZ643" s="16"/>
      <c r="DA643" s="16"/>
      <c r="DB643" s="16"/>
      <c r="DC643" s="16"/>
      <c r="DD643" s="16"/>
      <c r="DE643" s="17"/>
      <c r="DI643" s="24"/>
      <c r="DJ643" s="60"/>
      <c r="DK643" s="16"/>
      <c r="DL643" s="16"/>
      <c r="DM643" s="16"/>
      <c r="DN643" s="16"/>
      <c r="DO643" s="16"/>
      <c r="DP643" s="17"/>
      <c r="DT643" s="24"/>
      <c r="DU643" s="60"/>
      <c r="DV643" s="16"/>
      <c r="DW643" s="16"/>
      <c r="DX643" s="16"/>
      <c r="DY643" s="16"/>
      <c r="DZ643" s="16"/>
      <c r="EA643" s="17"/>
      <c r="EE643" s="24"/>
      <c r="EF643" s="60"/>
      <c r="EG643" s="16"/>
      <c r="EH643" s="16"/>
      <c r="EI643" s="16"/>
      <c r="EJ643" s="16"/>
      <c r="EK643" s="16"/>
      <c r="EL643" s="17"/>
      <c r="EP643" s="24"/>
      <c r="EQ643" s="60"/>
      <c r="ER643" s="16"/>
      <c r="ES643" s="16"/>
      <c r="ET643" s="16"/>
      <c r="EU643" s="16"/>
      <c r="EV643" s="16"/>
      <c r="EW643" s="17"/>
      <c r="FA643" s="24"/>
      <c r="FB643" s="60"/>
      <c r="FC643" s="16"/>
      <c r="FD643" s="16"/>
      <c r="FE643" s="16"/>
      <c r="FF643" s="16"/>
      <c r="FG643" s="16"/>
      <c r="FH643" s="17"/>
      <c r="FL643" s="24"/>
      <c r="FM643" s="60"/>
      <c r="FN643" s="16"/>
      <c r="FO643" s="16"/>
      <c r="FP643" s="16"/>
      <c r="FQ643" s="16"/>
      <c r="FR643" s="16"/>
      <c r="FS643" s="17"/>
      <c r="FW643" s="24"/>
      <c r="FX643" s="60"/>
      <c r="FY643" s="16"/>
      <c r="FZ643" s="16"/>
      <c r="GA643" s="16"/>
      <c r="GB643" s="16"/>
      <c r="GC643" s="16"/>
      <c r="GD643" s="17"/>
      <c r="GH643" s="24"/>
      <c r="GI643" s="60"/>
      <c r="GJ643" s="16"/>
      <c r="GK643" s="16"/>
      <c r="GL643" s="16"/>
      <c r="GM643" s="16"/>
      <c r="GN643" s="16"/>
      <c r="GO643" s="17"/>
      <c r="GS643" s="24"/>
      <c r="GT643" s="60"/>
      <c r="GU643" s="16"/>
      <c r="GV643" s="16"/>
      <c r="GW643" s="16"/>
      <c r="GX643" s="16"/>
      <c r="GY643" s="16"/>
      <c r="GZ643" s="17"/>
      <c r="HD643" s="24"/>
      <c r="HE643" s="60"/>
      <c r="HF643" s="16"/>
      <c r="HG643" s="16"/>
      <c r="HH643" s="16"/>
      <c r="HI643" s="16"/>
      <c r="HJ643" s="16"/>
      <c r="HK643" s="17"/>
      <c r="HO643" s="24"/>
      <c r="HP643" s="60"/>
      <c r="HQ643" s="16"/>
      <c r="HR643" s="16"/>
      <c r="HS643" s="16"/>
      <c r="HT643" s="16"/>
      <c r="HU643" s="16"/>
      <c r="HV643" s="17"/>
      <c r="HZ643" s="24"/>
      <c r="IA643" s="60"/>
      <c r="IB643" s="16"/>
      <c r="IC643" s="16"/>
      <c r="ID643" s="16"/>
      <c r="IE643" s="16"/>
      <c r="IF643" s="16"/>
      <c r="IG643" s="17"/>
      <c r="IK643" s="24"/>
      <c r="IL643" s="60"/>
      <c r="IM643" s="16"/>
      <c r="IN643" s="16"/>
      <c r="IO643" s="16"/>
      <c r="IP643" s="16"/>
      <c r="IQ643" s="16"/>
      <c r="IR643" s="17"/>
      <c r="IV643" s="24"/>
      <c r="IW643" s="60"/>
      <c r="IX643" s="16"/>
      <c r="IY643" s="16"/>
      <c r="IZ643" s="16"/>
      <c r="JA643" s="16"/>
      <c r="JB643" s="16"/>
      <c r="JC643" s="17"/>
      <c r="JG643" s="24"/>
      <c r="JH643" s="60"/>
      <c r="JI643" s="16"/>
      <c r="JJ643" s="16"/>
      <c r="JK643" s="16"/>
      <c r="JL643" s="16"/>
      <c r="JM643" s="16"/>
      <c r="JN643" s="17"/>
      <c r="JR643" s="24"/>
      <c r="JS643" s="60"/>
      <c r="JT643" s="16"/>
      <c r="JU643" s="16"/>
      <c r="JV643" s="16"/>
      <c r="JW643" s="16"/>
      <c r="JX643" s="16"/>
      <c r="JY643" s="17"/>
      <c r="KC643" s="24"/>
      <c r="KD643" s="60"/>
      <c r="KE643" s="16"/>
      <c r="KF643" s="16"/>
      <c r="KG643" s="16"/>
      <c r="KH643" s="16"/>
      <c r="KI643" s="16"/>
      <c r="KJ643" s="17"/>
      <c r="KN643" s="24"/>
      <c r="KO643" s="60"/>
      <c r="KP643" s="16"/>
      <c r="KQ643" s="16"/>
      <c r="KR643" s="16"/>
      <c r="KS643" s="16"/>
      <c r="KT643" s="16"/>
      <c r="KU643" s="17"/>
      <c r="KY643" s="24"/>
      <c r="KZ643" s="60"/>
      <c r="LA643" s="16"/>
      <c r="LB643" s="16"/>
      <c r="LC643" s="16"/>
      <c r="LD643" s="16"/>
      <c r="LE643" s="16"/>
      <c r="LF643" s="17"/>
      <c r="LJ643" s="24"/>
      <c r="LK643" s="60"/>
      <c r="LL643" s="16"/>
      <c r="LM643" s="16"/>
      <c r="LN643" s="16"/>
      <c r="LO643" s="16"/>
      <c r="LP643" s="16"/>
      <c r="LQ643" s="17"/>
    </row>
    <row r="644">
      <c r="C644" s="31"/>
      <c r="D644" s="61"/>
      <c r="E644" s="16"/>
      <c r="F644" s="16"/>
      <c r="G644" s="21"/>
      <c r="H644" s="16"/>
      <c r="I644" s="16"/>
      <c r="J644" s="17"/>
      <c r="N644" s="17"/>
      <c r="O644" s="61"/>
      <c r="P644" s="16"/>
      <c r="Q644" s="16"/>
      <c r="R644" s="16"/>
      <c r="S644" s="16"/>
      <c r="T644" s="16"/>
      <c r="U644" s="17"/>
      <c r="Y644" s="24"/>
      <c r="Z644" s="61"/>
      <c r="AA644" s="16"/>
      <c r="AB644" s="16"/>
      <c r="AC644" s="16"/>
      <c r="AD644" s="16"/>
      <c r="AE644" s="16"/>
      <c r="AF644" s="17"/>
      <c r="AJ644" s="24"/>
      <c r="AK644" s="61"/>
      <c r="AL644" s="16"/>
      <c r="AM644" s="16"/>
      <c r="AN644" s="16"/>
      <c r="AO644" s="16"/>
      <c r="AP644" s="16"/>
      <c r="AQ644" s="17"/>
      <c r="AU644" s="24"/>
      <c r="AV644" s="61"/>
      <c r="AW644" s="16"/>
      <c r="AX644" s="16"/>
      <c r="AY644" s="16"/>
      <c r="AZ644" s="16"/>
      <c r="BA644" s="16"/>
      <c r="BB644" s="17"/>
      <c r="BF644" s="24"/>
      <c r="BG644" s="61"/>
      <c r="BH644" s="16"/>
      <c r="BI644" s="16"/>
      <c r="BJ644" s="16"/>
      <c r="BK644" s="16"/>
      <c r="BL644" s="16"/>
      <c r="BM644" s="17"/>
      <c r="BQ644" s="24"/>
      <c r="BR644" s="61"/>
      <c r="BS644" s="16"/>
      <c r="BT644" s="16"/>
      <c r="BU644" s="16"/>
      <c r="BV644" s="16"/>
      <c r="BW644" s="16"/>
      <c r="BX644" s="17"/>
      <c r="CB644" s="24"/>
      <c r="CC644" s="61"/>
      <c r="CD644" s="16"/>
      <c r="CE644" s="16"/>
      <c r="CF644" s="16"/>
      <c r="CG644" s="16"/>
      <c r="CH644" s="16"/>
      <c r="CI644" s="17"/>
      <c r="CM644" s="24"/>
      <c r="CN644" s="61"/>
      <c r="CO644" s="16"/>
      <c r="CP644" s="16"/>
      <c r="CQ644" s="16"/>
      <c r="CR644" s="16"/>
      <c r="CS644" s="16"/>
      <c r="CT644" s="17"/>
      <c r="CX644" s="24"/>
      <c r="CY644" s="60"/>
      <c r="CZ644" s="16"/>
      <c r="DA644" s="16"/>
      <c r="DB644" s="16"/>
      <c r="DC644" s="16"/>
      <c r="DD644" s="16"/>
      <c r="DE644" s="17"/>
      <c r="DI644" s="24"/>
      <c r="DJ644" s="60"/>
      <c r="DK644" s="16"/>
      <c r="DL644" s="16"/>
      <c r="DM644" s="16"/>
      <c r="DN644" s="16"/>
      <c r="DO644" s="16"/>
      <c r="DP644" s="17"/>
      <c r="DT644" s="24"/>
      <c r="DU644" s="60"/>
      <c r="DV644" s="16"/>
      <c r="DW644" s="16"/>
      <c r="DX644" s="16"/>
      <c r="DY644" s="16"/>
      <c r="DZ644" s="16"/>
      <c r="EA644" s="17"/>
      <c r="EE644" s="24"/>
      <c r="EF644" s="60"/>
      <c r="EG644" s="16"/>
      <c r="EH644" s="16"/>
      <c r="EI644" s="16"/>
      <c r="EJ644" s="16"/>
      <c r="EK644" s="16"/>
      <c r="EL644" s="17"/>
      <c r="EP644" s="24"/>
      <c r="EQ644" s="60"/>
      <c r="ER644" s="16"/>
      <c r="ES644" s="16"/>
      <c r="ET644" s="16"/>
      <c r="EU644" s="16"/>
      <c r="EV644" s="16"/>
      <c r="EW644" s="17"/>
      <c r="FA644" s="24"/>
      <c r="FB644" s="60"/>
      <c r="FC644" s="16"/>
      <c r="FD644" s="16"/>
      <c r="FE644" s="16"/>
      <c r="FF644" s="16"/>
      <c r="FG644" s="16"/>
      <c r="FH644" s="17"/>
      <c r="FL644" s="24"/>
      <c r="FM644" s="60"/>
      <c r="FN644" s="16"/>
      <c r="FO644" s="16"/>
      <c r="FP644" s="16"/>
      <c r="FQ644" s="16"/>
      <c r="FR644" s="16"/>
      <c r="FS644" s="17"/>
      <c r="FW644" s="24"/>
      <c r="FX644" s="60"/>
      <c r="FY644" s="16"/>
      <c r="FZ644" s="16"/>
      <c r="GA644" s="16"/>
      <c r="GB644" s="16"/>
      <c r="GC644" s="16"/>
      <c r="GD644" s="17"/>
      <c r="GH644" s="24"/>
      <c r="GI644" s="60"/>
      <c r="GJ644" s="16"/>
      <c r="GK644" s="16"/>
      <c r="GL644" s="16"/>
      <c r="GM644" s="16"/>
      <c r="GN644" s="16"/>
      <c r="GO644" s="17"/>
      <c r="GS644" s="24"/>
      <c r="GT644" s="60"/>
      <c r="GU644" s="16"/>
      <c r="GV644" s="16"/>
      <c r="GW644" s="16"/>
      <c r="GX644" s="16"/>
      <c r="GY644" s="16"/>
      <c r="GZ644" s="17"/>
      <c r="HD644" s="24"/>
      <c r="HE644" s="60"/>
      <c r="HF644" s="16"/>
      <c r="HG644" s="16"/>
      <c r="HH644" s="16"/>
      <c r="HI644" s="16"/>
      <c r="HJ644" s="16"/>
      <c r="HK644" s="17"/>
      <c r="HO644" s="24"/>
      <c r="HP644" s="60"/>
      <c r="HQ644" s="16"/>
      <c r="HR644" s="16"/>
      <c r="HS644" s="16"/>
      <c r="HT644" s="16"/>
      <c r="HU644" s="16"/>
      <c r="HV644" s="17"/>
      <c r="HZ644" s="24"/>
      <c r="IA644" s="60"/>
      <c r="IB644" s="16"/>
      <c r="IC644" s="16"/>
      <c r="ID644" s="16"/>
      <c r="IE644" s="16"/>
      <c r="IF644" s="16"/>
      <c r="IG644" s="17"/>
      <c r="IK644" s="24"/>
      <c r="IL644" s="60"/>
      <c r="IM644" s="16"/>
      <c r="IN644" s="16"/>
      <c r="IO644" s="16"/>
      <c r="IP644" s="16"/>
      <c r="IQ644" s="16"/>
      <c r="IR644" s="17"/>
      <c r="IV644" s="24"/>
      <c r="IW644" s="60"/>
      <c r="IX644" s="16"/>
      <c r="IY644" s="16"/>
      <c r="IZ644" s="16"/>
      <c r="JA644" s="16"/>
      <c r="JB644" s="16"/>
      <c r="JC644" s="17"/>
      <c r="JG644" s="24"/>
      <c r="JH644" s="60"/>
      <c r="JI644" s="16"/>
      <c r="JJ644" s="16"/>
      <c r="JK644" s="16"/>
      <c r="JL644" s="16"/>
      <c r="JM644" s="16"/>
      <c r="JN644" s="17"/>
      <c r="JR644" s="24"/>
      <c r="JS644" s="60"/>
      <c r="JT644" s="16"/>
      <c r="JU644" s="16"/>
      <c r="JV644" s="16"/>
      <c r="JW644" s="16"/>
      <c r="JX644" s="16"/>
      <c r="JY644" s="17"/>
      <c r="KC644" s="24"/>
      <c r="KD644" s="60"/>
      <c r="KE644" s="16"/>
      <c r="KF644" s="16"/>
      <c r="KG644" s="16"/>
      <c r="KH644" s="16"/>
      <c r="KI644" s="16"/>
      <c r="KJ644" s="17"/>
      <c r="KN644" s="24"/>
      <c r="KO644" s="60"/>
      <c r="KP644" s="16"/>
      <c r="KQ644" s="16"/>
      <c r="KR644" s="16"/>
      <c r="KS644" s="16"/>
      <c r="KT644" s="16"/>
      <c r="KU644" s="17"/>
      <c r="KY644" s="24"/>
      <c r="KZ644" s="60"/>
      <c r="LA644" s="16"/>
      <c r="LB644" s="16"/>
      <c r="LC644" s="16"/>
      <c r="LD644" s="16"/>
      <c r="LE644" s="16"/>
      <c r="LF644" s="17"/>
      <c r="LJ644" s="24"/>
      <c r="LK644" s="60"/>
      <c r="LL644" s="16"/>
      <c r="LM644" s="16"/>
      <c r="LN644" s="16"/>
      <c r="LO644" s="16"/>
      <c r="LP644" s="16"/>
      <c r="LQ644" s="17"/>
    </row>
    <row r="645">
      <c r="C645" s="31"/>
      <c r="D645" s="61"/>
      <c r="E645" s="16"/>
      <c r="F645" s="16"/>
      <c r="G645" s="21"/>
      <c r="H645" s="16"/>
      <c r="I645" s="16"/>
      <c r="J645" s="17"/>
      <c r="N645" s="17"/>
      <c r="O645" s="61"/>
      <c r="P645" s="16"/>
      <c r="Q645" s="16"/>
      <c r="R645" s="16"/>
      <c r="S645" s="16"/>
      <c r="T645" s="16"/>
      <c r="U645" s="17"/>
      <c r="Y645" s="24"/>
      <c r="Z645" s="61"/>
      <c r="AA645" s="16"/>
      <c r="AB645" s="16"/>
      <c r="AC645" s="16"/>
      <c r="AD645" s="16"/>
      <c r="AE645" s="16"/>
      <c r="AF645" s="17"/>
      <c r="AJ645" s="24"/>
      <c r="AK645" s="61"/>
      <c r="AL645" s="16"/>
      <c r="AM645" s="16"/>
      <c r="AN645" s="16"/>
      <c r="AO645" s="16"/>
      <c r="AP645" s="16"/>
      <c r="AQ645" s="17"/>
      <c r="AU645" s="24"/>
      <c r="AV645" s="61"/>
      <c r="AW645" s="16"/>
      <c r="AX645" s="16"/>
      <c r="AY645" s="16"/>
      <c r="AZ645" s="16"/>
      <c r="BA645" s="16"/>
      <c r="BB645" s="17"/>
      <c r="BF645" s="24"/>
      <c r="BG645" s="61"/>
      <c r="BH645" s="16"/>
      <c r="BI645" s="16"/>
      <c r="BJ645" s="16"/>
      <c r="BK645" s="16"/>
      <c r="BL645" s="16"/>
      <c r="BM645" s="17"/>
      <c r="BQ645" s="24"/>
      <c r="BR645" s="61"/>
      <c r="BS645" s="16"/>
      <c r="BT645" s="16"/>
      <c r="BU645" s="16"/>
      <c r="BV645" s="16"/>
      <c r="BW645" s="16"/>
      <c r="BX645" s="17"/>
      <c r="CB645" s="24"/>
      <c r="CC645" s="61"/>
      <c r="CD645" s="16"/>
      <c r="CE645" s="16"/>
      <c r="CF645" s="16"/>
      <c r="CG645" s="16"/>
      <c r="CH645" s="16"/>
      <c r="CI645" s="17"/>
      <c r="CM645" s="24"/>
      <c r="CN645" s="61"/>
      <c r="CO645" s="16"/>
      <c r="CP645" s="16"/>
      <c r="CQ645" s="16"/>
      <c r="CR645" s="16"/>
      <c r="CS645" s="16"/>
      <c r="CT645" s="17"/>
      <c r="CX645" s="24"/>
      <c r="CY645" s="60"/>
      <c r="CZ645" s="16"/>
      <c r="DA645" s="16"/>
      <c r="DB645" s="16"/>
      <c r="DC645" s="16"/>
      <c r="DD645" s="16"/>
      <c r="DE645" s="17"/>
      <c r="DI645" s="24"/>
      <c r="DJ645" s="60"/>
      <c r="DK645" s="16"/>
      <c r="DL645" s="16"/>
      <c r="DM645" s="16"/>
      <c r="DN645" s="16"/>
      <c r="DO645" s="16"/>
      <c r="DP645" s="17"/>
      <c r="DT645" s="24"/>
      <c r="DU645" s="60"/>
      <c r="DV645" s="16"/>
      <c r="DW645" s="16"/>
      <c r="DX645" s="16"/>
      <c r="DY645" s="16"/>
      <c r="DZ645" s="16"/>
      <c r="EA645" s="17"/>
      <c r="EE645" s="24"/>
      <c r="EF645" s="60"/>
      <c r="EG645" s="16"/>
      <c r="EH645" s="16"/>
      <c r="EI645" s="16"/>
      <c r="EJ645" s="16"/>
      <c r="EK645" s="16"/>
      <c r="EL645" s="17"/>
      <c r="EP645" s="24"/>
      <c r="EQ645" s="60"/>
      <c r="ER645" s="16"/>
      <c r="ES645" s="16"/>
      <c r="ET645" s="16"/>
      <c r="EU645" s="16"/>
      <c r="EV645" s="16"/>
      <c r="EW645" s="17"/>
      <c r="FA645" s="24"/>
      <c r="FB645" s="60"/>
      <c r="FC645" s="16"/>
      <c r="FD645" s="16"/>
      <c r="FE645" s="16"/>
      <c r="FF645" s="16"/>
      <c r="FG645" s="16"/>
      <c r="FH645" s="17"/>
      <c r="FL645" s="24"/>
      <c r="FM645" s="60"/>
      <c r="FN645" s="16"/>
      <c r="FO645" s="16"/>
      <c r="FP645" s="16"/>
      <c r="FQ645" s="16"/>
      <c r="FR645" s="16"/>
      <c r="FS645" s="17"/>
      <c r="FW645" s="24"/>
      <c r="FX645" s="60"/>
      <c r="FY645" s="16"/>
      <c r="FZ645" s="16"/>
      <c r="GA645" s="16"/>
      <c r="GB645" s="16"/>
      <c r="GC645" s="16"/>
      <c r="GD645" s="17"/>
      <c r="GH645" s="24"/>
      <c r="GI645" s="60"/>
      <c r="GJ645" s="16"/>
      <c r="GK645" s="16"/>
      <c r="GL645" s="16"/>
      <c r="GM645" s="16"/>
      <c r="GN645" s="16"/>
      <c r="GO645" s="17"/>
      <c r="GS645" s="24"/>
      <c r="GT645" s="60"/>
      <c r="GU645" s="16"/>
      <c r="GV645" s="16"/>
      <c r="GW645" s="16"/>
      <c r="GX645" s="16"/>
      <c r="GY645" s="16"/>
      <c r="GZ645" s="17"/>
      <c r="HD645" s="24"/>
      <c r="HE645" s="60"/>
      <c r="HF645" s="16"/>
      <c r="HG645" s="16"/>
      <c r="HH645" s="16"/>
      <c r="HI645" s="16"/>
      <c r="HJ645" s="16"/>
      <c r="HK645" s="17"/>
      <c r="HO645" s="24"/>
      <c r="HP645" s="60"/>
      <c r="HQ645" s="16"/>
      <c r="HR645" s="16"/>
      <c r="HS645" s="16"/>
      <c r="HT645" s="16"/>
      <c r="HU645" s="16"/>
      <c r="HV645" s="17"/>
      <c r="HZ645" s="24"/>
      <c r="IA645" s="60"/>
      <c r="IB645" s="16"/>
      <c r="IC645" s="16"/>
      <c r="ID645" s="16"/>
      <c r="IE645" s="16"/>
      <c r="IF645" s="16"/>
      <c r="IG645" s="17"/>
      <c r="IK645" s="24"/>
      <c r="IL645" s="60"/>
      <c r="IM645" s="16"/>
      <c r="IN645" s="16"/>
      <c r="IO645" s="16"/>
      <c r="IP645" s="16"/>
      <c r="IQ645" s="16"/>
      <c r="IR645" s="17"/>
      <c r="IV645" s="24"/>
      <c r="IW645" s="60"/>
      <c r="IX645" s="16"/>
      <c r="IY645" s="16"/>
      <c r="IZ645" s="16"/>
      <c r="JA645" s="16"/>
      <c r="JB645" s="16"/>
      <c r="JC645" s="17"/>
      <c r="JG645" s="24"/>
      <c r="JH645" s="60"/>
      <c r="JI645" s="16"/>
      <c r="JJ645" s="16"/>
      <c r="JK645" s="16"/>
      <c r="JL645" s="16"/>
      <c r="JM645" s="16"/>
      <c r="JN645" s="17"/>
      <c r="JR645" s="24"/>
      <c r="JS645" s="60"/>
      <c r="JT645" s="16"/>
      <c r="JU645" s="16"/>
      <c r="JV645" s="16"/>
      <c r="JW645" s="16"/>
      <c r="JX645" s="16"/>
      <c r="JY645" s="17"/>
      <c r="KC645" s="24"/>
      <c r="KD645" s="60"/>
      <c r="KE645" s="16"/>
      <c r="KF645" s="16"/>
      <c r="KG645" s="16"/>
      <c r="KH645" s="16"/>
      <c r="KI645" s="16"/>
      <c r="KJ645" s="17"/>
      <c r="KN645" s="24"/>
      <c r="KO645" s="60"/>
      <c r="KP645" s="16"/>
      <c r="KQ645" s="16"/>
      <c r="KR645" s="16"/>
      <c r="KS645" s="16"/>
      <c r="KT645" s="16"/>
      <c r="KU645" s="17"/>
      <c r="KY645" s="24"/>
      <c r="KZ645" s="60"/>
      <c r="LA645" s="16"/>
      <c r="LB645" s="16"/>
      <c r="LC645" s="16"/>
      <c r="LD645" s="16"/>
      <c r="LE645" s="16"/>
      <c r="LF645" s="17"/>
      <c r="LJ645" s="24"/>
      <c r="LK645" s="60"/>
      <c r="LL645" s="16"/>
      <c r="LM645" s="16"/>
      <c r="LN645" s="16"/>
      <c r="LO645" s="16"/>
      <c r="LP645" s="16"/>
      <c r="LQ645" s="17"/>
    </row>
    <row r="646">
      <c r="C646" s="31"/>
      <c r="D646" s="61"/>
      <c r="E646" s="16"/>
      <c r="F646" s="16"/>
      <c r="G646" s="21"/>
      <c r="H646" s="16"/>
      <c r="I646" s="16"/>
      <c r="J646" s="17"/>
      <c r="N646" s="17"/>
      <c r="O646" s="61"/>
      <c r="P646" s="16"/>
      <c r="Q646" s="16"/>
      <c r="R646" s="16"/>
      <c r="S646" s="16"/>
      <c r="T646" s="16"/>
      <c r="U646" s="17"/>
      <c r="Y646" s="24"/>
      <c r="Z646" s="61"/>
      <c r="AA646" s="16"/>
      <c r="AB646" s="16"/>
      <c r="AC646" s="16"/>
      <c r="AD646" s="16"/>
      <c r="AE646" s="16"/>
      <c r="AF646" s="17"/>
      <c r="AJ646" s="24"/>
      <c r="AK646" s="61"/>
      <c r="AL646" s="16"/>
      <c r="AM646" s="16"/>
      <c r="AN646" s="16"/>
      <c r="AO646" s="16"/>
      <c r="AP646" s="16"/>
      <c r="AQ646" s="17"/>
      <c r="AU646" s="24"/>
      <c r="AV646" s="61"/>
      <c r="AW646" s="16"/>
      <c r="AX646" s="16"/>
      <c r="AY646" s="16"/>
      <c r="AZ646" s="16"/>
      <c r="BA646" s="16"/>
      <c r="BB646" s="17"/>
      <c r="BF646" s="24"/>
      <c r="BG646" s="61"/>
      <c r="BH646" s="16"/>
      <c r="BI646" s="16"/>
      <c r="BJ646" s="16"/>
      <c r="BK646" s="16"/>
      <c r="BL646" s="16"/>
      <c r="BM646" s="17"/>
      <c r="BQ646" s="24"/>
      <c r="BR646" s="61"/>
      <c r="BS646" s="16"/>
      <c r="BT646" s="16"/>
      <c r="BU646" s="16"/>
      <c r="BV646" s="16"/>
      <c r="BW646" s="16"/>
      <c r="BX646" s="17"/>
      <c r="CB646" s="24"/>
      <c r="CC646" s="61"/>
      <c r="CD646" s="16"/>
      <c r="CE646" s="16"/>
      <c r="CF646" s="16"/>
      <c r="CG646" s="16"/>
      <c r="CH646" s="16"/>
      <c r="CI646" s="17"/>
      <c r="CM646" s="24"/>
      <c r="CN646" s="61"/>
      <c r="CO646" s="16"/>
      <c r="CP646" s="16"/>
      <c r="CQ646" s="16"/>
      <c r="CR646" s="16"/>
      <c r="CS646" s="16"/>
      <c r="CT646" s="17"/>
      <c r="CX646" s="24"/>
      <c r="CY646" s="60"/>
      <c r="CZ646" s="16"/>
      <c r="DA646" s="16"/>
      <c r="DB646" s="16"/>
      <c r="DC646" s="16"/>
      <c r="DD646" s="16"/>
      <c r="DE646" s="17"/>
      <c r="DI646" s="24"/>
      <c r="DJ646" s="60"/>
      <c r="DK646" s="16"/>
      <c r="DL646" s="16"/>
      <c r="DM646" s="16"/>
      <c r="DN646" s="16"/>
      <c r="DO646" s="16"/>
      <c r="DP646" s="17"/>
      <c r="DT646" s="24"/>
      <c r="DU646" s="60"/>
      <c r="DV646" s="16"/>
      <c r="DW646" s="16"/>
      <c r="DX646" s="16"/>
      <c r="DY646" s="16"/>
      <c r="DZ646" s="16"/>
      <c r="EA646" s="17"/>
      <c r="EE646" s="24"/>
      <c r="EF646" s="60"/>
      <c r="EG646" s="16"/>
      <c r="EH646" s="16"/>
      <c r="EI646" s="16"/>
      <c r="EJ646" s="16"/>
      <c r="EK646" s="16"/>
      <c r="EL646" s="17"/>
      <c r="EP646" s="24"/>
      <c r="EQ646" s="60"/>
      <c r="ER646" s="16"/>
      <c r="ES646" s="16"/>
      <c r="ET646" s="16"/>
      <c r="EU646" s="16"/>
      <c r="EV646" s="16"/>
      <c r="EW646" s="17"/>
      <c r="FA646" s="24"/>
      <c r="FB646" s="60"/>
      <c r="FC646" s="16"/>
      <c r="FD646" s="16"/>
      <c r="FE646" s="16"/>
      <c r="FF646" s="16"/>
      <c r="FG646" s="16"/>
      <c r="FH646" s="17"/>
      <c r="FL646" s="24"/>
      <c r="FM646" s="60"/>
      <c r="FN646" s="16"/>
      <c r="FO646" s="16"/>
      <c r="FP646" s="16"/>
      <c r="FQ646" s="16"/>
      <c r="FR646" s="16"/>
      <c r="FS646" s="17"/>
      <c r="FW646" s="24"/>
      <c r="FX646" s="60"/>
      <c r="FY646" s="16"/>
      <c r="FZ646" s="16"/>
      <c r="GA646" s="16"/>
      <c r="GB646" s="16"/>
      <c r="GC646" s="16"/>
      <c r="GD646" s="17"/>
      <c r="GH646" s="24"/>
      <c r="GI646" s="60"/>
      <c r="GJ646" s="16"/>
      <c r="GK646" s="16"/>
      <c r="GL646" s="16"/>
      <c r="GM646" s="16"/>
      <c r="GN646" s="16"/>
      <c r="GO646" s="17"/>
      <c r="GS646" s="24"/>
      <c r="GT646" s="60"/>
      <c r="GU646" s="16"/>
      <c r="GV646" s="16"/>
      <c r="GW646" s="16"/>
      <c r="GX646" s="16"/>
      <c r="GY646" s="16"/>
      <c r="GZ646" s="17"/>
      <c r="HD646" s="24"/>
      <c r="HE646" s="60"/>
      <c r="HF646" s="16"/>
      <c r="HG646" s="16"/>
      <c r="HH646" s="16"/>
      <c r="HI646" s="16"/>
      <c r="HJ646" s="16"/>
      <c r="HK646" s="17"/>
      <c r="HO646" s="24"/>
      <c r="HP646" s="60"/>
      <c r="HQ646" s="16"/>
      <c r="HR646" s="16"/>
      <c r="HS646" s="16"/>
      <c r="HT646" s="16"/>
      <c r="HU646" s="16"/>
      <c r="HV646" s="17"/>
      <c r="HZ646" s="24"/>
      <c r="IA646" s="60"/>
      <c r="IB646" s="16"/>
      <c r="IC646" s="16"/>
      <c r="ID646" s="16"/>
      <c r="IE646" s="16"/>
      <c r="IF646" s="16"/>
      <c r="IG646" s="17"/>
      <c r="IK646" s="24"/>
      <c r="IL646" s="60"/>
      <c r="IM646" s="16"/>
      <c r="IN646" s="16"/>
      <c r="IO646" s="16"/>
      <c r="IP646" s="16"/>
      <c r="IQ646" s="16"/>
      <c r="IR646" s="17"/>
      <c r="IV646" s="24"/>
      <c r="IW646" s="60"/>
      <c r="IX646" s="16"/>
      <c r="IY646" s="16"/>
      <c r="IZ646" s="16"/>
      <c r="JA646" s="16"/>
      <c r="JB646" s="16"/>
      <c r="JC646" s="17"/>
      <c r="JG646" s="24"/>
      <c r="JH646" s="60"/>
      <c r="JI646" s="16"/>
      <c r="JJ646" s="16"/>
      <c r="JK646" s="16"/>
      <c r="JL646" s="16"/>
      <c r="JM646" s="16"/>
      <c r="JN646" s="17"/>
      <c r="JR646" s="24"/>
      <c r="JS646" s="60"/>
      <c r="JT646" s="16"/>
      <c r="JU646" s="16"/>
      <c r="JV646" s="16"/>
      <c r="JW646" s="16"/>
      <c r="JX646" s="16"/>
      <c r="JY646" s="17"/>
      <c r="KC646" s="24"/>
      <c r="KD646" s="60"/>
      <c r="KE646" s="16"/>
      <c r="KF646" s="16"/>
      <c r="KG646" s="16"/>
      <c r="KH646" s="16"/>
      <c r="KI646" s="16"/>
      <c r="KJ646" s="17"/>
      <c r="KN646" s="24"/>
      <c r="KO646" s="60"/>
      <c r="KP646" s="16"/>
      <c r="KQ646" s="16"/>
      <c r="KR646" s="16"/>
      <c r="KS646" s="16"/>
      <c r="KT646" s="16"/>
      <c r="KU646" s="17"/>
      <c r="KY646" s="24"/>
      <c r="KZ646" s="60"/>
      <c r="LA646" s="16"/>
      <c r="LB646" s="16"/>
      <c r="LC646" s="16"/>
      <c r="LD646" s="16"/>
      <c r="LE646" s="16"/>
      <c r="LF646" s="17"/>
      <c r="LJ646" s="24"/>
      <c r="LK646" s="60"/>
      <c r="LL646" s="16"/>
      <c r="LM646" s="16"/>
      <c r="LN646" s="16"/>
      <c r="LO646" s="16"/>
      <c r="LP646" s="16"/>
      <c r="LQ646" s="17"/>
    </row>
    <row r="647">
      <c r="C647" s="31"/>
      <c r="D647" s="61"/>
      <c r="E647" s="16"/>
      <c r="F647" s="16"/>
      <c r="G647" s="21"/>
      <c r="H647" s="16"/>
      <c r="I647" s="16"/>
      <c r="J647" s="17"/>
      <c r="N647" s="17"/>
      <c r="O647" s="61"/>
      <c r="P647" s="16"/>
      <c r="Q647" s="16"/>
      <c r="R647" s="16"/>
      <c r="S647" s="16"/>
      <c r="T647" s="16"/>
      <c r="U647" s="17"/>
      <c r="Y647" s="24"/>
      <c r="Z647" s="61"/>
      <c r="AA647" s="16"/>
      <c r="AB647" s="16"/>
      <c r="AC647" s="16"/>
      <c r="AD647" s="16"/>
      <c r="AE647" s="16"/>
      <c r="AF647" s="17"/>
      <c r="AJ647" s="24"/>
      <c r="AK647" s="61"/>
      <c r="AL647" s="16"/>
      <c r="AM647" s="16"/>
      <c r="AN647" s="16"/>
      <c r="AO647" s="16"/>
      <c r="AP647" s="16"/>
      <c r="AQ647" s="17"/>
      <c r="AU647" s="24"/>
      <c r="AV647" s="61"/>
      <c r="AW647" s="16"/>
      <c r="AX647" s="16"/>
      <c r="AY647" s="16"/>
      <c r="AZ647" s="16"/>
      <c r="BA647" s="16"/>
      <c r="BB647" s="17"/>
      <c r="BF647" s="24"/>
      <c r="BG647" s="61"/>
      <c r="BH647" s="16"/>
      <c r="BI647" s="16"/>
      <c r="BJ647" s="16"/>
      <c r="BK647" s="16"/>
      <c r="BL647" s="16"/>
      <c r="BM647" s="17"/>
      <c r="BQ647" s="24"/>
      <c r="BR647" s="61"/>
      <c r="BS647" s="16"/>
      <c r="BT647" s="16"/>
      <c r="BU647" s="16"/>
      <c r="BV647" s="16"/>
      <c r="BW647" s="16"/>
      <c r="BX647" s="17"/>
      <c r="CB647" s="24"/>
      <c r="CC647" s="61"/>
      <c r="CD647" s="16"/>
      <c r="CE647" s="16"/>
      <c r="CF647" s="16"/>
      <c r="CG647" s="16"/>
      <c r="CH647" s="16"/>
      <c r="CI647" s="17"/>
      <c r="CM647" s="24"/>
      <c r="CN647" s="61"/>
      <c r="CO647" s="16"/>
      <c r="CP647" s="16"/>
      <c r="CQ647" s="16"/>
      <c r="CR647" s="16"/>
      <c r="CS647" s="16"/>
      <c r="CT647" s="17"/>
      <c r="CX647" s="24"/>
      <c r="CY647" s="60"/>
      <c r="CZ647" s="16"/>
      <c r="DA647" s="16"/>
      <c r="DB647" s="16"/>
      <c r="DC647" s="16"/>
      <c r="DD647" s="16"/>
      <c r="DE647" s="17"/>
      <c r="DI647" s="24"/>
      <c r="DJ647" s="60"/>
      <c r="DK647" s="16"/>
      <c r="DL647" s="16"/>
      <c r="DM647" s="16"/>
      <c r="DN647" s="16"/>
      <c r="DO647" s="16"/>
      <c r="DP647" s="17"/>
      <c r="DT647" s="24"/>
      <c r="DU647" s="60"/>
      <c r="DV647" s="16"/>
      <c r="DW647" s="16"/>
      <c r="DX647" s="16"/>
      <c r="DY647" s="16"/>
      <c r="DZ647" s="16"/>
      <c r="EA647" s="17"/>
      <c r="EE647" s="24"/>
      <c r="EF647" s="60"/>
      <c r="EG647" s="16"/>
      <c r="EH647" s="16"/>
      <c r="EI647" s="16"/>
      <c r="EJ647" s="16"/>
      <c r="EK647" s="16"/>
      <c r="EL647" s="17"/>
      <c r="EP647" s="24"/>
      <c r="EQ647" s="60"/>
      <c r="ER647" s="16"/>
      <c r="ES647" s="16"/>
      <c r="ET647" s="16"/>
      <c r="EU647" s="16"/>
      <c r="EV647" s="16"/>
      <c r="EW647" s="17"/>
      <c r="FA647" s="24"/>
      <c r="FB647" s="60"/>
      <c r="FC647" s="16"/>
      <c r="FD647" s="16"/>
      <c r="FE647" s="16"/>
      <c r="FF647" s="16"/>
      <c r="FG647" s="16"/>
      <c r="FH647" s="17"/>
      <c r="FL647" s="24"/>
      <c r="FM647" s="60"/>
      <c r="FN647" s="16"/>
      <c r="FO647" s="16"/>
      <c r="FP647" s="16"/>
      <c r="FQ647" s="16"/>
      <c r="FR647" s="16"/>
      <c r="FS647" s="17"/>
      <c r="FW647" s="24"/>
      <c r="FX647" s="60"/>
      <c r="FY647" s="16"/>
      <c r="FZ647" s="16"/>
      <c r="GA647" s="16"/>
      <c r="GB647" s="16"/>
      <c r="GC647" s="16"/>
      <c r="GD647" s="17"/>
      <c r="GH647" s="24"/>
      <c r="GI647" s="60"/>
      <c r="GJ647" s="16"/>
      <c r="GK647" s="16"/>
      <c r="GL647" s="16"/>
      <c r="GM647" s="16"/>
      <c r="GN647" s="16"/>
      <c r="GO647" s="17"/>
      <c r="GS647" s="24"/>
      <c r="GT647" s="60"/>
      <c r="GU647" s="16"/>
      <c r="GV647" s="16"/>
      <c r="GW647" s="16"/>
      <c r="GX647" s="16"/>
      <c r="GY647" s="16"/>
      <c r="GZ647" s="17"/>
      <c r="HD647" s="24"/>
      <c r="HE647" s="60"/>
      <c r="HF647" s="16"/>
      <c r="HG647" s="16"/>
      <c r="HH647" s="16"/>
      <c r="HI647" s="16"/>
      <c r="HJ647" s="16"/>
      <c r="HK647" s="17"/>
      <c r="HO647" s="24"/>
      <c r="HP647" s="60"/>
      <c r="HQ647" s="16"/>
      <c r="HR647" s="16"/>
      <c r="HS647" s="16"/>
      <c r="HT647" s="16"/>
      <c r="HU647" s="16"/>
      <c r="HV647" s="17"/>
      <c r="HZ647" s="24"/>
      <c r="IA647" s="60"/>
      <c r="IB647" s="16"/>
      <c r="IC647" s="16"/>
      <c r="ID647" s="16"/>
      <c r="IE647" s="16"/>
      <c r="IF647" s="16"/>
      <c r="IG647" s="17"/>
      <c r="IK647" s="24"/>
      <c r="IL647" s="60"/>
      <c r="IM647" s="16"/>
      <c r="IN647" s="16"/>
      <c r="IO647" s="16"/>
      <c r="IP647" s="16"/>
      <c r="IQ647" s="16"/>
      <c r="IR647" s="17"/>
      <c r="IV647" s="24"/>
      <c r="IW647" s="60"/>
      <c r="IX647" s="16"/>
      <c r="IY647" s="16"/>
      <c r="IZ647" s="16"/>
      <c r="JA647" s="16"/>
      <c r="JB647" s="16"/>
      <c r="JC647" s="17"/>
      <c r="JG647" s="24"/>
      <c r="JH647" s="60"/>
      <c r="JI647" s="16"/>
      <c r="JJ647" s="16"/>
      <c r="JK647" s="16"/>
      <c r="JL647" s="16"/>
      <c r="JM647" s="16"/>
      <c r="JN647" s="17"/>
      <c r="JR647" s="24"/>
      <c r="JS647" s="60"/>
      <c r="JT647" s="16"/>
      <c r="JU647" s="16"/>
      <c r="JV647" s="16"/>
      <c r="JW647" s="16"/>
      <c r="JX647" s="16"/>
      <c r="JY647" s="17"/>
      <c r="KC647" s="24"/>
      <c r="KD647" s="60"/>
      <c r="KE647" s="16"/>
      <c r="KF647" s="16"/>
      <c r="KG647" s="16"/>
      <c r="KH647" s="16"/>
      <c r="KI647" s="16"/>
      <c r="KJ647" s="17"/>
      <c r="KN647" s="24"/>
      <c r="KO647" s="60"/>
      <c r="KP647" s="16"/>
      <c r="KQ647" s="16"/>
      <c r="KR647" s="16"/>
      <c r="KS647" s="16"/>
      <c r="KT647" s="16"/>
      <c r="KU647" s="17"/>
      <c r="KY647" s="24"/>
      <c r="KZ647" s="60"/>
      <c r="LA647" s="16"/>
      <c r="LB647" s="16"/>
      <c r="LC647" s="16"/>
      <c r="LD647" s="16"/>
      <c r="LE647" s="16"/>
      <c r="LF647" s="17"/>
      <c r="LJ647" s="24"/>
      <c r="LK647" s="60"/>
      <c r="LL647" s="16"/>
      <c r="LM647" s="16"/>
      <c r="LN647" s="16"/>
      <c r="LO647" s="16"/>
      <c r="LP647" s="16"/>
      <c r="LQ647" s="17"/>
    </row>
    <row r="648">
      <c r="C648" s="31"/>
      <c r="D648" s="61"/>
      <c r="E648" s="16"/>
      <c r="F648" s="16"/>
      <c r="G648" s="21"/>
      <c r="H648" s="16"/>
      <c r="I648" s="16"/>
      <c r="J648" s="17"/>
      <c r="N648" s="17"/>
      <c r="O648" s="61"/>
      <c r="P648" s="16"/>
      <c r="Q648" s="16"/>
      <c r="R648" s="16"/>
      <c r="S648" s="16"/>
      <c r="T648" s="16"/>
      <c r="U648" s="17"/>
      <c r="Y648" s="24"/>
      <c r="Z648" s="61"/>
      <c r="AA648" s="16"/>
      <c r="AB648" s="16"/>
      <c r="AC648" s="16"/>
      <c r="AD648" s="16"/>
      <c r="AE648" s="16"/>
      <c r="AF648" s="17"/>
      <c r="AJ648" s="24"/>
      <c r="AK648" s="61"/>
      <c r="AL648" s="16"/>
      <c r="AM648" s="16"/>
      <c r="AN648" s="16"/>
      <c r="AO648" s="16"/>
      <c r="AP648" s="16"/>
      <c r="AQ648" s="17"/>
      <c r="AU648" s="24"/>
      <c r="AV648" s="61"/>
      <c r="AW648" s="16"/>
      <c r="AX648" s="16"/>
      <c r="AY648" s="16"/>
      <c r="AZ648" s="16"/>
      <c r="BA648" s="16"/>
      <c r="BB648" s="17"/>
      <c r="BF648" s="24"/>
      <c r="BG648" s="61"/>
      <c r="BH648" s="16"/>
      <c r="BI648" s="16"/>
      <c r="BJ648" s="16"/>
      <c r="BK648" s="16"/>
      <c r="BL648" s="16"/>
      <c r="BM648" s="17"/>
      <c r="BQ648" s="24"/>
      <c r="BR648" s="61"/>
      <c r="BS648" s="16"/>
      <c r="BT648" s="16"/>
      <c r="BU648" s="16"/>
      <c r="BV648" s="16"/>
      <c r="BW648" s="16"/>
      <c r="BX648" s="17"/>
      <c r="CB648" s="24"/>
      <c r="CC648" s="61"/>
      <c r="CD648" s="16"/>
      <c r="CE648" s="16"/>
      <c r="CF648" s="16"/>
      <c r="CG648" s="16"/>
      <c r="CH648" s="16"/>
      <c r="CI648" s="17"/>
      <c r="CM648" s="24"/>
      <c r="CN648" s="61"/>
      <c r="CO648" s="16"/>
      <c r="CP648" s="16"/>
      <c r="CQ648" s="16"/>
      <c r="CR648" s="16"/>
      <c r="CS648" s="16"/>
      <c r="CT648" s="17"/>
      <c r="CX648" s="24"/>
      <c r="CY648" s="60"/>
      <c r="CZ648" s="16"/>
      <c r="DA648" s="16"/>
      <c r="DB648" s="16"/>
      <c r="DC648" s="16"/>
      <c r="DD648" s="16"/>
      <c r="DE648" s="17"/>
      <c r="DI648" s="24"/>
      <c r="DJ648" s="60"/>
      <c r="DK648" s="16"/>
      <c r="DL648" s="16"/>
      <c r="DM648" s="16"/>
      <c r="DN648" s="16"/>
      <c r="DO648" s="16"/>
      <c r="DP648" s="17"/>
      <c r="DT648" s="24"/>
      <c r="DU648" s="60"/>
      <c r="DV648" s="16"/>
      <c r="DW648" s="16"/>
      <c r="DX648" s="16"/>
      <c r="DY648" s="16"/>
      <c r="DZ648" s="16"/>
      <c r="EA648" s="17"/>
      <c r="EE648" s="24"/>
      <c r="EF648" s="60"/>
      <c r="EG648" s="16"/>
      <c r="EH648" s="16"/>
      <c r="EI648" s="16"/>
      <c r="EJ648" s="16"/>
      <c r="EK648" s="16"/>
      <c r="EL648" s="17"/>
      <c r="EP648" s="24"/>
      <c r="EQ648" s="60"/>
      <c r="ER648" s="16"/>
      <c r="ES648" s="16"/>
      <c r="ET648" s="16"/>
      <c r="EU648" s="16"/>
      <c r="EV648" s="16"/>
      <c r="EW648" s="17"/>
      <c r="FA648" s="24"/>
      <c r="FB648" s="60"/>
      <c r="FC648" s="16"/>
      <c r="FD648" s="16"/>
      <c r="FE648" s="16"/>
      <c r="FF648" s="16"/>
      <c r="FG648" s="16"/>
      <c r="FH648" s="17"/>
      <c r="FL648" s="24"/>
      <c r="FM648" s="60"/>
      <c r="FN648" s="16"/>
      <c r="FO648" s="16"/>
      <c r="FP648" s="16"/>
      <c r="FQ648" s="16"/>
      <c r="FR648" s="16"/>
      <c r="FS648" s="17"/>
      <c r="FW648" s="24"/>
      <c r="FX648" s="60"/>
      <c r="FY648" s="16"/>
      <c r="FZ648" s="16"/>
      <c r="GA648" s="16"/>
      <c r="GB648" s="16"/>
      <c r="GC648" s="16"/>
      <c r="GD648" s="17"/>
      <c r="GH648" s="24"/>
      <c r="GI648" s="60"/>
      <c r="GJ648" s="16"/>
      <c r="GK648" s="16"/>
      <c r="GL648" s="16"/>
      <c r="GM648" s="16"/>
      <c r="GN648" s="16"/>
      <c r="GO648" s="17"/>
      <c r="GS648" s="24"/>
      <c r="GT648" s="60"/>
      <c r="GU648" s="16"/>
      <c r="GV648" s="16"/>
      <c r="GW648" s="16"/>
      <c r="GX648" s="16"/>
      <c r="GY648" s="16"/>
      <c r="GZ648" s="17"/>
      <c r="HD648" s="24"/>
      <c r="HE648" s="60"/>
      <c r="HF648" s="16"/>
      <c r="HG648" s="16"/>
      <c r="HH648" s="16"/>
      <c r="HI648" s="16"/>
      <c r="HJ648" s="16"/>
      <c r="HK648" s="17"/>
      <c r="HO648" s="24"/>
      <c r="HP648" s="60"/>
      <c r="HQ648" s="16"/>
      <c r="HR648" s="16"/>
      <c r="HS648" s="16"/>
      <c r="HT648" s="16"/>
      <c r="HU648" s="16"/>
      <c r="HV648" s="17"/>
      <c r="HZ648" s="24"/>
      <c r="IA648" s="60"/>
      <c r="IB648" s="16"/>
      <c r="IC648" s="16"/>
      <c r="ID648" s="16"/>
      <c r="IE648" s="16"/>
      <c r="IF648" s="16"/>
      <c r="IG648" s="17"/>
      <c r="IK648" s="24"/>
      <c r="IL648" s="60"/>
      <c r="IM648" s="16"/>
      <c r="IN648" s="16"/>
      <c r="IO648" s="16"/>
      <c r="IP648" s="16"/>
      <c r="IQ648" s="16"/>
      <c r="IR648" s="17"/>
      <c r="IV648" s="24"/>
      <c r="IW648" s="60"/>
      <c r="IX648" s="16"/>
      <c r="IY648" s="16"/>
      <c r="IZ648" s="16"/>
      <c r="JA648" s="16"/>
      <c r="JB648" s="16"/>
      <c r="JC648" s="17"/>
      <c r="JG648" s="24"/>
      <c r="JH648" s="60"/>
      <c r="JI648" s="16"/>
      <c r="JJ648" s="16"/>
      <c r="JK648" s="16"/>
      <c r="JL648" s="16"/>
      <c r="JM648" s="16"/>
      <c r="JN648" s="17"/>
      <c r="JR648" s="24"/>
      <c r="JS648" s="60"/>
      <c r="JT648" s="16"/>
      <c r="JU648" s="16"/>
      <c r="JV648" s="16"/>
      <c r="JW648" s="16"/>
      <c r="JX648" s="16"/>
      <c r="JY648" s="17"/>
      <c r="KC648" s="24"/>
      <c r="KD648" s="60"/>
      <c r="KE648" s="16"/>
      <c r="KF648" s="16"/>
      <c r="KG648" s="16"/>
      <c r="KH648" s="16"/>
      <c r="KI648" s="16"/>
      <c r="KJ648" s="17"/>
      <c r="KN648" s="24"/>
      <c r="KO648" s="60"/>
      <c r="KP648" s="16"/>
      <c r="KQ648" s="16"/>
      <c r="KR648" s="16"/>
      <c r="KS648" s="16"/>
      <c r="KT648" s="16"/>
      <c r="KU648" s="17"/>
      <c r="KY648" s="24"/>
      <c r="KZ648" s="60"/>
      <c r="LA648" s="16"/>
      <c r="LB648" s="16"/>
      <c r="LC648" s="16"/>
      <c r="LD648" s="16"/>
      <c r="LE648" s="16"/>
      <c r="LF648" s="17"/>
      <c r="LJ648" s="24"/>
      <c r="LK648" s="60"/>
      <c r="LL648" s="16"/>
      <c r="LM648" s="16"/>
      <c r="LN648" s="16"/>
      <c r="LO648" s="16"/>
      <c r="LP648" s="16"/>
      <c r="LQ648" s="17"/>
    </row>
    <row r="649">
      <c r="C649" s="31"/>
      <c r="D649" s="61"/>
      <c r="E649" s="16"/>
      <c r="F649" s="16"/>
      <c r="G649" s="21"/>
      <c r="H649" s="16"/>
      <c r="I649" s="16"/>
      <c r="J649" s="17"/>
      <c r="N649" s="17"/>
      <c r="O649" s="61"/>
      <c r="P649" s="16"/>
      <c r="Q649" s="16"/>
      <c r="R649" s="16"/>
      <c r="S649" s="16"/>
      <c r="T649" s="16"/>
      <c r="U649" s="17"/>
      <c r="Y649" s="24"/>
      <c r="Z649" s="61"/>
      <c r="AA649" s="16"/>
      <c r="AB649" s="16"/>
      <c r="AC649" s="16"/>
      <c r="AD649" s="16"/>
      <c r="AE649" s="16"/>
      <c r="AF649" s="17"/>
      <c r="AJ649" s="24"/>
      <c r="AK649" s="61"/>
      <c r="AL649" s="16"/>
      <c r="AM649" s="16"/>
      <c r="AN649" s="16"/>
      <c r="AO649" s="16"/>
      <c r="AP649" s="16"/>
      <c r="AQ649" s="17"/>
      <c r="AU649" s="24"/>
      <c r="AV649" s="61"/>
      <c r="AW649" s="16"/>
      <c r="AX649" s="16"/>
      <c r="AY649" s="16"/>
      <c r="AZ649" s="16"/>
      <c r="BA649" s="16"/>
      <c r="BB649" s="17"/>
      <c r="BF649" s="24"/>
      <c r="BG649" s="61"/>
      <c r="BH649" s="16"/>
      <c r="BI649" s="16"/>
      <c r="BJ649" s="16"/>
      <c r="BK649" s="16"/>
      <c r="BL649" s="16"/>
      <c r="BM649" s="17"/>
      <c r="BQ649" s="24"/>
      <c r="BR649" s="61"/>
      <c r="BS649" s="16"/>
      <c r="BT649" s="16"/>
      <c r="BU649" s="16"/>
      <c r="BV649" s="16"/>
      <c r="BW649" s="16"/>
      <c r="BX649" s="17"/>
      <c r="CB649" s="24"/>
      <c r="CC649" s="61"/>
      <c r="CD649" s="16"/>
      <c r="CE649" s="16"/>
      <c r="CF649" s="16"/>
      <c r="CG649" s="16"/>
      <c r="CH649" s="16"/>
      <c r="CI649" s="17"/>
      <c r="CM649" s="24"/>
      <c r="CN649" s="61"/>
      <c r="CO649" s="16"/>
      <c r="CP649" s="16"/>
      <c r="CQ649" s="16"/>
      <c r="CR649" s="16"/>
      <c r="CS649" s="16"/>
      <c r="CT649" s="17"/>
      <c r="CX649" s="24"/>
      <c r="CY649" s="60"/>
      <c r="CZ649" s="16"/>
      <c r="DA649" s="16"/>
      <c r="DB649" s="16"/>
      <c r="DC649" s="16"/>
      <c r="DD649" s="16"/>
      <c r="DE649" s="17"/>
      <c r="DI649" s="24"/>
      <c r="DJ649" s="60"/>
      <c r="DK649" s="16"/>
      <c r="DL649" s="16"/>
      <c r="DM649" s="16"/>
      <c r="DN649" s="16"/>
      <c r="DO649" s="16"/>
      <c r="DP649" s="17"/>
      <c r="DT649" s="24"/>
      <c r="DU649" s="60"/>
      <c r="DV649" s="16"/>
      <c r="DW649" s="16"/>
      <c r="DX649" s="16"/>
      <c r="DY649" s="16"/>
      <c r="DZ649" s="16"/>
      <c r="EA649" s="17"/>
      <c r="EE649" s="24"/>
      <c r="EF649" s="60"/>
      <c r="EG649" s="16"/>
      <c r="EH649" s="16"/>
      <c r="EI649" s="16"/>
      <c r="EJ649" s="16"/>
      <c r="EK649" s="16"/>
      <c r="EL649" s="17"/>
      <c r="EP649" s="24"/>
      <c r="EQ649" s="60"/>
      <c r="ER649" s="16"/>
      <c r="ES649" s="16"/>
      <c r="ET649" s="16"/>
      <c r="EU649" s="16"/>
      <c r="EV649" s="16"/>
      <c r="EW649" s="17"/>
      <c r="FA649" s="24"/>
      <c r="FB649" s="60"/>
      <c r="FC649" s="16"/>
      <c r="FD649" s="16"/>
      <c r="FE649" s="16"/>
      <c r="FF649" s="16"/>
      <c r="FG649" s="16"/>
      <c r="FH649" s="17"/>
      <c r="FL649" s="24"/>
      <c r="FM649" s="60"/>
      <c r="FN649" s="16"/>
      <c r="FO649" s="16"/>
      <c r="FP649" s="16"/>
      <c r="FQ649" s="16"/>
      <c r="FR649" s="16"/>
      <c r="FS649" s="17"/>
      <c r="FW649" s="24"/>
      <c r="FX649" s="60"/>
      <c r="FY649" s="16"/>
      <c r="FZ649" s="16"/>
      <c r="GA649" s="16"/>
      <c r="GB649" s="16"/>
      <c r="GC649" s="16"/>
      <c r="GD649" s="17"/>
      <c r="GH649" s="24"/>
      <c r="GI649" s="60"/>
      <c r="GJ649" s="16"/>
      <c r="GK649" s="16"/>
      <c r="GL649" s="16"/>
      <c r="GM649" s="16"/>
      <c r="GN649" s="16"/>
      <c r="GO649" s="17"/>
      <c r="GS649" s="24"/>
      <c r="GT649" s="60"/>
      <c r="GU649" s="16"/>
      <c r="GV649" s="16"/>
      <c r="GW649" s="16"/>
      <c r="GX649" s="16"/>
      <c r="GY649" s="16"/>
      <c r="GZ649" s="17"/>
      <c r="HD649" s="24"/>
      <c r="HE649" s="60"/>
      <c r="HF649" s="16"/>
      <c r="HG649" s="16"/>
      <c r="HH649" s="16"/>
      <c r="HI649" s="16"/>
      <c r="HJ649" s="16"/>
      <c r="HK649" s="17"/>
      <c r="HO649" s="24"/>
      <c r="HP649" s="60"/>
      <c r="HQ649" s="16"/>
      <c r="HR649" s="16"/>
      <c r="HS649" s="16"/>
      <c r="HT649" s="16"/>
      <c r="HU649" s="16"/>
      <c r="HV649" s="17"/>
      <c r="HZ649" s="24"/>
      <c r="IA649" s="60"/>
      <c r="IB649" s="16"/>
      <c r="IC649" s="16"/>
      <c r="ID649" s="16"/>
      <c r="IE649" s="16"/>
      <c r="IF649" s="16"/>
      <c r="IG649" s="17"/>
      <c r="IK649" s="24"/>
      <c r="IL649" s="60"/>
      <c r="IM649" s="16"/>
      <c r="IN649" s="16"/>
      <c r="IO649" s="16"/>
      <c r="IP649" s="16"/>
      <c r="IQ649" s="16"/>
      <c r="IR649" s="17"/>
      <c r="IV649" s="24"/>
      <c r="IW649" s="60"/>
      <c r="IX649" s="16"/>
      <c r="IY649" s="16"/>
      <c r="IZ649" s="16"/>
      <c r="JA649" s="16"/>
      <c r="JB649" s="16"/>
      <c r="JC649" s="17"/>
      <c r="JG649" s="24"/>
      <c r="JH649" s="60"/>
      <c r="JI649" s="16"/>
      <c r="JJ649" s="16"/>
      <c r="JK649" s="16"/>
      <c r="JL649" s="16"/>
      <c r="JM649" s="16"/>
      <c r="JN649" s="17"/>
      <c r="JR649" s="24"/>
      <c r="JS649" s="60"/>
      <c r="JT649" s="16"/>
      <c r="JU649" s="16"/>
      <c r="JV649" s="16"/>
      <c r="JW649" s="16"/>
      <c r="JX649" s="16"/>
      <c r="JY649" s="17"/>
      <c r="KC649" s="24"/>
      <c r="KD649" s="60"/>
      <c r="KE649" s="16"/>
      <c r="KF649" s="16"/>
      <c r="KG649" s="16"/>
      <c r="KH649" s="16"/>
      <c r="KI649" s="16"/>
      <c r="KJ649" s="17"/>
      <c r="KN649" s="24"/>
      <c r="KO649" s="60"/>
      <c r="KP649" s="16"/>
      <c r="KQ649" s="16"/>
      <c r="KR649" s="16"/>
      <c r="KS649" s="16"/>
      <c r="KT649" s="16"/>
      <c r="KU649" s="17"/>
      <c r="KY649" s="24"/>
      <c r="KZ649" s="60"/>
      <c r="LA649" s="16"/>
      <c r="LB649" s="16"/>
      <c r="LC649" s="16"/>
      <c r="LD649" s="16"/>
      <c r="LE649" s="16"/>
      <c r="LF649" s="17"/>
      <c r="LJ649" s="24"/>
      <c r="LK649" s="60"/>
      <c r="LL649" s="16"/>
      <c r="LM649" s="16"/>
      <c r="LN649" s="16"/>
      <c r="LO649" s="16"/>
      <c r="LP649" s="16"/>
      <c r="LQ649" s="17"/>
    </row>
    <row r="650">
      <c r="C650" s="31"/>
      <c r="D650" s="61"/>
      <c r="E650" s="16"/>
      <c r="F650" s="16"/>
      <c r="G650" s="21"/>
      <c r="H650" s="16"/>
      <c r="I650" s="16"/>
      <c r="J650" s="17"/>
      <c r="N650" s="17"/>
      <c r="O650" s="61"/>
      <c r="P650" s="16"/>
      <c r="Q650" s="16"/>
      <c r="R650" s="16"/>
      <c r="S650" s="16"/>
      <c r="T650" s="16"/>
      <c r="U650" s="17"/>
      <c r="Y650" s="24"/>
      <c r="Z650" s="61"/>
      <c r="AA650" s="16"/>
      <c r="AB650" s="16"/>
      <c r="AC650" s="16"/>
      <c r="AD650" s="16"/>
      <c r="AE650" s="16"/>
      <c r="AF650" s="17"/>
      <c r="AJ650" s="24"/>
      <c r="AK650" s="61"/>
      <c r="AL650" s="16"/>
      <c r="AM650" s="16"/>
      <c r="AN650" s="16"/>
      <c r="AO650" s="16"/>
      <c r="AP650" s="16"/>
      <c r="AQ650" s="17"/>
      <c r="AU650" s="24"/>
      <c r="AV650" s="61"/>
      <c r="AW650" s="16"/>
      <c r="AX650" s="16"/>
      <c r="AY650" s="16"/>
      <c r="AZ650" s="16"/>
      <c r="BA650" s="16"/>
      <c r="BB650" s="17"/>
      <c r="BF650" s="24"/>
      <c r="BG650" s="61"/>
      <c r="BH650" s="16"/>
      <c r="BI650" s="16"/>
      <c r="BJ650" s="16"/>
      <c r="BK650" s="16"/>
      <c r="BL650" s="16"/>
      <c r="BM650" s="17"/>
      <c r="BQ650" s="24"/>
      <c r="BR650" s="61"/>
      <c r="BS650" s="16"/>
      <c r="BT650" s="16"/>
      <c r="BU650" s="16"/>
      <c r="BV650" s="16"/>
      <c r="BW650" s="16"/>
      <c r="BX650" s="17"/>
      <c r="CB650" s="24"/>
      <c r="CC650" s="61"/>
      <c r="CD650" s="16"/>
      <c r="CE650" s="16"/>
      <c r="CF650" s="16"/>
      <c r="CG650" s="16"/>
      <c r="CH650" s="16"/>
      <c r="CI650" s="17"/>
      <c r="CM650" s="24"/>
      <c r="CN650" s="61"/>
      <c r="CO650" s="16"/>
      <c r="CP650" s="16"/>
      <c r="CQ650" s="16"/>
      <c r="CR650" s="16"/>
      <c r="CS650" s="16"/>
      <c r="CT650" s="17"/>
      <c r="CX650" s="24"/>
      <c r="CY650" s="60"/>
      <c r="CZ650" s="16"/>
      <c r="DA650" s="16"/>
      <c r="DB650" s="16"/>
      <c r="DC650" s="16"/>
      <c r="DD650" s="16"/>
      <c r="DE650" s="17"/>
      <c r="DI650" s="24"/>
      <c r="DJ650" s="60"/>
      <c r="DK650" s="16"/>
      <c r="DL650" s="16"/>
      <c r="DM650" s="16"/>
      <c r="DN650" s="16"/>
      <c r="DO650" s="16"/>
      <c r="DP650" s="17"/>
      <c r="DT650" s="24"/>
      <c r="DU650" s="60"/>
      <c r="DV650" s="16"/>
      <c r="DW650" s="16"/>
      <c r="DX650" s="16"/>
      <c r="DY650" s="16"/>
      <c r="DZ650" s="16"/>
      <c r="EA650" s="17"/>
      <c r="EE650" s="24"/>
      <c r="EF650" s="60"/>
      <c r="EG650" s="16"/>
      <c r="EH650" s="16"/>
      <c r="EI650" s="16"/>
      <c r="EJ650" s="16"/>
      <c r="EK650" s="16"/>
      <c r="EL650" s="17"/>
      <c r="EP650" s="24"/>
      <c r="EQ650" s="60"/>
      <c r="ER650" s="16"/>
      <c r="ES650" s="16"/>
      <c r="ET650" s="16"/>
      <c r="EU650" s="16"/>
      <c r="EV650" s="16"/>
      <c r="EW650" s="17"/>
      <c r="FA650" s="24"/>
      <c r="FB650" s="60"/>
      <c r="FC650" s="16"/>
      <c r="FD650" s="16"/>
      <c r="FE650" s="16"/>
      <c r="FF650" s="16"/>
      <c r="FG650" s="16"/>
      <c r="FH650" s="17"/>
      <c r="FL650" s="24"/>
      <c r="FM650" s="60"/>
      <c r="FN650" s="16"/>
      <c r="FO650" s="16"/>
      <c r="FP650" s="16"/>
      <c r="FQ650" s="16"/>
      <c r="FR650" s="16"/>
      <c r="FS650" s="17"/>
      <c r="FW650" s="24"/>
      <c r="FX650" s="60"/>
      <c r="FY650" s="16"/>
      <c r="FZ650" s="16"/>
      <c r="GA650" s="16"/>
      <c r="GB650" s="16"/>
      <c r="GC650" s="16"/>
      <c r="GD650" s="17"/>
      <c r="GH650" s="24"/>
      <c r="GI650" s="60"/>
      <c r="GJ650" s="16"/>
      <c r="GK650" s="16"/>
      <c r="GL650" s="16"/>
      <c r="GM650" s="16"/>
      <c r="GN650" s="16"/>
      <c r="GO650" s="17"/>
      <c r="GS650" s="24"/>
      <c r="GT650" s="60"/>
      <c r="GU650" s="16"/>
      <c r="GV650" s="16"/>
      <c r="GW650" s="16"/>
      <c r="GX650" s="16"/>
      <c r="GY650" s="16"/>
      <c r="GZ650" s="17"/>
      <c r="HD650" s="24"/>
      <c r="HE650" s="60"/>
      <c r="HF650" s="16"/>
      <c r="HG650" s="16"/>
      <c r="HH650" s="16"/>
      <c r="HI650" s="16"/>
      <c r="HJ650" s="16"/>
      <c r="HK650" s="17"/>
      <c r="HO650" s="24"/>
      <c r="HP650" s="60"/>
      <c r="HQ650" s="16"/>
      <c r="HR650" s="16"/>
      <c r="HS650" s="16"/>
      <c r="HT650" s="16"/>
      <c r="HU650" s="16"/>
      <c r="HV650" s="17"/>
      <c r="HZ650" s="24"/>
      <c r="IA650" s="60"/>
      <c r="IB650" s="16"/>
      <c r="IC650" s="16"/>
      <c r="ID650" s="16"/>
      <c r="IE650" s="16"/>
      <c r="IF650" s="16"/>
      <c r="IG650" s="17"/>
      <c r="IK650" s="24"/>
      <c r="IL650" s="60"/>
      <c r="IM650" s="16"/>
      <c r="IN650" s="16"/>
      <c r="IO650" s="16"/>
      <c r="IP650" s="16"/>
      <c r="IQ650" s="16"/>
      <c r="IR650" s="17"/>
      <c r="IV650" s="24"/>
      <c r="IW650" s="60"/>
      <c r="IX650" s="16"/>
      <c r="IY650" s="16"/>
      <c r="IZ650" s="16"/>
      <c r="JA650" s="16"/>
      <c r="JB650" s="16"/>
      <c r="JC650" s="17"/>
      <c r="JG650" s="24"/>
      <c r="JH650" s="60"/>
      <c r="JI650" s="16"/>
      <c r="JJ650" s="16"/>
      <c r="JK650" s="16"/>
      <c r="JL650" s="16"/>
      <c r="JM650" s="16"/>
      <c r="JN650" s="17"/>
      <c r="JR650" s="24"/>
      <c r="JS650" s="60"/>
      <c r="JT650" s="16"/>
      <c r="JU650" s="16"/>
      <c r="JV650" s="16"/>
      <c r="JW650" s="16"/>
      <c r="JX650" s="16"/>
      <c r="JY650" s="17"/>
      <c r="KC650" s="24"/>
      <c r="KD650" s="60"/>
      <c r="KE650" s="16"/>
      <c r="KF650" s="16"/>
      <c r="KG650" s="16"/>
      <c r="KH650" s="16"/>
      <c r="KI650" s="16"/>
      <c r="KJ650" s="17"/>
      <c r="KN650" s="24"/>
      <c r="KO650" s="60"/>
      <c r="KP650" s="16"/>
      <c r="KQ650" s="16"/>
      <c r="KR650" s="16"/>
      <c r="KS650" s="16"/>
      <c r="KT650" s="16"/>
      <c r="KU650" s="17"/>
      <c r="KY650" s="24"/>
      <c r="KZ650" s="60"/>
      <c r="LA650" s="16"/>
      <c r="LB650" s="16"/>
      <c r="LC650" s="16"/>
      <c r="LD650" s="16"/>
      <c r="LE650" s="16"/>
      <c r="LF650" s="17"/>
      <c r="LJ650" s="24"/>
      <c r="LK650" s="60"/>
      <c r="LL650" s="16"/>
      <c r="LM650" s="16"/>
      <c r="LN650" s="16"/>
      <c r="LO650" s="16"/>
      <c r="LP650" s="16"/>
      <c r="LQ650" s="17"/>
    </row>
    <row r="651">
      <c r="C651" s="31"/>
      <c r="D651" s="61"/>
      <c r="E651" s="16"/>
      <c r="F651" s="16"/>
      <c r="G651" s="21"/>
      <c r="H651" s="16"/>
      <c r="I651" s="16"/>
      <c r="J651" s="17"/>
      <c r="N651" s="17"/>
      <c r="O651" s="61"/>
      <c r="P651" s="16"/>
      <c r="Q651" s="16"/>
      <c r="R651" s="16"/>
      <c r="S651" s="16"/>
      <c r="T651" s="16"/>
      <c r="U651" s="17"/>
      <c r="Y651" s="24"/>
      <c r="Z651" s="61"/>
      <c r="AA651" s="16"/>
      <c r="AB651" s="16"/>
      <c r="AC651" s="16"/>
      <c r="AD651" s="16"/>
      <c r="AE651" s="16"/>
      <c r="AF651" s="17"/>
      <c r="AJ651" s="24"/>
      <c r="AK651" s="61"/>
      <c r="AL651" s="16"/>
      <c r="AM651" s="16"/>
      <c r="AN651" s="16"/>
      <c r="AO651" s="16"/>
      <c r="AP651" s="16"/>
      <c r="AQ651" s="17"/>
      <c r="AU651" s="24"/>
      <c r="AV651" s="61"/>
      <c r="AW651" s="16"/>
      <c r="AX651" s="16"/>
      <c r="AY651" s="16"/>
      <c r="AZ651" s="16"/>
      <c r="BA651" s="16"/>
      <c r="BB651" s="17"/>
      <c r="BF651" s="24"/>
      <c r="BG651" s="61"/>
      <c r="BH651" s="16"/>
      <c r="BI651" s="16"/>
      <c r="BJ651" s="16"/>
      <c r="BK651" s="16"/>
      <c r="BL651" s="16"/>
      <c r="BM651" s="17"/>
      <c r="BQ651" s="24"/>
      <c r="BR651" s="61"/>
      <c r="BS651" s="16"/>
      <c r="BT651" s="16"/>
      <c r="BU651" s="16"/>
      <c r="BV651" s="16"/>
      <c r="BW651" s="16"/>
      <c r="BX651" s="17"/>
      <c r="CB651" s="24"/>
      <c r="CC651" s="61"/>
      <c r="CD651" s="16"/>
      <c r="CE651" s="16"/>
      <c r="CF651" s="16"/>
      <c r="CG651" s="16"/>
      <c r="CH651" s="16"/>
      <c r="CI651" s="17"/>
      <c r="CM651" s="24"/>
      <c r="CN651" s="61"/>
      <c r="CO651" s="16"/>
      <c r="CP651" s="16"/>
      <c r="CQ651" s="16"/>
      <c r="CR651" s="16"/>
      <c r="CS651" s="16"/>
      <c r="CT651" s="17"/>
      <c r="CX651" s="24"/>
      <c r="CY651" s="60"/>
      <c r="CZ651" s="16"/>
      <c r="DA651" s="16"/>
      <c r="DB651" s="16"/>
      <c r="DC651" s="16"/>
      <c r="DD651" s="16"/>
      <c r="DE651" s="17"/>
      <c r="DI651" s="24"/>
      <c r="DJ651" s="60"/>
      <c r="DK651" s="16"/>
      <c r="DL651" s="16"/>
      <c r="DM651" s="16"/>
      <c r="DN651" s="16"/>
      <c r="DO651" s="16"/>
      <c r="DP651" s="17"/>
      <c r="DT651" s="24"/>
      <c r="DU651" s="60"/>
      <c r="DV651" s="16"/>
      <c r="DW651" s="16"/>
      <c r="DX651" s="16"/>
      <c r="DY651" s="16"/>
      <c r="DZ651" s="16"/>
      <c r="EA651" s="17"/>
      <c r="EE651" s="24"/>
      <c r="EF651" s="60"/>
      <c r="EG651" s="16"/>
      <c r="EH651" s="16"/>
      <c r="EI651" s="16"/>
      <c r="EJ651" s="16"/>
      <c r="EK651" s="16"/>
      <c r="EL651" s="17"/>
      <c r="EP651" s="24"/>
      <c r="EQ651" s="60"/>
      <c r="ER651" s="16"/>
      <c r="ES651" s="16"/>
      <c r="ET651" s="16"/>
      <c r="EU651" s="16"/>
      <c r="EV651" s="16"/>
      <c r="EW651" s="17"/>
      <c r="FA651" s="24"/>
      <c r="FB651" s="60"/>
      <c r="FC651" s="16"/>
      <c r="FD651" s="16"/>
      <c r="FE651" s="16"/>
      <c r="FF651" s="16"/>
      <c r="FG651" s="16"/>
      <c r="FH651" s="17"/>
      <c r="FL651" s="24"/>
      <c r="FM651" s="60"/>
      <c r="FN651" s="16"/>
      <c r="FO651" s="16"/>
      <c r="FP651" s="16"/>
      <c r="FQ651" s="16"/>
      <c r="FR651" s="16"/>
      <c r="FS651" s="17"/>
      <c r="FW651" s="24"/>
      <c r="FX651" s="60"/>
      <c r="FY651" s="16"/>
      <c r="FZ651" s="16"/>
      <c r="GA651" s="16"/>
      <c r="GB651" s="16"/>
      <c r="GC651" s="16"/>
      <c r="GD651" s="17"/>
      <c r="GH651" s="24"/>
      <c r="GI651" s="60"/>
      <c r="GJ651" s="16"/>
      <c r="GK651" s="16"/>
      <c r="GL651" s="16"/>
      <c r="GM651" s="16"/>
      <c r="GN651" s="16"/>
      <c r="GO651" s="17"/>
      <c r="GS651" s="24"/>
      <c r="GT651" s="60"/>
      <c r="GU651" s="16"/>
      <c r="GV651" s="16"/>
      <c r="GW651" s="16"/>
      <c r="GX651" s="16"/>
      <c r="GY651" s="16"/>
      <c r="GZ651" s="17"/>
      <c r="HD651" s="24"/>
      <c r="HE651" s="60"/>
      <c r="HF651" s="16"/>
      <c r="HG651" s="16"/>
      <c r="HH651" s="16"/>
      <c r="HI651" s="16"/>
      <c r="HJ651" s="16"/>
      <c r="HK651" s="17"/>
      <c r="HO651" s="24"/>
      <c r="HP651" s="60"/>
      <c r="HQ651" s="16"/>
      <c r="HR651" s="16"/>
      <c r="HS651" s="16"/>
      <c r="HT651" s="16"/>
      <c r="HU651" s="16"/>
      <c r="HV651" s="17"/>
      <c r="HZ651" s="24"/>
      <c r="IA651" s="60"/>
      <c r="IB651" s="16"/>
      <c r="IC651" s="16"/>
      <c r="ID651" s="16"/>
      <c r="IE651" s="16"/>
      <c r="IF651" s="16"/>
      <c r="IG651" s="17"/>
      <c r="IK651" s="24"/>
      <c r="IL651" s="60"/>
      <c r="IM651" s="16"/>
      <c r="IN651" s="16"/>
      <c r="IO651" s="16"/>
      <c r="IP651" s="16"/>
      <c r="IQ651" s="16"/>
      <c r="IR651" s="17"/>
      <c r="IV651" s="24"/>
      <c r="IW651" s="60"/>
      <c r="IX651" s="16"/>
      <c r="IY651" s="16"/>
      <c r="IZ651" s="16"/>
      <c r="JA651" s="16"/>
      <c r="JB651" s="16"/>
      <c r="JC651" s="17"/>
      <c r="JG651" s="24"/>
      <c r="JH651" s="60"/>
      <c r="JI651" s="16"/>
      <c r="JJ651" s="16"/>
      <c r="JK651" s="16"/>
      <c r="JL651" s="16"/>
      <c r="JM651" s="16"/>
      <c r="JN651" s="17"/>
      <c r="JR651" s="24"/>
      <c r="JS651" s="60"/>
      <c r="JT651" s="16"/>
      <c r="JU651" s="16"/>
      <c r="JV651" s="16"/>
      <c r="JW651" s="16"/>
      <c r="JX651" s="16"/>
      <c r="JY651" s="17"/>
      <c r="KC651" s="24"/>
      <c r="KD651" s="60"/>
      <c r="KE651" s="16"/>
      <c r="KF651" s="16"/>
      <c r="KG651" s="16"/>
      <c r="KH651" s="16"/>
      <c r="KI651" s="16"/>
      <c r="KJ651" s="17"/>
      <c r="KN651" s="24"/>
      <c r="KO651" s="60"/>
      <c r="KP651" s="16"/>
      <c r="KQ651" s="16"/>
      <c r="KR651" s="16"/>
      <c r="KS651" s="16"/>
      <c r="KT651" s="16"/>
      <c r="KU651" s="17"/>
      <c r="KY651" s="24"/>
      <c r="KZ651" s="60"/>
      <c r="LA651" s="16"/>
      <c r="LB651" s="16"/>
      <c r="LC651" s="16"/>
      <c r="LD651" s="16"/>
      <c r="LE651" s="16"/>
      <c r="LF651" s="17"/>
      <c r="LJ651" s="24"/>
      <c r="LK651" s="60"/>
      <c r="LL651" s="16"/>
      <c r="LM651" s="16"/>
      <c r="LN651" s="16"/>
      <c r="LO651" s="16"/>
      <c r="LP651" s="16"/>
      <c r="LQ651" s="17"/>
    </row>
    <row r="652">
      <c r="C652" s="31"/>
      <c r="D652" s="61"/>
      <c r="E652" s="16"/>
      <c r="F652" s="16"/>
      <c r="G652" s="21"/>
      <c r="H652" s="16"/>
      <c r="I652" s="16"/>
      <c r="J652" s="17"/>
      <c r="N652" s="17"/>
      <c r="O652" s="61"/>
      <c r="P652" s="16"/>
      <c r="Q652" s="16"/>
      <c r="R652" s="16"/>
      <c r="S652" s="16"/>
      <c r="T652" s="16"/>
      <c r="U652" s="17"/>
      <c r="Y652" s="24"/>
      <c r="Z652" s="61"/>
      <c r="AA652" s="16"/>
      <c r="AB652" s="16"/>
      <c r="AC652" s="16"/>
      <c r="AD652" s="16"/>
      <c r="AE652" s="16"/>
      <c r="AF652" s="17"/>
      <c r="AJ652" s="24"/>
      <c r="AK652" s="61"/>
      <c r="AL652" s="16"/>
      <c r="AM652" s="16"/>
      <c r="AN652" s="16"/>
      <c r="AO652" s="16"/>
      <c r="AP652" s="16"/>
      <c r="AQ652" s="17"/>
      <c r="AU652" s="24"/>
      <c r="AV652" s="61"/>
      <c r="AW652" s="16"/>
      <c r="AX652" s="16"/>
      <c r="AY652" s="16"/>
      <c r="AZ652" s="16"/>
      <c r="BA652" s="16"/>
      <c r="BB652" s="17"/>
      <c r="BF652" s="24"/>
      <c r="BG652" s="61"/>
      <c r="BH652" s="16"/>
      <c r="BI652" s="16"/>
      <c r="BJ652" s="16"/>
      <c r="BK652" s="16"/>
      <c r="BL652" s="16"/>
      <c r="BM652" s="17"/>
      <c r="BQ652" s="24"/>
      <c r="BR652" s="61"/>
      <c r="BS652" s="16"/>
      <c r="BT652" s="16"/>
      <c r="BU652" s="16"/>
      <c r="BV652" s="16"/>
      <c r="BW652" s="16"/>
      <c r="BX652" s="17"/>
      <c r="CB652" s="24"/>
      <c r="CC652" s="61"/>
      <c r="CD652" s="16"/>
      <c r="CE652" s="16"/>
      <c r="CF652" s="16"/>
      <c r="CG652" s="16"/>
      <c r="CH652" s="16"/>
      <c r="CI652" s="17"/>
      <c r="CM652" s="24"/>
      <c r="CN652" s="61"/>
      <c r="CO652" s="16"/>
      <c r="CP652" s="16"/>
      <c r="CQ652" s="16"/>
      <c r="CR652" s="16"/>
      <c r="CS652" s="16"/>
      <c r="CT652" s="17"/>
      <c r="CX652" s="24"/>
      <c r="CY652" s="60"/>
      <c r="CZ652" s="16"/>
      <c r="DA652" s="16"/>
      <c r="DB652" s="16"/>
      <c r="DC652" s="16"/>
      <c r="DD652" s="16"/>
      <c r="DE652" s="17"/>
      <c r="DI652" s="24"/>
      <c r="DJ652" s="60"/>
      <c r="DK652" s="16"/>
      <c r="DL652" s="16"/>
      <c r="DM652" s="16"/>
      <c r="DN652" s="16"/>
      <c r="DO652" s="16"/>
      <c r="DP652" s="17"/>
      <c r="DT652" s="24"/>
      <c r="DU652" s="60"/>
      <c r="DV652" s="16"/>
      <c r="DW652" s="16"/>
      <c r="DX652" s="16"/>
      <c r="DY652" s="16"/>
      <c r="DZ652" s="16"/>
      <c r="EA652" s="17"/>
      <c r="EE652" s="24"/>
      <c r="EF652" s="60"/>
      <c r="EG652" s="16"/>
      <c r="EH652" s="16"/>
      <c r="EI652" s="16"/>
      <c r="EJ652" s="16"/>
      <c r="EK652" s="16"/>
      <c r="EL652" s="17"/>
      <c r="EP652" s="24"/>
      <c r="EQ652" s="60"/>
      <c r="ER652" s="16"/>
      <c r="ES652" s="16"/>
      <c r="ET652" s="16"/>
      <c r="EU652" s="16"/>
      <c r="EV652" s="16"/>
      <c r="EW652" s="17"/>
      <c r="FA652" s="24"/>
      <c r="FB652" s="60"/>
      <c r="FC652" s="16"/>
      <c r="FD652" s="16"/>
      <c r="FE652" s="16"/>
      <c r="FF652" s="16"/>
      <c r="FG652" s="16"/>
      <c r="FH652" s="17"/>
      <c r="FL652" s="24"/>
      <c r="FM652" s="60"/>
      <c r="FN652" s="16"/>
      <c r="FO652" s="16"/>
      <c r="FP652" s="16"/>
      <c r="FQ652" s="16"/>
      <c r="FR652" s="16"/>
      <c r="FS652" s="17"/>
      <c r="FW652" s="24"/>
      <c r="FX652" s="60"/>
      <c r="FY652" s="16"/>
      <c r="FZ652" s="16"/>
      <c r="GA652" s="16"/>
      <c r="GB652" s="16"/>
      <c r="GC652" s="16"/>
      <c r="GD652" s="17"/>
      <c r="GH652" s="24"/>
      <c r="GI652" s="60"/>
      <c r="GJ652" s="16"/>
      <c r="GK652" s="16"/>
      <c r="GL652" s="16"/>
      <c r="GM652" s="16"/>
      <c r="GN652" s="16"/>
      <c r="GO652" s="17"/>
      <c r="GS652" s="24"/>
      <c r="GT652" s="60"/>
      <c r="GU652" s="16"/>
      <c r="GV652" s="16"/>
      <c r="GW652" s="16"/>
      <c r="GX652" s="16"/>
      <c r="GY652" s="16"/>
      <c r="GZ652" s="17"/>
      <c r="HD652" s="24"/>
      <c r="HE652" s="60"/>
      <c r="HF652" s="16"/>
      <c r="HG652" s="16"/>
      <c r="HH652" s="16"/>
      <c r="HI652" s="16"/>
      <c r="HJ652" s="16"/>
      <c r="HK652" s="17"/>
      <c r="HO652" s="24"/>
      <c r="HP652" s="60"/>
      <c r="HQ652" s="16"/>
      <c r="HR652" s="16"/>
      <c r="HS652" s="16"/>
      <c r="HT652" s="16"/>
      <c r="HU652" s="16"/>
      <c r="HV652" s="17"/>
      <c r="HZ652" s="24"/>
      <c r="IA652" s="60"/>
      <c r="IB652" s="16"/>
      <c r="IC652" s="16"/>
      <c r="ID652" s="16"/>
      <c r="IE652" s="16"/>
      <c r="IF652" s="16"/>
      <c r="IG652" s="17"/>
      <c r="IK652" s="24"/>
      <c r="IL652" s="60"/>
      <c r="IM652" s="16"/>
      <c r="IN652" s="16"/>
      <c r="IO652" s="16"/>
      <c r="IP652" s="16"/>
      <c r="IQ652" s="16"/>
      <c r="IR652" s="17"/>
      <c r="IV652" s="24"/>
      <c r="IW652" s="60"/>
      <c r="IX652" s="16"/>
      <c r="IY652" s="16"/>
      <c r="IZ652" s="16"/>
      <c r="JA652" s="16"/>
      <c r="JB652" s="16"/>
      <c r="JC652" s="17"/>
      <c r="JG652" s="24"/>
      <c r="JH652" s="60"/>
      <c r="JI652" s="16"/>
      <c r="JJ652" s="16"/>
      <c r="JK652" s="16"/>
      <c r="JL652" s="16"/>
      <c r="JM652" s="16"/>
      <c r="JN652" s="17"/>
      <c r="JR652" s="24"/>
      <c r="JS652" s="60"/>
      <c r="JT652" s="16"/>
      <c r="JU652" s="16"/>
      <c r="JV652" s="16"/>
      <c r="JW652" s="16"/>
      <c r="JX652" s="16"/>
      <c r="JY652" s="17"/>
      <c r="KC652" s="24"/>
      <c r="KD652" s="60"/>
      <c r="KE652" s="16"/>
      <c r="KF652" s="16"/>
      <c r="KG652" s="16"/>
      <c r="KH652" s="16"/>
      <c r="KI652" s="16"/>
      <c r="KJ652" s="17"/>
      <c r="KN652" s="24"/>
      <c r="KO652" s="60"/>
      <c r="KP652" s="16"/>
      <c r="KQ652" s="16"/>
      <c r="KR652" s="16"/>
      <c r="KS652" s="16"/>
      <c r="KT652" s="16"/>
      <c r="KU652" s="17"/>
      <c r="KY652" s="24"/>
      <c r="KZ652" s="60"/>
      <c r="LA652" s="16"/>
      <c r="LB652" s="16"/>
      <c r="LC652" s="16"/>
      <c r="LD652" s="16"/>
      <c r="LE652" s="16"/>
      <c r="LF652" s="17"/>
      <c r="LJ652" s="24"/>
      <c r="LK652" s="60"/>
      <c r="LL652" s="16"/>
      <c r="LM652" s="16"/>
      <c r="LN652" s="16"/>
      <c r="LO652" s="16"/>
      <c r="LP652" s="16"/>
      <c r="LQ652" s="17"/>
    </row>
    <row r="653">
      <c r="C653" s="31"/>
      <c r="D653" s="61"/>
      <c r="E653" s="16"/>
      <c r="F653" s="16"/>
      <c r="G653" s="21"/>
      <c r="H653" s="16"/>
      <c r="I653" s="16"/>
      <c r="J653" s="17"/>
      <c r="N653" s="17"/>
      <c r="O653" s="61"/>
      <c r="P653" s="16"/>
      <c r="Q653" s="16"/>
      <c r="R653" s="16"/>
      <c r="S653" s="16"/>
      <c r="T653" s="16"/>
      <c r="U653" s="17"/>
      <c r="Y653" s="24"/>
      <c r="Z653" s="61"/>
      <c r="AA653" s="16"/>
      <c r="AB653" s="16"/>
      <c r="AC653" s="16"/>
      <c r="AD653" s="16"/>
      <c r="AE653" s="16"/>
      <c r="AF653" s="17"/>
      <c r="AJ653" s="24"/>
      <c r="AK653" s="61"/>
      <c r="AL653" s="16"/>
      <c r="AM653" s="16"/>
      <c r="AN653" s="16"/>
      <c r="AO653" s="16"/>
      <c r="AP653" s="16"/>
      <c r="AQ653" s="17"/>
      <c r="AU653" s="24"/>
      <c r="AV653" s="61"/>
      <c r="AW653" s="16"/>
      <c r="AX653" s="16"/>
      <c r="AY653" s="16"/>
      <c r="AZ653" s="16"/>
      <c r="BA653" s="16"/>
      <c r="BB653" s="17"/>
      <c r="BF653" s="24"/>
      <c r="BG653" s="61"/>
      <c r="BH653" s="16"/>
      <c r="BI653" s="16"/>
      <c r="BJ653" s="16"/>
      <c r="BK653" s="16"/>
      <c r="BL653" s="16"/>
      <c r="BM653" s="17"/>
      <c r="BQ653" s="24"/>
      <c r="BR653" s="61"/>
      <c r="BS653" s="16"/>
      <c r="BT653" s="16"/>
      <c r="BU653" s="16"/>
      <c r="BV653" s="16"/>
      <c r="BW653" s="16"/>
      <c r="BX653" s="17"/>
      <c r="CB653" s="24"/>
      <c r="CC653" s="61"/>
      <c r="CD653" s="16"/>
      <c r="CE653" s="16"/>
      <c r="CF653" s="16"/>
      <c r="CG653" s="16"/>
      <c r="CH653" s="16"/>
      <c r="CI653" s="17"/>
      <c r="CM653" s="24"/>
      <c r="CN653" s="61"/>
      <c r="CO653" s="16"/>
      <c r="CP653" s="16"/>
      <c r="CQ653" s="16"/>
      <c r="CR653" s="16"/>
      <c r="CS653" s="16"/>
      <c r="CT653" s="17"/>
      <c r="CX653" s="24"/>
      <c r="CY653" s="60"/>
      <c r="CZ653" s="16"/>
      <c r="DA653" s="16"/>
      <c r="DB653" s="16"/>
      <c r="DC653" s="16"/>
      <c r="DD653" s="16"/>
      <c r="DE653" s="17"/>
      <c r="DI653" s="24"/>
      <c r="DJ653" s="60"/>
      <c r="DK653" s="16"/>
      <c r="DL653" s="16"/>
      <c r="DM653" s="16"/>
      <c r="DN653" s="16"/>
      <c r="DO653" s="16"/>
      <c r="DP653" s="17"/>
      <c r="DT653" s="24"/>
      <c r="DU653" s="60"/>
      <c r="DV653" s="16"/>
      <c r="DW653" s="16"/>
      <c r="DX653" s="16"/>
      <c r="DY653" s="16"/>
      <c r="DZ653" s="16"/>
      <c r="EA653" s="17"/>
      <c r="EE653" s="24"/>
      <c r="EF653" s="60"/>
      <c r="EG653" s="16"/>
      <c r="EH653" s="16"/>
      <c r="EI653" s="16"/>
      <c r="EJ653" s="16"/>
      <c r="EK653" s="16"/>
      <c r="EL653" s="17"/>
      <c r="EP653" s="24"/>
      <c r="EQ653" s="60"/>
      <c r="ER653" s="16"/>
      <c r="ES653" s="16"/>
      <c r="ET653" s="16"/>
      <c r="EU653" s="16"/>
      <c r="EV653" s="16"/>
      <c r="EW653" s="17"/>
      <c r="FA653" s="24"/>
      <c r="FB653" s="60"/>
      <c r="FC653" s="16"/>
      <c r="FD653" s="16"/>
      <c r="FE653" s="16"/>
      <c r="FF653" s="16"/>
      <c r="FG653" s="16"/>
      <c r="FH653" s="17"/>
      <c r="FL653" s="24"/>
      <c r="FM653" s="60"/>
      <c r="FN653" s="16"/>
      <c r="FO653" s="16"/>
      <c r="FP653" s="16"/>
      <c r="FQ653" s="16"/>
      <c r="FR653" s="16"/>
      <c r="FS653" s="17"/>
      <c r="FW653" s="24"/>
      <c r="FX653" s="60"/>
      <c r="FY653" s="16"/>
      <c r="FZ653" s="16"/>
      <c r="GA653" s="16"/>
      <c r="GB653" s="16"/>
      <c r="GC653" s="16"/>
      <c r="GD653" s="17"/>
      <c r="GH653" s="24"/>
      <c r="GI653" s="60"/>
      <c r="GJ653" s="16"/>
      <c r="GK653" s="16"/>
      <c r="GL653" s="16"/>
      <c r="GM653" s="16"/>
      <c r="GN653" s="16"/>
      <c r="GO653" s="17"/>
      <c r="GS653" s="24"/>
      <c r="GT653" s="60"/>
      <c r="GU653" s="16"/>
      <c r="GV653" s="16"/>
      <c r="GW653" s="16"/>
      <c r="GX653" s="16"/>
      <c r="GY653" s="16"/>
      <c r="GZ653" s="17"/>
      <c r="HD653" s="24"/>
      <c r="HE653" s="60"/>
      <c r="HF653" s="16"/>
      <c r="HG653" s="16"/>
      <c r="HH653" s="16"/>
      <c r="HI653" s="16"/>
      <c r="HJ653" s="16"/>
      <c r="HK653" s="17"/>
      <c r="HO653" s="24"/>
      <c r="HP653" s="60"/>
      <c r="HQ653" s="16"/>
      <c r="HR653" s="16"/>
      <c r="HS653" s="16"/>
      <c r="HT653" s="16"/>
      <c r="HU653" s="16"/>
      <c r="HV653" s="17"/>
      <c r="HZ653" s="24"/>
      <c r="IA653" s="60"/>
      <c r="IB653" s="16"/>
      <c r="IC653" s="16"/>
      <c r="ID653" s="16"/>
      <c r="IE653" s="16"/>
      <c r="IF653" s="16"/>
      <c r="IG653" s="17"/>
      <c r="IK653" s="24"/>
      <c r="IL653" s="60"/>
      <c r="IM653" s="16"/>
      <c r="IN653" s="16"/>
      <c r="IO653" s="16"/>
      <c r="IP653" s="16"/>
      <c r="IQ653" s="16"/>
      <c r="IR653" s="17"/>
      <c r="IV653" s="24"/>
      <c r="IW653" s="60"/>
      <c r="IX653" s="16"/>
      <c r="IY653" s="16"/>
      <c r="IZ653" s="16"/>
      <c r="JA653" s="16"/>
      <c r="JB653" s="16"/>
      <c r="JC653" s="17"/>
      <c r="JG653" s="24"/>
      <c r="JH653" s="60"/>
      <c r="JI653" s="16"/>
      <c r="JJ653" s="16"/>
      <c r="JK653" s="16"/>
      <c r="JL653" s="16"/>
      <c r="JM653" s="16"/>
      <c r="JN653" s="17"/>
      <c r="JR653" s="24"/>
      <c r="JS653" s="60"/>
      <c r="JT653" s="16"/>
      <c r="JU653" s="16"/>
      <c r="JV653" s="16"/>
      <c r="JW653" s="16"/>
      <c r="JX653" s="16"/>
      <c r="JY653" s="17"/>
      <c r="KC653" s="24"/>
      <c r="KD653" s="60"/>
      <c r="KE653" s="16"/>
      <c r="KF653" s="16"/>
      <c r="KG653" s="16"/>
      <c r="KH653" s="16"/>
      <c r="KI653" s="16"/>
      <c r="KJ653" s="17"/>
      <c r="KN653" s="24"/>
      <c r="KO653" s="60"/>
      <c r="KP653" s="16"/>
      <c r="KQ653" s="16"/>
      <c r="KR653" s="16"/>
      <c r="KS653" s="16"/>
      <c r="KT653" s="16"/>
      <c r="KU653" s="17"/>
      <c r="KY653" s="24"/>
      <c r="KZ653" s="60"/>
      <c r="LA653" s="16"/>
      <c r="LB653" s="16"/>
      <c r="LC653" s="16"/>
      <c r="LD653" s="16"/>
      <c r="LE653" s="16"/>
      <c r="LF653" s="17"/>
      <c r="LJ653" s="24"/>
      <c r="LK653" s="60"/>
      <c r="LL653" s="16"/>
      <c r="LM653" s="16"/>
      <c r="LN653" s="16"/>
      <c r="LO653" s="16"/>
      <c r="LP653" s="16"/>
      <c r="LQ653" s="17"/>
    </row>
    <row r="654">
      <c r="C654" s="31"/>
      <c r="D654" s="61"/>
      <c r="E654" s="16"/>
      <c r="F654" s="16"/>
      <c r="G654" s="21"/>
      <c r="H654" s="16"/>
      <c r="I654" s="16"/>
      <c r="J654" s="17"/>
      <c r="N654" s="17"/>
      <c r="O654" s="61"/>
      <c r="P654" s="16"/>
      <c r="Q654" s="16"/>
      <c r="R654" s="16"/>
      <c r="S654" s="16"/>
      <c r="T654" s="16"/>
      <c r="U654" s="17"/>
      <c r="Y654" s="24"/>
      <c r="Z654" s="61"/>
      <c r="AA654" s="16"/>
      <c r="AB654" s="16"/>
      <c r="AC654" s="16"/>
      <c r="AD654" s="16"/>
      <c r="AE654" s="16"/>
      <c r="AF654" s="17"/>
      <c r="AJ654" s="24"/>
      <c r="AK654" s="61"/>
      <c r="AL654" s="16"/>
      <c r="AM654" s="16"/>
      <c r="AN654" s="16"/>
      <c r="AO654" s="16"/>
      <c r="AP654" s="16"/>
      <c r="AQ654" s="17"/>
      <c r="AU654" s="24"/>
      <c r="AV654" s="61"/>
      <c r="AW654" s="16"/>
      <c r="AX654" s="16"/>
      <c r="AY654" s="16"/>
      <c r="AZ654" s="16"/>
      <c r="BA654" s="16"/>
      <c r="BB654" s="17"/>
      <c r="BF654" s="24"/>
      <c r="BG654" s="61"/>
      <c r="BH654" s="16"/>
      <c r="BI654" s="16"/>
      <c r="BJ654" s="16"/>
      <c r="BK654" s="16"/>
      <c r="BL654" s="16"/>
      <c r="BM654" s="17"/>
      <c r="BQ654" s="24"/>
      <c r="BR654" s="61"/>
      <c r="BS654" s="16"/>
      <c r="BT654" s="16"/>
      <c r="BU654" s="16"/>
      <c r="BV654" s="16"/>
      <c r="BW654" s="16"/>
      <c r="BX654" s="17"/>
      <c r="CB654" s="24"/>
      <c r="CC654" s="61"/>
      <c r="CD654" s="16"/>
      <c r="CE654" s="16"/>
      <c r="CF654" s="16"/>
      <c r="CG654" s="16"/>
      <c r="CH654" s="16"/>
      <c r="CI654" s="17"/>
      <c r="CM654" s="24"/>
      <c r="CN654" s="61"/>
      <c r="CO654" s="16"/>
      <c r="CP654" s="16"/>
      <c r="CQ654" s="16"/>
      <c r="CR654" s="16"/>
      <c r="CS654" s="16"/>
      <c r="CT654" s="17"/>
      <c r="CX654" s="24"/>
      <c r="CY654" s="60"/>
      <c r="CZ654" s="16"/>
      <c r="DA654" s="16"/>
      <c r="DB654" s="16"/>
      <c r="DC654" s="16"/>
      <c r="DD654" s="16"/>
      <c r="DE654" s="17"/>
      <c r="DI654" s="24"/>
      <c r="DJ654" s="60"/>
      <c r="DK654" s="16"/>
      <c r="DL654" s="16"/>
      <c r="DM654" s="16"/>
      <c r="DN654" s="16"/>
      <c r="DO654" s="16"/>
      <c r="DP654" s="17"/>
      <c r="DT654" s="24"/>
      <c r="DU654" s="60"/>
      <c r="DV654" s="16"/>
      <c r="DW654" s="16"/>
      <c r="DX654" s="16"/>
      <c r="DY654" s="16"/>
      <c r="DZ654" s="16"/>
      <c r="EA654" s="17"/>
      <c r="EE654" s="24"/>
      <c r="EF654" s="60"/>
      <c r="EG654" s="16"/>
      <c r="EH654" s="16"/>
      <c r="EI654" s="16"/>
      <c r="EJ654" s="16"/>
      <c r="EK654" s="16"/>
      <c r="EL654" s="17"/>
      <c r="EP654" s="24"/>
      <c r="EQ654" s="60"/>
      <c r="ER654" s="16"/>
      <c r="ES654" s="16"/>
      <c r="ET654" s="16"/>
      <c r="EU654" s="16"/>
      <c r="EV654" s="16"/>
      <c r="EW654" s="17"/>
      <c r="FA654" s="24"/>
      <c r="FB654" s="60"/>
      <c r="FC654" s="16"/>
      <c r="FD654" s="16"/>
      <c r="FE654" s="16"/>
      <c r="FF654" s="16"/>
      <c r="FG654" s="16"/>
      <c r="FH654" s="17"/>
      <c r="FL654" s="24"/>
      <c r="FM654" s="60"/>
      <c r="FN654" s="16"/>
      <c r="FO654" s="16"/>
      <c r="FP654" s="16"/>
      <c r="FQ654" s="16"/>
      <c r="FR654" s="16"/>
      <c r="FS654" s="17"/>
      <c r="FW654" s="24"/>
      <c r="FX654" s="60"/>
      <c r="FY654" s="16"/>
      <c r="FZ654" s="16"/>
      <c r="GA654" s="16"/>
      <c r="GB654" s="16"/>
      <c r="GC654" s="16"/>
      <c r="GD654" s="17"/>
      <c r="GH654" s="24"/>
      <c r="GI654" s="60"/>
      <c r="GJ654" s="16"/>
      <c r="GK654" s="16"/>
      <c r="GL654" s="16"/>
      <c r="GM654" s="16"/>
      <c r="GN654" s="16"/>
      <c r="GO654" s="17"/>
      <c r="GS654" s="24"/>
      <c r="GT654" s="60"/>
      <c r="GU654" s="16"/>
      <c r="GV654" s="16"/>
      <c r="GW654" s="16"/>
      <c r="GX654" s="16"/>
      <c r="GY654" s="16"/>
      <c r="GZ654" s="17"/>
      <c r="HD654" s="24"/>
      <c r="HE654" s="60"/>
      <c r="HF654" s="16"/>
      <c r="HG654" s="16"/>
      <c r="HH654" s="16"/>
      <c r="HI654" s="16"/>
      <c r="HJ654" s="16"/>
      <c r="HK654" s="17"/>
      <c r="HO654" s="24"/>
      <c r="HP654" s="60"/>
      <c r="HQ654" s="16"/>
      <c r="HR654" s="16"/>
      <c r="HS654" s="16"/>
      <c r="HT654" s="16"/>
      <c r="HU654" s="16"/>
      <c r="HV654" s="17"/>
      <c r="HZ654" s="24"/>
      <c r="IA654" s="60"/>
      <c r="IB654" s="16"/>
      <c r="IC654" s="16"/>
      <c r="ID654" s="16"/>
      <c r="IE654" s="16"/>
      <c r="IF654" s="16"/>
      <c r="IG654" s="17"/>
      <c r="IK654" s="24"/>
      <c r="IL654" s="60"/>
      <c r="IM654" s="16"/>
      <c r="IN654" s="16"/>
      <c r="IO654" s="16"/>
      <c r="IP654" s="16"/>
      <c r="IQ654" s="16"/>
      <c r="IR654" s="17"/>
      <c r="IV654" s="24"/>
      <c r="IW654" s="60"/>
      <c r="IX654" s="16"/>
      <c r="IY654" s="16"/>
      <c r="IZ654" s="16"/>
      <c r="JA654" s="16"/>
      <c r="JB654" s="16"/>
      <c r="JC654" s="17"/>
      <c r="JG654" s="24"/>
      <c r="JH654" s="60"/>
      <c r="JI654" s="16"/>
      <c r="JJ654" s="16"/>
      <c r="JK654" s="16"/>
      <c r="JL654" s="16"/>
      <c r="JM654" s="16"/>
      <c r="JN654" s="17"/>
      <c r="JR654" s="24"/>
      <c r="JS654" s="60"/>
      <c r="JT654" s="16"/>
      <c r="JU654" s="16"/>
      <c r="JV654" s="16"/>
      <c r="JW654" s="16"/>
      <c r="JX654" s="16"/>
      <c r="JY654" s="17"/>
      <c r="KC654" s="24"/>
      <c r="KD654" s="60"/>
      <c r="KE654" s="16"/>
      <c r="KF654" s="16"/>
      <c r="KG654" s="16"/>
      <c r="KH654" s="16"/>
      <c r="KI654" s="16"/>
      <c r="KJ654" s="17"/>
      <c r="KN654" s="24"/>
      <c r="KO654" s="60"/>
      <c r="KP654" s="16"/>
      <c r="KQ654" s="16"/>
      <c r="KR654" s="16"/>
      <c r="KS654" s="16"/>
      <c r="KT654" s="16"/>
      <c r="KU654" s="17"/>
      <c r="KY654" s="24"/>
      <c r="KZ654" s="60"/>
      <c r="LA654" s="16"/>
      <c r="LB654" s="16"/>
      <c r="LC654" s="16"/>
      <c r="LD654" s="16"/>
      <c r="LE654" s="16"/>
      <c r="LF654" s="17"/>
      <c r="LJ654" s="24"/>
      <c r="LK654" s="60"/>
      <c r="LL654" s="16"/>
      <c r="LM654" s="16"/>
      <c r="LN654" s="16"/>
      <c r="LO654" s="16"/>
      <c r="LP654" s="16"/>
      <c r="LQ654" s="17"/>
    </row>
    <row r="655">
      <c r="C655" s="31"/>
      <c r="D655" s="61"/>
      <c r="E655" s="16"/>
      <c r="F655" s="16"/>
      <c r="G655" s="21"/>
      <c r="H655" s="16"/>
      <c r="I655" s="16"/>
      <c r="J655" s="17"/>
      <c r="N655" s="17"/>
      <c r="O655" s="61"/>
      <c r="P655" s="16"/>
      <c r="Q655" s="16"/>
      <c r="R655" s="16"/>
      <c r="S655" s="16"/>
      <c r="T655" s="16"/>
      <c r="U655" s="17"/>
      <c r="Y655" s="24"/>
      <c r="Z655" s="61"/>
      <c r="AA655" s="16"/>
      <c r="AB655" s="16"/>
      <c r="AC655" s="16"/>
      <c r="AD655" s="16"/>
      <c r="AE655" s="16"/>
      <c r="AF655" s="17"/>
      <c r="AJ655" s="24"/>
      <c r="AK655" s="61"/>
      <c r="AL655" s="16"/>
      <c r="AM655" s="16"/>
      <c r="AN655" s="16"/>
      <c r="AO655" s="16"/>
      <c r="AP655" s="16"/>
      <c r="AQ655" s="17"/>
      <c r="AU655" s="24"/>
      <c r="AV655" s="61"/>
      <c r="AW655" s="16"/>
      <c r="AX655" s="16"/>
      <c r="AY655" s="16"/>
      <c r="AZ655" s="16"/>
      <c r="BA655" s="16"/>
      <c r="BB655" s="17"/>
      <c r="BF655" s="24"/>
      <c r="BG655" s="61"/>
      <c r="BH655" s="16"/>
      <c r="BI655" s="16"/>
      <c r="BJ655" s="16"/>
      <c r="BK655" s="16"/>
      <c r="BL655" s="16"/>
      <c r="BM655" s="17"/>
      <c r="BQ655" s="24"/>
      <c r="BR655" s="61"/>
      <c r="BS655" s="16"/>
      <c r="BT655" s="16"/>
      <c r="BU655" s="16"/>
      <c r="BV655" s="16"/>
      <c r="BW655" s="16"/>
      <c r="BX655" s="17"/>
      <c r="CB655" s="24"/>
      <c r="CC655" s="61"/>
      <c r="CD655" s="16"/>
      <c r="CE655" s="16"/>
      <c r="CF655" s="16"/>
      <c r="CG655" s="16"/>
      <c r="CH655" s="16"/>
      <c r="CI655" s="17"/>
      <c r="CM655" s="24"/>
      <c r="CN655" s="61"/>
      <c r="CO655" s="16"/>
      <c r="CP655" s="16"/>
      <c r="CQ655" s="16"/>
      <c r="CR655" s="16"/>
      <c r="CS655" s="16"/>
      <c r="CT655" s="17"/>
      <c r="CX655" s="24"/>
      <c r="CY655" s="60"/>
      <c r="CZ655" s="16"/>
      <c r="DA655" s="16"/>
      <c r="DB655" s="16"/>
      <c r="DC655" s="16"/>
      <c r="DD655" s="16"/>
      <c r="DE655" s="17"/>
      <c r="DI655" s="24"/>
      <c r="DJ655" s="60"/>
      <c r="DK655" s="16"/>
      <c r="DL655" s="16"/>
      <c r="DM655" s="16"/>
      <c r="DN655" s="16"/>
      <c r="DO655" s="16"/>
      <c r="DP655" s="17"/>
      <c r="DT655" s="24"/>
      <c r="DU655" s="60"/>
      <c r="DV655" s="16"/>
      <c r="DW655" s="16"/>
      <c r="DX655" s="16"/>
      <c r="DY655" s="16"/>
      <c r="DZ655" s="16"/>
      <c r="EA655" s="17"/>
      <c r="EE655" s="24"/>
      <c r="EF655" s="60"/>
      <c r="EG655" s="16"/>
      <c r="EH655" s="16"/>
      <c r="EI655" s="16"/>
      <c r="EJ655" s="16"/>
      <c r="EK655" s="16"/>
      <c r="EL655" s="17"/>
      <c r="EP655" s="24"/>
      <c r="EQ655" s="60"/>
      <c r="ER655" s="16"/>
      <c r="ES655" s="16"/>
      <c r="ET655" s="16"/>
      <c r="EU655" s="16"/>
      <c r="EV655" s="16"/>
      <c r="EW655" s="17"/>
      <c r="FA655" s="24"/>
      <c r="FB655" s="60"/>
      <c r="FC655" s="16"/>
      <c r="FD655" s="16"/>
      <c r="FE655" s="16"/>
      <c r="FF655" s="16"/>
      <c r="FG655" s="16"/>
      <c r="FH655" s="17"/>
      <c r="FL655" s="24"/>
      <c r="FM655" s="60"/>
      <c r="FN655" s="16"/>
      <c r="FO655" s="16"/>
      <c r="FP655" s="16"/>
      <c r="FQ655" s="16"/>
      <c r="FR655" s="16"/>
      <c r="FS655" s="17"/>
      <c r="FW655" s="24"/>
      <c r="FX655" s="60"/>
      <c r="FY655" s="16"/>
      <c r="FZ655" s="16"/>
      <c r="GA655" s="16"/>
      <c r="GB655" s="16"/>
      <c r="GC655" s="16"/>
      <c r="GD655" s="17"/>
      <c r="GH655" s="24"/>
      <c r="GI655" s="60"/>
      <c r="GJ655" s="16"/>
      <c r="GK655" s="16"/>
      <c r="GL655" s="16"/>
      <c r="GM655" s="16"/>
      <c r="GN655" s="16"/>
      <c r="GO655" s="17"/>
      <c r="GS655" s="24"/>
      <c r="GT655" s="60"/>
      <c r="GU655" s="16"/>
      <c r="GV655" s="16"/>
      <c r="GW655" s="16"/>
      <c r="GX655" s="16"/>
      <c r="GY655" s="16"/>
      <c r="GZ655" s="17"/>
      <c r="HD655" s="24"/>
      <c r="HE655" s="60"/>
      <c r="HF655" s="16"/>
      <c r="HG655" s="16"/>
      <c r="HH655" s="16"/>
      <c r="HI655" s="16"/>
      <c r="HJ655" s="16"/>
      <c r="HK655" s="17"/>
      <c r="HO655" s="24"/>
      <c r="HP655" s="60"/>
      <c r="HQ655" s="16"/>
      <c r="HR655" s="16"/>
      <c r="HS655" s="16"/>
      <c r="HT655" s="16"/>
      <c r="HU655" s="16"/>
      <c r="HV655" s="17"/>
      <c r="HZ655" s="24"/>
      <c r="IA655" s="60"/>
      <c r="IB655" s="16"/>
      <c r="IC655" s="16"/>
      <c r="ID655" s="16"/>
      <c r="IE655" s="16"/>
      <c r="IF655" s="16"/>
      <c r="IG655" s="17"/>
      <c r="IK655" s="24"/>
      <c r="IL655" s="60"/>
      <c r="IM655" s="16"/>
      <c r="IN655" s="16"/>
      <c r="IO655" s="16"/>
      <c r="IP655" s="16"/>
      <c r="IQ655" s="16"/>
      <c r="IR655" s="17"/>
      <c r="IV655" s="24"/>
      <c r="IW655" s="60"/>
      <c r="IX655" s="16"/>
      <c r="IY655" s="16"/>
      <c r="IZ655" s="16"/>
      <c r="JA655" s="16"/>
      <c r="JB655" s="16"/>
      <c r="JC655" s="17"/>
      <c r="JG655" s="24"/>
      <c r="JH655" s="60"/>
      <c r="JI655" s="16"/>
      <c r="JJ655" s="16"/>
      <c r="JK655" s="16"/>
      <c r="JL655" s="16"/>
      <c r="JM655" s="16"/>
      <c r="JN655" s="17"/>
      <c r="JR655" s="24"/>
      <c r="JS655" s="60"/>
      <c r="JT655" s="16"/>
      <c r="JU655" s="16"/>
      <c r="JV655" s="16"/>
      <c r="JW655" s="16"/>
      <c r="JX655" s="16"/>
      <c r="JY655" s="17"/>
      <c r="KC655" s="24"/>
      <c r="KD655" s="60"/>
      <c r="KE655" s="16"/>
      <c r="KF655" s="16"/>
      <c r="KG655" s="16"/>
      <c r="KH655" s="16"/>
      <c r="KI655" s="16"/>
      <c r="KJ655" s="17"/>
      <c r="KN655" s="24"/>
      <c r="KO655" s="60"/>
      <c r="KP655" s="16"/>
      <c r="KQ655" s="16"/>
      <c r="KR655" s="16"/>
      <c r="KS655" s="16"/>
      <c r="KT655" s="16"/>
      <c r="KU655" s="17"/>
      <c r="KY655" s="24"/>
      <c r="KZ655" s="60"/>
      <c r="LA655" s="16"/>
      <c r="LB655" s="16"/>
      <c r="LC655" s="16"/>
      <c r="LD655" s="16"/>
      <c r="LE655" s="16"/>
      <c r="LF655" s="17"/>
      <c r="LJ655" s="24"/>
      <c r="LK655" s="60"/>
      <c r="LL655" s="16"/>
      <c r="LM655" s="16"/>
      <c r="LN655" s="16"/>
      <c r="LO655" s="16"/>
      <c r="LP655" s="16"/>
      <c r="LQ655" s="17"/>
    </row>
    <row r="656">
      <c r="C656" s="31"/>
      <c r="D656" s="61"/>
      <c r="E656" s="16"/>
      <c r="F656" s="16"/>
      <c r="G656" s="21"/>
      <c r="H656" s="16"/>
      <c r="I656" s="16"/>
      <c r="J656" s="17"/>
      <c r="N656" s="17"/>
      <c r="O656" s="61"/>
      <c r="P656" s="16"/>
      <c r="Q656" s="16"/>
      <c r="R656" s="16"/>
      <c r="S656" s="16"/>
      <c r="T656" s="16"/>
      <c r="U656" s="17"/>
      <c r="Y656" s="24"/>
      <c r="Z656" s="61"/>
      <c r="AA656" s="16"/>
      <c r="AB656" s="16"/>
      <c r="AC656" s="16"/>
      <c r="AD656" s="16"/>
      <c r="AE656" s="16"/>
      <c r="AF656" s="17"/>
      <c r="AJ656" s="24"/>
      <c r="AK656" s="61"/>
      <c r="AL656" s="16"/>
      <c r="AM656" s="16"/>
      <c r="AN656" s="16"/>
      <c r="AO656" s="16"/>
      <c r="AP656" s="16"/>
      <c r="AQ656" s="17"/>
      <c r="AU656" s="24"/>
      <c r="AV656" s="61"/>
      <c r="AW656" s="16"/>
      <c r="AX656" s="16"/>
      <c r="AY656" s="16"/>
      <c r="AZ656" s="16"/>
      <c r="BA656" s="16"/>
      <c r="BB656" s="17"/>
      <c r="BF656" s="24"/>
      <c r="BG656" s="61"/>
      <c r="BH656" s="16"/>
      <c r="BI656" s="16"/>
      <c r="BJ656" s="16"/>
      <c r="BK656" s="16"/>
      <c r="BL656" s="16"/>
      <c r="BM656" s="17"/>
      <c r="BQ656" s="24"/>
      <c r="BR656" s="61"/>
      <c r="BS656" s="16"/>
      <c r="BT656" s="16"/>
      <c r="BU656" s="16"/>
      <c r="BV656" s="16"/>
      <c r="BW656" s="16"/>
      <c r="BX656" s="17"/>
      <c r="CB656" s="24"/>
      <c r="CC656" s="61"/>
      <c r="CD656" s="16"/>
      <c r="CE656" s="16"/>
      <c r="CF656" s="16"/>
      <c r="CG656" s="16"/>
      <c r="CH656" s="16"/>
      <c r="CI656" s="17"/>
      <c r="CM656" s="24"/>
      <c r="CN656" s="61"/>
      <c r="CO656" s="16"/>
      <c r="CP656" s="16"/>
      <c r="CQ656" s="16"/>
      <c r="CR656" s="16"/>
      <c r="CS656" s="16"/>
      <c r="CT656" s="17"/>
      <c r="CX656" s="24"/>
      <c r="CY656" s="60"/>
      <c r="CZ656" s="16"/>
      <c r="DA656" s="16"/>
      <c r="DB656" s="16"/>
      <c r="DC656" s="16"/>
      <c r="DD656" s="16"/>
      <c r="DE656" s="17"/>
      <c r="DI656" s="24"/>
      <c r="DJ656" s="60"/>
      <c r="DK656" s="16"/>
      <c r="DL656" s="16"/>
      <c r="DM656" s="16"/>
      <c r="DN656" s="16"/>
      <c r="DO656" s="16"/>
      <c r="DP656" s="17"/>
      <c r="DT656" s="24"/>
      <c r="DU656" s="60"/>
      <c r="DV656" s="16"/>
      <c r="DW656" s="16"/>
      <c r="DX656" s="16"/>
      <c r="DY656" s="16"/>
      <c r="DZ656" s="16"/>
      <c r="EA656" s="17"/>
      <c r="EE656" s="24"/>
      <c r="EF656" s="60"/>
      <c r="EG656" s="16"/>
      <c r="EH656" s="16"/>
      <c r="EI656" s="16"/>
      <c r="EJ656" s="16"/>
      <c r="EK656" s="16"/>
      <c r="EL656" s="17"/>
      <c r="EP656" s="24"/>
      <c r="EQ656" s="60"/>
      <c r="ER656" s="16"/>
      <c r="ES656" s="16"/>
      <c r="ET656" s="16"/>
      <c r="EU656" s="16"/>
      <c r="EV656" s="16"/>
      <c r="EW656" s="17"/>
      <c r="FA656" s="24"/>
      <c r="FB656" s="60"/>
      <c r="FC656" s="16"/>
      <c r="FD656" s="16"/>
      <c r="FE656" s="16"/>
      <c r="FF656" s="16"/>
      <c r="FG656" s="16"/>
      <c r="FH656" s="17"/>
      <c r="FL656" s="24"/>
      <c r="FM656" s="60"/>
      <c r="FN656" s="16"/>
      <c r="FO656" s="16"/>
      <c r="FP656" s="16"/>
      <c r="FQ656" s="16"/>
      <c r="FR656" s="16"/>
      <c r="FS656" s="17"/>
      <c r="FW656" s="24"/>
      <c r="FX656" s="60"/>
      <c r="FY656" s="16"/>
      <c r="FZ656" s="16"/>
      <c r="GA656" s="16"/>
      <c r="GB656" s="16"/>
      <c r="GC656" s="16"/>
      <c r="GD656" s="17"/>
      <c r="GH656" s="24"/>
      <c r="GI656" s="60"/>
      <c r="GJ656" s="16"/>
      <c r="GK656" s="16"/>
      <c r="GL656" s="16"/>
      <c r="GM656" s="16"/>
      <c r="GN656" s="16"/>
      <c r="GO656" s="17"/>
      <c r="GS656" s="24"/>
      <c r="GT656" s="60"/>
      <c r="GU656" s="16"/>
      <c r="GV656" s="16"/>
      <c r="GW656" s="16"/>
      <c r="GX656" s="16"/>
      <c r="GY656" s="16"/>
      <c r="GZ656" s="17"/>
      <c r="HD656" s="24"/>
      <c r="HE656" s="60"/>
      <c r="HF656" s="16"/>
      <c r="HG656" s="16"/>
      <c r="HH656" s="16"/>
      <c r="HI656" s="16"/>
      <c r="HJ656" s="16"/>
      <c r="HK656" s="17"/>
      <c r="HO656" s="24"/>
      <c r="HP656" s="60"/>
      <c r="HQ656" s="16"/>
      <c r="HR656" s="16"/>
      <c r="HS656" s="16"/>
      <c r="HT656" s="16"/>
      <c r="HU656" s="16"/>
      <c r="HV656" s="17"/>
      <c r="HZ656" s="24"/>
      <c r="IA656" s="60"/>
      <c r="IB656" s="16"/>
      <c r="IC656" s="16"/>
      <c r="ID656" s="16"/>
      <c r="IE656" s="16"/>
      <c r="IF656" s="16"/>
      <c r="IG656" s="17"/>
      <c r="IK656" s="24"/>
      <c r="IL656" s="60"/>
      <c r="IM656" s="16"/>
      <c r="IN656" s="16"/>
      <c r="IO656" s="16"/>
      <c r="IP656" s="16"/>
      <c r="IQ656" s="16"/>
      <c r="IR656" s="17"/>
      <c r="IV656" s="24"/>
      <c r="IW656" s="60"/>
      <c r="IX656" s="16"/>
      <c r="IY656" s="16"/>
      <c r="IZ656" s="16"/>
      <c r="JA656" s="16"/>
      <c r="JB656" s="16"/>
      <c r="JC656" s="17"/>
      <c r="JG656" s="24"/>
      <c r="JH656" s="60"/>
      <c r="JI656" s="16"/>
      <c r="JJ656" s="16"/>
      <c r="JK656" s="16"/>
      <c r="JL656" s="16"/>
      <c r="JM656" s="16"/>
      <c r="JN656" s="17"/>
      <c r="JR656" s="24"/>
      <c r="JS656" s="60"/>
      <c r="JT656" s="16"/>
      <c r="JU656" s="16"/>
      <c r="JV656" s="16"/>
      <c r="JW656" s="16"/>
      <c r="JX656" s="16"/>
      <c r="JY656" s="17"/>
      <c r="KC656" s="24"/>
      <c r="KD656" s="60"/>
      <c r="KE656" s="16"/>
      <c r="KF656" s="16"/>
      <c r="KG656" s="16"/>
      <c r="KH656" s="16"/>
      <c r="KI656" s="16"/>
      <c r="KJ656" s="17"/>
      <c r="KN656" s="24"/>
      <c r="KO656" s="60"/>
      <c r="KP656" s="16"/>
      <c r="KQ656" s="16"/>
      <c r="KR656" s="16"/>
      <c r="KS656" s="16"/>
      <c r="KT656" s="16"/>
      <c r="KU656" s="17"/>
      <c r="KY656" s="24"/>
      <c r="KZ656" s="60"/>
      <c r="LA656" s="16"/>
      <c r="LB656" s="16"/>
      <c r="LC656" s="16"/>
      <c r="LD656" s="16"/>
      <c r="LE656" s="16"/>
      <c r="LF656" s="17"/>
      <c r="LJ656" s="24"/>
      <c r="LK656" s="60"/>
      <c r="LL656" s="16"/>
      <c r="LM656" s="16"/>
      <c r="LN656" s="16"/>
      <c r="LO656" s="16"/>
      <c r="LP656" s="16"/>
      <c r="LQ656" s="17"/>
    </row>
    <row r="657">
      <c r="C657" s="31"/>
      <c r="D657" s="61"/>
      <c r="E657" s="16"/>
      <c r="F657" s="16"/>
      <c r="G657" s="21"/>
      <c r="H657" s="16"/>
      <c r="I657" s="16"/>
      <c r="J657" s="17"/>
      <c r="N657" s="17"/>
      <c r="O657" s="61"/>
      <c r="P657" s="16"/>
      <c r="Q657" s="16"/>
      <c r="R657" s="16"/>
      <c r="S657" s="16"/>
      <c r="T657" s="16"/>
      <c r="U657" s="17"/>
      <c r="Y657" s="24"/>
      <c r="Z657" s="61"/>
      <c r="AA657" s="16"/>
      <c r="AB657" s="16"/>
      <c r="AC657" s="16"/>
      <c r="AD657" s="16"/>
      <c r="AE657" s="16"/>
      <c r="AF657" s="17"/>
      <c r="AJ657" s="24"/>
      <c r="AK657" s="61"/>
      <c r="AL657" s="16"/>
      <c r="AM657" s="16"/>
      <c r="AN657" s="16"/>
      <c r="AO657" s="16"/>
      <c r="AP657" s="16"/>
      <c r="AQ657" s="17"/>
      <c r="AU657" s="24"/>
      <c r="AV657" s="61"/>
      <c r="AW657" s="16"/>
      <c r="AX657" s="16"/>
      <c r="AY657" s="16"/>
      <c r="AZ657" s="16"/>
      <c r="BA657" s="16"/>
      <c r="BB657" s="17"/>
      <c r="BF657" s="24"/>
      <c r="BG657" s="61"/>
      <c r="BH657" s="16"/>
      <c r="BI657" s="16"/>
      <c r="BJ657" s="16"/>
      <c r="BK657" s="16"/>
      <c r="BL657" s="16"/>
      <c r="BM657" s="17"/>
      <c r="BQ657" s="24"/>
      <c r="BR657" s="61"/>
      <c r="BS657" s="16"/>
      <c r="BT657" s="16"/>
      <c r="BU657" s="16"/>
      <c r="BV657" s="16"/>
      <c r="BW657" s="16"/>
      <c r="BX657" s="17"/>
      <c r="CB657" s="24"/>
      <c r="CC657" s="61"/>
      <c r="CD657" s="16"/>
      <c r="CE657" s="16"/>
      <c r="CF657" s="16"/>
      <c r="CG657" s="16"/>
      <c r="CH657" s="16"/>
      <c r="CI657" s="17"/>
      <c r="CM657" s="24"/>
      <c r="CN657" s="61"/>
      <c r="CO657" s="16"/>
      <c r="CP657" s="16"/>
      <c r="CQ657" s="16"/>
      <c r="CR657" s="16"/>
      <c r="CS657" s="16"/>
      <c r="CT657" s="17"/>
      <c r="CX657" s="24"/>
      <c r="CY657" s="60"/>
      <c r="CZ657" s="16"/>
      <c r="DA657" s="16"/>
      <c r="DB657" s="16"/>
      <c r="DC657" s="16"/>
      <c r="DD657" s="16"/>
      <c r="DE657" s="17"/>
      <c r="DI657" s="24"/>
      <c r="DJ657" s="60"/>
      <c r="DK657" s="16"/>
      <c r="DL657" s="16"/>
      <c r="DM657" s="16"/>
      <c r="DN657" s="16"/>
      <c r="DO657" s="16"/>
      <c r="DP657" s="17"/>
      <c r="DT657" s="24"/>
      <c r="DU657" s="60"/>
      <c r="DV657" s="16"/>
      <c r="DW657" s="16"/>
      <c r="DX657" s="16"/>
      <c r="DY657" s="16"/>
      <c r="DZ657" s="16"/>
      <c r="EA657" s="17"/>
      <c r="EE657" s="24"/>
      <c r="EF657" s="60"/>
      <c r="EG657" s="16"/>
      <c r="EH657" s="16"/>
      <c r="EI657" s="16"/>
      <c r="EJ657" s="16"/>
      <c r="EK657" s="16"/>
      <c r="EL657" s="17"/>
      <c r="EP657" s="24"/>
      <c r="EQ657" s="60"/>
      <c r="ER657" s="16"/>
      <c r="ES657" s="16"/>
      <c r="ET657" s="16"/>
      <c r="EU657" s="16"/>
      <c r="EV657" s="16"/>
      <c r="EW657" s="17"/>
      <c r="FA657" s="24"/>
      <c r="FB657" s="60"/>
      <c r="FC657" s="16"/>
      <c r="FD657" s="16"/>
      <c r="FE657" s="16"/>
      <c r="FF657" s="16"/>
      <c r="FG657" s="16"/>
      <c r="FH657" s="17"/>
      <c r="FL657" s="24"/>
      <c r="FM657" s="60"/>
      <c r="FN657" s="16"/>
      <c r="FO657" s="16"/>
      <c r="FP657" s="16"/>
      <c r="FQ657" s="16"/>
      <c r="FR657" s="16"/>
      <c r="FS657" s="17"/>
      <c r="FW657" s="24"/>
      <c r="FX657" s="60"/>
      <c r="FY657" s="16"/>
      <c r="FZ657" s="16"/>
      <c r="GA657" s="16"/>
      <c r="GB657" s="16"/>
      <c r="GC657" s="16"/>
      <c r="GD657" s="17"/>
      <c r="GH657" s="24"/>
      <c r="GI657" s="60"/>
      <c r="GJ657" s="16"/>
      <c r="GK657" s="16"/>
      <c r="GL657" s="16"/>
      <c r="GM657" s="16"/>
      <c r="GN657" s="16"/>
      <c r="GO657" s="17"/>
      <c r="GS657" s="24"/>
      <c r="GT657" s="60"/>
      <c r="GU657" s="16"/>
      <c r="GV657" s="16"/>
      <c r="GW657" s="16"/>
      <c r="GX657" s="16"/>
      <c r="GY657" s="16"/>
      <c r="GZ657" s="17"/>
      <c r="HD657" s="24"/>
      <c r="HE657" s="60"/>
      <c r="HF657" s="16"/>
      <c r="HG657" s="16"/>
      <c r="HH657" s="16"/>
      <c r="HI657" s="16"/>
      <c r="HJ657" s="16"/>
      <c r="HK657" s="17"/>
      <c r="HO657" s="24"/>
      <c r="HP657" s="60"/>
      <c r="HQ657" s="16"/>
      <c r="HR657" s="16"/>
      <c r="HS657" s="16"/>
      <c r="HT657" s="16"/>
      <c r="HU657" s="16"/>
      <c r="HV657" s="17"/>
      <c r="HZ657" s="24"/>
      <c r="IA657" s="60"/>
      <c r="IB657" s="16"/>
      <c r="IC657" s="16"/>
      <c r="ID657" s="16"/>
      <c r="IE657" s="16"/>
      <c r="IF657" s="16"/>
      <c r="IG657" s="17"/>
      <c r="IK657" s="24"/>
      <c r="IL657" s="60"/>
      <c r="IM657" s="16"/>
      <c r="IN657" s="16"/>
      <c r="IO657" s="16"/>
      <c r="IP657" s="16"/>
      <c r="IQ657" s="16"/>
      <c r="IR657" s="17"/>
      <c r="IV657" s="24"/>
      <c r="IW657" s="60"/>
      <c r="IX657" s="16"/>
      <c r="IY657" s="16"/>
      <c r="IZ657" s="16"/>
      <c r="JA657" s="16"/>
      <c r="JB657" s="16"/>
      <c r="JC657" s="17"/>
      <c r="JG657" s="24"/>
      <c r="JH657" s="60"/>
      <c r="JI657" s="16"/>
      <c r="JJ657" s="16"/>
      <c r="JK657" s="16"/>
      <c r="JL657" s="16"/>
      <c r="JM657" s="16"/>
      <c r="JN657" s="17"/>
      <c r="JR657" s="24"/>
      <c r="JS657" s="60"/>
      <c r="JT657" s="16"/>
      <c r="JU657" s="16"/>
      <c r="JV657" s="16"/>
      <c r="JW657" s="16"/>
      <c r="JX657" s="16"/>
      <c r="JY657" s="17"/>
      <c r="KC657" s="24"/>
      <c r="KD657" s="60"/>
      <c r="KE657" s="16"/>
      <c r="KF657" s="16"/>
      <c r="KG657" s="16"/>
      <c r="KH657" s="16"/>
      <c r="KI657" s="16"/>
      <c r="KJ657" s="17"/>
      <c r="KN657" s="24"/>
      <c r="KO657" s="60"/>
      <c r="KP657" s="16"/>
      <c r="KQ657" s="16"/>
      <c r="KR657" s="16"/>
      <c r="KS657" s="16"/>
      <c r="KT657" s="16"/>
      <c r="KU657" s="17"/>
      <c r="KY657" s="24"/>
      <c r="KZ657" s="60"/>
      <c r="LA657" s="16"/>
      <c r="LB657" s="16"/>
      <c r="LC657" s="16"/>
      <c r="LD657" s="16"/>
      <c r="LE657" s="16"/>
      <c r="LF657" s="17"/>
      <c r="LJ657" s="24"/>
      <c r="LK657" s="60"/>
      <c r="LL657" s="16"/>
      <c r="LM657" s="16"/>
      <c r="LN657" s="16"/>
      <c r="LO657" s="16"/>
      <c r="LP657" s="16"/>
      <c r="LQ657" s="17"/>
    </row>
    <row r="658">
      <c r="C658" s="31"/>
      <c r="D658" s="61"/>
      <c r="E658" s="16"/>
      <c r="F658" s="16"/>
      <c r="G658" s="21"/>
      <c r="H658" s="16"/>
      <c r="I658" s="16"/>
      <c r="J658" s="17"/>
      <c r="N658" s="17"/>
      <c r="O658" s="61"/>
      <c r="P658" s="16"/>
      <c r="Q658" s="16"/>
      <c r="R658" s="16"/>
      <c r="S658" s="16"/>
      <c r="T658" s="16"/>
      <c r="U658" s="17"/>
      <c r="Y658" s="24"/>
      <c r="Z658" s="61"/>
      <c r="AA658" s="16"/>
      <c r="AB658" s="16"/>
      <c r="AC658" s="16"/>
      <c r="AD658" s="16"/>
      <c r="AE658" s="16"/>
      <c r="AF658" s="17"/>
      <c r="AJ658" s="24"/>
      <c r="AK658" s="61"/>
      <c r="AL658" s="16"/>
      <c r="AM658" s="16"/>
      <c r="AN658" s="16"/>
      <c r="AO658" s="16"/>
      <c r="AP658" s="16"/>
      <c r="AQ658" s="17"/>
      <c r="AU658" s="24"/>
      <c r="AV658" s="61"/>
      <c r="AW658" s="16"/>
      <c r="AX658" s="16"/>
      <c r="AY658" s="16"/>
      <c r="AZ658" s="16"/>
      <c r="BA658" s="16"/>
      <c r="BB658" s="17"/>
      <c r="BF658" s="24"/>
      <c r="BG658" s="61"/>
      <c r="BH658" s="16"/>
      <c r="BI658" s="16"/>
      <c r="BJ658" s="16"/>
      <c r="BK658" s="16"/>
      <c r="BL658" s="16"/>
      <c r="BM658" s="17"/>
      <c r="BQ658" s="24"/>
      <c r="BR658" s="61"/>
      <c r="BS658" s="16"/>
      <c r="BT658" s="16"/>
      <c r="BU658" s="16"/>
      <c r="BV658" s="16"/>
      <c r="BW658" s="16"/>
      <c r="BX658" s="17"/>
      <c r="CB658" s="24"/>
      <c r="CC658" s="61"/>
      <c r="CD658" s="16"/>
      <c r="CE658" s="16"/>
      <c r="CF658" s="16"/>
      <c r="CG658" s="16"/>
      <c r="CH658" s="16"/>
      <c r="CI658" s="17"/>
      <c r="CM658" s="24"/>
      <c r="CN658" s="61"/>
      <c r="CO658" s="16"/>
      <c r="CP658" s="16"/>
      <c r="CQ658" s="16"/>
      <c r="CR658" s="16"/>
      <c r="CS658" s="16"/>
      <c r="CT658" s="17"/>
      <c r="CX658" s="24"/>
      <c r="CY658" s="60"/>
      <c r="CZ658" s="16"/>
      <c r="DA658" s="16"/>
      <c r="DB658" s="16"/>
      <c r="DC658" s="16"/>
      <c r="DD658" s="16"/>
      <c r="DE658" s="17"/>
      <c r="DI658" s="24"/>
      <c r="DJ658" s="60"/>
      <c r="DK658" s="16"/>
      <c r="DL658" s="16"/>
      <c r="DM658" s="16"/>
      <c r="DN658" s="16"/>
      <c r="DO658" s="16"/>
      <c r="DP658" s="17"/>
      <c r="DT658" s="24"/>
      <c r="DU658" s="60"/>
      <c r="DV658" s="16"/>
      <c r="DW658" s="16"/>
      <c r="DX658" s="16"/>
      <c r="DY658" s="16"/>
      <c r="DZ658" s="16"/>
      <c r="EA658" s="17"/>
      <c r="EE658" s="24"/>
      <c r="EF658" s="60"/>
      <c r="EG658" s="16"/>
      <c r="EH658" s="16"/>
      <c r="EI658" s="16"/>
      <c r="EJ658" s="16"/>
      <c r="EK658" s="16"/>
      <c r="EL658" s="17"/>
      <c r="EP658" s="24"/>
      <c r="EQ658" s="60"/>
      <c r="ER658" s="16"/>
      <c r="ES658" s="16"/>
      <c r="ET658" s="16"/>
      <c r="EU658" s="16"/>
      <c r="EV658" s="16"/>
      <c r="EW658" s="17"/>
      <c r="FA658" s="24"/>
      <c r="FB658" s="60"/>
      <c r="FC658" s="16"/>
      <c r="FD658" s="16"/>
      <c r="FE658" s="16"/>
      <c r="FF658" s="16"/>
      <c r="FG658" s="16"/>
      <c r="FH658" s="17"/>
      <c r="FL658" s="24"/>
      <c r="FM658" s="60"/>
      <c r="FN658" s="16"/>
      <c r="FO658" s="16"/>
      <c r="FP658" s="16"/>
      <c r="FQ658" s="16"/>
      <c r="FR658" s="16"/>
      <c r="FS658" s="17"/>
      <c r="FW658" s="24"/>
      <c r="FX658" s="60"/>
      <c r="FY658" s="16"/>
      <c r="FZ658" s="16"/>
      <c r="GA658" s="16"/>
      <c r="GB658" s="16"/>
      <c r="GC658" s="16"/>
      <c r="GD658" s="17"/>
      <c r="GH658" s="24"/>
      <c r="GI658" s="60"/>
      <c r="GJ658" s="16"/>
      <c r="GK658" s="16"/>
      <c r="GL658" s="16"/>
      <c r="GM658" s="16"/>
      <c r="GN658" s="16"/>
      <c r="GO658" s="17"/>
      <c r="GS658" s="24"/>
      <c r="GT658" s="60"/>
      <c r="GU658" s="16"/>
      <c r="GV658" s="16"/>
      <c r="GW658" s="16"/>
      <c r="GX658" s="16"/>
      <c r="GY658" s="16"/>
      <c r="GZ658" s="17"/>
      <c r="HD658" s="24"/>
      <c r="HE658" s="60"/>
      <c r="HF658" s="16"/>
      <c r="HG658" s="16"/>
      <c r="HH658" s="16"/>
      <c r="HI658" s="16"/>
      <c r="HJ658" s="16"/>
      <c r="HK658" s="17"/>
      <c r="HO658" s="24"/>
      <c r="HP658" s="60"/>
      <c r="HQ658" s="16"/>
      <c r="HR658" s="16"/>
      <c r="HS658" s="16"/>
      <c r="HT658" s="16"/>
      <c r="HU658" s="16"/>
      <c r="HV658" s="17"/>
      <c r="HZ658" s="24"/>
      <c r="IA658" s="60"/>
      <c r="IB658" s="16"/>
      <c r="IC658" s="16"/>
      <c r="ID658" s="16"/>
      <c r="IE658" s="16"/>
      <c r="IF658" s="16"/>
      <c r="IG658" s="17"/>
      <c r="IK658" s="24"/>
      <c r="IL658" s="60"/>
      <c r="IM658" s="16"/>
      <c r="IN658" s="16"/>
      <c r="IO658" s="16"/>
      <c r="IP658" s="16"/>
      <c r="IQ658" s="16"/>
      <c r="IR658" s="17"/>
      <c r="IV658" s="24"/>
      <c r="IW658" s="60"/>
      <c r="IX658" s="16"/>
      <c r="IY658" s="16"/>
      <c r="IZ658" s="16"/>
      <c r="JA658" s="16"/>
      <c r="JB658" s="16"/>
      <c r="JC658" s="17"/>
      <c r="JG658" s="24"/>
      <c r="JH658" s="60"/>
      <c r="JI658" s="16"/>
      <c r="JJ658" s="16"/>
      <c r="JK658" s="16"/>
      <c r="JL658" s="16"/>
      <c r="JM658" s="16"/>
      <c r="JN658" s="17"/>
      <c r="JR658" s="24"/>
      <c r="JS658" s="60"/>
      <c r="JT658" s="16"/>
      <c r="JU658" s="16"/>
      <c r="JV658" s="16"/>
      <c r="JW658" s="16"/>
      <c r="JX658" s="16"/>
      <c r="JY658" s="17"/>
      <c r="KC658" s="24"/>
      <c r="KD658" s="60"/>
      <c r="KE658" s="16"/>
      <c r="KF658" s="16"/>
      <c r="KG658" s="16"/>
      <c r="KH658" s="16"/>
      <c r="KI658" s="16"/>
      <c r="KJ658" s="17"/>
      <c r="KN658" s="24"/>
      <c r="KO658" s="60"/>
      <c r="KP658" s="16"/>
      <c r="KQ658" s="16"/>
      <c r="KR658" s="16"/>
      <c r="KS658" s="16"/>
      <c r="KT658" s="16"/>
      <c r="KU658" s="17"/>
      <c r="KY658" s="24"/>
      <c r="KZ658" s="60"/>
      <c r="LA658" s="16"/>
      <c r="LB658" s="16"/>
      <c r="LC658" s="16"/>
      <c r="LD658" s="16"/>
      <c r="LE658" s="16"/>
      <c r="LF658" s="17"/>
      <c r="LJ658" s="24"/>
      <c r="LK658" s="60"/>
      <c r="LL658" s="16"/>
      <c r="LM658" s="16"/>
      <c r="LN658" s="16"/>
      <c r="LO658" s="16"/>
      <c r="LP658" s="16"/>
      <c r="LQ658" s="17"/>
    </row>
    <row r="659">
      <c r="C659" s="31"/>
      <c r="D659" s="61"/>
      <c r="E659" s="16"/>
      <c r="F659" s="16"/>
      <c r="G659" s="21"/>
      <c r="H659" s="16"/>
      <c r="I659" s="16"/>
      <c r="J659" s="17"/>
      <c r="N659" s="17"/>
      <c r="O659" s="61"/>
      <c r="P659" s="16"/>
      <c r="Q659" s="16"/>
      <c r="R659" s="16"/>
      <c r="S659" s="16"/>
      <c r="T659" s="16"/>
      <c r="U659" s="17"/>
      <c r="Y659" s="24"/>
      <c r="Z659" s="61"/>
      <c r="AA659" s="16"/>
      <c r="AB659" s="16"/>
      <c r="AC659" s="16"/>
      <c r="AD659" s="16"/>
      <c r="AE659" s="16"/>
      <c r="AF659" s="17"/>
      <c r="AJ659" s="24"/>
      <c r="AK659" s="61"/>
      <c r="AL659" s="16"/>
      <c r="AM659" s="16"/>
      <c r="AN659" s="16"/>
      <c r="AO659" s="16"/>
      <c r="AP659" s="16"/>
      <c r="AQ659" s="17"/>
      <c r="AU659" s="24"/>
      <c r="AV659" s="61"/>
      <c r="AW659" s="16"/>
      <c r="AX659" s="16"/>
      <c r="AY659" s="16"/>
      <c r="AZ659" s="16"/>
      <c r="BA659" s="16"/>
      <c r="BB659" s="17"/>
      <c r="BF659" s="24"/>
      <c r="BG659" s="61"/>
      <c r="BH659" s="16"/>
      <c r="BI659" s="16"/>
      <c r="BJ659" s="16"/>
      <c r="BK659" s="16"/>
      <c r="BL659" s="16"/>
      <c r="BM659" s="17"/>
      <c r="BQ659" s="24"/>
      <c r="BR659" s="61"/>
      <c r="BS659" s="16"/>
      <c r="BT659" s="16"/>
      <c r="BU659" s="16"/>
      <c r="BV659" s="16"/>
      <c r="BW659" s="16"/>
      <c r="BX659" s="17"/>
      <c r="CB659" s="24"/>
      <c r="CC659" s="61"/>
      <c r="CD659" s="16"/>
      <c r="CE659" s="16"/>
      <c r="CF659" s="16"/>
      <c r="CG659" s="16"/>
      <c r="CH659" s="16"/>
      <c r="CI659" s="17"/>
      <c r="CM659" s="24"/>
      <c r="CN659" s="61"/>
      <c r="CO659" s="16"/>
      <c r="CP659" s="16"/>
      <c r="CQ659" s="16"/>
      <c r="CR659" s="16"/>
      <c r="CS659" s="16"/>
      <c r="CT659" s="17"/>
      <c r="CX659" s="24"/>
      <c r="CY659" s="60"/>
      <c r="CZ659" s="16"/>
      <c r="DA659" s="16"/>
      <c r="DB659" s="16"/>
      <c r="DC659" s="16"/>
      <c r="DD659" s="16"/>
      <c r="DE659" s="17"/>
      <c r="DI659" s="24"/>
      <c r="DJ659" s="60"/>
      <c r="DK659" s="16"/>
      <c r="DL659" s="16"/>
      <c r="DM659" s="16"/>
      <c r="DN659" s="16"/>
      <c r="DO659" s="16"/>
      <c r="DP659" s="17"/>
      <c r="DT659" s="24"/>
      <c r="DU659" s="60"/>
      <c r="DV659" s="16"/>
      <c r="DW659" s="16"/>
      <c r="DX659" s="16"/>
      <c r="DY659" s="16"/>
      <c r="DZ659" s="16"/>
      <c r="EA659" s="17"/>
      <c r="EE659" s="24"/>
      <c r="EF659" s="60"/>
      <c r="EG659" s="16"/>
      <c r="EH659" s="16"/>
      <c r="EI659" s="16"/>
      <c r="EJ659" s="16"/>
      <c r="EK659" s="16"/>
      <c r="EL659" s="17"/>
      <c r="EP659" s="24"/>
      <c r="EQ659" s="60"/>
      <c r="ER659" s="16"/>
      <c r="ES659" s="16"/>
      <c r="ET659" s="16"/>
      <c r="EU659" s="16"/>
      <c r="EV659" s="16"/>
      <c r="EW659" s="17"/>
      <c r="FA659" s="24"/>
      <c r="FB659" s="60"/>
      <c r="FC659" s="16"/>
      <c r="FD659" s="16"/>
      <c r="FE659" s="16"/>
      <c r="FF659" s="16"/>
      <c r="FG659" s="16"/>
      <c r="FH659" s="17"/>
      <c r="FL659" s="24"/>
      <c r="FM659" s="60"/>
      <c r="FN659" s="16"/>
      <c r="FO659" s="16"/>
      <c r="FP659" s="16"/>
      <c r="FQ659" s="16"/>
      <c r="FR659" s="16"/>
      <c r="FS659" s="17"/>
      <c r="FW659" s="24"/>
      <c r="FX659" s="60"/>
      <c r="FY659" s="16"/>
      <c r="FZ659" s="16"/>
      <c r="GA659" s="16"/>
      <c r="GB659" s="16"/>
      <c r="GC659" s="16"/>
      <c r="GD659" s="17"/>
      <c r="GH659" s="24"/>
      <c r="GI659" s="60"/>
      <c r="GJ659" s="16"/>
      <c r="GK659" s="16"/>
      <c r="GL659" s="16"/>
      <c r="GM659" s="16"/>
      <c r="GN659" s="16"/>
      <c r="GO659" s="17"/>
      <c r="GS659" s="24"/>
      <c r="GT659" s="60"/>
      <c r="GU659" s="16"/>
      <c r="GV659" s="16"/>
      <c r="GW659" s="16"/>
      <c r="GX659" s="16"/>
      <c r="GY659" s="16"/>
      <c r="GZ659" s="17"/>
      <c r="HD659" s="24"/>
      <c r="HE659" s="60"/>
      <c r="HF659" s="16"/>
      <c r="HG659" s="16"/>
      <c r="HH659" s="16"/>
      <c r="HI659" s="16"/>
      <c r="HJ659" s="16"/>
      <c r="HK659" s="17"/>
      <c r="HO659" s="24"/>
      <c r="HP659" s="60"/>
      <c r="HQ659" s="16"/>
      <c r="HR659" s="16"/>
      <c r="HS659" s="16"/>
      <c r="HT659" s="16"/>
      <c r="HU659" s="16"/>
      <c r="HV659" s="17"/>
      <c r="HZ659" s="24"/>
      <c r="IA659" s="60"/>
      <c r="IB659" s="16"/>
      <c r="IC659" s="16"/>
      <c r="ID659" s="16"/>
      <c r="IE659" s="16"/>
      <c r="IF659" s="16"/>
      <c r="IG659" s="17"/>
      <c r="IK659" s="24"/>
      <c r="IL659" s="60"/>
      <c r="IM659" s="16"/>
      <c r="IN659" s="16"/>
      <c r="IO659" s="16"/>
      <c r="IP659" s="16"/>
      <c r="IQ659" s="16"/>
      <c r="IR659" s="17"/>
      <c r="IV659" s="24"/>
      <c r="IW659" s="60"/>
      <c r="IX659" s="16"/>
      <c r="IY659" s="16"/>
      <c r="IZ659" s="16"/>
      <c r="JA659" s="16"/>
      <c r="JB659" s="16"/>
      <c r="JC659" s="17"/>
      <c r="JG659" s="24"/>
      <c r="JH659" s="60"/>
      <c r="JI659" s="16"/>
      <c r="JJ659" s="16"/>
      <c r="JK659" s="16"/>
      <c r="JL659" s="16"/>
      <c r="JM659" s="16"/>
      <c r="JN659" s="17"/>
      <c r="JR659" s="24"/>
      <c r="JS659" s="60"/>
      <c r="JT659" s="16"/>
      <c r="JU659" s="16"/>
      <c r="JV659" s="16"/>
      <c r="JW659" s="16"/>
      <c r="JX659" s="16"/>
      <c r="JY659" s="17"/>
      <c r="KC659" s="24"/>
      <c r="KD659" s="60"/>
      <c r="KE659" s="16"/>
      <c r="KF659" s="16"/>
      <c r="KG659" s="16"/>
      <c r="KH659" s="16"/>
      <c r="KI659" s="16"/>
      <c r="KJ659" s="17"/>
      <c r="KN659" s="24"/>
      <c r="KO659" s="60"/>
      <c r="KP659" s="16"/>
      <c r="KQ659" s="16"/>
      <c r="KR659" s="16"/>
      <c r="KS659" s="16"/>
      <c r="KT659" s="16"/>
      <c r="KU659" s="17"/>
      <c r="KY659" s="24"/>
      <c r="KZ659" s="60"/>
      <c r="LA659" s="16"/>
      <c r="LB659" s="16"/>
      <c r="LC659" s="16"/>
      <c r="LD659" s="16"/>
      <c r="LE659" s="16"/>
      <c r="LF659" s="17"/>
      <c r="LJ659" s="24"/>
      <c r="LK659" s="60"/>
      <c r="LL659" s="16"/>
      <c r="LM659" s="16"/>
      <c r="LN659" s="16"/>
      <c r="LO659" s="16"/>
      <c r="LP659" s="16"/>
      <c r="LQ659" s="17"/>
    </row>
    <row r="660">
      <c r="C660" s="31"/>
      <c r="D660" s="61"/>
      <c r="E660" s="16"/>
      <c r="F660" s="16"/>
      <c r="G660" s="21"/>
      <c r="H660" s="16"/>
      <c r="I660" s="16"/>
      <c r="J660" s="17"/>
      <c r="N660" s="17"/>
      <c r="O660" s="61"/>
      <c r="P660" s="16"/>
      <c r="Q660" s="16"/>
      <c r="R660" s="16"/>
      <c r="S660" s="16"/>
      <c r="T660" s="16"/>
      <c r="U660" s="17"/>
      <c r="Y660" s="24"/>
      <c r="Z660" s="61"/>
      <c r="AA660" s="16"/>
      <c r="AB660" s="16"/>
      <c r="AC660" s="16"/>
      <c r="AD660" s="16"/>
      <c r="AE660" s="16"/>
      <c r="AF660" s="17"/>
      <c r="AJ660" s="24"/>
      <c r="AK660" s="61"/>
      <c r="AL660" s="16"/>
      <c r="AM660" s="16"/>
      <c r="AN660" s="16"/>
      <c r="AO660" s="16"/>
      <c r="AP660" s="16"/>
      <c r="AQ660" s="17"/>
      <c r="AU660" s="24"/>
      <c r="AV660" s="61"/>
      <c r="AW660" s="16"/>
      <c r="AX660" s="16"/>
      <c r="AY660" s="16"/>
      <c r="AZ660" s="16"/>
      <c r="BA660" s="16"/>
      <c r="BB660" s="17"/>
      <c r="BF660" s="24"/>
      <c r="BG660" s="61"/>
      <c r="BH660" s="16"/>
      <c r="BI660" s="16"/>
      <c r="BJ660" s="16"/>
      <c r="BK660" s="16"/>
      <c r="BL660" s="16"/>
      <c r="BM660" s="17"/>
      <c r="BQ660" s="24"/>
      <c r="BR660" s="61"/>
      <c r="BS660" s="16"/>
      <c r="BT660" s="16"/>
      <c r="BU660" s="16"/>
      <c r="BV660" s="16"/>
      <c r="BW660" s="16"/>
      <c r="BX660" s="17"/>
      <c r="CB660" s="24"/>
      <c r="CC660" s="61"/>
      <c r="CD660" s="16"/>
      <c r="CE660" s="16"/>
      <c r="CF660" s="16"/>
      <c r="CG660" s="16"/>
      <c r="CH660" s="16"/>
      <c r="CI660" s="17"/>
      <c r="CM660" s="24"/>
      <c r="CN660" s="61"/>
      <c r="CO660" s="16"/>
      <c r="CP660" s="16"/>
      <c r="CQ660" s="16"/>
      <c r="CR660" s="16"/>
      <c r="CS660" s="16"/>
      <c r="CT660" s="17"/>
      <c r="CX660" s="24"/>
      <c r="CY660" s="60"/>
      <c r="CZ660" s="16"/>
      <c r="DA660" s="16"/>
      <c r="DB660" s="16"/>
      <c r="DC660" s="16"/>
      <c r="DD660" s="16"/>
      <c r="DE660" s="17"/>
      <c r="DI660" s="24"/>
      <c r="DJ660" s="60"/>
      <c r="DK660" s="16"/>
      <c r="DL660" s="16"/>
      <c r="DM660" s="16"/>
      <c r="DN660" s="16"/>
      <c r="DO660" s="16"/>
      <c r="DP660" s="17"/>
      <c r="DT660" s="24"/>
      <c r="DU660" s="60"/>
      <c r="DV660" s="16"/>
      <c r="DW660" s="16"/>
      <c r="DX660" s="16"/>
      <c r="DY660" s="16"/>
      <c r="DZ660" s="16"/>
      <c r="EA660" s="17"/>
      <c r="EE660" s="24"/>
      <c r="EF660" s="60"/>
      <c r="EG660" s="16"/>
      <c r="EH660" s="16"/>
      <c r="EI660" s="16"/>
      <c r="EJ660" s="16"/>
      <c r="EK660" s="16"/>
      <c r="EL660" s="17"/>
      <c r="EP660" s="24"/>
      <c r="EQ660" s="60"/>
      <c r="ER660" s="16"/>
      <c r="ES660" s="16"/>
      <c r="ET660" s="16"/>
      <c r="EU660" s="16"/>
      <c r="EV660" s="16"/>
      <c r="EW660" s="17"/>
      <c r="FA660" s="24"/>
      <c r="FB660" s="60"/>
      <c r="FC660" s="16"/>
      <c r="FD660" s="16"/>
      <c r="FE660" s="16"/>
      <c r="FF660" s="16"/>
      <c r="FG660" s="16"/>
      <c r="FH660" s="17"/>
      <c r="FL660" s="24"/>
      <c r="FM660" s="60"/>
      <c r="FN660" s="16"/>
      <c r="FO660" s="16"/>
      <c r="FP660" s="16"/>
      <c r="FQ660" s="16"/>
      <c r="FR660" s="16"/>
      <c r="FS660" s="17"/>
      <c r="FW660" s="24"/>
      <c r="FX660" s="60"/>
      <c r="FY660" s="16"/>
      <c r="FZ660" s="16"/>
      <c r="GA660" s="16"/>
      <c r="GB660" s="16"/>
      <c r="GC660" s="16"/>
      <c r="GD660" s="17"/>
      <c r="GH660" s="24"/>
      <c r="GI660" s="60"/>
      <c r="GJ660" s="16"/>
      <c r="GK660" s="16"/>
      <c r="GL660" s="16"/>
      <c r="GM660" s="16"/>
      <c r="GN660" s="16"/>
      <c r="GO660" s="17"/>
      <c r="GS660" s="24"/>
      <c r="GT660" s="60"/>
      <c r="GU660" s="16"/>
      <c r="GV660" s="16"/>
      <c r="GW660" s="16"/>
      <c r="GX660" s="16"/>
      <c r="GY660" s="16"/>
      <c r="GZ660" s="17"/>
      <c r="HD660" s="24"/>
      <c r="HE660" s="60"/>
      <c r="HF660" s="16"/>
      <c r="HG660" s="16"/>
      <c r="HH660" s="16"/>
      <c r="HI660" s="16"/>
      <c r="HJ660" s="16"/>
      <c r="HK660" s="17"/>
      <c r="HO660" s="24"/>
      <c r="HP660" s="60"/>
      <c r="HQ660" s="16"/>
      <c r="HR660" s="16"/>
      <c r="HS660" s="16"/>
      <c r="HT660" s="16"/>
      <c r="HU660" s="16"/>
      <c r="HV660" s="17"/>
      <c r="HZ660" s="24"/>
      <c r="IA660" s="60"/>
      <c r="IB660" s="16"/>
      <c r="IC660" s="16"/>
      <c r="ID660" s="16"/>
      <c r="IE660" s="16"/>
      <c r="IF660" s="16"/>
      <c r="IG660" s="17"/>
      <c r="IK660" s="24"/>
      <c r="IL660" s="60"/>
      <c r="IM660" s="16"/>
      <c r="IN660" s="16"/>
      <c r="IO660" s="16"/>
      <c r="IP660" s="16"/>
      <c r="IQ660" s="16"/>
      <c r="IR660" s="17"/>
      <c r="IV660" s="24"/>
      <c r="IW660" s="60"/>
      <c r="IX660" s="16"/>
      <c r="IY660" s="16"/>
      <c r="IZ660" s="16"/>
      <c r="JA660" s="16"/>
      <c r="JB660" s="16"/>
      <c r="JC660" s="17"/>
      <c r="JG660" s="24"/>
      <c r="JH660" s="60"/>
      <c r="JI660" s="16"/>
      <c r="JJ660" s="16"/>
      <c r="JK660" s="16"/>
      <c r="JL660" s="16"/>
      <c r="JM660" s="16"/>
      <c r="JN660" s="17"/>
      <c r="JR660" s="24"/>
      <c r="JS660" s="60"/>
      <c r="JT660" s="16"/>
      <c r="JU660" s="16"/>
      <c r="JV660" s="16"/>
      <c r="JW660" s="16"/>
      <c r="JX660" s="16"/>
      <c r="JY660" s="17"/>
      <c r="KC660" s="24"/>
      <c r="KD660" s="60"/>
      <c r="KE660" s="16"/>
      <c r="KF660" s="16"/>
      <c r="KG660" s="16"/>
      <c r="KH660" s="16"/>
      <c r="KI660" s="16"/>
      <c r="KJ660" s="17"/>
      <c r="KN660" s="24"/>
      <c r="KO660" s="60"/>
      <c r="KP660" s="16"/>
      <c r="KQ660" s="16"/>
      <c r="KR660" s="16"/>
      <c r="KS660" s="16"/>
      <c r="KT660" s="16"/>
      <c r="KU660" s="17"/>
      <c r="KY660" s="24"/>
      <c r="KZ660" s="60"/>
      <c r="LA660" s="16"/>
      <c r="LB660" s="16"/>
      <c r="LC660" s="16"/>
      <c r="LD660" s="16"/>
      <c r="LE660" s="16"/>
      <c r="LF660" s="17"/>
      <c r="LJ660" s="24"/>
      <c r="LK660" s="60"/>
      <c r="LL660" s="16"/>
      <c r="LM660" s="16"/>
      <c r="LN660" s="16"/>
      <c r="LO660" s="16"/>
      <c r="LP660" s="16"/>
      <c r="LQ660" s="17"/>
    </row>
    <row r="661">
      <c r="C661" s="31"/>
      <c r="D661" s="61"/>
      <c r="E661" s="16"/>
      <c r="F661" s="16"/>
      <c r="G661" s="21"/>
      <c r="H661" s="16"/>
      <c r="I661" s="16"/>
      <c r="J661" s="17"/>
      <c r="N661" s="17"/>
      <c r="O661" s="61"/>
      <c r="P661" s="16"/>
      <c r="Q661" s="16"/>
      <c r="R661" s="16"/>
      <c r="S661" s="16"/>
      <c r="T661" s="16"/>
      <c r="U661" s="17"/>
      <c r="Y661" s="24"/>
      <c r="Z661" s="61"/>
      <c r="AA661" s="16"/>
      <c r="AB661" s="16"/>
      <c r="AC661" s="16"/>
      <c r="AD661" s="16"/>
      <c r="AE661" s="16"/>
      <c r="AF661" s="17"/>
      <c r="AJ661" s="24"/>
      <c r="AK661" s="61"/>
      <c r="AL661" s="16"/>
      <c r="AM661" s="16"/>
      <c r="AN661" s="16"/>
      <c r="AO661" s="16"/>
      <c r="AP661" s="16"/>
      <c r="AQ661" s="17"/>
      <c r="AU661" s="24"/>
      <c r="AV661" s="61"/>
      <c r="AW661" s="16"/>
      <c r="AX661" s="16"/>
      <c r="AY661" s="16"/>
      <c r="AZ661" s="16"/>
      <c r="BA661" s="16"/>
      <c r="BB661" s="17"/>
      <c r="BF661" s="24"/>
      <c r="BG661" s="61"/>
      <c r="BH661" s="16"/>
      <c r="BI661" s="16"/>
      <c r="BJ661" s="16"/>
      <c r="BK661" s="16"/>
      <c r="BL661" s="16"/>
      <c r="BM661" s="17"/>
      <c r="BQ661" s="24"/>
      <c r="BR661" s="61"/>
      <c r="BS661" s="16"/>
      <c r="BT661" s="16"/>
      <c r="BU661" s="16"/>
      <c r="BV661" s="16"/>
      <c r="BW661" s="16"/>
      <c r="BX661" s="17"/>
      <c r="CB661" s="24"/>
      <c r="CC661" s="61"/>
      <c r="CD661" s="16"/>
      <c r="CE661" s="16"/>
      <c r="CF661" s="16"/>
      <c r="CG661" s="16"/>
      <c r="CH661" s="16"/>
      <c r="CI661" s="17"/>
      <c r="CM661" s="24"/>
      <c r="CN661" s="61"/>
      <c r="CO661" s="16"/>
      <c r="CP661" s="16"/>
      <c r="CQ661" s="16"/>
      <c r="CR661" s="16"/>
      <c r="CS661" s="16"/>
      <c r="CT661" s="17"/>
      <c r="CX661" s="24"/>
      <c r="CY661" s="60"/>
      <c r="CZ661" s="16"/>
      <c r="DA661" s="16"/>
      <c r="DB661" s="16"/>
      <c r="DC661" s="16"/>
      <c r="DD661" s="16"/>
      <c r="DE661" s="17"/>
      <c r="DI661" s="24"/>
      <c r="DJ661" s="60"/>
      <c r="DK661" s="16"/>
      <c r="DL661" s="16"/>
      <c r="DM661" s="16"/>
      <c r="DN661" s="16"/>
      <c r="DO661" s="16"/>
      <c r="DP661" s="17"/>
      <c r="DT661" s="24"/>
      <c r="DU661" s="60"/>
      <c r="DV661" s="16"/>
      <c r="DW661" s="16"/>
      <c r="DX661" s="16"/>
      <c r="DY661" s="16"/>
      <c r="DZ661" s="16"/>
      <c r="EA661" s="17"/>
      <c r="EE661" s="24"/>
      <c r="EF661" s="60"/>
      <c r="EG661" s="16"/>
      <c r="EH661" s="16"/>
      <c r="EI661" s="16"/>
      <c r="EJ661" s="16"/>
      <c r="EK661" s="16"/>
      <c r="EL661" s="17"/>
      <c r="EP661" s="24"/>
      <c r="EQ661" s="60"/>
      <c r="ER661" s="16"/>
      <c r="ES661" s="16"/>
      <c r="ET661" s="16"/>
      <c r="EU661" s="16"/>
      <c r="EV661" s="16"/>
      <c r="EW661" s="17"/>
      <c r="FA661" s="24"/>
      <c r="FB661" s="60"/>
      <c r="FC661" s="16"/>
      <c r="FD661" s="16"/>
      <c r="FE661" s="16"/>
      <c r="FF661" s="16"/>
      <c r="FG661" s="16"/>
      <c r="FH661" s="17"/>
      <c r="FL661" s="24"/>
      <c r="FM661" s="60"/>
      <c r="FN661" s="16"/>
      <c r="FO661" s="16"/>
      <c r="FP661" s="16"/>
      <c r="FQ661" s="16"/>
      <c r="FR661" s="16"/>
      <c r="FS661" s="17"/>
      <c r="FW661" s="24"/>
      <c r="FX661" s="60"/>
      <c r="FY661" s="16"/>
      <c r="FZ661" s="16"/>
      <c r="GA661" s="16"/>
      <c r="GB661" s="16"/>
      <c r="GC661" s="16"/>
      <c r="GD661" s="17"/>
      <c r="GH661" s="24"/>
      <c r="GI661" s="60"/>
      <c r="GJ661" s="16"/>
      <c r="GK661" s="16"/>
      <c r="GL661" s="16"/>
      <c r="GM661" s="16"/>
      <c r="GN661" s="16"/>
      <c r="GO661" s="17"/>
      <c r="GS661" s="24"/>
      <c r="GT661" s="60"/>
      <c r="GU661" s="16"/>
      <c r="GV661" s="16"/>
      <c r="GW661" s="16"/>
      <c r="GX661" s="16"/>
      <c r="GY661" s="16"/>
      <c r="GZ661" s="17"/>
      <c r="HD661" s="24"/>
      <c r="HE661" s="60"/>
      <c r="HF661" s="16"/>
      <c r="HG661" s="16"/>
      <c r="HH661" s="16"/>
      <c r="HI661" s="16"/>
      <c r="HJ661" s="16"/>
      <c r="HK661" s="17"/>
      <c r="HO661" s="24"/>
      <c r="HP661" s="60"/>
      <c r="HQ661" s="16"/>
      <c r="HR661" s="16"/>
      <c r="HS661" s="16"/>
      <c r="HT661" s="16"/>
      <c r="HU661" s="16"/>
      <c r="HV661" s="17"/>
      <c r="HZ661" s="24"/>
      <c r="IA661" s="60"/>
      <c r="IB661" s="16"/>
      <c r="IC661" s="16"/>
      <c r="ID661" s="16"/>
      <c r="IE661" s="16"/>
      <c r="IF661" s="16"/>
      <c r="IG661" s="17"/>
      <c r="IK661" s="24"/>
      <c r="IL661" s="60"/>
      <c r="IM661" s="16"/>
      <c r="IN661" s="16"/>
      <c r="IO661" s="16"/>
      <c r="IP661" s="16"/>
      <c r="IQ661" s="16"/>
      <c r="IR661" s="17"/>
      <c r="IV661" s="24"/>
      <c r="IW661" s="60"/>
      <c r="IX661" s="16"/>
      <c r="IY661" s="16"/>
      <c r="IZ661" s="16"/>
      <c r="JA661" s="16"/>
      <c r="JB661" s="16"/>
      <c r="JC661" s="17"/>
      <c r="JG661" s="24"/>
      <c r="JH661" s="60"/>
      <c r="JI661" s="16"/>
      <c r="JJ661" s="16"/>
      <c r="JK661" s="16"/>
      <c r="JL661" s="16"/>
      <c r="JM661" s="16"/>
      <c r="JN661" s="17"/>
      <c r="JR661" s="24"/>
      <c r="JS661" s="60"/>
      <c r="JT661" s="16"/>
      <c r="JU661" s="16"/>
      <c r="JV661" s="16"/>
      <c r="JW661" s="16"/>
      <c r="JX661" s="16"/>
      <c r="JY661" s="17"/>
      <c r="KC661" s="24"/>
      <c r="KD661" s="60"/>
      <c r="KE661" s="16"/>
      <c r="KF661" s="16"/>
      <c r="KG661" s="16"/>
      <c r="KH661" s="16"/>
      <c r="KI661" s="16"/>
      <c r="KJ661" s="17"/>
      <c r="KN661" s="24"/>
      <c r="KO661" s="60"/>
      <c r="KP661" s="16"/>
      <c r="KQ661" s="16"/>
      <c r="KR661" s="16"/>
      <c r="KS661" s="16"/>
      <c r="KT661" s="16"/>
      <c r="KU661" s="17"/>
      <c r="KY661" s="24"/>
      <c r="KZ661" s="60"/>
      <c r="LA661" s="16"/>
      <c r="LB661" s="16"/>
      <c r="LC661" s="16"/>
      <c r="LD661" s="16"/>
      <c r="LE661" s="16"/>
      <c r="LF661" s="17"/>
      <c r="LJ661" s="24"/>
      <c r="LK661" s="60"/>
      <c r="LL661" s="16"/>
      <c r="LM661" s="16"/>
      <c r="LN661" s="16"/>
      <c r="LO661" s="16"/>
      <c r="LP661" s="16"/>
      <c r="LQ661" s="17"/>
    </row>
    <row r="662">
      <c r="C662" s="31"/>
      <c r="D662" s="61"/>
      <c r="E662" s="16"/>
      <c r="F662" s="16"/>
      <c r="G662" s="21"/>
      <c r="H662" s="16"/>
      <c r="I662" s="16"/>
      <c r="J662" s="17"/>
      <c r="N662" s="17"/>
      <c r="O662" s="61"/>
      <c r="P662" s="16"/>
      <c r="Q662" s="16"/>
      <c r="R662" s="16"/>
      <c r="S662" s="16"/>
      <c r="T662" s="16"/>
      <c r="U662" s="17"/>
      <c r="Y662" s="24"/>
      <c r="Z662" s="61"/>
      <c r="AA662" s="16"/>
      <c r="AB662" s="16"/>
      <c r="AC662" s="16"/>
      <c r="AD662" s="16"/>
      <c r="AE662" s="16"/>
      <c r="AF662" s="17"/>
      <c r="AJ662" s="24"/>
      <c r="AK662" s="61"/>
      <c r="AL662" s="16"/>
      <c r="AM662" s="16"/>
      <c r="AN662" s="16"/>
      <c r="AO662" s="16"/>
      <c r="AP662" s="16"/>
      <c r="AQ662" s="17"/>
      <c r="AU662" s="24"/>
      <c r="AV662" s="61"/>
      <c r="AW662" s="16"/>
      <c r="AX662" s="16"/>
      <c r="AY662" s="16"/>
      <c r="AZ662" s="16"/>
      <c r="BA662" s="16"/>
      <c r="BB662" s="17"/>
      <c r="BF662" s="24"/>
      <c r="BG662" s="61"/>
      <c r="BH662" s="16"/>
      <c r="BI662" s="16"/>
      <c r="BJ662" s="16"/>
      <c r="BK662" s="16"/>
      <c r="BL662" s="16"/>
      <c r="BM662" s="17"/>
      <c r="BQ662" s="24"/>
      <c r="BR662" s="61"/>
      <c r="BS662" s="16"/>
      <c r="BT662" s="16"/>
      <c r="BU662" s="16"/>
      <c r="BV662" s="16"/>
      <c r="BW662" s="16"/>
      <c r="BX662" s="17"/>
      <c r="CB662" s="24"/>
      <c r="CC662" s="61"/>
      <c r="CD662" s="16"/>
      <c r="CE662" s="16"/>
      <c r="CF662" s="16"/>
      <c r="CG662" s="16"/>
      <c r="CH662" s="16"/>
      <c r="CI662" s="17"/>
      <c r="CM662" s="24"/>
      <c r="CN662" s="61"/>
      <c r="CO662" s="16"/>
      <c r="CP662" s="16"/>
      <c r="CQ662" s="16"/>
      <c r="CR662" s="16"/>
      <c r="CS662" s="16"/>
      <c r="CT662" s="17"/>
      <c r="CX662" s="24"/>
      <c r="CY662" s="60"/>
      <c r="CZ662" s="16"/>
      <c r="DA662" s="16"/>
      <c r="DB662" s="16"/>
      <c r="DC662" s="16"/>
      <c r="DD662" s="16"/>
      <c r="DE662" s="17"/>
      <c r="DI662" s="24"/>
      <c r="DJ662" s="60"/>
      <c r="DK662" s="16"/>
      <c r="DL662" s="16"/>
      <c r="DM662" s="16"/>
      <c r="DN662" s="16"/>
      <c r="DO662" s="16"/>
      <c r="DP662" s="17"/>
      <c r="DT662" s="24"/>
      <c r="DU662" s="60"/>
      <c r="DV662" s="16"/>
      <c r="DW662" s="16"/>
      <c r="DX662" s="16"/>
      <c r="DY662" s="16"/>
      <c r="DZ662" s="16"/>
      <c r="EA662" s="17"/>
      <c r="EE662" s="24"/>
      <c r="EF662" s="60"/>
      <c r="EG662" s="16"/>
      <c r="EH662" s="16"/>
      <c r="EI662" s="16"/>
      <c r="EJ662" s="16"/>
      <c r="EK662" s="16"/>
      <c r="EL662" s="17"/>
      <c r="EP662" s="24"/>
      <c r="EQ662" s="60"/>
      <c r="ER662" s="16"/>
      <c r="ES662" s="16"/>
      <c r="ET662" s="16"/>
      <c r="EU662" s="16"/>
      <c r="EV662" s="16"/>
      <c r="EW662" s="17"/>
      <c r="FA662" s="24"/>
      <c r="FB662" s="60"/>
      <c r="FC662" s="16"/>
      <c r="FD662" s="16"/>
      <c r="FE662" s="16"/>
      <c r="FF662" s="16"/>
      <c r="FG662" s="16"/>
      <c r="FH662" s="17"/>
      <c r="FL662" s="24"/>
      <c r="FM662" s="60"/>
      <c r="FN662" s="16"/>
      <c r="FO662" s="16"/>
      <c r="FP662" s="16"/>
      <c r="FQ662" s="16"/>
      <c r="FR662" s="16"/>
      <c r="FS662" s="17"/>
      <c r="FW662" s="24"/>
      <c r="FX662" s="60"/>
      <c r="FY662" s="16"/>
      <c r="FZ662" s="16"/>
      <c r="GA662" s="16"/>
      <c r="GB662" s="16"/>
      <c r="GC662" s="16"/>
      <c r="GD662" s="17"/>
      <c r="GH662" s="24"/>
      <c r="GI662" s="60"/>
      <c r="GJ662" s="16"/>
      <c r="GK662" s="16"/>
      <c r="GL662" s="16"/>
      <c r="GM662" s="16"/>
      <c r="GN662" s="16"/>
      <c r="GO662" s="17"/>
      <c r="GS662" s="24"/>
      <c r="GT662" s="60"/>
      <c r="GU662" s="16"/>
      <c r="GV662" s="16"/>
      <c r="GW662" s="16"/>
      <c r="GX662" s="16"/>
      <c r="GY662" s="16"/>
      <c r="GZ662" s="17"/>
      <c r="HD662" s="24"/>
      <c r="HE662" s="60"/>
      <c r="HF662" s="16"/>
      <c r="HG662" s="16"/>
      <c r="HH662" s="16"/>
      <c r="HI662" s="16"/>
      <c r="HJ662" s="16"/>
      <c r="HK662" s="17"/>
      <c r="HO662" s="24"/>
      <c r="HP662" s="60"/>
      <c r="HQ662" s="16"/>
      <c r="HR662" s="16"/>
      <c r="HS662" s="16"/>
      <c r="HT662" s="16"/>
      <c r="HU662" s="16"/>
      <c r="HV662" s="17"/>
      <c r="HZ662" s="24"/>
      <c r="IA662" s="60"/>
      <c r="IB662" s="16"/>
      <c r="IC662" s="16"/>
      <c r="ID662" s="16"/>
      <c r="IE662" s="16"/>
      <c r="IF662" s="16"/>
      <c r="IG662" s="17"/>
      <c r="IK662" s="24"/>
      <c r="IL662" s="60"/>
      <c r="IM662" s="16"/>
      <c r="IN662" s="16"/>
      <c r="IO662" s="16"/>
      <c r="IP662" s="16"/>
      <c r="IQ662" s="16"/>
      <c r="IR662" s="17"/>
      <c r="IV662" s="24"/>
      <c r="IW662" s="60"/>
      <c r="IX662" s="16"/>
      <c r="IY662" s="16"/>
      <c r="IZ662" s="16"/>
      <c r="JA662" s="16"/>
      <c r="JB662" s="16"/>
      <c r="JC662" s="17"/>
      <c r="JG662" s="24"/>
      <c r="JH662" s="60"/>
      <c r="JI662" s="16"/>
      <c r="JJ662" s="16"/>
      <c r="JK662" s="16"/>
      <c r="JL662" s="16"/>
      <c r="JM662" s="16"/>
      <c r="JN662" s="17"/>
      <c r="JR662" s="24"/>
      <c r="JS662" s="60"/>
      <c r="JT662" s="16"/>
      <c r="JU662" s="16"/>
      <c r="JV662" s="16"/>
      <c r="JW662" s="16"/>
      <c r="JX662" s="16"/>
      <c r="JY662" s="17"/>
      <c r="KC662" s="24"/>
      <c r="KD662" s="60"/>
      <c r="KE662" s="16"/>
      <c r="KF662" s="16"/>
      <c r="KG662" s="16"/>
      <c r="KH662" s="16"/>
      <c r="KI662" s="16"/>
      <c r="KJ662" s="17"/>
      <c r="KN662" s="24"/>
      <c r="KO662" s="60"/>
      <c r="KP662" s="16"/>
      <c r="KQ662" s="16"/>
      <c r="KR662" s="16"/>
      <c r="KS662" s="16"/>
      <c r="KT662" s="16"/>
      <c r="KU662" s="17"/>
      <c r="KY662" s="24"/>
      <c r="KZ662" s="60"/>
      <c r="LA662" s="16"/>
      <c r="LB662" s="16"/>
      <c r="LC662" s="16"/>
      <c r="LD662" s="16"/>
      <c r="LE662" s="16"/>
      <c r="LF662" s="17"/>
      <c r="LJ662" s="24"/>
      <c r="LK662" s="60"/>
      <c r="LL662" s="16"/>
      <c r="LM662" s="16"/>
      <c r="LN662" s="16"/>
      <c r="LO662" s="16"/>
      <c r="LP662" s="16"/>
      <c r="LQ662" s="17"/>
    </row>
    <row r="663">
      <c r="C663" s="31"/>
      <c r="D663" s="61"/>
      <c r="E663" s="16"/>
      <c r="F663" s="16"/>
      <c r="G663" s="21"/>
      <c r="H663" s="16"/>
      <c r="I663" s="16"/>
      <c r="J663" s="17"/>
      <c r="N663" s="17"/>
      <c r="O663" s="61"/>
      <c r="P663" s="16"/>
      <c r="Q663" s="16"/>
      <c r="R663" s="16"/>
      <c r="S663" s="16"/>
      <c r="T663" s="16"/>
      <c r="U663" s="17"/>
      <c r="Y663" s="24"/>
      <c r="Z663" s="61"/>
      <c r="AA663" s="16"/>
      <c r="AB663" s="16"/>
      <c r="AC663" s="16"/>
      <c r="AD663" s="16"/>
      <c r="AE663" s="16"/>
      <c r="AF663" s="17"/>
      <c r="AJ663" s="24"/>
      <c r="AK663" s="61"/>
      <c r="AL663" s="16"/>
      <c r="AM663" s="16"/>
      <c r="AN663" s="16"/>
      <c r="AO663" s="16"/>
      <c r="AP663" s="16"/>
      <c r="AQ663" s="17"/>
      <c r="AU663" s="24"/>
      <c r="AV663" s="61"/>
      <c r="AW663" s="16"/>
      <c r="AX663" s="16"/>
      <c r="AY663" s="16"/>
      <c r="AZ663" s="16"/>
      <c r="BA663" s="16"/>
      <c r="BB663" s="17"/>
      <c r="BF663" s="24"/>
      <c r="BG663" s="61"/>
      <c r="BH663" s="16"/>
      <c r="BI663" s="16"/>
      <c r="BJ663" s="16"/>
      <c r="BK663" s="16"/>
      <c r="BL663" s="16"/>
      <c r="BM663" s="17"/>
      <c r="BQ663" s="24"/>
      <c r="BR663" s="61"/>
      <c r="BS663" s="16"/>
      <c r="BT663" s="16"/>
      <c r="BU663" s="16"/>
      <c r="BV663" s="16"/>
      <c r="BW663" s="16"/>
      <c r="BX663" s="17"/>
      <c r="CB663" s="24"/>
      <c r="CC663" s="61"/>
      <c r="CD663" s="16"/>
      <c r="CE663" s="16"/>
      <c r="CF663" s="16"/>
      <c r="CG663" s="16"/>
      <c r="CH663" s="16"/>
      <c r="CI663" s="17"/>
      <c r="CM663" s="24"/>
      <c r="CN663" s="61"/>
      <c r="CO663" s="16"/>
      <c r="CP663" s="16"/>
      <c r="CQ663" s="16"/>
      <c r="CR663" s="16"/>
      <c r="CS663" s="16"/>
      <c r="CT663" s="17"/>
      <c r="CX663" s="24"/>
      <c r="CY663" s="60"/>
      <c r="CZ663" s="16"/>
      <c r="DA663" s="16"/>
      <c r="DB663" s="16"/>
      <c r="DC663" s="16"/>
      <c r="DD663" s="16"/>
      <c r="DE663" s="17"/>
      <c r="DI663" s="24"/>
      <c r="DJ663" s="60"/>
      <c r="DK663" s="16"/>
      <c r="DL663" s="16"/>
      <c r="DM663" s="16"/>
      <c r="DN663" s="16"/>
      <c r="DO663" s="16"/>
      <c r="DP663" s="17"/>
      <c r="DT663" s="24"/>
      <c r="DU663" s="60"/>
      <c r="DV663" s="16"/>
      <c r="DW663" s="16"/>
      <c r="DX663" s="16"/>
      <c r="DY663" s="16"/>
      <c r="DZ663" s="16"/>
      <c r="EA663" s="17"/>
      <c r="EE663" s="24"/>
      <c r="EF663" s="60"/>
      <c r="EG663" s="16"/>
      <c r="EH663" s="16"/>
      <c r="EI663" s="16"/>
      <c r="EJ663" s="16"/>
      <c r="EK663" s="16"/>
      <c r="EL663" s="17"/>
      <c r="EP663" s="24"/>
      <c r="EQ663" s="60"/>
      <c r="ER663" s="16"/>
      <c r="ES663" s="16"/>
      <c r="ET663" s="16"/>
      <c r="EU663" s="16"/>
      <c r="EV663" s="16"/>
      <c r="EW663" s="17"/>
      <c r="FA663" s="24"/>
      <c r="FB663" s="60"/>
      <c r="FC663" s="16"/>
      <c r="FD663" s="16"/>
      <c r="FE663" s="16"/>
      <c r="FF663" s="16"/>
      <c r="FG663" s="16"/>
      <c r="FH663" s="17"/>
      <c r="FL663" s="24"/>
      <c r="FM663" s="60"/>
      <c r="FN663" s="16"/>
      <c r="FO663" s="16"/>
      <c r="FP663" s="16"/>
      <c r="FQ663" s="16"/>
      <c r="FR663" s="16"/>
      <c r="FS663" s="17"/>
      <c r="FW663" s="24"/>
      <c r="FX663" s="60"/>
      <c r="FY663" s="16"/>
      <c r="FZ663" s="16"/>
      <c r="GA663" s="16"/>
      <c r="GB663" s="16"/>
      <c r="GC663" s="16"/>
      <c r="GD663" s="17"/>
      <c r="GH663" s="24"/>
      <c r="GI663" s="60"/>
      <c r="GJ663" s="16"/>
      <c r="GK663" s="16"/>
      <c r="GL663" s="16"/>
      <c r="GM663" s="16"/>
      <c r="GN663" s="16"/>
      <c r="GO663" s="17"/>
      <c r="GS663" s="24"/>
      <c r="GT663" s="60"/>
      <c r="GU663" s="16"/>
      <c r="GV663" s="16"/>
      <c r="GW663" s="16"/>
      <c r="GX663" s="16"/>
      <c r="GY663" s="16"/>
      <c r="GZ663" s="17"/>
      <c r="HD663" s="24"/>
      <c r="HE663" s="60"/>
      <c r="HF663" s="16"/>
      <c r="HG663" s="16"/>
      <c r="HH663" s="16"/>
      <c r="HI663" s="16"/>
      <c r="HJ663" s="16"/>
      <c r="HK663" s="17"/>
      <c r="HO663" s="24"/>
      <c r="HP663" s="60"/>
      <c r="HQ663" s="16"/>
      <c r="HR663" s="16"/>
      <c r="HS663" s="16"/>
      <c r="HT663" s="16"/>
      <c r="HU663" s="16"/>
      <c r="HV663" s="17"/>
      <c r="HZ663" s="24"/>
      <c r="IA663" s="60"/>
      <c r="IB663" s="16"/>
      <c r="IC663" s="16"/>
      <c r="ID663" s="16"/>
      <c r="IE663" s="16"/>
      <c r="IF663" s="16"/>
      <c r="IG663" s="17"/>
      <c r="IK663" s="24"/>
      <c r="IL663" s="60"/>
      <c r="IM663" s="16"/>
      <c r="IN663" s="16"/>
      <c r="IO663" s="16"/>
      <c r="IP663" s="16"/>
      <c r="IQ663" s="16"/>
      <c r="IR663" s="17"/>
      <c r="IV663" s="24"/>
      <c r="IW663" s="60"/>
      <c r="IX663" s="16"/>
      <c r="IY663" s="16"/>
      <c r="IZ663" s="16"/>
      <c r="JA663" s="16"/>
      <c r="JB663" s="16"/>
      <c r="JC663" s="17"/>
      <c r="JG663" s="24"/>
      <c r="JH663" s="60"/>
      <c r="JI663" s="16"/>
      <c r="JJ663" s="16"/>
      <c r="JK663" s="16"/>
      <c r="JL663" s="16"/>
      <c r="JM663" s="16"/>
      <c r="JN663" s="17"/>
      <c r="JR663" s="24"/>
      <c r="JS663" s="60"/>
      <c r="JT663" s="16"/>
      <c r="JU663" s="16"/>
      <c r="JV663" s="16"/>
      <c r="JW663" s="16"/>
      <c r="JX663" s="16"/>
      <c r="JY663" s="17"/>
      <c r="KC663" s="24"/>
      <c r="KD663" s="60"/>
      <c r="KE663" s="16"/>
      <c r="KF663" s="16"/>
      <c r="KG663" s="16"/>
      <c r="KH663" s="16"/>
      <c r="KI663" s="16"/>
      <c r="KJ663" s="17"/>
      <c r="KN663" s="24"/>
      <c r="KO663" s="60"/>
      <c r="KP663" s="16"/>
      <c r="KQ663" s="16"/>
      <c r="KR663" s="16"/>
      <c r="KS663" s="16"/>
      <c r="KT663" s="16"/>
      <c r="KU663" s="17"/>
      <c r="KY663" s="24"/>
      <c r="KZ663" s="60"/>
      <c r="LA663" s="16"/>
      <c r="LB663" s="16"/>
      <c r="LC663" s="16"/>
      <c r="LD663" s="16"/>
      <c r="LE663" s="16"/>
      <c r="LF663" s="17"/>
      <c r="LJ663" s="24"/>
      <c r="LK663" s="60"/>
      <c r="LL663" s="16"/>
      <c r="LM663" s="16"/>
      <c r="LN663" s="16"/>
      <c r="LO663" s="16"/>
      <c r="LP663" s="16"/>
      <c r="LQ663" s="17"/>
    </row>
    <row r="664">
      <c r="C664" s="31"/>
      <c r="D664" s="61"/>
      <c r="E664" s="16"/>
      <c r="F664" s="16"/>
      <c r="G664" s="21"/>
      <c r="H664" s="16"/>
      <c r="I664" s="16"/>
      <c r="J664" s="17"/>
      <c r="N664" s="17"/>
      <c r="O664" s="61"/>
      <c r="P664" s="16"/>
      <c r="Q664" s="16"/>
      <c r="R664" s="16"/>
      <c r="S664" s="16"/>
      <c r="T664" s="16"/>
      <c r="U664" s="17"/>
      <c r="Y664" s="24"/>
      <c r="Z664" s="61"/>
      <c r="AA664" s="16"/>
      <c r="AB664" s="16"/>
      <c r="AC664" s="16"/>
      <c r="AD664" s="16"/>
      <c r="AE664" s="16"/>
      <c r="AF664" s="17"/>
      <c r="AJ664" s="24"/>
      <c r="AK664" s="61"/>
      <c r="AL664" s="16"/>
      <c r="AM664" s="16"/>
      <c r="AN664" s="16"/>
      <c r="AO664" s="16"/>
      <c r="AP664" s="16"/>
      <c r="AQ664" s="17"/>
      <c r="AU664" s="24"/>
      <c r="AV664" s="61"/>
      <c r="AW664" s="16"/>
      <c r="AX664" s="16"/>
      <c r="AY664" s="16"/>
      <c r="AZ664" s="16"/>
      <c r="BA664" s="16"/>
      <c r="BB664" s="17"/>
      <c r="BF664" s="24"/>
      <c r="BG664" s="61"/>
      <c r="BH664" s="16"/>
      <c r="BI664" s="16"/>
      <c r="BJ664" s="16"/>
      <c r="BK664" s="16"/>
      <c r="BL664" s="16"/>
      <c r="BM664" s="17"/>
      <c r="BQ664" s="24"/>
      <c r="BR664" s="61"/>
      <c r="BS664" s="16"/>
      <c r="BT664" s="16"/>
      <c r="BU664" s="16"/>
      <c r="BV664" s="16"/>
      <c r="BW664" s="16"/>
      <c r="BX664" s="17"/>
      <c r="CB664" s="24"/>
      <c r="CC664" s="61"/>
      <c r="CD664" s="16"/>
      <c r="CE664" s="16"/>
      <c r="CF664" s="16"/>
      <c r="CG664" s="16"/>
      <c r="CH664" s="16"/>
      <c r="CI664" s="17"/>
      <c r="CM664" s="24"/>
      <c r="CN664" s="61"/>
      <c r="CO664" s="16"/>
      <c r="CP664" s="16"/>
      <c r="CQ664" s="16"/>
      <c r="CR664" s="16"/>
      <c r="CS664" s="16"/>
      <c r="CT664" s="17"/>
      <c r="CX664" s="24"/>
      <c r="CY664" s="60"/>
      <c r="CZ664" s="16"/>
      <c r="DA664" s="16"/>
      <c r="DB664" s="16"/>
      <c r="DC664" s="16"/>
      <c r="DD664" s="16"/>
      <c r="DE664" s="17"/>
      <c r="DI664" s="24"/>
      <c r="DJ664" s="60"/>
      <c r="DK664" s="16"/>
      <c r="DL664" s="16"/>
      <c r="DM664" s="16"/>
      <c r="DN664" s="16"/>
      <c r="DO664" s="16"/>
      <c r="DP664" s="17"/>
      <c r="DT664" s="24"/>
      <c r="DU664" s="60"/>
      <c r="DV664" s="16"/>
      <c r="DW664" s="16"/>
      <c r="DX664" s="16"/>
      <c r="DY664" s="16"/>
      <c r="DZ664" s="16"/>
      <c r="EA664" s="17"/>
      <c r="EE664" s="24"/>
      <c r="EF664" s="60"/>
      <c r="EG664" s="16"/>
      <c r="EH664" s="16"/>
      <c r="EI664" s="16"/>
      <c r="EJ664" s="16"/>
      <c r="EK664" s="16"/>
      <c r="EL664" s="17"/>
      <c r="EP664" s="24"/>
      <c r="EQ664" s="60"/>
      <c r="ER664" s="16"/>
      <c r="ES664" s="16"/>
      <c r="ET664" s="16"/>
      <c r="EU664" s="16"/>
      <c r="EV664" s="16"/>
      <c r="EW664" s="17"/>
      <c r="FA664" s="24"/>
      <c r="FB664" s="60"/>
      <c r="FC664" s="16"/>
      <c r="FD664" s="16"/>
      <c r="FE664" s="16"/>
      <c r="FF664" s="16"/>
      <c r="FG664" s="16"/>
      <c r="FH664" s="17"/>
      <c r="FL664" s="24"/>
      <c r="FM664" s="60"/>
      <c r="FN664" s="16"/>
      <c r="FO664" s="16"/>
      <c r="FP664" s="16"/>
      <c r="FQ664" s="16"/>
      <c r="FR664" s="16"/>
      <c r="FS664" s="17"/>
      <c r="FW664" s="24"/>
      <c r="FX664" s="60"/>
      <c r="FY664" s="16"/>
      <c r="FZ664" s="16"/>
      <c r="GA664" s="16"/>
      <c r="GB664" s="16"/>
      <c r="GC664" s="16"/>
      <c r="GD664" s="17"/>
      <c r="GH664" s="24"/>
      <c r="GI664" s="60"/>
      <c r="GJ664" s="16"/>
      <c r="GK664" s="16"/>
      <c r="GL664" s="16"/>
      <c r="GM664" s="16"/>
      <c r="GN664" s="16"/>
      <c r="GO664" s="17"/>
      <c r="GS664" s="24"/>
      <c r="GT664" s="60"/>
      <c r="GU664" s="16"/>
      <c r="GV664" s="16"/>
      <c r="GW664" s="16"/>
      <c r="GX664" s="16"/>
      <c r="GY664" s="16"/>
      <c r="GZ664" s="17"/>
      <c r="HD664" s="24"/>
      <c r="HE664" s="60"/>
      <c r="HF664" s="16"/>
      <c r="HG664" s="16"/>
      <c r="HH664" s="16"/>
      <c r="HI664" s="16"/>
      <c r="HJ664" s="16"/>
      <c r="HK664" s="17"/>
      <c r="HO664" s="24"/>
      <c r="HP664" s="60"/>
      <c r="HQ664" s="16"/>
      <c r="HR664" s="16"/>
      <c r="HS664" s="16"/>
      <c r="HT664" s="16"/>
      <c r="HU664" s="16"/>
      <c r="HV664" s="17"/>
      <c r="HZ664" s="24"/>
      <c r="IA664" s="60"/>
      <c r="IB664" s="16"/>
      <c r="IC664" s="16"/>
      <c r="ID664" s="16"/>
      <c r="IE664" s="16"/>
      <c r="IF664" s="16"/>
      <c r="IG664" s="17"/>
      <c r="IK664" s="24"/>
      <c r="IL664" s="60"/>
      <c r="IM664" s="16"/>
      <c r="IN664" s="16"/>
      <c r="IO664" s="16"/>
      <c r="IP664" s="16"/>
      <c r="IQ664" s="16"/>
      <c r="IR664" s="17"/>
      <c r="IV664" s="24"/>
      <c r="IW664" s="60"/>
      <c r="IX664" s="16"/>
      <c r="IY664" s="16"/>
      <c r="IZ664" s="16"/>
      <c r="JA664" s="16"/>
      <c r="JB664" s="16"/>
      <c r="JC664" s="17"/>
      <c r="JG664" s="24"/>
      <c r="JH664" s="60"/>
      <c r="JI664" s="16"/>
      <c r="JJ664" s="16"/>
      <c r="JK664" s="16"/>
      <c r="JL664" s="16"/>
      <c r="JM664" s="16"/>
      <c r="JN664" s="17"/>
      <c r="JR664" s="24"/>
      <c r="JS664" s="60"/>
      <c r="JT664" s="16"/>
      <c r="JU664" s="16"/>
      <c r="JV664" s="16"/>
      <c r="JW664" s="16"/>
      <c r="JX664" s="16"/>
      <c r="JY664" s="17"/>
      <c r="KC664" s="24"/>
      <c r="KD664" s="60"/>
      <c r="KE664" s="16"/>
      <c r="KF664" s="16"/>
      <c r="KG664" s="16"/>
      <c r="KH664" s="16"/>
      <c r="KI664" s="16"/>
      <c r="KJ664" s="17"/>
      <c r="KN664" s="24"/>
      <c r="KO664" s="60"/>
      <c r="KP664" s="16"/>
      <c r="KQ664" s="16"/>
      <c r="KR664" s="16"/>
      <c r="KS664" s="16"/>
      <c r="KT664" s="16"/>
      <c r="KU664" s="17"/>
      <c r="KY664" s="24"/>
      <c r="KZ664" s="60"/>
      <c r="LA664" s="16"/>
      <c r="LB664" s="16"/>
      <c r="LC664" s="16"/>
      <c r="LD664" s="16"/>
      <c r="LE664" s="16"/>
      <c r="LF664" s="17"/>
      <c r="LJ664" s="24"/>
      <c r="LK664" s="60"/>
      <c r="LL664" s="16"/>
      <c r="LM664" s="16"/>
      <c r="LN664" s="16"/>
      <c r="LO664" s="16"/>
      <c r="LP664" s="16"/>
      <c r="LQ664" s="17"/>
    </row>
    <row r="665">
      <c r="C665" s="31"/>
      <c r="D665" s="61"/>
      <c r="E665" s="16"/>
      <c r="F665" s="16"/>
      <c r="G665" s="21"/>
      <c r="H665" s="16"/>
      <c r="I665" s="16"/>
      <c r="J665" s="17"/>
      <c r="N665" s="17"/>
      <c r="O665" s="61"/>
      <c r="P665" s="16"/>
      <c r="Q665" s="16"/>
      <c r="R665" s="16"/>
      <c r="S665" s="16"/>
      <c r="T665" s="16"/>
      <c r="U665" s="17"/>
      <c r="Y665" s="24"/>
      <c r="Z665" s="61"/>
      <c r="AA665" s="16"/>
      <c r="AB665" s="16"/>
      <c r="AC665" s="16"/>
      <c r="AD665" s="16"/>
      <c r="AE665" s="16"/>
      <c r="AF665" s="17"/>
      <c r="AJ665" s="24"/>
      <c r="AK665" s="61"/>
      <c r="AL665" s="16"/>
      <c r="AM665" s="16"/>
      <c r="AN665" s="16"/>
      <c r="AO665" s="16"/>
      <c r="AP665" s="16"/>
      <c r="AQ665" s="17"/>
      <c r="AU665" s="24"/>
      <c r="AV665" s="61"/>
      <c r="AW665" s="16"/>
      <c r="AX665" s="16"/>
      <c r="AY665" s="16"/>
      <c r="AZ665" s="16"/>
      <c r="BA665" s="16"/>
      <c r="BB665" s="17"/>
      <c r="BF665" s="24"/>
      <c r="BG665" s="61"/>
      <c r="BH665" s="16"/>
      <c r="BI665" s="16"/>
      <c r="BJ665" s="16"/>
      <c r="BK665" s="16"/>
      <c r="BL665" s="16"/>
      <c r="BM665" s="17"/>
      <c r="BQ665" s="24"/>
      <c r="BR665" s="61"/>
      <c r="BS665" s="16"/>
      <c r="BT665" s="16"/>
      <c r="BU665" s="16"/>
      <c r="BV665" s="16"/>
      <c r="BW665" s="16"/>
      <c r="BX665" s="17"/>
      <c r="CB665" s="24"/>
      <c r="CC665" s="61"/>
      <c r="CD665" s="16"/>
      <c r="CE665" s="16"/>
      <c r="CF665" s="16"/>
      <c r="CG665" s="16"/>
      <c r="CH665" s="16"/>
      <c r="CI665" s="17"/>
      <c r="CM665" s="24"/>
      <c r="CN665" s="61"/>
      <c r="CO665" s="16"/>
      <c r="CP665" s="16"/>
      <c r="CQ665" s="16"/>
      <c r="CR665" s="16"/>
      <c r="CS665" s="16"/>
      <c r="CT665" s="17"/>
      <c r="CX665" s="24"/>
      <c r="CY665" s="60"/>
      <c r="CZ665" s="16"/>
      <c r="DA665" s="16"/>
      <c r="DB665" s="16"/>
      <c r="DC665" s="16"/>
      <c r="DD665" s="16"/>
      <c r="DE665" s="17"/>
      <c r="DI665" s="24"/>
      <c r="DJ665" s="60"/>
      <c r="DK665" s="16"/>
      <c r="DL665" s="16"/>
      <c r="DM665" s="16"/>
      <c r="DN665" s="16"/>
      <c r="DO665" s="16"/>
      <c r="DP665" s="17"/>
      <c r="DT665" s="24"/>
      <c r="DU665" s="60"/>
      <c r="DV665" s="16"/>
      <c r="DW665" s="16"/>
      <c r="DX665" s="16"/>
      <c r="DY665" s="16"/>
      <c r="DZ665" s="16"/>
      <c r="EA665" s="17"/>
      <c r="EE665" s="24"/>
      <c r="EF665" s="60"/>
      <c r="EG665" s="16"/>
      <c r="EH665" s="16"/>
      <c r="EI665" s="16"/>
      <c r="EJ665" s="16"/>
      <c r="EK665" s="16"/>
      <c r="EL665" s="17"/>
      <c r="EP665" s="24"/>
      <c r="EQ665" s="60"/>
      <c r="ER665" s="16"/>
      <c r="ES665" s="16"/>
      <c r="ET665" s="16"/>
      <c r="EU665" s="16"/>
      <c r="EV665" s="16"/>
      <c r="EW665" s="17"/>
      <c r="FA665" s="24"/>
      <c r="FB665" s="60"/>
      <c r="FC665" s="16"/>
      <c r="FD665" s="16"/>
      <c r="FE665" s="16"/>
      <c r="FF665" s="16"/>
      <c r="FG665" s="16"/>
      <c r="FH665" s="17"/>
      <c r="FL665" s="24"/>
      <c r="FM665" s="60"/>
      <c r="FN665" s="16"/>
      <c r="FO665" s="16"/>
      <c r="FP665" s="16"/>
      <c r="FQ665" s="16"/>
      <c r="FR665" s="16"/>
      <c r="FS665" s="17"/>
      <c r="FW665" s="24"/>
      <c r="FX665" s="60"/>
      <c r="FY665" s="16"/>
      <c r="FZ665" s="16"/>
      <c r="GA665" s="16"/>
      <c r="GB665" s="16"/>
      <c r="GC665" s="16"/>
      <c r="GD665" s="17"/>
      <c r="GH665" s="24"/>
      <c r="GI665" s="60"/>
      <c r="GJ665" s="16"/>
      <c r="GK665" s="16"/>
      <c r="GL665" s="16"/>
      <c r="GM665" s="16"/>
      <c r="GN665" s="16"/>
      <c r="GO665" s="17"/>
      <c r="GS665" s="24"/>
      <c r="GT665" s="60"/>
      <c r="GU665" s="16"/>
      <c r="GV665" s="16"/>
      <c r="GW665" s="16"/>
      <c r="GX665" s="16"/>
      <c r="GY665" s="16"/>
      <c r="GZ665" s="17"/>
      <c r="HD665" s="24"/>
      <c r="HE665" s="60"/>
      <c r="HF665" s="16"/>
      <c r="HG665" s="16"/>
      <c r="HH665" s="16"/>
      <c r="HI665" s="16"/>
      <c r="HJ665" s="16"/>
      <c r="HK665" s="17"/>
      <c r="HO665" s="24"/>
      <c r="HP665" s="60"/>
      <c r="HQ665" s="16"/>
      <c r="HR665" s="16"/>
      <c r="HS665" s="16"/>
      <c r="HT665" s="16"/>
      <c r="HU665" s="16"/>
      <c r="HV665" s="17"/>
      <c r="HZ665" s="24"/>
      <c r="IA665" s="60"/>
      <c r="IB665" s="16"/>
      <c r="IC665" s="16"/>
      <c r="ID665" s="16"/>
      <c r="IE665" s="16"/>
      <c r="IF665" s="16"/>
      <c r="IG665" s="17"/>
      <c r="IK665" s="24"/>
      <c r="IL665" s="60"/>
      <c r="IM665" s="16"/>
      <c r="IN665" s="16"/>
      <c r="IO665" s="16"/>
      <c r="IP665" s="16"/>
      <c r="IQ665" s="16"/>
      <c r="IR665" s="17"/>
      <c r="IV665" s="24"/>
      <c r="IW665" s="60"/>
      <c r="IX665" s="16"/>
      <c r="IY665" s="16"/>
      <c r="IZ665" s="16"/>
      <c r="JA665" s="16"/>
      <c r="JB665" s="16"/>
      <c r="JC665" s="17"/>
      <c r="JG665" s="24"/>
      <c r="JH665" s="60"/>
      <c r="JI665" s="16"/>
      <c r="JJ665" s="16"/>
      <c r="JK665" s="16"/>
      <c r="JL665" s="16"/>
      <c r="JM665" s="16"/>
      <c r="JN665" s="17"/>
      <c r="JR665" s="24"/>
      <c r="JS665" s="60"/>
      <c r="JT665" s="16"/>
      <c r="JU665" s="16"/>
      <c r="JV665" s="16"/>
      <c r="JW665" s="16"/>
      <c r="JX665" s="16"/>
      <c r="JY665" s="17"/>
      <c r="KC665" s="24"/>
      <c r="KD665" s="60"/>
      <c r="KE665" s="16"/>
      <c r="KF665" s="16"/>
      <c r="KG665" s="16"/>
      <c r="KH665" s="16"/>
      <c r="KI665" s="16"/>
      <c r="KJ665" s="17"/>
      <c r="KN665" s="24"/>
      <c r="KO665" s="60"/>
      <c r="KP665" s="16"/>
      <c r="KQ665" s="16"/>
      <c r="KR665" s="16"/>
      <c r="KS665" s="16"/>
      <c r="KT665" s="16"/>
      <c r="KU665" s="17"/>
      <c r="KY665" s="24"/>
      <c r="KZ665" s="60"/>
      <c r="LA665" s="16"/>
      <c r="LB665" s="16"/>
      <c r="LC665" s="16"/>
      <c r="LD665" s="16"/>
      <c r="LE665" s="16"/>
      <c r="LF665" s="17"/>
      <c r="LJ665" s="24"/>
      <c r="LK665" s="60"/>
      <c r="LL665" s="16"/>
      <c r="LM665" s="16"/>
      <c r="LN665" s="16"/>
      <c r="LO665" s="16"/>
      <c r="LP665" s="16"/>
      <c r="LQ665" s="17"/>
    </row>
    <row r="666">
      <c r="C666" s="31"/>
      <c r="D666" s="61"/>
      <c r="E666" s="16"/>
      <c r="F666" s="16"/>
      <c r="G666" s="21"/>
      <c r="H666" s="16"/>
      <c r="I666" s="16"/>
      <c r="J666" s="17"/>
      <c r="N666" s="17"/>
      <c r="O666" s="61"/>
      <c r="P666" s="16"/>
      <c r="Q666" s="16"/>
      <c r="R666" s="16"/>
      <c r="S666" s="16"/>
      <c r="T666" s="16"/>
      <c r="U666" s="17"/>
      <c r="Y666" s="24"/>
      <c r="Z666" s="61"/>
      <c r="AA666" s="16"/>
      <c r="AB666" s="16"/>
      <c r="AC666" s="16"/>
      <c r="AD666" s="16"/>
      <c r="AE666" s="16"/>
      <c r="AF666" s="17"/>
      <c r="AJ666" s="24"/>
      <c r="AK666" s="61"/>
      <c r="AL666" s="16"/>
      <c r="AM666" s="16"/>
      <c r="AN666" s="16"/>
      <c r="AO666" s="16"/>
      <c r="AP666" s="16"/>
      <c r="AQ666" s="17"/>
      <c r="AU666" s="24"/>
      <c r="AV666" s="61"/>
      <c r="AW666" s="16"/>
      <c r="AX666" s="16"/>
      <c r="AY666" s="16"/>
      <c r="AZ666" s="16"/>
      <c r="BA666" s="16"/>
      <c r="BB666" s="17"/>
      <c r="BF666" s="24"/>
      <c r="BG666" s="61"/>
      <c r="BH666" s="16"/>
      <c r="BI666" s="16"/>
      <c r="BJ666" s="16"/>
      <c r="BK666" s="16"/>
      <c r="BL666" s="16"/>
      <c r="BM666" s="17"/>
      <c r="BQ666" s="24"/>
      <c r="BR666" s="61"/>
      <c r="BS666" s="16"/>
      <c r="BT666" s="16"/>
      <c r="BU666" s="16"/>
      <c r="BV666" s="16"/>
      <c r="BW666" s="16"/>
      <c r="BX666" s="17"/>
      <c r="CB666" s="24"/>
      <c r="CC666" s="61"/>
      <c r="CD666" s="16"/>
      <c r="CE666" s="16"/>
      <c r="CF666" s="16"/>
      <c r="CG666" s="16"/>
      <c r="CH666" s="16"/>
      <c r="CI666" s="17"/>
      <c r="CM666" s="24"/>
      <c r="CN666" s="61"/>
      <c r="CO666" s="16"/>
      <c r="CP666" s="16"/>
      <c r="CQ666" s="16"/>
      <c r="CR666" s="16"/>
      <c r="CS666" s="16"/>
      <c r="CT666" s="17"/>
      <c r="CX666" s="24"/>
      <c r="CY666" s="60"/>
      <c r="CZ666" s="16"/>
      <c r="DA666" s="16"/>
      <c r="DB666" s="16"/>
      <c r="DC666" s="16"/>
      <c r="DD666" s="16"/>
      <c r="DE666" s="17"/>
      <c r="DI666" s="24"/>
      <c r="DJ666" s="60"/>
      <c r="DK666" s="16"/>
      <c r="DL666" s="16"/>
      <c r="DM666" s="16"/>
      <c r="DN666" s="16"/>
      <c r="DO666" s="16"/>
      <c r="DP666" s="17"/>
      <c r="DT666" s="24"/>
      <c r="DU666" s="60"/>
      <c r="DV666" s="16"/>
      <c r="DW666" s="16"/>
      <c r="DX666" s="16"/>
      <c r="DY666" s="16"/>
      <c r="DZ666" s="16"/>
      <c r="EA666" s="17"/>
      <c r="EE666" s="24"/>
      <c r="EF666" s="60"/>
      <c r="EG666" s="16"/>
      <c r="EH666" s="16"/>
      <c r="EI666" s="16"/>
      <c r="EJ666" s="16"/>
      <c r="EK666" s="16"/>
      <c r="EL666" s="17"/>
      <c r="EP666" s="24"/>
      <c r="EQ666" s="60"/>
      <c r="ER666" s="16"/>
      <c r="ES666" s="16"/>
      <c r="ET666" s="16"/>
      <c r="EU666" s="16"/>
      <c r="EV666" s="16"/>
      <c r="EW666" s="17"/>
      <c r="FA666" s="24"/>
      <c r="FB666" s="60"/>
      <c r="FC666" s="16"/>
      <c r="FD666" s="16"/>
      <c r="FE666" s="16"/>
      <c r="FF666" s="16"/>
      <c r="FG666" s="16"/>
      <c r="FH666" s="17"/>
      <c r="FL666" s="24"/>
      <c r="FM666" s="60"/>
      <c r="FN666" s="16"/>
      <c r="FO666" s="16"/>
      <c r="FP666" s="16"/>
      <c r="FQ666" s="16"/>
      <c r="FR666" s="16"/>
      <c r="FS666" s="17"/>
      <c r="FW666" s="24"/>
      <c r="FX666" s="60"/>
      <c r="FY666" s="16"/>
      <c r="FZ666" s="16"/>
      <c r="GA666" s="16"/>
      <c r="GB666" s="16"/>
      <c r="GC666" s="16"/>
      <c r="GD666" s="17"/>
      <c r="GH666" s="24"/>
      <c r="GI666" s="60"/>
      <c r="GJ666" s="16"/>
      <c r="GK666" s="16"/>
      <c r="GL666" s="16"/>
      <c r="GM666" s="16"/>
      <c r="GN666" s="16"/>
      <c r="GO666" s="17"/>
      <c r="GS666" s="24"/>
      <c r="GT666" s="60"/>
      <c r="GU666" s="16"/>
      <c r="GV666" s="16"/>
      <c r="GW666" s="16"/>
      <c r="GX666" s="16"/>
      <c r="GY666" s="16"/>
      <c r="GZ666" s="17"/>
      <c r="HD666" s="24"/>
      <c r="HE666" s="60"/>
      <c r="HF666" s="16"/>
      <c r="HG666" s="16"/>
      <c r="HH666" s="16"/>
      <c r="HI666" s="16"/>
      <c r="HJ666" s="16"/>
      <c r="HK666" s="17"/>
      <c r="HO666" s="24"/>
      <c r="HP666" s="60"/>
      <c r="HQ666" s="16"/>
      <c r="HR666" s="16"/>
      <c r="HS666" s="16"/>
      <c r="HT666" s="16"/>
      <c r="HU666" s="16"/>
      <c r="HV666" s="17"/>
      <c r="HZ666" s="24"/>
      <c r="IA666" s="60"/>
      <c r="IB666" s="16"/>
      <c r="IC666" s="16"/>
      <c r="ID666" s="16"/>
      <c r="IE666" s="16"/>
      <c r="IF666" s="16"/>
      <c r="IG666" s="17"/>
      <c r="IK666" s="24"/>
      <c r="IL666" s="60"/>
      <c r="IM666" s="16"/>
      <c r="IN666" s="16"/>
      <c r="IO666" s="16"/>
      <c r="IP666" s="16"/>
      <c r="IQ666" s="16"/>
      <c r="IR666" s="17"/>
      <c r="IV666" s="24"/>
      <c r="IW666" s="60"/>
      <c r="IX666" s="16"/>
      <c r="IY666" s="16"/>
      <c r="IZ666" s="16"/>
      <c r="JA666" s="16"/>
      <c r="JB666" s="16"/>
      <c r="JC666" s="17"/>
      <c r="JG666" s="24"/>
      <c r="JH666" s="60"/>
      <c r="JI666" s="16"/>
      <c r="JJ666" s="16"/>
      <c r="JK666" s="16"/>
      <c r="JL666" s="16"/>
      <c r="JM666" s="16"/>
      <c r="JN666" s="17"/>
      <c r="JR666" s="24"/>
      <c r="JS666" s="60"/>
      <c r="JT666" s="16"/>
      <c r="JU666" s="16"/>
      <c r="JV666" s="16"/>
      <c r="JW666" s="16"/>
      <c r="JX666" s="16"/>
      <c r="JY666" s="17"/>
      <c r="KC666" s="24"/>
      <c r="KD666" s="60"/>
      <c r="KE666" s="16"/>
      <c r="KF666" s="16"/>
      <c r="KG666" s="16"/>
      <c r="KH666" s="16"/>
      <c r="KI666" s="16"/>
      <c r="KJ666" s="17"/>
      <c r="KN666" s="24"/>
      <c r="KO666" s="60"/>
      <c r="KP666" s="16"/>
      <c r="KQ666" s="16"/>
      <c r="KR666" s="16"/>
      <c r="KS666" s="16"/>
      <c r="KT666" s="16"/>
      <c r="KU666" s="17"/>
      <c r="KY666" s="24"/>
      <c r="KZ666" s="60"/>
      <c r="LA666" s="16"/>
      <c r="LB666" s="16"/>
      <c r="LC666" s="16"/>
      <c r="LD666" s="16"/>
      <c r="LE666" s="16"/>
      <c r="LF666" s="17"/>
      <c r="LJ666" s="24"/>
      <c r="LK666" s="60"/>
      <c r="LL666" s="16"/>
      <c r="LM666" s="16"/>
      <c r="LN666" s="16"/>
      <c r="LO666" s="16"/>
      <c r="LP666" s="16"/>
      <c r="LQ666" s="17"/>
    </row>
    <row r="667">
      <c r="C667" s="31"/>
      <c r="D667" s="61"/>
      <c r="E667" s="16"/>
      <c r="F667" s="16"/>
      <c r="G667" s="21"/>
      <c r="H667" s="16"/>
      <c r="I667" s="16"/>
      <c r="J667" s="17"/>
      <c r="N667" s="17"/>
      <c r="O667" s="61"/>
      <c r="P667" s="16"/>
      <c r="Q667" s="16"/>
      <c r="R667" s="16"/>
      <c r="S667" s="16"/>
      <c r="T667" s="16"/>
      <c r="U667" s="17"/>
      <c r="Y667" s="24"/>
      <c r="Z667" s="61"/>
      <c r="AA667" s="16"/>
      <c r="AB667" s="16"/>
      <c r="AC667" s="16"/>
      <c r="AD667" s="16"/>
      <c r="AE667" s="16"/>
      <c r="AF667" s="17"/>
      <c r="AJ667" s="24"/>
      <c r="AK667" s="61"/>
      <c r="AL667" s="16"/>
      <c r="AM667" s="16"/>
      <c r="AN667" s="16"/>
      <c r="AO667" s="16"/>
      <c r="AP667" s="16"/>
      <c r="AQ667" s="17"/>
      <c r="AU667" s="24"/>
      <c r="AV667" s="61"/>
      <c r="AW667" s="16"/>
      <c r="AX667" s="16"/>
      <c r="AY667" s="16"/>
      <c r="AZ667" s="16"/>
      <c r="BA667" s="16"/>
      <c r="BB667" s="17"/>
      <c r="BF667" s="24"/>
      <c r="BG667" s="61"/>
      <c r="BH667" s="16"/>
      <c r="BI667" s="16"/>
      <c r="BJ667" s="16"/>
      <c r="BK667" s="16"/>
      <c r="BL667" s="16"/>
      <c r="BM667" s="17"/>
      <c r="BQ667" s="24"/>
      <c r="BR667" s="61"/>
      <c r="BS667" s="16"/>
      <c r="BT667" s="16"/>
      <c r="BU667" s="16"/>
      <c r="BV667" s="16"/>
      <c r="BW667" s="16"/>
      <c r="BX667" s="17"/>
      <c r="CB667" s="24"/>
      <c r="CC667" s="61"/>
      <c r="CD667" s="16"/>
      <c r="CE667" s="16"/>
      <c r="CF667" s="16"/>
      <c r="CG667" s="16"/>
      <c r="CH667" s="16"/>
      <c r="CI667" s="17"/>
      <c r="CM667" s="24"/>
      <c r="CN667" s="61"/>
      <c r="CO667" s="16"/>
      <c r="CP667" s="16"/>
      <c r="CQ667" s="16"/>
      <c r="CR667" s="16"/>
      <c r="CS667" s="16"/>
      <c r="CT667" s="17"/>
      <c r="CX667" s="24"/>
      <c r="CY667" s="60"/>
      <c r="CZ667" s="16"/>
      <c r="DA667" s="16"/>
      <c r="DB667" s="16"/>
      <c r="DC667" s="16"/>
      <c r="DD667" s="16"/>
      <c r="DE667" s="17"/>
      <c r="DI667" s="24"/>
      <c r="DJ667" s="60"/>
      <c r="DK667" s="16"/>
      <c r="DL667" s="16"/>
      <c r="DM667" s="16"/>
      <c r="DN667" s="16"/>
      <c r="DO667" s="16"/>
      <c r="DP667" s="17"/>
      <c r="DT667" s="24"/>
      <c r="DU667" s="60"/>
      <c r="DV667" s="16"/>
      <c r="DW667" s="16"/>
      <c r="DX667" s="16"/>
      <c r="DY667" s="16"/>
      <c r="DZ667" s="16"/>
      <c r="EA667" s="17"/>
      <c r="EE667" s="24"/>
      <c r="EF667" s="60"/>
      <c r="EG667" s="16"/>
      <c r="EH667" s="16"/>
      <c r="EI667" s="16"/>
      <c r="EJ667" s="16"/>
      <c r="EK667" s="16"/>
      <c r="EL667" s="17"/>
      <c r="EP667" s="24"/>
      <c r="EQ667" s="60"/>
      <c r="ER667" s="16"/>
      <c r="ES667" s="16"/>
      <c r="ET667" s="16"/>
      <c r="EU667" s="16"/>
      <c r="EV667" s="16"/>
      <c r="EW667" s="17"/>
      <c r="FA667" s="24"/>
      <c r="FB667" s="60"/>
      <c r="FC667" s="16"/>
      <c r="FD667" s="16"/>
      <c r="FE667" s="16"/>
      <c r="FF667" s="16"/>
      <c r="FG667" s="16"/>
      <c r="FH667" s="17"/>
      <c r="FL667" s="24"/>
      <c r="FM667" s="60"/>
      <c r="FN667" s="16"/>
      <c r="FO667" s="16"/>
      <c r="FP667" s="16"/>
      <c r="FQ667" s="16"/>
      <c r="FR667" s="16"/>
      <c r="FS667" s="17"/>
      <c r="FW667" s="24"/>
      <c r="FX667" s="60"/>
      <c r="FY667" s="16"/>
      <c r="FZ667" s="16"/>
      <c r="GA667" s="16"/>
      <c r="GB667" s="16"/>
      <c r="GC667" s="16"/>
      <c r="GD667" s="17"/>
      <c r="GH667" s="24"/>
      <c r="GI667" s="60"/>
      <c r="GJ667" s="16"/>
      <c r="GK667" s="16"/>
      <c r="GL667" s="16"/>
      <c r="GM667" s="16"/>
      <c r="GN667" s="16"/>
      <c r="GO667" s="17"/>
      <c r="GS667" s="24"/>
      <c r="GT667" s="60"/>
      <c r="GU667" s="16"/>
      <c r="GV667" s="16"/>
      <c r="GW667" s="16"/>
      <c r="GX667" s="16"/>
      <c r="GY667" s="16"/>
      <c r="GZ667" s="17"/>
      <c r="HD667" s="24"/>
      <c r="HE667" s="60"/>
      <c r="HF667" s="16"/>
      <c r="HG667" s="16"/>
      <c r="HH667" s="16"/>
      <c r="HI667" s="16"/>
      <c r="HJ667" s="16"/>
      <c r="HK667" s="17"/>
      <c r="HO667" s="24"/>
      <c r="HP667" s="60"/>
      <c r="HQ667" s="16"/>
      <c r="HR667" s="16"/>
      <c r="HS667" s="16"/>
      <c r="HT667" s="16"/>
      <c r="HU667" s="16"/>
      <c r="HV667" s="17"/>
      <c r="HZ667" s="24"/>
      <c r="IA667" s="60"/>
      <c r="IB667" s="16"/>
      <c r="IC667" s="16"/>
      <c r="ID667" s="16"/>
      <c r="IE667" s="16"/>
      <c r="IF667" s="16"/>
      <c r="IG667" s="17"/>
      <c r="IK667" s="24"/>
      <c r="IL667" s="60"/>
      <c r="IM667" s="16"/>
      <c r="IN667" s="16"/>
      <c r="IO667" s="16"/>
      <c r="IP667" s="16"/>
      <c r="IQ667" s="16"/>
      <c r="IR667" s="17"/>
      <c r="IV667" s="24"/>
      <c r="IW667" s="60"/>
      <c r="IX667" s="16"/>
      <c r="IY667" s="16"/>
      <c r="IZ667" s="16"/>
      <c r="JA667" s="16"/>
      <c r="JB667" s="16"/>
      <c r="JC667" s="17"/>
      <c r="JG667" s="24"/>
      <c r="JH667" s="60"/>
      <c r="JI667" s="16"/>
      <c r="JJ667" s="16"/>
      <c r="JK667" s="16"/>
      <c r="JL667" s="16"/>
      <c r="JM667" s="16"/>
      <c r="JN667" s="17"/>
      <c r="JR667" s="24"/>
      <c r="JS667" s="60"/>
      <c r="JT667" s="16"/>
      <c r="JU667" s="16"/>
      <c r="JV667" s="16"/>
      <c r="JW667" s="16"/>
      <c r="JX667" s="16"/>
      <c r="JY667" s="17"/>
      <c r="KC667" s="24"/>
      <c r="KD667" s="60"/>
      <c r="KE667" s="16"/>
      <c r="KF667" s="16"/>
      <c r="KG667" s="16"/>
      <c r="KH667" s="16"/>
      <c r="KI667" s="16"/>
      <c r="KJ667" s="17"/>
      <c r="KN667" s="24"/>
      <c r="KO667" s="60"/>
      <c r="KP667" s="16"/>
      <c r="KQ667" s="16"/>
      <c r="KR667" s="16"/>
      <c r="KS667" s="16"/>
      <c r="KT667" s="16"/>
      <c r="KU667" s="17"/>
      <c r="KY667" s="24"/>
      <c r="KZ667" s="60"/>
      <c r="LA667" s="16"/>
      <c r="LB667" s="16"/>
      <c r="LC667" s="16"/>
      <c r="LD667" s="16"/>
      <c r="LE667" s="16"/>
      <c r="LF667" s="17"/>
      <c r="LJ667" s="24"/>
      <c r="LK667" s="60"/>
      <c r="LL667" s="16"/>
      <c r="LM667" s="16"/>
      <c r="LN667" s="16"/>
      <c r="LO667" s="16"/>
      <c r="LP667" s="16"/>
      <c r="LQ667" s="17"/>
    </row>
    <row r="668">
      <c r="C668" s="31"/>
      <c r="D668" s="61"/>
      <c r="E668" s="16"/>
      <c r="F668" s="16"/>
      <c r="G668" s="21"/>
      <c r="H668" s="16"/>
      <c r="I668" s="16"/>
      <c r="J668" s="17"/>
      <c r="N668" s="17"/>
      <c r="O668" s="61"/>
      <c r="P668" s="16"/>
      <c r="Q668" s="16"/>
      <c r="R668" s="16"/>
      <c r="S668" s="16"/>
      <c r="T668" s="16"/>
      <c r="U668" s="17"/>
      <c r="Y668" s="24"/>
      <c r="Z668" s="61"/>
      <c r="AA668" s="16"/>
      <c r="AB668" s="16"/>
      <c r="AC668" s="16"/>
      <c r="AD668" s="16"/>
      <c r="AE668" s="16"/>
      <c r="AF668" s="17"/>
      <c r="AJ668" s="24"/>
      <c r="AK668" s="61"/>
      <c r="AL668" s="16"/>
      <c r="AM668" s="16"/>
      <c r="AN668" s="16"/>
      <c r="AO668" s="16"/>
      <c r="AP668" s="16"/>
      <c r="AQ668" s="17"/>
      <c r="AU668" s="24"/>
      <c r="AV668" s="61"/>
      <c r="AW668" s="16"/>
      <c r="AX668" s="16"/>
      <c r="AY668" s="16"/>
      <c r="AZ668" s="16"/>
      <c r="BA668" s="16"/>
      <c r="BB668" s="17"/>
      <c r="BF668" s="24"/>
      <c r="BG668" s="61"/>
      <c r="BH668" s="16"/>
      <c r="BI668" s="16"/>
      <c r="BJ668" s="16"/>
      <c r="BK668" s="16"/>
      <c r="BL668" s="16"/>
      <c r="BM668" s="17"/>
      <c r="BQ668" s="24"/>
      <c r="BR668" s="61"/>
      <c r="BS668" s="16"/>
      <c r="BT668" s="16"/>
      <c r="BU668" s="16"/>
      <c r="BV668" s="16"/>
      <c r="BW668" s="16"/>
      <c r="BX668" s="17"/>
      <c r="CB668" s="24"/>
      <c r="CC668" s="61"/>
      <c r="CD668" s="16"/>
      <c r="CE668" s="16"/>
      <c r="CF668" s="16"/>
      <c r="CG668" s="16"/>
      <c r="CH668" s="16"/>
      <c r="CI668" s="17"/>
      <c r="CM668" s="24"/>
      <c r="CN668" s="61"/>
      <c r="CO668" s="16"/>
      <c r="CP668" s="16"/>
      <c r="CQ668" s="16"/>
      <c r="CR668" s="16"/>
      <c r="CS668" s="16"/>
      <c r="CT668" s="17"/>
      <c r="CX668" s="24"/>
      <c r="CY668" s="60"/>
      <c r="CZ668" s="16"/>
      <c r="DA668" s="16"/>
      <c r="DB668" s="16"/>
      <c r="DC668" s="16"/>
      <c r="DD668" s="16"/>
      <c r="DE668" s="17"/>
      <c r="DI668" s="24"/>
      <c r="DJ668" s="60"/>
      <c r="DK668" s="16"/>
      <c r="DL668" s="16"/>
      <c r="DM668" s="16"/>
      <c r="DN668" s="16"/>
      <c r="DO668" s="16"/>
      <c r="DP668" s="17"/>
      <c r="DT668" s="24"/>
      <c r="DU668" s="60"/>
      <c r="DV668" s="16"/>
      <c r="DW668" s="16"/>
      <c r="DX668" s="16"/>
      <c r="DY668" s="16"/>
      <c r="DZ668" s="16"/>
      <c r="EA668" s="17"/>
      <c r="EE668" s="24"/>
      <c r="EF668" s="60"/>
      <c r="EG668" s="16"/>
      <c r="EH668" s="16"/>
      <c r="EI668" s="16"/>
      <c r="EJ668" s="16"/>
      <c r="EK668" s="16"/>
      <c r="EL668" s="17"/>
      <c r="EP668" s="24"/>
      <c r="EQ668" s="60"/>
      <c r="ER668" s="16"/>
      <c r="ES668" s="16"/>
      <c r="ET668" s="16"/>
      <c r="EU668" s="16"/>
      <c r="EV668" s="16"/>
      <c r="EW668" s="17"/>
      <c r="FA668" s="24"/>
      <c r="FB668" s="60"/>
      <c r="FC668" s="16"/>
      <c r="FD668" s="16"/>
      <c r="FE668" s="16"/>
      <c r="FF668" s="16"/>
      <c r="FG668" s="16"/>
      <c r="FH668" s="17"/>
      <c r="FL668" s="24"/>
      <c r="FM668" s="60"/>
      <c r="FN668" s="16"/>
      <c r="FO668" s="16"/>
      <c r="FP668" s="16"/>
      <c r="FQ668" s="16"/>
      <c r="FR668" s="16"/>
      <c r="FS668" s="17"/>
      <c r="FW668" s="24"/>
      <c r="FX668" s="60"/>
      <c r="FY668" s="16"/>
      <c r="FZ668" s="16"/>
      <c r="GA668" s="16"/>
      <c r="GB668" s="16"/>
      <c r="GC668" s="16"/>
      <c r="GD668" s="17"/>
      <c r="GH668" s="24"/>
      <c r="GI668" s="60"/>
      <c r="GJ668" s="16"/>
      <c r="GK668" s="16"/>
      <c r="GL668" s="16"/>
      <c r="GM668" s="16"/>
      <c r="GN668" s="16"/>
      <c r="GO668" s="17"/>
      <c r="GS668" s="24"/>
      <c r="GT668" s="60"/>
      <c r="GU668" s="16"/>
      <c r="GV668" s="16"/>
      <c r="GW668" s="16"/>
      <c r="GX668" s="16"/>
      <c r="GY668" s="16"/>
      <c r="GZ668" s="17"/>
      <c r="HD668" s="24"/>
      <c r="HE668" s="60"/>
      <c r="HF668" s="16"/>
      <c r="HG668" s="16"/>
      <c r="HH668" s="16"/>
      <c r="HI668" s="16"/>
      <c r="HJ668" s="16"/>
      <c r="HK668" s="17"/>
      <c r="HO668" s="24"/>
      <c r="HP668" s="60"/>
      <c r="HQ668" s="16"/>
      <c r="HR668" s="16"/>
      <c r="HS668" s="16"/>
      <c r="HT668" s="16"/>
      <c r="HU668" s="16"/>
      <c r="HV668" s="17"/>
      <c r="HZ668" s="24"/>
      <c r="IA668" s="60"/>
      <c r="IB668" s="16"/>
      <c r="IC668" s="16"/>
      <c r="ID668" s="16"/>
      <c r="IE668" s="16"/>
      <c r="IF668" s="16"/>
      <c r="IG668" s="17"/>
      <c r="IK668" s="24"/>
      <c r="IL668" s="60"/>
      <c r="IM668" s="16"/>
      <c r="IN668" s="16"/>
      <c r="IO668" s="16"/>
      <c r="IP668" s="16"/>
      <c r="IQ668" s="16"/>
      <c r="IR668" s="17"/>
      <c r="IV668" s="24"/>
      <c r="IW668" s="60"/>
      <c r="IX668" s="16"/>
      <c r="IY668" s="16"/>
      <c r="IZ668" s="16"/>
      <c r="JA668" s="16"/>
      <c r="JB668" s="16"/>
      <c r="JC668" s="17"/>
      <c r="JG668" s="24"/>
      <c r="JH668" s="60"/>
      <c r="JI668" s="16"/>
      <c r="JJ668" s="16"/>
      <c r="JK668" s="16"/>
      <c r="JL668" s="16"/>
      <c r="JM668" s="16"/>
      <c r="JN668" s="17"/>
      <c r="JR668" s="24"/>
      <c r="JS668" s="60"/>
      <c r="JT668" s="16"/>
      <c r="JU668" s="16"/>
      <c r="JV668" s="16"/>
      <c r="JW668" s="16"/>
      <c r="JX668" s="16"/>
      <c r="JY668" s="17"/>
      <c r="KC668" s="24"/>
      <c r="KD668" s="60"/>
      <c r="KE668" s="16"/>
      <c r="KF668" s="16"/>
      <c r="KG668" s="16"/>
      <c r="KH668" s="16"/>
      <c r="KI668" s="16"/>
      <c r="KJ668" s="17"/>
      <c r="KN668" s="24"/>
      <c r="KO668" s="60"/>
      <c r="KP668" s="16"/>
      <c r="KQ668" s="16"/>
      <c r="KR668" s="16"/>
      <c r="KS668" s="16"/>
      <c r="KT668" s="16"/>
      <c r="KU668" s="17"/>
      <c r="KY668" s="24"/>
      <c r="KZ668" s="60"/>
      <c r="LA668" s="16"/>
      <c r="LB668" s="16"/>
      <c r="LC668" s="16"/>
      <c r="LD668" s="16"/>
      <c r="LE668" s="16"/>
      <c r="LF668" s="17"/>
      <c r="LJ668" s="24"/>
      <c r="LK668" s="60"/>
      <c r="LL668" s="16"/>
      <c r="LM668" s="16"/>
      <c r="LN668" s="16"/>
      <c r="LO668" s="16"/>
      <c r="LP668" s="16"/>
      <c r="LQ668" s="17"/>
    </row>
    <row r="669">
      <c r="C669" s="31"/>
      <c r="D669" s="61"/>
      <c r="E669" s="16"/>
      <c r="F669" s="16"/>
      <c r="G669" s="21"/>
      <c r="H669" s="16"/>
      <c r="I669" s="16"/>
      <c r="J669" s="17"/>
      <c r="N669" s="17"/>
      <c r="O669" s="61"/>
      <c r="P669" s="16"/>
      <c r="Q669" s="16"/>
      <c r="R669" s="16"/>
      <c r="S669" s="16"/>
      <c r="T669" s="16"/>
      <c r="U669" s="17"/>
      <c r="Y669" s="24"/>
      <c r="Z669" s="61"/>
      <c r="AA669" s="16"/>
      <c r="AB669" s="16"/>
      <c r="AC669" s="16"/>
      <c r="AD669" s="16"/>
      <c r="AE669" s="16"/>
      <c r="AF669" s="17"/>
      <c r="AJ669" s="24"/>
      <c r="AK669" s="61"/>
      <c r="AL669" s="16"/>
      <c r="AM669" s="16"/>
      <c r="AN669" s="16"/>
      <c r="AO669" s="16"/>
      <c r="AP669" s="16"/>
      <c r="AQ669" s="17"/>
      <c r="AU669" s="24"/>
      <c r="AV669" s="61"/>
      <c r="AW669" s="16"/>
      <c r="AX669" s="16"/>
      <c r="AY669" s="16"/>
      <c r="AZ669" s="16"/>
      <c r="BA669" s="16"/>
      <c r="BB669" s="17"/>
      <c r="BF669" s="24"/>
      <c r="BG669" s="61"/>
      <c r="BH669" s="16"/>
      <c r="BI669" s="16"/>
      <c r="BJ669" s="16"/>
      <c r="BK669" s="16"/>
      <c r="BL669" s="16"/>
      <c r="BM669" s="17"/>
      <c r="BQ669" s="24"/>
      <c r="BR669" s="61"/>
      <c r="BS669" s="16"/>
      <c r="BT669" s="16"/>
      <c r="BU669" s="16"/>
      <c r="BV669" s="16"/>
      <c r="BW669" s="16"/>
      <c r="BX669" s="17"/>
      <c r="CB669" s="24"/>
      <c r="CC669" s="61"/>
      <c r="CD669" s="16"/>
      <c r="CE669" s="16"/>
      <c r="CF669" s="16"/>
      <c r="CG669" s="16"/>
      <c r="CH669" s="16"/>
      <c r="CI669" s="17"/>
      <c r="CM669" s="24"/>
      <c r="CN669" s="61"/>
      <c r="CO669" s="16"/>
      <c r="CP669" s="16"/>
      <c r="CQ669" s="16"/>
      <c r="CR669" s="16"/>
      <c r="CS669" s="16"/>
      <c r="CT669" s="17"/>
      <c r="CX669" s="24"/>
      <c r="CY669" s="60"/>
      <c r="CZ669" s="16"/>
      <c r="DA669" s="16"/>
      <c r="DB669" s="16"/>
      <c r="DC669" s="16"/>
      <c r="DD669" s="16"/>
      <c r="DE669" s="17"/>
      <c r="DI669" s="24"/>
      <c r="DJ669" s="60"/>
      <c r="DK669" s="16"/>
      <c r="DL669" s="16"/>
      <c r="DM669" s="16"/>
      <c r="DN669" s="16"/>
      <c r="DO669" s="16"/>
      <c r="DP669" s="17"/>
      <c r="DT669" s="24"/>
      <c r="DU669" s="60"/>
      <c r="DV669" s="16"/>
      <c r="DW669" s="16"/>
      <c r="DX669" s="16"/>
      <c r="DY669" s="16"/>
      <c r="DZ669" s="16"/>
      <c r="EA669" s="17"/>
      <c r="EE669" s="24"/>
      <c r="EF669" s="60"/>
      <c r="EG669" s="16"/>
      <c r="EH669" s="16"/>
      <c r="EI669" s="16"/>
      <c r="EJ669" s="16"/>
      <c r="EK669" s="16"/>
      <c r="EL669" s="17"/>
      <c r="EP669" s="24"/>
      <c r="EQ669" s="60"/>
      <c r="ER669" s="16"/>
      <c r="ES669" s="16"/>
      <c r="ET669" s="16"/>
      <c r="EU669" s="16"/>
      <c r="EV669" s="16"/>
      <c r="EW669" s="17"/>
      <c r="FA669" s="24"/>
      <c r="FB669" s="60"/>
      <c r="FC669" s="16"/>
      <c r="FD669" s="16"/>
      <c r="FE669" s="16"/>
      <c r="FF669" s="16"/>
      <c r="FG669" s="16"/>
      <c r="FH669" s="17"/>
      <c r="FL669" s="24"/>
      <c r="FM669" s="60"/>
      <c r="FN669" s="16"/>
      <c r="FO669" s="16"/>
      <c r="FP669" s="16"/>
      <c r="FQ669" s="16"/>
      <c r="FR669" s="16"/>
      <c r="FS669" s="17"/>
      <c r="FW669" s="24"/>
      <c r="FX669" s="60"/>
      <c r="FY669" s="16"/>
      <c r="FZ669" s="16"/>
      <c r="GA669" s="16"/>
      <c r="GB669" s="16"/>
      <c r="GC669" s="16"/>
      <c r="GD669" s="17"/>
      <c r="GH669" s="24"/>
      <c r="GI669" s="60"/>
      <c r="GJ669" s="16"/>
      <c r="GK669" s="16"/>
      <c r="GL669" s="16"/>
      <c r="GM669" s="16"/>
      <c r="GN669" s="16"/>
      <c r="GO669" s="17"/>
      <c r="GS669" s="24"/>
      <c r="GT669" s="60"/>
      <c r="GU669" s="16"/>
      <c r="GV669" s="16"/>
      <c r="GW669" s="16"/>
      <c r="GX669" s="16"/>
      <c r="GY669" s="16"/>
      <c r="GZ669" s="17"/>
      <c r="HD669" s="24"/>
      <c r="HE669" s="60"/>
      <c r="HF669" s="16"/>
      <c r="HG669" s="16"/>
      <c r="HH669" s="16"/>
      <c r="HI669" s="16"/>
      <c r="HJ669" s="16"/>
      <c r="HK669" s="17"/>
      <c r="HO669" s="24"/>
      <c r="HP669" s="60"/>
      <c r="HQ669" s="16"/>
      <c r="HR669" s="16"/>
      <c r="HS669" s="16"/>
      <c r="HT669" s="16"/>
      <c r="HU669" s="16"/>
      <c r="HV669" s="17"/>
      <c r="HZ669" s="24"/>
      <c r="IA669" s="60"/>
      <c r="IB669" s="16"/>
      <c r="IC669" s="16"/>
      <c r="ID669" s="16"/>
      <c r="IE669" s="16"/>
      <c r="IF669" s="16"/>
      <c r="IG669" s="17"/>
      <c r="IK669" s="24"/>
      <c r="IL669" s="60"/>
      <c r="IM669" s="16"/>
      <c r="IN669" s="16"/>
      <c r="IO669" s="16"/>
      <c r="IP669" s="16"/>
      <c r="IQ669" s="16"/>
      <c r="IR669" s="17"/>
      <c r="IV669" s="24"/>
      <c r="IW669" s="60"/>
      <c r="IX669" s="16"/>
      <c r="IY669" s="16"/>
      <c r="IZ669" s="16"/>
      <c r="JA669" s="16"/>
      <c r="JB669" s="16"/>
      <c r="JC669" s="17"/>
      <c r="JG669" s="24"/>
      <c r="JH669" s="60"/>
      <c r="JI669" s="16"/>
      <c r="JJ669" s="16"/>
      <c r="JK669" s="16"/>
      <c r="JL669" s="16"/>
      <c r="JM669" s="16"/>
      <c r="JN669" s="17"/>
      <c r="JR669" s="24"/>
      <c r="JS669" s="60"/>
      <c r="JT669" s="16"/>
      <c r="JU669" s="16"/>
      <c r="JV669" s="16"/>
      <c r="JW669" s="16"/>
      <c r="JX669" s="16"/>
      <c r="JY669" s="17"/>
      <c r="KC669" s="24"/>
      <c r="KD669" s="60"/>
      <c r="KE669" s="16"/>
      <c r="KF669" s="16"/>
      <c r="KG669" s="16"/>
      <c r="KH669" s="16"/>
      <c r="KI669" s="16"/>
      <c r="KJ669" s="17"/>
      <c r="KN669" s="24"/>
      <c r="KO669" s="60"/>
      <c r="KP669" s="16"/>
      <c r="KQ669" s="16"/>
      <c r="KR669" s="16"/>
      <c r="KS669" s="16"/>
      <c r="KT669" s="16"/>
      <c r="KU669" s="17"/>
      <c r="KY669" s="24"/>
      <c r="KZ669" s="60"/>
      <c r="LA669" s="16"/>
      <c r="LB669" s="16"/>
      <c r="LC669" s="16"/>
      <c r="LD669" s="16"/>
      <c r="LE669" s="16"/>
      <c r="LF669" s="17"/>
      <c r="LJ669" s="24"/>
      <c r="LK669" s="60"/>
      <c r="LL669" s="16"/>
      <c r="LM669" s="16"/>
      <c r="LN669" s="16"/>
      <c r="LO669" s="16"/>
      <c r="LP669" s="16"/>
      <c r="LQ669" s="17"/>
    </row>
    <row r="670">
      <c r="C670" s="31"/>
      <c r="D670" s="61"/>
      <c r="E670" s="16"/>
      <c r="F670" s="16"/>
      <c r="G670" s="21"/>
      <c r="H670" s="16"/>
      <c r="I670" s="16"/>
      <c r="J670" s="17"/>
      <c r="N670" s="17"/>
      <c r="O670" s="61"/>
      <c r="P670" s="16"/>
      <c r="Q670" s="16"/>
      <c r="R670" s="16"/>
      <c r="S670" s="16"/>
      <c r="T670" s="16"/>
      <c r="U670" s="17"/>
      <c r="Y670" s="24"/>
      <c r="Z670" s="61"/>
      <c r="AA670" s="16"/>
      <c r="AB670" s="16"/>
      <c r="AC670" s="16"/>
      <c r="AD670" s="16"/>
      <c r="AE670" s="16"/>
      <c r="AF670" s="17"/>
      <c r="AJ670" s="24"/>
      <c r="AK670" s="61"/>
      <c r="AL670" s="16"/>
      <c r="AM670" s="16"/>
      <c r="AN670" s="16"/>
      <c r="AO670" s="16"/>
      <c r="AP670" s="16"/>
      <c r="AQ670" s="17"/>
      <c r="AU670" s="24"/>
      <c r="AV670" s="61"/>
      <c r="AW670" s="16"/>
      <c r="AX670" s="16"/>
      <c r="AY670" s="16"/>
      <c r="AZ670" s="16"/>
      <c r="BA670" s="16"/>
      <c r="BB670" s="17"/>
      <c r="BF670" s="24"/>
      <c r="BG670" s="61"/>
      <c r="BH670" s="16"/>
      <c r="BI670" s="16"/>
      <c r="BJ670" s="16"/>
      <c r="BK670" s="16"/>
      <c r="BL670" s="16"/>
      <c r="BM670" s="17"/>
      <c r="BQ670" s="24"/>
      <c r="BR670" s="61"/>
      <c r="BS670" s="16"/>
      <c r="BT670" s="16"/>
      <c r="BU670" s="16"/>
      <c r="BV670" s="16"/>
      <c r="BW670" s="16"/>
      <c r="BX670" s="17"/>
      <c r="CB670" s="24"/>
      <c r="CC670" s="61"/>
      <c r="CD670" s="16"/>
      <c r="CE670" s="16"/>
      <c r="CF670" s="16"/>
      <c r="CG670" s="16"/>
      <c r="CH670" s="16"/>
      <c r="CI670" s="17"/>
      <c r="CM670" s="24"/>
      <c r="CN670" s="61"/>
      <c r="CO670" s="16"/>
      <c r="CP670" s="16"/>
      <c r="CQ670" s="16"/>
      <c r="CR670" s="16"/>
      <c r="CS670" s="16"/>
      <c r="CT670" s="17"/>
      <c r="CX670" s="24"/>
      <c r="CY670" s="60"/>
      <c r="CZ670" s="16"/>
      <c r="DA670" s="16"/>
      <c r="DB670" s="16"/>
      <c r="DC670" s="16"/>
      <c r="DD670" s="16"/>
      <c r="DE670" s="17"/>
      <c r="DI670" s="24"/>
      <c r="DJ670" s="60"/>
      <c r="DK670" s="16"/>
      <c r="DL670" s="16"/>
      <c r="DM670" s="16"/>
      <c r="DN670" s="16"/>
      <c r="DO670" s="16"/>
      <c r="DP670" s="17"/>
      <c r="DT670" s="24"/>
      <c r="DU670" s="60"/>
      <c r="DV670" s="16"/>
      <c r="DW670" s="16"/>
      <c r="DX670" s="16"/>
      <c r="DY670" s="16"/>
      <c r="DZ670" s="16"/>
      <c r="EA670" s="17"/>
      <c r="EE670" s="24"/>
      <c r="EF670" s="60"/>
      <c r="EG670" s="16"/>
      <c r="EH670" s="16"/>
      <c r="EI670" s="16"/>
      <c r="EJ670" s="16"/>
      <c r="EK670" s="16"/>
      <c r="EL670" s="17"/>
      <c r="EP670" s="24"/>
      <c r="EQ670" s="60"/>
      <c r="ER670" s="16"/>
      <c r="ES670" s="16"/>
      <c r="ET670" s="16"/>
      <c r="EU670" s="16"/>
      <c r="EV670" s="16"/>
      <c r="EW670" s="17"/>
      <c r="FA670" s="24"/>
      <c r="FB670" s="60"/>
      <c r="FC670" s="16"/>
      <c r="FD670" s="16"/>
      <c r="FE670" s="16"/>
      <c r="FF670" s="16"/>
      <c r="FG670" s="16"/>
      <c r="FH670" s="17"/>
      <c r="FL670" s="24"/>
      <c r="FM670" s="60"/>
      <c r="FN670" s="16"/>
      <c r="FO670" s="16"/>
      <c r="FP670" s="16"/>
      <c r="FQ670" s="16"/>
      <c r="FR670" s="16"/>
      <c r="FS670" s="17"/>
      <c r="FW670" s="24"/>
      <c r="FX670" s="60"/>
      <c r="FY670" s="16"/>
      <c r="FZ670" s="16"/>
      <c r="GA670" s="16"/>
      <c r="GB670" s="16"/>
      <c r="GC670" s="16"/>
      <c r="GD670" s="17"/>
      <c r="GH670" s="24"/>
      <c r="GI670" s="60"/>
      <c r="GJ670" s="16"/>
      <c r="GK670" s="16"/>
      <c r="GL670" s="16"/>
      <c r="GM670" s="16"/>
      <c r="GN670" s="16"/>
      <c r="GO670" s="17"/>
      <c r="GS670" s="24"/>
      <c r="GT670" s="60"/>
      <c r="GU670" s="16"/>
      <c r="GV670" s="16"/>
      <c r="GW670" s="16"/>
      <c r="GX670" s="16"/>
      <c r="GY670" s="16"/>
      <c r="GZ670" s="17"/>
      <c r="HD670" s="24"/>
      <c r="HE670" s="60"/>
      <c r="HF670" s="16"/>
      <c r="HG670" s="16"/>
      <c r="HH670" s="16"/>
      <c r="HI670" s="16"/>
      <c r="HJ670" s="16"/>
      <c r="HK670" s="17"/>
      <c r="HO670" s="24"/>
      <c r="HP670" s="60"/>
      <c r="HQ670" s="16"/>
      <c r="HR670" s="16"/>
      <c r="HS670" s="16"/>
      <c r="HT670" s="16"/>
      <c r="HU670" s="16"/>
      <c r="HV670" s="17"/>
      <c r="HZ670" s="24"/>
      <c r="IA670" s="60"/>
      <c r="IB670" s="16"/>
      <c r="IC670" s="16"/>
      <c r="ID670" s="16"/>
      <c r="IE670" s="16"/>
      <c r="IF670" s="16"/>
      <c r="IG670" s="17"/>
      <c r="IK670" s="24"/>
      <c r="IL670" s="60"/>
      <c r="IM670" s="16"/>
      <c r="IN670" s="16"/>
      <c r="IO670" s="16"/>
      <c r="IP670" s="16"/>
      <c r="IQ670" s="16"/>
      <c r="IR670" s="17"/>
      <c r="IV670" s="24"/>
      <c r="IW670" s="60"/>
      <c r="IX670" s="16"/>
      <c r="IY670" s="16"/>
      <c r="IZ670" s="16"/>
      <c r="JA670" s="16"/>
      <c r="JB670" s="16"/>
      <c r="JC670" s="17"/>
      <c r="JG670" s="24"/>
      <c r="JH670" s="60"/>
      <c r="JI670" s="16"/>
      <c r="JJ670" s="16"/>
      <c r="JK670" s="16"/>
      <c r="JL670" s="16"/>
      <c r="JM670" s="16"/>
      <c r="JN670" s="17"/>
      <c r="JR670" s="24"/>
      <c r="JS670" s="60"/>
      <c r="JT670" s="16"/>
      <c r="JU670" s="16"/>
      <c r="JV670" s="16"/>
      <c r="JW670" s="16"/>
      <c r="JX670" s="16"/>
      <c r="JY670" s="17"/>
      <c r="KC670" s="24"/>
      <c r="KD670" s="60"/>
      <c r="KE670" s="16"/>
      <c r="KF670" s="16"/>
      <c r="KG670" s="16"/>
      <c r="KH670" s="16"/>
      <c r="KI670" s="16"/>
      <c r="KJ670" s="17"/>
      <c r="KN670" s="24"/>
      <c r="KO670" s="60"/>
      <c r="KP670" s="16"/>
      <c r="KQ670" s="16"/>
      <c r="KR670" s="16"/>
      <c r="KS670" s="16"/>
      <c r="KT670" s="16"/>
      <c r="KU670" s="17"/>
      <c r="KY670" s="24"/>
      <c r="KZ670" s="60"/>
      <c r="LA670" s="16"/>
      <c r="LB670" s="16"/>
      <c r="LC670" s="16"/>
      <c r="LD670" s="16"/>
      <c r="LE670" s="16"/>
      <c r="LF670" s="17"/>
      <c r="LJ670" s="24"/>
      <c r="LK670" s="60"/>
      <c r="LL670" s="16"/>
      <c r="LM670" s="16"/>
      <c r="LN670" s="16"/>
      <c r="LO670" s="16"/>
      <c r="LP670" s="16"/>
      <c r="LQ670" s="17"/>
    </row>
    <row r="671">
      <c r="C671" s="31"/>
      <c r="D671" s="61"/>
      <c r="E671" s="16"/>
      <c r="F671" s="16"/>
      <c r="G671" s="21"/>
      <c r="H671" s="16"/>
      <c r="I671" s="16"/>
      <c r="J671" s="17"/>
      <c r="N671" s="17"/>
      <c r="O671" s="61"/>
      <c r="P671" s="16"/>
      <c r="Q671" s="16"/>
      <c r="R671" s="16"/>
      <c r="S671" s="16"/>
      <c r="T671" s="16"/>
      <c r="U671" s="17"/>
      <c r="Y671" s="24"/>
      <c r="Z671" s="61"/>
      <c r="AA671" s="16"/>
      <c r="AB671" s="16"/>
      <c r="AC671" s="16"/>
      <c r="AD671" s="16"/>
      <c r="AE671" s="16"/>
      <c r="AF671" s="17"/>
      <c r="AJ671" s="24"/>
      <c r="AK671" s="61"/>
      <c r="AL671" s="16"/>
      <c r="AM671" s="16"/>
      <c r="AN671" s="16"/>
      <c r="AO671" s="16"/>
      <c r="AP671" s="16"/>
      <c r="AQ671" s="17"/>
      <c r="AU671" s="24"/>
      <c r="AV671" s="61"/>
      <c r="AW671" s="16"/>
      <c r="AX671" s="16"/>
      <c r="AY671" s="16"/>
      <c r="AZ671" s="16"/>
      <c r="BA671" s="16"/>
      <c r="BB671" s="17"/>
      <c r="BF671" s="24"/>
      <c r="BG671" s="61"/>
      <c r="BH671" s="16"/>
      <c r="BI671" s="16"/>
      <c r="BJ671" s="16"/>
      <c r="BK671" s="16"/>
      <c r="BL671" s="16"/>
      <c r="BM671" s="17"/>
      <c r="BQ671" s="24"/>
      <c r="BR671" s="61"/>
      <c r="BS671" s="16"/>
      <c r="BT671" s="16"/>
      <c r="BU671" s="16"/>
      <c r="BV671" s="16"/>
      <c r="BW671" s="16"/>
      <c r="BX671" s="17"/>
      <c r="CB671" s="24"/>
      <c r="CC671" s="61"/>
      <c r="CD671" s="16"/>
      <c r="CE671" s="16"/>
      <c r="CF671" s="16"/>
      <c r="CG671" s="16"/>
      <c r="CH671" s="16"/>
      <c r="CI671" s="17"/>
      <c r="CM671" s="24"/>
      <c r="CN671" s="61"/>
      <c r="CO671" s="16"/>
      <c r="CP671" s="16"/>
      <c r="CQ671" s="16"/>
      <c r="CR671" s="16"/>
      <c r="CS671" s="16"/>
      <c r="CT671" s="17"/>
      <c r="CX671" s="24"/>
      <c r="CY671" s="60"/>
      <c r="CZ671" s="16"/>
      <c r="DA671" s="16"/>
      <c r="DB671" s="16"/>
      <c r="DC671" s="16"/>
      <c r="DD671" s="16"/>
      <c r="DE671" s="17"/>
      <c r="DI671" s="24"/>
      <c r="DJ671" s="60"/>
      <c r="DK671" s="16"/>
      <c r="DL671" s="16"/>
      <c r="DM671" s="16"/>
      <c r="DN671" s="16"/>
      <c r="DO671" s="16"/>
      <c r="DP671" s="17"/>
      <c r="DT671" s="24"/>
      <c r="DU671" s="60"/>
      <c r="DV671" s="16"/>
      <c r="DW671" s="16"/>
      <c r="DX671" s="16"/>
      <c r="DY671" s="16"/>
      <c r="DZ671" s="16"/>
      <c r="EA671" s="17"/>
      <c r="EE671" s="24"/>
      <c r="EF671" s="60"/>
      <c r="EG671" s="16"/>
      <c r="EH671" s="16"/>
      <c r="EI671" s="16"/>
      <c r="EJ671" s="16"/>
      <c r="EK671" s="16"/>
      <c r="EL671" s="17"/>
      <c r="EP671" s="24"/>
      <c r="EQ671" s="60"/>
      <c r="ER671" s="16"/>
      <c r="ES671" s="16"/>
      <c r="ET671" s="16"/>
      <c r="EU671" s="16"/>
      <c r="EV671" s="16"/>
      <c r="EW671" s="17"/>
      <c r="FA671" s="24"/>
      <c r="FB671" s="60"/>
      <c r="FC671" s="16"/>
      <c r="FD671" s="16"/>
      <c r="FE671" s="16"/>
      <c r="FF671" s="16"/>
      <c r="FG671" s="16"/>
      <c r="FH671" s="17"/>
      <c r="FL671" s="24"/>
      <c r="FM671" s="60"/>
      <c r="FN671" s="16"/>
      <c r="FO671" s="16"/>
      <c r="FP671" s="16"/>
      <c r="FQ671" s="16"/>
      <c r="FR671" s="16"/>
      <c r="FS671" s="17"/>
      <c r="FW671" s="24"/>
      <c r="FX671" s="60"/>
      <c r="FY671" s="16"/>
      <c r="FZ671" s="16"/>
      <c r="GA671" s="16"/>
      <c r="GB671" s="16"/>
      <c r="GC671" s="16"/>
      <c r="GD671" s="17"/>
      <c r="GH671" s="24"/>
      <c r="GI671" s="60"/>
      <c r="GJ671" s="16"/>
      <c r="GK671" s="16"/>
      <c r="GL671" s="16"/>
      <c r="GM671" s="16"/>
      <c r="GN671" s="16"/>
      <c r="GO671" s="17"/>
      <c r="GS671" s="24"/>
      <c r="GT671" s="60"/>
      <c r="GU671" s="16"/>
      <c r="GV671" s="16"/>
      <c r="GW671" s="16"/>
      <c r="GX671" s="16"/>
      <c r="GY671" s="16"/>
      <c r="GZ671" s="17"/>
      <c r="HD671" s="24"/>
      <c r="HE671" s="60"/>
      <c r="HF671" s="16"/>
      <c r="HG671" s="16"/>
      <c r="HH671" s="16"/>
      <c r="HI671" s="16"/>
      <c r="HJ671" s="16"/>
      <c r="HK671" s="17"/>
      <c r="HO671" s="24"/>
      <c r="HP671" s="60"/>
      <c r="HQ671" s="16"/>
      <c r="HR671" s="16"/>
      <c r="HS671" s="16"/>
      <c r="HT671" s="16"/>
      <c r="HU671" s="16"/>
      <c r="HV671" s="17"/>
      <c r="HZ671" s="24"/>
      <c r="IA671" s="60"/>
      <c r="IB671" s="16"/>
      <c r="IC671" s="16"/>
      <c r="ID671" s="16"/>
      <c r="IE671" s="16"/>
      <c r="IF671" s="16"/>
      <c r="IG671" s="17"/>
      <c r="IK671" s="24"/>
      <c r="IL671" s="60"/>
      <c r="IM671" s="16"/>
      <c r="IN671" s="16"/>
      <c r="IO671" s="16"/>
      <c r="IP671" s="16"/>
      <c r="IQ671" s="16"/>
      <c r="IR671" s="17"/>
      <c r="IV671" s="24"/>
      <c r="IW671" s="60"/>
      <c r="IX671" s="16"/>
      <c r="IY671" s="16"/>
      <c r="IZ671" s="16"/>
      <c r="JA671" s="16"/>
      <c r="JB671" s="16"/>
      <c r="JC671" s="17"/>
      <c r="JG671" s="24"/>
      <c r="JH671" s="60"/>
      <c r="JI671" s="16"/>
      <c r="JJ671" s="16"/>
      <c r="JK671" s="16"/>
      <c r="JL671" s="16"/>
      <c r="JM671" s="16"/>
      <c r="JN671" s="17"/>
      <c r="JR671" s="24"/>
      <c r="JS671" s="60"/>
      <c r="JT671" s="16"/>
      <c r="JU671" s="16"/>
      <c r="JV671" s="16"/>
      <c r="JW671" s="16"/>
      <c r="JX671" s="16"/>
      <c r="JY671" s="17"/>
      <c r="KC671" s="24"/>
      <c r="KD671" s="60"/>
      <c r="KE671" s="16"/>
      <c r="KF671" s="16"/>
      <c r="KG671" s="16"/>
      <c r="KH671" s="16"/>
      <c r="KI671" s="16"/>
      <c r="KJ671" s="17"/>
      <c r="KN671" s="24"/>
      <c r="KO671" s="60"/>
      <c r="KP671" s="16"/>
      <c r="KQ671" s="16"/>
      <c r="KR671" s="16"/>
      <c r="KS671" s="16"/>
      <c r="KT671" s="16"/>
      <c r="KU671" s="17"/>
      <c r="KY671" s="24"/>
      <c r="KZ671" s="60"/>
      <c r="LA671" s="16"/>
      <c r="LB671" s="16"/>
      <c r="LC671" s="16"/>
      <c r="LD671" s="16"/>
      <c r="LE671" s="16"/>
      <c r="LF671" s="17"/>
      <c r="LJ671" s="24"/>
      <c r="LK671" s="60"/>
      <c r="LL671" s="16"/>
      <c r="LM671" s="16"/>
      <c r="LN671" s="16"/>
      <c r="LO671" s="16"/>
      <c r="LP671" s="16"/>
      <c r="LQ671" s="17"/>
    </row>
    <row r="672">
      <c r="C672" s="31"/>
      <c r="D672" s="61"/>
      <c r="E672" s="16"/>
      <c r="F672" s="16"/>
      <c r="G672" s="21"/>
      <c r="H672" s="16"/>
      <c r="I672" s="16"/>
      <c r="J672" s="17"/>
      <c r="N672" s="17"/>
      <c r="O672" s="61"/>
      <c r="P672" s="16"/>
      <c r="Q672" s="16"/>
      <c r="R672" s="16"/>
      <c r="S672" s="16"/>
      <c r="T672" s="16"/>
      <c r="U672" s="17"/>
      <c r="Y672" s="24"/>
      <c r="Z672" s="61"/>
      <c r="AA672" s="16"/>
      <c r="AB672" s="16"/>
      <c r="AC672" s="16"/>
      <c r="AD672" s="16"/>
      <c r="AE672" s="16"/>
      <c r="AF672" s="17"/>
      <c r="AJ672" s="24"/>
      <c r="AK672" s="61"/>
      <c r="AL672" s="16"/>
      <c r="AM672" s="16"/>
      <c r="AN672" s="16"/>
      <c r="AO672" s="16"/>
      <c r="AP672" s="16"/>
      <c r="AQ672" s="17"/>
      <c r="AU672" s="24"/>
      <c r="AV672" s="61"/>
      <c r="AW672" s="16"/>
      <c r="AX672" s="16"/>
      <c r="AY672" s="16"/>
      <c r="AZ672" s="16"/>
      <c r="BA672" s="16"/>
      <c r="BB672" s="17"/>
      <c r="BF672" s="24"/>
      <c r="BG672" s="61"/>
      <c r="BH672" s="16"/>
      <c r="BI672" s="16"/>
      <c r="BJ672" s="16"/>
      <c r="BK672" s="16"/>
      <c r="BL672" s="16"/>
      <c r="BM672" s="17"/>
      <c r="BQ672" s="24"/>
      <c r="BR672" s="61"/>
      <c r="BS672" s="16"/>
      <c r="BT672" s="16"/>
      <c r="BU672" s="16"/>
      <c r="BV672" s="16"/>
      <c r="BW672" s="16"/>
      <c r="BX672" s="17"/>
      <c r="CB672" s="24"/>
      <c r="CC672" s="61"/>
      <c r="CD672" s="16"/>
      <c r="CE672" s="16"/>
      <c r="CF672" s="16"/>
      <c r="CG672" s="16"/>
      <c r="CH672" s="16"/>
      <c r="CI672" s="17"/>
      <c r="CM672" s="24"/>
      <c r="CN672" s="61"/>
      <c r="CO672" s="16"/>
      <c r="CP672" s="16"/>
      <c r="CQ672" s="16"/>
      <c r="CR672" s="16"/>
      <c r="CS672" s="16"/>
      <c r="CT672" s="17"/>
      <c r="CX672" s="24"/>
      <c r="CY672" s="60"/>
      <c r="CZ672" s="16"/>
      <c r="DA672" s="16"/>
      <c r="DB672" s="16"/>
      <c r="DC672" s="16"/>
      <c r="DD672" s="16"/>
      <c r="DE672" s="17"/>
      <c r="DI672" s="24"/>
      <c r="DJ672" s="60"/>
      <c r="DK672" s="16"/>
      <c r="DL672" s="16"/>
      <c r="DM672" s="16"/>
      <c r="DN672" s="16"/>
      <c r="DO672" s="16"/>
      <c r="DP672" s="17"/>
      <c r="DT672" s="24"/>
      <c r="DU672" s="60"/>
      <c r="DV672" s="16"/>
      <c r="DW672" s="16"/>
      <c r="DX672" s="16"/>
      <c r="DY672" s="16"/>
      <c r="DZ672" s="16"/>
      <c r="EA672" s="17"/>
      <c r="EE672" s="24"/>
      <c r="EF672" s="60"/>
      <c r="EG672" s="16"/>
      <c r="EH672" s="16"/>
      <c r="EI672" s="16"/>
      <c r="EJ672" s="16"/>
      <c r="EK672" s="16"/>
      <c r="EL672" s="17"/>
      <c r="EP672" s="24"/>
      <c r="EQ672" s="60"/>
      <c r="ER672" s="16"/>
      <c r="ES672" s="16"/>
      <c r="ET672" s="16"/>
      <c r="EU672" s="16"/>
      <c r="EV672" s="16"/>
      <c r="EW672" s="17"/>
      <c r="FA672" s="24"/>
      <c r="FB672" s="60"/>
      <c r="FC672" s="16"/>
      <c r="FD672" s="16"/>
      <c r="FE672" s="16"/>
      <c r="FF672" s="16"/>
      <c r="FG672" s="16"/>
      <c r="FH672" s="17"/>
      <c r="FL672" s="24"/>
      <c r="FM672" s="60"/>
      <c r="FN672" s="16"/>
      <c r="FO672" s="16"/>
      <c r="FP672" s="16"/>
      <c r="FQ672" s="16"/>
      <c r="FR672" s="16"/>
      <c r="FS672" s="17"/>
      <c r="FW672" s="24"/>
      <c r="FX672" s="60"/>
      <c r="FY672" s="16"/>
      <c r="FZ672" s="16"/>
      <c r="GA672" s="16"/>
      <c r="GB672" s="16"/>
      <c r="GC672" s="16"/>
      <c r="GD672" s="17"/>
      <c r="GH672" s="24"/>
      <c r="GI672" s="60"/>
      <c r="GJ672" s="16"/>
      <c r="GK672" s="16"/>
      <c r="GL672" s="16"/>
      <c r="GM672" s="16"/>
      <c r="GN672" s="16"/>
      <c r="GO672" s="17"/>
      <c r="GS672" s="24"/>
      <c r="GT672" s="60"/>
      <c r="GU672" s="16"/>
      <c r="GV672" s="16"/>
      <c r="GW672" s="16"/>
      <c r="GX672" s="16"/>
      <c r="GY672" s="16"/>
      <c r="GZ672" s="17"/>
      <c r="HD672" s="24"/>
      <c r="HE672" s="60"/>
      <c r="HF672" s="16"/>
      <c r="HG672" s="16"/>
      <c r="HH672" s="16"/>
      <c r="HI672" s="16"/>
      <c r="HJ672" s="16"/>
      <c r="HK672" s="17"/>
      <c r="HO672" s="24"/>
      <c r="HP672" s="60"/>
      <c r="HQ672" s="16"/>
      <c r="HR672" s="16"/>
      <c r="HS672" s="16"/>
      <c r="HT672" s="16"/>
      <c r="HU672" s="16"/>
      <c r="HV672" s="17"/>
      <c r="HZ672" s="24"/>
      <c r="IA672" s="60"/>
      <c r="IB672" s="16"/>
      <c r="IC672" s="16"/>
      <c r="ID672" s="16"/>
      <c r="IE672" s="16"/>
      <c r="IF672" s="16"/>
      <c r="IG672" s="17"/>
      <c r="IK672" s="24"/>
      <c r="IL672" s="60"/>
      <c r="IM672" s="16"/>
      <c r="IN672" s="16"/>
      <c r="IO672" s="16"/>
      <c r="IP672" s="16"/>
      <c r="IQ672" s="16"/>
      <c r="IR672" s="17"/>
      <c r="IV672" s="24"/>
      <c r="IW672" s="60"/>
      <c r="IX672" s="16"/>
      <c r="IY672" s="16"/>
      <c r="IZ672" s="16"/>
      <c r="JA672" s="16"/>
      <c r="JB672" s="16"/>
      <c r="JC672" s="17"/>
      <c r="JG672" s="24"/>
      <c r="JH672" s="60"/>
      <c r="JI672" s="16"/>
      <c r="JJ672" s="16"/>
      <c r="JK672" s="16"/>
      <c r="JL672" s="16"/>
      <c r="JM672" s="16"/>
      <c r="JN672" s="17"/>
      <c r="JR672" s="24"/>
      <c r="JS672" s="60"/>
      <c r="JT672" s="16"/>
      <c r="JU672" s="16"/>
      <c r="JV672" s="16"/>
      <c r="JW672" s="16"/>
      <c r="JX672" s="16"/>
      <c r="JY672" s="17"/>
      <c r="KC672" s="24"/>
      <c r="KD672" s="60"/>
      <c r="KE672" s="16"/>
      <c r="KF672" s="16"/>
      <c r="KG672" s="16"/>
      <c r="KH672" s="16"/>
      <c r="KI672" s="16"/>
      <c r="KJ672" s="17"/>
      <c r="KN672" s="24"/>
      <c r="KO672" s="60"/>
      <c r="KP672" s="16"/>
      <c r="KQ672" s="16"/>
      <c r="KR672" s="16"/>
      <c r="KS672" s="16"/>
      <c r="KT672" s="16"/>
      <c r="KU672" s="17"/>
      <c r="KY672" s="24"/>
      <c r="KZ672" s="60"/>
      <c r="LA672" s="16"/>
      <c r="LB672" s="16"/>
      <c r="LC672" s="16"/>
      <c r="LD672" s="16"/>
      <c r="LE672" s="16"/>
      <c r="LF672" s="17"/>
      <c r="LJ672" s="24"/>
      <c r="LK672" s="60"/>
      <c r="LL672" s="16"/>
      <c r="LM672" s="16"/>
      <c r="LN672" s="16"/>
      <c r="LO672" s="16"/>
      <c r="LP672" s="16"/>
      <c r="LQ672" s="17"/>
    </row>
    <row r="673">
      <c r="C673" s="31"/>
      <c r="D673" s="61"/>
      <c r="E673" s="16"/>
      <c r="F673" s="16"/>
      <c r="G673" s="21"/>
      <c r="H673" s="16"/>
      <c r="I673" s="16"/>
      <c r="J673" s="17"/>
      <c r="N673" s="17"/>
      <c r="O673" s="61"/>
      <c r="P673" s="16"/>
      <c r="Q673" s="16"/>
      <c r="R673" s="16"/>
      <c r="S673" s="16"/>
      <c r="T673" s="16"/>
      <c r="U673" s="17"/>
      <c r="Y673" s="24"/>
      <c r="Z673" s="61"/>
      <c r="AA673" s="16"/>
      <c r="AB673" s="16"/>
      <c r="AC673" s="16"/>
      <c r="AD673" s="16"/>
      <c r="AE673" s="16"/>
      <c r="AF673" s="17"/>
      <c r="AJ673" s="24"/>
      <c r="AK673" s="61"/>
      <c r="AL673" s="16"/>
      <c r="AM673" s="16"/>
      <c r="AN673" s="16"/>
      <c r="AO673" s="16"/>
      <c r="AP673" s="16"/>
      <c r="AQ673" s="17"/>
      <c r="AU673" s="24"/>
      <c r="AV673" s="61"/>
      <c r="AW673" s="16"/>
      <c r="AX673" s="16"/>
      <c r="AY673" s="16"/>
      <c r="AZ673" s="16"/>
      <c r="BA673" s="16"/>
      <c r="BB673" s="17"/>
      <c r="BF673" s="24"/>
      <c r="BG673" s="61"/>
      <c r="BH673" s="16"/>
      <c r="BI673" s="16"/>
      <c r="BJ673" s="16"/>
      <c r="BK673" s="16"/>
      <c r="BL673" s="16"/>
      <c r="BM673" s="17"/>
      <c r="BQ673" s="24"/>
      <c r="BR673" s="61"/>
      <c r="BS673" s="16"/>
      <c r="BT673" s="16"/>
      <c r="BU673" s="16"/>
      <c r="BV673" s="16"/>
      <c r="BW673" s="16"/>
      <c r="BX673" s="17"/>
      <c r="CB673" s="24"/>
      <c r="CC673" s="61"/>
      <c r="CD673" s="16"/>
      <c r="CE673" s="16"/>
      <c r="CF673" s="16"/>
      <c r="CG673" s="16"/>
      <c r="CH673" s="16"/>
      <c r="CI673" s="17"/>
      <c r="CM673" s="24"/>
      <c r="CN673" s="61"/>
      <c r="CO673" s="16"/>
      <c r="CP673" s="16"/>
      <c r="CQ673" s="16"/>
      <c r="CR673" s="16"/>
      <c r="CS673" s="16"/>
      <c r="CT673" s="17"/>
      <c r="CX673" s="24"/>
      <c r="CY673" s="60"/>
      <c r="CZ673" s="16"/>
      <c r="DA673" s="16"/>
      <c r="DB673" s="16"/>
      <c r="DC673" s="16"/>
      <c r="DD673" s="16"/>
      <c r="DE673" s="17"/>
      <c r="DI673" s="24"/>
      <c r="DJ673" s="60"/>
      <c r="DK673" s="16"/>
      <c r="DL673" s="16"/>
      <c r="DM673" s="16"/>
      <c r="DN673" s="16"/>
      <c r="DO673" s="16"/>
      <c r="DP673" s="17"/>
      <c r="DT673" s="24"/>
      <c r="DU673" s="60"/>
      <c r="DV673" s="16"/>
      <c r="DW673" s="16"/>
      <c r="DX673" s="16"/>
      <c r="DY673" s="16"/>
      <c r="DZ673" s="16"/>
      <c r="EA673" s="17"/>
      <c r="EE673" s="24"/>
      <c r="EF673" s="60"/>
      <c r="EG673" s="16"/>
      <c r="EH673" s="16"/>
      <c r="EI673" s="16"/>
      <c r="EJ673" s="16"/>
      <c r="EK673" s="16"/>
      <c r="EL673" s="17"/>
      <c r="EP673" s="24"/>
      <c r="EQ673" s="60"/>
      <c r="ER673" s="16"/>
      <c r="ES673" s="16"/>
      <c r="ET673" s="16"/>
      <c r="EU673" s="16"/>
      <c r="EV673" s="16"/>
      <c r="EW673" s="17"/>
      <c r="FA673" s="24"/>
      <c r="FB673" s="60"/>
      <c r="FC673" s="16"/>
      <c r="FD673" s="16"/>
      <c r="FE673" s="16"/>
      <c r="FF673" s="16"/>
      <c r="FG673" s="16"/>
      <c r="FH673" s="17"/>
      <c r="FL673" s="24"/>
      <c r="FM673" s="60"/>
      <c r="FN673" s="16"/>
      <c r="FO673" s="16"/>
      <c r="FP673" s="16"/>
      <c r="FQ673" s="16"/>
      <c r="FR673" s="16"/>
      <c r="FS673" s="17"/>
      <c r="FW673" s="24"/>
      <c r="FX673" s="60"/>
      <c r="FY673" s="16"/>
      <c r="FZ673" s="16"/>
      <c r="GA673" s="16"/>
      <c r="GB673" s="16"/>
      <c r="GC673" s="16"/>
      <c r="GD673" s="17"/>
      <c r="GH673" s="24"/>
      <c r="GI673" s="60"/>
      <c r="GJ673" s="16"/>
      <c r="GK673" s="16"/>
      <c r="GL673" s="16"/>
      <c r="GM673" s="16"/>
      <c r="GN673" s="16"/>
      <c r="GO673" s="17"/>
      <c r="GS673" s="24"/>
      <c r="GT673" s="60"/>
      <c r="GU673" s="16"/>
      <c r="GV673" s="16"/>
      <c r="GW673" s="16"/>
      <c r="GX673" s="16"/>
      <c r="GY673" s="16"/>
      <c r="GZ673" s="17"/>
      <c r="HD673" s="24"/>
      <c r="HE673" s="60"/>
      <c r="HF673" s="16"/>
      <c r="HG673" s="16"/>
      <c r="HH673" s="16"/>
      <c r="HI673" s="16"/>
      <c r="HJ673" s="16"/>
      <c r="HK673" s="17"/>
      <c r="HO673" s="24"/>
      <c r="HP673" s="60"/>
      <c r="HQ673" s="16"/>
      <c r="HR673" s="16"/>
      <c r="HS673" s="16"/>
      <c r="HT673" s="16"/>
      <c r="HU673" s="16"/>
      <c r="HV673" s="17"/>
      <c r="HZ673" s="24"/>
      <c r="IA673" s="60"/>
      <c r="IB673" s="16"/>
      <c r="IC673" s="16"/>
      <c r="ID673" s="16"/>
      <c r="IE673" s="16"/>
      <c r="IF673" s="16"/>
      <c r="IG673" s="17"/>
      <c r="IK673" s="24"/>
      <c r="IL673" s="60"/>
      <c r="IM673" s="16"/>
      <c r="IN673" s="16"/>
      <c r="IO673" s="16"/>
      <c r="IP673" s="16"/>
      <c r="IQ673" s="16"/>
      <c r="IR673" s="17"/>
      <c r="IV673" s="24"/>
      <c r="IW673" s="60"/>
      <c r="IX673" s="16"/>
      <c r="IY673" s="16"/>
      <c r="IZ673" s="16"/>
      <c r="JA673" s="16"/>
      <c r="JB673" s="16"/>
      <c r="JC673" s="17"/>
      <c r="JG673" s="24"/>
      <c r="JH673" s="60"/>
      <c r="JI673" s="16"/>
      <c r="JJ673" s="16"/>
      <c r="JK673" s="16"/>
      <c r="JL673" s="16"/>
      <c r="JM673" s="16"/>
      <c r="JN673" s="17"/>
      <c r="JR673" s="24"/>
      <c r="JS673" s="60"/>
      <c r="JT673" s="16"/>
      <c r="JU673" s="16"/>
      <c r="JV673" s="16"/>
      <c r="JW673" s="16"/>
      <c r="JX673" s="16"/>
      <c r="JY673" s="17"/>
      <c r="KC673" s="24"/>
      <c r="KD673" s="60"/>
      <c r="KE673" s="16"/>
      <c r="KF673" s="16"/>
      <c r="KG673" s="16"/>
      <c r="KH673" s="16"/>
      <c r="KI673" s="16"/>
      <c r="KJ673" s="17"/>
      <c r="KN673" s="24"/>
      <c r="KO673" s="60"/>
      <c r="KP673" s="16"/>
      <c r="KQ673" s="16"/>
      <c r="KR673" s="16"/>
      <c r="KS673" s="16"/>
      <c r="KT673" s="16"/>
      <c r="KU673" s="17"/>
      <c r="KY673" s="24"/>
      <c r="KZ673" s="60"/>
      <c r="LA673" s="16"/>
      <c r="LB673" s="16"/>
      <c r="LC673" s="16"/>
      <c r="LD673" s="16"/>
      <c r="LE673" s="16"/>
      <c r="LF673" s="17"/>
      <c r="LJ673" s="24"/>
      <c r="LK673" s="60"/>
      <c r="LL673" s="16"/>
      <c r="LM673" s="16"/>
      <c r="LN673" s="16"/>
      <c r="LO673" s="16"/>
      <c r="LP673" s="16"/>
      <c r="LQ673" s="17"/>
    </row>
    <row r="674">
      <c r="C674" s="31"/>
      <c r="D674" s="61"/>
      <c r="E674" s="16"/>
      <c r="F674" s="16"/>
      <c r="G674" s="21"/>
      <c r="H674" s="16"/>
      <c r="I674" s="16"/>
      <c r="J674" s="17"/>
      <c r="N674" s="17"/>
      <c r="O674" s="61"/>
      <c r="P674" s="16"/>
      <c r="Q674" s="16"/>
      <c r="R674" s="16"/>
      <c r="S674" s="16"/>
      <c r="T674" s="16"/>
      <c r="U674" s="17"/>
      <c r="Y674" s="24"/>
      <c r="Z674" s="61"/>
      <c r="AA674" s="16"/>
      <c r="AB674" s="16"/>
      <c r="AC674" s="16"/>
      <c r="AD674" s="16"/>
      <c r="AE674" s="16"/>
      <c r="AF674" s="17"/>
      <c r="AJ674" s="24"/>
      <c r="AK674" s="61"/>
      <c r="AL674" s="16"/>
      <c r="AM674" s="16"/>
      <c r="AN674" s="16"/>
      <c r="AO674" s="16"/>
      <c r="AP674" s="16"/>
      <c r="AQ674" s="17"/>
      <c r="AU674" s="24"/>
      <c r="AV674" s="61"/>
      <c r="AW674" s="16"/>
      <c r="AX674" s="16"/>
      <c r="AY674" s="16"/>
      <c r="AZ674" s="16"/>
      <c r="BA674" s="16"/>
      <c r="BB674" s="17"/>
      <c r="BF674" s="24"/>
      <c r="BG674" s="61"/>
      <c r="BH674" s="16"/>
      <c r="BI674" s="16"/>
      <c r="BJ674" s="16"/>
      <c r="BK674" s="16"/>
      <c r="BL674" s="16"/>
      <c r="BM674" s="17"/>
      <c r="BQ674" s="24"/>
      <c r="BR674" s="61"/>
      <c r="BS674" s="16"/>
      <c r="BT674" s="16"/>
      <c r="BU674" s="16"/>
      <c r="BV674" s="16"/>
      <c r="BW674" s="16"/>
      <c r="BX674" s="17"/>
      <c r="CB674" s="24"/>
      <c r="CC674" s="61"/>
      <c r="CD674" s="16"/>
      <c r="CE674" s="16"/>
      <c r="CF674" s="16"/>
      <c r="CG674" s="16"/>
      <c r="CH674" s="16"/>
      <c r="CI674" s="17"/>
      <c r="CM674" s="24"/>
      <c r="CN674" s="61"/>
      <c r="CO674" s="16"/>
      <c r="CP674" s="16"/>
      <c r="CQ674" s="16"/>
      <c r="CR674" s="16"/>
      <c r="CS674" s="16"/>
      <c r="CT674" s="17"/>
      <c r="CX674" s="24"/>
      <c r="CY674" s="60"/>
      <c r="CZ674" s="16"/>
      <c r="DA674" s="16"/>
      <c r="DB674" s="16"/>
      <c r="DC674" s="16"/>
      <c r="DD674" s="16"/>
      <c r="DE674" s="17"/>
      <c r="DI674" s="24"/>
      <c r="DJ674" s="60"/>
      <c r="DK674" s="16"/>
      <c r="DL674" s="16"/>
      <c r="DM674" s="16"/>
      <c r="DN674" s="16"/>
      <c r="DO674" s="16"/>
      <c r="DP674" s="17"/>
      <c r="DT674" s="24"/>
      <c r="DU674" s="60"/>
      <c r="DV674" s="16"/>
      <c r="DW674" s="16"/>
      <c r="DX674" s="16"/>
      <c r="DY674" s="16"/>
      <c r="DZ674" s="16"/>
      <c r="EA674" s="17"/>
      <c r="EE674" s="24"/>
      <c r="EF674" s="60"/>
      <c r="EG674" s="16"/>
      <c r="EH674" s="16"/>
      <c r="EI674" s="16"/>
      <c r="EJ674" s="16"/>
      <c r="EK674" s="16"/>
      <c r="EL674" s="17"/>
      <c r="EP674" s="24"/>
      <c r="EQ674" s="60"/>
      <c r="ER674" s="16"/>
      <c r="ES674" s="16"/>
      <c r="ET674" s="16"/>
      <c r="EU674" s="16"/>
      <c r="EV674" s="16"/>
      <c r="EW674" s="17"/>
      <c r="FA674" s="24"/>
      <c r="FB674" s="60"/>
      <c r="FC674" s="16"/>
      <c r="FD674" s="16"/>
      <c r="FE674" s="16"/>
      <c r="FF674" s="16"/>
      <c r="FG674" s="16"/>
      <c r="FH674" s="17"/>
      <c r="FL674" s="24"/>
      <c r="FM674" s="60"/>
      <c r="FN674" s="16"/>
      <c r="FO674" s="16"/>
      <c r="FP674" s="16"/>
      <c r="FQ674" s="16"/>
      <c r="FR674" s="16"/>
      <c r="FS674" s="17"/>
      <c r="FW674" s="24"/>
      <c r="FX674" s="60"/>
      <c r="FY674" s="16"/>
      <c r="FZ674" s="16"/>
      <c r="GA674" s="16"/>
      <c r="GB674" s="16"/>
      <c r="GC674" s="16"/>
      <c r="GD674" s="17"/>
      <c r="GH674" s="24"/>
      <c r="GI674" s="60"/>
      <c r="GJ674" s="16"/>
      <c r="GK674" s="16"/>
      <c r="GL674" s="16"/>
      <c r="GM674" s="16"/>
      <c r="GN674" s="16"/>
      <c r="GO674" s="17"/>
      <c r="GS674" s="24"/>
      <c r="GT674" s="60"/>
      <c r="GU674" s="16"/>
      <c r="GV674" s="16"/>
      <c r="GW674" s="16"/>
      <c r="GX674" s="16"/>
      <c r="GY674" s="16"/>
      <c r="GZ674" s="17"/>
      <c r="HD674" s="24"/>
      <c r="HE674" s="60"/>
      <c r="HF674" s="16"/>
      <c r="HG674" s="16"/>
      <c r="HH674" s="16"/>
      <c r="HI674" s="16"/>
      <c r="HJ674" s="16"/>
      <c r="HK674" s="17"/>
      <c r="HO674" s="24"/>
      <c r="HP674" s="60"/>
      <c r="HQ674" s="16"/>
      <c r="HR674" s="16"/>
      <c r="HS674" s="16"/>
      <c r="HT674" s="16"/>
      <c r="HU674" s="16"/>
      <c r="HV674" s="17"/>
      <c r="HZ674" s="24"/>
      <c r="IA674" s="60"/>
      <c r="IB674" s="16"/>
      <c r="IC674" s="16"/>
      <c r="ID674" s="16"/>
      <c r="IE674" s="16"/>
      <c r="IF674" s="16"/>
      <c r="IG674" s="17"/>
      <c r="IK674" s="24"/>
      <c r="IL674" s="60"/>
      <c r="IM674" s="16"/>
      <c r="IN674" s="16"/>
      <c r="IO674" s="16"/>
      <c r="IP674" s="16"/>
      <c r="IQ674" s="16"/>
      <c r="IR674" s="17"/>
      <c r="IV674" s="24"/>
      <c r="IW674" s="60"/>
      <c r="IX674" s="16"/>
      <c r="IY674" s="16"/>
      <c r="IZ674" s="16"/>
      <c r="JA674" s="16"/>
      <c r="JB674" s="16"/>
      <c r="JC674" s="17"/>
      <c r="JG674" s="24"/>
      <c r="JH674" s="60"/>
      <c r="JI674" s="16"/>
      <c r="JJ674" s="16"/>
      <c r="JK674" s="16"/>
      <c r="JL674" s="16"/>
      <c r="JM674" s="16"/>
      <c r="JN674" s="17"/>
      <c r="JR674" s="24"/>
      <c r="JS674" s="60"/>
      <c r="JT674" s="16"/>
      <c r="JU674" s="16"/>
      <c r="JV674" s="16"/>
      <c r="JW674" s="16"/>
      <c r="JX674" s="16"/>
      <c r="JY674" s="17"/>
      <c r="KC674" s="24"/>
      <c r="KD674" s="60"/>
      <c r="KE674" s="16"/>
      <c r="KF674" s="16"/>
      <c r="KG674" s="16"/>
      <c r="KH674" s="16"/>
      <c r="KI674" s="16"/>
      <c r="KJ674" s="17"/>
      <c r="KN674" s="24"/>
      <c r="KO674" s="60"/>
      <c r="KP674" s="16"/>
      <c r="KQ674" s="16"/>
      <c r="KR674" s="16"/>
      <c r="KS674" s="16"/>
      <c r="KT674" s="16"/>
      <c r="KU674" s="17"/>
      <c r="KY674" s="24"/>
      <c r="KZ674" s="60"/>
      <c r="LA674" s="16"/>
      <c r="LB674" s="16"/>
      <c r="LC674" s="16"/>
      <c r="LD674" s="16"/>
      <c r="LE674" s="16"/>
      <c r="LF674" s="17"/>
      <c r="LJ674" s="24"/>
      <c r="LK674" s="60"/>
      <c r="LL674" s="16"/>
      <c r="LM674" s="16"/>
      <c r="LN674" s="16"/>
      <c r="LO674" s="16"/>
      <c r="LP674" s="16"/>
      <c r="LQ674" s="17"/>
    </row>
    <row r="675">
      <c r="C675" s="31"/>
      <c r="D675" s="61"/>
      <c r="E675" s="16"/>
      <c r="F675" s="16"/>
      <c r="G675" s="21"/>
      <c r="H675" s="16"/>
      <c r="I675" s="16"/>
      <c r="J675" s="17"/>
      <c r="N675" s="17"/>
      <c r="O675" s="61"/>
      <c r="P675" s="16"/>
      <c r="Q675" s="16"/>
      <c r="R675" s="16"/>
      <c r="S675" s="16"/>
      <c r="T675" s="16"/>
      <c r="U675" s="17"/>
      <c r="Y675" s="24"/>
      <c r="Z675" s="61"/>
      <c r="AA675" s="16"/>
      <c r="AB675" s="16"/>
      <c r="AC675" s="16"/>
      <c r="AD675" s="16"/>
      <c r="AE675" s="16"/>
      <c r="AF675" s="17"/>
      <c r="AJ675" s="24"/>
      <c r="AK675" s="61"/>
      <c r="AL675" s="16"/>
      <c r="AM675" s="16"/>
      <c r="AN675" s="16"/>
      <c r="AO675" s="16"/>
      <c r="AP675" s="16"/>
      <c r="AQ675" s="17"/>
      <c r="AU675" s="24"/>
      <c r="AV675" s="61"/>
      <c r="AW675" s="16"/>
      <c r="AX675" s="16"/>
      <c r="AY675" s="16"/>
      <c r="AZ675" s="16"/>
      <c r="BA675" s="16"/>
      <c r="BB675" s="17"/>
      <c r="BF675" s="24"/>
      <c r="BG675" s="61"/>
      <c r="BH675" s="16"/>
      <c r="BI675" s="16"/>
      <c r="BJ675" s="16"/>
      <c r="BK675" s="16"/>
      <c r="BL675" s="16"/>
      <c r="BM675" s="17"/>
      <c r="BQ675" s="24"/>
      <c r="BR675" s="61"/>
      <c r="BS675" s="16"/>
      <c r="BT675" s="16"/>
      <c r="BU675" s="16"/>
      <c r="BV675" s="16"/>
      <c r="BW675" s="16"/>
      <c r="BX675" s="17"/>
      <c r="CB675" s="24"/>
      <c r="CC675" s="61"/>
      <c r="CD675" s="16"/>
      <c r="CE675" s="16"/>
      <c r="CF675" s="16"/>
      <c r="CG675" s="16"/>
      <c r="CH675" s="16"/>
      <c r="CI675" s="17"/>
      <c r="CM675" s="24"/>
      <c r="CN675" s="61"/>
      <c r="CO675" s="16"/>
      <c r="CP675" s="16"/>
      <c r="CQ675" s="16"/>
      <c r="CR675" s="16"/>
      <c r="CS675" s="16"/>
      <c r="CT675" s="17"/>
      <c r="CX675" s="24"/>
      <c r="CY675" s="60"/>
      <c r="CZ675" s="16"/>
      <c r="DA675" s="16"/>
      <c r="DB675" s="16"/>
      <c r="DC675" s="16"/>
      <c r="DD675" s="16"/>
      <c r="DE675" s="17"/>
      <c r="DI675" s="24"/>
      <c r="DJ675" s="60"/>
      <c r="DK675" s="16"/>
      <c r="DL675" s="16"/>
      <c r="DM675" s="16"/>
      <c r="DN675" s="16"/>
      <c r="DO675" s="16"/>
      <c r="DP675" s="17"/>
      <c r="DT675" s="24"/>
      <c r="DU675" s="60"/>
      <c r="DV675" s="16"/>
      <c r="DW675" s="16"/>
      <c r="DX675" s="16"/>
      <c r="DY675" s="16"/>
      <c r="DZ675" s="16"/>
      <c r="EA675" s="17"/>
      <c r="EE675" s="24"/>
      <c r="EF675" s="60"/>
      <c r="EG675" s="16"/>
      <c r="EH675" s="16"/>
      <c r="EI675" s="16"/>
      <c r="EJ675" s="16"/>
      <c r="EK675" s="16"/>
      <c r="EL675" s="17"/>
      <c r="EP675" s="24"/>
      <c r="EQ675" s="60"/>
      <c r="ER675" s="16"/>
      <c r="ES675" s="16"/>
      <c r="ET675" s="16"/>
      <c r="EU675" s="16"/>
      <c r="EV675" s="16"/>
      <c r="EW675" s="17"/>
      <c r="FA675" s="24"/>
      <c r="FB675" s="60"/>
      <c r="FC675" s="16"/>
      <c r="FD675" s="16"/>
      <c r="FE675" s="16"/>
      <c r="FF675" s="16"/>
      <c r="FG675" s="16"/>
      <c r="FH675" s="17"/>
      <c r="FL675" s="24"/>
      <c r="FM675" s="60"/>
      <c r="FN675" s="16"/>
      <c r="FO675" s="16"/>
      <c r="FP675" s="16"/>
      <c r="FQ675" s="16"/>
      <c r="FR675" s="16"/>
      <c r="FS675" s="17"/>
      <c r="FW675" s="24"/>
      <c r="FX675" s="60"/>
      <c r="FY675" s="16"/>
      <c r="FZ675" s="16"/>
      <c r="GA675" s="16"/>
      <c r="GB675" s="16"/>
      <c r="GC675" s="16"/>
      <c r="GD675" s="17"/>
      <c r="GH675" s="24"/>
      <c r="GI675" s="60"/>
      <c r="GJ675" s="16"/>
      <c r="GK675" s="16"/>
      <c r="GL675" s="16"/>
      <c r="GM675" s="16"/>
      <c r="GN675" s="16"/>
      <c r="GO675" s="17"/>
      <c r="GS675" s="24"/>
      <c r="GT675" s="60"/>
      <c r="GU675" s="16"/>
      <c r="GV675" s="16"/>
      <c r="GW675" s="16"/>
      <c r="GX675" s="16"/>
      <c r="GY675" s="16"/>
      <c r="GZ675" s="17"/>
      <c r="HD675" s="24"/>
      <c r="HE675" s="60"/>
      <c r="HF675" s="16"/>
      <c r="HG675" s="16"/>
      <c r="HH675" s="16"/>
      <c r="HI675" s="16"/>
      <c r="HJ675" s="16"/>
      <c r="HK675" s="17"/>
      <c r="HO675" s="24"/>
      <c r="HP675" s="60"/>
      <c r="HQ675" s="16"/>
      <c r="HR675" s="16"/>
      <c r="HS675" s="16"/>
      <c r="HT675" s="16"/>
      <c r="HU675" s="16"/>
      <c r="HV675" s="17"/>
      <c r="HZ675" s="24"/>
      <c r="IA675" s="60"/>
      <c r="IB675" s="16"/>
      <c r="IC675" s="16"/>
      <c r="ID675" s="16"/>
      <c r="IE675" s="16"/>
      <c r="IF675" s="16"/>
      <c r="IG675" s="17"/>
      <c r="IK675" s="24"/>
      <c r="IL675" s="60"/>
      <c r="IM675" s="16"/>
      <c r="IN675" s="16"/>
      <c r="IO675" s="16"/>
      <c r="IP675" s="16"/>
      <c r="IQ675" s="16"/>
      <c r="IR675" s="17"/>
      <c r="IV675" s="24"/>
      <c r="IW675" s="60"/>
      <c r="IX675" s="16"/>
      <c r="IY675" s="16"/>
      <c r="IZ675" s="16"/>
      <c r="JA675" s="16"/>
      <c r="JB675" s="16"/>
      <c r="JC675" s="17"/>
      <c r="JG675" s="24"/>
      <c r="JH675" s="60"/>
      <c r="JI675" s="16"/>
      <c r="JJ675" s="16"/>
      <c r="JK675" s="16"/>
      <c r="JL675" s="16"/>
      <c r="JM675" s="16"/>
      <c r="JN675" s="17"/>
      <c r="JR675" s="24"/>
      <c r="JS675" s="60"/>
      <c r="JT675" s="16"/>
      <c r="JU675" s="16"/>
      <c r="JV675" s="16"/>
      <c r="JW675" s="16"/>
      <c r="JX675" s="16"/>
      <c r="JY675" s="17"/>
      <c r="KC675" s="24"/>
      <c r="KD675" s="60"/>
      <c r="KE675" s="16"/>
      <c r="KF675" s="16"/>
      <c r="KG675" s="16"/>
      <c r="KH675" s="16"/>
      <c r="KI675" s="16"/>
      <c r="KJ675" s="17"/>
      <c r="KN675" s="24"/>
      <c r="KO675" s="60"/>
      <c r="KP675" s="16"/>
      <c r="KQ675" s="16"/>
      <c r="KR675" s="16"/>
      <c r="KS675" s="16"/>
      <c r="KT675" s="16"/>
      <c r="KU675" s="17"/>
      <c r="KY675" s="24"/>
      <c r="KZ675" s="60"/>
      <c r="LA675" s="16"/>
      <c r="LB675" s="16"/>
      <c r="LC675" s="16"/>
      <c r="LD675" s="16"/>
      <c r="LE675" s="16"/>
      <c r="LF675" s="17"/>
      <c r="LJ675" s="24"/>
      <c r="LK675" s="60"/>
      <c r="LL675" s="16"/>
      <c r="LM675" s="16"/>
      <c r="LN675" s="16"/>
      <c r="LO675" s="16"/>
      <c r="LP675" s="16"/>
      <c r="LQ675" s="17"/>
    </row>
    <row r="676">
      <c r="C676" s="31"/>
      <c r="D676" s="61"/>
      <c r="E676" s="16"/>
      <c r="F676" s="16"/>
      <c r="G676" s="21"/>
      <c r="H676" s="16"/>
      <c r="I676" s="16"/>
      <c r="J676" s="17"/>
      <c r="N676" s="17"/>
      <c r="O676" s="61"/>
      <c r="P676" s="16"/>
      <c r="Q676" s="16"/>
      <c r="R676" s="16"/>
      <c r="S676" s="16"/>
      <c r="T676" s="16"/>
      <c r="U676" s="17"/>
      <c r="Y676" s="24"/>
      <c r="Z676" s="61"/>
      <c r="AA676" s="16"/>
      <c r="AB676" s="16"/>
      <c r="AC676" s="16"/>
      <c r="AD676" s="16"/>
      <c r="AE676" s="16"/>
      <c r="AF676" s="17"/>
      <c r="AJ676" s="24"/>
      <c r="AK676" s="61"/>
      <c r="AL676" s="16"/>
      <c r="AM676" s="16"/>
      <c r="AN676" s="16"/>
      <c r="AO676" s="16"/>
      <c r="AP676" s="16"/>
      <c r="AQ676" s="17"/>
      <c r="AU676" s="24"/>
      <c r="AV676" s="61"/>
      <c r="AW676" s="16"/>
      <c r="AX676" s="16"/>
      <c r="AY676" s="16"/>
      <c r="AZ676" s="16"/>
      <c r="BA676" s="16"/>
      <c r="BB676" s="17"/>
      <c r="BF676" s="24"/>
      <c r="BG676" s="61"/>
      <c r="BH676" s="16"/>
      <c r="BI676" s="16"/>
      <c r="BJ676" s="16"/>
      <c r="BK676" s="16"/>
      <c r="BL676" s="16"/>
      <c r="BM676" s="17"/>
      <c r="BQ676" s="24"/>
      <c r="BR676" s="61"/>
      <c r="BS676" s="16"/>
      <c r="BT676" s="16"/>
      <c r="BU676" s="16"/>
      <c r="BV676" s="16"/>
      <c r="BW676" s="16"/>
      <c r="BX676" s="17"/>
      <c r="CB676" s="24"/>
      <c r="CC676" s="61"/>
      <c r="CD676" s="16"/>
      <c r="CE676" s="16"/>
      <c r="CF676" s="16"/>
      <c r="CG676" s="16"/>
      <c r="CH676" s="16"/>
      <c r="CI676" s="17"/>
      <c r="CM676" s="24"/>
      <c r="CN676" s="61"/>
      <c r="CO676" s="16"/>
      <c r="CP676" s="16"/>
      <c r="CQ676" s="16"/>
      <c r="CR676" s="16"/>
      <c r="CS676" s="16"/>
      <c r="CT676" s="17"/>
      <c r="CX676" s="24"/>
      <c r="CY676" s="60"/>
      <c r="CZ676" s="16"/>
      <c r="DA676" s="16"/>
      <c r="DB676" s="16"/>
      <c r="DC676" s="16"/>
      <c r="DD676" s="16"/>
      <c r="DE676" s="17"/>
      <c r="DI676" s="24"/>
      <c r="DJ676" s="60"/>
      <c r="DK676" s="16"/>
      <c r="DL676" s="16"/>
      <c r="DM676" s="16"/>
      <c r="DN676" s="16"/>
      <c r="DO676" s="16"/>
      <c r="DP676" s="17"/>
      <c r="DT676" s="24"/>
      <c r="DU676" s="60"/>
      <c r="DV676" s="16"/>
      <c r="DW676" s="16"/>
      <c r="DX676" s="16"/>
      <c r="DY676" s="16"/>
      <c r="DZ676" s="16"/>
      <c r="EA676" s="17"/>
      <c r="EE676" s="24"/>
      <c r="EF676" s="60"/>
      <c r="EG676" s="16"/>
      <c r="EH676" s="16"/>
      <c r="EI676" s="16"/>
      <c r="EJ676" s="16"/>
      <c r="EK676" s="16"/>
      <c r="EL676" s="17"/>
      <c r="EP676" s="24"/>
      <c r="EQ676" s="60"/>
      <c r="ER676" s="16"/>
      <c r="ES676" s="16"/>
      <c r="ET676" s="16"/>
      <c r="EU676" s="16"/>
      <c r="EV676" s="16"/>
      <c r="EW676" s="17"/>
      <c r="FA676" s="24"/>
      <c r="FB676" s="60"/>
      <c r="FC676" s="16"/>
      <c r="FD676" s="16"/>
      <c r="FE676" s="16"/>
      <c r="FF676" s="16"/>
      <c r="FG676" s="16"/>
      <c r="FH676" s="17"/>
      <c r="FL676" s="24"/>
      <c r="FM676" s="60"/>
      <c r="FN676" s="16"/>
      <c r="FO676" s="16"/>
      <c r="FP676" s="16"/>
      <c r="FQ676" s="16"/>
      <c r="FR676" s="16"/>
      <c r="FS676" s="17"/>
      <c r="FW676" s="24"/>
      <c r="FX676" s="60"/>
      <c r="FY676" s="16"/>
      <c r="FZ676" s="16"/>
      <c r="GA676" s="16"/>
      <c r="GB676" s="16"/>
      <c r="GC676" s="16"/>
      <c r="GD676" s="17"/>
      <c r="GH676" s="24"/>
      <c r="GI676" s="60"/>
      <c r="GJ676" s="16"/>
      <c r="GK676" s="16"/>
      <c r="GL676" s="16"/>
      <c r="GM676" s="16"/>
      <c r="GN676" s="16"/>
      <c r="GO676" s="17"/>
      <c r="GS676" s="24"/>
      <c r="GT676" s="60"/>
      <c r="GU676" s="16"/>
      <c r="GV676" s="16"/>
      <c r="GW676" s="16"/>
      <c r="GX676" s="16"/>
      <c r="GY676" s="16"/>
      <c r="GZ676" s="17"/>
      <c r="HD676" s="24"/>
      <c r="HE676" s="60"/>
      <c r="HF676" s="16"/>
      <c r="HG676" s="16"/>
      <c r="HH676" s="16"/>
      <c r="HI676" s="16"/>
      <c r="HJ676" s="16"/>
      <c r="HK676" s="17"/>
      <c r="HO676" s="24"/>
      <c r="HP676" s="60"/>
      <c r="HQ676" s="16"/>
      <c r="HR676" s="16"/>
      <c r="HS676" s="16"/>
      <c r="HT676" s="16"/>
      <c r="HU676" s="16"/>
      <c r="HV676" s="17"/>
      <c r="HZ676" s="24"/>
      <c r="IA676" s="60"/>
      <c r="IB676" s="16"/>
      <c r="IC676" s="16"/>
      <c r="ID676" s="16"/>
      <c r="IE676" s="16"/>
      <c r="IF676" s="16"/>
      <c r="IG676" s="17"/>
      <c r="IK676" s="24"/>
      <c r="IL676" s="60"/>
      <c r="IM676" s="16"/>
      <c r="IN676" s="16"/>
      <c r="IO676" s="16"/>
      <c r="IP676" s="16"/>
      <c r="IQ676" s="16"/>
      <c r="IR676" s="17"/>
      <c r="IV676" s="24"/>
      <c r="IW676" s="60"/>
      <c r="IX676" s="16"/>
      <c r="IY676" s="16"/>
      <c r="IZ676" s="16"/>
      <c r="JA676" s="16"/>
      <c r="JB676" s="16"/>
      <c r="JC676" s="17"/>
      <c r="JG676" s="24"/>
      <c r="JH676" s="60"/>
      <c r="JI676" s="16"/>
      <c r="JJ676" s="16"/>
      <c r="JK676" s="16"/>
      <c r="JL676" s="16"/>
      <c r="JM676" s="16"/>
      <c r="JN676" s="17"/>
      <c r="JR676" s="24"/>
      <c r="JS676" s="60"/>
      <c r="JT676" s="16"/>
      <c r="JU676" s="16"/>
      <c r="JV676" s="16"/>
      <c r="JW676" s="16"/>
      <c r="JX676" s="16"/>
      <c r="JY676" s="17"/>
      <c r="KC676" s="24"/>
      <c r="KD676" s="60"/>
      <c r="KE676" s="16"/>
      <c r="KF676" s="16"/>
      <c r="KG676" s="16"/>
      <c r="KH676" s="16"/>
      <c r="KI676" s="16"/>
      <c r="KJ676" s="17"/>
      <c r="KN676" s="24"/>
      <c r="KO676" s="60"/>
      <c r="KP676" s="16"/>
      <c r="KQ676" s="16"/>
      <c r="KR676" s="16"/>
      <c r="KS676" s="16"/>
      <c r="KT676" s="16"/>
      <c r="KU676" s="17"/>
      <c r="KY676" s="24"/>
      <c r="KZ676" s="60"/>
      <c r="LA676" s="16"/>
      <c r="LB676" s="16"/>
      <c r="LC676" s="16"/>
      <c r="LD676" s="16"/>
      <c r="LE676" s="16"/>
      <c r="LF676" s="17"/>
      <c r="LJ676" s="24"/>
      <c r="LK676" s="60"/>
      <c r="LL676" s="16"/>
      <c r="LM676" s="16"/>
      <c r="LN676" s="16"/>
      <c r="LO676" s="16"/>
      <c r="LP676" s="16"/>
      <c r="LQ676" s="17"/>
    </row>
    <row r="677">
      <c r="C677" s="31"/>
      <c r="D677" s="61"/>
      <c r="E677" s="16"/>
      <c r="F677" s="16"/>
      <c r="G677" s="21"/>
      <c r="H677" s="16"/>
      <c r="I677" s="16"/>
      <c r="J677" s="17"/>
      <c r="N677" s="17"/>
      <c r="O677" s="61"/>
      <c r="P677" s="16"/>
      <c r="Q677" s="16"/>
      <c r="R677" s="16"/>
      <c r="S677" s="16"/>
      <c r="T677" s="16"/>
      <c r="U677" s="17"/>
      <c r="Y677" s="24"/>
      <c r="Z677" s="61"/>
      <c r="AA677" s="16"/>
      <c r="AB677" s="16"/>
      <c r="AC677" s="16"/>
      <c r="AD677" s="16"/>
      <c r="AE677" s="16"/>
      <c r="AF677" s="17"/>
      <c r="AJ677" s="24"/>
      <c r="AK677" s="61"/>
      <c r="AL677" s="16"/>
      <c r="AM677" s="16"/>
      <c r="AN677" s="16"/>
      <c r="AO677" s="16"/>
      <c r="AP677" s="16"/>
      <c r="AQ677" s="17"/>
      <c r="AU677" s="24"/>
      <c r="AV677" s="61"/>
      <c r="AW677" s="16"/>
      <c r="AX677" s="16"/>
      <c r="AY677" s="16"/>
      <c r="AZ677" s="16"/>
      <c r="BA677" s="16"/>
      <c r="BB677" s="17"/>
      <c r="BF677" s="24"/>
      <c r="BG677" s="61"/>
      <c r="BH677" s="16"/>
      <c r="BI677" s="16"/>
      <c r="BJ677" s="16"/>
      <c r="BK677" s="16"/>
      <c r="BL677" s="16"/>
      <c r="BM677" s="17"/>
      <c r="BQ677" s="24"/>
      <c r="BR677" s="61"/>
      <c r="BS677" s="16"/>
      <c r="BT677" s="16"/>
      <c r="BU677" s="16"/>
      <c r="BV677" s="16"/>
      <c r="BW677" s="16"/>
      <c r="BX677" s="17"/>
      <c r="CB677" s="24"/>
      <c r="CC677" s="61"/>
      <c r="CD677" s="16"/>
      <c r="CE677" s="16"/>
      <c r="CF677" s="16"/>
      <c r="CG677" s="16"/>
      <c r="CH677" s="16"/>
      <c r="CI677" s="17"/>
      <c r="CM677" s="24"/>
      <c r="CN677" s="61"/>
      <c r="CO677" s="16"/>
      <c r="CP677" s="16"/>
      <c r="CQ677" s="16"/>
      <c r="CR677" s="16"/>
      <c r="CS677" s="16"/>
      <c r="CT677" s="17"/>
      <c r="CX677" s="24"/>
      <c r="CY677" s="60"/>
      <c r="CZ677" s="16"/>
      <c r="DA677" s="16"/>
      <c r="DB677" s="16"/>
      <c r="DC677" s="16"/>
      <c r="DD677" s="16"/>
      <c r="DE677" s="17"/>
      <c r="DI677" s="24"/>
      <c r="DJ677" s="60"/>
      <c r="DK677" s="16"/>
      <c r="DL677" s="16"/>
      <c r="DM677" s="16"/>
      <c r="DN677" s="16"/>
      <c r="DO677" s="16"/>
      <c r="DP677" s="17"/>
      <c r="DT677" s="24"/>
      <c r="DU677" s="60"/>
      <c r="DV677" s="16"/>
      <c r="DW677" s="16"/>
      <c r="DX677" s="16"/>
      <c r="DY677" s="16"/>
      <c r="DZ677" s="16"/>
      <c r="EA677" s="17"/>
      <c r="EE677" s="24"/>
      <c r="EF677" s="60"/>
      <c r="EG677" s="16"/>
      <c r="EH677" s="16"/>
      <c r="EI677" s="16"/>
      <c r="EJ677" s="16"/>
      <c r="EK677" s="16"/>
      <c r="EL677" s="17"/>
      <c r="EP677" s="24"/>
      <c r="EQ677" s="60"/>
      <c r="ER677" s="16"/>
      <c r="ES677" s="16"/>
      <c r="ET677" s="16"/>
      <c r="EU677" s="16"/>
      <c r="EV677" s="16"/>
      <c r="EW677" s="17"/>
      <c r="FA677" s="24"/>
      <c r="FB677" s="60"/>
      <c r="FC677" s="16"/>
      <c r="FD677" s="16"/>
      <c r="FE677" s="16"/>
      <c r="FF677" s="16"/>
      <c r="FG677" s="16"/>
      <c r="FH677" s="17"/>
      <c r="FL677" s="24"/>
      <c r="FM677" s="60"/>
      <c r="FN677" s="16"/>
      <c r="FO677" s="16"/>
      <c r="FP677" s="16"/>
      <c r="FQ677" s="16"/>
      <c r="FR677" s="16"/>
      <c r="FS677" s="17"/>
      <c r="FW677" s="24"/>
      <c r="FX677" s="60"/>
      <c r="FY677" s="16"/>
      <c r="FZ677" s="16"/>
      <c r="GA677" s="16"/>
      <c r="GB677" s="16"/>
      <c r="GC677" s="16"/>
      <c r="GD677" s="17"/>
      <c r="GH677" s="24"/>
      <c r="GI677" s="60"/>
      <c r="GJ677" s="16"/>
      <c r="GK677" s="16"/>
      <c r="GL677" s="16"/>
      <c r="GM677" s="16"/>
      <c r="GN677" s="16"/>
      <c r="GO677" s="17"/>
      <c r="GS677" s="24"/>
      <c r="GT677" s="60"/>
      <c r="GU677" s="16"/>
      <c r="GV677" s="16"/>
      <c r="GW677" s="16"/>
      <c r="GX677" s="16"/>
      <c r="GY677" s="16"/>
      <c r="GZ677" s="17"/>
      <c r="HD677" s="24"/>
      <c r="HE677" s="60"/>
      <c r="HF677" s="16"/>
      <c r="HG677" s="16"/>
      <c r="HH677" s="16"/>
      <c r="HI677" s="16"/>
      <c r="HJ677" s="16"/>
      <c r="HK677" s="17"/>
      <c r="HO677" s="24"/>
      <c r="HP677" s="60"/>
      <c r="HQ677" s="16"/>
      <c r="HR677" s="16"/>
      <c r="HS677" s="16"/>
      <c r="HT677" s="16"/>
      <c r="HU677" s="16"/>
      <c r="HV677" s="17"/>
      <c r="HZ677" s="24"/>
      <c r="IA677" s="60"/>
      <c r="IB677" s="16"/>
      <c r="IC677" s="16"/>
      <c r="ID677" s="16"/>
      <c r="IE677" s="16"/>
      <c r="IF677" s="16"/>
      <c r="IG677" s="17"/>
      <c r="IK677" s="24"/>
      <c r="IL677" s="60"/>
      <c r="IM677" s="16"/>
      <c r="IN677" s="16"/>
      <c r="IO677" s="16"/>
      <c r="IP677" s="16"/>
      <c r="IQ677" s="16"/>
      <c r="IR677" s="17"/>
      <c r="IV677" s="24"/>
      <c r="IW677" s="60"/>
      <c r="IX677" s="16"/>
      <c r="IY677" s="16"/>
      <c r="IZ677" s="16"/>
      <c r="JA677" s="16"/>
      <c r="JB677" s="16"/>
      <c r="JC677" s="17"/>
      <c r="JG677" s="24"/>
      <c r="JH677" s="60"/>
      <c r="JI677" s="16"/>
      <c r="JJ677" s="16"/>
      <c r="JK677" s="16"/>
      <c r="JL677" s="16"/>
      <c r="JM677" s="16"/>
      <c r="JN677" s="17"/>
      <c r="JR677" s="24"/>
      <c r="JS677" s="60"/>
      <c r="JT677" s="16"/>
      <c r="JU677" s="16"/>
      <c r="JV677" s="16"/>
      <c r="JW677" s="16"/>
      <c r="JX677" s="16"/>
      <c r="JY677" s="17"/>
      <c r="KC677" s="24"/>
      <c r="KD677" s="60"/>
      <c r="KE677" s="16"/>
      <c r="KF677" s="16"/>
      <c r="KG677" s="16"/>
      <c r="KH677" s="16"/>
      <c r="KI677" s="16"/>
      <c r="KJ677" s="17"/>
      <c r="KN677" s="24"/>
      <c r="KO677" s="60"/>
      <c r="KP677" s="16"/>
      <c r="KQ677" s="16"/>
      <c r="KR677" s="16"/>
      <c r="KS677" s="16"/>
      <c r="KT677" s="16"/>
      <c r="KU677" s="17"/>
      <c r="KY677" s="24"/>
      <c r="KZ677" s="60"/>
      <c r="LA677" s="16"/>
      <c r="LB677" s="16"/>
      <c r="LC677" s="16"/>
      <c r="LD677" s="16"/>
      <c r="LE677" s="16"/>
      <c r="LF677" s="17"/>
      <c r="LJ677" s="24"/>
      <c r="LK677" s="60"/>
      <c r="LL677" s="16"/>
      <c r="LM677" s="16"/>
      <c r="LN677" s="16"/>
      <c r="LO677" s="16"/>
      <c r="LP677" s="16"/>
      <c r="LQ677" s="17"/>
    </row>
    <row r="678">
      <c r="C678" s="31"/>
      <c r="D678" s="61"/>
      <c r="E678" s="16"/>
      <c r="F678" s="16"/>
      <c r="G678" s="21"/>
      <c r="H678" s="16"/>
      <c r="I678" s="16"/>
      <c r="J678" s="17"/>
      <c r="N678" s="17"/>
      <c r="O678" s="61"/>
      <c r="P678" s="16"/>
      <c r="Q678" s="16"/>
      <c r="R678" s="16"/>
      <c r="S678" s="16"/>
      <c r="T678" s="16"/>
      <c r="U678" s="17"/>
      <c r="Y678" s="24"/>
      <c r="Z678" s="61"/>
      <c r="AA678" s="16"/>
      <c r="AB678" s="16"/>
      <c r="AC678" s="16"/>
      <c r="AD678" s="16"/>
      <c r="AE678" s="16"/>
      <c r="AF678" s="17"/>
      <c r="AJ678" s="24"/>
      <c r="AK678" s="61"/>
      <c r="AL678" s="16"/>
      <c r="AM678" s="16"/>
      <c r="AN678" s="16"/>
      <c r="AO678" s="16"/>
      <c r="AP678" s="16"/>
      <c r="AQ678" s="17"/>
      <c r="AU678" s="24"/>
      <c r="AV678" s="61"/>
      <c r="AW678" s="16"/>
      <c r="AX678" s="16"/>
      <c r="AY678" s="16"/>
      <c r="AZ678" s="16"/>
      <c r="BA678" s="16"/>
      <c r="BB678" s="17"/>
      <c r="BF678" s="24"/>
      <c r="BG678" s="61"/>
      <c r="BH678" s="16"/>
      <c r="BI678" s="16"/>
      <c r="BJ678" s="16"/>
      <c r="BK678" s="16"/>
      <c r="BL678" s="16"/>
      <c r="BM678" s="17"/>
      <c r="BQ678" s="24"/>
      <c r="BR678" s="61"/>
      <c r="BS678" s="16"/>
      <c r="BT678" s="16"/>
      <c r="BU678" s="16"/>
      <c r="BV678" s="16"/>
      <c r="BW678" s="16"/>
      <c r="BX678" s="17"/>
      <c r="CB678" s="24"/>
      <c r="CC678" s="61"/>
      <c r="CD678" s="16"/>
      <c r="CE678" s="16"/>
      <c r="CF678" s="16"/>
      <c r="CG678" s="16"/>
      <c r="CH678" s="16"/>
      <c r="CI678" s="17"/>
      <c r="CM678" s="24"/>
      <c r="CN678" s="61"/>
      <c r="CO678" s="16"/>
      <c r="CP678" s="16"/>
      <c r="CQ678" s="16"/>
      <c r="CR678" s="16"/>
      <c r="CS678" s="16"/>
      <c r="CT678" s="17"/>
      <c r="CX678" s="24"/>
      <c r="CY678" s="60"/>
      <c r="CZ678" s="16"/>
      <c r="DA678" s="16"/>
      <c r="DB678" s="16"/>
      <c r="DC678" s="16"/>
      <c r="DD678" s="16"/>
      <c r="DE678" s="17"/>
      <c r="DI678" s="24"/>
      <c r="DJ678" s="60"/>
      <c r="DK678" s="16"/>
      <c r="DL678" s="16"/>
      <c r="DM678" s="16"/>
      <c r="DN678" s="16"/>
      <c r="DO678" s="16"/>
      <c r="DP678" s="17"/>
      <c r="DT678" s="24"/>
      <c r="DU678" s="60"/>
      <c r="DV678" s="16"/>
      <c r="DW678" s="16"/>
      <c r="DX678" s="16"/>
      <c r="DY678" s="16"/>
      <c r="DZ678" s="16"/>
      <c r="EA678" s="17"/>
      <c r="EE678" s="24"/>
      <c r="EF678" s="60"/>
      <c r="EG678" s="16"/>
      <c r="EH678" s="16"/>
      <c r="EI678" s="16"/>
      <c r="EJ678" s="16"/>
      <c r="EK678" s="16"/>
      <c r="EL678" s="17"/>
      <c r="EP678" s="24"/>
      <c r="EQ678" s="60"/>
      <c r="ER678" s="16"/>
      <c r="ES678" s="16"/>
      <c r="ET678" s="16"/>
      <c r="EU678" s="16"/>
      <c r="EV678" s="16"/>
      <c r="EW678" s="17"/>
      <c r="FA678" s="24"/>
      <c r="FB678" s="60"/>
      <c r="FC678" s="16"/>
      <c r="FD678" s="16"/>
      <c r="FE678" s="16"/>
      <c r="FF678" s="16"/>
      <c r="FG678" s="16"/>
      <c r="FH678" s="17"/>
      <c r="FL678" s="24"/>
      <c r="FM678" s="60"/>
      <c r="FN678" s="16"/>
      <c r="FO678" s="16"/>
      <c r="FP678" s="16"/>
      <c r="FQ678" s="16"/>
      <c r="FR678" s="16"/>
      <c r="FS678" s="17"/>
      <c r="FW678" s="24"/>
      <c r="FX678" s="60"/>
      <c r="FY678" s="16"/>
      <c r="FZ678" s="16"/>
      <c r="GA678" s="16"/>
      <c r="GB678" s="16"/>
      <c r="GC678" s="16"/>
      <c r="GD678" s="17"/>
      <c r="GH678" s="24"/>
      <c r="GI678" s="60"/>
      <c r="GJ678" s="16"/>
      <c r="GK678" s="16"/>
      <c r="GL678" s="16"/>
      <c r="GM678" s="16"/>
      <c r="GN678" s="16"/>
      <c r="GO678" s="17"/>
      <c r="GS678" s="24"/>
      <c r="GT678" s="60"/>
      <c r="GU678" s="16"/>
      <c r="GV678" s="16"/>
      <c r="GW678" s="16"/>
      <c r="GX678" s="16"/>
      <c r="GY678" s="16"/>
      <c r="GZ678" s="17"/>
      <c r="HD678" s="24"/>
      <c r="HE678" s="60"/>
      <c r="HF678" s="16"/>
      <c r="HG678" s="16"/>
      <c r="HH678" s="16"/>
      <c r="HI678" s="16"/>
      <c r="HJ678" s="16"/>
      <c r="HK678" s="17"/>
      <c r="HO678" s="24"/>
      <c r="HP678" s="60"/>
      <c r="HQ678" s="16"/>
      <c r="HR678" s="16"/>
      <c r="HS678" s="16"/>
      <c r="HT678" s="16"/>
      <c r="HU678" s="16"/>
      <c r="HV678" s="17"/>
      <c r="HZ678" s="24"/>
      <c r="IA678" s="60"/>
      <c r="IB678" s="16"/>
      <c r="IC678" s="16"/>
      <c r="ID678" s="16"/>
      <c r="IE678" s="16"/>
      <c r="IF678" s="16"/>
      <c r="IG678" s="17"/>
      <c r="IK678" s="24"/>
      <c r="IL678" s="60"/>
      <c r="IM678" s="16"/>
      <c r="IN678" s="16"/>
      <c r="IO678" s="16"/>
      <c r="IP678" s="16"/>
      <c r="IQ678" s="16"/>
      <c r="IR678" s="17"/>
      <c r="IV678" s="24"/>
      <c r="IW678" s="60"/>
      <c r="IX678" s="16"/>
      <c r="IY678" s="16"/>
      <c r="IZ678" s="16"/>
      <c r="JA678" s="16"/>
      <c r="JB678" s="16"/>
      <c r="JC678" s="17"/>
      <c r="JG678" s="24"/>
      <c r="JH678" s="60"/>
      <c r="JI678" s="16"/>
      <c r="JJ678" s="16"/>
      <c r="JK678" s="16"/>
      <c r="JL678" s="16"/>
      <c r="JM678" s="16"/>
      <c r="JN678" s="17"/>
      <c r="JR678" s="24"/>
      <c r="JS678" s="60"/>
      <c r="JT678" s="16"/>
      <c r="JU678" s="16"/>
      <c r="JV678" s="16"/>
      <c r="JW678" s="16"/>
      <c r="JX678" s="16"/>
      <c r="JY678" s="17"/>
      <c r="KC678" s="24"/>
      <c r="KD678" s="60"/>
      <c r="KE678" s="16"/>
      <c r="KF678" s="16"/>
      <c r="KG678" s="16"/>
      <c r="KH678" s="16"/>
      <c r="KI678" s="16"/>
      <c r="KJ678" s="17"/>
      <c r="KN678" s="24"/>
      <c r="KO678" s="60"/>
      <c r="KP678" s="16"/>
      <c r="KQ678" s="16"/>
      <c r="KR678" s="16"/>
      <c r="KS678" s="16"/>
      <c r="KT678" s="16"/>
      <c r="KU678" s="17"/>
      <c r="KY678" s="24"/>
      <c r="KZ678" s="60"/>
      <c r="LA678" s="16"/>
      <c r="LB678" s="16"/>
      <c r="LC678" s="16"/>
      <c r="LD678" s="16"/>
      <c r="LE678" s="16"/>
      <c r="LF678" s="17"/>
      <c r="LJ678" s="24"/>
      <c r="LK678" s="60"/>
      <c r="LL678" s="16"/>
      <c r="LM678" s="16"/>
      <c r="LN678" s="16"/>
      <c r="LO678" s="16"/>
      <c r="LP678" s="16"/>
      <c r="LQ678" s="17"/>
    </row>
    <row r="679">
      <c r="C679" s="31"/>
      <c r="D679" s="61"/>
      <c r="E679" s="16"/>
      <c r="F679" s="16"/>
      <c r="G679" s="21"/>
      <c r="H679" s="16"/>
      <c r="I679" s="16"/>
      <c r="J679" s="17"/>
      <c r="N679" s="17"/>
      <c r="O679" s="61"/>
      <c r="P679" s="16"/>
      <c r="Q679" s="16"/>
      <c r="R679" s="16"/>
      <c r="S679" s="16"/>
      <c r="T679" s="16"/>
      <c r="U679" s="17"/>
      <c r="Y679" s="24"/>
      <c r="Z679" s="61"/>
      <c r="AA679" s="16"/>
      <c r="AB679" s="16"/>
      <c r="AC679" s="16"/>
      <c r="AD679" s="16"/>
      <c r="AE679" s="16"/>
      <c r="AF679" s="17"/>
      <c r="AJ679" s="24"/>
      <c r="AK679" s="61"/>
      <c r="AL679" s="16"/>
      <c r="AM679" s="16"/>
      <c r="AN679" s="16"/>
      <c r="AO679" s="16"/>
      <c r="AP679" s="16"/>
      <c r="AQ679" s="17"/>
      <c r="AU679" s="24"/>
      <c r="AV679" s="61"/>
      <c r="AW679" s="16"/>
      <c r="AX679" s="16"/>
      <c r="AY679" s="16"/>
      <c r="AZ679" s="16"/>
      <c r="BA679" s="16"/>
      <c r="BB679" s="17"/>
      <c r="BF679" s="24"/>
      <c r="BG679" s="61"/>
      <c r="BH679" s="16"/>
      <c r="BI679" s="16"/>
      <c r="BJ679" s="16"/>
      <c r="BK679" s="16"/>
      <c r="BL679" s="16"/>
      <c r="BM679" s="17"/>
      <c r="BQ679" s="24"/>
      <c r="BR679" s="61"/>
      <c r="BS679" s="16"/>
      <c r="BT679" s="16"/>
      <c r="BU679" s="16"/>
      <c r="BV679" s="16"/>
      <c r="BW679" s="16"/>
      <c r="BX679" s="17"/>
      <c r="CB679" s="24"/>
      <c r="CC679" s="61"/>
      <c r="CD679" s="16"/>
      <c r="CE679" s="16"/>
      <c r="CF679" s="16"/>
      <c r="CG679" s="16"/>
      <c r="CH679" s="16"/>
      <c r="CI679" s="17"/>
      <c r="CM679" s="24"/>
      <c r="CN679" s="61"/>
      <c r="CO679" s="16"/>
      <c r="CP679" s="16"/>
      <c r="CQ679" s="16"/>
      <c r="CR679" s="16"/>
      <c r="CS679" s="16"/>
      <c r="CT679" s="17"/>
      <c r="CX679" s="24"/>
      <c r="CY679" s="60"/>
      <c r="CZ679" s="16"/>
      <c r="DA679" s="16"/>
      <c r="DB679" s="16"/>
      <c r="DC679" s="16"/>
      <c r="DD679" s="16"/>
      <c r="DE679" s="17"/>
      <c r="DI679" s="24"/>
      <c r="DJ679" s="60"/>
      <c r="DK679" s="16"/>
      <c r="DL679" s="16"/>
      <c r="DM679" s="16"/>
      <c r="DN679" s="16"/>
      <c r="DO679" s="16"/>
      <c r="DP679" s="17"/>
      <c r="DT679" s="24"/>
      <c r="DU679" s="60"/>
      <c r="DV679" s="16"/>
      <c r="DW679" s="16"/>
      <c r="DX679" s="16"/>
      <c r="DY679" s="16"/>
      <c r="DZ679" s="16"/>
      <c r="EA679" s="17"/>
      <c r="EE679" s="24"/>
      <c r="EF679" s="60"/>
      <c r="EG679" s="16"/>
      <c r="EH679" s="16"/>
      <c r="EI679" s="16"/>
      <c r="EJ679" s="16"/>
      <c r="EK679" s="16"/>
      <c r="EL679" s="17"/>
      <c r="EP679" s="24"/>
      <c r="EQ679" s="60"/>
      <c r="ER679" s="16"/>
      <c r="ES679" s="16"/>
      <c r="ET679" s="16"/>
      <c r="EU679" s="16"/>
      <c r="EV679" s="16"/>
      <c r="EW679" s="17"/>
      <c r="FA679" s="24"/>
      <c r="FB679" s="60"/>
      <c r="FC679" s="16"/>
      <c r="FD679" s="16"/>
      <c r="FE679" s="16"/>
      <c r="FF679" s="16"/>
      <c r="FG679" s="16"/>
      <c r="FH679" s="17"/>
      <c r="FL679" s="24"/>
      <c r="FM679" s="60"/>
      <c r="FN679" s="16"/>
      <c r="FO679" s="16"/>
      <c r="FP679" s="16"/>
      <c r="FQ679" s="16"/>
      <c r="FR679" s="16"/>
      <c r="FS679" s="17"/>
      <c r="FW679" s="24"/>
      <c r="FX679" s="60"/>
      <c r="FY679" s="16"/>
      <c r="FZ679" s="16"/>
      <c r="GA679" s="16"/>
      <c r="GB679" s="16"/>
      <c r="GC679" s="16"/>
      <c r="GD679" s="17"/>
      <c r="GH679" s="24"/>
      <c r="GI679" s="60"/>
      <c r="GJ679" s="16"/>
      <c r="GK679" s="16"/>
      <c r="GL679" s="16"/>
      <c r="GM679" s="16"/>
      <c r="GN679" s="16"/>
      <c r="GO679" s="17"/>
      <c r="GS679" s="24"/>
      <c r="GT679" s="60"/>
      <c r="GU679" s="16"/>
      <c r="GV679" s="16"/>
      <c r="GW679" s="16"/>
      <c r="GX679" s="16"/>
      <c r="GY679" s="16"/>
      <c r="GZ679" s="17"/>
      <c r="HD679" s="24"/>
      <c r="HE679" s="60"/>
      <c r="HF679" s="16"/>
      <c r="HG679" s="16"/>
      <c r="HH679" s="16"/>
      <c r="HI679" s="16"/>
      <c r="HJ679" s="16"/>
      <c r="HK679" s="17"/>
      <c r="HO679" s="24"/>
      <c r="HP679" s="60"/>
      <c r="HQ679" s="16"/>
      <c r="HR679" s="16"/>
      <c r="HS679" s="16"/>
      <c r="HT679" s="16"/>
      <c r="HU679" s="16"/>
      <c r="HV679" s="17"/>
      <c r="HZ679" s="24"/>
      <c r="IA679" s="60"/>
      <c r="IB679" s="16"/>
      <c r="IC679" s="16"/>
      <c r="ID679" s="16"/>
      <c r="IE679" s="16"/>
      <c r="IF679" s="16"/>
      <c r="IG679" s="17"/>
      <c r="IK679" s="24"/>
      <c r="IL679" s="60"/>
      <c r="IM679" s="16"/>
      <c r="IN679" s="16"/>
      <c r="IO679" s="16"/>
      <c r="IP679" s="16"/>
      <c r="IQ679" s="16"/>
      <c r="IR679" s="17"/>
      <c r="IV679" s="24"/>
      <c r="IW679" s="60"/>
      <c r="IX679" s="16"/>
      <c r="IY679" s="16"/>
      <c r="IZ679" s="16"/>
      <c r="JA679" s="16"/>
      <c r="JB679" s="16"/>
      <c r="JC679" s="17"/>
      <c r="JG679" s="24"/>
      <c r="JH679" s="60"/>
      <c r="JI679" s="16"/>
      <c r="JJ679" s="16"/>
      <c r="JK679" s="16"/>
      <c r="JL679" s="16"/>
      <c r="JM679" s="16"/>
      <c r="JN679" s="17"/>
      <c r="JR679" s="24"/>
      <c r="JS679" s="60"/>
      <c r="JT679" s="16"/>
      <c r="JU679" s="16"/>
      <c r="JV679" s="16"/>
      <c r="JW679" s="16"/>
      <c r="JX679" s="16"/>
      <c r="JY679" s="17"/>
      <c r="KC679" s="24"/>
      <c r="KD679" s="60"/>
      <c r="KE679" s="16"/>
      <c r="KF679" s="16"/>
      <c r="KG679" s="16"/>
      <c r="KH679" s="16"/>
      <c r="KI679" s="16"/>
      <c r="KJ679" s="17"/>
      <c r="KN679" s="24"/>
      <c r="KO679" s="60"/>
      <c r="KP679" s="16"/>
      <c r="KQ679" s="16"/>
      <c r="KR679" s="16"/>
      <c r="KS679" s="16"/>
      <c r="KT679" s="16"/>
      <c r="KU679" s="17"/>
      <c r="KY679" s="24"/>
      <c r="KZ679" s="60"/>
      <c r="LA679" s="16"/>
      <c r="LB679" s="16"/>
      <c r="LC679" s="16"/>
      <c r="LD679" s="16"/>
      <c r="LE679" s="16"/>
      <c r="LF679" s="17"/>
      <c r="LJ679" s="24"/>
      <c r="LK679" s="60"/>
      <c r="LL679" s="16"/>
      <c r="LM679" s="16"/>
      <c r="LN679" s="16"/>
      <c r="LO679" s="16"/>
      <c r="LP679" s="16"/>
      <c r="LQ679" s="17"/>
    </row>
    <row r="680">
      <c r="C680" s="31"/>
      <c r="D680" s="61"/>
      <c r="E680" s="16"/>
      <c r="F680" s="16"/>
      <c r="G680" s="21"/>
      <c r="H680" s="16"/>
      <c r="I680" s="16"/>
      <c r="J680" s="17"/>
      <c r="N680" s="17"/>
      <c r="O680" s="61"/>
      <c r="P680" s="16"/>
      <c r="Q680" s="16"/>
      <c r="R680" s="16"/>
      <c r="S680" s="16"/>
      <c r="T680" s="16"/>
      <c r="U680" s="17"/>
      <c r="Y680" s="24"/>
      <c r="Z680" s="61"/>
      <c r="AA680" s="16"/>
      <c r="AB680" s="16"/>
      <c r="AC680" s="16"/>
      <c r="AD680" s="16"/>
      <c r="AE680" s="16"/>
      <c r="AF680" s="17"/>
      <c r="AJ680" s="24"/>
      <c r="AK680" s="61"/>
      <c r="AL680" s="16"/>
      <c r="AM680" s="16"/>
      <c r="AN680" s="16"/>
      <c r="AO680" s="16"/>
      <c r="AP680" s="16"/>
      <c r="AQ680" s="17"/>
      <c r="AU680" s="24"/>
      <c r="AV680" s="61"/>
      <c r="AW680" s="16"/>
      <c r="AX680" s="16"/>
      <c r="AY680" s="16"/>
      <c r="AZ680" s="16"/>
      <c r="BA680" s="16"/>
      <c r="BB680" s="17"/>
      <c r="BF680" s="24"/>
      <c r="BG680" s="61"/>
      <c r="BH680" s="16"/>
      <c r="BI680" s="16"/>
      <c r="BJ680" s="16"/>
      <c r="BK680" s="16"/>
      <c r="BL680" s="16"/>
      <c r="BM680" s="17"/>
      <c r="BQ680" s="24"/>
      <c r="BR680" s="61"/>
      <c r="BS680" s="16"/>
      <c r="BT680" s="16"/>
      <c r="BU680" s="16"/>
      <c r="BV680" s="16"/>
      <c r="BW680" s="16"/>
      <c r="BX680" s="17"/>
      <c r="CB680" s="24"/>
      <c r="CC680" s="61"/>
      <c r="CD680" s="16"/>
      <c r="CE680" s="16"/>
      <c r="CF680" s="16"/>
      <c r="CG680" s="16"/>
      <c r="CH680" s="16"/>
      <c r="CI680" s="17"/>
      <c r="CM680" s="24"/>
      <c r="CN680" s="61"/>
      <c r="CO680" s="16"/>
      <c r="CP680" s="16"/>
      <c r="CQ680" s="16"/>
      <c r="CR680" s="16"/>
      <c r="CS680" s="16"/>
      <c r="CT680" s="17"/>
      <c r="CX680" s="24"/>
      <c r="CY680" s="60"/>
      <c r="CZ680" s="16"/>
      <c r="DA680" s="16"/>
      <c r="DB680" s="16"/>
      <c r="DC680" s="16"/>
      <c r="DD680" s="16"/>
      <c r="DE680" s="17"/>
      <c r="DI680" s="24"/>
      <c r="DJ680" s="60"/>
      <c r="DK680" s="16"/>
      <c r="DL680" s="16"/>
      <c r="DM680" s="16"/>
      <c r="DN680" s="16"/>
      <c r="DO680" s="16"/>
      <c r="DP680" s="17"/>
      <c r="DT680" s="24"/>
      <c r="DU680" s="60"/>
      <c r="DV680" s="16"/>
      <c r="DW680" s="16"/>
      <c r="DX680" s="16"/>
      <c r="DY680" s="16"/>
      <c r="DZ680" s="16"/>
      <c r="EA680" s="17"/>
      <c r="EE680" s="24"/>
      <c r="EF680" s="60"/>
      <c r="EG680" s="16"/>
      <c r="EH680" s="16"/>
      <c r="EI680" s="16"/>
      <c r="EJ680" s="16"/>
      <c r="EK680" s="16"/>
      <c r="EL680" s="17"/>
      <c r="EP680" s="24"/>
      <c r="EQ680" s="60"/>
      <c r="ER680" s="16"/>
      <c r="ES680" s="16"/>
      <c r="ET680" s="16"/>
      <c r="EU680" s="16"/>
      <c r="EV680" s="16"/>
      <c r="EW680" s="17"/>
      <c r="FA680" s="24"/>
      <c r="FB680" s="60"/>
      <c r="FC680" s="16"/>
      <c r="FD680" s="16"/>
      <c r="FE680" s="16"/>
      <c r="FF680" s="16"/>
      <c r="FG680" s="16"/>
      <c r="FH680" s="17"/>
      <c r="FL680" s="24"/>
      <c r="FM680" s="60"/>
      <c r="FN680" s="16"/>
      <c r="FO680" s="16"/>
      <c r="FP680" s="16"/>
      <c r="FQ680" s="16"/>
      <c r="FR680" s="16"/>
      <c r="FS680" s="17"/>
      <c r="FW680" s="24"/>
      <c r="FX680" s="60"/>
      <c r="FY680" s="16"/>
      <c r="FZ680" s="16"/>
      <c r="GA680" s="16"/>
      <c r="GB680" s="16"/>
      <c r="GC680" s="16"/>
      <c r="GD680" s="17"/>
      <c r="GH680" s="24"/>
      <c r="GI680" s="60"/>
      <c r="GJ680" s="16"/>
      <c r="GK680" s="16"/>
      <c r="GL680" s="16"/>
      <c r="GM680" s="16"/>
      <c r="GN680" s="16"/>
      <c r="GO680" s="17"/>
      <c r="GS680" s="24"/>
      <c r="GT680" s="60"/>
      <c r="GU680" s="16"/>
      <c r="GV680" s="16"/>
      <c r="GW680" s="16"/>
      <c r="GX680" s="16"/>
      <c r="GY680" s="16"/>
      <c r="GZ680" s="17"/>
      <c r="HD680" s="24"/>
      <c r="HE680" s="60"/>
      <c r="HF680" s="16"/>
      <c r="HG680" s="16"/>
      <c r="HH680" s="16"/>
      <c r="HI680" s="16"/>
      <c r="HJ680" s="16"/>
      <c r="HK680" s="17"/>
      <c r="HO680" s="24"/>
      <c r="HP680" s="60"/>
      <c r="HQ680" s="16"/>
      <c r="HR680" s="16"/>
      <c r="HS680" s="16"/>
      <c r="HT680" s="16"/>
      <c r="HU680" s="16"/>
      <c r="HV680" s="17"/>
      <c r="HZ680" s="24"/>
      <c r="IA680" s="60"/>
      <c r="IB680" s="16"/>
      <c r="IC680" s="16"/>
      <c r="ID680" s="16"/>
      <c r="IE680" s="16"/>
      <c r="IF680" s="16"/>
      <c r="IG680" s="17"/>
      <c r="IK680" s="24"/>
      <c r="IL680" s="60"/>
      <c r="IM680" s="16"/>
      <c r="IN680" s="16"/>
      <c r="IO680" s="16"/>
      <c r="IP680" s="16"/>
      <c r="IQ680" s="16"/>
      <c r="IR680" s="17"/>
      <c r="IV680" s="24"/>
      <c r="IW680" s="60"/>
      <c r="IX680" s="16"/>
      <c r="IY680" s="16"/>
      <c r="IZ680" s="16"/>
      <c r="JA680" s="16"/>
      <c r="JB680" s="16"/>
      <c r="JC680" s="17"/>
      <c r="JG680" s="24"/>
      <c r="JH680" s="60"/>
      <c r="JI680" s="16"/>
      <c r="JJ680" s="16"/>
      <c r="JK680" s="16"/>
      <c r="JL680" s="16"/>
      <c r="JM680" s="16"/>
      <c r="JN680" s="17"/>
      <c r="JR680" s="24"/>
      <c r="JS680" s="60"/>
      <c r="JT680" s="16"/>
      <c r="JU680" s="16"/>
      <c r="JV680" s="16"/>
      <c r="JW680" s="16"/>
      <c r="JX680" s="16"/>
      <c r="JY680" s="17"/>
      <c r="KC680" s="24"/>
      <c r="KD680" s="60"/>
      <c r="KE680" s="16"/>
      <c r="KF680" s="16"/>
      <c r="KG680" s="16"/>
      <c r="KH680" s="16"/>
      <c r="KI680" s="16"/>
      <c r="KJ680" s="17"/>
      <c r="KN680" s="24"/>
      <c r="KO680" s="60"/>
      <c r="KP680" s="16"/>
      <c r="KQ680" s="16"/>
      <c r="KR680" s="16"/>
      <c r="KS680" s="16"/>
      <c r="KT680" s="16"/>
      <c r="KU680" s="17"/>
      <c r="KY680" s="24"/>
      <c r="KZ680" s="60"/>
      <c r="LA680" s="16"/>
      <c r="LB680" s="16"/>
      <c r="LC680" s="16"/>
      <c r="LD680" s="16"/>
      <c r="LE680" s="16"/>
      <c r="LF680" s="17"/>
      <c r="LJ680" s="24"/>
      <c r="LK680" s="60"/>
      <c r="LL680" s="16"/>
      <c r="LM680" s="16"/>
      <c r="LN680" s="16"/>
      <c r="LO680" s="16"/>
      <c r="LP680" s="16"/>
      <c r="LQ680" s="17"/>
    </row>
    <row r="681">
      <c r="C681" s="31"/>
      <c r="D681" s="61"/>
      <c r="E681" s="16"/>
      <c r="F681" s="16"/>
      <c r="G681" s="21"/>
      <c r="H681" s="16"/>
      <c r="I681" s="16"/>
      <c r="J681" s="17"/>
      <c r="N681" s="17"/>
      <c r="O681" s="61"/>
      <c r="P681" s="16"/>
      <c r="Q681" s="16"/>
      <c r="R681" s="16"/>
      <c r="S681" s="16"/>
      <c r="T681" s="16"/>
      <c r="U681" s="17"/>
      <c r="Y681" s="24"/>
      <c r="Z681" s="61"/>
      <c r="AA681" s="16"/>
      <c r="AB681" s="16"/>
      <c r="AC681" s="16"/>
      <c r="AD681" s="16"/>
      <c r="AE681" s="16"/>
      <c r="AF681" s="17"/>
      <c r="AJ681" s="24"/>
      <c r="AK681" s="61"/>
      <c r="AL681" s="16"/>
      <c r="AM681" s="16"/>
      <c r="AN681" s="16"/>
      <c r="AO681" s="16"/>
      <c r="AP681" s="16"/>
      <c r="AQ681" s="17"/>
      <c r="AU681" s="24"/>
      <c r="AV681" s="61"/>
      <c r="AW681" s="16"/>
      <c r="AX681" s="16"/>
      <c r="AY681" s="16"/>
      <c r="AZ681" s="16"/>
      <c r="BA681" s="16"/>
      <c r="BB681" s="17"/>
      <c r="BF681" s="24"/>
      <c r="BG681" s="61"/>
      <c r="BH681" s="16"/>
      <c r="BI681" s="16"/>
      <c r="BJ681" s="16"/>
      <c r="BK681" s="16"/>
      <c r="BL681" s="16"/>
      <c r="BM681" s="17"/>
      <c r="BQ681" s="24"/>
      <c r="BR681" s="61"/>
      <c r="BS681" s="16"/>
      <c r="BT681" s="16"/>
      <c r="BU681" s="16"/>
      <c r="BV681" s="16"/>
      <c r="BW681" s="16"/>
      <c r="BX681" s="17"/>
      <c r="CB681" s="24"/>
      <c r="CC681" s="61"/>
      <c r="CD681" s="16"/>
      <c r="CE681" s="16"/>
      <c r="CF681" s="16"/>
      <c r="CG681" s="16"/>
      <c r="CH681" s="16"/>
      <c r="CI681" s="17"/>
      <c r="CM681" s="24"/>
      <c r="CN681" s="61"/>
      <c r="CO681" s="16"/>
      <c r="CP681" s="16"/>
      <c r="CQ681" s="16"/>
      <c r="CR681" s="16"/>
      <c r="CS681" s="16"/>
      <c r="CT681" s="17"/>
      <c r="CX681" s="24"/>
      <c r="CY681" s="60"/>
      <c r="CZ681" s="16"/>
      <c r="DA681" s="16"/>
      <c r="DB681" s="16"/>
      <c r="DC681" s="16"/>
      <c r="DD681" s="16"/>
      <c r="DE681" s="17"/>
      <c r="DI681" s="24"/>
      <c r="DJ681" s="60"/>
      <c r="DK681" s="16"/>
      <c r="DL681" s="16"/>
      <c r="DM681" s="16"/>
      <c r="DN681" s="16"/>
      <c r="DO681" s="16"/>
      <c r="DP681" s="17"/>
      <c r="DT681" s="24"/>
      <c r="DU681" s="60"/>
      <c r="DV681" s="16"/>
      <c r="DW681" s="16"/>
      <c r="DX681" s="16"/>
      <c r="DY681" s="16"/>
      <c r="DZ681" s="16"/>
      <c r="EA681" s="17"/>
      <c r="EE681" s="24"/>
      <c r="EF681" s="60"/>
      <c r="EG681" s="16"/>
      <c r="EH681" s="16"/>
      <c r="EI681" s="16"/>
      <c r="EJ681" s="16"/>
      <c r="EK681" s="16"/>
      <c r="EL681" s="17"/>
      <c r="EP681" s="24"/>
      <c r="EQ681" s="60"/>
      <c r="ER681" s="16"/>
      <c r="ES681" s="16"/>
      <c r="ET681" s="16"/>
      <c r="EU681" s="16"/>
      <c r="EV681" s="16"/>
      <c r="EW681" s="17"/>
      <c r="FA681" s="24"/>
      <c r="FB681" s="60"/>
      <c r="FC681" s="16"/>
      <c r="FD681" s="16"/>
      <c r="FE681" s="16"/>
      <c r="FF681" s="16"/>
      <c r="FG681" s="16"/>
      <c r="FH681" s="17"/>
      <c r="FL681" s="24"/>
      <c r="FM681" s="60"/>
      <c r="FN681" s="16"/>
      <c r="FO681" s="16"/>
      <c r="FP681" s="16"/>
      <c r="FQ681" s="16"/>
      <c r="FR681" s="16"/>
      <c r="FS681" s="17"/>
      <c r="FW681" s="24"/>
      <c r="FX681" s="60"/>
      <c r="FY681" s="16"/>
      <c r="FZ681" s="16"/>
      <c r="GA681" s="16"/>
      <c r="GB681" s="16"/>
      <c r="GC681" s="16"/>
      <c r="GD681" s="17"/>
      <c r="GH681" s="24"/>
      <c r="GI681" s="60"/>
      <c r="GJ681" s="16"/>
      <c r="GK681" s="16"/>
      <c r="GL681" s="16"/>
      <c r="GM681" s="16"/>
      <c r="GN681" s="16"/>
      <c r="GO681" s="17"/>
      <c r="GS681" s="24"/>
      <c r="GT681" s="60"/>
      <c r="GU681" s="16"/>
      <c r="GV681" s="16"/>
      <c r="GW681" s="16"/>
      <c r="GX681" s="16"/>
      <c r="GY681" s="16"/>
      <c r="GZ681" s="17"/>
      <c r="HD681" s="24"/>
      <c r="HE681" s="60"/>
      <c r="HF681" s="16"/>
      <c r="HG681" s="16"/>
      <c r="HH681" s="16"/>
      <c r="HI681" s="16"/>
      <c r="HJ681" s="16"/>
      <c r="HK681" s="17"/>
      <c r="HO681" s="24"/>
      <c r="HP681" s="60"/>
      <c r="HQ681" s="16"/>
      <c r="HR681" s="16"/>
      <c r="HS681" s="16"/>
      <c r="HT681" s="16"/>
      <c r="HU681" s="16"/>
      <c r="HV681" s="17"/>
      <c r="HZ681" s="24"/>
      <c r="IA681" s="60"/>
      <c r="IB681" s="16"/>
      <c r="IC681" s="16"/>
      <c r="ID681" s="16"/>
      <c r="IE681" s="16"/>
      <c r="IF681" s="16"/>
      <c r="IG681" s="17"/>
      <c r="IK681" s="24"/>
      <c r="IL681" s="60"/>
      <c r="IM681" s="16"/>
      <c r="IN681" s="16"/>
      <c r="IO681" s="16"/>
      <c r="IP681" s="16"/>
      <c r="IQ681" s="16"/>
      <c r="IR681" s="17"/>
      <c r="IV681" s="24"/>
      <c r="IW681" s="60"/>
      <c r="IX681" s="16"/>
      <c r="IY681" s="16"/>
      <c r="IZ681" s="16"/>
      <c r="JA681" s="16"/>
      <c r="JB681" s="16"/>
      <c r="JC681" s="17"/>
      <c r="JG681" s="24"/>
      <c r="JH681" s="60"/>
      <c r="JI681" s="16"/>
      <c r="JJ681" s="16"/>
      <c r="JK681" s="16"/>
      <c r="JL681" s="16"/>
      <c r="JM681" s="16"/>
      <c r="JN681" s="17"/>
      <c r="JR681" s="24"/>
      <c r="JS681" s="60"/>
      <c r="JT681" s="16"/>
      <c r="JU681" s="16"/>
      <c r="JV681" s="16"/>
      <c r="JW681" s="16"/>
      <c r="JX681" s="16"/>
      <c r="JY681" s="17"/>
      <c r="KC681" s="24"/>
      <c r="KD681" s="60"/>
      <c r="KE681" s="16"/>
      <c r="KF681" s="16"/>
      <c r="KG681" s="16"/>
      <c r="KH681" s="16"/>
      <c r="KI681" s="16"/>
      <c r="KJ681" s="17"/>
      <c r="KN681" s="24"/>
      <c r="KO681" s="60"/>
      <c r="KP681" s="16"/>
      <c r="KQ681" s="16"/>
      <c r="KR681" s="16"/>
      <c r="KS681" s="16"/>
      <c r="KT681" s="16"/>
      <c r="KU681" s="17"/>
      <c r="KY681" s="24"/>
      <c r="KZ681" s="60"/>
      <c r="LA681" s="16"/>
      <c r="LB681" s="16"/>
      <c r="LC681" s="16"/>
      <c r="LD681" s="16"/>
      <c r="LE681" s="16"/>
      <c r="LF681" s="17"/>
      <c r="LJ681" s="24"/>
      <c r="LK681" s="60"/>
      <c r="LL681" s="16"/>
      <c r="LM681" s="16"/>
      <c r="LN681" s="16"/>
      <c r="LO681" s="16"/>
      <c r="LP681" s="16"/>
      <c r="LQ681" s="17"/>
    </row>
    <row r="682">
      <c r="C682" s="31"/>
      <c r="D682" s="61"/>
      <c r="E682" s="16"/>
      <c r="F682" s="16"/>
      <c r="G682" s="21"/>
      <c r="H682" s="16"/>
      <c r="I682" s="16"/>
      <c r="J682" s="17"/>
      <c r="N682" s="17"/>
      <c r="O682" s="61"/>
      <c r="P682" s="16"/>
      <c r="Q682" s="16"/>
      <c r="R682" s="16"/>
      <c r="S682" s="16"/>
      <c r="T682" s="16"/>
      <c r="U682" s="17"/>
      <c r="Y682" s="24"/>
      <c r="Z682" s="61"/>
      <c r="AA682" s="16"/>
      <c r="AB682" s="16"/>
      <c r="AC682" s="16"/>
      <c r="AD682" s="16"/>
      <c r="AE682" s="16"/>
      <c r="AF682" s="17"/>
      <c r="AJ682" s="24"/>
      <c r="AK682" s="61"/>
      <c r="AL682" s="16"/>
      <c r="AM682" s="16"/>
      <c r="AN682" s="16"/>
      <c r="AO682" s="16"/>
      <c r="AP682" s="16"/>
      <c r="AQ682" s="17"/>
      <c r="AU682" s="24"/>
      <c r="AV682" s="61"/>
      <c r="AW682" s="16"/>
      <c r="AX682" s="16"/>
      <c r="AY682" s="16"/>
      <c r="AZ682" s="16"/>
      <c r="BA682" s="16"/>
      <c r="BB682" s="17"/>
      <c r="BF682" s="24"/>
      <c r="BG682" s="61"/>
      <c r="BH682" s="16"/>
      <c r="BI682" s="16"/>
      <c r="BJ682" s="16"/>
      <c r="BK682" s="16"/>
      <c r="BL682" s="16"/>
      <c r="BM682" s="17"/>
      <c r="BQ682" s="24"/>
      <c r="BR682" s="61"/>
      <c r="BS682" s="16"/>
      <c r="BT682" s="16"/>
      <c r="BU682" s="16"/>
      <c r="BV682" s="16"/>
      <c r="BW682" s="16"/>
      <c r="BX682" s="17"/>
      <c r="CB682" s="24"/>
      <c r="CC682" s="61"/>
      <c r="CD682" s="16"/>
      <c r="CE682" s="16"/>
      <c r="CF682" s="16"/>
      <c r="CG682" s="16"/>
      <c r="CH682" s="16"/>
      <c r="CI682" s="17"/>
      <c r="CM682" s="24"/>
      <c r="CN682" s="61"/>
      <c r="CO682" s="16"/>
      <c r="CP682" s="16"/>
      <c r="CQ682" s="16"/>
      <c r="CR682" s="16"/>
      <c r="CS682" s="16"/>
      <c r="CT682" s="17"/>
      <c r="CX682" s="24"/>
      <c r="CY682" s="60"/>
      <c r="CZ682" s="16"/>
      <c r="DA682" s="16"/>
      <c r="DB682" s="16"/>
      <c r="DC682" s="16"/>
      <c r="DD682" s="16"/>
      <c r="DE682" s="17"/>
      <c r="DI682" s="24"/>
      <c r="DJ682" s="60"/>
      <c r="DK682" s="16"/>
      <c r="DL682" s="16"/>
      <c r="DM682" s="16"/>
      <c r="DN682" s="16"/>
      <c r="DO682" s="16"/>
      <c r="DP682" s="17"/>
      <c r="DT682" s="24"/>
      <c r="DU682" s="60"/>
      <c r="DV682" s="16"/>
      <c r="DW682" s="16"/>
      <c r="DX682" s="16"/>
      <c r="DY682" s="16"/>
      <c r="DZ682" s="16"/>
      <c r="EA682" s="17"/>
      <c r="EE682" s="24"/>
      <c r="EF682" s="60"/>
      <c r="EG682" s="16"/>
      <c r="EH682" s="16"/>
      <c r="EI682" s="16"/>
      <c r="EJ682" s="16"/>
      <c r="EK682" s="16"/>
      <c r="EL682" s="17"/>
      <c r="EP682" s="24"/>
      <c r="EQ682" s="60"/>
      <c r="ER682" s="16"/>
      <c r="ES682" s="16"/>
      <c r="ET682" s="16"/>
      <c r="EU682" s="16"/>
      <c r="EV682" s="16"/>
      <c r="EW682" s="17"/>
      <c r="FA682" s="24"/>
      <c r="FB682" s="60"/>
      <c r="FC682" s="16"/>
      <c r="FD682" s="16"/>
      <c r="FE682" s="16"/>
      <c r="FF682" s="16"/>
      <c r="FG682" s="16"/>
      <c r="FH682" s="17"/>
      <c r="FL682" s="24"/>
      <c r="FM682" s="60"/>
      <c r="FN682" s="16"/>
      <c r="FO682" s="16"/>
      <c r="FP682" s="16"/>
      <c r="FQ682" s="16"/>
      <c r="FR682" s="16"/>
      <c r="FS682" s="17"/>
      <c r="FW682" s="24"/>
      <c r="FX682" s="60"/>
      <c r="FY682" s="16"/>
      <c r="FZ682" s="16"/>
      <c r="GA682" s="16"/>
      <c r="GB682" s="16"/>
      <c r="GC682" s="16"/>
      <c r="GD682" s="17"/>
      <c r="GH682" s="24"/>
      <c r="GI682" s="60"/>
      <c r="GJ682" s="16"/>
      <c r="GK682" s="16"/>
      <c r="GL682" s="16"/>
      <c r="GM682" s="16"/>
      <c r="GN682" s="16"/>
      <c r="GO682" s="17"/>
      <c r="GS682" s="24"/>
      <c r="GT682" s="60"/>
      <c r="GU682" s="16"/>
      <c r="GV682" s="16"/>
      <c r="GW682" s="16"/>
      <c r="GX682" s="16"/>
      <c r="GY682" s="16"/>
      <c r="GZ682" s="17"/>
      <c r="HD682" s="24"/>
      <c r="HE682" s="60"/>
      <c r="HF682" s="16"/>
      <c r="HG682" s="16"/>
      <c r="HH682" s="16"/>
      <c r="HI682" s="16"/>
      <c r="HJ682" s="16"/>
      <c r="HK682" s="17"/>
      <c r="HO682" s="24"/>
      <c r="HP682" s="60"/>
      <c r="HQ682" s="16"/>
      <c r="HR682" s="16"/>
      <c r="HS682" s="16"/>
      <c r="HT682" s="16"/>
      <c r="HU682" s="16"/>
      <c r="HV682" s="17"/>
      <c r="HZ682" s="24"/>
      <c r="IA682" s="60"/>
      <c r="IB682" s="16"/>
      <c r="IC682" s="16"/>
      <c r="ID682" s="16"/>
      <c r="IE682" s="16"/>
      <c r="IF682" s="16"/>
      <c r="IG682" s="17"/>
      <c r="IK682" s="24"/>
      <c r="IL682" s="60"/>
      <c r="IM682" s="16"/>
      <c r="IN682" s="16"/>
      <c r="IO682" s="16"/>
      <c r="IP682" s="16"/>
      <c r="IQ682" s="16"/>
      <c r="IR682" s="17"/>
      <c r="IV682" s="24"/>
      <c r="IW682" s="60"/>
      <c r="IX682" s="16"/>
      <c r="IY682" s="16"/>
      <c r="IZ682" s="16"/>
      <c r="JA682" s="16"/>
      <c r="JB682" s="16"/>
      <c r="JC682" s="17"/>
      <c r="JG682" s="24"/>
      <c r="JH682" s="60"/>
      <c r="JI682" s="16"/>
      <c r="JJ682" s="16"/>
      <c r="JK682" s="16"/>
      <c r="JL682" s="16"/>
      <c r="JM682" s="16"/>
      <c r="JN682" s="17"/>
      <c r="JR682" s="24"/>
      <c r="JS682" s="60"/>
      <c r="JT682" s="16"/>
      <c r="JU682" s="16"/>
      <c r="JV682" s="16"/>
      <c r="JW682" s="16"/>
      <c r="JX682" s="16"/>
      <c r="JY682" s="17"/>
      <c r="KC682" s="24"/>
      <c r="KD682" s="60"/>
      <c r="KE682" s="16"/>
      <c r="KF682" s="16"/>
      <c r="KG682" s="16"/>
      <c r="KH682" s="16"/>
      <c r="KI682" s="16"/>
      <c r="KJ682" s="17"/>
      <c r="KN682" s="24"/>
      <c r="KO682" s="60"/>
      <c r="KP682" s="16"/>
      <c r="KQ682" s="16"/>
      <c r="KR682" s="16"/>
      <c r="KS682" s="16"/>
      <c r="KT682" s="16"/>
      <c r="KU682" s="17"/>
      <c r="KY682" s="24"/>
      <c r="KZ682" s="60"/>
      <c r="LA682" s="16"/>
      <c r="LB682" s="16"/>
      <c r="LC682" s="16"/>
      <c r="LD682" s="16"/>
      <c r="LE682" s="16"/>
      <c r="LF682" s="17"/>
      <c r="LJ682" s="24"/>
      <c r="LK682" s="60"/>
      <c r="LL682" s="16"/>
      <c r="LM682" s="16"/>
      <c r="LN682" s="16"/>
      <c r="LO682" s="16"/>
      <c r="LP682" s="16"/>
      <c r="LQ682" s="17"/>
    </row>
    <row r="683">
      <c r="C683" s="31"/>
      <c r="D683" s="61"/>
      <c r="E683" s="16"/>
      <c r="F683" s="16"/>
      <c r="G683" s="21"/>
      <c r="H683" s="16"/>
      <c r="I683" s="16"/>
      <c r="J683" s="17"/>
      <c r="N683" s="17"/>
      <c r="O683" s="61"/>
      <c r="P683" s="16"/>
      <c r="Q683" s="16"/>
      <c r="R683" s="16"/>
      <c r="S683" s="16"/>
      <c r="T683" s="16"/>
      <c r="U683" s="17"/>
      <c r="Y683" s="24"/>
      <c r="Z683" s="61"/>
      <c r="AA683" s="16"/>
      <c r="AB683" s="16"/>
      <c r="AC683" s="16"/>
      <c r="AD683" s="16"/>
      <c r="AE683" s="16"/>
      <c r="AF683" s="17"/>
      <c r="AJ683" s="24"/>
      <c r="AK683" s="61"/>
      <c r="AL683" s="16"/>
      <c r="AM683" s="16"/>
      <c r="AN683" s="16"/>
      <c r="AO683" s="16"/>
      <c r="AP683" s="16"/>
      <c r="AQ683" s="17"/>
      <c r="AU683" s="24"/>
      <c r="AV683" s="61"/>
      <c r="AW683" s="16"/>
      <c r="AX683" s="16"/>
      <c r="AY683" s="16"/>
      <c r="AZ683" s="16"/>
      <c r="BA683" s="16"/>
      <c r="BB683" s="17"/>
      <c r="BF683" s="24"/>
      <c r="BG683" s="61"/>
      <c r="BH683" s="16"/>
      <c r="BI683" s="16"/>
      <c r="BJ683" s="16"/>
      <c r="BK683" s="16"/>
      <c r="BL683" s="16"/>
      <c r="BM683" s="17"/>
      <c r="BQ683" s="24"/>
      <c r="BR683" s="61"/>
      <c r="BS683" s="16"/>
      <c r="BT683" s="16"/>
      <c r="BU683" s="16"/>
      <c r="BV683" s="16"/>
      <c r="BW683" s="16"/>
      <c r="BX683" s="17"/>
      <c r="CB683" s="24"/>
      <c r="CC683" s="61"/>
      <c r="CD683" s="16"/>
      <c r="CE683" s="16"/>
      <c r="CF683" s="16"/>
      <c r="CG683" s="16"/>
      <c r="CH683" s="16"/>
      <c r="CI683" s="17"/>
      <c r="CM683" s="24"/>
      <c r="CN683" s="61"/>
      <c r="CO683" s="16"/>
      <c r="CP683" s="16"/>
      <c r="CQ683" s="16"/>
      <c r="CR683" s="16"/>
      <c r="CS683" s="16"/>
      <c r="CT683" s="17"/>
      <c r="CX683" s="24"/>
      <c r="CY683" s="60"/>
      <c r="CZ683" s="16"/>
      <c r="DA683" s="16"/>
      <c r="DB683" s="16"/>
      <c r="DC683" s="16"/>
      <c r="DD683" s="16"/>
      <c r="DE683" s="17"/>
      <c r="DI683" s="24"/>
      <c r="DJ683" s="60"/>
      <c r="DK683" s="16"/>
      <c r="DL683" s="16"/>
      <c r="DM683" s="16"/>
      <c r="DN683" s="16"/>
      <c r="DO683" s="16"/>
      <c r="DP683" s="17"/>
      <c r="DT683" s="24"/>
      <c r="DU683" s="60"/>
      <c r="DV683" s="16"/>
      <c r="DW683" s="16"/>
      <c r="DX683" s="16"/>
      <c r="DY683" s="16"/>
      <c r="DZ683" s="16"/>
      <c r="EA683" s="17"/>
      <c r="EE683" s="24"/>
      <c r="EF683" s="60"/>
      <c r="EG683" s="16"/>
      <c r="EH683" s="16"/>
      <c r="EI683" s="16"/>
      <c r="EJ683" s="16"/>
      <c r="EK683" s="16"/>
      <c r="EL683" s="17"/>
      <c r="EP683" s="24"/>
      <c r="EQ683" s="60"/>
      <c r="ER683" s="16"/>
      <c r="ES683" s="16"/>
      <c r="ET683" s="16"/>
      <c r="EU683" s="16"/>
      <c r="EV683" s="16"/>
      <c r="EW683" s="17"/>
      <c r="FA683" s="24"/>
      <c r="FB683" s="60"/>
      <c r="FC683" s="16"/>
      <c r="FD683" s="16"/>
      <c r="FE683" s="16"/>
      <c r="FF683" s="16"/>
      <c r="FG683" s="16"/>
      <c r="FH683" s="17"/>
      <c r="FL683" s="24"/>
      <c r="FM683" s="60"/>
      <c r="FN683" s="16"/>
      <c r="FO683" s="16"/>
      <c r="FP683" s="16"/>
      <c r="FQ683" s="16"/>
      <c r="FR683" s="16"/>
      <c r="FS683" s="17"/>
      <c r="FW683" s="24"/>
      <c r="FX683" s="60"/>
      <c r="FY683" s="16"/>
      <c r="FZ683" s="16"/>
      <c r="GA683" s="16"/>
      <c r="GB683" s="16"/>
      <c r="GC683" s="16"/>
      <c r="GD683" s="17"/>
      <c r="GH683" s="24"/>
      <c r="GI683" s="60"/>
      <c r="GJ683" s="16"/>
      <c r="GK683" s="16"/>
      <c r="GL683" s="16"/>
      <c r="GM683" s="16"/>
      <c r="GN683" s="16"/>
      <c r="GO683" s="17"/>
      <c r="GS683" s="24"/>
      <c r="GT683" s="60"/>
      <c r="GU683" s="16"/>
      <c r="GV683" s="16"/>
      <c r="GW683" s="16"/>
      <c r="GX683" s="16"/>
      <c r="GY683" s="16"/>
      <c r="GZ683" s="17"/>
      <c r="HD683" s="24"/>
      <c r="HE683" s="60"/>
      <c r="HF683" s="16"/>
      <c r="HG683" s="16"/>
      <c r="HH683" s="16"/>
      <c r="HI683" s="16"/>
      <c r="HJ683" s="16"/>
      <c r="HK683" s="17"/>
      <c r="HO683" s="24"/>
      <c r="HP683" s="60"/>
      <c r="HQ683" s="16"/>
      <c r="HR683" s="16"/>
      <c r="HS683" s="16"/>
      <c r="HT683" s="16"/>
      <c r="HU683" s="16"/>
      <c r="HV683" s="17"/>
      <c r="HZ683" s="24"/>
      <c r="IA683" s="60"/>
      <c r="IB683" s="16"/>
      <c r="IC683" s="16"/>
      <c r="ID683" s="16"/>
      <c r="IE683" s="16"/>
      <c r="IF683" s="16"/>
      <c r="IG683" s="17"/>
      <c r="IK683" s="24"/>
      <c r="IL683" s="60"/>
      <c r="IM683" s="16"/>
      <c r="IN683" s="16"/>
      <c r="IO683" s="16"/>
      <c r="IP683" s="16"/>
      <c r="IQ683" s="16"/>
      <c r="IR683" s="17"/>
      <c r="IV683" s="24"/>
      <c r="IW683" s="60"/>
      <c r="IX683" s="16"/>
      <c r="IY683" s="16"/>
      <c r="IZ683" s="16"/>
      <c r="JA683" s="16"/>
      <c r="JB683" s="16"/>
      <c r="JC683" s="17"/>
      <c r="JG683" s="24"/>
      <c r="JH683" s="60"/>
      <c r="JI683" s="16"/>
      <c r="JJ683" s="16"/>
      <c r="JK683" s="16"/>
      <c r="JL683" s="16"/>
      <c r="JM683" s="16"/>
      <c r="JN683" s="17"/>
      <c r="JR683" s="24"/>
      <c r="JS683" s="60"/>
      <c r="JT683" s="16"/>
      <c r="JU683" s="16"/>
      <c r="JV683" s="16"/>
      <c r="JW683" s="16"/>
      <c r="JX683" s="16"/>
      <c r="JY683" s="17"/>
      <c r="KC683" s="24"/>
      <c r="KD683" s="60"/>
      <c r="KE683" s="16"/>
      <c r="KF683" s="16"/>
      <c r="KG683" s="16"/>
      <c r="KH683" s="16"/>
      <c r="KI683" s="16"/>
      <c r="KJ683" s="17"/>
      <c r="KN683" s="24"/>
      <c r="KO683" s="60"/>
      <c r="KP683" s="16"/>
      <c r="KQ683" s="16"/>
      <c r="KR683" s="16"/>
      <c r="KS683" s="16"/>
      <c r="KT683" s="16"/>
      <c r="KU683" s="17"/>
      <c r="KY683" s="24"/>
      <c r="KZ683" s="60"/>
      <c r="LA683" s="16"/>
      <c r="LB683" s="16"/>
      <c r="LC683" s="16"/>
      <c r="LD683" s="16"/>
      <c r="LE683" s="16"/>
      <c r="LF683" s="17"/>
      <c r="LJ683" s="24"/>
      <c r="LK683" s="60"/>
      <c r="LL683" s="16"/>
      <c r="LM683" s="16"/>
      <c r="LN683" s="16"/>
      <c r="LO683" s="16"/>
      <c r="LP683" s="16"/>
      <c r="LQ683" s="17"/>
    </row>
    <row r="684">
      <c r="C684" s="31"/>
      <c r="D684" s="61"/>
      <c r="E684" s="16"/>
      <c r="F684" s="16"/>
      <c r="G684" s="21"/>
      <c r="H684" s="16"/>
      <c r="I684" s="16"/>
      <c r="J684" s="17"/>
      <c r="N684" s="17"/>
      <c r="O684" s="61"/>
      <c r="P684" s="16"/>
      <c r="Q684" s="16"/>
      <c r="R684" s="16"/>
      <c r="S684" s="16"/>
      <c r="T684" s="16"/>
      <c r="U684" s="17"/>
      <c r="Y684" s="24"/>
      <c r="Z684" s="61"/>
      <c r="AA684" s="16"/>
      <c r="AB684" s="16"/>
      <c r="AC684" s="16"/>
      <c r="AD684" s="16"/>
      <c r="AE684" s="16"/>
      <c r="AF684" s="17"/>
      <c r="AJ684" s="24"/>
      <c r="AK684" s="61"/>
      <c r="AL684" s="16"/>
      <c r="AM684" s="16"/>
      <c r="AN684" s="16"/>
      <c r="AO684" s="16"/>
      <c r="AP684" s="16"/>
      <c r="AQ684" s="17"/>
      <c r="AU684" s="24"/>
      <c r="AV684" s="61"/>
      <c r="AW684" s="16"/>
      <c r="AX684" s="16"/>
      <c r="AY684" s="16"/>
      <c r="AZ684" s="16"/>
      <c r="BA684" s="16"/>
      <c r="BB684" s="17"/>
      <c r="BF684" s="24"/>
      <c r="BG684" s="61"/>
      <c r="BH684" s="16"/>
      <c r="BI684" s="16"/>
      <c r="BJ684" s="16"/>
      <c r="BK684" s="16"/>
      <c r="BL684" s="16"/>
      <c r="BM684" s="17"/>
      <c r="BQ684" s="24"/>
      <c r="BR684" s="61"/>
      <c r="BS684" s="16"/>
      <c r="BT684" s="16"/>
      <c r="BU684" s="16"/>
      <c r="BV684" s="16"/>
      <c r="BW684" s="16"/>
      <c r="BX684" s="17"/>
      <c r="CB684" s="24"/>
      <c r="CC684" s="61"/>
      <c r="CD684" s="16"/>
      <c r="CE684" s="16"/>
      <c r="CF684" s="16"/>
      <c r="CG684" s="16"/>
      <c r="CH684" s="16"/>
      <c r="CI684" s="17"/>
      <c r="CM684" s="24"/>
      <c r="CN684" s="61"/>
      <c r="CO684" s="16"/>
      <c r="CP684" s="16"/>
      <c r="CQ684" s="16"/>
      <c r="CR684" s="16"/>
      <c r="CS684" s="16"/>
      <c r="CT684" s="17"/>
      <c r="CX684" s="24"/>
      <c r="CY684" s="60"/>
      <c r="CZ684" s="16"/>
      <c r="DA684" s="16"/>
      <c r="DB684" s="16"/>
      <c r="DC684" s="16"/>
      <c r="DD684" s="16"/>
      <c r="DE684" s="17"/>
      <c r="DI684" s="24"/>
      <c r="DJ684" s="60"/>
      <c r="DK684" s="16"/>
      <c r="DL684" s="16"/>
      <c r="DM684" s="16"/>
      <c r="DN684" s="16"/>
      <c r="DO684" s="16"/>
      <c r="DP684" s="17"/>
      <c r="DT684" s="24"/>
      <c r="DU684" s="60"/>
      <c r="DV684" s="16"/>
      <c r="DW684" s="16"/>
      <c r="DX684" s="16"/>
      <c r="DY684" s="16"/>
      <c r="DZ684" s="16"/>
      <c r="EA684" s="17"/>
      <c r="EE684" s="24"/>
      <c r="EF684" s="60"/>
      <c r="EG684" s="16"/>
      <c r="EH684" s="16"/>
      <c r="EI684" s="16"/>
      <c r="EJ684" s="16"/>
      <c r="EK684" s="16"/>
      <c r="EL684" s="17"/>
      <c r="EP684" s="24"/>
      <c r="EQ684" s="60"/>
      <c r="ER684" s="16"/>
      <c r="ES684" s="16"/>
      <c r="ET684" s="16"/>
      <c r="EU684" s="16"/>
      <c r="EV684" s="16"/>
      <c r="EW684" s="17"/>
      <c r="FA684" s="24"/>
      <c r="FB684" s="60"/>
      <c r="FC684" s="16"/>
      <c r="FD684" s="16"/>
      <c r="FE684" s="16"/>
      <c r="FF684" s="16"/>
      <c r="FG684" s="16"/>
      <c r="FH684" s="17"/>
      <c r="FL684" s="24"/>
      <c r="FM684" s="60"/>
      <c r="FN684" s="16"/>
      <c r="FO684" s="16"/>
      <c r="FP684" s="16"/>
      <c r="FQ684" s="16"/>
      <c r="FR684" s="16"/>
      <c r="FS684" s="17"/>
      <c r="FW684" s="24"/>
      <c r="FX684" s="60"/>
      <c r="FY684" s="16"/>
      <c r="FZ684" s="16"/>
      <c r="GA684" s="16"/>
      <c r="GB684" s="16"/>
      <c r="GC684" s="16"/>
      <c r="GD684" s="17"/>
      <c r="GH684" s="24"/>
      <c r="GI684" s="60"/>
      <c r="GJ684" s="16"/>
      <c r="GK684" s="16"/>
      <c r="GL684" s="16"/>
      <c r="GM684" s="16"/>
      <c r="GN684" s="16"/>
      <c r="GO684" s="17"/>
      <c r="GS684" s="24"/>
      <c r="GT684" s="60"/>
      <c r="GU684" s="16"/>
      <c r="GV684" s="16"/>
      <c r="GW684" s="16"/>
      <c r="GX684" s="16"/>
      <c r="GY684" s="16"/>
      <c r="GZ684" s="17"/>
      <c r="HD684" s="24"/>
      <c r="HE684" s="60"/>
      <c r="HF684" s="16"/>
      <c r="HG684" s="16"/>
      <c r="HH684" s="16"/>
      <c r="HI684" s="16"/>
      <c r="HJ684" s="16"/>
      <c r="HK684" s="17"/>
      <c r="HO684" s="24"/>
      <c r="HP684" s="60"/>
      <c r="HQ684" s="16"/>
      <c r="HR684" s="16"/>
      <c r="HS684" s="16"/>
      <c r="HT684" s="16"/>
      <c r="HU684" s="16"/>
      <c r="HV684" s="17"/>
      <c r="HZ684" s="24"/>
      <c r="IA684" s="60"/>
      <c r="IB684" s="16"/>
      <c r="IC684" s="16"/>
      <c r="ID684" s="16"/>
      <c r="IE684" s="16"/>
      <c r="IF684" s="16"/>
      <c r="IG684" s="17"/>
      <c r="IK684" s="24"/>
      <c r="IL684" s="60"/>
      <c r="IM684" s="16"/>
      <c r="IN684" s="16"/>
      <c r="IO684" s="16"/>
      <c r="IP684" s="16"/>
      <c r="IQ684" s="16"/>
      <c r="IR684" s="17"/>
      <c r="IV684" s="24"/>
      <c r="IW684" s="60"/>
      <c r="IX684" s="16"/>
      <c r="IY684" s="16"/>
      <c r="IZ684" s="16"/>
      <c r="JA684" s="16"/>
      <c r="JB684" s="16"/>
      <c r="JC684" s="17"/>
      <c r="JG684" s="24"/>
      <c r="JH684" s="60"/>
      <c r="JI684" s="16"/>
      <c r="JJ684" s="16"/>
      <c r="JK684" s="16"/>
      <c r="JL684" s="16"/>
      <c r="JM684" s="16"/>
      <c r="JN684" s="17"/>
      <c r="JR684" s="24"/>
      <c r="JS684" s="60"/>
      <c r="JT684" s="16"/>
      <c r="JU684" s="16"/>
      <c r="JV684" s="16"/>
      <c r="JW684" s="16"/>
      <c r="JX684" s="16"/>
      <c r="JY684" s="17"/>
      <c r="KC684" s="24"/>
      <c r="KD684" s="60"/>
      <c r="KE684" s="16"/>
      <c r="KF684" s="16"/>
      <c r="KG684" s="16"/>
      <c r="KH684" s="16"/>
      <c r="KI684" s="16"/>
      <c r="KJ684" s="17"/>
      <c r="KN684" s="24"/>
      <c r="KO684" s="60"/>
      <c r="KP684" s="16"/>
      <c r="KQ684" s="16"/>
      <c r="KR684" s="16"/>
      <c r="KS684" s="16"/>
      <c r="KT684" s="16"/>
      <c r="KU684" s="17"/>
      <c r="KY684" s="24"/>
      <c r="KZ684" s="60"/>
      <c r="LA684" s="16"/>
      <c r="LB684" s="16"/>
      <c r="LC684" s="16"/>
      <c r="LD684" s="16"/>
      <c r="LE684" s="16"/>
      <c r="LF684" s="17"/>
      <c r="LJ684" s="24"/>
      <c r="LK684" s="60"/>
      <c r="LL684" s="16"/>
      <c r="LM684" s="16"/>
      <c r="LN684" s="16"/>
      <c r="LO684" s="16"/>
      <c r="LP684" s="16"/>
      <c r="LQ684" s="17"/>
    </row>
    <row r="685">
      <c r="C685" s="31"/>
      <c r="D685" s="61"/>
      <c r="E685" s="16"/>
      <c r="F685" s="16"/>
      <c r="G685" s="21"/>
      <c r="H685" s="16"/>
      <c r="I685" s="16"/>
      <c r="J685" s="17"/>
      <c r="N685" s="17"/>
      <c r="O685" s="61"/>
      <c r="P685" s="16"/>
      <c r="Q685" s="16"/>
      <c r="R685" s="16"/>
      <c r="S685" s="16"/>
      <c r="T685" s="16"/>
      <c r="U685" s="17"/>
      <c r="Y685" s="24"/>
      <c r="Z685" s="61"/>
      <c r="AA685" s="16"/>
      <c r="AB685" s="16"/>
      <c r="AC685" s="16"/>
      <c r="AD685" s="16"/>
      <c r="AE685" s="16"/>
      <c r="AF685" s="17"/>
      <c r="AJ685" s="24"/>
      <c r="AK685" s="61"/>
      <c r="AL685" s="16"/>
      <c r="AM685" s="16"/>
      <c r="AN685" s="16"/>
      <c r="AO685" s="16"/>
      <c r="AP685" s="16"/>
      <c r="AQ685" s="17"/>
      <c r="AU685" s="24"/>
      <c r="AV685" s="61"/>
      <c r="AW685" s="16"/>
      <c r="AX685" s="16"/>
      <c r="AY685" s="16"/>
      <c r="AZ685" s="16"/>
      <c r="BA685" s="16"/>
      <c r="BB685" s="17"/>
      <c r="BF685" s="24"/>
      <c r="BG685" s="61"/>
      <c r="BH685" s="16"/>
      <c r="BI685" s="16"/>
      <c r="BJ685" s="16"/>
      <c r="BK685" s="16"/>
      <c r="BL685" s="16"/>
      <c r="BM685" s="17"/>
      <c r="BQ685" s="24"/>
      <c r="BR685" s="61"/>
      <c r="BS685" s="16"/>
      <c r="BT685" s="16"/>
      <c r="BU685" s="16"/>
      <c r="BV685" s="16"/>
      <c r="BW685" s="16"/>
      <c r="BX685" s="17"/>
      <c r="CB685" s="24"/>
      <c r="CC685" s="61"/>
      <c r="CD685" s="16"/>
      <c r="CE685" s="16"/>
      <c r="CF685" s="16"/>
      <c r="CG685" s="16"/>
      <c r="CH685" s="16"/>
      <c r="CI685" s="17"/>
      <c r="CM685" s="24"/>
      <c r="CN685" s="61"/>
      <c r="CO685" s="16"/>
      <c r="CP685" s="16"/>
      <c r="CQ685" s="16"/>
      <c r="CR685" s="16"/>
      <c r="CS685" s="16"/>
      <c r="CT685" s="17"/>
      <c r="CX685" s="24"/>
      <c r="CY685" s="60"/>
      <c r="CZ685" s="16"/>
      <c r="DA685" s="16"/>
      <c r="DB685" s="16"/>
      <c r="DC685" s="16"/>
      <c r="DD685" s="16"/>
      <c r="DE685" s="17"/>
      <c r="DI685" s="24"/>
      <c r="DJ685" s="60"/>
      <c r="DK685" s="16"/>
      <c r="DL685" s="16"/>
      <c r="DM685" s="16"/>
      <c r="DN685" s="16"/>
      <c r="DO685" s="16"/>
      <c r="DP685" s="17"/>
      <c r="DT685" s="24"/>
      <c r="DU685" s="60"/>
      <c r="DV685" s="16"/>
      <c r="DW685" s="16"/>
      <c r="DX685" s="16"/>
      <c r="DY685" s="16"/>
      <c r="DZ685" s="16"/>
      <c r="EA685" s="17"/>
      <c r="EE685" s="24"/>
      <c r="EF685" s="60"/>
      <c r="EG685" s="16"/>
      <c r="EH685" s="16"/>
      <c r="EI685" s="16"/>
      <c r="EJ685" s="16"/>
      <c r="EK685" s="16"/>
      <c r="EL685" s="17"/>
      <c r="EP685" s="24"/>
      <c r="EQ685" s="60"/>
      <c r="ER685" s="16"/>
      <c r="ES685" s="16"/>
      <c r="ET685" s="16"/>
      <c r="EU685" s="16"/>
      <c r="EV685" s="16"/>
      <c r="EW685" s="17"/>
      <c r="FA685" s="24"/>
      <c r="FB685" s="60"/>
      <c r="FC685" s="16"/>
      <c r="FD685" s="16"/>
      <c r="FE685" s="16"/>
      <c r="FF685" s="16"/>
      <c r="FG685" s="16"/>
      <c r="FH685" s="17"/>
      <c r="FL685" s="24"/>
      <c r="FM685" s="60"/>
      <c r="FN685" s="16"/>
      <c r="FO685" s="16"/>
      <c r="FP685" s="16"/>
      <c r="FQ685" s="16"/>
      <c r="FR685" s="16"/>
      <c r="FS685" s="17"/>
      <c r="FW685" s="24"/>
      <c r="FX685" s="60"/>
      <c r="FY685" s="16"/>
      <c r="FZ685" s="16"/>
      <c r="GA685" s="16"/>
      <c r="GB685" s="16"/>
      <c r="GC685" s="16"/>
      <c r="GD685" s="17"/>
      <c r="GH685" s="24"/>
      <c r="GI685" s="60"/>
      <c r="GJ685" s="16"/>
      <c r="GK685" s="16"/>
      <c r="GL685" s="16"/>
      <c r="GM685" s="16"/>
      <c r="GN685" s="16"/>
      <c r="GO685" s="17"/>
      <c r="GS685" s="24"/>
      <c r="GT685" s="60"/>
      <c r="GU685" s="16"/>
      <c r="GV685" s="16"/>
      <c r="GW685" s="16"/>
      <c r="GX685" s="16"/>
      <c r="GY685" s="16"/>
      <c r="GZ685" s="17"/>
      <c r="HD685" s="24"/>
      <c r="HE685" s="60"/>
      <c r="HF685" s="16"/>
      <c r="HG685" s="16"/>
      <c r="HH685" s="16"/>
      <c r="HI685" s="16"/>
      <c r="HJ685" s="16"/>
      <c r="HK685" s="17"/>
      <c r="HO685" s="24"/>
      <c r="HP685" s="60"/>
      <c r="HQ685" s="16"/>
      <c r="HR685" s="16"/>
      <c r="HS685" s="16"/>
      <c r="HT685" s="16"/>
      <c r="HU685" s="16"/>
      <c r="HV685" s="17"/>
      <c r="HZ685" s="24"/>
      <c r="IA685" s="60"/>
      <c r="IB685" s="16"/>
      <c r="IC685" s="16"/>
      <c r="ID685" s="16"/>
      <c r="IE685" s="16"/>
      <c r="IF685" s="16"/>
      <c r="IG685" s="17"/>
      <c r="IK685" s="24"/>
      <c r="IL685" s="60"/>
      <c r="IM685" s="16"/>
      <c r="IN685" s="16"/>
      <c r="IO685" s="16"/>
      <c r="IP685" s="16"/>
      <c r="IQ685" s="16"/>
      <c r="IR685" s="17"/>
      <c r="IV685" s="24"/>
      <c r="IW685" s="60"/>
      <c r="IX685" s="16"/>
      <c r="IY685" s="16"/>
      <c r="IZ685" s="16"/>
      <c r="JA685" s="16"/>
      <c r="JB685" s="16"/>
      <c r="JC685" s="17"/>
      <c r="JG685" s="24"/>
      <c r="JH685" s="60"/>
      <c r="JI685" s="16"/>
      <c r="JJ685" s="16"/>
      <c r="JK685" s="16"/>
      <c r="JL685" s="16"/>
      <c r="JM685" s="16"/>
      <c r="JN685" s="17"/>
      <c r="JR685" s="24"/>
      <c r="JS685" s="60"/>
      <c r="JT685" s="16"/>
      <c r="JU685" s="16"/>
      <c r="JV685" s="16"/>
      <c r="JW685" s="16"/>
      <c r="JX685" s="16"/>
      <c r="JY685" s="17"/>
      <c r="KC685" s="24"/>
      <c r="KD685" s="60"/>
      <c r="KE685" s="16"/>
      <c r="KF685" s="16"/>
      <c r="KG685" s="16"/>
      <c r="KH685" s="16"/>
      <c r="KI685" s="16"/>
      <c r="KJ685" s="17"/>
      <c r="KN685" s="24"/>
      <c r="KO685" s="60"/>
      <c r="KP685" s="16"/>
      <c r="KQ685" s="16"/>
      <c r="KR685" s="16"/>
      <c r="KS685" s="16"/>
      <c r="KT685" s="16"/>
      <c r="KU685" s="17"/>
      <c r="KY685" s="24"/>
      <c r="KZ685" s="60"/>
      <c r="LA685" s="16"/>
      <c r="LB685" s="16"/>
      <c r="LC685" s="16"/>
      <c r="LD685" s="16"/>
      <c r="LE685" s="16"/>
      <c r="LF685" s="17"/>
      <c r="LJ685" s="24"/>
      <c r="LK685" s="60"/>
      <c r="LL685" s="16"/>
      <c r="LM685" s="16"/>
      <c r="LN685" s="16"/>
      <c r="LO685" s="16"/>
      <c r="LP685" s="16"/>
      <c r="LQ685" s="17"/>
    </row>
    <row r="686">
      <c r="C686" s="31"/>
      <c r="D686" s="61"/>
      <c r="E686" s="16"/>
      <c r="F686" s="16"/>
      <c r="G686" s="21"/>
      <c r="H686" s="16"/>
      <c r="I686" s="16"/>
      <c r="J686" s="17"/>
      <c r="N686" s="17"/>
      <c r="O686" s="61"/>
      <c r="P686" s="16"/>
      <c r="Q686" s="16"/>
      <c r="R686" s="16"/>
      <c r="S686" s="16"/>
      <c r="T686" s="16"/>
      <c r="U686" s="17"/>
      <c r="Y686" s="24"/>
      <c r="Z686" s="61"/>
      <c r="AA686" s="16"/>
      <c r="AB686" s="16"/>
      <c r="AC686" s="16"/>
      <c r="AD686" s="16"/>
      <c r="AE686" s="16"/>
      <c r="AF686" s="17"/>
      <c r="AJ686" s="24"/>
      <c r="AK686" s="61"/>
      <c r="AL686" s="16"/>
      <c r="AM686" s="16"/>
      <c r="AN686" s="16"/>
      <c r="AO686" s="16"/>
      <c r="AP686" s="16"/>
      <c r="AQ686" s="17"/>
      <c r="AU686" s="24"/>
      <c r="AV686" s="61"/>
      <c r="AW686" s="16"/>
      <c r="AX686" s="16"/>
      <c r="AY686" s="16"/>
      <c r="AZ686" s="16"/>
      <c r="BA686" s="16"/>
      <c r="BB686" s="17"/>
      <c r="BF686" s="24"/>
      <c r="BG686" s="61"/>
      <c r="BH686" s="16"/>
      <c r="BI686" s="16"/>
      <c r="BJ686" s="16"/>
      <c r="BK686" s="16"/>
      <c r="BL686" s="16"/>
      <c r="BM686" s="17"/>
      <c r="BQ686" s="24"/>
      <c r="BR686" s="61"/>
      <c r="BS686" s="16"/>
      <c r="BT686" s="16"/>
      <c r="BU686" s="16"/>
      <c r="BV686" s="16"/>
      <c r="BW686" s="16"/>
      <c r="BX686" s="17"/>
      <c r="CB686" s="24"/>
      <c r="CC686" s="61"/>
      <c r="CD686" s="16"/>
      <c r="CE686" s="16"/>
      <c r="CF686" s="16"/>
      <c r="CG686" s="16"/>
      <c r="CH686" s="16"/>
      <c r="CI686" s="17"/>
      <c r="CM686" s="24"/>
      <c r="CN686" s="61"/>
      <c r="CO686" s="16"/>
      <c r="CP686" s="16"/>
      <c r="CQ686" s="16"/>
      <c r="CR686" s="16"/>
      <c r="CS686" s="16"/>
      <c r="CT686" s="17"/>
      <c r="CX686" s="24"/>
      <c r="CY686" s="60"/>
      <c r="CZ686" s="16"/>
      <c r="DA686" s="16"/>
      <c r="DB686" s="16"/>
      <c r="DC686" s="16"/>
      <c r="DD686" s="16"/>
      <c r="DE686" s="17"/>
      <c r="DI686" s="24"/>
      <c r="DJ686" s="60"/>
      <c r="DK686" s="16"/>
      <c r="DL686" s="16"/>
      <c r="DM686" s="16"/>
      <c r="DN686" s="16"/>
      <c r="DO686" s="16"/>
      <c r="DP686" s="17"/>
      <c r="DT686" s="24"/>
      <c r="DU686" s="60"/>
      <c r="DV686" s="16"/>
      <c r="DW686" s="16"/>
      <c r="DX686" s="16"/>
      <c r="DY686" s="16"/>
      <c r="DZ686" s="16"/>
      <c r="EA686" s="17"/>
      <c r="EE686" s="24"/>
      <c r="EF686" s="60"/>
      <c r="EG686" s="16"/>
      <c r="EH686" s="16"/>
      <c r="EI686" s="16"/>
      <c r="EJ686" s="16"/>
      <c r="EK686" s="16"/>
      <c r="EL686" s="17"/>
      <c r="EP686" s="24"/>
      <c r="EQ686" s="60"/>
      <c r="ER686" s="16"/>
      <c r="ES686" s="16"/>
      <c r="ET686" s="16"/>
      <c r="EU686" s="16"/>
      <c r="EV686" s="16"/>
      <c r="EW686" s="17"/>
      <c r="FA686" s="24"/>
      <c r="FB686" s="60"/>
      <c r="FC686" s="16"/>
      <c r="FD686" s="16"/>
      <c r="FE686" s="16"/>
      <c r="FF686" s="16"/>
      <c r="FG686" s="16"/>
      <c r="FH686" s="17"/>
      <c r="FL686" s="24"/>
      <c r="FM686" s="60"/>
      <c r="FN686" s="16"/>
      <c r="FO686" s="16"/>
      <c r="FP686" s="16"/>
      <c r="FQ686" s="16"/>
      <c r="FR686" s="16"/>
      <c r="FS686" s="17"/>
      <c r="FW686" s="24"/>
      <c r="FX686" s="60"/>
      <c r="FY686" s="16"/>
      <c r="FZ686" s="16"/>
      <c r="GA686" s="16"/>
      <c r="GB686" s="16"/>
      <c r="GC686" s="16"/>
      <c r="GD686" s="17"/>
      <c r="GH686" s="24"/>
      <c r="GI686" s="60"/>
      <c r="GJ686" s="16"/>
      <c r="GK686" s="16"/>
      <c r="GL686" s="16"/>
      <c r="GM686" s="16"/>
      <c r="GN686" s="16"/>
      <c r="GO686" s="17"/>
      <c r="GS686" s="24"/>
      <c r="GT686" s="60"/>
      <c r="GU686" s="16"/>
      <c r="GV686" s="16"/>
      <c r="GW686" s="16"/>
      <c r="GX686" s="16"/>
      <c r="GY686" s="16"/>
      <c r="GZ686" s="17"/>
      <c r="HD686" s="24"/>
      <c r="HE686" s="60"/>
      <c r="HF686" s="16"/>
      <c r="HG686" s="16"/>
      <c r="HH686" s="16"/>
      <c r="HI686" s="16"/>
      <c r="HJ686" s="16"/>
      <c r="HK686" s="17"/>
      <c r="HO686" s="24"/>
      <c r="HP686" s="60"/>
      <c r="HQ686" s="16"/>
      <c r="HR686" s="16"/>
      <c r="HS686" s="16"/>
      <c r="HT686" s="16"/>
      <c r="HU686" s="16"/>
      <c r="HV686" s="17"/>
      <c r="HZ686" s="24"/>
      <c r="IA686" s="60"/>
      <c r="IB686" s="16"/>
      <c r="IC686" s="16"/>
      <c r="ID686" s="16"/>
      <c r="IE686" s="16"/>
      <c r="IF686" s="16"/>
      <c r="IG686" s="17"/>
      <c r="IK686" s="24"/>
      <c r="IL686" s="60"/>
      <c r="IM686" s="16"/>
      <c r="IN686" s="16"/>
      <c r="IO686" s="16"/>
      <c r="IP686" s="16"/>
      <c r="IQ686" s="16"/>
      <c r="IR686" s="17"/>
      <c r="IV686" s="24"/>
      <c r="IW686" s="60"/>
      <c r="IX686" s="16"/>
      <c r="IY686" s="16"/>
      <c r="IZ686" s="16"/>
      <c r="JA686" s="16"/>
      <c r="JB686" s="16"/>
      <c r="JC686" s="17"/>
      <c r="JG686" s="24"/>
      <c r="JH686" s="60"/>
      <c r="JI686" s="16"/>
      <c r="JJ686" s="16"/>
      <c r="JK686" s="16"/>
      <c r="JL686" s="16"/>
      <c r="JM686" s="16"/>
      <c r="JN686" s="17"/>
      <c r="JR686" s="24"/>
      <c r="JS686" s="60"/>
      <c r="JT686" s="16"/>
      <c r="JU686" s="16"/>
      <c r="JV686" s="16"/>
      <c r="JW686" s="16"/>
      <c r="JX686" s="16"/>
      <c r="JY686" s="17"/>
      <c r="KC686" s="24"/>
      <c r="KD686" s="60"/>
      <c r="KE686" s="16"/>
      <c r="KF686" s="16"/>
      <c r="KG686" s="16"/>
      <c r="KH686" s="16"/>
      <c r="KI686" s="16"/>
      <c r="KJ686" s="17"/>
      <c r="KN686" s="24"/>
      <c r="KO686" s="60"/>
      <c r="KP686" s="16"/>
      <c r="KQ686" s="16"/>
      <c r="KR686" s="16"/>
      <c r="KS686" s="16"/>
      <c r="KT686" s="16"/>
      <c r="KU686" s="17"/>
      <c r="KY686" s="24"/>
      <c r="KZ686" s="60"/>
      <c r="LA686" s="16"/>
      <c r="LB686" s="16"/>
      <c r="LC686" s="16"/>
      <c r="LD686" s="16"/>
      <c r="LE686" s="16"/>
      <c r="LF686" s="17"/>
      <c r="LJ686" s="24"/>
      <c r="LK686" s="60"/>
      <c r="LL686" s="16"/>
      <c r="LM686" s="16"/>
      <c r="LN686" s="16"/>
      <c r="LO686" s="16"/>
      <c r="LP686" s="16"/>
      <c r="LQ686" s="17"/>
    </row>
    <row r="687">
      <c r="C687" s="31"/>
      <c r="D687" s="61"/>
      <c r="E687" s="16"/>
      <c r="F687" s="16"/>
      <c r="G687" s="21"/>
      <c r="H687" s="16"/>
      <c r="I687" s="16"/>
      <c r="J687" s="17"/>
      <c r="N687" s="17"/>
      <c r="O687" s="61"/>
      <c r="P687" s="16"/>
      <c r="Q687" s="16"/>
      <c r="R687" s="16"/>
      <c r="S687" s="16"/>
      <c r="T687" s="16"/>
      <c r="U687" s="17"/>
      <c r="Y687" s="24"/>
      <c r="Z687" s="61"/>
      <c r="AA687" s="16"/>
      <c r="AB687" s="16"/>
      <c r="AC687" s="16"/>
      <c r="AD687" s="16"/>
      <c r="AE687" s="16"/>
      <c r="AF687" s="17"/>
      <c r="AJ687" s="24"/>
      <c r="AK687" s="61"/>
      <c r="AL687" s="16"/>
      <c r="AM687" s="16"/>
      <c r="AN687" s="16"/>
      <c r="AO687" s="16"/>
      <c r="AP687" s="16"/>
      <c r="AQ687" s="17"/>
      <c r="AU687" s="24"/>
      <c r="AV687" s="61"/>
      <c r="AW687" s="16"/>
      <c r="AX687" s="16"/>
      <c r="AY687" s="16"/>
      <c r="AZ687" s="16"/>
      <c r="BA687" s="16"/>
      <c r="BB687" s="17"/>
      <c r="BF687" s="24"/>
      <c r="BG687" s="61"/>
      <c r="BH687" s="16"/>
      <c r="BI687" s="16"/>
      <c r="BJ687" s="16"/>
      <c r="BK687" s="16"/>
      <c r="BL687" s="16"/>
      <c r="BM687" s="17"/>
      <c r="BQ687" s="24"/>
      <c r="BR687" s="61"/>
      <c r="BS687" s="16"/>
      <c r="BT687" s="16"/>
      <c r="BU687" s="16"/>
      <c r="BV687" s="16"/>
      <c r="BW687" s="16"/>
      <c r="BX687" s="17"/>
      <c r="CB687" s="24"/>
      <c r="CC687" s="61"/>
      <c r="CD687" s="16"/>
      <c r="CE687" s="16"/>
      <c r="CF687" s="16"/>
      <c r="CG687" s="16"/>
      <c r="CH687" s="16"/>
      <c r="CI687" s="17"/>
      <c r="CM687" s="24"/>
      <c r="CN687" s="61"/>
      <c r="CO687" s="16"/>
      <c r="CP687" s="16"/>
      <c r="CQ687" s="16"/>
      <c r="CR687" s="16"/>
      <c r="CS687" s="16"/>
      <c r="CT687" s="17"/>
      <c r="CX687" s="24"/>
      <c r="CY687" s="60"/>
      <c r="CZ687" s="16"/>
      <c r="DA687" s="16"/>
      <c r="DB687" s="16"/>
      <c r="DC687" s="16"/>
      <c r="DD687" s="16"/>
      <c r="DE687" s="17"/>
      <c r="DI687" s="24"/>
      <c r="DJ687" s="60"/>
      <c r="DK687" s="16"/>
      <c r="DL687" s="16"/>
      <c r="DM687" s="16"/>
      <c r="DN687" s="16"/>
      <c r="DO687" s="16"/>
      <c r="DP687" s="17"/>
      <c r="DT687" s="24"/>
      <c r="DU687" s="60"/>
      <c r="DV687" s="16"/>
      <c r="DW687" s="16"/>
      <c r="DX687" s="16"/>
      <c r="DY687" s="16"/>
      <c r="DZ687" s="16"/>
      <c r="EA687" s="17"/>
      <c r="EE687" s="24"/>
      <c r="EF687" s="60"/>
      <c r="EG687" s="16"/>
      <c r="EH687" s="16"/>
      <c r="EI687" s="16"/>
      <c r="EJ687" s="16"/>
      <c r="EK687" s="16"/>
      <c r="EL687" s="17"/>
      <c r="EP687" s="24"/>
      <c r="EQ687" s="60"/>
      <c r="ER687" s="16"/>
      <c r="ES687" s="16"/>
      <c r="ET687" s="16"/>
      <c r="EU687" s="16"/>
      <c r="EV687" s="16"/>
      <c r="EW687" s="17"/>
      <c r="FA687" s="24"/>
      <c r="FB687" s="60"/>
      <c r="FC687" s="16"/>
      <c r="FD687" s="16"/>
      <c r="FE687" s="16"/>
      <c r="FF687" s="16"/>
      <c r="FG687" s="16"/>
      <c r="FH687" s="17"/>
      <c r="FL687" s="24"/>
      <c r="FM687" s="60"/>
      <c r="FN687" s="16"/>
      <c r="FO687" s="16"/>
      <c r="FP687" s="16"/>
      <c r="FQ687" s="16"/>
      <c r="FR687" s="16"/>
      <c r="FS687" s="17"/>
      <c r="FW687" s="24"/>
      <c r="FX687" s="60"/>
      <c r="FY687" s="16"/>
      <c r="FZ687" s="16"/>
      <c r="GA687" s="16"/>
      <c r="GB687" s="16"/>
      <c r="GC687" s="16"/>
      <c r="GD687" s="17"/>
      <c r="GH687" s="24"/>
      <c r="GI687" s="60"/>
      <c r="GJ687" s="16"/>
      <c r="GK687" s="16"/>
      <c r="GL687" s="16"/>
      <c r="GM687" s="16"/>
      <c r="GN687" s="16"/>
      <c r="GO687" s="17"/>
      <c r="GS687" s="24"/>
      <c r="GT687" s="60"/>
      <c r="GU687" s="16"/>
      <c r="GV687" s="16"/>
      <c r="GW687" s="16"/>
      <c r="GX687" s="16"/>
      <c r="GY687" s="16"/>
      <c r="GZ687" s="17"/>
      <c r="HD687" s="24"/>
      <c r="HE687" s="60"/>
      <c r="HF687" s="16"/>
      <c r="HG687" s="16"/>
      <c r="HH687" s="16"/>
      <c r="HI687" s="16"/>
      <c r="HJ687" s="16"/>
      <c r="HK687" s="17"/>
      <c r="HO687" s="24"/>
      <c r="HP687" s="60"/>
      <c r="HQ687" s="16"/>
      <c r="HR687" s="16"/>
      <c r="HS687" s="16"/>
      <c r="HT687" s="16"/>
      <c r="HU687" s="16"/>
      <c r="HV687" s="17"/>
      <c r="HZ687" s="24"/>
      <c r="IA687" s="60"/>
      <c r="IB687" s="16"/>
      <c r="IC687" s="16"/>
      <c r="ID687" s="16"/>
      <c r="IE687" s="16"/>
      <c r="IF687" s="16"/>
      <c r="IG687" s="17"/>
      <c r="IK687" s="24"/>
      <c r="IL687" s="60"/>
      <c r="IM687" s="16"/>
      <c r="IN687" s="16"/>
      <c r="IO687" s="16"/>
      <c r="IP687" s="16"/>
      <c r="IQ687" s="16"/>
      <c r="IR687" s="17"/>
      <c r="IV687" s="24"/>
      <c r="IW687" s="60"/>
      <c r="IX687" s="16"/>
      <c r="IY687" s="16"/>
      <c r="IZ687" s="16"/>
      <c r="JA687" s="16"/>
      <c r="JB687" s="16"/>
      <c r="JC687" s="17"/>
      <c r="JG687" s="24"/>
      <c r="JH687" s="60"/>
      <c r="JI687" s="16"/>
      <c r="JJ687" s="16"/>
      <c r="JK687" s="16"/>
      <c r="JL687" s="16"/>
      <c r="JM687" s="16"/>
      <c r="JN687" s="17"/>
      <c r="JR687" s="24"/>
      <c r="JS687" s="60"/>
      <c r="JT687" s="16"/>
      <c r="JU687" s="16"/>
      <c r="JV687" s="16"/>
      <c r="JW687" s="16"/>
      <c r="JX687" s="16"/>
      <c r="JY687" s="17"/>
      <c r="KC687" s="24"/>
      <c r="KD687" s="60"/>
      <c r="KE687" s="16"/>
      <c r="KF687" s="16"/>
      <c r="KG687" s="16"/>
      <c r="KH687" s="16"/>
      <c r="KI687" s="16"/>
      <c r="KJ687" s="17"/>
      <c r="KN687" s="24"/>
      <c r="KO687" s="60"/>
      <c r="KP687" s="16"/>
      <c r="KQ687" s="16"/>
      <c r="KR687" s="16"/>
      <c r="KS687" s="16"/>
      <c r="KT687" s="16"/>
      <c r="KU687" s="17"/>
      <c r="KY687" s="24"/>
      <c r="KZ687" s="60"/>
      <c r="LA687" s="16"/>
      <c r="LB687" s="16"/>
      <c r="LC687" s="16"/>
      <c r="LD687" s="16"/>
      <c r="LE687" s="16"/>
      <c r="LF687" s="17"/>
      <c r="LJ687" s="24"/>
      <c r="LK687" s="60"/>
      <c r="LL687" s="16"/>
      <c r="LM687" s="16"/>
      <c r="LN687" s="16"/>
      <c r="LO687" s="16"/>
      <c r="LP687" s="16"/>
      <c r="LQ687" s="17"/>
    </row>
    <row r="688">
      <c r="C688" s="31"/>
      <c r="D688" s="61"/>
      <c r="E688" s="16"/>
      <c r="F688" s="16"/>
      <c r="G688" s="21"/>
      <c r="H688" s="16"/>
      <c r="I688" s="16"/>
      <c r="J688" s="17"/>
      <c r="N688" s="17"/>
      <c r="O688" s="61"/>
      <c r="P688" s="16"/>
      <c r="Q688" s="16"/>
      <c r="R688" s="16"/>
      <c r="S688" s="16"/>
      <c r="T688" s="16"/>
      <c r="U688" s="17"/>
      <c r="Y688" s="24"/>
      <c r="Z688" s="61"/>
      <c r="AA688" s="16"/>
      <c r="AB688" s="16"/>
      <c r="AC688" s="16"/>
      <c r="AD688" s="16"/>
      <c r="AE688" s="16"/>
      <c r="AF688" s="17"/>
      <c r="AJ688" s="24"/>
      <c r="AK688" s="61"/>
      <c r="AL688" s="16"/>
      <c r="AM688" s="16"/>
      <c r="AN688" s="16"/>
      <c r="AO688" s="16"/>
      <c r="AP688" s="16"/>
      <c r="AQ688" s="17"/>
      <c r="AU688" s="24"/>
      <c r="AV688" s="61"/>
      <c r="AW688" s="16"/>
      <c r="AX688" s="16"/>
      <c r="AY688" s="16"/>
      <c r="AZ688" s="16"/>
      <c r="BA688" s="16"/>
      <c r="BB688" s="17"/>
      <c r="BF688" s="24"/>
      <c r="BG688" s="61"/>
      <c r="BH688" s="16"/>
      <c r="BI688" s="16"/>
      <c r="BJ688" s="16"/>
      <c r="BK688" s="16"/>
      <c r="BL688" s="16"/>
      <c r="BM688" s="17"/>
      <c r="BQ688" s="24"/>
      <c r="BR688" s="61"/>
      <c r="BS688" s="16"/>
      <c r="BT688" s="16"/>
      <c r="BU688" s="16"/>
      <c r="BV688" s="16"/>
      <c r="BW688" s="16"/>
      <c r="BX688" s="17"/>
      <c r="CB688" s="24"/>
      <c r="CC688" s="61"/>
      <c r="CD688" s="16"/>
      <c r="CE688" s="16"/>
      <c r="CF688" s="16"/>
      <c r="CG688" s="16"/>
      <c r="CH688" s="16"/>
      <c r="CI688" s="17"/>
      <c r="CM688" s="24"/>
      <c r="CN688" s="61"/>
      <c r="CO688" s="16"/>
      <c r="CP688" s="16"/>
      <c r="CQ688" s="16"/>
      <c r="CR688" s="16"/>
      <c r="CS688" s="16"/>
      <c r="CT688" s="17"/>
      <c r="CX688" s="24"/>
      <c r="CY688" s="60"/>
      <c r="CZ688" s="16"/>
      <c r="DA688" s="16"/>
      <c r="DB688" s="16"/>
      <c r="DC688" s="16"/>
      <c r="DD688" s="16"/>
      <c r="DE688" s="17"/>
      <c r="DI688" s="24"/>
      <c r="DJ688" s="60"/>
      <c r="DK688" s="16"/>
      <c r="DL688" s="16"/>
      <c r="DM688" s="16"/>
      <c r="DN688" s="16"/>
      <c r="DO688" s="16"/>
      <c r="DP688" s="17"/>
      <c r="DT688" s="24"/>
      <c r="DU688" s="60"/>
      <c r="DV688" s="16"/>
      <c r="DW688" s="16"/>
      <c r="DX688" s="16"/>
      <c r="DY688" s="16"/>
      <c r="DZ688" s="16"/>
      <c r="EA688" s="17"/>
      <c r="EE688" s="24"/>
      <c r="EF688" s="60"/>
      <c r="EG688" s="16"/>
      <c r="EH688" s="16"/>
      <c r="EI688" s="16"/>
      <c r="EJ688" s="16"/>
      <c r="EK688" s="16"/>
      <c r="EL688" s="17"/>
      <c r="EP688" s="24"/>
      <c r="EQ688" s="60"/>
      <c r="ER688" s="16"/>
      <c r="ES688" s="16"/>
      <c r="ET688" s="16"/>
      <c r="EU688" s="16"/>
      <c r="EV688" s="16"/>
      <c r="EW688" s="17"/>
      <c r="FA688" s="24"/>
      <c r="FB688" s="60"/>
      <c r="FC688" s="16"/>
      <c r="FD688" s="16"/>
      <c r="FE688" s="16"/>
      <c r="FF688" s="16"/>
      <c r="FG688" s="16"/>
      <c r="FH688" s="17"/>
      <c r="FL688" s="24"/>
      <c r="FM688" s="60"/>
      <c r="FN688" s="16"/>
      <c r="FO688" s="16"/>
      <c r="FP688" s="16"/>
      <c r="FQ688" s="16"/>
      <c r="FR688" s="16"/>
      <c r="FS688" s="17"/>
      <c r="FW688" s="24"/>
      <c r="FX688" s="60"/>
      <c r="FY688" s="16"/>
      <c r="FZ688" s="16"/>
      <c r="GA688" s="16"/>
      <c r="GB688" s="16"/>
      <c r="GC688" s="16"/>
      <c r="GD688" s="17"/>
      <c r="GH688" s="24"/>
      <c r="GI688" s="60"/>
      <c r="GJ688" s="16"/>
      <c r="GK688" s="16"/>
      <c r="GL688" s="16"/>
      <c r="GM688" s="16"/>
      <c r="GN688" s="16"/>
      <c r="GO688" s="17"/>
      <c r="GS688" s="24"/>
      <c r="GT688" s="60"/>
      <c r="GU688" s="16"/>
      <c r="GV688" s="16"/>
      <c r="GW688" s="16"/>
      <c r="GX688" s="16"/>
      <c r="GY688" s="16"/>
      <c r="GZ688" s="17"/>
      <c r="HD688" s="24"/>
      <c r="HE688" s="60"/>
      <c r="HF688" s="16"/>
      <c r="HG688" s="16"/>
      <c r="HH688" s="16"/>
      <c r="HI688" s="16"/>
      <c r="HJ688" s="16"/>
      <c r="HK688" s="17"/>
      <c r="HO688" s="24"/>
      <c r="HP688" s="60"/>
      <c r="HQ688" s="16"/>
      <c r="HR688" s="16"/>
      <c r="HS688" s="16"/>
      <c r="HT688" s="16"/>
      <c r="HU688" s="16"/>
      <c r="HV688" s="17"/>
      <c r="HZ688" s="24"/>
      <c r="IA688" s="60"/>
      <c r="IB688" s="16"/>
      <c r="IC688" s="16"/>
      <c r="ID688" s="16"/>
      <c r="IE688" s="16"/>
      <c r="IF688" s="16"/>
      <c r="IG688" s="17"/>
      <c r="IK688" s="24"/>
      <c r="IL688" s="60"/>
      <c r="IM688" s="16"/>
      <c r="IN688" s="16"/>
      <c r="IO688" s="16"/>
      <c r="IP688" s="16"/>
      <c r="IQ688" s="16"/>
      <c r="IR688" s="17"/>
      <c r="IV688" s="24"/>
      <c r="IW688" s="60"/>
      <c r="IX688" s="16"/>
      <c r="IY688" s="16"/>
      <c r="IZ688" s="16"/>
      <c r="JA688" s="16"/>
      <c r="JB688" s="16"/>
      <c r="JC688" s="17"/>
      <c r="JG688" s="24"/>
      <c r="JH688" s="60"/>
      <c r="JI688" s="16"/>
      <c r="JJ688" s="16"/>
      <c r="JK688" s="16"/>
      <c r="JL688" s="16"/>
      <c r="JM688" s="16"/>
      <c r="JN688" s="17"/>
      <c r="JR688" s="24"/>
      <c r="JS688" s="60"/>
      <c r="JT688" s="16"/>
      <c r="JU688" s="16"/>
      <c r="JV688" s="16"/>
      <c r="JW688" s="16"/>
      <c r="JX688" s="16"/>
      <c r="JY688" s="17"/>
      <c r="KC688" s="24"/>
      <c r="KD688" s="60"/>
      <c r="KE688" s="16"/>
      <c r="KF688" s="16"/>
      <c r="KG688" s="16"/>
      <c r="KH688" s="16"/>
      <c r="KI688" s="16"/>
      <c r="KJ688" s="17"/>
      <c r="KN688" s="24"/>
      <c r="KO688" s="60"/>
      <c r="KP688" s="16"/>
      <c r="KQ688" s="16"/>
      <c r="KR688" s="16"/>
      <c r="KS688" s="16"/>
      <c r="KT688" s="16"/>
      <c r="KU688" s="17"/>
      <c r="KY688" s="24"/>
      <c r="KZ688" s="60"/>
      <c r="LA688" s="16"/>
      <c r="LB688" s="16"/>
      <c r="LC688" s="16"/>
      <c r="LD688" s="16"/>
      <c r="LE688" s="16"/>
      <c r="LF688" s="17"/>
      <c r="LJ688" s="24"/>
      <c r="LK688" s="60"/>
      <c r="LL688" s="16"/>
      <c r="LM688" s="16"/>
      <c r="LN688" s="16"/>
      <c r="LO688" s="16"/>
      <c r="LP688" s="16"/>
      <c r="LQ688" s="17"/>
    </row>
    <row r="689">
      <c r="C689" s="31"/>
      <c r="D689" s="61"/>
      <c r="E689" s="16"/>
      <c r="F689" s="16"/>
      <c r="G689" s="21"/>
      <c r="H689" s="16"/>
      <c r="I689" s="16"/>
      <c r="J689" s="17"/>
      <c r="N689" s="17"/>
      <c r="O689" s="61"/>
      <c r="P689" s="16"/>
      <c r="Q689" s="16"/>
      <c r="R689" s="16"/>
      <c r="S689" s="16"/>
      <c r="T689" s="16"/>
      <c r="U689" s="17"/>
      <c r="Y689" s="24"/>
      <c r="Z689" s="61"/>
      <c r="AA689" s="16"/>
      <c r="AB689" s="16"/>
      <c r="AC689" s="16"/>
      <c r="AD689" s="16"/>
      <c r="AE689" s="16"/>
      <c r="AF689" s="17"/>
      <c r="AJ689" s="24"/>
      <c r="AK689" s="61"/>
      <c r="AL689" s="16"/>
      <c r="AM689" s="16"/>
      <c r="AN689" s="16"/>
      <c r="AO689" s="16"/>
      <c r="AP689" s="16"/>
      <c r="AQ689" s="17"/>
      <c r="AU689" s="24"/>
      <c r="AV689" s="61"/>
      <c r="AW689" s="16"/>
      <c r="AX689" s="16"/>
      <c r="AY689" s="16"/>
      <c r="AZ689" s="16"/>
      <c r="BA689" s="16"/>
      <c r="BB689" s="17"/>
      <c r="BF689" s="24"/>
      <c r="BG689" s="61"/>
      <c r="BH689" s="16"/>
      <c r="BI689" s="16"/>
      <c r="BJ689" s="16"/>
      <c r="BK689" s="16"/>
      <c r="BL689" s="16"/>
      <c r="BM689" s="17"/>
      <c r="BQ689" s="24"/>
      <c r="BR689" s="61"/>
      <c r="BS689" s="16"/>
      <c r="BT689" s="16"/>
      <c r="BU689" s="16"/>
      <c r="BV689" s="16"/>
      <c r="BW689" s="16"/>
      <c r="BX689" s="17"/>
      <c r="CB689" s="24"/>
      <c r="CC689" s="61"/>
      <c r="CD689" s="16"/>
      <c r="CE689" s="16"/>
      <c r="CF689" s="16"/>
      <c r="CG689" s="16"/>
      <c r="CH689" s="16"/>
      <c r="CI689" s="17"/>
      <c r="CM689" s="24"/>
      <c r="CN689" s="61"/>
      <c r="CO689" s="16"/>
      <c r="CP689" s="16"/>
      <c r="CQ689" s="16"/>
      <c r="CR689" s="16"/>
      <c r="CS689" s="16"/>
      <c r="CT689" s="17"/>
      <c r="CX689" s="24"/>
      <c r="CY689" s="60"/>
      <c r="CZ689" s="16"/>
      <c r="DA689" s="16"/>
      <c r="DB689" s="16"/>
      <c r="DC689" s="16"/>
      <c r="DD689" s="16"/>
      <c r="DE689" s="17"/>
      <c r="DI689" s="24"/>
      <c r="DJ689" s="60"/>
      <c r="DK689" s="16"/>
      <c r="DL689" s="16"/>
      <c r="DM689" s="16"/>
      <c r="DN689" s="16"/>
      <c r="DO689" s="16"/>
      <c r="DP689" s="17"/>
      <c r="DT689" s="24"/>
      <c r="DU689" s="60"/>
      <c r="DV689" s="16"/>
      <c r="DW689" s="16"/>
      <c r="DX689" s="16"/>
      <c r="DY689" s="16"/>
      <c r="DZ689" s="16"/>
      <c r="EA689" s="17"/>
      <c r="EE689" s="24"/>
      <c r="EF689" s="60"/>
      <c r="EG689" s="16"/>
      <c r="EH689" s="16"/>
      <c r="EI689" s="16"/>
      <c r="EJ689" s="16"/>
      <c r="EK689" s="16"/>
      <c r="EL689" s="17"/>
      <c r="EP689" s="24"/>
      <c r="EQ689" s="60"/>
      <c r="ER689" s="16"/>
      <c r="ES689" s="16"/>
      <c r="ET689" s="16"/>
      <c r="EU689" s="16"/>
      <c r="EV689" s="16"/>
      <c r="EW689" s="17"/>
      <c r="FA689" s="24"/>
      <c r="FB689" s="60"/>
      <c r="FC689" s="16"/>
      <c r="FD689" s="16"/>
      <c r="FE689" s="16"/>
      <c r="FF689" s="16"/>
      <c r="FG689" s="16"/>
      <c r="FH689" s="17"/>
      <c r="FL689" s="24"/>
      <c r="FM689" s="60"/>
      <c r="FN689" s="16"/>
      <c r="FO689" s="16"/>
      <c r="FP689" s="16"/>
      <c r="FQ689" s="16"/>
      <c r="FR689" s="16"/>
      <c r="FS689" s="17"/>
      <c r="FW689" s="24"/>
      <c r="FX689" s="60"/>
      <c r="FY689" s="16"/>
      <c r="FZ689" s="16"/>
      <c r="GA689" s="16"/>
      <c r="GB689" s="16"/>
      <c r="GC689" s="16"/>
      <c r="GD689" s="17"/>
      <c r="GH689" s="24"/>
      <c r="GI689" s="60"/>
      <c r="GJ689" s="16"/>
      <c r="GK689" s="16"/>
      <c r="GL689" s="16"/>
      <c r="GM689" s="16"/>
      <c r="GN689" s="16"/>
      <c r="GO689" s="17"/>
      <c r="GS689" s="24"/>
      <c r="GT689" s="60"/>
      <c r="GU689" s="16"/>
      <c r="GV689" s="16"/>
      <c r="GW689" s="16"/>
      <c r="GX689" s="16"/>
      <c r="GY689" s="16"/>
      <c r="GZ689" s="17"/>
      <c r="HD689" s="24"/>
      <c r="HE689" s="60"/>
      <c r="HF689" s="16"/>
      <c r="HG689" s="16"/>
      <c r="HH689" s="16"/>
      <c r="HI689" s="16"/>
      <c r="HJ689" s="16"/>
      <c r="HK689" s="17"/>
      <c r="HO689" s="24"/>
      <c r="HP689" s="60"/>
      <c r="HQ689" s="16"/>
      <c r="HR689" s="16"/>
      <c r="HS689" s="16"/>
      <c r="HT689" s="16"/>
      <c r="HU689" s="16"/>
      <c r="HV689" s="17"/>
      <c r="HZ689" s="24"/>
      <c r="IA689" s="60"/>
      <c r="IB689" s="16"/>
      <c r="IC689" s="16"/>
      <c r="ID689" s="16"/>
      <c r="IE689" s="16"/>
      <c r="IF689" s="16"/>
      <c r="IG689" s="17"/>
      <c r="IK689" s="24"/>
      <c r="IL689" s="60"/>
      <c r="IM689" s="16"/>
      <c r="IN689" s="16"/>
      <c r="IO689" s="16"/>
      <c r="IP689" s="16"/>
      <c r="IQ689" s="16"/>
      <c r="IR689" s="17"/>
      <c r="IV689" s="24"/>
      <c r="IW689" s="60"/>
      <c r="IX689" s="16"/>
      <c r="IY689" s="16"/>
      <c r="IZ689" s="16"/>
      <c r="JA689" s="16"/>
      <c r="JB689" s="16"/>
      <c r="JC689" s="17"/>
      <c r="JG689" s="24"/>
      <c r="JH689" s="60"/>
      <c r="JI689" s="16"/>
      <c r="JJ689" s="16"/>
      <c r="JK689" s="16"/>
      <c r="JL689" s="16"/>
      <c r="JM689" s="16"/>
      <c r="JN689" s="17"/>
      <c r="JR689" s="24"/>
      <c r="JS689" s="60"/>
      <c r="JT689" s="16"/>
      <c r="JU689" s="16"/>
      <c r="JV689" s="16"/>
      <c r="JW689" s="16"/>
      <c r="JX689" s="16"/>
      <c r="JY689" s="17"/>
      <c r="KC689" s="24"/>
      <c r="KD689" s="60"/>
      <c r="KE689" s="16"/>
      <c r="KF689" s="16"/>
      <c r="KG689" s="16"/>
      <c r="KH689" s="16"/>
      <c r="KI689" s="16"/>
      <c r="KJ689" s="17"/>
      <c r="KN689" s="24"/>
      <c r="KO689" s="60"/>
      <c r="KP689" s="16"/>
      <c r="KQ689" s="16"/>
      <c r="KR689" s="16"/>
      <c r="KS689" s="16"/>
      <c r="KT689" s="16"/>
      <c r="KU689" s="17"/>
      <c r="KY689" s="24"/>
      <c r="KZ689" s="60"/>
      <c r="LA689" s="16"/>
      <c r="LB689" s="16"/>
      <c r="LC689" s="16"/>
      <c r="LD689" s="16"/>
      <c r="LE689" s="16"/>
      <c r="LF689" s="17"/>
      <c r="LJ689" s="24"/>
      <c r="LK689" s="60"/>
      <c r="LL689" s="16"/>
      <c r="LM689" s="16"/>
      <c r="LN689" s="16"/>
      <c r="LO689" s="16"/>
      <c r="LP689" s="16"/>
      <c r="LQ689" s="17"/>
    </row>
    <row r="690">
      <c r="C690" s="31"/>
      <c r="D690" s="61"/>
      <c r="E690" s="16"/>
      <c r="F690" s="16"/>
      <c r="G690" s="21"/>
      <c r="H690" s="16"/>
      <c r="I690" s="16"/>
      <c r="J690" s="17"/>
      <c r="N690" s="17"/>
      <c r="O690" s="61"/>
      <c r="P690" s="16"/>
      <c r="Q690" s="16"/>
      <c r="R690" s="16"/>
      <c r="S690" s="16"/>
      <c r="T690" s="16"/>
      <c r="U690" s="17"/>
      <c r="Y690" s="24"/>
      <c r="Z690" s="61"/>
      <c r="AA690" s="16"/>
      <c r="AB690" s="16"/>
      <c r="AC690" s="16"/>
      <c r="AD690" s="16"/>
      <c r="AE690" s="16"/>
      <c r="AF690" s="17"/>
      <c r="AJ690" s="24"/>
      <c r="AK690" s="61"/>
      <c r="AL690" s="16"/>
      <c r="AM690" s="16"/>
      <c r="AN690" s="16"/>
      <c r="AO690" s="16"/>
      <c r="AP690" s="16"/>
      <c r="AQ690" s="17"/>
      <c r="AU690" s="24"/>
      <c r="AV690" s="61"/>
      <c r="AW690" s="16"/>
      <c r="AX690" s="16"/>
      <c r="AY690" s="16"/>
      <c r="AZ690" s="16"/>
      <c r="BA690" s="16"/>
      <c r="BB690" s="17"/>
      <c r="BF690" s="24"/>
      <c r="BG690" s="61"/>
      <c r="BH690" s="16"/>
      <c r="BI690" s="16"/>
      <c r="BJ690" s="16"/>
      <c r="BK690" s="16"/>
      <c r="BL690" s="16"/>
      <c r="BM690" s="17"/>
      <c r="BQ690" s="24"/>
      <c r="BR690" s="61"/>
      <c r="BS690" s="16"/>
      <c r="BT690" s="16"/>
      <c r="BU690" s="16"/>
      <c r="BV690" s="16"/>
      <c r="BW690" s="16"/>
      <c r="BX690" s="17"/>
      <c r="CB690" s="24"/>
      <c r="CC690" s="61"/>
      <c r="CD690" s="16"/>
      <c r="CE690" s="16"/>
      <c r="CF690" s="16"/>
      <c r="CG690" s="16"/>
      <c r="CH690" s="16"/>
      <c r="CI690" s="17"/>
      <c r="CM690" s="24"/>
      <c r="CN690" s="61"/>
      <c r="CO690" s="16"/>
      <c r="CP690" s="16"/>
      <c r="CQ690" s="16"/>
      <c r="CR690" s="16"/>
      <c r="CS690" s="16"/>
      <c r="CT690" s="17"/>
      <c r="CX690" s="24"/>
      <c r="CY690" s="60"/>
      <c r="CZ690" s="16"/>
      <c r="DA690" s="16"/>
      <c r="DB690" s="16"/>
      <c r="DC690" s="16"/>
      <c r="DD690" s="16"/>
      <c r="DE690" s="17"/>
      <c r="DI690" s="24"/>
      <c r="DJ690" s="60"/>
      <c r="DK690" s="16"/>
      <c r="DL690" s="16"/>
      <c r="DM690" s="16"/>
      <c r="DN690" s="16"/>
      <c r="DO690" s="16"/>
      <c r="DP690" s="17"/>
      <c r="DT690" s="24"/>
      <c r="DU690" s="60"/>
      <c r="DV690" s="16"/>
      <c r="DW690" s="16"/>
      <c r="DX690" s="16"/>
      <c r="DY690" s="16"/>
      <c r="DZ690" s="16"/>
      <c r="EA690" s="17"/>
      <c r="EE690" s="24"/>
      <c r="EF690" s="60"/>
      <c r="EG690" s="16"/>
      <c r="EH690" s="16"/>
      <c r="EI690" s="16"/>
      <c r="EJ690" s="16"/>
      <c r="EK690" s="16"/>
      <c r="EL690" s="17"/>
      <c r="EP690" s="24"/>
      <c r="EQ690" s="60"/>
      <c r="ER690" s="16"/>
      <c r="ES690" s="16"/>
      <c r="ET690" s="16"/>
      <c r="EU690" s="16"/>
      <c r="EV690" s="16"/>
      <c r="EW690" s="17"/>
      <c r="FA690" s="24"/>
      <c r="FB690" s="60"/>
      <c r="FC690" s="16"/>
      <c r="FD690" s="16"/>
      <c r="FE690" s="16"/>
      <c r="FF690" s="16"/>
      <c r="FG690" s="16"/>
      <c r="FH690" s="17"/>
      <c r="FL690" s="24"/>
      <c r="FM690" s="60"/>
      <c r="FN690" s="16"/>
      <c r="FO690" s="16"/>
      <c r="FP690" s="16"/>
      <c r="FQ690" s="16"/>
      <c r="FR690" s="16"/>
      <c r="FS690" s="17"/>
      <c r="FW690" s="24"/>
      <c r="FX690" s="60"/>
      <c r="FY690" s="16"/>
      <c r="FZ690" s="16"/>
      <c r="GA690" s="16"/>
      <c r="GB690" s="16"/>
      <c r="GC690" s="16"/>
      <c r="GD690" s="17"/>
      <c r="GH690" s="24"/>
      <c r="GI690" s="60"/>
      <c r="GJ690" s="16"/>
      <c r="GK690" s="16"/>
      <c r="GL690" s="16"/>
      <c r="GM690" s="16"/>
      <c r="GN690" s="16"/>
      <c r="GO690" s="17"/>
      <c r="GS690" s="24"/>
      <c r="GT690" s="60"/>
      <c r="GU690" s="16"/>
      <c r="GV690" s="16"/>
      <c r="GW690" s="16"/>
      <c r="GX690" s="16"/>
      <c r="GY690" s="16"/>
      <c r="GZ690" s="17"/>
      <c r="HD690" s="24"/>
      <c r="HE690" s="60"/>
      <c r="HF690" s="16"/>
      <c r="HG690" s="16"/>
      <c r="HH690" s="16"/>
      <c r="HI690" s="16"/>
      <c r="HJ690" s="16"/>
      <c r="HK690" s="17"/>
      <c r="HO690" s="24"/>
      <c r="HP690" s="60"/>
      <c r="HQ690" s="16"/>
      <c r="HR690" s="16"/>
      <c r="HS690" s="16"/>
      <c r="HT690" s="16"/>
      <c r="HU690" s="16"/>
      <c r="HV690" s="17"/>
      <c r="HZ690" s="24"/>
      <c r="IA690" s="60"/>
      <c r="IB690" s="16"/>
      <c r="IC690" s="16"/>
      <c r="ID690" s="16"/>
      <c r="IE690" s="16"/>
      <c r="IF690" s="16"/>
      <c r="IG690" s="17"/>
      <c r="IK690" s="24"/>
      <c r="IL690" s="60"/>
      <c r="IM690" s="16"/>
      <c r="IN690" s="16"/>
      <c r="IO690" s="16"/>
      <c r="IP690" s="16"/>
      <c r="IQ690" s="16"/>
      <c r="IR690" s="17"/>
      <c r="IV690" s="24"/>
      <c r="IW690" s="60"/>
      <c r="IX690" s="16"/>
      <c r="IY690" s="16"/>
      <c r="IZ690" s="16"/>
      <c r="JA690" s="16"/>
      <c r="JB690" s="16"/>
      <c r="JC690" s="17"/>
      <c r="JG690" s="24"/>
      <c r="JH690" s="60"/>
      <c r="JI690" s="16"/>
      <c r="JJ690" s="16"/>
      <c r="JK690" s="16"/>
      <c r="JL690" s="16"/>
      <c r="JM690" s="16"/>
      <c r="JN690" s="17"/>
      <c r="JR690" s="24"/>
      <c r="JS690" s="60"/>
      <c r="JT690" s="16"/>
      <c r="JU690" s="16"/>
      <c r="JV690" s="16"/>
      <c r="JW690" s="16"/>
      <c r="JX690" s="16"/>
      <c r="JY690" s="17"/>
      <c r="KC690" s="24"/>
      <c r="KD690" s="60"/>
      <c r="KE690" s="16"/>
      <c r="KF690" s="16"/>
      <c r="KG690" s="16"/>
      <c r="KH690" s="16"/>
      <c r="KI690" s="16"/>
      <c r="KJ690" s="17"/>
      <c r="KN690" s="24"/>
      <c r="KO690" s="60"/>
      <c r="KP690" s="16"/>
      <c r="KQ690" s="16"/>
      <c r="KR690" s="16"/>
      <c r="KS690" s="16"/>
      <c r="KT690" s="16"/>
      <c r="KU690" s="17"/>
      <c r="KY690" s="24"/>
      <c r="KZ690" s="60"/>
      <c r="LA690" s="16"/>
      <c r="LB690" s="16"/>
      <c r="LC690" s="16"/>
      <c r="LD690" s="16"/>
      <c r="LE690" s="16"/>
      <c r="LF690" s="17"/>
      <c r="LJ690" s="24"/>
      <c r="LK690" s="60"/>
      <c r="LL690" s="16"/>
      <c r="LM690" s="16"/>
      <c r="LN690" s="16"/>
      <c r="LO690" s="16"/>
      <c r="LP690" s="16"/>
      <c r="LQ690" s="17"/>
    </row>
    <row r="691">
      <c r="C691" s="31"/>
      <c r="D691" s="61"/>
      <c r="E691" s="16"/>
      <c r="F691" s="16"/>
      <c r="G691" s="21"/>
      <c r="H691" s="16"/>
      <c r="I691" s="16"/>
      <c r="J691" s="17"/>
      <c r="N691" s="17"/>
      <c r="O691" s="61"/>
      <c r="P691" s="16"/>
      <c r="Q691" s="16"/>
      <c r="R691" s="16"/>
      <c r="S691" s="16"/>
      <c r="T691" s="16"/>
      <c r="U691" s="17"/>
      <c r="Y691" s="24"/>
      <c r="Z691" s="61"/>
      <c r="AA691" s="16"/>
      <c r="AB691" s="16"/>
      <c r="AC691" s="16"/>
      <c r="AD691" s="16"/>
      <c r="AE691" s="16"/>
      <c r="AF691" s="17"/>
      <c r="AJ691" s="24"/>
      <c r="AK691" s="61"/>
      <c r="AL691" s="16"/>
      <c r="AM691" s="16"/>
      <c r="AN691" s="16"/>
      <c r="AO691" s="16"/>
      <c r="AP691" s="16"/>
      <c r="AQ691" s="17"/>
      <c r="AU691" s="24"/>
      <c r="AV691" s="61"/>
      <c r="AW691" s="16"/>
      <c r="AX691" s="16"/>
      <c r="AY691" s="16"/>
      <c r="AZ691" s="16"/>
      <c r="BA691" s="16"/>
      <c r="BB691" s="17"/>
      <c r="BF691" s="24"/>
      <c r="BG691" s="61"/>
      <c r="BH691" s="16"/>
      <c r="BI691" s="16"/>
      <c r="BJ691" s="16"/>
      <c r="BK691" s="16"/>
      <c r="BL691" s="16"/>
      <c r="BM691" s="17"/>
      <c r="BQ691" s="24"/>
      <c r="BR691" s="61"/>
      <c r="BS691" s="16"/>
      <c r="BT691" s="16"/>
      <c r="BU691" s="16"/>
      <c r="BV691" s="16"/>
      <c r="BW691" s="16"/>
      <c r="BX691" s="17"/>
      <c r="CB691" s="24"/>
      <c r="CC691" s="61"/>
      <c r="CD691" s="16"/>
      <c r="CE691" s="16"/>
      <c r="CF691" s="16"/>
      <c r="CG691" s="16"/>
      <c r="CH691" s="16"/>
      <c r="CI691" s="17"/>
      <c r="CM691" s="24"/>
      <c r="CN691" s="61"/>
      <c r="CO691" s="16"/>
      <c r="CP691" s="16"/>
      <c r="CQ691" s="16"/>
      <c r="CR691" s="16"/>
      <c r="CS691" s="16"/>
      <c r="CT691" s="17"/>
      <c r="CX691" s="24"/>
      <c r="CY691" s="60"/>
      <c r="CZ691" s="16"/>
      <c r="DA691" s="16"/>
      <c r="DB691" s="16"/>
      <c r="DC691" s="16"/>
      <c r="DD691" s="16"/>
      <c r="DE691" s="17"/>
      <c r="DI691" s="24"/>
      <c r="DJ691" s="60"/>
      <c r="DK691" s="16"/>
      <c r="DL691" s="16"/>
      <c r="DM691" s="16"/>
      <c r="DN691" s="16"/>
      <c r="DO691" s="16"/>
      <c r="DP691" s="17"/>
      <c r="DT691" s="24"/>
      <c r="DU691" s="60"/>
      <c r="DV691" s="16"/>
      <c r="DW691" s="16"/>
      <c r="DX691" s="16"/>
      <c r="DY691" s="16"/>
      <c r="DZ691" s="16"/>
      <c r="EA691" s="17"/>
      <c r="EE691" s="24"/>
      <c r="EF691" s="60"/>
      <c r="EG691" s="16"/>
      <c r="EH691" s="16"/>
      <c r="EI691" s="16"/>
      <c r="EJ691" s="16"/>
      <c r="EK691" s="16"/>
      <c r="EL691" s="17"/>
      <c r="EP691" s="24"/>
      <c r="EQ691" s="60"/>
      <c r="ER691" s="16"/>
      <c r="ES691" s="16"/>
      <c r="ET691" s="16"/>
      <c r="EU691" s="16"/>
      <c r="EV691" s="16"/>
      <c r="EW691" s="17"/>
      <c r="FA691" s="24"/>
      <c r="FB691" s="60"/>
      <c r="FC691" s="16"/>
      <c r="FD691" s="16"/>
      <c r="FE691" s="16"/>
      <c r="FF691" s="16"/>
      <c r="FG691" s="16"/>
      <c r="FH691" s="17"/>
      <c r="FL691" s="24"/>
      <c r="FM691" s="60"/>
      <c r="FN691" s="16"/>
      <c r="FO691" s="16"/>
      <c r="FP691" s="16"/>
      <c r="FQ691" s="16"/>
      <c r="FR691" s="16"/>
      <c r="FS691" s="17"/>
      <c r="FW691" s="24"/>
      <c r="FX691" s="60"/>
      <c r="FY691" s="16"/>
      <c r="FZ691" s="16"/>
      <c r="GA691" s="16"/>
      <c r="GB691" s="16"/>
      <c r="GC691" s="16"/>
      <c r="GD691" s="17"/>
      <c r="GH691" s="24"/>
      <c r="GI691" s="60"/>
      <c r="GJ691" s="16"/>
      <c r="GK691" s="16"/>
      <c r="GL691" s="16"/>
      <c r="GM691" s="16"/>
      <c r="GN691" s="16"/>
      <c r="GO691" s="17"/>
      <c r="GS691" s="24"/>
      <c r="GT691" s="60"/>
      <c r="GU691" s="16"/>
      <c r="GV691" s="16"/>
      <c r="GW691" s="16"/>
      <c r="GX691" s="16"/>
      <c r="GY691" s="16"/>
      <c r="GZ691" s="17"/>
      <c r="HD691" s="24"/>
      <c r="HE691" s="60"/>
      <c r="HF691" s="16"/>
      <c r="HG691" s="16"/>
      <c r="HH691" s="16"/>
      <c r="HI691" s="16"/>
      <c r="HJ691" s="16"/>
      <c r="HK691" s="17"/>
      <c r="HO691" s="24"/>
      <c r="HP691" s="60"/>
      <c r="HQ691" s="16"/>
      <c r="HR691" s="16"/>
      <c r="HS691" s="16"/>
      <c r="HT691" s="16"/>
      <c r="HU691" s="16"/>
      <c r="HV691" s="17"/>
      <c r="HZ691" s="24"/>
      <c r="IA691" s="60"/>
      <c r="IB691" s="16"/>
      <c r="IC691" s="16"/>
      <c r="ID691" s="16"/>
      <c r="IE691" s="16"/>
      <c r="IF691" s="16"/>
      <c r="IG691" s="17"/>
      <c r="IK691" s="24"/>
      <c r="IL691" s="60"/>
      <c r="IM691" s="16"/>
      <c r="IN691" s="16"/>
      <c r="IO691" s="16"/>
      <c r="IP691" s="16"/>
      <c r="IQ691" s="16"/>
      <c r="IR691" s="17"/>
      <c r="IV691" s="24"/>
      <c r="IW691" s="60"/>
      <c r="IX691" s="16"/>
      <c r="IY691" s="16"/>
      <c r="IZ691" s="16"/>
      <c r="JA691" s="16"/>
      <c r="JB691" s="16"/>
      <c r="JC691" s="17"/>
      <c r="JG691" s="24"/>
      <c r="JH691" s="60"/>
      <c r="JI691" s="16"/>
      <c r="JJ691" s="16"/>
      <c r="JK691" s="16"/>
      <c r="JL691" s="16"/>
      <c r="JM691" s="16"/>
      <c r="JN691" s="17"/>
      <c r="JR691" s="24"/>
      <c r="JS691" s="60"/>
      <c r="JT691" s="16"/>
      <c r="JU691" s="16"/>
      <c r="JV691" s="16"/>
      <c r="JW691" s="16"/>
      <c r="JX691" s="16"/>
      <c r="JY691" s="17"/>
      <c r="KC691" s="24"/>
      <c r="KD691" s="60"/>
      <c r="KE691" s="16"/>
      <c r="KF691" s="16"/>
      <c r="KG691" s="16"/>
      <c r="KH691" s="16"/>
      <c r="KI691" s="16"/>
      <c r="KJ691" s="17"/>
      <c r="KN691" s="24"/>
      <c r="KO691" s="60"/>
      <c r="KP691" s="16"/>
      <c r="KQ691" s="16"/>
      <c r="KR691" s="16"/>
      <c r="KS691" s="16"/>
      <c r="KT691" s="16"/>
      <c r="KU691" s="17"/>
      <c r="KY691" s="24"/>
      <c r="KZ691" s="60"/>
      <c r="LA691" s="16"/>
      <c r="LB691" s="16"/>
      <c r="LC691" s="16"/>
      <c r="LD691" s="16"/>
      <c r="LE691" s="16"/>
      <c r="LF691" s="17"/>
      <c r="LJ691" s="24"/>
      <c r="LK691" s="60"/>
      <c r="LL691" s="16"/>
      <c r="LM691" s="16"/>
      <c r="LN691" s="16"/>
      <c r="LO691" s="16"/>
      <c r="LP691" s="16"/>
      <c r="LQ691" s="17"/>
    </row>
    <row r="692">
      <c r="C692" s="31"/>
      <c r="D692" s="61"/>
      <c r="E692" s="16"/>
      <c r="F692" s="16"/>
      <c r="G692" s="21"/>
      <c r="H692" s="16"/>
      <c r="I692" s="16"/>
      <c r="J692" s="17"/>
      <c r="N692" s="17"/>
      <c r="O692" s="61"/>
      <c r="P692" s="16"/>
      <c r="Q692" s="16"/>
      <c r="R692" s="16"/>
      <c r="S692" s="16"/>
      <c r="T692" s="16"/>
      <c r="U692" s="17"/>
      <c r="Y692" s="24"/>
      <c r="Z692" s="61"/>
      <c r="AA692" s="16"/>
      <c r="AB692" s="16"/>
      <c r="AC692" s="16"/>
      <c r="AD692" s="16"/>
      <c r="AE692" s="16"/>
      <c r="AF692" s="17"/>
      <c r="AJ692" s="24"/>
      <c r="AK692" s="61"/>
      <c r="AL692" s="16"/>
      <c r="AM692" s="16"/>
      <c r="AN692" s="16"/>
      <c r="AO692" s="16"/>
      <c r="AP692" s="16"/>
      <c r="AQ692" s="17"/>
      <c r="AU692" s="24"/>
      <c r="AV692" s="61"/>
      <c r="AW692" s="16"/>
      <c r="AX692" s="16"/>
      <c r="AY692" s="16"/>
      <c r="AZ692" s="16"/>
      <c r="BA692" s="16"/>
      <c r="BB692" s="17"/>
      <c r="BF692" s="24"/>
      <c r="BG692" s="61"/>
      <c r="BH692" s="16"/>
      <c r="BI692" s="16"/>
      <c r="BJ692" s="16"/>
      <c r="BK692" s="16"/>
      <c r="BL692" s="16"/>
      <c r="BM692" s="17"/>
      <c r="BQ692" s="24"/>
      <c r="BR692" s="61"/>
      <c r="BS692" s="16"/>
      <c r="BT692" s="16"/>
      <c r="BU692" s="16"/>
      <c r="BV692" s="16"/>
      <c r="BW692" s="16"/>
      <c r="BX692" s="17"/>
      <c r="CB692" s="24"/>
      <c r="CC692" s="61"/>
      <c r="CD692" s="16"/>
      <c r="CE692" s="16"/>
      <c r="CF692" s="16"/>
      <c r="CG692" s="16"/>
      <c r="CH692" s="16"/>
      <c r="CI692" s="17"/>
      <c r="CM692" s="24"/>
      <c r="CN692" s="61"/>
      <c r="CO692" s="16"/>
      <c r="CP692" s="16"/>
      <c r="CQ692" s="16"/>
      <c r="CR692" s="16"/>
      <c r="CS692" s="16"/>
      <c r="CT692" s="17"/>
      <c r="CX692" s="24"/>
      <c r="CY692" s="60"/>
      <c r="CZ692" s="16"/>
      <c r="DA692" s="16"/>
      <c r="DB692" s="16"/>
      <c r="DC692" s="16"/>
      <c r="DD692" s="16"/>
      <c r="DE692" s="17"/>
      <c r="DI692" s="24"/>
      <c r="DJ692" s="60"/>
      <c r="DK692" s="16"/>
      <c r="DL692" s="16"/>
      <c r="DM692" s="16"/>
      <c r="DN692" s="16"/>
      <c r="DO692" s="16"/>
      <c r="DP692" s="17"/>
      <c r="DT692" s="24"/>
      <c r="DU692" s="60"/>
      <c r="DV692" s="16"/>
      <c r="DW692" s="16"/>
      <c r="DX692" s="16"/>
      <c r="DY692" s="16"/>
      <c r="DZ692" s="16"/>
      <c r="EA692" s="17"/>
      <c r="EE692" s="24"/>
      <c r="EF692" s="60"/>
      <c r="EG692" s="16"/>
      <c r="EH692" s="16"/>
      <c r="EI692" s="16"/>
      <c r="EJ692" s="16"/>
      <c r="EK692" s="16"/>
      <c r="EL692" s="17"/>
      <c r="EP692" s="24"/>
      <c r="EQ692" s="60"/>
      <c r="ER692" s="16"/>
      <c r="ES692" s="16"/>
      <c r="ET692" s="16"/>
      <c r="EU692" s="16"/>
      <c r="EV692" s="16"/>
      <c r="EW692" s="17"/>
      <c r="FA692" s="24"/>
      <c r="FB692" s="60"/>
      <c r="FC692" s="16"/>
      <c r="FD692" s="16"/>
      <c r="FE692" s="16"/>
      <c r="FF692" s="16"/>
      <c r="FG692" s="16"/>
      <c r="FH692" s="17"/>
      <c r="FL692" s="24"/>
      <c r="FM692" s="60"/>
      <c r="FN692" s="16"/>
      <c r="FO692" s="16"/>
      <c r="FP692" s="16"/>
      <c r="FQ692" s="16"/>
      <c r="FR692" s="16"/>
      <c r="FS692" s="17"/>
      <c r="FW692" s="24"/>
      <c r="FX692" s="60"/>
      <c r="FY692" s="16"/>
      <c r="FZ692" s="16"/>
      <c r="GA692" s="16"/>
      <c r="GB692" s="16"/>
      <c r="GC692" s="16"/>
      <c r="GD692" s="17"/>
      <c r="GH692" s="24"/>
      <c r="GI692" s="60"/>
      <c r="GJ692" s="16"/>
      <c r="GK692" s="16"/>
      <c r="GL692" s="16"/>
      <c r="GM692" s="16"/>
      <c r="GN692" s="16"/>
      <c r="GO692" s="17"/>
      <c r="GS692" s="24"/>
      <c r="GT692" s="60"/>
      <c r="GU692" s="16"/>
      <c r="GV692" s="16"/>
      <c r="GW692" s="16"/>
      <c r="GX692" s="16"/>
      <c r="GY692" s="16"/>
      <c r="GZ692" s="17"/>
      <c r="HD692" s="24"/>
      <c r="HE692" s="60"/>
      <c r="HF692" s="16"/>
      <c r="HG692" s="16"/>
      <c r="HH692" s="16"/>
      <c r="HI692" s="16"/>
      <c r="HJ692" s="16"/>
      <c r="HK692" s="17"/>
      <c r="HO692" s="24"/>
      <c r="HP692" s="60"/>
      <c r="HQ692" s="16"/>
      <c r="HR692" s="16"/>
      <c r="HS692" s="16"/>
      <c r="HT692" s="16"/>
      <c r="HU692" s="16"/>
      <c r="HV692" s="17"/>
      <c r="HZ692" s="24"/>
      <c r="IA692" s="60"/>
      <c r="IB692" s="16"/>
      <c r="IC692" s="16"/>
      <c r="ID692" s="16"/>
      <c r="IE692" s="16"/>
      <c r="IF692" s="16"/>
      <c r="IG692" s="17"/>
      <c r="IK692" s="24"/>
      <c r="IL692" s="60"/>
      <c r="IM692" s="16"/>
      <c r="IN692" s="16"/>
      <c r="IO692" s="16"/>
      <c r="IP692" s="16"/>
      <c r="IQ692" s="16"/>
      <c r="IR692" s="17"/>
      <c r="IV692" s="24"/>
      <c r="IW692" s="60"/>
      <c r="IX692" s="16"/>
      <c r="IY692" s="16"/>
      <c r="IZ692" s="16"/>
      <c r="JA692" s="16"/>
      <c r="JB692" s="16"/>
      <c r="JC692" s="17"/>
      <c r="JG692" s="24"/>
      <c r="JH692" s="60"/>
      <c r="JI692" s="16"/>
      <c r="JJ692" s="16"/>
      <c r="JK692" s="16"/>
      <c r="JL692" s="16"/>
      <c r="JM692" s="16"/>
      <c r="JN692" s="17"/>
      <c r="JR692" s="24"/>
      <c r="JS692" s="60"/>
      <c r="JT692" s="16"/>
      <c r="JU692" s="16"/>
      <c r="JV692" s="16"/>
      <c r="JW692" s="16"/>
      <c r="JX692" s="16"/>
      <c r="JY692" s="17"/>
      <c r="KC692" s="24"/>
      <c r="KD692" s="60"/>
      <c r="KE692" s="16"/>
      <c r="KF692" s="16"/>
      <c r="KG692" s="16"/>
      <c r="KH692" s="16"/>
      <c r="KI692" s="16"/>
      <c r="KJ692" s="17"/>
      <c r="KN692" s="24"/>
      <c r="KO692" s="60"/>
      <c r="KP692" s="16"/>
      <c r="KQ692" s="16"/>
      <c r="KR692" s="16"/>
      <c r="KS692" s="16"/>
      <c r="KT692" s="16"/>
      <c r="KU692" s="17"/>
      <c r="KY692" s="24"/>
      <c r="KZ692" s="60"/>
      <c r="LA692" s="16"/>
      <c r="LB692" s="16"/>
      <c r="LC692" s="16"/>
      <c r="LD692" s="16"/>
      <c r="LE692" s="16"/>
      <c r="LF692" s="17"/>
      <c r="LJ692" s="24"/>
      <c r="LK692" s="60"/>
      <c r="LL692" s="16"/>
      <c r="LM692" s="16"/>
      <c r="LN692" s="16"/>
      <c r="LO692" s="16"/>
      <c r="LP692" s="16"/>
      <c r="LQ692" s="17"/>
    </row>
    <row r="693">
      <c r="C693" s="31"/>
      <c r="D693" s="61"/>
      <c r="E693" s="16"/>
      <c r="F693" s="16"/>
      <c r="G693" s="21"/>
      <c r="H693" s="16"/>
      <c r="I693" s="16"/>
      <c r="J693" s="17"/>
      <c r="N693" s="17"/>
      <c r="O693" s="61"/>
      <c r="P693" s="16"/>
      <c r="Q693" s="16"/>
      <c r="R693" s="16"/>
      <c r="S693" s="16"/>
      <c r="T693" s="16"/>
      <c r="U693" s="17"/>
      <c r="Y693" s="24"/>
      <c r="Z693" s="61"/>
      <c r="AA693" s="16"/>
      <c r="AB693" s="16"/>
      <c r="AC693" s="16"/>
      <c r="AD693" s="16"/>
      <c r="AE693" s="16"/>
      <c r="AF693" s="17"/>
      <c r="AJ693" s="24"/>
      <c r="AK693" s="61"/>
      <c r="AL693" s="16"/>
      <c r="AM693" s="16"/>
      <c r="AN693" s="16"/>
      <c r="AO693" s="16"/>
      <c r="AP693" s="16"/>
      <c r="AQ693" s="17"/>
      <c r="AU693" s="24"/>
      <c r="AV693" s="61"/>
      <c r="AW693" s="16"/>
      <c r="AX693" s="16"/>
      <c r="AY693" s="16"/>
      <c r="AZ693" s="16"/>
      <c r="BA693" s="16"/>
      <c r="BB693" s="17"/>
      <c r="BF693" s="24"/>
      <c r="BG693" s="61"/>
      <c r="BH693" s="16"/>
      <c r="BI693" s="16"/>
      <c r="BJ693" s="16"/>
      <c r="BK693" s="16"/>
      <c r="BL693" s="16"/>
      <c r="BM693" s="17"/>
      <c r="BQ693" s="24"/>
      <c r="BR693" s="61"/>
      <c r="BS693" s="16"/>
      <c r="BT693" s="16"/>
      <c r="BU693" s="16"/>
      <c r="BV693" s="16"/>
      <c r="BW693" s="16"/>
      <c r="BX693" s="17"/>
      <c r="CB693" s="24"/>
      <c r="CC693" s="61"/>
      <c r="CD693" s="16"/>
      <c r="CE693" s="16"/>
      <c r="CF693" s="16"/>
      <c r="CG693" s="16"/>
      <c r="CH693" s="16"/>
      <c r="CI693" s="17"/>
      <c r="CM693" s="24"/>
      <c r="CN693" s="61"/>
      <c r="CO693" s="16"/>
      <c r="CP693" s="16"/>
      <c r="CQ693" s="16"/>
      <c r="CR693" s="16"/>
      <c r="CS693" s="16"/>
      <c r="CT693" s="17"/>
      <c r="CX693" s="24"/>
      <c r="CY693" s="60"/>
      <c r="CZ693" s="16"/>
      <c r="DA693" s="16"/>
      <c r="DB693" s="16"/>
      <c r="DC693" s="16"/>
      <c r="DD693" s="16"/>
      <c r="DE693" s="17"/>
      <c r="DI693" s="24"/>
      <c r="DJ693" s="60"/>
      <c r="DK693" s="16"/>
      <c r="DL693" s="16"/>
      <c r="DM693" s="16"/>
      <c r="DN693" s="16"/>
      <c r="DO693" s="16"/>
      <c r="DP693" s="17"/>
      <c r="DT693" s="24"/>
      <c r="DU693" s="60"/>
      <c r="DV693" s="16"/>
      <c r="DW693" s="16"/>
      <c r="DX693" s="16"/>
      <c r="DY693" s="16"/>
      <c r="DZ693" s="16"/>
      <c r="EA693" s="17"/>
      <c r="EE693" s="24"/>
      <c r="EF693" s="60"/>
      <c r="EG693" s="16"/>
      <c r="EH693" s="16"/>
      <c r="EI693" s="16"/>
      <c r="EJ693" s="16"/>
      <c r="EK693" s="16"/>
      <c r="EL693" s="17"/>
      <c r="EP693" s="24"/>
      <c r="EQ693" s="60"/>
      <c r="ER693" s="16"/>
      <c r="ES693" s="16"/>
      <c r="ET693" s="16"/>
      <c r="EU693" s="16"/>
      <c r="EV693" s="16"/>
      <c r="EW693" s="17"/>
      <c r="FA693" s="24"/>
      <c r="FB693" s="60"/>
      <c r="FC693" s="16"/>
      <c r="FD693" s="16"/>
      <c r="FE693" s="16"/>
      <c r="FF693" s="16"/>
      <c r="FG693" s="16"/>
      <c r="FH693" s="17"/>
      <c r="FL693" s="24"/>
      <c r="FM693" s="60"/>
      <c r="FN693" s="16"/>
      <c r="FO693" s="16"/>
      <c r="FP693" s="16"/>
      <c r="FQ693" s="16"/>
      <c r="FR693" s="16"/>
      <c r="FS693" s="17"/>
      <c r="FW693" s="24"/>
      <c r="FX693" s="60"/>
      <c r="FY693" s="16"/>
      <c r="FZ693" s="16"/>
      <c r="GA693" s="16"/>
      <c r="GB693" s="16"/>
      <c r="GC693" s="16"/>
      <c r="GD693" s="17"/>
      <c r="GH693" s="24"/>
      <c r="GI693" s="60"/>
      <c r="GJ693" s="16"/>
      <c r="GK693" s="16"/>
      <c r="GL693" s="16"/>
      <c r="GM693" s="16"/>
      <c r="GN693" s="16"/>
      <c r="GO693" s="17"/>
      <c r="GS693" s="24"/>
      <c r="GT693" s="60"/>
      <c r="GU693" s="16"/>
      <c r="GV693" s="16"/>
      <c r="GW693" s="16"/>
      <c r="GX693" s="16"/>
      <c r="GY693" s="16"/>
      <c r="GZ693" s="17"/>
      <c r="HD693" s="24"/>
      <c r="HE693" s="60"/>
      <c r="HF693" s="16"/>
      <c r="HG693" s="16"/>
      <c r="HH693" s="16"/>
      <c r="HI693" s="16"/>
      <c r="HJ693" s="16"/>
      <c r="HK693" s="17"/>
      <c r="HO693" s="24"/>
      <c r="HP693" s="60"/>
      <c r="HQ693" s="16"/>
      <c r="HR693" s="16"/>
      <c r="HS693" s="16"/>
      <c r="HT693" s="16"/>
      <c r="HU693" s="16"/>
      <c r="HV693" s="17"/>
      <c r="HZ693" s="24"/>
      <c r="IA693" s="60"/>
      <c r="IB693" s="16"/>
      <c r="IC693" s="16"/>
      <c r="ID693" s="16"/>
      <c r="IE693" s="16"/>
      <c r="IF693" s="16"/>
      <c r="IG693" s="17"/>
      <c r="IK693" s="24"/>
      <c r="IL693" s="60"/>
      <c r="IM693" s="16"/>
      <c r="IN693" s="16"/>
      <c r="IO693" s="16"/>
      <c r="IP693" s="16"/>
      <c r="IQ693" s="16"/>
      <c r="IR693" s="17"/>
      <c r="IV693" s="24"/>
      <c r="IW693" s="60"/>
      <c r="IX693" s="16"/>
      <c r="IY693" s="16"/>
      <c r="IZ693" s="16"/>
      <c r="JA693" s="16"/>
      <c r="JB693" s="16"/>
      <c r="JC693" s="17"/>
      <c r="JG693" s="24"/>
      <c r="JH693" s="60"/>
      <c r="JI693" s="16"/>
      <c r="JJ693" s="16"/>
      <c r="JK693" s="16"/>
      <c r="JL693" s="16"/>
      <c r="JM693" s="16"/>
      <c r="JN693" s="17"/>
      <c r="JR693" s="24"/>
      <c r="JS693" s="60"/>
      <c r="JT693" s="16"/>
      <c r="JU693" s="16"/>
      <c r="JV693" s="16"/>
      <c r="JW693" s="16"/>
      <c r="JX693" s="16"/>
      <c r="JY693" s="17"/>
      <c r="KC693" s="24"/>
      <c r="KD693" s="60"/>
      <c r="KE693" s="16"/>
      <c r="KF693" s="16"/>
      <c r="KG693" s="16"/>
      <c r="KH693" s="16"/>
      <c r="KI693" s="16"/>
      <c r="KJ693" s="17"/>
      <c r="KN693" s="24"/>
      <c r="KO693" s="60"/>
      <c r="KP693" s="16"/>
      <c r="KQ693" s="16"/>
      <c r="KR693" s="16"/>
      <c r="KS693" s="16"/>
      <c r="KT693" s="16"/>
      <c r="KU693" s="17"/>
      <c r="KY693" s="24"/>
      <c r="KZ693" s="60"/>
      <c r="LA693" s="16"/>
      <c r="LB693" s="16"/>
      <c r="LC693" s="16"/>
      <c r="LD693" s="16"/>
      <c r="LE693" s="16"/>
      <c r="LF693" s="17"/>
      <c r="LJ693" s="24"/>
      <c r="LK693" s="60"/>
      <c r="LL693" s="16"/>
      <c r="LM693" s="16"/>
      <c r="LN693" s="16"/>
      <c r="LO693" s="16"/>
      <c r="LP693" s="16"/>
      <c r="LQ693" s="17"/>
    </row>
    <row r="694">
      <c r="C694" s="31"/>
      <c r="D694" s="61"/>
      <c r="E694" s="16"/>
      <c r="F694" s="16"/>
      <c r="G694" s="21"/>
      <c r="H694" s="16"/>
      <c r="I694" s="16"/>
      <c r="J694" s="17"/>
      <c r="N694" s="17"/>
      <c r="O694" s="61"/>
      <c r="P694" s="16"/>
      <c r="Q694" s="16"/>
      <c r="R694" s="16"/>
      <c r="S694" s="16"/>
      <c r="T694" s="16"/>
      <c r="U694" s="17"/>
      <c r="Y694" s="24"/>
      <c r="Z694" s="61"/>
      <c r="AA694" s="16"/>
      <c r="AB694" s="16"/>
      <c r="AC694" s="16"/>
      <c r="AD694" s="16"/>
      <c r="AE694" s="16"/>
      <c r="AF694" s="17"/>
      <c r="AJ694" s="24"/>
      <c r="AK694" s="61"/>
      <c r="AL694" s="16"/>
      <c r="AM694" s="16"/>
      <c r="AN694" s="16"/>
      <c r="AO694" s="16"/>
      <c r="AP694" s="16"/>
      <c r="AQ694" s="17"/>
      <c r="AU694" s="24"/>
      <c r="AV694" s="61"/>
      <c r="AW694" s="16"/>
      <c r="AX694" s="16"/>
      <c r="AY694" s="16"/>
      <c r="AZ694" s="16"/>
      <c r="BA694" s="16"/>
      <c r="BB694" s="17"/>
      <c r="BF694" s="24"/>
      <c r="BG694" s="61"/>
      <c r="BH694" s="16"/>
      <c r="BI694" s="16"/>
      <c r="BJ694" s="16"/>
      <c r="BK694" s="16"/>
      <c r="BL694" s="16"/>
      <c r="BM694" s="17"/>
      <c r="BQ694" s="24"/>
      <c r="BR694" s="61"/>
      <c r="BS694" s="16"/>
      <c r="BT694" s="16"/>
      <c r="BU694" s="16"/>
      <c r="BV694" s="16"/>
      <c r="BW694" s="16"/>
      <c r="BX694" s="17"/>
      <c r="CB694" s="24"/>
      <c r="CC694" s="61"/>
      <c r="CD694" s="16"/>
      <c r="CE694" s="16"/>
      <c r="CF694" s="16"/>
      <c r="CG694" s="16"/>
      <c r="CH694" s="16"/>
      <c r="CI694" s="17"/>
      <c r="CM694" s="24"/>
      <c r="CN694" s="61"/>
      <c r="CO694" s="16"/>
      <c r="CP694" s="16"/>
      <c r="CQ694" s="16"/>
      <c r="CR694" s="16"/>
      <c r="CS694" s="16"/>
      <c r="CT694" s="17"/>
      <c r="CX694" s="24"/>
      <c r="CY694" s="60"/>
      <c r="CZ694" s="16"/>
      <c r="DA694" s="16"/>
      <c r="DB694" s="16"/>
      <c r="DC694" s="16"/>
      <c r="DD694" s="16"/>
      <c r="DE694" s="17"/>
      <c r="DI694" s="24"/>
      <c r="DJ694" s="60"/>
      <c r="DK694" s="16"/>
      <c r="DL694" s="16"/>
      <c r="DM694" s="16"/>
      <c r="DN694" s="16"/>
      <c r="DO694" s="16"/>
      <c r="DP694" s="17"/>
      <c r="DT694" s="24"/>
      <c r="DU694" s="60"/>
      <c r="DV694" s="16"/>
      <c r="DW694" s="16"/>
      <c r="DX694" s="16"/>
      <c r="DY694" s="16"/>
      <c r="DZ694" s="16"/>
      <c r="EA694" s="17"/>
      <c r="EE694" s="24"/>
      <c r="EF694" s="60"/>
      <c r="EG694" s="16"/>
      <c r="EH694" s="16"/>
      <c r="EI694" s="16"/>
      <c r="EJ694" s="16"/>
      <c r="EK694" s="16"/>
      <c r="EL694" s="17"/>
      <c r="EP694" s="24"/>
      <c r="EQ694" s="60"/>
      <c r="ER694" s="16"/>
      <c r="ES694" s="16"/>
      <c r="ET694" s="16"/>
      <c r="EU694" s="16"/>
      <c r="EV694" s="16"/>
      <c r="EW694" s="17"/>
      <c r="FA694" s="24"/>
      <c r="FB694" s="60"/>
      <c r="FC694" s="16"/>
      <c r="FD694" s="16"/>
      <c r="FE694" s="16"/>
      <c r="FF694" s="16"/>
      <c r="FG694" s="16"/>
      <c r="FH694" s="17"/>
      <c r="FL694" s="24"/>
      <c r="FM694" s="60"/>
      <c r="FN694" s="16"/>
      <c r="FO694" s="16"/>
      <c r="FP694" s="16"/>
      <c r="FQ694" s="16"/>
      <c r="FR694" s="16"/>
      <c r="FS694" s="17"/>
      <c r="FW694" s="24"/>
      <c r="FX694" s="60"/>
      <c r="FY694" s="16"/>
      <c r="FZ694" s="16"/>
      <c r="GA694" s="16"/>
      <c r="GB694" s="16"/>
      <c r="GC694" s="16"/>
      <c r="GD694" s="17"/>
      <c r="GH694" s="24"/>
      <c r="GI694" s="60"/>
      <c r="GJ694" s="16"/>
      <c r="GK694" s="16"/>
      <c r="GL694" s="16"/>
      <c r="GM694" s="16"/>
      <c r="GN694" s="16"/>
      <c r="GO694" s="17"/>
      <c r="GS694" s="24"/>
      <c r="GT694" s="60"/>
      <c r="GU694" s="16"/>
      <c r="GV694" s="16"/>
      <c r="GW694" s="16"/>
      <c r="GX694" s="16"/>
      <c r="GY694" s="16"/>
      <c r="GZ694" s="17"/>
      <c r="HD694" s="24"/>
      <c r="HE694" s="60"/>
      <c r="HF694" s="16"/>
      <c r="HG694" s="16"/>
      <c r="HH694" s="16"/>
      <c r="HI694" s="16"/>
      <c r="HJ694" s="16"/>
      <c r="HK694" s="17"/>
      <c r="HO694" s="24"/>
      <c r="HP694" s="60"/>
      <c r="HQ694" s="16"/>
      <c r="HR694" s="16"/>
      <c r="HS694" s="16"/>
      <c r="HT694" s="16"/>
      <c r="HU694" s="16"/>
      <c r="HV694" s="17"/>
      <c r="HZ694" s="24"/>
      <c r="IA694" s="60"/>
      <c r="IB694" s="16"/>
      <c r="IC694" s="16"/>
      <c r="ID694" s="16"/>
      <c r="IE694" s="16"/>
      <c r="IF694" s="16"/>
      <c r="IG694" s="17"/>
      <c r="IK694" s="24"/>
      <c r="IL694" s="60"/>
      <c r="IM694" s="16"/>
      <c r="IN694" s="16"/>
      <c r="IO694" s="16"/>
      <c r="IP694" s="16"/>
      <c r="IQ694" s="16"/>
      <c r="IR694" s="17"/>
      <c r="IV694" s="24"/>
      <c r="IW694" s="60"/>
      <c r="IX694" s="16"/>
      <c r="IY694" s="16"/>
      <c r="IZ694" s="16"/>
      <c r="JA694" s="16"/>
      <c r="JB694" s="16"/>
      <c r="JC694" s="17"/>
      <c r="JG694" s="24"/>
      <c r="JH694" s="60"/>
      <c r="JI694" s="16"/>
      <c r="JJ694" s="16"/>
      <c r="JK694" s="16"/>
      <c r="JL694" s="16"/>
      <c r="JM694" s="16"/>
      <c r="JN694" s="17"/>
      <c r="JR694" s="24"/>
      <c r="JS694" s="60"/>
      <c r="JT694" s="16"/>
      <c r="JU694" s="16"/>
      <c r="JV694" s="16"/>
      <c r="JW694" s="16"/>
      <c r="JX694" s="16"/>
      <c r="JY694" s="17"/>
      <c r="KC694" s="24"/>
      <c r="KD694" s="60"/>
      <c r="KE694" s="16"/>
      <c r="KF694" s="16"/>
      <c r="KG694" s="16"/>
      <c r="KH694" s="16"/>
      <c r="KI694" s="16"/>
      <c r="KJ694" s="17"/>
      <c r="KN694" s="24"/>
      <c r="KO694" s="60"/>
      <c r="KP694" s="16"/>
      <c r="KQ694" s="16"/>
      <c r="KR694" s="16"/>
      <c r="KS694" s="16"/>
      <c r="KT694" s="16"/>
      <c r="KU694" s="17"/>
      <c r="KY694" s="24"/>
      <c r="KZ694" s="60"/>
      <c r="LA694" s="16"/>
      <c r="LB694" s="16"/>
      <c r="LC694" s="16"/>
      <c r="LD694" s="16"/>
      <c r="LE694" s="16"/>
      <c r="LF694" s="17"/>
      <c r="LJ694" s="24"/>
      <c r="LK694" s="60"/>
      <c r="LL694" s="16"/>
      <c r="LM694" s="16"/>
      <c r="LN694" s="16"/>
      <c r="LO694" s="16"/>
      <c r="LP694" s="16"/>
      <c r="LQ694" s="17"/>
    </row>
    <row r="695">
      <c r="C695" s="31"/>
      <c r="D695" s="61"/>
      <c r="E695" s="16"/>
      <c r="F695" s="16"/>
      <c r="G695" s="21"/>
      <c r="H695" s="16"/>
      <c r="I695" s="16"/>
      <c r="J695" s="17"/>
      <c r="N695" s="17"/>
      <c r="O695" s="61"/>
      <c r="P695" s="16"/>
      <c r="Q695" s="16"/>
      <c r="R695" s="16"/>
      <c r="S695" s="16"/>
      <c r="T695" s="16"/>
      <c r="U695" s="17"/>
      <c r="Y695" s="24"/>
      <c r="Z695" s="61"/>
      <c r="AA695" s="16"/>
      <c r="AB695" s="16"/>
      <c r="AC695" s="16"/>
      <c r="AD695" s="16"/>
      <c r="AE695" s="16"/>
      <c r="AF695" s="17"/>
      <c r="AJ695" s="24"/>
      <c r="AK695" s="61"/>
      <c r="AL695" s="16"/>
      <c r="AM695" s="16"/>
      <c r="AN695" s="16"/>
      <c r="AO695" s="16"/>
      <c r="AP695" s="16"/>
      <c r="AQ695" s="17"/>
      <c r="AU695" s="24"/>
      <c r="AV695" s="61"/>
      <c r="AW695" s="16"/>
      <c r="AX695" s="16"/>
      <c r="AY695" s="16"/>
      <c r="AZ695" s="16"/>
      <c r="BA695" s="16"/>
      <c r="BB695" s="17"/>
      <c r="BF695" s="24"/>
      <c r="BG695" s="61"/>
      <c r="BH695" s="16"/>
      <c r="BI695" s="16"/>
      <c r="BJ695" s="16"/>
      <c r="BK695" s="16"/>
      <c r="BL695" s="16"/>
      <c r="BM695" s="17"/>
      <c r="BQ695" s="24"/>
      <c r="BR695" s="61"/>
      <c r="BS695" s="16"/>
      <c r="BT695" s="16"/>
      <c r="BU695" s="16"/>
      <c r="BV695" s="16"/>
      <c r="BW695" s="16"/>
      <c r="BX695" s="17"/>
      <c r="CB695" s="24"/>
      <c r="CC695" s="61"/>
      <c r="CD695" s="16"/>
      <c r="CE695" s="16"/>
      <c r="CF695" s="16"/>
      <c r="CG695" s="16"/>
      <c r="CH695" s="16"/>
      <c r="CI695" s="17"/>
      <c r="CM695" s="24"/>
      <c r="CN695" s="61"/>
      <c r="CO695" s="16"/>
      <c r="CP695" s="16"/>
      <c r="CQ695" s="16"/>
      <c r="CR695" s="16"/>
      <c r="CS695" s="16"/>
      <c r="CT695" s="17"/>
      <c r="CX695" s="24"/>
      <c r="CY695" s="60"/>
      <c r="CZ695" s="16"/>
      <c r="DA695" s="16"/>
      <c r="DB695" s="16"/>
      <c r="DC695" s="16"/>
      <c r="DD695" s="16"/>
      <c r="DE695" s="17"/>
      <c r="DI695" s="24"/>
      <c r="DJ695" s="60"/>
      <c r="DK695" s="16"/>
      <c r="DL695" s="16"/>
      <c r="DM695" s="16"/>
      <c r="DN695" s="16"/>
      <c r="DO695" s="16"/>
      <c r="DP695" s="17"/>
      <c r="DT695" s="24"/>
      <c r="DU695" s="60"/>
      <c r="DV695" s="16"/>
      <c r="DW695" s="16"/>
      <c r="DX695" s="16"/>
      <c r="DY695" s="16"/>
      <c r="DZ695" s="16"/>
      <c r="EA695" s="17"/>
      <c r="EE695" s="24"/>
      <c r="EF695" s="60"/>
      <c r="EG695" s="16"/>
      <c r="EH695" s="16"/>
      <c r="EI695" s="16"/>
      <c r="EJ695" s="16"/>
      <c r="EK695" s="16"/>
      <c r="EL695" s="17"/>
      <c r="EP695" s="24"/>
      <c r="EQ695" s="60"/>
      <c r="ER695" s="16"/>
      <c r="ES695" s="16"/>
      <c r="ET695" s="16"/>
      <c r="EU695" s="16"/>
      <c r="EV695" s="16"/>
      <c r="EW695" s="17"/>
      <c r="FA695" s="24"/>
      <c r="FB695" s="60"/>
      <c r="FC695" s="16"/>
      <c r="FD695" s="16"/>
      <c r="FE695" s="16"/>
      <c r="FF695" s="16"/>
      <c r="FG695" s="16"/>
      <c r="FH695" s="17"/>
      <c r="FL695" s="24"/>
      <c r="FM695" s="60"/>
      <c r="FN695" s="16"/>
      <c r="FO695" s="16"/>
      <c r="FP695" s="16"/>
      <c r="FQ695" s="16"/>
      <c r="FR695" s="16"/>
      <c r="FS695" s="17"/>
      <c r="FW695" s="24"/>
      <c r="FX695" s="60"/>
      <c r="FY695" s="16"/>
      <c r="FZ695" s="16"/>
      <c r="GA695" s="16"/>
      <c r="GB695" s="16"/>
      <c r="GC695" s="16"/>
      <c r="GD695" s="17"/>
      <c r="GH695" s="24"/>
      <c r="GI695" s="60"/>
      <c r="GJ695" s="16"/>
      <c r="GK695" s="16"/>
      <c r="GL695" s="16"/>
      <c r="GM695" s="16"/>
      <c r="GN695" s="16"/>
      <c r="GO695" s="17"/>
      <c r="GS695" s="24"/>
      <c r="GT695" s="60"/>
      <c r="GU695" s="16"/>
      <c r="GV695" s="16"/>
      <c r="GW695" s="16"/>
      <c r="GX695" s="16"/>
      <c r="GY695" s="16"/>
      <c r="GZ695" s="17"/>
      <c r="HD695" s="24"/>
      <c r="HE695" s="60"/>
      <c r="HF695" s="16"/>
      <c r="HG695" s="16"/>
      <c r="HH695" s="16"/>
      <c r="HI695" s="16"/>
      <c r="HJ695" s="16"/>
      <c r="HK695" s="17"/>
      <c r="HO695" s="24"/>
      <c r="HP695" s="60"/>
      <c r="HQ695" s="16"/>
      <c r="HR695" s="16"/>
      <c r="HS695" s="16"/>
      <c r="HT695" s="16"/>
      <c r="HU695" s="16"/>
      <c r="HV695" s="17"/>
      <c r="HZ695" s="24"/>
      <c r="IA695" s="60"/>
      <c r="IB695" s="16"/>
      <c r="IC695" s="16"/>
      <c r="ID695" s="16"/>
      <c r="IE695" s="16"/>
      <c r="IF695" s="16"/>
      <c r="IG695" s="17"/>
      <c r="IK695" s="24"/>
      <c r="IL695" s="60"/>
      <c r="IM695" s="16"/>
      <c r="IN695" s="16"/>
      <c r="IO695" s="16"/>
      <c r="IP695" s="16"/>
      <c r="IQ695" s="16"/>
      <c r="IR695" s="17"/>
      <c r="IV695" s="24"/>
      <c r="IW695" s="60"/>
      <c r="IX695" s="16"/>
      <c r="IY695" s="16"/>
      <c r="IZ695" s="16"/>
      <c r="JA695" s="16"/>
      <c r="JB695" s="16"/>
      <c r="JC695" s="17"/>
      <c r="JG695" s="24"/>
      <c r="JH695" s="60"/>
      <c r="JI695" s="16"/>
      <c r="JJ695" s="16"/>
      <c r="JK695" s="16"/>
      <c r="JL695" s="16"/>
      <c r="JM695" s="16"/>
      <c r="JN695" s="17"/>
      <c r="JR695" s="24"/>
      <c r="JS695" s="60"/>
      <c r="JT695" s="16"/>
      <c r="JU695" s="16"/>
      <c r="JV695" s="16"/>
      <c r="JW695" s="16"/>
      <c r="JX695" s="16"/>
      <c r="JY695" s="17"/>
      <c r="KC695" s="24"/>
      <c r="KD695" s="60"/>
      <c r="KE695" s="16"/>
      <c r="KF695" s="16"/>
      <c r="KG695" s="16"/>
      <c r="KH695" s="16"/>
      <c r="KI695" s="16"/>
      <c r="KJ695" s="17"/>
      <c r="KN695" s="24"/>
      <c r="KO695" s="60"/>
      <c r="KP695" s="16"/>
      <c r="KQ695" s="16"/>
      <c r="KR695" s="16"/>
      <c r="KS695" s="16"/>
      <c r="KT695" s="16"/>
      <c r="KU695" s="17"/>
      <c r="KY695" s="24"/>
      <c r="KZ695" s="60"/>
      <c r="LA695" s="16"/>
      <c r="LB695" s="16"/>
      <c r="LC695" s="16"/>
      <c r="LD695" s="16"/>
      <c r="LE695" s="16"/>
      <c r="LF695" s="17"/>
      <c r="LJ695" s="24"/>
      <c r="LK695" s="60"/>
      <c r="LL695" s="16"/>
      <c r="LM695" s="16"/>
      <c r="LN695" s="16"/>
      <c r="LO695" s="16"/>
      <c r="LP695" s="16"/>
      <c r="LQ695" s="17"/>
    </row>
    <row r="696">
      <c r="C696" s="31"/>
      <c r="D696" s="61"/>
      <c r="E696" s="16"/>
      <c r="F696" s="16"/>
      <c r="G696" s="21"/>
      <c r="H696" s="16"/>
      <c r="I696" s="16"/>
      <c r="J696" s="17"/>
      <c r="N696" s="17"/>
      <c r="O696" s="61"/>
      <c r="P696" s="16"/>
      <c r="Q696" s="16"/>
      <c r="R696" s="16"/>
      <c r="S696" s="16"/>
      <c r="T696" s="16"/>
      <c r="U696" s="17"/>
      <c r="Y696" s="24"/>
      <c r="Z696" s="61"/>
      <c r="AA696" s="16"/>
      <c r="AB696" s="16"/>
      <c r="AC696" s="16"/>
      <c r="AD696" s="16"/>
      <c r="AE696" s="16"/>
      <c r="AF696" s="17"/>
      <c r="AJ696" s="24"/>
      <c r="AK696" s="61"/>
      <c r="AL696" s="16"/>
      <c r="AM696" s="16"/>
      <c r="AN696" s="16"/>
      <c r="AO696" s="16"/>
      <c r="AP696" s="16"/>
      <c r="AQ696" s="17"/>
      <c r="AU696" s="24"/>
      <c r="AV696" s="61"/>
      <c r="AW696" s="16"/>
      <c r="AX696" s="16"/>
      <c r="AY696" s="16"/>
      <c r="AZ696" s="16"/>
      <c r="BA696" s="16"/>
      <c r="BB696" s="17"/>
      <c r="BF696" s="24"/>
      <c r="BG696" s="61"/>
      <c r="BH696" s="16"/>
      <c r="BI696" s="16"/>
      <c r="BJ696" s="16"/>
      <c r="BK696" s="16"/>
      <c r="BL696" s="16"/>
      <c r="BM696" s="17"/>
      <c r="BQ696" s="24"/>
      <c r="BR696" s="61"/>
      <c r="BS696" s="16"/>
      <c r="BT696" s="16"/>
      <c r="BU696" s="16"/>
      <c r="BV696" s="16"/>
      <c r="BW696" s="16"/>
      <c r="BX696" s="17"/>
      <c r="CB696" s="24"/>
      <c r="CC696" s="61"/>
      <c r="CD696" s="16"/>
      <c r="CE696" s="16"/>
      <c r="CF696" s="16"/>
      <c r="CG696" s="16"/>
      <c r="CH696" s="16"/>
      <c r="CI696" s="17"/>
      <c r="CM696" s="24"/>
      <c r="CN696" s="61"/>
      <c r="CO696" s="16"/>
      <c r="CP696" s="16"/>
      <c r="CQ696" s="16"/>
      <c r="CR696" s="16"/>
      <c r="CS696" s="16"/>
      <c r="CT696" s="17"/>
      <c r="CX696" s="24"/>
      <c r="CY696" s="60"/>
      <c r="CZ696" s="16"/>
      <c r="DA696" s="16"/>
      <c r="DB696" s="16"/>
      <c r="DC696" s="16"/>
      <c r="DD696" s="16"/>
      <c r="DE696" s="17"/>
      <c r="DI696" s="24"/>
      <c r="DJ696" s="60"/>
      <c r="DK696" s="16"/>
      <c r="DL696" s="16"/>
      <c r="DM696" s="16"/>
      <c r="DN696" s="16"/>
      <c r="DO696" s="16"/>
      <c r="DP696" s="17"/>
      <c r="DT696" s="24"/>
      <c r="DU696" s="60"/>
      <c r="DV696" s="16"/>
      <c r="DW696" s="16"/>
      <c r="DX696" s="16"/>
      <c r="DY696" s="16"/>
      <c r="DZ696" s="16"/>
      <c r="EA696" s="17"/>
      <c r="EE696" s="24"/>
      <c r="EF696" s="60"/>
      <c r="EG696" s="16"/>
      <c r="EH696" s="16"/>
      <c r="EI696" s="16"/>
      <c r="EJ696" s="16"/>
      <c r="EK696" s="16"/>
      <c r="EL696" s="17"/>
      <c r="EP696" s="24"/>
      <c r="EQ696" s="60"/>
      <c r="ER696" s="16"/>
      <c r="ES696" s="16"/>
      <c r="ET696" s="16"/>
      <c r="EU696" s="16"/>
      <c r="EV696" s="16"/>
      <c r="EW696" s="17"/>
      <c r="FA696" s="24"/>
      <c r="FB696" s="60"/>
      <c r="FC696" s="16"/>
      <c r="FD696" s="16"/>
      <c r="FE696" s="16"/>
      <c r="FF696" s="16"/>
      <c r="FG696" s="16"/>
      <c r="FH696" s="17"/>
      <c r="FL696" s="24"/>
      <c r="FM696" s="60"/>
      <c r="FN696" s="16"/>
      <c r="FO696" s="16"/>
      <c r="FP696" s="16"/>
      <c r="FQ696" s="16"/>
      <c r="FR696" s="16"/>
      <c r="FS696" s="17"/>
      <c r="FW696" s="24"/>
      <c r="FX696" s="60"/>
      <c r="FY696" s="16"/>
      <c r="FZ696" s="16"/>
      <c r="GA696" s="16"/>
      <c r="GB696" s="16"/>
      <c r="GC696" s="16"/>
      <c r="GD696" s="17"/>
      <c r="GH696" s="24"/>
      <c r="GI696" s="60"/>
      <c r="GJ696" s="16"/>
      <c r="GK696" s="16"/>
      <c r="GL696" s="16"/>
      <c r="GM696" s="16"/>
      <c r="GN696" s="16"/>
      <c r="GO696" s="17"/>
      <c r="GS696" s="24"/>
      <c r="GT696" s="60"/>
      <c r="GU696" s="16"/>
      <c r="GV696" s="16"/>
      <c r="GW696" s="16"/>
      <c r="GX696" s="16"/>
      <c r="GY696" s="16"/>
      <c r="GZ696" s="17"/>
      <c r="HD696" s="24"/>
      <c r="HE696" s="60"/>
      <c r="HF696" s="16"/>
      <c r="HG696" s="16"/>
      <c r="HH696" s="16"/>
      <c r="HI696" s="16"/>
      <c r="HJ696" s="16"/>
      <c r="HK696" s="17"/>
      <c r="HO696" s="24"/>
      <c r="HP696" s="60"/>
      <c r="HQ696" s="16"/>
      <c r="HR696" s="16"/>
      <c r="HS696" s="16"/>
      <c r="HT696" s="16"/>
      <c r="HU696" s="16"/>
      <c r="HV696" s="17"/>
      <c r="HZ696" s="24"/>
      <c r="IA696" s="60"/>
      <c r="IB696" s="16"/>
      <c r="IC696" s="16"/>
      <c r="ID696" s="16"/>
      <c r="IE696" s="16"/>
      <c r="IF696" s="16"/>
      <c r="IG696" s="17"/>
      <c r="IK696" s="24"/>
      <c r="IL696" s="60"/>
      <c r="IM696" s="16"/>
      <c r="IN696" s="16"/>
      <c r="IO696" s="16"/>
      <c r="IP696" s="16"/>
      <c r="IQ696" s="16"/>
      <c r="IR696" s="17"/>
      <c r="IV696" s="24"/>
      <c r="IW696" s="60"/>
      <c r="IX696" s="16"/>
      <c r="IY696" s="16"/>
      <c r="IZ696" s="16"/>
      <c r="JA696" s="16"/>
      <c r="JB696" s="16"/>
      <c r="JC696" s="17"/>
      <c r="JG696" s="24"/>
      <c r="JH696" s="60"/>
      <c r="JI696" s="16"/>
      <c r="JJ696" s="16"/>
      <c r="JK696" s="16"/>
      <c r="JL696" s="16"/>
      <c r="JM696" s="16"/>
      <c r="JN696" s="17"/>
      <c r="JR696" s="24"/>
      <c r="JS696" s="60"/>
      <c r="JT696" s="16"/>
      <c r="JU696" s="16"/>
      <c r="JV696" s="16"/>
      <c r="JW696" s="16"/>
      <c r="JX696" s="16"/>
      <c r="JY696" s="17"/>
      <c r="KC696" s="24"/>
      <c r="KD696" s="60"/>
      <c r="KE696" s="16"/>
      <c r="KF696" s="16"/>
      <c r="KG696" s="16"/>
      <c r="KH696" s="16"/>
      <c r="KI696" s="16"/>
      <c r="KJ696" s="17"/>
      <c r="KN696" s="24"/>
      <c r="KO696" s="60"/>
      <c r="KP696" s="16"/>
      <c r="KQ696" s="16"/>
      <c r="KR696" s="16"/>
      <c r="KS696" s="16"/>
      <c r="KT696" s="16"/>
      <c r="KU696" s="17"/>
      <c r="KY696" s="24"/>
      <c r="KZ696" s="60"/>
      <c r="LA696" s="16"/>
      <c r="LB696" s="16"/>
      <c r="LC696" s="16"/>
      <c r="LD696" s="16"/>
      <c r="LE696" s="16"/>
      <c r="LF696" s="17"/>
      <c r="LJ696" s="24"/>
      <c r="LK696" s="60"/>
      <c r="LL696" s="16"/>
      <c r="LM696" s="16"/>
      <c r="LN696" s="16"/>
      <c r="LO696" s="16"/>
      <c r="LP696" s="16"/>
      <c r="LQ696" s="17"/>
    </row>
    <row r="697">
      <c r="C697" s="31"/>
      <c r="D697" s="61"/>
      <c r="E697" s="16"/>
      <c r="F697" s="16"/>
      <c r="G697" s="21"/>
      <c r="H697" s="16"/>
      <c r="I697" s="16"/>
      <c r="J697" s="17"/>
      <c r="N697" s="17"/>
      <c r="O697" s="61"/>
      <c r="P697" s="16"/>
      <c r="Q697" s="16"/>
      <c r="R697" s="16"/>
      <c r="S697" s="16"/>
      <c r="T697" s="16"/>
      <c r="U697" s="17"/>
      <c r="Y697" s="24"/>
      <c r="Z697" s="61"/>
      <c r="AA697" s="16"/>
      <c r="AB697" s="16"/>
      <c r="AC697" s="16"/>
      <c r="AD697" s="16"/>
      <c r="AE697" s="16"/>
      <c r="AF697" s="17"/>
      <c r="AJ697" s="24"/>
      <c r="AK697" s="61"/>
      <c r="AL697" s="16"/>
      <c r="AM697" s="16"/>
      <c r="AN697" s="16"/>
      <c r="AO697" s="16"/>
      <c r="AP697" s="16"/>
      <c r="AQ697" s="17"/>
      <c r="AU697" s="24"/>
      <c r="AV697" s="61"/>
      <c r="AW697" s="16"/>
      <c r="AX697" s="16"/>
      <c r="AY697" s="16"/>
      <c r="AZ697" s="16"/>
      <c r="BA697" s="16"/>
      <c r="BB697" s="17"/>
      <c r="BF697" s="24"/>
      <c r="BG697" s="61"/>
      <c r="BH697" s="16"/>
      <c r="BI697" s="16"/>
      <c r="BJ697" s="16"/>
      <c r="BK697" s="16"/>
      <c r="BL697" s="16"/>
      <c r="BM697" s="17"/>
      <c r="BQ697" s="24"/>
      <c r="BR697" s="61"/>
      <c r="BS697" s="16"/>
      <c r="BT697" s="16"/>
      <c r="BU697" s="16"/>
      <c r="BV697" s="16"/>
      <c r="BW697" s="16"/>
      <c r="BX697" s="17"/>
      <c r="CB697" s="24"/>
      <c r="CC697" s="61"/>
      <c r="CD697" s="16"/>
      <c r="CE697" s="16"/>
      <c r="CF697" s="16"/>
      <c r="CG697" s="16"/>
      <c r="CH697" s="16"/>
      <c r="CI697" s="17"/>
      <c r="CM697" s="24"/>
      <c r="CN697" s="61"/>
      <c r="CO697" s="16"/>
      <c r="CP697" s="16"/>
      <c r="CQ697" s="16"/>
      <c r="CR697" s="16"/>
      <c r="CS697" s="16"/>
      <c r="CT697" s="17"/>
      <c r="CX697" s="24"/>
      <c r="CY697" s="60"/>
      <c r="CZ697" s="16"/>
      <c r="DA697" s="16"/>
      <c r="DB697" s="16"/>
      <c r="DC697" s="16"/>
      <c r="DD697" s="16"/>
      <c r="DE697" s="17"/>
      <c r="DI697" s="24"/>
      <c r="DJ697" s="60"/>
      <c r="DK697" s="16"/>
      <c r="DL697" s="16"/>
      <c r="DM697" s="16"/>
      <c r="DN697" s="16"/>
      <c r="DO697" s="16"/>
      <c r="DP697" s="17"/>
      <c r="DT697" s="24"/>
      <c r="DU697" s="60"/>
      <c r="DV697" s="16"/>
      <c r="DW697" s="16"/>
      <c r="DX697" s="16"/>
      <c r="DY697" s="16"/>
      <c r="DZ697" s="16"/>
      <c r="EA697" s="17"/>
      <c r="EE697" s="24"/>
      <c r="EF697" s="60"/>
      <c r="EG697" s="16"/>
      <c r="EH697" s="16"/>
      <c r="EI697" s="16"/>
      <c r="EJ697" s="16"/>
      <c r="EK697" s="16"/>
      <c r="EL697" s="17"/>
      <c r="EP697" s="24"/>
      <c r="EQ697" s="60"/>
      <c r="ER697" s="16"/>
      <c r="ES697" s="16"/>
      <c r="ET697" s="16"/>
      <c r="EU697" s="16"/>
      <c r="EV697" s="16"/>
      <c r="EW697" s="17"/>
      <c r="FA697" s="24"/>
      <c r="FB697" s="60"/>
      <c r="FC697" s="16"/>
      <c r="FD697" s="16"/>
      <c r="FE697" s="16"/>
      <c r="FF697" s="16"/>
      <c r="FG697" s="16"/>
      <c r="FH697" s="17"/>
      <c r="FL697" s="24"/>
      <c r="FM697" s="60"/>
      <c r="FN697" s="16"/>
      <c r="FO697" s="16"/>
      <c r="FP697" s="16"/>
      <c r="FQ697" s="16"/>
      <c r="FR697" s="16"/>
      <c r="FS697" s="17"/>
      <c r="FW697" s="24"/>
      <c r="FX697" s="60"/>
      <c r="FY697" s="16"/>
      <c r="FZ697" s="16"/>
      <c r="GA697" s="16"/>
      <c r="GB697" s="16"/>
      <c r="GC697" s="16"/>
      <c r="GD697" s="17"/>
      <c r="GH697" s="24"/>
      <c r="GI697" s="60"/>
      <c r="GJ697" s="16"/>
      <c r="GK697" s="16"/>
      <c r="GL697" s="16"/>
      <c r="GM697" s="16"/>
      <c r="GN697" s="16"/>
      <c r="GO697" s="17"/>
      <c r="GS697" s="24"/>
      <c r="GT697" s="60"/>
      <c r="GU697" s="16"/>
      <c r="GV697" s="16"/>
      <c r="GW697" s="16"/>
      <c r="GX697" s="16"/>
      <c r="GY697" s="16"/>
      <c r="GZ697" s="17"/>
      <c r="HD697" s="24"/>
      <c r="HE697" s="60"/>
      <c r="HF697" s="16"/>
      <c r="HG697" s="16"/>
      <c r="HH697" s="16"/>
      <c r="HI697" s="16"/>
      <c r="HJ697" s="16"/>
      <c r="HK697" s="17"/>
      <c r="HO697" s="24"/>
      <c r="HP697" s="60"/>
      <c r="HQ697" s="16"/>
      <c r="HR697" s="16"/>
      <c r="HS697" s="16"/>
      <c r="HT697" s="16"/>
      <c r="HU697" s="16"/>
      <c r="HV697" s="17"/>
      <c r="HZ697" s="24"/>
      <c r="IA697" s="60"/>
      <c r="IB697" s="16"/>
      <c r="IC697" s="16"/>
      <c r="ID697" s="16"/>
      <c r="IE697" s="16"/>
      <c r="IF697" s="16"/>
      <c r="IG697" s="17"/>
      <c r="IK697" s="24"/>
      <c r="IL697" s="60"/>
      <c r="IM697" s="16"/>
      <c r="IN697" s="16"/>
      <c r="IO697" s="16"/>
      <c r="IP697" s="16"/>
      <c r="IQ697" s="16"/>
      <c r="IR697" s="17"/>
      <c r="IV697" s="24"/>
      <c r="IW697" s="60"/>
      <c r="IX697" s="16"/>
      <c r="IY697" s="16"/>
      <c r="IZ697" s="16"/>
      <c r="JA697" s="16"/>
      <c r="JB697" s="16"/>
      <c r="JC697" s="17"/>
      <c r="JG697" s="24"/>
      <c r="JH697" s="60"/>
      <c r="JI697" s="16"/>
      <c r="JJ697" s="16"/>
      <c r="JK697" s="16"/>
      <c r="JL697" s="16"/>
      <c r="JM697" s="16"/>
      <c r="JN697" s="17"/>
      <c r="JR697" s="24"/>
      <c r="JS697" s="60"/>
      <c r="JT697" s="16"/>
      <c r="JU697" s="16"/>
      <c r="JV697" s="16"/>
      <c r="JW697" s="16"/>
      <c r="JX697" s="16"/>
      <c r="JY697" s="17"/>
      <c r="KC697" s="24"/>
      <c r="KD697" s="60"/>
      <c r="KE697" s="16"/>
      <c r="KF697" s="16"/>
      <c r="KG697" s="16"/>
      <c r="KH697" s="16"/>
      <c r="KI697" s="16"/>
      <c r="KJ697" s="17"/>
      <c r="KN697" s="24"/>
      <c r="KO697" s="60"/>
      <c r="KP697" s="16"/>
      <c r="KQ697" s="16"/>
      <c r="KR697" s="16"/>
      <c r="KS697" s="16"/>
      <c r="KT697" s="16"/>
      <c r="KU697" s="17"/>
      <c r="KY697" s="24"/>
      <c r="KZ697" s="60"/>
      <c r="LA697" s="16"/>
      <c r="LB697" s="16"/>
      <c r="LC697" s="16"/>
      <c r="LD697" s="16"/>
      <c r="LE697" s="16"/>
      <c r="LF697" s="17"/>
      <c r="LJ697" s="24"/>
      <c r="LK697" s="60"/>
      <c r="LL697" s="16"/>
      <c r="LM697" s="16"/>
      <c r="LN697" s="16"/>
      <c r="LO697" s="16"/>
      <c r="LP697" s="16"/>
      <c r="LQ697" s="17"/>
    </row>
    <row r="698">
      <c r="C698" s="31"/>
      <c r="D698" s="61"/>
      <c r="E698" s="16"/>
      <c r="F698" s="16"/>
      <c r="G698" s="21"/>
      <c r="H698" s="16"/>
      <c r="I698" s="16"/>
      <c r="J698" s="17"/>
      <c r="N698" s="17"/>
      <c r="O698" s="61"/>
      <c r="P698" s="16"/>
      <c r="Q698" s="16"/>
      <c r="R698" s="16"/>
      <c r="S698" s="16"/>
      <c r="T698" s="16"/>
      <c r="U698" s="17"/>
      <c r="Y698" s="24"/>
      <c r="Z698" s="61"/>
      <c r="AA698" s="16"/>
      <c r="AB698" s="16"/>
      <c r="AC698" s="16"/>
      <c r="AD698" s="16"/>
      <c r="AE698" s="16"/>
      <c r="AF698" s="17"/>
      <c r="AJ698" s="24"/>
      <c r="AK698" s="61"/>
      <c r="AL698" s="16"/>
      <c r="AM698" s="16"/>
      <c r="AN698" s="16"/>
      <c r="AO698" s="16"/>
      <c r="AP698" s="16"/>
      <c r="AQ698" s="17"/>
      <c r="AU698" s="24"/>
      <c r="AV698" s="61"/>
      <c r="AW698" s="16"/>
      <c r="AX698" s="16"/>
      <c r="AY698" s="16"/>
      <c r="AZ698" s="16"/>
      <c r="BA698" s="16"/>
      <c r="BB698" s="17"/>
      <c r="BF698" s="24"/>
      <c r="BG698" s="61"/>
      <c r="BH698" s="16"/>
      <c r="BI698" s="16"/>
      <c r="BJ698" s="16"/>
      <c r="BK698" s="16"/>
      <c r="BL698" s="16"/>
      <c r="BM698" s="17"/>
      <c r="BQ698" s="24"/>
      <c r="BR698" s="61"/>
      <c r="BS698" s="16"/>
      <c r="BT698" s="16"/>
      <c r="BU698" s="16"/>
      <c r="BV698" s="16"/>
      <c r="BW698" s="16"/>
      <c r="BX698" s="17"/>
      <c r="CB698" s="24"/>
      <c r="CC698" s="61"/>
      <c r="CD698" s="16"/>
      <c r="CE698" s="16"/>
      <c r="CF698" s="16"/>
      <c r="CG698" s="16"/>
      <c r="CH698" s="16"/>
      <c r="CI698" s="17"/>
      <c r="CM698" s="24"/>
      <c r="CN698" s="61"/>
      <c r="CO698" s="16"/>
      <c r="CP698" s="16"/>
      <c r="CQ698" s="16"/>
      <c r="CR698" s="16"/>
      <c r="CS698" s="16"/>
      <c r="CT698" s="17"/>
      <c r="CX698" s="24"/>
      <c r="CY698" s="60"/>
      <c r="CZ698" s="16"/>
      <c r="DA698" s="16"/>
      <c r="DB698" s="16"/>
      <c r="DC698" s="16"/>
      <c r="DD698" s="16"/>
      <c r="DE698" s="17"/>
      <c r="DI698" s="24"/>
      <c r="DJ698" s="60"/>
      <c r="DK698" s="16"/>
      <c r="DL698" s="16"/>
      <c r="DM698" s="16"/>
      <c r="DN698" s="16"/>
      <c r="DO698" s="16"/>
      <c r="DP698" s="17"/>
      <c r="DT698" s="24"/>
      <c r="DU698" s="60"/>
      <c r="DV698" s="16"/>
      <c r="DW698" s="16"/>
      <c r="DX698" s="16"/>
      <c r="DY698" s="16"/>
      <c r="DZ698" s="16"/>
      <c r="EA698" s="17"/>
      <c r="EE698" s="24"/>
      <c r="EF698" s="60"/>
      <c r="EG698" s="16"/>
      <c r="EH698" s="16"/>
      <c r="EI698" s="16"/>
      <c r="EJ698" s="16"/>
      <c r="EK698" s="16"/>
      <c r="EL698" s="17"/>
      <c r="EP698" s="24"/>
      <c r="EQ698" s="60"/>
      <c r="ER698" s="16"/>
      <c r="ES698" s="16"/>
      <c r="ET698" s="16"/>
      <c r="EU698" s="16"/>
      <c r="EV698" s="16"/>
      <c r="EW698" s="17"/>
      <c r="FA698" s="24"/>
      <c r="FB698" s="60"/>
      <c r="FC698" s="16"/>
      <c r="FD698" s="16"/>
      <c r="FE698" s="16"/>
      <c r="FF698" s="16"/>
      <c r="FG698" s="16"/>
      <c r="FH698" s="17"/>
      <c r="FL698" s="24"/>
      <c r="FM698" s="60"/>
      <c r="FN698" s="16"/>
      <c r="FO698" s="16"/>
      <c r="FP698" s="16"/>
      <c r="FQ698" s="16"/>
      <c r="FR698" s="16"/>
      <c r="FS698" s="17"/>
      <c r="FW698" s="24"/>
      <c r="FX698" s="60"/>
      <c r="FY698" s="16"/>
      <c r="FZ698" s="16"/>
      <c r="GA698" s="16"/>
      <c r="GB698" s="16"/>
      <c r="GC698" s="16"/>
      <c r="GD698" s="17"/>
      <c r="GH698" s="24"/>
      <c r="GI698" s="60"/>
      <c r="GJ698" s="16"/>
      <c r="GK698" s="16"/>
      <c r="GL698" s="16"/>
      <c r="GM698" s="16"/>
      <c r="GN698" s="16"/>
      <c r="GO698" s="17"/>
      <c r="GS698" s="24"/>
      <c r="GT698" s="60"/>
      <c r="GU698" s="16"/>
      <c r="GV698" s="16"/>
      <c r="GW698" s="16"/>
      <c r="GX698" s="16"/>
      <c r="GY698" s="16"/>
      <c r="GZ698" s="17"/>
      <c r="HD698" s="24"/>
      <c r="HE698" s="60"/>
      <c r="HF698" s="16"/>
      <c r="HG698" s="16"/>
      <c r="HH698" s="16"/>
      <c r="HI698" s="16"/>
      <c r="HJ698" s="16"/>
      <c r="HK698" s="17"/>
      <c r="HO698" s="24"/>
      <c r="HP698" s="60"/>
      <c r="HQ698" s="16"/>
      <c r="HR698" s="16"/>
      <c r="HS698" s="16"/>
      <c r="HT698" s="16"/>
      <c r="HU698" s="16"/>
      <c r="HV698" s="17"/>
      <c r="HZ698" s="24"/>
      <c r="IA698" s="60"/>
      <c r="IB698" s="16"/>
      <c r="IC698" s="16"/>
      <c r="ID698" s="16"/>
      <c r="IE698" s="16"/>
      <c r="IF698" s="16"/>
      <c r="IG698" s="17"/>
      <c r="IK698" s="24"/>
      <c r="IL698" s="60"/>
      <c r="IM698" s="16"/>
      <c r="IN698" s="16"/>
      <c r="IO698" s="16"/>
      <c r="IP698" s="16"/>
      <c r="IQ698" s="16"/>
      <c r="IR698" s="17"/>
      <c r="IV698" s="24"/>
      <c r="IW698" s="60"/>
      <c r="IX698" s="16"/>
      <c r="IY698" s="16"/>
      <c r="IZ698" s="16"/>
      <c r="JA698" s="16"/>
      <c r="JB698" s="16"/>
      <c r="JC698" s="17"/>
      <c r="JG698" s="24"/>
      <c r="JH698" s="60"/>
      <c r="JI698" s="16"/>
      <c r="JJ698" s="16"/>
      <c r="JK698" s="16"/>
      <c r="JL698" s="16"/>
      <c r="JM698" s="16"/>
      <c r="JN698" s="17"/>
      <c r="JR698" s="24"/>
      <c r="JS698" s="60"/>
      <c r="JT698" s="16"/>
      <c r="JU698" s="16"/>
      <c r="JV698" s="16"/>
      <c r="JW698" s="16"/>
      <c r="JX698" s="16"/>
      <c r="JY698" s="17"/>
      <c r="KC698" s="24"/>
      <c r="KD698" s="60"/>
      <c r="KE698" s="16"/>
      <c r="KF698" s="16"/>
      <c r="KG698" s="16"/>
      <c r="KH698" s="16"/>
      <c r="KI698" s="16"/>
      <c r="KJ698" s="17"/>
      <c r="KN698" s="24"/>
      <c r="KO698" s="60"/>
      <c r="KP698" s="16"/>
      <c r="KQ698" s="16"/>
      <c r="KR698" s="16"/>
      <c r="KS698" s="16"/>
      <c r="KT698" s="16"/>
      <c r="KU698" s="17"/>
      <c r="KY698" s="24"/>
      <c r="KZ698" s="60"/>
      <c r="LA698" s="16"/>
      <c r="LB698" s="16"/>
      <c r="LC698" s="16"/>
      <c r="LD698" s="16"/>
      <c r="LE698" s="16"/>
      <c r="LF698" s="17"/>
      <c r="LJ698" s="24"/>
      <c r="LK698" s="60"/>
      <c r="LL698" s="16"/>
      <c r="LM698" s="16"/>
      <c r="LN698" s="16"/>
      <c r="LO698" s="16"/>
      <c r="LP698" s="16"/>
      <c r="LQ698" s="17"/>
    </row>
    <row r="699">
      <c r="C699" s="31"/>
      <c r="D699" s="61"/>
      <c r="E699" s="16"/>
      <c r="F699" s="16"/>
      <c r="G699" s="21"/>
      <c r="H699" s="16"/>
      <c r="I699" s="16"/>
      <c r="J699" s="17"/>
      <c r="N699" s="17"/>
      <c r="O699" s="61"/>
      <c r="P699" s="16"/>
      <c r="Q699" s="16"/>
      <c r="R699" s="16"/>
      <c r="S699" s="16"/>
      <c r="T699" s="16"/>
      <c r="U699" s="17"/>
      <c r="Y699" s="24"/>
      <c r="Z699" s="61"/>
      <c r="AA699" s="16"/>
      <c r="AB699" s="16"/>
      <c r="AC699" s="16"/>
      <c r="AD699" s="16"/>
      <c r="AE699" s="16"/>
      <c r="AF699" s="17"/>
      <c r="AJ699" s="24"/>
      <c r="AK699" s="61"/>
      <c r="AL699" s="16"/>
      <c r="AM699" s="16"/>
      <c r="AN699" s="16"/>
      <c r="AO699" s="16"/>
      <c r="AP699" s="16"/>
      <c r="AQ699" s="17"/>
      <c r="AU699" s="24"/>
      <c r="AV699" s="61"/>
      <c r="AW699" s="16"/>
      <c r="AX699" s="16"/>
      <c r="AY699" s="16"/>
      <c r="AZ699" s="16"/>
      <c r="BA699" s="16"/>
      <c r="BB699" s="17"/>
      <c r="BF699" s="24"/>
      <c r="BG699" s="61"/>
      <c r="BH699" s="16"/>
      <c r="BI699" s="16"/>
      <c r="BJ699" s="16"/>
      <c r="BK699" s="16"/>
      <c r="BL699" s="16"/>
      <c r="BM699" s="17"/>
      <c r="BQ699" s="24"/>
      <c r="BR699" s="61"/>
      <c r="BS699" s="16"/>
      <c r="BT699" s="16"/>
      <c r="BU699" s="16"/>
      <c r="BV699" s="16"/>
      <c r="BW699" s="16"/>
      <c r="BX699" s="17"/>
      <c r="CB699" s="24"/>
      <c r="CC699" s="61"/>
      <c r="CD699" s="16"/>
      <c r="CE699" s="16"/>
      <c r="CF699" s="16"/>
      <c r="CG699" s="16"/>
      <c r="CH699" s="16"/>
      <c r="CI699" s="17"/>
      <c r="CM699" s="24"/>
      <c r="CN699" s="61"/>
      <c r="CO699" s="16"/>
      <c r="CP699" s="16"/>
      <c r="CQ699" s="16"/>
      <c r="CR699" s="16"/>
      <c r="CS699" s="16"/>
      <c r="CT699" s="17"/>
      <c r="CX699" s="24"/>
      <c r="CY699" s="60"/>
      <c r="CZ699" s="16"/>
      <c r="DA699" s="16"/>
      <c r="DB699" s="16"/>
      <c r="DC699" s="16"/>
      <c r="DD699" s="16"/>
      <c r="DE699" s="17"/>
      <c r="DI699" s="24"/>
      <c r="DJ699" s="60"/>
      <c r="DK699" s="16"/>
      <c r="DL699" s="16"/>
      <c r="DM699" s="16"/>
      <c r="DN699" s="16"/>
      <c r="DO699" s="16"/>
      <c r="DP699" s="17"/>
      <c r="DT699" s="24"/>
      <c r="DU699" s="60"/>
      <c r="DV699" s="16"/>
      <c r="DW699" s="16"/>
      <c r="DX699" s="16"/>
      <c r="DY699" s="16"/>
      <c r="DZ699" s="16"/>
      <c r="EA699" s="17"/>
      <c r="EE699" s="24"/>
      <c r="EF699" s="60"/>
      <c r="EG699" s="16"/>
      <c r="EH699" s="16"/>
      <c r="EI699" s="16"/>
      <c r="EJ699" s="16"/>
      <c r="EK699" s="16"/>
      <c r="EL699" s="17"/>
      <c r="EP699" s="24"/>
      <c r="EQ699" s="60"/>
      <c r="ER699" s="16"/>
      <c r="ES699" s="16"/>
      <c r="ET699" s="16"/>
      <c r="EU699" s="16"/>
      <c r="EV699" s="16"/>
      <c r="EW699" s="17"/>
      <c r="FA699" s="24"/>
      <c r="FB699" s="60"/>
      <c r="FC699" s="16"/>
      <c r="FD699" s="16"/>
      <c r="FE699" s="16"/>
      <c r="FF699" s="16"/>
      <c r="FG699" s="16"/>
      <c r="FH699" s="17"/>
      <c r="FL699" s="24"/>
      <c r="FM699" s="60"/>
      <c r="FN699" s="16"/>
      <c r="FO699" s="16"/>
      <c r="FP699" s="16"/>
      <c r="FQ699" s="16"/>
      <c r="FR699" s="16"/>
      <c r="FS699" s="17"/>
      <c r="FW699" s="24"/>
      <c r="FX699" s="60"/>
      <c r="FY699" s="16"/>
      <c r="FZ699" s="16"/>
      <c r="GA699" s="16"/>
      <c r="GB699" s="16"/>
      <c r="GC699" s="16"/>
      <c r="GD699" s="17"/>
      <c r="GH699" s="24"/>
      <c r="GI699" s="60"/>
      <c r="GJ699" s="16"/>
      <c r="GK699" s="16"/>
      <c r="GL699" s="16"/>
      <c r="GM699" s="16"/>
      <c r="GN699" s="16"/>
      <c r="GO699" s="17"/>
      <c r="GS699" s="24"/>
      <c r="GT699" s="60"/>
      <c r="GU699" s="16"/>
      <c r="GV699" s="16"/>
      <c r="GW699" s="16"/>
      <c r="GX699" s="16"/>
      <c r="GY699" s="16"/>
      <c r="GZ699" s="17"/>
      <c r="HD699" s="24"/>
      <c r="HE699" s="60"/>
      <c r="HF699" s="16"/>
      <c r="HG699" s="16"/>
      <c r="HH699" s="16"/>
      <c r="HI699" s="16"/>
      <c r="HJ699" s="16"/>
      <c r="HK699" s="17"/>
      <c r="HO699" s="24"/>
      <c r="HP699" s="60"/>
      <c r="HQ699" s="16"/>
      <c r="HR699" s="16"/>
      <c r="HS699" s="16"/>
      <c r="HT699" s="16"/>
      <c r="HU699" s="16"/>
      <c r="HV699" s="17"/>
      <c r="HZ699" s="24"/>
      <c r="IA699" s="60"/>
      <c r="IB699" s="16"/>
      <c r="IC699" s="16"/>
      <c r="ID699" s="16"/>
      <c r="IE699" s="16"/>
      <c r="IF699" s="16"/>
      <c r="IG699" s="17"/>
      <c r="IK699" s="24"/>
      <c r="IL699" s="60"/>
      <c r="IM699" s="16"/>
      <c r="IN699" s="16"/>
      <c r="IO699" s="16"/>
      <c r="IP699" s="16"/>
      <c r="IQ699" s="16"/>
      <c r="IR699" s="17"/>
      <c r="IV699" s="24"/>
      <c r="IW699" s="60"/>
      <c r="IX699" s="16"/>
      <c r="IY699" s="16"/>
      <c r="IZ699" s="16"/>
      <c r="JA699" s="16"/>
      <c r="JB699" s="16"/>
      <c r="JC699" s="17"/>
      <c r="JG699" s="24"/>
      <c r="JH699" s="60"/>
      <c r="JI699" s="16"/>
      <c r="JJ699" s="16"/>
      <c r="JK699" s="16"/>
      <c r="JL699" s="16"/>
      <c r="JM699" s="16"/>
      <c r="JN699" s="17"/>
      <c r="JR699" s="24"/>
      <c r="JS699" s="60"/>
      <c r="JT699" s="16"/>
      <c r="JU699" s="16"/>
      <c r="JV699" s="16"/>
      <c r="JW699" s="16"/>
      <c r="JX699" s="16"/>
      <c r="JY699" s="17"/>
      <c r="KC699" s="24"/>
      <c r="KD699" s="60"/>
      <c r="KE699" s="16"/>
      <c r="KF699" s="16"/>
      <c r="KG699" s="16"/>
      <c r="KH699" s="16"/>
      <c r="KI699" s="16"/>
      <c r="KJ699" s="17"/>
      <c r="KN699" s="24"/>
      <c r="KO699" s="60"/>
      <c r="KP699" s="16"/>
      <c r="KQ699" s="16"/>
      <c r="KR699" s="16"/>
      <c r="KS699" s="16"/>
      <c r="KT699" s="16"/>
      <c r="KU699" s="17"/>
      <c r="KY699" s="24"/>
      <c r="KZ699" s="60"/>
      <c r="LA699" s="16"/>
      <c r="LB699" s="16"/>
      <c r="LC699" s="16"/>
      <c r="LD699" s="16"/>
      <c r="LE699" s="16"/>
      <c r="LF699" s="17"/>
      <c r="LJ699" s="24"/>
      <c r="LK699" s="60"/>
      <c r="LL699" s="16"/>
      <c r="LM699" s="16"/>
      <c r="LN699" s="16"/>
      <c r="LO699" s="16"/>
      <c r="LP699" s="16"/>
      <c r="LQ699" s="17"/>
    </row>
    <row r="700">
      <c r="C700" s="31"/>
      <c r="D700" s="61"/>
      <c r="E700" s="16"/>
      <c r="F700" s="16"/>
      <c r="G700" s="21"/>
      <c r="H700" s="16"/>
      <c r="I700" s="16"/>
      <c r="J700" s="17"/>
      <c r="N700" s="17"/>
      <c r="O700" s="61"/>
      <c r="P700" s="16"/>
      <c r="Q700" s="16"/>
      <c r="R700" s="16"/>
      <c r="S700" s="16"/>
      <c r="T700" s="16"/>
      <c r="U700" s="17"/>
      <c r="Y700" s="24"/>
      <c r="Z700" s="61"/>
      <c r="AA700" s="16"/>
      <c r="AB700" s="16"/>
      <c r="AC700" s="16"/>
      <c r="AD700" s="16"/>
      <c r="AE700" s="16"/>
      <c r="AF700" s="17"/>
      <c r="AJ700" s="24"/>
      <c r="AK700" s="61"/>
      <c r="AL700" s="16"/>
      <c r="AM700" s="16"/>
      <c r="AN700" s="16"/>
      <c r="AO700" s="16"/>
      <c r="AP700" s="16"/>
      <c r="AQ700" s="17"/>
      <c r="AU700" s="24"/>
      <c r="AV700" s="61"/>
      <c r="AW700" s="16"/>
      <c r="AX700" s="16"/>
      <c r="AY700" s="16"/>
      <c r="AZ700" s="16"/>
      <c r="BA700" s="16"/>
      <c r="BB700" s="17"/>
      <c r="BF700" s="24"/>
      <c r="BG700" s="61"/>
      <c r="BH700" s="16"/>
      <c r="BI700" s="16"/>
      <c r="BJ700" s="16"/>
      <c r="BK700" s="16"/>
      <c r="BL700" s="16"/>
      <c r="BM700" s="17"/>
      <c r="BQ700" s="24"/>
      <c r="BR700" s="61"/>
      <c r="BS700" s="16"/>
      <c r="BT700" s="16"/>
      <c r="BU700" s="16"/>
      <c r="BV700" s="16"/>
      <c r="BW700" s="16"/>
      <c r="BX700" s="17"/>
      <c r="CB700" s="24"/>
      <c r="CC700" s="61"/>
      <c r="CD700" s="16"/>
      <c r="CE700" s="16"/>
      <c r="CF700" s="16"/>
      <c r="CG700" s="16"/>
      <c r="CH700" s="16"/>
      <c r="CI700" s="17"/>
      <c r="CM700" s="24"/>
      <c r="CN700" s="61"/>
      <c r="CO700" s="16"/>
      <c r="CP700" s="16"/>
      <c r="CQ700" s="16"/>
      <c r="CR700" s="16"/>
      <c r="CS700" s="16"/>
      <c r="CT700" s="17"/>
      <c r="CX700" s="24"/>
      <c r="CY700" s="60"/>
      <c r="CZ700" s="16"/>
      <c r="DA700" s="16"/>
      <c r="DB700" s="16"/>
      <c r="DC700" s="16"/>
      <c r="DD700" s="16"/>
      <c r="DE700" s="17"/>
      <c r="DI700" s="24"/>
      <c r="DJ700" s="60"/>
      <c r="DK700" s="16"/>
      <c r="DL700" s="16"/>
      <c r="DM700" s="16"/>
      <c r="DN700" s="16"/>
      <c r="DO700" s="16"/>
      <c r="DP700" s="17"/>
      <c r="DT700" s="24"/>
      <c r="DU700" s="60"/>
      <c r="DV700" s="16"/>
      <c r="DW700" s="16"/>
      <c r="DX700" s="16"/>
      <c r="DY700" s="16"/>
      <c r="DZ700" s="16"/>
      <c r="EA700" s="17"/>
      <c r="EE700" s="24"/>
      <c r="EF700" s="60"/>
      <c r="EG700" s="16"/>
      <c r="EH700" s="16"/>
      <c r="EI700" s="16"/>
      <c r="EJ700" s="16"/>
      <c r="EK700" s="16"/>
      <c r="EL700" s="17"/>
      <c r="EP700" s="24"/>
      <c r="EQ700" s="60"/>
      <c r="ER700" s="16"/>
      <c r="ES700" s="16"/>
      <c r="ET700" s="16"/>
      <c r="EU700" s="16"/>
      <c r="EV700" s="16"/>
      <c r="EW700" s="17"/>
      <c r="FA700" s="24"/>
      <c r="FB700" s="60"/>
      <c r="FC700" s="16"/>
      <c r="FD700" s="16"/>
      <c r="FE700" s="16"/>
      <c r="FF700" s="16"/>
      <c r="FG700" s="16"/>
      <c r="FH700" s="17"/>
      <c r="FL700" s="24"/>
      <c r="FM700" s="60"/>
      <c r="FN700" s="16"/>
      <c r="FO700" s="16"/>
      <c r="FP700" s="16"/>
      <c r="FQ700" s="16"/>
      <c r="FR700" s="16"/>
      <c r="FS700" s="17"/>
      <c r="FW700" s="24"/>
      <c r="FX700" s="60"/>
      <c r="FY700" s="16"/>
      <c r="FZ700" s="16"/>
      <c r="GA700" s="16"/>
      <c r="GB700" s="16"/>
      <c r="GC700" s="16"/>
      <c r="GD700" s="17"/>
      <c r="GH700" s="24"/>
      <c r="GI700" s="60"/>
      <c r="GJ700" s="16"/>
      <c r="GK700" s="16"/>
      <c r="GL700" s="16"/>
      <c r="GM700" s="16"/>
      <c r="GN700" s="16"/>
      <c r="GO700" s="17"/>
      <c r="GS700" s="24"/>
      <c r="GT700" s="60"/>
      <c r="GU700" s="16"/>
      <c r="GV700" s="16"/>
      <c r="GW700" s="16"/>
      <c r="GX700" s="16"/>
      <c r="GY700" s="16"/>
      <c r="GZ700" s="17"/>
      <c r="HD700" s="24"/>
      <c r="HE700" s="60"/>
      <c r="HF700" s="16"/>
      <c r="HG700" s="16"/>
      <c r="HH700" s="16"/>
      <c r="HI700" s="16"/>
      <c r="HJ700" s="16"/>
      <c r="HK700" s="17"/>
      <c r="HO700" s="24"/>
      <c r="HP700" s="60"/>
      <c r="HQ700" s="16"/>
      <c r="HR700" s="16"/>
      <c r="HS700" s="16"/>
      <c r="HT700" s="16"/>
      <c r="HU700" s="16"/>
      <c r="HV700" s="17"/>
      <c r="HZ700" s="24"/>
      <c r="IA700" s="60"/>
      <c r="IB700" s="16"/>
      <c r="IC700" s="16"/>
      <c r="ID700" s="16"/>
      <c r="IE700" s="16"/>
      <c r="IF700" s="16"/>
      <c r="IG700" s="17"/>
      <c r="IK700" s="24"/>
      <c r="IL700" s="60"/>
      <c r="IM700" s="16"/>
      <c r="IN700" s="16"/>
      <c r="IO700" s="16"/>
      <c r="IP700" s="16"/>
      <c r="IQ700" s="16"/>
      <c r="IR700" s="17"/>
      <c r="IV700" s="24"/>
      <c r="IW700" s="60"/>
      <c r="IX700" s="16"/>
      <c r="IY700" s="16"/>
      <c r="IZ700" s="16"/>
      <c r="JA700" s="16"/>
      <c r="JB700" s="16"/>
      <c r="JC700" s="17"/>
      <c r="JG700" s="24"/>
      <c r="JH700" s="60"/>
      <c r="JI700" s="16"/>
      <c r="JJ700" s="16"/>
      <c r="JK700" s="16"/>
      <c r="JL700" s="16"/>
      <c r="JM700" s="16"/>
      <c r="JN700" s="17"/>
      <c r="JR700" s="24"/>
      <c r="JS700" s="60"/>
      <c r="JT700" s="16"/>
      <c r="JU700" s="16"/>
      <c r="JV700" s="16"/>
      <c r="JW700" s="16"/>
      <c r="JX700" s="16"/>
      <c r="JY700" s="17"/>
      <c r="KC700" s="24"/>
      <c r="KD700" s="60"/>
      <c r="KE700" s="16"/>
      <c r="KF700" s="16"/>
      <c r="KG700" s="16"/>
      <c r="KH700" s="16"/>
      <c r="KI700" s="16"/>
      <c r="KJ700" s="17"/>
      <c r="KN700" s="24"/>
      <c r="KO700" s="60"/>
      <c r="KP700" s="16"/>
      <c r="KQ700" s="16"/>
      <c r="KR700" s="16"/>
      <c r="KS700" s="16"/>
      <c r="KT700" s="16"/>
      <c r="KU700" s="17"/>
      <c r="KY700" s="24"/>
      <c r="KZ700" s="60"/>
      <c r="LA700" s="16"/>
      <c r="LB700" s="16"/>
      <c r="LC700" s="16"/>
      <c r="LD700" s="16"/>
      <c r="LE700" s="16"/>
      <c r="LF700" s="17"/>
      <c r="LJ700" s="24"/>
      <c r="LK700" s="60"/>
      <c r="LL700" s="16"/>
      <c r="LM700" s="16"/>
      <c r="LN700" s="16"/>
      <c r="LO700" s="16"/>
      <c r="LP700" s="16"/>
      <c r="LQ700" s="17"/>
    </row>
    <row r="701">
      <c r="C701" s="31"/>
      <c r="D701" s="61"/>
      <c r="E701" s="16"/>
      <c r="F701" s="16"/>
      <c r="G701" s="21"/>
      <c r="H701" s="16"/>
      <c r="I701" s="16"/>
      <c r="J701" s="17"/>
      <c r="N701" s="17"/>
      <c r="O701" s="61"/>
      <c r="P701" s="16"/>
      <c r="Q701" s="16"/>
      <c r="R701" s="16"/>
      <c r="S701" s="16"/>
      <c r="T701" s="16"/>
      <c r="U701" s="17"/>
      <c r="Y701" s="24"/>
      <c r="Z701" s="61"/>
      <c r="AA701" s="16"/>
      <c r="AB701" s="16"/>
      <c r="AC701" s="16"/>
      <c r="AD701" s="16"/>
      <c r="AE701" s="16"/>
      <c r="AF701" s="17"/>
      <c r="AJ701" s="24"/>
      <c r="AK701" s="61"/>
      <c r="AL701" s="16"/>
      <c r="AM701" s="16"/>
      <c r="AN701" s="16"/>
      <c r="AO701" s="16"/>
      <c r="AP701" s="16"/>
      <c r="AQ701" s="17"/>
      <c r="AU701" s="24"/>
      <c r="AV701" s="61"/>
      <c r="AW701" s="16"/>
      <c r="AX701" s="16"/>
      <c r="AY701" s="16"/>
      <c r="AZ701" s="16"/>
      <c r="BA701" s="16"/>
      <c r="BB701" s="17"/>
      <c r="BF701" s="24"/>
      <c r="BG701" s="61"/>
      <c r="BH701" s="16"/>
      <c r="BI701" s="16"/>
      <c r="BJ701" s="16"/>
      <c r="BK701" s="16"/>
      <c r="BL701" s="16"/>
      <c r="BM701" s="17"/>
      <c r="BQ701" s="24"/>
      <c r="BR701" s="61"/>
      <c r="BS701" s="16"/>
      <c r="BT701" s="16"/>
      <c r="BU701" s="16"/>
      <c r="BV701" s="16"/>
      <c r="BW701" s="16"/>
      <c r="BX701" s="17"/>
      <c r="CB701" s="24"/>
      <c r="CC701" s="61"/>
      <c r="CD701" s="16"/>
      <c r="CE701" s="16"/>
      <c r="CF701" s="16"/>
      <c r="CG701" s="16"/>
      <c r="CH701" s="16"/>
      <c r="CI701" s="17"/>
      <c r="CM701" s="24"/>
      <c r="CN701" s="61"/>
      <c r="CO701" s="16"/>
      <c r="CP701" s="16"/>
      <c r="CQ701" s="16"/>
      <c r="CR701" s="16"/>
      <c r="CS701" s="16"/>
      <c r="CT701" s="17"/>
      <c r="CX701" s="24"/>
      <c r="CY701" s="60"/>
      <c r="CZ701" s="16"/>
      <c r="DA701" s="16"/>
      <c r="DB701" s="16"/>
      <c r="DC701" s="16"/>
      <c r="DD701" s="16"/>
      <c r="DE701" s="17"/>
      <c r="DI701" s="24"/>
      <c r="DJ701" s="60"/>
      <c r="DK701" s="16"/>
      <c r="DL701" s="16"/>
      <c r="DM701" s="16"/>
      <c r="DN701" s="16"/>
      <c r="DO701" s="16"/>
      <c r="DP701" s="17"/>
      <c r="DT701" s="24"/>
      <c r="DU701" s="60"/>
      <c r="DV701" s="16"/>
      <c r="DW701" s="16"/>
      <c r="DX701" s="16"/>
      <c r="DY701" s="16"/>
      <c r="DZ701" s="16"/>
      <c r="EA701" s="17"/>
      <c r="EE701" s="24"/>
      <c r="EF701" s="60"/>
      <c r="EG701" s="16"/>
      <c r="EH701" s="16"/>
      <c r="EI701" s="16"/>
      <c r="EJ701" s="16"/>
      <c r="EK701" s="16"/>
      <c r="EL701" s="17"/>
      <c r="EP701" s="24"/>
      <c r="EQ701" s="60"/>
      <c r="ER701" s="16"/>
      <c r="ES701" s="16"/>
      <c r="ET701" s="16"/>
      <c r="EU701" s="16"/>
      <c r="EV701" s="16"/>
      <c r="EW701" s="17"/>
      <c r="FA701" s="24"/>
      <c r="FB701" s="60"/>
      <c r="FC701" s="16"/>
      <c r="FD701" s="16"/>
      <c r="FE701" s="16"/>
      <c r="FF701" s="16"/>
      <c r="FG701" s="16"/>
      <c r="FH701" s="17"/>
      <c r="FL701" s="24"/>
      <c r="FM701" s="60"/>
      <c r="FN701" s="16"/>
      <c r="FO701" s="16"/>
      <c r="FP701" s="16"/>
      <c r="FQ701" s="16"/>
      <c r="FR701" s="16"/>
      <c r="FS701" s="17"/>
      <c r="FW701" s="24"/>
      <c r="FX701" s="60"/>
      <c r="FY701" s="16"/>
      <c r="FZ701" s="16"/>
      <c r="GA701" s="16"/>
      <c r="GB701" s="16"/>
      <c r="GC701" s="16"/>
      <c r="GD701" s="17"/>
      <c r="GH701" s="24"/>
      <c r="GI701" s="60"/>
      <c r="GJ701" s="16"/>
      <c r="GK701" s="16"/>
      <c r="GL701" s="16"/>
      <c r="GM701" s="16"/>
      <c r="GN701" s="16"/>
      <c r="GO701" s="17"/>
      <c r="GS701" s="24"/>
      <c r="GT701" s="60"/>
      <c r="GU701" s="16"/>
      <c r="GV701" s="16"/>
      <c r="GW701" s="16"/>
      <c r="GX701" s="16"/>
      <c r="GY701" s="16"/>
      <c r="GZ701" s="17"/>
      <c r="HD701" s="24"/>
      <c r="HE701" s="60"/>
      <c r="HF701" s="16"/>
      <c r="HG701" s="16"/>
      <c r="HH701" s="16"/>
      <c r="HI701" s="16"/>
      <c r="HJ701" s="16"/>
      <c r="HK701" s="17"/>
      <c r="HO701" s="24"/>
      <c r="HP701" s="60"/>
      <c r="HQ701" s="16"/>
      <c r="HR701" s="16"/>
      <c r="HS701" s="16"/>
      <c r="HT701" s="16"/>
      <c r="HU701" s="16"/>
      <c r="HV701" s="17"/>
      <c r="HZ701" s="24"/>
      <c r="IA701" s="60"/>
      <c r="IB701" s="16"/>
      <c r="IC701" s="16"/>
      <c r="ID701" s="16"/>
      <c r="IE701" s="16"/>
      <c r="IF701" s="16"/>
      <c r="IG701" s="17"/>
      <c r="IK701" s="24"/>
      <c r="IL701" s="60"/>
      <c r="IM701" s="16"/>
      <c r="IN701" s="16"/>
      <c r="IO701" s="16"/>
      <c r="IP701" s="16"/>
      <c r="IQ701" s="16"/>
      <c r="IR701" s="17"/>
      <c r="IV701" s="24"/>
      <c r="IW701" s="60"/>
      <c r="IX701" s="16"/>
      <c r="IY701" s="16"/>
      <c r="IZ701" s="16"/>
      <c r="JA701" s="16"/>
      <c r="JB701" s="16"/>
      <c r="JC701" s="17"/>
      <c r="JG701" s="24"/>
      <c r="JH701" s="60"/>
      <c r="JI701" s="16"/>
      <c r="JJ701" s="16"/>
      <c r="JK701" s="16"/>
      <c r="JL701" s="16"/>
      <c r="JM701" s="16"/>
      <c r="JN701" s="17"/>
      <c r="JR701" s="24"/>
      <c r="JS701" s="60"/>
      <c r="JT701" s="16"/>
      <c r="JU701" s="16"/>
      <c r="JV701" s="16"/>
      <c r="JW701" s="16"/>
      <c r="JX701" s="16"/>
      <c r="JY701" s="17"/>
      <c r="KC701" s="24"/>
      <c r="KD701" s="60"/>
      <c r="KE701" s="16"/>
      <c r="KF701" s="16"/>
      <c r="KG701" s="16"/>
      <c r="KH701" s="16"/>
      <c r="KI701" s="16"/>
      <c r="KJ701" s="17"/>
      <c r="KN701" s="24"/>
      <c r="KO701" s="60"/>
      <c r="KP701" s="16"/>
      <c r="KQ701" s="16"/>
      <c r="KR701" s="16"/>
      <c r="KS701" s="16"/>
      <c r="KT701" s="16"/>
      <c r="KU701" s="17"/>
      <c r="KY701" s="24"/>
      <c r="KZ701" s="60"/>
      <c r="LA701" s="16"/>
      <c r="LB701" s="16"/>
      <c r="LC701" s="16"/>
      <c r="LD701" s="16"/>
      <c r="LE701" s="16"/>
      <c r="LF701" s="17"/>
      <c r="LJ701" s="24"/>
      <c r="LK701" s="60"/>
      <c r="LL701" s="16"/>
      <c r="LM701" s="16"/>
      <c r="LN701" s="16"/>
      <c r="LO701" s="16"/>
      <c r="LP701" s="16"/>
      <c r="LQ701" s="17"/>
    </row>
    <row r="702">
      <c r="C702" s="31"/>
      <c r="D702" s="61"/>
      <c r="E702" s="16"/>
      <c r="F702" s="16"/>
      <c r="G702" s="21"/>
      <c r="H702" s="16"/>
      <c r="I702" s="16"/>
      <c r="J702" s="17"/>
      <c r="N702" s="17"/>
      <c r="O702" s="61"/>
      <c r="P702" s="16"/>
      <c r="Q702" s="16"/>
      <c r="R702" s="16"/>
      <c r="S702" s="16"/>
      <c r="T702" s="16"/>
      <c r="U702" s="17"/>
      <c r="Y702" s="24"/>
      <c r="Z702" s="61"/>
      <c r="AA702" s="16"/>
      <c r="AB702" s="16"/>
      <c r="AC702" s="16"/>
      <c r="AD702" s="16"/>
      <c r="AE702" s="16"/>
      <c r="AF702" s="17"/>
      <c r="AJ702" s="24"/>
      <c r="AK702" s="61"/>
      <c r="AL702" s="16"/>
      <c r="AM702" s="16"/>
      <c r="AN702" s="16"/>
      <c r="AO702" s="16"/>
      <c r="AP702" s="16"/>
      <c r="AQ702" s="17"/>
      <c r="AU702" s="24"/>
      <c r="AV702" s="61"/>
      <c r="AW702" s="16"/>
      <c r="AX702" s="16"/>
      <c r="AY702" s="16"/>
      <c r="AZ702" s="16"/>
      <c r="BA702" s="16"/>
      <c r="BB702" s="17"/>
      <c r="BF702" s="24"/>
      <c r="BG702" s="61"/>
      <c r="BH702" s="16"/>
      <c r="BI702" s="16"/>
      <c r="BJ702" s="16"/>
      <c r="BK702" s="16"/>
      <c r="BL702" s="16"/>
      <c r="BM702" s="17"/>
      <c r="BQ702" s="24"/>
      <c r="BR702" s="61"/>
      <c r="BS702" s="16"/>
      <c r="BT702" s="16"/>
      <c r="BU702" s="16"/>
      <c r="BV702" s="16"/>
      <c r="BW702" s="16"/>
      <c r="BX702" s="17"/>
      <c r="CB702" s="24"/>
      <c r="CC702" s="61"/>
      <c r="CD702" s="16"/>
      <c r="CE702" s="16"/>
      <c r="CF702" s="16"/>
      <c r="CG702" s="16"/>
      <c r="CH702" s="16"/>
      <c r="CI702" s="17"/>
      <c r="CM702" s="24"/>
      <c r="CN702" s="61"/>
      <c r="CO702" s="16"/>
      <c r="CP702" s="16"/>
      <c r="CQ702" s="16"/>
      <c r="CR702" s="16"/>
      <c r="CS702" s="16"/>
      <c r="CT702" s="17"/>
      <c r="CX702" s="24"/>
      <c r="CY702" s="60"/>
      <c r="CZ702" s="16"/>
      <c r="DA702" s="16"/>
      <c r="DB702" s="16"/>
      <c r="DC702" s="16"/>
      <c r="DD702" s="16"/>
      <c r="DE702" s="17"/>
      <c r="DI702" s="24"/>
      <c r="DJ702" s="60"/>
      <c r="DK702" s="16"/>
      <c r="DL702" s="16"/>
      <c r="DM702" s="16"/>
      <c r="DN702" s="16"/>
      <c r="DO702" s="16"/>
      <c r="DP702" s="17"/>
      <c r="DT702" s="24"/>
      <c r="DU702" s="60"/>
      <c r="DV702" s="16"/>
      <c r="DW702" s="16"/>
      <c r="DX702" s="16"/>
      <c r="DY702" s="16"/>
      <c r="DZ702" s="16"/>
      <c r="EA702" s="17"/>
      <c r="EE702" s="24"/>
      <c r="EF702" s="60"/>
      <c r="EG702" s="16"/>
      <c r="EH702" s="16"/>
      <c r="EI702" s="16"/>
      <c r="EJ702" s="16"/>
      <c r="EK702" s="16"/>
      <c r="EL702" s="17"/>
      <c r="EP702" s="24"/>
      <c r="EQ702" s="60"/>
      <c r="ER702" s="16"/>
      <c r="ES702" s="16"/>
      <c r="ET702" s="16"/>
      <c r="EU702" s="16"/>
      <c r="EV702" s="16"/>
      <c r="EW702" s="17"/>
      <c r="FA702" s="24"/>
      <c r="FB702" s="60"/>
      <c r="FC702" s="16"/>
      <c r="FD702" s="16"/>
      <c r="FE702" s="16"/>
      <c r="FF702" s="16"/>
      <c r="FG702" s="16"/>
      <c r="FH702" s="17"/>
      <c r="FL702" s="24"/>
      <c r="FM702" s="60"/>
      <c r="FN702" s="16"/>
      <c r="FO702" s="16"/>
      <c r="FP702" s="16"/>
      <c r="FQ702" s="16"/>
      <c r="FR702" s="16"/>
      <c r="FS702" s="17"/>
      <c r="FW702" s="24"/>
      <c r="FX702" s="60"/>
      <c r="FY702" s="16"/>
      <c r="FZ702" s="16"/>
      <c r="GA702" s="16"/>
      <c r="GB702" s="16"/>
      <c r="GC702" s="16"/>
      <c r="GD702" s="17"/>
      <c r="GH702" s="24"/>
      <c r="GI702" s="60"/>
      <c r="GJ702" s="16"/>
      <c r="GK702" s="16"/>
      <c r="GL702" s="16"/>
      <c r="GM702" s="16"/>
      <c r="GN702" s="16"/>
      <c r="GO702" s="17"/>
      <c r="GS702" s="24"/>
      <c r="GT702" s="60"/>
      <c r="GU702" s="16"/>
      <c r="GV702" s="16"/>
      <c r="GW702" s="16"/>
      <c r="GX702" s="16"/>
      <c r="GY702" s="16"/>
      <c r="GZ702" s="17"/>
      <c r="HD702" s="24"/>
      <c r="HE702" s="60"/>
      <c r="HF702" s="16"/>
      <c r="HG702" s="16"/>
      <c r="HH702" s="16"/>
      <c r="HI702" s="16"/>
      <c r="HJ702" s="16"/>
      <c r="HK702" s="17"/>
      <c r="HO702" s="24"/>
      <c r="HP702" s="60"/>
      <c r="HQ702" s="16"/>
      <c r="HR702" s="16"/>
      <c r="HS702" s="16"/>
      <c r="HT702" s="16"/>
      <c r="HU702" s="16"/>
      <c r="HV702" s="17"/>
      <c r="HZ702" s="24"/>
      <c r="IA702" s="60"/>
      <c r="IB702" s="16"/>
      <c r="IC702" s="16"/>
      <c r="ID702" s="16"/>
      <c r="IE702" s="16"/>
      <c r="IF702" s="16"/>
      <c r="IG702" s="17"/>
      <c r="IK702" s="24"/>
      <c r="IL702" s="60"/>
      <c r="IM702" s="16"/>
      <c r="IN702" s="16"/>
      <c r="IO702" s="16"/>
      <c r="IP702" s="16"/>
      <c r="IQ702" s="16"/>
      <c r="IR702" s="17"/>
      <c r="IV702" s="24"/>
      <c r="IW702" s="60"/>
      <c r="IX702" s="16"/>
      <c r="IY702" s="16"/>
      <c r="IZ702" s="16"/>
      <c r="JA702" s="16"/>
      <c r="JB702" s="16"/>
      <c r="JC702" s="17"/>
      <c r="JG702" s="24"/>
      <c r="JH702" s="60"/>
      <c r="JI702" s="16"/>
      <c r="JJ702" s="16"/>
      <c r="JK702" s="16"/>
      <c r="JL702" s="16"/>
      <c r="JM702" s="16"/>
      <c r="JN702" s="17"/>
      <c r="JR702" s="24"/>
      <c r="JS702" s="60"/>
      <c r="JT702" s="16"/>
      <c r="JU702" s="16"/>
      <c r="JV702" s="16"/>
      <c r="JW702" s="16"/>
      <c r="JX702" s="16"/>
      <c r="JY702" s="17"/>
      <c r="KC702" s="24"/>
      <c r="KD702" s="60"/>
      <c r="KE702" s="16"/>
      <c r="KF702" s="16"/>
      <c r="KG702" s="16"/>
      <c r="KH702" s="16"/>
      <c r="KI702" s="16"/>
      <c r="KJ702" s="17"/>
      <c r="KN702" s="24"/>
      <c r="KO702" s="60"/>
      <c r="KP702" s="16"/>
      <c r="KQ702" s="16"/>
      <c r="KR702" s="16"/>
      <c r="KS702" s="16"/>
      <c r="KT702" s="16"/>
      <c r="KU702" s="17"/>
      <c r="KY702" s="24"/>
      <c r="KZ702" s="60"/>
      <c r="LA702" s="16"/>
      <c r="LB702" s="16"/>
      <c r="LC702" s="16"/>
      <c r="LD702" s="16"/>
      <c r="LE702" s="16"/>
      <c r="LF702" s="17"/>
      <c r="LJ702" s="24"/>
      <c r="LK702" s="60"/>
      <c r="LL702" s="16"/>
      <c r="LM702" s="16"/>
      <c r="LN702" s="16"/>
      <c r="LO702" s="16"/>
      <c r="LP702" s="16"/>
      <c r="LQ702" s="17"/>
    </row>
    <row r="703">
      <c r="C703" s="31"/>
      <c r="D703" s="61"/>
      <c r="E703" s="16"/>
      <c r="F703" s="16"/>
      <c r="G703" s="21"/>
      <c r="H703" s="16"/>
      <c r="I703" s="16"/>
      <c r="J703" s="17"/>
      <c r="N703" s="17"/>
      <c r="O703" s="61"/>
      <c r="P703" s="16"/>
      <c r="Q703" s="16"/>
      <c r="R703" s="16"/>
      <c r="S703" s="16"/>
      <c r="T703" s="16"/>
      <c r="U703" s="17"/>
      <c r="Y703" s="24"/>
      <c r="Z703" s="61"/>
      <c r="AA703" s="16"/>
      <c r="AB703" s="16"/>
      <c r="AC703" s="16"/>
      <c r="AD703" s="16"/>
      <c r="AE703" s="16"/>
      <c r="AF703" s="17"/>
      <c r="AJ703" s="24"/>
      <c r="AK703" s="61"/>
      <c r="AL703" s="16"/>
      <c r="AM703" s="16"/>
      <c r="AN703" s="16"/>
      <c r="AO703" s="16"/>
      <c r="AP703" s="16"/>
      <c r="AQ703" s="17"/>
      <c r="AU703" s="24"/>
      <c r="AV703" s="61"/>
      <c r="AW703" s="16"/>
      <c r="AX703" s="16"/>
      <c r="AY703" s="16"/>
      <c r="AZ703" s="16"/>
      <c r="BA703" s="16"/>
      <c r="BB703" s="17"/>
      <c r="BF703" s="24"/>
      <c r="BG703" s="61"/>
      <c r="BH703" s="16"/>
      <c r="BI703" s="16"/>
      <c r="BJ703" s="16"/>
      <c r="BK703" s="16"/>
      <c r="BL703" s="16"/>
      <c r="BM703" s="17"/>
      <c r="BQ703" s="24"/>
      <c r="BR703" s="61"/>
      <c r="BS703" s="16"/>
      <c r="BT703" s="16"/>
      <c r="BU703" s="16"/>
      <c r="BV703" s="16"/>
      <c r="BW703" s="16"/>
      <c r="BX703" s="17"/>
      <c r="CB703" s="24"/>
      <c r="CC703" s="61"/>
      <c r="CD703" s="16"/>
      <c r="CE703" s="16"/>
      <c r="CF703" s="16"/>
      <c r="CG703" s="16"/>
      <c r="CH703" s="16"/>
      <c r="CI703" s="17"/>
      <c r="CM703" s="24"/>
      <c r="CN703" s="61"/>
      <c r="CO703" s="16"/>
      <c r="CP703" s="16"/>
      <c r="CQ703" s="16"/>
      <c r="CR703" s="16"/>
      <c r="CS703" s="16"/>
      <c r="CT703" s="17"/>
      <c r="CX703" s="24"/>
      <c r="CY703" s="60"/>
      <c r="CZ703" s="16"/>
      <c r="DA703" s="16"/>
      <c r="DB703" s="16"/>
      <c r="DC703" s="16"/>
      <c r="DD703" s="16"/>
      <c r="DE703" s="17"/>
      <c r="DI703" s="24"/>
      <c r="DJ703" s="60"/>
      <c r="DK703" s="16"/>
      <c r="DL703" s="16"/>
      <c r="DM703" s="16"/>
      <c r="DN703" s="16"/>
      <c r="DO703" s="16"/>
      <c r="DP703" s="17"/>
      <c r="DT703" s="24"/>
      <c r="DU703" s="60"/>
      <c r="DV703" s="16"/>
      <c r="DW703" s="16"/>
      <c r="DX703" s="16"/>
      <c r="DY703" s="16"/>
      <c r="DZ703" s="16"/>
      <c r="EA703" s="17"/>
      <c r="EE703" s="24"/>
      <c r="EF703" s="60"/>
      <c r="EG703" s="16"/>
      <c r="EH703" s="16"/>
      <c r="EI703" s="16"/>
      <c r="EJ703" s="16"/>
      <c r="EK703" s="16"/>
      <c r="EL703" s="17"/>
      <c r="EP703" s="24"/>
      <c r="EQ703" s="60"/>
      <c r="ER703" s="16"/>
      <c r="ES703" s="16"/>
      <c r="ET703" s="16"/>
      <c r="EU703" s="16"/>
      <c r="EV703" s="16"/>
      <c r="EW703" s="17"/>
      <c r="FA703" s="24"/>
      <c r="FB703" s="60"/>
      <c r="FC703" s="16"/>
      <c r="FD703" s="16"/>
      <c r="FE703" s="16"/>
      <c r="FF703" s="16"/>
      <c r="FG703" s="16"/>
      <c r="FH703" s="17"/>
      <c r="FL703" s="24"/>
      <c r="FM703" s="60"/>
      <c r="FN703" s="16"/>
      <c r="FO703" s="16"/>
      <c r="FP703" s="16"/>
      <c r="FQ703" s="16"/>
      <c r="FR703" s="16"/>
      <c r="FS703" s="17"/>
      <c r="FW703" s="24"/>
      <c r="FX703" s="60"/>
      <c r="FY703" s="16"/>
      <c r="FZ703" s="16"/>
      <c r="GA703" s="16"/>
      <c r="GB703" s="16"/>
      <c r="GC703" s="16"/>
      <c r="GD703" s="17"/>
      <c r="GH703" s="24"/>
      <c r="GI703" s="60"/>
      <c r="GJ703" s="16"/>
      <c r="GK703" s="16"/>
      <c r="GL703" s="16"/>
      <c r="GM703" s="16"/>
      <c r="GN703" s="16"/>
      <c r="GO703" s="17"/>
      <c r="GS703" s="24"/>
      <c r="GT703" s="60"/>
      <c r="GU703" s="16"/>
      <c r="GV703" s="16"/>
      <c r="GW703" s="16"/>
      <c r="GX703" s="16"/>
      <c r="GY703" s="16"/>
      <c r="GZ703" s="17"/>
      <c r="HD703" s="24"/>
      <c r="HE703" s="60"/>
      <c r="HF703" s="16"/>
      <c r="HG703" s="16"/>
      <c r="HH703" s="16"/>
      <c r="HI703" s="16"/>
      <c r="HJ703" s="16"/>
      <c r="HK703" s="17"/>
      <c r="HO703" s="24"/>
      <c r="HP703" s="60"/>
      <c r="HQ703" s="16"/>
      <c r="HR703" s="16"/>
      <c r="HS703" s="16"/>
      <c r="HT703" s="16"/>
      <c r="HU703" s="16"/>
      <c r="HV703" s="17"/>
      <c r="HZ703" s="24"/>
      <c r="IA703" s="60"/>
      <c r="IB703" s="16"/>
      <c r="IC703" s="16"/>
      <c r="ID703" s="16"/>
      <c r="IE703" s="16"/>
      <c r="IF703" s="16"/>
      <c r="IG703" s="17"/>
      <c r="IK703" s="24"/>
      <c r="IL703" s="60"/>
      <c r="IM703" s="16"/>
      <c r="IN703" s="16"/>
      <c r="IO703" s="16"/>
      <c r="IP703" s="16"/>
      <c r="IQ703" s="16"/>
      <c r="IR703" s="17"/>
      <c r="IV703" s="24"/>
      <c r="IW703" s="60"/>
      <c r="IX703" s="16"/>
      <c r="IY703" s="16"/>
      <c r="IZ703" s="16"/>
      <c r="JA703" s="16"/>
      <c r="JB703" s="16"/>
      <c r="JC703" s="17"/>
      <c r="JG703" s="24"/>
      <c r="JH703" s="60"/>
      <c r="JI703" s="16"/>
      <c r="JJ703" s="16"/>
      <c r="JK703" s="16"/>
      <c r="JL703" s="16"/>
      <c r="JM703" s="16"/>
      <c r="JN703" s="17"/>
      <c r="JR703" s="24"/>
      <c r="JS703" s="60"/>
      <c r="JT703" s="16"/>
      <c r="JU703" s="16"/>
      <c r="JV703" s="16"/>
      <c r="JW703" s="16"/>
      <c r="JX703" s="16"/>
      <c r="JY703" s="17"/>
      <c r="KC703" s="24"/>
      <c r="KD703" s="60"/>
      <c r="KE703" s="16"/>
      <c r="KF703" s="16"/>
      <c r="KG703" s="16"/>
      <c r="KH703" s="16"/>
      <c r="KI703" s="16"/>
      <c r="KJ703" s="17"/>
      <c r="KN703" s="24"/>
      <c r="KO703" s="60"/>
      <c r="KP703" s="16"/>
      <c r="KQ703" s="16"/>
      <c r="KR703" s="16"/>
      <c r="KS703" s="16"/>
      <c r="KT703" s="16"/>
      <c r="KU703" s="17"/>
      <c r="KY703" s="24"/>
      <c r="KZ703" s="60"/>
      <c r="LA703" s="16"/>
      <c r="LB703" s="16"/>
      <c r="LC703" s="16"/>
      <c r="LD703" s="16"/>
      <c r="LE703" s="16"/>
      <c r="LF703" s="17"/>
      <c r="LJ703" s="24"/>
      <c r="LK703" s="60"/>
      <c r="LL703" s="16"/>
      <c r="LM703" s="16"/>
      <c r="LN703" s="16"/>
      <c r="LO703" s="16"/>
      <c r="LP703" s="16"/>
      <c r="LQ703" s="17"/>
    </row>
    <row r="704">
      <c r="C704" s="31"/>
      <c r="D704" s="61"/>
      <c r="E704" s="16"/>
      <c r="F704" s="16"/>
      <c r="G704" s="21"/>
      <c r="H704" s="16"/>
      <c r="I704" s="16"/>
      <c r="J704" s="17"/>
      <c r="N704" s="17"/>
      <c r="O704" s="61"/>
      <c r="P704" s="16"/>
      <c r="Q704" s="16"/>
      <c r="R704" s="16"/>
      <c r="S704" s="16"/>
      <c r="T704" s="16"/>
      <c r="U704" s="17"/>
      <c r="Y704" s="24"/>
      <c r="Z704" s="61"/>
      <c r="AA704" s="16"/>
      <c r="AB704" s="16"/>
      <c r="AC704" s="16"/>
      <c r="AD704" s="16"/>
      <c r="AE704" s="16"/>
      <c r="AF704" s="17"/>
      <c r="AJ704" s="24"/>
      <c r="AK704" s="61"/>
      <c r="AL704" s="16"/>
      <c r="AM704" s="16"/>
      <c r="AN704" s="16"/>
      <c r="AO704" s="16"/>
      <c r="AP704" s="16"/>
      <c r="AQ704" s="17"/>
      <c r="AU704" s="24"/>
      <c r="AV704" s="61"/>
      <c r="AW704" s="16"/>
      <c r="AX704" s="16"/>
      <c r="AY704" s="16"/>
      <c r="AZ704" s="16"/>
      <c r="BA704" s="16"/>
      <c r="BB704" s="17"/>
      <c r="BF704" s="24"/>
      <c r="BG704" s="61"/>
      <c r="BH704" s="16"/>
      <c r="BI704" s="16"/>
      <c r="BJ704" s="16"/>
      <c r="BK704" s="16"/>
      <c r="BL704" s="16"/>
      <c r="BM704" s="17"/>
      <c r="BQ704" s="24"/>
      <c r="BR704" s="61"/>
      <c r="BS704" s="16"/>
      <c r="BT704" s="16"/>
      <c r="BU704" s="16"/>
      <c r="BV704" s="16"/>
      <c r="BW704" s="16"/>
      <c r="BX704" s="17"/>
      <c r="CB704" s="24"/>
      <c r="CC704" s="61"/>
      <c r="CD704" s="16"/>
      <c r="CE704" s="16"/>
      <c r="CF704" s="16"/>
      <c r="CG704" s="16"/>
      <c r="CH704" s="16"/>
      <c r="CI704" s="17"/>
      <c r="CM704" s="24"/>
      <c r="CN704" s="61"/>
      <c r="CO704" s="16"/>
      <c r="CP704" s="16"/>
      <c r="CQ704" s="16"/>
      <c r="CR704" s="16"/>
      <c r="CS704" s="16"/>
      <c r="CT704" s="17"/>
      <c r="CX704" s="24"/>
      <c r="CY704" s="60"/>
      <c r="CZ704" s="16"/>
      <c r="DA704" s="16"/>
      <c r="DB704" s="16"/>
      <c r="DC704" s="16"/>
      <c r="DD704" s="16"/>
      <c r="DE704" s="17"/>
      <c r="DI704" s="24"/>
      <c r="DJ704" s="60"/>
      <c r="DK704" s="16"/>
      <c r="DL704" s="16"/>
      <c r="DM704" s="16"/>
      <c r="DN704" s="16"/>
      <c r="DO704" s="16"/>
      <c r="DP704" s="17"/>
      <c r="DT704" s="24"/>
      <c r="DU704" s="60"/>
      <c r="DV704" s="16"/>
      <c r="DW704" s="16"/>
      <c r="DX704" s="16"/>
      <c r="DY704" s="16"/>
      <c r="DZ704" s="16"/>
      <c r="EA704" s="17"/>
      <c r="EE704" s="24"/>
      <c r="EF704" s="60"/>
      <c r="EG704" s="16"/>
      <c r="EH704" s="16"/>
      <c r="EI704" s="16"/>
      <c r="EJ704" s="16"/>
      <c r="EK704" s="16"/>
      <c r="EL704" s="17"/>
      <c r="EP704" s="24"/>
      <c r="EQ704" s="60"/>
      <c r="ER704" s="16"/>
      <c r="ES704" s="16"/>
      <c r="ET704" s="16"/>
      <c r="EU704" s="16"/>
      <c r="EV704" s="16"/>
      <c r="EW704" s="17"/>
      <c r="FA704" s="24"/>
      <c r="FB704" s="60"/>
      <c r="FC704" s="16"/>
      <c r="FD704" s="16"/>
      <c r="FE704" s="16"/>
      <c r="FF704" s="16"/>
      <c r="FG704" s="16"/>
      <c r="FH704" s="17"/>
      <c r="FL704" s="24"/>
      <c r="FM704" s="60"/>
      <c r="FN704" s="16"/>
      <c r="FO704" s="16"/>
      <c r="FP704" s="16"/>
      <c r="FQ704" s="16"/>
      <c r="FR704" s="16"/>
      <c r="FS704" s="17"/>
      <c r="FW704" s="24"/>
      <c r="FX704" s="60"/>
      <c r="FY704" s="16"/>
      <c r="FZ704" s="16"/>
      <c r="GA704" s="16"/>
      <c r="GB704" s="16"/>
      <c r="GC704" s="16"/>
      <c r="GD704" s="17"/>
      <c r="GH704" s="24"/>
      <c r="GI704" s="60"/>
      <c r="GJ704" s="16"/>
      <c r="GK704" s="16"/>
      <c r="GL704" s="16"/>
      <c r="GM704" s="16"/>
      <c r="GN704" s="16"/>
      <c r="GO704" s="17"/>
      <c r="GS704" s="24"/>
      <c r="GT704" s="60"/>
      <c r="GU704" s="16"/>
      <c r="GV704" s="16"/>
      <c r="GW704" s="16"/>
      <c r="GX704" s="16"/>
      <c r="GY704" s="16"/>
      <c r="GZ704" s="17"/>
      <c r="HD704" s="24"/>
      <c r="HE704" s="60"/>
      <c r="HF704" s="16"/>
      <c r="HG704" s="16"/>
      <c r="HH704" s="16"/>
      <c r="HI704" s="16"/>
      <c r="HJ704" s="16"/>
      <c r="HK704" s="17"/>
      <c r="HO704" s="24"/>
      <c r="HP704" s="60"/>
      <c r="HQ704" s="16"/>
      <c r="HR704" s="16"/>
      <c r="HS704" s="16"/>
      <c r="HT704" s="16"/>
      <c r="HU704" s="16"/>
      <c r="HV704" s="17"/>
      <c r="HZ704" s="24"/>
      <c r="IA704" s="60"/>
      <c r="IB704" s="16"/>
      <c r="IC704" s="16"/>
      <c r="ID704" s="16"/>
      <c r="IE704" s="16"/>
      <c r="IF704" s="16"/>
      <c r="IG704" s="17"/>
      <c r="IK704" s="24"/>
      <c r="IL704" s="60"/>
      <c r="IM704" s="16"/>
      <c r="IN704" s="16"/>
      <c r="IO704" s="16"/>
      <c r="IP704" s="16"/>
      <c r="IQ704" s="16"/>
      <c r="IR704" s="17"/>
      <c r="IV704" s="24"/>
      <c r="IW704" s="60"/>
      <c r="IX704" s="16"/>
      <c r="IY704" s="16"/>
      <c r="IZ704" s="16"/>
      <c r="JA704" s="16"/>
      <c r="JB704" s="16"/>
      <c r="JC704" s="17"/>
      <c r="JG704" s="24"/>
      <c r="JH704" s="60"/>
      <c r="JI704" s="16"/>
      <c r="JJ704" s="16"/>
      <c r="JK704" s="16"/>
      <c r="JL704" s="16"/>
      <c r="JM704" s="16"/>
      <c r="JN704" s="17"/>
      <c r="JR704" s="24"/>
      <c r="JS704" s="60"/>
      <c r="JT704" s="16"/>
      <c r="JU704" s="16"/>
      <c r="JV704" s="16"/>
      <c r="JW704" s="16"/>
      <c r="JX704" s="16"/>
      <c r="JY704" s="17"/>
      <c r="KC704" s="24"/>
      <c r="KD704" s="60"/>
      <c r="KE704" s="16"/>
      <c r="KF704" s="16"/>
      <c r="KG704" s="16"/>
      <c r="KH704" s="16"/>
      <c r="KI704" s="16"/>
      <c r="KJ704" s="17"/>
      <c r="KN704" s="24"/>
      <c r="KO704" s="60"/>
      <c r="KP704" s="16"/>
      <c r="KQ704" s="16"/>
      <c r="KR704" s="16"/>
      <c r="KS704" s="16"/>
      <c r="KT704" s="16"/>
      <c r="KU704" s="17"/>
      <c r="KY704" s="24"/>
      <c r="KZ704" s="60"/>
      <c r="LA704" s="16"/>
      <c r="LB704" s="16"/>
      <c r="LC704" s="16"/>
      <c r="LD704" s="16"/>
      <c r="LE704" s="16"/>
      <c r="LF704" s="17"/>
      <c r="LJ704" s="24"/>
      <c r="LK704" s="60"/>
      <c r="LL704" s="16"/>
      <c r="LM704" s="16"/>
      <c r="LN704" s="16"/>
      <c r="LO704" s="16"/>
      <c r="LP704" s="16"/>
      <c r="LQ704" s="17"/>
    </row>
    <row r="705">
      <c r="C705" s="31"/>
      <c r="D705" s="61"/>
      <c r="E705" s="16"/>
      <c r="F705" s="16"/>
      <c r="G705" s="21"/>
      <c r="H705" s="16"/>
      <c r="I705" s="16"/>
      <c r="J705" s="17"/>
      <c r="N705" s="17"/>
      <c r="O705" s="61"/>
      <c r="P705" s="16"/>
      <c r="Q705" s="16"/>
      <c r="R705" s="16"/>
      <c r="S705" s="16"/>
      <c r="T705" s="16"/>
      <c r="U705" s="17"/>
      <c r="Y705" s="24"/>
      <c r="Z705" s="61"/>
      <c r="AA705" s="16"/>
      <c r="AB705" s="16"/>
      <c r="AC705" s="16"/>
      <c r="AD705" s="16"/>
      <c r="AE705" s="16"/>
      <c r="AF705" s="17"/>
      <c r="AJ705" s="24"/>
      <c r="AK705" s="61"/>
      <c r="AL705" s="16"/>
      <c r="AM705" s="16"/>
      <c r="AN705" s="16"/>
      <c r="AO705" s="16"/>
      <c r="AP705" s="16"/>
      <c r="AQ705" s="17"/>
      <c r="AU705" s="24"/>
      <c r="AV705" s="61"/>
      <c r="AW705" s="16"/>
      <c r="AX705" s="16"/>
      <c r="AY705" s="16"/>
      <c r="AZ705" s="16"/>
      <c r="BA705" s="16"/>
      <c r="BB705" s="17"/>
      <c r="BF705" s="24"/>
      <c r="BG705" s="61"/>
      <c r="BH705" s="16"/>
      <c r="BI705" s="16"/>
      <c r="BJ705" s="16"/>
      <c r="BK705" s="16"/>
      <c r="BL705" s="16"/>
      <c r="BM705" s="17"/>
      <c r="BQ705" s="24"/>
      <c r="BR705" s="61"/>
      <c r="BS705" s="16"/>
      <c r="BT705" s="16"/>
      <c r="BU705" s="16"/>
      <c r="BV705" s="16"/>
      <c r="BW705" s="16"/>
      <c r="BX705" s="17"/>
      <c r="CB705" s="24"/>
      <c r="CC705" s="61"/>
      <c r="CD705" s="16"/>
      <c r="CE705" s="16"/>
      <c r="CF705" s="16"/>
      <c r="CG705" s="16"/>
      <c r="CH705" s="16"/>
      <c r="CI705" s="17"/>
      <c r="CM705" s="24"/>
      <c r="CN705" s="61"/>
      <c r="CO705" s="16"/>
      <c r="CP705" s="16"/>
      <c r="CQ705" s="16"/>
      <c r="CR705" s="16"/>
      <c r="CS705" s="16"/>
      <c r="CT705" s="17"/>
      <c r="CX705" s="24"/>
      <c r="CY705" s="60"/>
      <c r="CZ705" s="16"/>
      <c r="DA705" s="16"/>
      <c r="DB705" s="16"/>
      <c r="DC705" s="16"/>
      <c r="DD705" s="16"/>
      <c r="DE705" s="17"/>
      <c r="DI705" s="24"/>
      <c r="DJ705" s="60"/>
      <c r="DK705" s="16"/>
      <c r="DL705" s="16"/>
      <c r="DM705" s="16"/>
      <c r="DN705" s="16"/>
      <c r="DO705" s="16"/>
      <c r="DP705" s="17"/>
      <c r="DT705" s="24"/>
      <c r="DU705" s="60"/>
      <c r="DV705" s="16"/>
      <c r="DW705" s="16"/>
      <c r="DX705" s="16"/>
      <c r="DY705" s="16"/>
      <c r="DZ705" s="16"/>
      <c r="EA705" s="17"/>
      <c r="EE705" s="24"/>
      <c r="EF705" s="60"/>
      <c r="EG705" s="16"/>
      <c r="EH705" s="16"/>
      <c r="EI705" s="16"/>
      <c r="EJ705" s="16"/>
      <c r="EK705" s="16"/>
      <c r="EL705" s="17"/>
      <c r="EP705" s="24"/>
      <c r="EQ705" s="60"/>
      <c r="ER705" s="16"/>
      <c r="ES705" s="16"/>
      <c r="ET705" s="16"/>
      <c r="EU705" s="16"/>
      <c r="EV705" s="16"/>
      <c r="EW705" s="17"/>
      <c r="FA705" s="24"/>
      <c r="FB705" s="60"/>
      <c r="FC705" s="16"/>
      <c r="FD705" s="16"/>
      <c r="FE705" s="16"/>
      <c r="FF705" s="16"/>
      <c r="FG705" s="16"/>
      <c r="FH705" s="17"/>
      <c r="FL705" s="24"/>
      <c r="FM705" s="60"/>
      <c r="FN705" s="16"/>
      <c r="FO705" s="16"/>
      <c r="FP705" s="16"/>
      <c r="FQ705" s="16"/>
      <c r="FR705" s="16"/>
      <c r="FS705" s="17"/>
      <c r="FW705" s="24"/>
      <c r="FX705" s="60"/>
      <c r="FY705" s="16"/>
      <c r="FZ705" s="16"/>
      <c r="GA705" s="16"/>
      <c r="GB705" s="16"/>
      <c r="GC705" s="16"/>
      <c r="GD705" s="17"/>
      <c r="GH705" s="24"/>
      <c r="GI705" s="60"/>
      <c r="GJ705" s="16"/>
      <c r="GK705" s="16"/>
      <c r="GL705" s="16"/>
      <c r="GM705" s="16"/>
      <c r="GN705" s="16"/>
      <c r="GO705" s="17"/>
      <c r="GS705" s="24"/>
      <c r="GT705" s="60"/>
      <c r="GU705" s="16"/>
      <c r="GV705" s="16"/>
      <c r="GW705" s="16"/>
      <c r="GX705" s="16"/>
      <c r="GY705" s="16"/>
      <c r="GZ705" s="17"/>
      <c r="HD705" s="24"/>
      <c r="HE705" s="60"/>
      <c r="HF705" s="16"/>
      <c r="HG705" s="16"/>
      <c r="HH705" s="16"/>
      <c r="HI705" s="16"/>
      <c r="HJ705" s="16"/>
      <c r="HK705" s="17"/>
      <c r="HO705" s="24"/>
      <c r="HP705" s="60"/>
      <c r="HQ705" s="16"/>
      <c r="HR705" s="16"/>
      <c r="HS705" s="16"/>
      <c r="HT705" s="16"/>
      <c r="HU705" s="16"/>
      <c r="HV705" s="17"/>
      <c r="HZ705" s="24"/>
      <c r="IA705" s="60"/>
      <c r="IB705" s="16"/>
      <c r="IC705" s="16"/>
      <c r="ID705" s="16"/>
      <c r="IE705" s="16"/>
      <c r="IF705" s="16"/>
      <c r="IG705" s="17"/>
      <c r="IK705" s="24"/>
      <c r="IL705" s="60"/>
      <c r="IM705" s="16"/>
      <c r="IN705" s="16"/>
      <c r="IO705" s="16"/>
      <c r="IP705" s="16"/>
      <c r="IQ705" s="16"/>
      <c r="IR705" s="17"/>
      <c r="IV705" s="24"/>
      <c r="IW705" s="60"/>
      <c r="IX705" s="16"/>
      <c r="IY705" s="16"/>
      <c r="IZ705" s="16"/>
      <c r="JA705" s="16"/>
      <c r="JB705" s="16"/>
      <c r="JC705" s="17"/>
      <c r="JG705" s="24"/>
      <c r="JH705" s="60"/>
      <c r="JI705" s="16"/>
      <c r="JJ705" s="16"/>
      <c r="JK705" s="16"/>
      <c r="JL705" s="16"/>
      <c r="JM705" s="16"/>
      <c r="JN705" s="17"/>
      <c r="JR705" s="24"/>
      <c r="JS705" s="60"/>
      <c r="JT705" s="16"/>
      <c r="JU705" s="16"/>
      <c r="JV705" s="16"/>
      <c r="JW705" s="16"/>
      <c r="JX705" s="16"/>
      <c r="JY705" s="17"/>
      <c r="KC705" s="24"/>
      <c r="KD705" s="60"/>
      <c r="KE705" s="16"/>
      <c r="KF705" s="16"/>
      <c r="KG705" s="16"/>
      <c r="KH705" s="16"/>
      <c r="KI705" s="16"/>
      <c r="KJ705" s="17"/>
      <c r="KN705" s="24"/>
      <c r="KO705" s="60"/>
      <c r="KP705" s="16"/>
      <c r="KQ705" s="16"/>
      <c r="KR705" s="16"/>
      <c r="KS705" s="16"/>
      <c r="KT705" s="16"/>
      <c r="KU705" s="17"/>
      <c r="KY705" s="24"/>
      <c r="KZ705" s="60"/>
      <c r="LA705" s="16"/>
      <c r="LB705" s="16"/>
      <c r="LC705" s="16"/>
      <c r="LD705" s="16"/>
      <c r="LE705" s="16"/>
      <c r="LF705" s="17"/>
      <c r="LJ705" s="24"/>
      <c r="LK705" s="60"/>
      <c r="LL705" s="16"/>
      <c r="LM705" s="16"/>
      <c r="LN705" s="16"/>
      <c r="LO705" s="16"/>
      <c r="LP705" s="16"/>
      <c r="LQ705" s="17"/>
    </row>
    <row r="706">
      <c r="C706" s="31"/>
      <c r="D706" s="61"/>
      <c r="E706" s="16"/>
      <c r="F706" s="16"/>
      <c r="G706" s="21"/>
      <c r="H706" s="16"/>
      <c r="I706" s="16"/>
      <c r="J706" s="17"/>
      <c r="N706" s="17"/>
      <c r="O706" s="61"/>
      <c r="P706" s="16"/>
      <c r="Q706" s="16"/>
      <c r="R706" s="16"/>
      <c r="S706" s="16"/>
      <c r="T706" s="16"/>
      <c r="U706" s="17"/>
      <c r="Y706" s="24"/>
      <c r="Z706" s="61"/>
      <c r="AA706" s="16"/>
      <c r="AB706" s="16"/>
      <c r="AC706" s="16"/>
      <c r="AD706" s="16"/>
      <c r="AE706" s="16"/>
      <c r="AF706" s="17"/>
      <c r="AJ706" s="24"/>
      <c r="AK706" s="61"/>
      <c r="AL706" s="16"/>
      <c r="AM706" s="16"/>
      <c r="AN706" s="16"/>
      <c r="AO706" s="16"/>
      <c r="AP706" s="16"/>
      <c r="AQ706" s="17"/>
      <c r="AU706" s="24"/>
      <c r="AV706" s="61"/>
      <c r="AW706" s="16"/>
      <c r="AX706" s="16"/>
      <c r="AY706" s="16"/>
      <c r="AZ706" s="16"/>
      <c r="BA706" s="16"/>
      <c r="BB706" s="17"/>
      <c r="BF706" s="24"/>
      <c r="BG706" s="61"/>
      <c r="BH706" s="16"/>
      <c r="BI706" s="16"/>
      <c r="BJ706" s="16"/>
      <c r="BK706" s="16"/>
      <c r="BL706" s="16"/>
      <c r="BM706" s="17"/>
      <c r="BQ706" s="24"/>
      <c r="BR706" s="61"/>
      <c r="BS706" s="16"/>
      <c r="BT706" s="16"/>
      <c r="BU706" s="16"/>
      <c r="BV706" s="16"/>
      <c r="BW706" s="16"/>
      <c r="BX706" s="17"/>
      <c r="CB706" s="24"/>
      <c r="CC706" s="61"/>
      <c r="CD706" s="16"/>
      <c r="CE706" s="16"/>
      <c r="CF706" s="16"/>
      <c r="CG706" s="16"/>
      <c r="CH706" s="16"/>
      <c r="CI706" s="17"/>
      <c r="CM706" s="24"/>
      <c r="CN706" s="61"/>
      <c r="CO706" s="16"/>
      <c r="CP706" s="16"/>
      <c r="CQ706" s="16"/>
      <c r="CR706" s="16"/>
      <c r="CS706" s="16"/>
      <c r="CT706" s="17"/>
      <c r="CX706" s="24"/>
      <c r="CY706" s="60"/>
      <c r="CZ706" s="16"/>
      <c r="DA706" s="16"/>
      <c r="DB706" s="16"/>
      <c r="DC706" s="16"/>
      <c r="DD706" s="16"/>
      <c r="DE706" s="17"/>
      <c r="DI706" s="24"/>
      <c r="DJ706" s="60"/>
      <c r="DK706" s="16"/>
      <c r="DL706" s="16"/>
      <c r="DM706" s="16"/>
      <c r="DN706" s="16"/>
      <c r="DO706" s="16"/>
      <c r="DP706" s="17"/>
      <c r="DT706" s="24"/>
      <c r="DU706" s="60"/>
      <c r="DV706" s="16"/>
      <c r="DW706" s="16"/>
      <c r="DX706" s="16"/>
      <c r="DY706" s="16"/>
      <c r="DZ706" s="16"/>
      <c r="EA706" s="17"/>
      <c r="EE706" s="24"/>
      <c r="EF706" s="60"/>
      <c r="EG706" s="16"/>
      <c r="EH706" s="16"/>
      <c r="EI706" s="16"/>
      <c r="EJ706" s="16"/>
      <c r="EK706" s="16"/>
      <c r="EL706" s="17"/>
      <c r="EP706" s="24"/>
      <c r="EQ706" s="60"/>
      <c r="ER706" s="16"/>
      <c r="ES706" s="16"/>
      <c r="ET706" s="16"/>
      <c r="EU706" s="16"/>
      <c r="EV706" s="16"/>
      <c r="EW706" s="17"/>
      <c r="FA706" s="24"/>
      <c r="FB706" s="60"/>
      <c r="FC706" s="16"/>
      <c r="FD706" s="16"/>
      <c r="FE706" s="16"/>
      <c r="FF706" s="16"/>
      <c r="FG706" s="16"/>
      <c r="FH706" s="17"/>
      <c r="FL706" s="24"/>
      <c r="FM706" s="60"/>
      <c r="FN706" s="16"/>
      <c r="FO706" s="16"/>
      <c r="FP706" s="16"/>
      <c r="FQ706" s="16"/>
      <c r="FR706" s="16"/>
      <c r="FS706" s="17"/>
      <c r="FW706" s="24"/>
      <c r="FX706" s="60"/>
      <c r="FY706" s="16"/>
      <c r="FZ706" s="16"/>
      <c r="GA706" s="16"/>
      <c r="GB706" s="16"/>
      <c r="GC706" s="16"/>
      <c r="GD706" s="17"/>
      <c r="GH706" s="24"/>
      <c r="GI706" s="60"/>
      <c r="GJ706" s="16"/>
      <c r="GK706" s="16"/>
      <c r="GL706" s="16"/>
      <c r="GM706" s="16"/>
      <c r="GN706" s="16"/>
      <c r="GO706" s="17"/>
      <c r="GS706" s="24"/>
      <c r="GT706" s="60"/>
      <c r="GU706" s="16"/>
      <c r="GV706" s="16"/>
      <c r="GW706" s="16"/>
      <c r="GX706" s="16"/>
      <c r="GY706" s="16"/>
      <c r="GZ706" s="17"/>
      <c r="HD706" s="24"/>
      <c r="HE706" s="60"/>
      <c r="HF706" s="16"/>
      <c r="HG706" s="16"/>
      <c r="HH706" s="16"/>
      <c r="HI706" s="16"/>
      <c r="HJ706" s="16"/>
      <c r="HK706" s="17"/>
      <c r="HO706" s="24"/>
      <c r="HP706" s="60"/>
      <c r="HQ706" s="16"/>
      <c r="HR706" s="16"/>
      <c r="HS706" s="16"/>
      <c r="HT706" s="16"/>
      <c r="HU706" s="16"/>
      <c r="HV706" s="17"/>
      <c r="HZ706" s="24"/>
      <c r="IA706" s="60"/>
      <c r="IB706" s="16"/>
      <c r="IC706" s="16"/>
      <c r="ID706" s="16"/>
      <c r="IE706" s="16"/>
      <c r="IF706" s="16"/>
      <c r="IG706" s="17"/>
      <c r="IK706" s="24"/>
      <c r="IL706" s="60"/>
      <c r="IM706" s="16"/>
      <c r="IN706" s="16"/>
      <c r="IO706" s="16"/>
      <c r="IP706" s="16"/>
      <c r="IQ706" s="16"/>
      <c r="IR706" s="17"/>
      <c r="IV706" s="24"/>
      <c r="IW706" s="60"/>
      <c r="IX706" s="16"/>
      <c r="IY706" s="16"/>
      <c r="IZ706" s="16"/>
      <c r="JA706" s="16"/>
      <c r="JB706" s="16"/>
      <c r="JC706" s="17"/>
      <c r="JG706" s="24"/>
      <c r="JH706" s="60"/>
      <c r="JI706" s="16"/>
      <c r="JJ706" s="16"/>
      <c r="JK706" s="16"/>
      <c r="JL706" s="16"/>
      <c r="JM706" s="16"/>
      <c r="JN706" s="17"/>
      <c r="JR706" s="24"/>
      <c r="JS706" s="60"/>
      <c r="JT706" s="16"/>
      <c r="JU706" s="16"/>
      <c r="JV706" s="16"/>
      <c r="JW706" s="16"/>
      <c r="JX706" s="16"/>
      <c r="JY706" s="17"/>
      <c r="KC706" s="24"/>
      <c r="KD706" s="60"/>
      <c r="KE706" s="16"/>
      <c r="KF706" s="16"/>
      <c r="KG706" s="16"/>
      <c r="KH706" s="16"/>
      <c r="KI706" s="16"/>
      <c r="KJ706" s="17"/>
      <c r="KN706" s="24"/>
      <c r="KO706" s="60"/>
      <c r="KP706" s="16"/>
      <c r="KQ706" s="16"/>
      <c r="KR706" s="16"/>
      <c r="KS706" s="16"/>
      <c r="KT706" s="16"/>
      <c r="KU706" s="17"/>
      <c r="KY706" s="24"/>
      <c r="KZ706" s="60"/>
      <c r="LA706" s="16"/>
      <c r="LB706" s="16"/>
      <c r="LC706" s="16"/>
      <c r="LD706" s="16"/>
      <c r="LE706" s="16"/>
      <c r="LF706" s="17"/>
      <c r="LJ706" s="24"/>
      <c r="LK706" s="60"/>
      <c r="LL706" s="16"/>
      <c r="LM706" s="16"/>
      <c r="LN706" s="16"/>
      <c r="LO706" s="16"/>
      <c r="LP706" s="16"/>
      <c r="LQ706" s="17"/>
    </row>
    <row r="707">
      <c r="C707" s="31"/>
      <c r="D707" s="61"/>
      <c r="E707" s="16"/>
      <c r="F707" s="16"/>
      <c r="G707" s="21"/>
      <c r="H707" s="16"/>
      <c r="I707" s="16"/>
      <c r="J707" s="17"/>
      <c r="N707" s="17"/>
      <c r="O707" s="61"/>
      <c r="P707" s="16"/>
      <c r="Q707" s="16"/>
      <c r="R707" s="16"/>
      <c r="S707" s="16"/>
      <c r="T707" s="16"/>
      <c r="U707" s="17"/>
      <c r="Y707" s="24"/>
      <c r="Z707" s="61"/>
      <c r="AA707" s="16"/>
      <c r="AB707" s="16"/>
      <c r="AC707" s="16"/>
      <c r="AD707" s="16"/>
      <c r="AE707" s="16"/>
      <c r="AF707" s="17"/>
      <c r="AJ707" s="24"/>
      <c r="AK707" s="61"/>
      <c r="AL707" s="16"/>
      <c r="AM707" s="16"/>
      <c r="AN707" s="16"/>
      <c r="AO707" s="16"/>
      <c r="AP707" s="16"/>
      <c r="AQ707" s="17"/>
      <c r="AU707" s="24"/>
      <c r="AV707" s="61"/>
      <c r="AW707" s="16"/>
      <c r="AX707" s="16"/>
      <c r="AY707" s="16"/>
      <c r="AZ707" s="16"/>
      <c r="BA707" s="16"/>
      <c r="BB707" s="17"/>
      <c r="BF707" s="24"/>
      <c r="BG707" s="61"/>
      <c r="BH707" s="16"/>
      <c r="BI707" s="16"/>
      <c r="BJ707" s="16"/>
      <c r="BK707" s="16"/>
      <c r="BL707" s="16"/>
      <c r="BM707" s="17"/>
      <c r="BQ707" s="24"/>
      <c r="BR707" s="61"/>
      <c r="BS707" s="16"/>
      <c r="BT707" s="16"/>
      <c r="BU707" s="16"/>
      <c r="BV707" s="16"/>
      <c r="BW707" s="16"/>
      <c r="BX707" s="17"/>
      <c r="CB707" s="24"/>
      <c r="CC707" s="61"/>
      <c r="CD707" s="16"/>
      <c r="CE707" s="16"/>
      <c r="CF707" s="16"/>
      <c r="CG707" s="16"/>
      <c r="CH707" s="16"/>
      <c r="CI707" s="17"/>
      <c r="CM707" s="24"/>
      <c r="CN707" s="61"/>
      <c r="CO707" s="16"/>
      <c r="CP707" s="16"/>
      <c r="CQ707" s="16"/>
      <c r="CR707" s="16"/>
      <c r="CS707" s="16"/>
      <c r="CT707" s="17"/>
      <c r="CX707" s="24"/>
      <c r="CY707" s="60"/>
      <c r="CZ707" s="16"/>
      <c r="DA707" s="16"/>
      <c r="DB707" s="16"/>
      <c r="DC707" s="16"/>
      <c r="DD707" s="16"/>
      <c r="DE707" s="17"/>
      <c r="DI707" s="24"/>
      <c r="DJ707" s="60"/>
      <c r="DK707" s="16"/>
      <c r="DL707" s="16"/>
      <c r="DM707" s="16"/>
      <c r="DN707" s="16"/>
      <c r="DO707" s="16"/>
      <c r="DP707" s="17"/>
      <c r="DT707" s="24"/>
      <c r="DU707" s="60"/>
      <c r="DV707" s="16"/>
      <c r="DW707" s="16"/>
      <c r="DX707" s="16"/>
      <c r="DY707" s="16"/>
      <c r="DZ707" s="16"/>
      <c r="EA707" s="17"/>
      <c r="EE707" s="24"/>
      <c r="EF707" s="60"/>
      <c r="EG707" s="16"/>
      <c r="EH707" s="16"/>
      <c r="EI707" s="16"/>
      <c r="EJ707" s="16"/>
      <c r="EK707" s="16"/>
      <c r="EL707" s="17"/>
      <c r="EP707" s="24"/>
      <c r="EQ707" s="60"/>
      <c r="ER707" s="16"/>
      <c r="ES707" s="16"/>
      <c r="ET707" s="16"/>
      <c r="EU707" s="16"/>
      <c r="EV707" s="16"/>
      <c r="EW707" s="17"/>
      <c r="FA707" s="24"/>
      <c r="FB707" s="60"/>
      <c r="FC707" s="16"/>
      <c r="FD707" s="16"/>
      <c r="FE707" s="16"/>
      <c r="FF707" s="16"/>
      <c r="FG707" s="16"/>
      <c r="FH707" s="17"/>
      <c r="FL707" s="24"/>
      <c r="FM707" s="60"/>
      <c r="FN707" s="16"/>
      <c r="FO707" s="16"/>
      <c r="FP707" s="16"/>
      <c r="FQ707" s="16"/>
      <c r="FR707" s="16"/>
      <c r="FS707" s="17"/>
      <c r="FW707" s="24"/>
      <c r="FX707" s="60"/>
      <c r="FY707" s="16"/>
      <c r="FZ707" s="16"/>
      <c r="GA707" s="16"/>
      <c r="GB707" s="16"/>
      <c r="GC707" s="16"/>
      <c r="GD707" s="17"/>
      <c r="GH707" s="24"/>
      <c r="GI707" s="60"/>
      <c r="GJ707" s="16"/>
      <c r="GK707" s="16"/>
      <c r="GL707" s="16"/>
      <c r="GM707" s="16"/>
      <c r="GN707" s="16"/>
      <c r="GO707" s="17"/>
      <c r="GS707" s="24"/>
      <c r="GT707" s="60"/>
      <c r="GU707" s="16"/>
      <c r="GV707" s="16"/>
      <c r="GW707" s="16"/>
      <c r="GX707" s="16"/>
      <c r="GY707" s="16"/>
      <c r="GZ707" s="17"/>
      <c r="HD707" s="24"/>
      <c r="HE707" s="60"/>
      <c r="HF707" s="16"/>
      <c r="HG707" s="16"/>
      <c r="HH707" s="16"/>
      <c r="HI707" s="16"/>
      <c r="HJ707" s="16"/>
      <c r="HK707" s="17"/>
      <c r="HO707" s="24"/>
      <c r="HP707" s="60"/>
      <c r="HQ707" s="16"/>
      <c r="HR707" s="16"/>
      <c r="HS707" s="16"/>
      <c r="HT707" s="16"/>
      <c r="HU707" s="16"/>
      <c r="HV707" s="17"/>
      <c r="HZ707" s="24"/>
      <c r="IA707" s="60"/>
      <c r="IB707" s="16"/>
      <c r="IC707" s="16"/>
      <c r="ID707" s="16"/>
      <c r="IE707" s="16"/>
      <c r="IF707" s="16"/>
      <c r="IG707" s="17"/>
      <c r="IK707" s="24"/>
      <c r="IL707" s="60"/>
      <c r="IM707" s="16"/>
      <c r="IN707" s="16"/>
      <c r="IO707" s="16"/>
      <c r="IP707" s="16"/>
      <c r="IQ707" s="16"/>
      <c r="IR707" s="17"/>
      <c r="IV707" s="24"/>
      <c r="IW707" s="60"/>
      <c r="IX707" s="16"/>
      <c r="IY707" s="16"/>
      <c r="IZ707" s="16"/>
      <c r="JA707" s="16"/>
      <c r="JB707" s="16"/>
      <c r="JC707" s="17"/>
      <c r="JG707" s="24"/>
      <c r="JH707" s="60"/>
      <c r="JI707" s="16"/>
      <c r="JJ707" s="16"/>
      <c r="JK707" s="16"/>
      <c r="JL707" s="16"/>
      <c r="JM707" s="16"/>
      <c r="JN707" s="17"/>
      <c r="JR707" s="24"/>
      <c r="JS707" s="60"/>
      <c r="JT707" s="16"/>
      <c r="JU707" s="16"/>
      <c r="JV707" s="16"/>
      <c r="JW707" s="16"/>
      <c r="JX707" s="16"/>
      <c r="JY707" s="17"/>
      <c r="KC707" s="24"/>
      <c r="KD707" s="60"/>
      <c r="KE707" s="16"/>
      <c r="KF707" s="16"/>
      <c r="KG707" s="16"/>
      <c r="KH707" s="16"/>
      <c r="KI707" s="16"/>
      <c r="KJ707" s="17"/>
      <c r="KN707" s="24"/>
      <c r="KO707" s="60"/>
      <c r="KP707" s="16"/>
      <c r="KQ707" s="16"/>
      <c r="KR707" s="16"/>
      <c r="KS707" s="16"/>
      <c r="KT707" s="16"/>
      <c r="KU707" s="17"/>
      <c r="KY707" s="24"/>
      <c r="KZ707" s="60"/>
      <c r="LA707" s="16"/>
      <c r="LB707" s="16"/>
      <c r="LC707" s="16"/>
      <c r="LD707" s="16"/>
      <c r="LE707" s="16"/>
      <c r="LF707" s="17"/>
      <c r="LJ707" s="24"/>
      <c r="LK707" s="60"/>
      <c r="LL707" s="16"/>
      <c r="LM707" s="16"/>
      <c r="LN707" s="16"/>
      <c r="LO707" s="16"/>
      <c r="LP707" s="16"/>
      <c r="LQ707" s="17"/>
    </row>
    <row r="708">
      <c r="C708" s="31"/>
      <c r="D708" s="61"/>
      <c r="E708" s="16"/>
      <c r="F708" s="16"/>
      <c r="G708" s="21"/>
      <c r="H708" s="16"/>
      <c r="I708" s="16"/>
      <c r="J708" s="17"/>
      <c r="N708" s="17"/>
      <c r="O708" s="61"/>
      <c r="P708" s="16"/>
      <c r="Q708" s="16"/>
      <c r="R708" s="16"/>
      <c r="S708" s="16"/>
      <c r="T708" s="16"/>
      <c r="U708" s="17"/>
      <c r="Y708" s="24"/>
      <c r="Z708" s="61"/>
      <c r="AA708" s="16"/>
      <c r="AB708" s="16"/>
      <c r="AC708" s="16"/>
      <c r="AD708" s="16"/>
      <c r="AE708" s="16"/>
      <c r="AF708" s="17"/>
      <c r="AJ708" s="24"/>
      <c r="AK708" s="61"/>
      <c r="AL708" s="16"/>
      <c r="AM708" s="16"/>
      <c r="AN708" s="16"/>
      <c r="AO708" s="16"/>
      <c r="AP708" s="16"/>
      <c r="AQ708" s="17"/>
      <c r="AU708" s="24"/>
      <c r="AV708" s="61"/>
      <c r="AW708" s="16"/>
      <c r="AX708" s="16"/>
      <c r="AY708" s="16"/>
      <c r="AZ708" s="16"/>
      <c r="BA708" s="16"/>
      <c r="BB708" s="17"/>
      <c r="BF708" s="24"/>
      <c r="BG708" s="61"/>
      <c r="BH708" s="16"/>
      <c r="BI708" s="16"/>
      <c r="BJ708" s="16"/>
      <c r="BK708" s="16"/>
      <c r="BL708" s="16"/>
      <c r="BM708" s="17"/>
      <c r="BQ708" s="24"/>
      <c r="BR708" s="61"/>
      <c r="BS708" s="16"/>
      <c r="BT708" s="16"/>
      <c r="BU708" s="16"/>
      <c r="BV708" s="16"/>
      <c r="BW708" s="16"/>
      <c r="BX708" s="17"/>
      <c r="CB708" s="24"/>
      <c r="CC708" s="61"/>
      <c r="CD708" s="16"/>
      <c r="CE708" s="16"/>
      <c r="CF708" s="16"/>
      <c r="CG708" s="16"/>
      <c r="CH708" s="16"/>
      <c r="CI708" s="17"/>
      <c r="CM708" s="24"/>
      <c r="CN708" s="61"/>
      <c r="CO708" s="16"/>
      <c r="CP708" s="16"/>
      <c r="CQ708" s="16"/>
      <c r="CR708" s="16"/>
      <c r="CS708" s="16"/>
      <c r="CT708" s="17"/>
      <c r="CX708" s="24"/>
      <c r="CY708" s="60"/>
      <c r="CZ708" s="16"/>
      <c r="DA708" s="16"/>
      <c r="DB708" s="16"/>
      <c r="DC708" s="16"/>
      <c r="DD708" s="16"/>
      <c r="DE708" s="17"/>
      <c r="DI708" s="24"/>
      <c r="DJ708" s="60"/>
      <c r="DK708" s="16"/>
      <c r="DL708" s="16"/>
      <c r="DM708" s="16"/>
      <c r="DN708" s="16"/>
      <c r="DO708" s="16"/>
      <c r="DP708" s="17"/>
      <c r="DT708" s="24"/>
      <c r="DU708" s="60"/>
      <c r="DV708" s="16"/>
      <c r="DW708" s="16"/>
      <c r="DX708" s="16"/>
      <c r="DY708" s="16"/>
      <c r="DZ708" s="16"/>
      <c r="EA708" s="17"/>
      <c r="EE708" s="24"/>
      <c r="EF708" s="60"/>
      <c r="EG708" s="16"/>
      <c r="EH708" s="16"/>
      <c r="EI708" s="16"/>
      <c r="EJ708" s="16"/>
      <c r="EK708" s="16"/>
      <c r="EL708" s="17"/>
      <c r="EP708" s="24"/>
      <c r="EQ708" s="60"/>
      <c r="ER708" s="16"/>
      <c r="ES708" s="16"/>
      <c r="ET708" s="16"/>
      <c r="EU708" s="16"/>
      <c r="EV708" s="16"/>
      <c r="EW708" s="17"/>
      <c r="FA708" s="24"/>
      <c r="FB708" s="60"/>
      <c r="FC708" s="16"/>
      <c r="FD708" s="16"/>
      <c r="FE708" s="16"/>
      <c r="FF708" s="16"/>
      <c r="FG708" s="16"/>
      <c r="FH708" s="17"/>
      <c r="FL708" s="24"/>
      <c r="FM708" s="60"/>
      <c r="FN708" s="16"/>
      <c r="FO708" s="16"/>
      <c r="FP708" s="16"/>
      <c r="FQ708" s="16"/>
      <c r="FR708" s="16"/>
      <c r="FS708" s="17"/>
      <c r="FW708" s="24"/>
      <c r="FX708" s="60"/>
      <c r="FY708" s="16"/>
      <c r="FZ708" s="16"/>
      <c r="GA708" s="16"/>
      <c r="GB708" s="16"/>
      <c r="GC708" s="16"/>
      <c r="GD708" s="17"/>
      <c r="GH708" s="24"/>
      <c r="GI708" s="60"/>
      <c r="GJ708" s="16"/>
      <c r="GK708" s="16"/>
      <c r="GL708" s="16"/>
      <c r="GM708" s="16"/>
      <c r="GN708" s="16"/>
      <c r="GO708" s="17"/>
      <c r="GS708" s="24"/>
      <c r="GT708" s="60"/>
      <c r="GU708" s="16"/>
      <c r="GV708" s="16"/>
      <c r="GW708" s="16"/>
      <c r="GX708" s="16"/>
      <c r="GY708" s="16"/>
      <c r="GZ708" s="17"/>
      <c r="HD708" s="24"/>
      <c r="HE708" s="60"/>
      <c r="HF708" s="16"/>
      <c r="HG708" s="16"/>
      <c r="HH708" s="16"/>
      <c r="HI708" s="16"/>
      <c r="HJ708" s="16"/>
      <c r="HK708" s="17"/>
      <c r="HO708" s="24"/>
      <c r="HP708" s="60"/>
      <c r="HQ708" s="16"/>
      <c r="HR708" s="16"/>
      <c r="HS708" s="16"/>
      <c r="HT708" s="16"/>
      <c r="HU708" s="16"/>
      <c r="HV708" s="17"/>
      <c r="HZ708" s="24"/>
      <c r="IA708" s="60"/>
      <c r="IB708" s="16"/>
      <c r="IC708" s="16"/>
      <c r="ID708" s="16"/>
      <c r="IE708" s="16"/>
      <c r="IF708" s="16"/>
      <c r="IG708" s="17"/>
      <c r="IK708" s="24"/>
      <c r="IL708" s="60"/>
      <c r="IM708" s="16"/>
      <c r="IN708" s="16"/>
      <c r="IO708" s="16"/>
      <c r="IP708" s="16"/>
      <c r="IQ708" s="16"/>
      <c r="IR708" s="17"/>
      <c r="IV708" s="24"/>
      <c r="IW708" s="60"/>
      <c r="IX708" s="16"/>
      <c r="IY708" s="16"/>
      <c r="IZ708" s="16"/>
      <c r="JA708" s="16"/>
      <c r="JB708" s="16"/>
      <c r="JC708" s="17"/>
      <c r="JG708" s="24"/>
      <c r="JH708" s="60"/>
      <c r="JI708" s="16"/>
      <c r="JJ708" s="16"/>
      <c r="JK708" s="16"/>
      <c r="JL708" s="16"/>
      <c r="JM708" s="16"/>
      <c r="JN708" s="17"/>
      <c r="JR708" s="24"/>
      <c r="JS708" s="60"/>
      <c r="JT708" s="16"/>
      <c r="JU708" s="16"/>
      <c r="JV708" s="16"/>
      <c r="JW708" s="16"/>
      <c r="JX708" s="16"/>
      <c r="JY708" s="17"/>
      <c r="KC708" s="24"/>
      <c r="KD708" s="60"/>
      <c r="KE708" s="16"/>
      <c r="KF708" s="16"/>
      <c r="KG708" s="16"/>
      <c r="KH708" s="16"/>
      <c r="KI708" s="16"/>
      <c r="KJ708" s="17"/>
      <c r="KN708" s="24"/>
      <c r="KO708" s="60"/>
      <c r="KP708" s="16"/>
      <c r="KQ708" s="16"/>
      <c r="KR708" s="16"/>
      <c r="KS708" s="16"/>
      <c r="KT708" s="16"/>
      <c r="KU708" s="17"/>
      <c r="KY708" s="24"/>
      <c r="KZ708" s="60"/>
      <c r="LA708" s="16"/>
      <c r="LB708" s="16"/>
      <c r="LC708" s="16"/>
      <c r="LD708" s="16"/>
      <c r="LE708" s="16"/>
      <c r="LF708" s="17"/>
      <c r="LJ708" s="24"/>
      <c r="LK708" s="60"/>
      <c r="LL708" s="16"/>
      <c r="LM708" s="16"/>
      <c r="LN708" s="16"/>
      <c r="LO708" s="16"/>
      <c r="LP708" s="16"/>
      <c r="LQ708" s="17"/>
    </row>
    <row r="709">
      <c r="C709" s="31"/>
      <c r="D709" s="61"/>
      <c r="E709" s="16"/>
      <c r="F709" s="16"/>
      <c r="G709" s="21"/>
      <c r="H709" s="16"/>
      <c r="I709" s="16"/>
      <c r="J709" s="17"/>
      <c r="N709" s="17"/>
      <c r="O709" s="61"/>
      <c r="P709" s="16"/>
      <c r="Q709" s="16"/>
      <c r="R709" s="16"/>
      <c r="S709" s="16"/>
      <c r="T709" s="16"/>
      <c r="U709" s="17"/>
      <c r="Y709" s="24"/>
      <c r="Z709" s="61"/>
      <c r="AA709" s="16"/>
      <c r="AB709" s="16"/>
      <c r="AC709" s="16"/>
      <c r="AD709" s="16"/>
      <c r="AE709" s="16"/>
      <c r="AF709" s="17"/>
      <c r="AJ709" s="24"/>
      <c r="AK709" s="61"/>
      <c r="AL709" s="16"/>
      <c r="AM709" s="16"/>
      <c r="AN709" s="16"/>
      <c r="AO709" s="16"/>
      <c r="AP709" s="16"/>
      <c r="AQ709" s="17"/>
      <c r="AU709" s="24"/>
      <c r="AV709" s="61"/>
      <c r="AW709" s="16"/>
      <c r="AX709" s="16"/>
      <c r="AY709" s="16"/>
      <c r="AZ709" s="16"/>
      <c r="BA709" s="16"/>
      <c r="BB709" s="17"/>
      <c r="BF709" s="24"/>
      <c r="BG709" s="61"/>
      <c r="BH709" s="16"/>
      <c r="BI709" s="16"/>
      <c r="BJ709" s="16"/>
      <c r="BK709" s="16"/>
      <c r="BL709" s="16"/>
      <c r="BM709" s="17"/>
      <c r="BQ709" s="24"/>
      <c r="BR709" s="61"/>
      <c r="BS709" s="16"/>
      <c r="BT709" s="16"/>
      <c r="BU709" s="16"/>
      <c r="BV709" s="16"/>
      <c r="BW709" s="16"/>
      <c r="BX709" s="17"/>
      <c r="CB709" s="24"/>
      <c r="CC709" s="61"/>
      <c r="CD709" s="16"/>
      <c r="CE709" s="16"/>
      <c r="CF709" s="16"/>
      <c r="CG709" s="16"/>
      <c r="CH709" s="16"/>
      <c r="CI709" s="17"/>
      <c r="CM709" s="24"/>
      <c r="CN709" s="61"/>
      <c r="CO709" s="16"/>
      <c r="CP709" s="16"/>
      <c r="CQ709" s="16"/>
      <c r="CR709" s="16"/>
      <c r="CS709" s="16"/>
      <c r="CT709" s="17"/>
      <c r="CX709" s="24"/>
      <c r="CY709" s="60"/>
      <c r="CZ709" s="16"/>
      <c r="DA709" s="16"/>
      <c r="DB709" s="16"/>
      <c r="DC709" s="16"/>
      <c r="DD709" s="16"/>
      <c r="DE709" s="17"/>
      <c r="DI709" s="24"/>
      <c r="DJ709" s="60"/>
      <c r="DK709" s="16"/>
      <c r="DL709" s="16"/>
      <c r="DM709" s="16"/>
      <c r="DN709" s="16"/>
      <c r="DO709" s="16"/>
      <c r="DP709" s="17"/>
      <c r="DT709" s="24"/>
      <c r="DU709" s="60"/>
      <c r="DV709" s="16"/>
      <c r="DW709" s="16"/>
      <c r="DX709" s="16"/>
      <c r="DY709" s="16"/>
      <c r="DZ709" s="16"/>
      <c r="EA709" s="17"/>
      <c r="EE709" s="24"/>
      <c r="EF709" s="60"/>
      <c r="EG709" s="16"/>
      <c r="EH709" s="16"/>
      <c r="EI709" s="16"/>
      <c r="EJ709" s="16"/>
      <c r="EK709" s="16"/>
      <c r="EL709" s="17"/>
      <c r="EP709" s="24"/>
      <c r="EQ709" s="60"/>
      <c r="ER709" s="16"/>
      <c r="ES709" s="16"/>
      <c r="ET709" s="16"/>
      <c r="EU709" s="16"/>
      <c r="EV709" s="16"/>
      <c r="EW709" s="17"/>
      <c r="FA709" s="24"/>
      <c r="FB709" s="60"/>
      <c r="FC709" s="16"/>
      <c r="FD709" s="16"/>
      <c r="FE709" s="16"/>
      <c r="FF709" s="16"/>
      <c r="FG709" s="16"/>
      <c r="FH709" s="17"/>
      <c r="FL709" s="24"/>
      <c r="FM709" s="60"/>
      <c r="FN709" s="16"/>
      <c r="FO709" s="16"/>
      <c r="FP709" s="16"/>
      <c r="FQ709" s="16"/>
      <c r="FR709" s="16"/>
      <c r="FS709" s="17"/>
      <c r="FW709" s="24"/>
      <c r="FX709" s="60"/>
      <c r="FY709" s="16"/>
      <c r="FZ709" s="16"/>
      <c r="GA709" s="16"/>
      <c r="GB709" s="16"/>
      <c r="GC709" s="16"/>
      <c r="GD709" s="17"/>
      <c r="GH709" s="24"/>
      <c r="GI709" s="60"/>
      <c r="GJ709" s="16"/>
      <c r="GK709" s="16"/>
      <c r="GL709" s="16"/>
      <c r="GM709" s="16"/>
      <c r="GN709" s="16"/>
      <c r="GO709" s="17"/>
      <c r="GS709" s="24"/>
      <c r="GT709" s="60"/>
      <c r="GU709" s="16"/>
      <c r="GV709" s="16"/>
      <c r="GW709" s="16"/>
      <c r="GX709" s="16"/>
      <c r="GY709" s="16"/>
      <c r="GZ709" s="17"/>
      <c r="HD709" s="24"/>
      <c r="HE709" s="60"/>
      <c r="HF709" s="16"/>
      <c r="HG709" s="16"/>
      <c r="HH709" s="16"/>
      <c r="HI709" s="16"/>
      <c r="HJ709" s="16"/>
      <c r="HK709" s="17"/>
      <c r="HO709" s="24"/>
      <c r="HP709" s="60"/>
      <c r="HQ709" s="16"/>
      <c r="HR709" s="16"/>
      <c r="HS709" s="16"/>
      <c r="HT709" s="16"/>
      <c r="HU709" s="16"/>
      <c r="HV709" s="17"/>
      <c r="HZ709" s="24"/>
      <c r="IA709" s="60"/>
      <c r="IB709" s="16"/>
      <c r="IC709" s="16"/>
      <c r="ID709" s="16"/>
      <c r="IE709" s="16"/>
      <c r="IF709" s="16"/>
      <c r="IG709" s="17"/>
      <c r="IK709" s="24"/>
      <c r="IL709" s="60"/>
      <c r="IM709" s="16"/>
      <c r="IN709" s="16"/>
      <c r="IO709" s="16"/>
      <c r="IP709" s="16"/>
      <c r="IQ709" s="16"/>
      <c r="IR709" s="17"/>
      <c r="IV709" s="24"/>
      <c r="IW709" s="60"/>
      <c r="IX709" s="16"/>
      <c r="IY709" s="16"/>
      <c r="IZ709" s="16"/>
      <c r="JA709" s="16"/>
      <c r="JB709" s="16"/>
      <c r="JC709" s="17"/>
      <c r="JG709" s="24"/>
      <c r="JH709" s="60"/>
      <c r="JI709" s="16"/>
      <c r="JJ709" s="16"/>
      <c r="JK709" s="16"/>
      <c r="JL709" s="16"/>
      <c r="JM709" s="16"/>
      <c r="JN709" s="17"/>
      <c r="JR709" s="24"/>
      <c r="JS709" s="60"/>
      <c r="JT709" s="16"/>
      <c r="JU709" s="16"/>
      <c r="JV709" s="16"/>
      <c r="JW709" s="16"/>
      <c r="JX709" s="16"/>
      <c r="JY709" s="17"/>
      <c r="KC709" s="24"/>
      <c r="KD709" s="60"/>
      <c r="KE709" s="16"/>
      <c r="KF709" s="16"/>
      <c r="KG709" s="16"/>
      <c r="KH709" s="16"/>
      <c r="KI709" s="16"/>
      <c r="KJ709" s="17"/>
      <c r="KN709" s="24"/>
      <c r="KO709" s="60"/>
      <c r="KP709" s="16"/>
      <c r="KQ709" s="16"/>
      <c r="KR709" s="16"/>
      <c r="KS709" s="16"/>
      <c r="KT709" s="16"/>
      <c r="KU709" s="17"/>
      <c r="KY709" s="24"/>
      <c r="KZ709" s="60"/>
      <c r="LA709" s="16"/>
      <c r="LB709" s="16"/>
      <c r="LC709" s="16"/>
      <c r="LD709" s="16"/>
      <c r="LE709" s="16"/>
      <c r="LF709" s="17"/>
      <c r="LJ709" s="24"/>
      <c r="LK709" s="60"/>
      <c r="LL709" s="16"/>
      <c r="LM709" s="16"/>
      <c r="LN709" s="16"/>
      <c r="LO709" s="16"/>
      <c r="LP709" s="16"/>
      <c r="LQ709" s="17"/>
    </row>
    <row r="710">
      <c r="C710" s="31"/>
      <c r="D710" s="61"/>
      <c r="E710" s="16"/>
      <c r="F710" s="16"/>
      <c r="G710" s="21"/>
      <c r="H710" s="16"/>
      <c r="I710" s="16"/>
      <c r="J710" s="17"/>
      <c r="N710" s="17"/>
      <c r="O710" s="61"/>
      <c r="P710" s="16"/>
      <c r="Q710" s="16"/>
      <c r="R710" s="16"/>
      <c r="S710" s="16"/>
      <c r="T710" s="16"/>
      <c r="U710" s="17"/>
      <c r="Y710" s="24"/>
      <c r="Z710" s="61"/>
      <c r="AA710" s="16"/>
      <c r="AB710" s="16"/>
      <c r="AC710" s="16"/>
      <c r="AD710" s="16"/>
      <c r="AE710" s="16"/>
      <c r="AF710" s="17"/>
      <c r="AJ710" s="24"/>
      <c r="AK710" s="61"/>
      <c r="AL710" s="16"/>
      <c r="AM710" s="16"/>
      <c r="AN710" s="16"/>
      <c r="AO710" s="16"/>
      <c r="AP710" s="16"/>
      <c r="AQ710" s="17"/>
      <c r="AU710" s="24"/>
      <c r="AV710" s="61"/>
      <c r="AW710" s="16"/>
      <c r="AX710" s="16"/>
      <c r="AY710" s="16"/>
      <c r="AZ710" s="16"/>
      <c r="BA710" s="16"/>
      <c r="BB710" s="17"/>
      <c r="BF710" s="24"/>
      <c r="BG710" s="61"/>
      <c r="BH710" s="16"/>
      <c r="BI710" s="16"/>
      <c r="BJ710" s="16"/>
      <c r="BK710" s="16"/>
      <c r="BL710" s="16"/>
      <c r="BM710" s="17"/>
      <c r="BQ710" s="24"/>
      <c r="BR710" s="61"/>
      <c r="BS710" s="16"/>
      <c r="BT710" s="16"/>
      <c r="BU710" s="16"/>
      <c r="BV710" s="16"/>
      <c r="BW710" s="16"/>
      <c r="BX710" s="17"/>
      <c r="CB710" s="24"/>
      <c r="CC710" s="61"/>
      <c r="CD710" s="16"/>
      <c r="CE710" s="16"/>
      <c r="CF710" s="16"/>
      <c r="CG710" s="16"/>
      <c r="CH710" s="16"/>
      <c r="CI710" s="17"/>
      <c r="CM710" s="24"/>
      <c r="CN710" s="61"/>
      <c r="CO710" s="16"/>
      <c r="CP710" s="16"/>
      <c r="CQ710" s="16"/>
      <c r="CR710" s="16"/>
      <c r="CS710" s="16"/>
      <c r="CT710" s="17"/>
      <c r="CX710" s="24"/>
      <c r="CY710" s="60"/>
      <c r="CZ710" s="16"/>
      <c r="DA710" s="16"/>
      <c r="DB710" s="16"/>
      <c r="DC710" s="16"/>
      <c r="DD710" s="16"/>
      <c r="DE710" s="17"/>
      <c r="DI710" s="24"/>
      <c r="DJ710" s="60"/>
      <c r="DK710" s="16"/>
      <c r="DL710" s="16"/>
      <c r="DM710" s="16"/>
      <c r="DN710" s="16"/>
      <c r="DO710" s="16"/>
      <c r="DP710" s="17"/>
      <c r="DT710" s="24"/>
      <c r="DU710" s="60"/>
      <c r="DV710" s="16"/>
      <c r="DW710" s="16"/>
      <c r="DX710" s="16"/>
      <c r="DY710" s="16"/>
      <c r="DZ710" s="16"/>
      <c r="EA710" s="17"/>
      <c r="EE710" s="24"/>
      <c r="EF710" s="60"/>
      <c r="EG710" s="16"/>
      <c r="EH710" s="16"/>
      <c r="EI710" s="16"/>
      <c r="EJ710" s="16"/>
      <c r="EK710" s="16"/>
      <c r="EL710" s="17"/>
      <c r="EP710" s="24"/>
      <c r="EQ710" s="60"/>
      <c r="ER710" s="16"/>
      <c r="ES710" s="16"/>
      <c r="ET710" s="16"/>
      <c r="EU710" s="16"/>
      <c r="EV710" s="16"/>
      <c r="EW710" s="17"/>
      <c r="FA710" s="24"/>
      <c r="FB710" s="60"/>
      <c r="FC710" s="16"/>
      <c r="FD710" s="16"/>
      <c r="FE710" s="16"/>
      <c r="FF710" s="16"/>
      <c r="FG710" s="16"/>
      <c r="FH710" s="17"/>
      <c r="FL710" s="24"/>
      <c r="FM710" s="60"/>
      <c r="FN710" s="16"/>
      <c r="FO710" s="16"/>
      <c r="FP710" s="16"/>
      <c r="FQ710" s="16"/>
      <c r="FR710" s="16"/>
      <c r="FS710" s="17"/>
      <c r="FW710" s="24"/>
      <c r="FX710" s="60"/>
      <c r="FY710" s="16"/>
      <c r="FZ710" s="16"/>
      <c r="GA710" s="16"/>
      <c r="GB710" s="16"/>
      <c r="GC710" s="16"/>
      <c r="GD710" s="17"/>
      <c r="GH710" s="24"/>
      <c r="GI710" s="60"/>
      <c r="GJ710" s="16"/>
      <c r="GK710" s="16"/>
      <c r="GL710" s="16"/>
      <c r="GM710" s="16"/>
      <c r="GN710" s="16"/>
      <c r="GO710" s="17"/>
      <c r="GS710" s="24"/>
      <c r="GT710" s="60"/>
      <c r="GU710" s="16"/>
      <c r="GV710" s="16"/>
      <c r="GW710" s="16"/>
      <c r="GX710" s="16"/>
      <c r="GY710" s="16"/>
      <c r="GZ710" s="17"/>
      <c r="HD710" s="24"/>
      <c r="HE710" s="60"/>
      <c r="HF710" s="16"/>
      <c r="HG710" s="16"/>
      <c r="HH710" s="16"/>
      <c r="HI710" s="16"/>
      <c r="HJ710" s="16"/>
      <c r="HK710" s="17"/>
      <c r="HO710" s="24"/>
      <c r="HP710" s="60"/>
      <c r="HQ710" s="16"/>
      <c r="HR710" s="16"/>
      <c r="HS710" s="16"/>
      <c r="HT710" s="16"/>
      <c r="HU710" s="16"/>
      <c r="HV710" s="17"/>
      <c r="HZ710" s="24"/>
      <c r="IA710" s="60"/>
      <c r="IB710" s="16"/>
      <c r="IC710" s="16"/>
      <c r="ID710" s="16"/>
      <c r="IE710" s="16"/>
      <c r="IF710" s="16"/>
      <c r="IG710" s="17"/>
      <c r="IK710" s="24"/>
      <c r="IL710" s="60"/>
      <c r="IM710" s="16"/>
      <c r="IN710" s="16"/>
      <c r="IO710" s="16"/>
      <c r="IP710" s="16"/>
      <c r="IQ710" s="16"/>
      <c r="IR710" s="17"/>
      <c r="IV710" s="24"/>
      <c r="IW710" s="60"/>
      <c r="IX710" s="16"/>
      <c r="IY710" s="16"/>
      <c r="IZ710" s="16"/>
      <c r="JA710" s="16"/>
      <c r="JB710" s="16"/>
      <c r="JC710" s="17"/>
      <c r="JG710" s="24"/>
      <c r="JH710" s="60"/>
      <c r="JI710" s="16"/>
      <c r="JJ710" s="16"/>
      <c r="JK710" s="16"/>
      <c r="JL710" s="16"/>
      <c r="JM710" s="16"/>
      <c r="JN710" s="17"/>
      <c r="JR710" s="24"/>
      <c r="JS710" s="60"/>
      <c r="JT710" s="16"/>
      <c r="JU710" s="16"/>
      <c r="JV710" s="16"/>
      <c r="JW710" s="16"/>
      <c r="JX710" s="16"/>
      <c r="JY710" s="17"/>
      <c r="KC710" s="24"/>
      <c r="KD710" s="60"/>
      <c r="KE710" s="16"/>
      <c r="KF710" s="16"/>
      <c r="KG710" s="16"/>
      <c r="KH710" s="16"/>
      <c r="KI710" s="16"/>
      <c r="KJ710" s="17"/>
      <c r="KN710" s="24"/>
      <c r="KO710" s="60"/>
      <c r="KP710" s="16"/>
      <c r="KQ710" s="16"/>
      <c r="KR710" s="16"/>
      <c r="KS710" s="16"/>
      <c r="KT710" s="16"/>
      <c r="KU710" s="17"/>
      <c r="KY710" s="24"/>
      <c r="KZ710" s="60"/>
      <c r="LA710" s="16"/>
      <c r="LB710" s="16"/>
      <c r="LC710" s="16"/>
      <c r="LD710" s="16"/>
      <c r="LE710" s="16"/>
      <c r="LF710" s="17"/>
      <c r="LJ710" s="24"/>
      <c r="LK710" s="60"/>
      <c r="LL710" s="16"/>
      <c r="LM710" s="16"/>
      <c r="LN710" s="16"/>
      <c r="LO710" s="16"/>
      <c r="LP710" s="16"/>
      <c r="LQ710" s="17"/>
    </row>
    <row r="711">
      <c r="C711" s="31"/>
      <c r="D711" s="61"/>
      <c r="E711" s="16"/>
      <c r="F711" s="16"/>
      <c r="G711" s="21"/>
      <c r="H711" s="16"/>
      <c r="I711" s="16"/>
      <c r="J711" s="17"/>
      <c r="N711" s="17"/>
      <c r="O711" s="61"/>
      <c r="P711" s="16"/>
      <c r="Q711" s="16"/>
      <c r="R711" s="16"/>
      <c r="S711" s="16"/>
      <c r="T711" s="16"/>
      <c r="U711" s="17"/>
      <c r="Y711" s="24"/>
      <c r="Z711" s="61"/>
      <c r="AA711" s="16"/>
      <c r="AB711" s="16"/>
      <c r="AC711" s="16"/>
      <c r="AD711" s="16"/>
      <c r="AE711" s="16"/>
      <c r="AF711" s="17"/>
      <c r="AJ711" s="24"/>
      <c r="AK711" s="61"/>
      <c r="AL711" s="16"/>
      <c r="AM711" s="16"/>
      <c r="AN711" s="16"/>
      <c r="AO711" s="16"/>
      <c r="AP711" s="16"/>
      <c r="AQ711" s="17"/>
      <c r="AU711" s="24"/>
      <c r="AV711" s="61"/>
      <c r="AW711" s="16"/>
      <c r="AX711" s="16"/>
      <c r="AY711" s="16"/>
      <c r="AZ711" s="16"/>
      <c r="BA711" s="16"/>
      <c r="BB711" s="17"/>
      <c r="BF711" s="24"/>
      <c r="BG711" s="61"/>
      <c r="BH711" s="16"/>
      <c r="BI711" s="16"/>
      <c r="BJ711" s="16"/>
      <c r="BK711" s="16"/>
      <c r="BL711" s="16"/>
      <c r="BM711" s="17"/>
      <c r="BQ711" s="24"/>
      <c r="BR711" s="61"/>
      <c r="BS711" s="16"/>
      <c r="BT711" s="16"/>
      <c r="BU711" s="16"/>
      <c r="BV711" s="16"/>
      <c r="BW711" s="16"/>
      <c r="BX711" s="17"/>
      <c r="CB711" s="24"/>
      <c r="CC711" s="61"/>
      <c r="CD711" s="16"/>
      <c r="CE711" s="16"/>
      <c r="CF711" s="16"/>
      <c r="CG711" s="16"/>
      <c r="CH711" s="16"/>
      <c r="CI711" s="17"/>
      <c r="CM711" s="24"/>
      <c r="CN711" s="61"/>
      <c r="CO711" s="16"/>
      <c r="CP711" s="16"/>
      <c r="CQ711" s="16"/>
      <c r="CR711" s="16"/>
      <c r="CS711" s="16"/>
      <c r="CT711" s="17"/>
      <c r="CX711" s="24"/>
      <c r="CY711" s="60"/>
      <c r="CZ711" s="16"/>
      <c r="DA711" s="16"/>
      <c r="DB711" s="16"/>
      <c r="DC711" s="16"/>
      <c r="DD711" s="16"/>
      <c r="DE711" s="17"/>
      <c r="DI711" s="24"/>
      <c r="DJ711" s="60"/>
      <c r="DK711" s="16"/>
      <c r="DL711" s="16"/>
      <c r="DM711" s="16"/>
      <c r="DN711" s="16"/>
      <c r="DO711" s="16"/>
      <c r="DP711" s="17"/>
      <c r="DT711" s="24"/>
      <c r="DU711" s="60"/>
      <c r="DV711" s="16"/>
      <c r="DW711" s="16"/>
      <c r="DX711" s="16"/>
      <c r="DY711" s="16"/>
      <c r="DZ711" s="16"/>
      <c r="EA711" s="17"/>
      <c r="EE711" s="24"/>
      <c r="EF711" s="60"/>
      <c r="EG711" s="16"/>
      <c r="EH711" s="16"/>
      <c r="EI711" s="16"/>
      <c r="EJ711" s="16"/>
      <c r="EK711" s="16"/>
      <c r="EL711" s="17"/>
      <c r="EP711" s="24"/>
      <c r="EQ711" s="60"/>
      <c r="ER711" s="16"/>
      <c r="ES711" s="16"/>
      <c r="ET711" s="16"/>
      <c r="EU711" s="16"/>
      <c r="EV711" s="16"/>
      <c r="EW711" s="17"/>
      <c r="FA711" s="24"/>
      <c r="FB711" s="60"/>
      <c r="FC711" s="16"/>
      <c r="FD711" s="16"/>
      <c r="FE711" s="16"/>
      <c r="FF711" s="16"/>
      <c r="FG711" s="16"/>
      <c r="FH711" s="17"/>
      <c r="FL711" s="24"/>
      <c r="FM711" s="60"/>
      <c r="FN711" s="16"/>
      <c r="FO711" s="16"/>
      <c r="FP711" s="16"/>
      <c r="FQ711" s="16"/>
      <c r="FR711" s="16"/>
      <c r="FS711" s="17"/>
      <c r="FW711" s="24"/>
      <c r="FX711" s="60"/>
      <c r="FY711" s="16"/>
      <c r="FZ711" s="16"/>
      <c r="GA711" s="16"/>
      <c r="GB711" s="16"/>
      <c r="GC711" s="16"/>
      <c r="GD711" s="17"/>
      <c r="GH711" s="24"/>
      <c r="GI711" s="60"/>
      <c r="GJ711" s="16"/>
      <c r="GK711" s="16"/>
      <c r="GL711" s="16"/>
      <c r="GM711" s="16"/>
      <c r="GN711" s="16"/>
      <c r="GO711" s="17"/>
      <c r="GS711" s="24"/>
      <c r="GT711" s="60"/>
      <c r="GU711" s="16"/>
      <c r="GV711" s="16"/>
      <c r="GW711" s="16"/>
      <c r="GX711" s="16"/>
      <c r="GY711" s="16"/>
      <c r="GZ711" s="17"/>
      <c r="HD711" s="24"/>
      <c r="HE711" s="60"/>
      <c r="HF711" s="16"/>
      <c r="HG711" s="16"/>
      <c r="HH711" s="16"/>
      <c r="HI711" s="16"/>
      <c r="HJ711" s="16"/>
      <c r="HK711" s="17"/>
      <c r="HO711" s="24"/>
      <c r="HP711" s="60"/>
      <c r="HQ711" s="16"/>
      <c r="HR711" s="16"/>
      <c r="HS711" s="16"/>
      <c r="HT711" s="16"/>
      <c r="HU711" s="16"/>
      <c r="HV711" s="17"/>
      <c r="HZ711" s="24"/>
      <c r="IA711" s="60"/>
      <c r="IB711" s="16"/>
      <c r="IC711" s="16"/>
      <c r="ID711" s="16"/>
      <c r="IE711" s="16"/>
      <c r="IF711" s="16"/>
      <c r="IG711" s="17"/>
      <c r="IK711" s="24"/>
      <c r="IL711" s="60"/>
      <c r="IM711" s="16"/>
      <c r="IN711" s="16"/>
      <c r="IO711" s="16"/>
      <c r="IP711" s="16"/>
      <c r="IQ711" s="16"/>
      <c r="IR711" s="17"/>
      <c r="IV711" s="24"/>
      <c r="IW711" s="60"/>
      <c r="IX711" s="16"/>
      <c r="IY711" s="16"/>
      <c r="IZ711" s="16"/>
      <c r="JA711" s="16"/>
      <c r="JB711" s="16"/>
      <c r="JC711" s="17"/>
      <c r="JG711" s="24"/>
      <c r="JH711" s="60"/>
      <c r="JI711" s="16"/>
      <c r="JJ711" s="16"/>
      <c r="JK711" s="16"/>
      <c r="JL711" s="16"/>
      <c r="JM711" s="16"/>
      <c r="JN711" s="17"/>
      <c r="JR711" s="24"/>
      <c r="JS711" s="60"/>
      <c r="JT711" s="16"/>
      <c r="JU711" s="16"/>
      <c r="JV711" s="16"/>
      <c r="JW711" s="16"/>
      <c r="JX711" s="16"/>
      <c r="JY711" s="17"/>
      <c r="KC711" s="24"/>
      <c r="KD711" s="60"/>
      <c r="KE711" s="16"/>
      <c r="KF711" s="16"/>
      <c r="KG711" s="16"/>
      <c r="KH711" s="16"/>
      <c r="KI711" s="16"/>
      <c r="KJ711" s="17"/>
      <c r="KN711" s="24"/>
      <c r="KO711" s="60"/>
      <c r="KP711" s="16"/>
      <c r="KQ711" s="16"/>
      <c r="KR711" s="16"/>
      <c r="KS711" s="16"/>
      <c r="KT711" s="16"/>
      <c r="KU711" s="17"/>
      <c r="KY711" s="24"/>
      <c r="KZ711" s="60"/>
      <c r="LA711" s="16"/>
      <c r="LB711" s="16"/>
      <c r="LC711" s="16"/>
      <c r="LD711" s="16"/>
      <c r="LE711" s="16"/>
      <c r="LF711" s="17"/>
      <c r="LJ711" s="24"/>
      <c r="LK711" s="60"/>
      <c r="LL711" s="16"/>
      <c r="LM711" s="16"/>
      <c r="LN711" s="16"/>
      <c r="LO711" s="16"/>
      <c r="LP711" s="16"/>
      <c r="LQ711" s="17"/>
    </row>
    <row r="712">
      <c r="C712" s="31"/>
      <c r="D712" s="61"/>
      <c r="E712" s="16"/>
      <c r="F712" s="16"/>
      <c r="G712" s="21"/>
      <c r="H712" s="16"/>
      <c r="I712" s="16"/>
      <c r="J712" s="17"/>
      <c r="N712" s="17"/>
      <c r="O712" s="61"/>
      <c r="P712" s="16"/>
      <c r="Q712" s="16"/>
      <c r="R712" s="16"/>
      <c r="S712" s="16"/>
      <c r="T712" s="16"/>
      <c r="U712" s="17"/>
      <c r="Y712" s="24"/>
      <c r="Z712" s="61"/>
      <c r="AA712" s="16"/>
      <c r="AB712" s="16"/>
      <c r="AC712" s="16"/>
      <c r="AD712" s="16"/>
      <c r="AE712" s="16"/>
      <c r="AF712" s="17"/>
      <c r="AJ712" s="24"/>
      <c r="AK712" s="61"/>
      <c r="AL712" s="16"/>
      <c r="AM712" s="16"/>
      <c r="AN712" s="16"/>
      <c r="AO712" s="16"/>
      <c r="AP712" s="16"/>
      <c r="AQ712" s="17"/>
      <c r="AU712" s="24"/>
      <c r="AV712" s="61"/>
      <c r="AW712" s="16"/>
      <c r="AX712" s="16"/>
      <c r="AY712" s="16"/>
      <c r="AZ712" s="16"/>
      <c r="BA712" s="16"/>
      <c r="BB712" s="17"/>
      <c r="BF712" s="24"/>
      <c r="BG712" s="61"/>
      <c r="BH712" s="16"/>
      <c r="BI712" s="16"/>
      <c r="BJ712" s="16"/>
      <c r="BK712" s="16"/>
      <c r="BL712" s="16"/>
      <c r="BM712" s="17"/>
      <c r="BQ712" s="24"/>
      <c r="BR712" s="61"/>
      <c r="BS712" s="16"/>
      <c r="BT712" s="16"/>
      <c r="BU712" s="16"/>
      <c r="BV712" s="16"/>
      <c r="BW712" s="16"/>
      <c r="BX712" s="17"/>
      <c r="CB712" s="24"/>
      <c r="CC712" s="61"/>
      <c r="CD712" s="16"/>
      <c r="CE712" s="16"/>
      <c r="CF712" s="16"/>
      <c r="CG712" s="16"/>
      <c r="CH712" s="16"/>
      <c r="CI712" s="17"/>
      <c r="CM712" s="24"/>
      <c r="CN712" s="61"/>
      <c r="CO712" s="16"/>
      <c r="CP712" s="16"/>
      <c r="CQ712" s="16"/>
      <c r="CR712" s="16"/>
      <c r="CS712" s="16"/>
      <c r="CT712" s="17"/>
      <c r="CX712" s="24"/>
      <c r="CY712" s="60"/>
      <c r="CZ712" s="16"/>
      <c r="DA712" s="16"/>
      <c r="DB712" s="16"/>
      <c r="DC712" s="16"/>
      <c r="DD712" s="16"/>
      <c r="DE712" s="17"/>
      <c r="DI712" s="24"/>
      <c r="DJ712" s="60"/>
      <c r="DK712" s="16"/>
      <c r="DL712" s="16"/>
      <c r="DM712" s="16"/>
      <c r="DN712" s="16"/>
      <c r="DO712" s="16"/>
      <c r="DP712" s="17"/>
      <c r="DT712" s="24"/>
      <c r="DU712" s="60"/>
      <c r="DV712" s="16"/>
      <c r="DW712" s="16"/>
      <c r="DX712" s="16"/>
      <c r="DY712" s="16"/>
      <c r="DZ712" s="16"/>
      <c r="EA712" s="17"/>
      <c r="EE712" s="24"/>
      <c r="EF712" s="60"/>
      <c r="EG712" s="16"/>
      <c r="EH712" s="16"/>
      <c r="EI712" s="16"/>
      <c r="EJ712" s="16"/>
      <c r="EK712" s="16"/>
      <c r="EL712" s="17"/>
      <c r="EP712" s="24"/>
      <c r="EQ712" s="60"/>
      <c r="ER712" s="16"/>
      <c r="ES712" s="16"/>
      <c r="ET712" s="16"/>
      <c r="EU712" s="16"/>
      <c r="EV712" s="16"/>
      <c r="EW712" s="17"/>
      <c r="FA712" s="24"/>
      <c r="FB712" s="60"/>
      <c r="FC712" s="16"/>
      <c r="FD712" s="16"/>
      <c r="FE712" s="16"/>
      <c r="FF712" s="16"/>
      <c r="FG712" s="16"/>
      <c r="FH712" s="17"/>
      <c r="FL712" s="24"/>
      <c r="FM712" s="60"/>
      <c r="FN712" s="16"/>
      <c r="FO712" s="16"/>
      <c r="FP712" s="16"/>
      <c r="FQ712" s="16"/>
      <c r="FR712" s="16"/>
      <c r="FS712" s="17"/>
      <c r="FW712" s="24"/>
      <c r="FX712" s="60"/>
      <c r="FY712" s="16"/>
      <c r="FZ712" s="16"/>
      <c r="GA712" s="16"/>
      <c r="GB712" s="16"/>
      <c r="GC712" s="16"/>
      <c r="GD712" s="17"/>
      <c r="GH712" s="24"/>
      <c r="GI712" s="60"/>
      <c r="GJ712" s="16"/>
      <c r="GK712" s="16"/>
      <c r="GL712" s="16"/>
      <c r="GM712" s="16"/>
      <c r="GN712" s="16"/>
      <c r="GO712" s="17"/>
      <c r="GS712" s="24"/>
      <c r="GT712" s="60"/>
      <c r="GU712" s="16"/>
      <c r="GV712" s="16"/>
      <c r="GW712" s="16"/>
      <c r="GX712" s="16"/>
      <c r="GY712" s="16"/>
      <c r="GZ712" s="17"/>
      <c r="HD712" s="24"/>
      <c r="HE712" s="60"/>
      <c r="HF712" s="16"/>
      <c r="HG712" s="16"/>
      <c r="HH712" s="16"/>
      <c r="HI712" s="16"/>
      <c r="HJ712" s="16"/>
      <c r="HK712" s="17"/>
      <c r="HO712" s="24"/>
      <c r="HP712" s="60"/>
      <c r="HQ712" s="16"/>
      <c r="HR712" s="16"/>
      <c r="HS712" s="16"/>
      <c r="HT712" s="16"/>
      <c r="HU712" s="16"/>
      <c r="HV712" s="17"/>
      <c r="HZ712" s="24"/>
      <c r="IA712" s="60"/>
      <c r="IB712" s="16"/>
      <c r="IC712" s="16"/>
      <c r="ID712" s="16"/>
      <c r="IE712" s="16"/>
      <c r="IF712" s="16"/>
      <c r="IG712" s="17"/>
      <c r="IK712" s="24"/>
      <c r="IL712" s="60"/>
      <c r="IM712" s="16"/>
      <c r="IN712" s="16"/>
      <c r="IO712" s="16"/>
      <c r="IP712" s="16"/>
      <c r="IQ712" s="16"/>
      <c r="IR712" s="17"/>
      <c r="IV712" s="24"/>
      <c r="IW712" s="60"/>
      <c r="IX712" s="16"/>
      <c r="IY712" s="16"/>
      <c r="IZ712" s="16"/>
      <c r="JA712" s="16"/>
      <c r="JB712" s="16"/>
      <c r="JC712" s="17"/>
      <c r="JG712" s="24"/>
      <c r="JH712" s="60"/>
      <c r="JI712" s="16"/>
      <c r="JJ712" s="16"/>
      <c r="JK712" s="16"/>
      <c r="JL712" s="16"/>
      <c r="JM712" s="16"/>
      <c r="JN712" s="17"/>
      <c r="JR712" s="24"/>
      <c r="JS712" s="60"/>
      <c r="JT712" s="16"/>
      <c r="JU712" s="16"/>
      <c r="JV712" s="16"/>
      <c r="JW712" s="16"/>
      <c r="JX712" s="16"/>
      <c r="JY712" s="17"/>
      <c r="KC712" s="24"/>
      <c r="KD712" s="60"/>
      <c r="KE712" s="16"/>
      <c r="KF712" s="16"/>
      <c r="KG712" s="16"/>
      <c r="KH712" s="16"/>
      <c r="KI712" s="16"/>
      <c r="KJ712" s="17"/>
      <c r="KN712" s="24"/>
      <c r="KO712" s="60"/>
      <c r="KP712" s="16"/>
      <c r="KQ712" s="16"/>
      <c r="KR712" s="16"/>
      <c r="KS712" s="16"/>
      <c r="KT712" s="16"/>
      <c r="KU712" s="17"/>
      <c r="KY712" s="24"/>
      <c r="KZ712" s="60"/>
      <c r="LA712" s="16"/>
      <c r="LB712" s="16"/>
      <c r="LC712" s="16"/>
      <c r="LD712" s="16"/>
      <c r="LE712" s="16"/>
      <c r="LF712" s="17"/>
      <c r="LJ712" s="24"/>
      <c r="LK712" s="60"/>
      <c r="LL712" s="16"/>
      <c r="LM712" s="16"/>
      <c r="LN712" s="16"/>
      <c r="LO712" s="16"/>
      <c r="LP712" s="16"/>
      <c r="LQ712" s="17"/>
    </row>
    <row r="713">
      <c r="C713" s="31"/>
      <c r="D713" s="61"/>
      <c r="E713" s="16"/>
      <c r="F713" s="16"/>
      <c r="G713" s="21"/>
      <c r="H713" s="16"/>
      <c r="I713" s="16"/>
      <c r="J713" s="17"/>
      <c r="N713" s="17"/>
      <c r="O713" s="61"/>
      <c r="P713" s="16"/>
      <c r="Q713" s="16"/>
      <c r="R713" s="16"/>
      <c r="S713" s="16"/>
      <c r="T713" s="16"/>
      <c r="U713" s="17"/>
      <c r="Y713" s="24"/>
      <c r="Z713" s="61"/>
      <c r="AA713" s="16"/>
      <c r="AB713" s="16"/>
      <c r="AC713" s="16"/>
      <c r="AD713" s="16"/>
      <c r="AE713" s="16"/>
      <c r="AF713" s="17"/>
      <c r="AJ713" s="24"/>
      <c r="AK713" s="61"/>
      <c r="AL713" s="16"/>
      <c r="AM713" s="16"/>
      <c r="AN713" s="16"/>
      <c r="AO713" s="16"/>
      <c r="AP713" s="16"/>
      <c r="AQ713" s="17"/>
      <c r="AU713" s="24"/>
      <c r="AV713" s="61"/>
      <c r="AW713" s="16"/>
      <c r="AX713" s="16"/>
      <c r="AY713" s="16"/>
      <c r="AZ713" s="16"/>
      <c r="BA713" s="16"/>
      <c r="BB713" s="17"/>
      <c r="BF713" s="24"/>
      <c r="BG713" s="61"/>
      <c r="BH713" s="16"/>
      <c r="BI713" s="16"/>
      <c r="BJ713" s="16"/>
      <c r="BK713" s="16"/>
      <c r="BL713" s="16"/>
      <c r="BM713" s="17"/>
      <c r="BQ713" s="24"/>
      <c r="BR713" s="61"/>
      <c r="BS713" s="16"/>
      <c r="BT713" s="16"/>
      <c r="BU713" s="16"/>
      <c r="BV713" s="16"/>
      <c r="BW713" s="16"/>
      <c r="BX713" s="17"/>
      <c r="CB713" s="24"/>
      <c r="CC713" s="61"/>
      <c r="CD713" s="16"/>
      <c r="CE713" s="16"/>
      <c r="CF713" s="16"/>
      <c r="CG713" s="16"/>
      <c r="CH713" s="16"/>
      <c r="CI713" s="17"/>
      <c r="CM713" s="24"/>
      <c r="CN713" s="61"/>
      <c r="CO713" s="16"/>
      <c r="CP713" s="16"/>
      <c r="CQ713" s="16"/>
      <c r="CR713" s="16"/>
      <c r="CS713" s="16"/>
      <c r="CT713" s="17"/>
      <c r="CX713" s="24"/>
      <c r="CY713" s="60"/>
      <c r="CZ713" s="16"/>
      <c r="DA713" s="16"/>
      <c r="DB713" s="16"/>
      <c r="DC713" s="16"/>
      <c r="DD713" s="16"/>
      <c r="DE713" s="17"/>
      <c r="DI713" s="24"/>
      <c r="DJ713" s="60"/>
      <c r="DK713" s="16"/>
      <c r="DL713" s="16"/>
      <c r="DM713" s="16"/>
      <c r="DN713" s="16"/>
      <c r="DO713" s="16"/>
      <c r="DP713" s="17"/>
      <c r="DT713" s="24"/>
      <c r="DU713" s="60"/>
      <c r="DV713" s="16"/>
      <c r="DW713" s="16"/>
      <c r="DX713" s="16"/>
      <c r="DY713" s="16"/>
      <c r="DZ713" s="16"/>
      <c r="EA713" s="17"/>
      <c r="EE713" s="24"/>
      <c r="EF713" s="60"/>
      <c r="EG713" s="16"/>
      <c r="EH713" s="16"/>
      <c r="EI713" s="16"/>
      <c r="EJ713" s="16"/>
      <c r="EK713" s="16"/>
      <c r="EL713" s="17"/>
      <c r="EP713" s="24"/>
      <c r="EQ713" s="60"/>
      <c r="ER713" s="16"/>
      <c r="ES713" s="16"/>
      <c r="ET713" s="16"/>
      <c r="EU713" s="16"/>
      <c r="EV713" s="16"/>
      <c r="EW713" s="17"/>
      <c r="FA713" s="24"/>
      <c r="FB713" s="60"/>
      <c r="FC713" s="16"/>
      <c r="FD713" s="16"/>
      <c r="FE713" s="16"/>
      <c r="FF713" s="16"/>
      <c r="FG713" s="16"/>
      <c r="FH713" s="17"/>
      <c r="FL713" s="24"/>
      <c r="FM713" s="60"/>
      <c r="FN713" s="16"/>
      <c r="FO713" s="16"/>
      <c r="FP713" s="16"/>
      <c r="FQ713" s="16"/>
      <c r="FR713" s="16"/>
      <c r="FS713" s="17"/>
      <c r="FW713" s="24"/>
      <c r="FX713" s="60"/>
      <c r="FY713" s="16"/>
      <c r="FZ713" s="16"/>
      <c r="GA713" s="16"/>
      <c r="GB713" s="16"/>
      <c r="GC713" s="16"/>
      <c r="GD713" s="17"/>
      <c r="GH713" s="24"/>
      <c r="GI713" s="60"/>
      <c r="GJ713" s="16"/>
      <c r="GK713" s="16"/>
      <c r="GL713" s="16"/>
      <c r="GM713" s="16"/>
      <c r="GN713" s="16"/>
      <c r="GO713" s="17"/>
      <c r="GS713" s="24"/>
      <c r="GT713" s="60"/>
      <c r="GU713" s="16"/>
      <c r="GV713" s="16"/>
      <c r="GW713" s="16"/>
      <c r="GX713" s="16"/>
      <c r="GY713" s="16"/>
      <c r="GZ713" s="17"/>
      <c r="HD713" s="24"/>
      <c r="HE713" s="60"/>
      <c r="HF713" s="16"/>
      <c r="HG713" s="16"/>
      <c r="HH713" s="16"/>
      <c r="HI713" s="16"/>
      <c r="HJ713" s="16"/>
      <c r="HK713" s="17"/>
      <c r="HO713" s="24"/>
      <c r="HP713" s="60"/>
      <c r="HQ713" s="16"/>
      <c r="HR713" s="16"/>
      <c r="HS713" s="16"/>
      <c r="HT713" s="16"/>
      <c r="HU713" s="16"/>
      <c r="HV713" s="17"/>
      <c r="HZ713" s="24"/>
      <c r="IA713" s="60"/>
      <c r="IB713" s="16"/>
      <c r="IC713" s="16"/>
      <c r="ID713" s="16"/>
      <c r="IE713" s="16"/>
      <c r="IF713" s="16"/>
      <c r="IG713" s="17"/>
      <c r="IK713" s="24"/>
      <c r="IL713" s="60"/>
      <c r="IM713" s="16"/>
      <c r="IN713" s="16"/>
      <c r="IO713" s="16"/>
      <c r="IP713" s="16"/>
      <c r="IQ713" s="16"/>
      <c r="IR713" s="17"/>
      <c r="IV713" s="24"/>
      <c r="IW713" s="60"/>
      <c r="IX713" s="16"/>
      <c r="IY713" s="16"/>
      <c r="IZ713" s="16"/>
      <c r="JA713" s="16"/>
      <c r="JB713" s="16"/>
      <c r="JC713" s="17"/>
      <c r="JG713" s="24"/>
      <c r="JH713" s="60"/>
      <c r="JI713" s="16"/>
      <c r="JJ713" s="16"/>
      <c r="JK713" s="16"/>
      <c r="JL713" s="16"/>
      <c r="JM713" s="16"/>
      <c r="JN713" s="17"/>
      <c r="JR713" s="24"/>
      <c r="JS713" s="60"/>
      <c r="JT713" s="16"/>
      <c r="JU713" s="16"/>
      <c r="JV713" s="16"/>
      <c r="JW713" s="16"/>
      <c r="JX713" s="16"/>
      <c r="JY713" s="17"/>
      <c r="KC713" s="24"/>
      <c r="KD713" s="60"/>
      <c r="KE713" s="16"/>
      <c r="KF713" s="16"/>
      <c r="KG713" s="16"/>
      <c r="KH713" s="16"/>
      <c r="KI713" s="16"/>
      <c r="KJ713" s="17"/>
      <c r="KN713" s="24"/>
      <c r="KO713" s="60"/>
      <c r="KP713" s="16"/>
      <c r="KQ713" s="16"/>
      <c r="KR713" s="16"/>
      <c r="KS713" s="16"/>
      <c r="KT713" s="16"/>
      <c r="KU713" s="17"/>
      <c r="KY713" s="24"/>
      <c r="KZ713" s="60"/>
      <c r="LA713" s="16"/>
      <c r="LB713" s="16"/>
      <c r="LC713" s="16"/>
      <c r="LD713" s="16"/>
      <c r="LE713" s="16"/>
      <c r="LF713" s="17"/>
      <c r="LJ713" s="24"/>
      <c r="LK713" s="60"/>
      <c r="LL713" s="16"/>
      <c r="LM713" s="16"/>
      <c r="LN713" s="16"/>
      <c r="LO713" s="16"/>
      <c r="LP713" s="16"/>
      <c r="LQ713" s="17"/>
    </row>
    <row r="714">
      <c r="C714" s="31"/>
      <c r="D714" s="61"/>
      <c r="E714" s="16"/>
      <c r="F714" s="16"/>
      <c r="G714" s="21"/>
      <c r="H714" s="16"/>
      <c r="I714" s="16"/>
      <c r="J714" s="17"/>
      <c r="N714" s="17"/>
      <c r="O714" s="61"/>
      <c r="P714" s="16"/>
      <c r="Q714" s="16"/>
      <c r="R714" s="16"/>
      <c r="S714" s="16"/>
      <c r="T714" s="16"/>
      <c r="U714" s="17"/>
      <c r="Y714" s="24"/>
      <c r="Z714" s="61"/>
      <c r="AA714" s="16"/>
      <c r="AB714" s="16"/>
      <c r="AC714" s="16"/>
      <c r="AD714" s="16"/>
      <c r="AE714" s="16"/>
      <c r="AF714" s="17"/>
      <c r="AJ714" s="24"/>
      <c r="AK714" s="61"/>
      <c r="AL714" s="16"/>
      <c r="AM714" s="16"/>
      <c r="AN714" s="16"/>
      <c r="AO714" s="16"/>
      <c r="AP714" s="16"/>
      <c r="AQ714" s="17"/>
      <c r="AU714" s="24"/>
      <c r="AV714" s="61"/>
      <c r="AW714" s="16"/>
      <c r="AX714" s="16"/>
      <c r="AY714" s="16"/>
      <c r="AZ714" s="16"/>
      <c r="BA714" s="16"/>
      <c r="BB714" s="17"/>
      <c r="BF714" s="24"/>
      <c r="BG714" s="61"/>
      <c r="BH714" s="16"/>
      <c r="BI714" s="16"/>
      <c r="BJ714" s="16"/>
      <c r="BK714" s="16"/>
      <c r="BL714" s="16"/>
      <c r="BM714" s="17"/>
      <c r="BQ714" s="24"/>
      <c r="BR714" s="61"/>
      <c r="BS714" s="16"/>
      <c r="BT714" s="16"/>
      <c r="BU714" s="16"/>
      <c r="BV714" s="16"/>
      <c r="BW714" s="16"/>
      <c r="BX714" s="17"/>
      <c r="CB714" s="24"/>
      <c r="CC714" s="61"/>
      <c r="CD714" s="16"/>
      <c r="CE714" s="16"/>
      <c r="CF714" s="16"/>
      <c r="CG714" s="16"/>
      <c r="CH714" s="16"/>
      <c r="CI714" s="17"/>
      <c r="CM714" s="24"/>
      <c r="CN714" s="61"/>
      <c r="CO714" s="16"/>
      <c r="CP714" s="16"/>
      <c r="CQ714" s="16"/>
      <c r="CR714" s="16"/>
      <c r="CS714" s="16"/>
      <c r="CT714" s="17"/>
      <c r="CX714" s="24"/>
      <c r="CY714" s="60"/>
      <c r="CZ714" s="16"/>
      <c r="DA714" s="16"/>
      <c r="DB714" s="16"/>
      <c r="DC714" s="16"/>
      <c r="DD714" s="16"/>
      <c r="DE714" s="17"/>
      <c r="DI714" s="24"/>
      <c r="DJ714" s="60"/>
      <c r="DK714" s="16"/>
      <c r="DL714" s="16"/>
      <c r="DM714" s="16"/>
      <c r="DN714" s="16"/>
      <c r="DO714" s="16"/>
      <c r="DP714" s="17"/>
      <c r="DT714" s="24"/>
      <c r="DU714" s="60"/>
      <c r="DV714" s="16"/>
      <c r="DW714" s="16"/>
      <c r="DX714" s="16"/>
      <c r="DY714" s="16"/>
      <c r="DZ714" s="16"/>
      <c r="EA714" s="17"/>
      <c r="EE714" s="24"/>
      <c r="EF714" s="60"/>
      <c r="EG714" s="16"/>
      <c r="EH714" s="16"/>
      <c r="EI714" s="16"/>
      <c r="EJ714" s="16"/>
      <c r="EK714" s="16"/>
      <c r="EL714" s="17"/>
      <c r="EP714" s="24"/>
      <c r="EQ714" s="60"/>
      <c r="ER714" s="16"/>
      <c r="ES714" s="16"/>
      <c r="ET714" s="16"/>
      <c r="EU714" s="16"/>
      <c r="EV714" s="16"/>
      <c r="EW714" s="17"/>
      <c r="FA714" s="24"/>
      <c r="FB714" s="60"/>
      <c r="FC714" s="16"/>
      <c r="FD714" s="16"/>
      <c r="FE714" s="16"/>
      <c r="FF714" s="16"/>
      <c r="FG714" s="16"/>
      <c r="FH714" s="17"/>
      <c r="FL714" s="24"/>
      <c r="FM714" s="60"/>
      <c r="FN714" s="16"/>
      <c r="FO714" s="16"/>
      <c r="FP714" s="16"/>
      <c r="FQ714" s="16"/>
      <c r="FR714" s="16"/>
      <c r="FS714" s="17"/>
      <c r="FW714" s="24"/>
      <c r="FX714" s="60"/>
      <c r="FY714" s="16"/>
      <c r="FZ714" s="16"/>
      <c r="GA714" s="16"/>
      <c r="GB714" s="16"/>
      <c r="GC714" s="16"/>
      <c r="GD714" s="17"/>
      <c r="GH714" s="24"/>
      <c r="GI714" s="60"/>
      <c r="GJ714" s="16"/>
      <c r="GK714" s="16"/>
      <c r="GL714" s="16"/>
      <c r="GM714" s="16"/>
      <c r="GN714" s="16"/>
      <c r="GO714" s="17"/>
      <c r="GS714" s="24"/>
      <c r="GT714" s="60"/>
      <c r="GU714" s="16"/>
      <c r="GV714" s="16"/>
      <c r="GW714" s="16"/>
      <c r="GX714" s="16"/>
      <c r="GY714" s="16"/>
      <c r="GZ714" s="17"/>
      <c r="HD714" s="24"/>
      <c r="HE714" s="60"/>
      <c r="HF714" s="16"/>
      <c r="HG714" s="16"/>
      <c r="HH714" s="16"/>
      <c r="HI714" s="16"/>
      <c r="HJ714" s="16"/>
      <c r="HK714" s="17"/>
      <c r="HO714" s="24"/>
      <c r="HP714" s="60"/>
      <c r="HQ714" s="16"/>
      <c r="HR714" s="16"/>
      <c r="HS714" s="16"/>
      <c r="HT714" s="16"/>
      <c r="HU714" s="16"/>
      <c r="HV714" s="17"/>
      <c r="HZ714" s="24"/>
      <c r="IA714" s="60"/>
      <c r="IB714" s="16"/>
      <c r="IC714" s="16"/>
      <c r="ID714" s="16"/>
      <c r="IE714" s="16"/>
      <c r="IF714" s="16"/>
      <c r="IG714" s="17"/>
      <c r="IK714" s="24"/>
      <c r="IL714" s="60"/>
      <c r="IM714" s="16"/>
      <c r="IN714" s="16"/>
      <c r="IO714" s="16"/>
      <c r="IP714" s="16"/>
      <c r="IQ714" s="16"/>
      <c r="IR714" s="17"/>
      <c r="IV714" s="24"/>
      <c r="IW714" s="60"/>
      <c r="IX714" s="16"/>
      <c r="IY714" s="16"/>
      <c r="IZ714" s="16"/>
      <c r="JA714" s="16"/>
      <c r="JB714" s="16"/>
      <c r="JC714" s="17"/>
      <c r="JG714" s="24"/>
      <c r="JH714" s="60"/>
      <c r="JI714" s="16"/>
      <c r="JJ714" s="16"/>
      <c r="JK714" s="16"/>
      <c r="JL714" s="16"/>
      <c r="JM714" s="16"/>
      <c r="JN714" s="17"/>
      <c r="JR714" s="24"/>
      <c r="JS714" s="60"/>
      <c r="JT714" s="16"/>
      <c r="JU714" s="16"/>
      <c r="JV714" s="16"/>
      <c r="JW714" s="16"/>
      <c r="JX714" s="16"/>
      <c r="JY714" s="17"/>
      <c r="KC714" s="24"/>
      <c r="KD714" s="60"/>
      <c r="KE714" s="16"/>
      <c r="KF714" s="16"/>
      <c r="KG714" s="16"/>
      <c r="KH714" s="16"/>
      <c r="KI714" s="16"/>
      <c r="KJ714" s="17"/>
      <c r="KN714" s="24"/>
      <c r="KO714" s="60"/>
      <c r="KP714" s="16"/>
      <c r="KQ714" s="16"/>
      <c r="KR714" s="16"/>
      <c r="KS714" s="16"/>
      <c r="KT714" s="16"/>
      <c r="KU714" s="17"/>
      <c r="KY714" s="24"/>
      <c r="KZ714" s="60"/>
      <c r="LA714" s="16"/>
      <c r="LB714" s="16"/>
      <c r="LC714" s="16"/>
      <c r="LD714" s="16"/>
      <c r="LE714" s="16"/>
      <c r="LF714" s="17"/>
      <c r="LJ714" s="24"/>
      <c r="LK714" s="60"/>
      <c r="LL714" s="16"/>
      <c r="LM714" s="16"/>
      <c r="LN714" s="16"/>
      <c r="LO714" s="16"/>
      <c r="LP714" s="16"/>
      <c r="LQ714" s="17"/>
    </row>
    <row r="715">
      <c r="C715" s="31"/>
      <c r="D715" s="61"/>
      <c r="E715" s="16"/>
      <c r="F715" s="16"/>
      <c r="G715" s="21"/>
      <c r="H715" s="16"/>
      <c r="I715" s="16"/>
      <c r="J715" s="17"/>
      <c r="N715" s="17"/>
      <c r="O715" s="61"/>
      <c r="P715" s="16"/>
      <c r="Q715" s="16"/>
      <c r="R715" s="16"/>
      <c r="S715" s="16"/>
      <c r="T715" s="16"/>
      <c r="U715" s="17"/>
      <c r="Y715" s="24"/>
      <c r="Z715" s="61"/>
      <c r="AA715" s="16"/>
      <c r="AB715" s="16"/>
      <c r="AC715" s="16"/>
      <c r="AD715" s="16"/>
      <c r="AE715" s="16"/>
      <c r="AF715" s="17"/>
      <c r="AJ715" s="24"/>
      <c r="AK715" s="61"/>
      <c r="AL715" s="16"/>
      <c r="AM715" s="16"/>
      <c r="AN715" s="16"/>
      <c r="AO715" s="16"/>
      <c r="AP715" s="16"/>
      <c r="AQ715" s="17"/>
      <c r="AU715" s="24"/>
      <c r="AV715" s="61"/>
      <c r="AW715" s="16"/>
      <c r="AX715" s="16"/>
      <c r="AY715" s="16"/>
      <c r="AZ715" s="16"/>
      <c r="BA715" s="16"/>
      <c r="BB715" s="17"/>
      <c r="BF715" s="24"/>
      <c r="BG715" s="61"/>
      <c r="BH715" s="16"/>
      <c r="BI715" s="16"/>
      <c r="BJ715" s="16"/>
      <c r="BK715" s="16"/>
      <c r="BL715" s="16"/>
      <c r="BM715" s="17"/>
      <c r="BQ715" s="24"/>
      <c r="BR715" s="61"/>
      <c r="BS715" s="16"/>
      <c r="BT715" s="16"/>
      <c r="BU715" s="16"/>
      <c r="BV715" s="16"/>
      <c r="BW715" s="16"/>
      <c r="BX715" s="17"/>
      <c r="CB715" s="24"/>
      <c r="CC715" s="61"/>
      <c r="CD715" s="16"/>
      <c r="CE715" s="16"/>
      <c r="CF715" s="16"/>
      <c r="CG715" s="16"/>
      <c r="CH715" s="16"/>
      <c r="CI715" s="17"/>
      <c r="CM715" s="24"/>
      <c r="CN715" s="61"/>
      <c r="CO715" s="16"/>
      <c r="CP715" s="16"/>
      <c r="CQ715" s="16"/>
      <c r="CR715" s="16"/>
      <c r="CS715" s="16"/>
      <c r="CT715" s="17"/>
      <c r="CX715" s="24"/>
      <c r="CY715" s="60"/>
      <c r="CZ715" s="16"/>
      <c r="DA715" s="16"/>
      <c r="DB715" s="16"/>
      <c r="DC715" s="16"/>
      <c r="DD715" s="16"/>
      <c r="DE715" s="17"/>
      <c r="DI715" s="24"/>
      <c r="DJ715" s="60"/>
      <c r="DK715" s="16"/>
      <c r="DL715" s="16"/>
      <c r="DM715" s="16"/>
      <c r="DN715" s="16"/>
      <c r="DO715" s="16"/>
      <c r="DP715" s="17"/>
      <c r="DT715" s="24"/>
      <c r="DU715" s="60"/>
      <c r="DV715" s="16"/>
      <c r="DW715" s="16"/>
      <c r="DX715" s="16"/>
      <c r="DY715" s="16"/>
      <c r="DZ715" s="16"/>
      <c r="EA715" s="17"/>
      <c r="EE715" s="24"/>
      <c r="EF715" s="60"/>
      <c r="EG715" s="16"/>
      <c r="EH715" s="16"/>
      <c r="EI715" s="16"/>
      <c r="EJ715" s="16"/>
      <c r="EK715" s="16"/>
      <c r="EL715" s="17"/>
      <c r="EP715" s="24"/>
      <c r="EQ715" s="60"/>
      <c r="ER715" s="16"/>
      <c r="ES715" s="16"/>
      <c r="ET715" s="16"/>
      <c r="EU715" s="16"/>
      <c r="EV715" s="16"/>
      <c r="EW715" s="17"/>
      <c r="FA715" s="24"/>
      <c r="FB715" s="60"/>
      <c r="FC715" s="16"/>
      <c r="FD715" s="16"/>
      <c r="FE715" s="16"/>
      <c r="FF715" s="16"/>
      <c r="FG715" s="16"/>
      <c r="FH715" s="17"/>
      <c r="FL715" s="24"/>
      <c r="FM715" s="60"/>
      <c r="FN715" s="16"/>
      <c r="FO715" s="16"/>
      <c r="FP715" s="16"/>
      <c r="FQ715" s="16"/>
      <c r="FR715" s="16"/>
      <c r="FS715" s="17"/>
      <c r="FW715" s="24"/>
      <c r="FX715" s="60"/>
      <c r="FY715" s="16"/>
      <c r="FZ715" s="16"/>
      <c r="GA715" s="16"/>
      <c r="GB715" s="16"/>
      <c r="GC715" s="16"/>
      <c r="GD715" s="17"/>
      <c r="GH715" s="24"/>
      <c r="GI715" s="60"/>
      <c r="GJ715" s="16"/>
      <c r="GK715" s="16"/>
      <c r="GL715" s="16"/>
      <c r="GM715" s="16"/>
      <c r="GN715" s="16"/>
      <c r="GO715" s="17"/>
      <c r="GS715" s="24"/>
      <c r="GT715" s="60"/>
      <c r="GU715" s="16"/>
      <c r="GV715" s="16"/>
      <c r="GW715" s="16"/>
      <c r="GX715" s="16"/>
      <c r="GY715" s="16"/>
      <c r="GZ715" s="17"/>
      <c r="HD715" s="24"/>
      <c r="HE715" s="60"/>
      <c r="HF715" s="16"/>
      <c r="HG715" s="16"/>
      <c r="HH715" s="16"/>
      <c r="HI715" s="16"/>
      <c r="HJ715" s="16"/>
      <c r="HK715" s="17"/>
      <c r="HO715" s="24"/>
      <c r="HP715" s="60"/>
      <c r="HQ715" s="16"/>
      <c r="HR715" s="16"/>
      <c r="HS715" s="16"/>
      <c r="HT715" s="16"/>
      <c r="HU715" s="16"/>
      <c r="HV715" s="17"/>
      <c r="HZ715" s="24"/>
      <c r="IA715" s="60"/>
      <c r="IB715" s="16"/>
      <c r="IC715" s="16"/>
      <c r="ID715" s="16"/>
      <c r="IE715" s="16"/>
      <c r="IF715" s="16"/>
      <c r="IG715" s="17"/>
      <c r="IK715" s="24"/>
      <c r="IL715" s="60"/>
      <c r="IM715" s="16"/>
      <c r="IN715" s="16"/>
      <c r="IO715" s="16"/>
      <c r="IP715" s="16"/>
      <c r="IQ715" s="16"/>
      <c r="IR715" s="17"/>
      <c r="IV715" s="24"/>
      <c r="IW715" s="60"/>
      <c r="IX715" s="16"/>
      <c r="IY715" s="16"/>
      <c r="IZ715" s="16"/>
      <c r="JA715" s="16"/>
      <c r="JB715" s="16"/>
      <c r="JC715" s="17"/>
      <c r="JG715" s="24"/>
      <c r="JH715" s="60"/>
      <c r="JI715" s="16"/>
      <c r="JJ715" s="16"/>
      <c r="JK715" s="16"/>
      <c r="JL715" s="16"/>
      <c r="JM715" s="16"/>
      <c r="JN715" s="17"/>
      <c r="JR715" s="24"/>
      <c r="JS715" s="60"/>
      <c r="JT715" s="16"/>
      <c r="JU715" s="16"/>
      <c r="JV715" s="16"/>
      <c r="JW715" s="16"/>
      <c r="JX715" s="16"/>
      <c r="JY715" s="17"/>
      <c r="KC715" s="24"/>
      <c r="KD715" s="60"/>
      <c r="KE715" s="16"/>
      <c r="KF715" s="16"/>
      <c r="KG715" s="16"/>
      <c r="KH715" s="16"/>
      <c r="KI715" s="16"/>
      <c r="KJ715" s="17"/>
      <c r="KN715" s="24"/>
      <c r="KO715" s="60"/>
      <c r="KP715" s="16"/>
      <c r="KQ715" s="16"/>
      <c r="KR715" s="16"/>
      <c r="KS715" s="16"/>
      <c r="KT715" s="16"/>
      <c r="KU715" s="17"/>
      <c r="KY715" s="24"/>
      <c r="KZ715" s="60"/>
      <c r="LA715" s="16"/>
      <c r="LB715" s="16"/>
      <c r="LC715" s="16"/>
      <c r="LD715" s="16"/>
      <c r="LE715" s="16"/>
      <c r="LF715" s="17"/>
      <c r="LJ715" s="24"/>
      <c r="LK715" s="60"/>
      <c r="LL715" s="16"/>
      <c r="LM715" s="16"/>
      <c r="LN715" s="16"/>
      <c r="LO715" s="16"/>
      <c r="LP715" s="16"/>
      <c r="LQ715" s="17"/>
    </row>
    <row r="716">
      <c r="C716" s="31"/>
      <c r="D716" s="61"/>
      <c r="E716" s="16"/>
      <c r="F716" s="16"/>
      <c r="G716" s="21"/>
      <c r="H716" s="16"/>
      <c r="I716" s="16"/>
      <c r="J716" s="17"/>
      <c r="N716" s="17"/>
      <c r="O716" s="61"/>
      <c r="P716" s="16"/>
      <c r="Q716" s="16"/>
      <c r="R716" s="16"/>
      <c r="S716" s="16"/>
      <c r="T716" s="16"/>
      <c r="U716" s="17"/>
      <c r="Y716" s="24"/>
      <c r="Z716" s="61"/>
      <c r="AA716" s="16"/>
      <c r="AB716" s="16"/>
      <c r="AC716" s="16"/>
      <c r="AD716" s="16"/>
      <c r="AE716" s="16"/>
      <c r="AF716" s="17"/>
      <c r="AJ716" s="24"/>
      <c r="AK716" s="61"/>
      <c r="AL716" s="16"/>
      <c r="AM716" s="16"/>
      <c r="AN716" s="16"/>
      <c r="AO716" s="16"/>
      <c r="AP716" s="16"/>
      <c r="AQ716" s="17"/>
      <c r="AU716" s="24"/>
      <c r="AV716" s="61"/>
      <c r="AW716" s="16"/>
      <c r="AX716" s="16"/>
      <c r="AY716" s="16"/>
      <c r="AZ716" s="16"/>
      <c r="BA716" s="16"/>
      <c r="BB716" s="17"/>
      <c r="BF716" s="24"/>
      <c r="BG716" s="61"/>
      <c r="BH716" s="16"/>
      <c r="BI716" s="16"/>
      <c r="BJ716" s="16"/>
      <c r="BK716" s="16"/>
      <c r="BL716" s="16"/>
      <c r="BM716" s="17"/>
      <c r="BQ716" s="24"/>
      <c r="BR716" s="61"/>
      <c r="BS716" s="16"/>
      <c r="BT716" s="16"/>
      <c r="BU716" s="16"/>
      <c r="BV716" s="16"/>
      <c r="BW716" s="16"/>
      <c r="BX716" s="17"/>
      <c r="CB716" s="24"/>
      <c r="CC716" s="61"/>
      <c r="CD716" s="16"/>
      <c r="CE716" s="16"/>
      <c r="CF716" s="16"/>
      <c r="CG716" s="16"/>
      <c r="CH716" s="16"/>
      <c r="CI716" s="17"/>
      <c r="CM716" s="24"/>
      <c r="CN716" s="61"/>
      <c r="CO716" s="16"/>
      <c r="CP716" s="16"/>
      <c r="CQ716" s="16"/>
      <c r="CR716" s="16"/>
      <c r="CS716" s="16"/>
      <c r="CT716" s="17"/>
      <c r="CX716" s="24"/>
      <c r="CY716" s="60"/>
      <c r="CZ716" s="16"/>
      <c r="DA716" s="16"/>
      <c r="DB716" s="16"/>
      <c r="DC716" s="16"/>
      <c r="DD716" s="16"/>
      <c r="DE716" s="17"/>
      <c r="DI716" s="24"/>
      <c r="DJ716" s="60"/>
      <c r="DK716" s="16"/>
      <c r="DL716" s="16"/>
      <c r="DM716" s="16"/>
      <c r="DN716" s="16"/>
      <c r="DO716" s="16"/>
      <c r="DP716" s="17"/>
      <c r="DT716" s="24"/>
      <c r="DU716" s="60"/>
      <c r="DV716" s="16"/>
      <c r="DW716" s="16"/>
      <c r="DX716" s="16"/>
      <c r="DY716" s="16"/>
      <c r="DZ716" s="16"/>
      <c r="EA716" s="17"/>
      <c r="EE716" s="24"/>
      <c r="EF716" s="60"/>
      <c r="EG716" s="16"/>
      <c r="EH716" s="16"/>
      <c r="EI716" s="16"/>
      <c r="EJ716" s="16"/>
      <c r="EK716" s="16"/>
      <c r="EL716" s="17"/>
      <c r="EP716" s="24"/>
      <c r="EQ716" s="60"/>
      <c r="ER716" s="16"/>
      <c r="ES716" s="16"/>
      <c r="ET716" s="16"/>
      <c r="EU716" s="16"/>
      <c r="EV716" s="16"/>
      <c r="EW716" s="17"/>
      <c r="FA716" s="24"/>
      <c r="FB716" s="60"/>
      <c r="FC716" s="16"/>
      <c r="FD716" s="16"/>
      <c r="FE716" s="16"/>
      <c r="FF716" s="16"/>
      <c r="FG716" s="16"/>
      <c r="FH716" s="17"/>
      <c r="FL716" s="24"/>
      <c r="FM716" s="60"/>
      <c r="FN716" s="16"/>
      <c r="FO716" s="16"/>
      <c r="FP716" s="16"/>
      <c r="FQ716" s="16"/>
      <c r="FR716" s="16"/>
      <c r="FS716" s="17"/>
      <c r="FW716" s="24"/>
      <c r="FX716" s="60"/>
      <c r="FY716" s="16"/>
      <c r="FZ716" s="16"/>
      <c r="GA716" s="16"/>
      <c r="GB716" s="16"/>
      <c r="GC716" s="16"/>
      <c r="GD716" s="17"/>
      <c r="GH716" s="24"/>
      <c r="GI716" s="60"/>
      <c r="GJ716" s="16"/>
      <c r="GK716" s="16"/>
      <c r="GL716" s="16"/>
      <c r="GM716" s="16"/>
      <c r="GN716" s="16"/>
      <c r="GO716" s="17"/>
      <c r="GS716" s="24"/>
      <c r="GT716" s="60"/>
      <c r="GU716" s="16"/>
      <c r="GV716" s="16"/>
      <c r="GW716" s="16"/>
      <c r="GX716" s="16"/>
      <c r="GY716" s="16"/>
      <c r="GZ716" s="17"/>
      <c r="HD716" s="24"/>
      <c r="HE716" s="60"/>
      <c r="HF716" s="16"/>
      <c r="HG716" s="16"/>
      <c r="HH716" s="16"/>
      <c r="HI716" s="16"/>
      <c r="HJ716" s="16"/>
      <c r="HK716" s="17"/>
      <c r="HO716" s="24"/>
      <c r="HP716" s="60"/>
      <c r="HQ716" s="16"/>
      <c r="HR716" s="16"/>
      <c r="HS716" s="16"/>
      <c r="HT716" s="16"/>
      <c r="HU716" s="16"/>
      <c r="HV716" s="17"/>
      <c r="HZ716" s="24"/>
      <c r="IA716" s="60"/>
      <c r="IB716" s="16"/>
      <c r="IC716" s="16"/>
      <c r="ID716" s="16"/>
      <c r="IE716" s="16"/>
      <c r="IF716" s="16"/>
      <c r="IG716" s="17"/>
      <c r="IK716" s="24"/>
      <c r="IL716" s="60"/>
      <c r="IM716" s="16"/>
      <c r="IN716" s="16"/>
      <c r="IO716" s="16"/>
      <c r="IP716" s="16"/>
      <c r="IQ716" s="16"/>
      <c r="IR716" s="17"/>
      <c r="IV716" s="24"/>
      <c r="IW716" s="60"/>
      <c r="IX716" s="16"/>
      <c r="IY716" s="16"/>
      <c r="IZ716" s="16"/>
      <c r="JA716" s="16"/>
      <c r="JB716" s="16"/>
      <c r="JC716" s="17"/>
      <c r="JG716" s="24"/>
      <c r="JH716" s="60"/>
      <c r="JI716" s="16"/>
      <c r="JJ716" s="16"/>
      <c r="JK716" s="16"/>
      <c r="JL716" s="16"/>
      <c r="JM716" s="16"/>
      <c r="JN716" s="17"/>
      <c r="JR716" s="24"/>
      <c r="JS716" s="60"/>
      <c r="JT716" s="16"/>
      <c r="JU716" s="16"/>
      <c r="JV716" s="16"/>
      <c r="JW716" s="16"/>
      <c r="JX716" s="16"/>
      <c r="JY716" s="17"/>
      <c r="KC716" s="24"/>
      <c r="KD716" s="60"/>
      <c r="KE716" s="16"/>
      <c r="KF716" s="16"/>
      <c r="KG716" s="16"/>
      <c r="KH716" s="16"/>
      <c r="KI716" s="16"/>
      <c r="KJ716" s="17"/>
      <c r="KN716" s="24"/>
      <c r="KO716" s="60"/>
      <c r="KP716" s="16"/>
      <c r="KQ716" s="16"/>
      <c r="KR716" s="16"/>
      <c r="KS716" s="16"/>
      <c r="KT716" s="16"/>
      <c r="KU716" s="17"/>
      <c r="KY716" s="24"/>
      <c r="KZ716" s="60"/>
      <c r="LA716" s="16"/>
      <c r="LB716" s="16"/>
      <c r="LC716" s="16"/>
      <c r="LD716" s="16"/>
      <c r="LE716" s="16"/>
      <c r="LF716" s="17"/>
      <c r="LJ716" s="24"/>
      <c r="LK716" s="60"/>
      <c r="LL716" s="16"/>
      <c r="LM716" s="16"/>
      <c r="LN716" s="16"/>
      <c r="LO716" s="16"/>
      <c r="LP716" s="16"/>
      <c r="LQ716" s="17"/>
    </row>
    <row r="717">
      <c r="C717" s="31"/>
      <c r="D717" s="61"/>
      <c r="E717" s="16"/>
      <c r="F717" s="16"/>
      <c r="G717" s="21"/>
      <c r="H717" s="16"/>
      <c r="I717" s="16"/>
      <c r="J717" s="17"/>
      <c r="N717" s="17"/>
      <c r="O717" s="61"/>
      <c r="P717" s="16"/>
      <c r="Q717" s="16"/>
      <c r="R717" s="16"/>
      <c r="S717" s="16"/>
      <c r="T717" s="16"/>
      <c r="U717" s="17"/>
      <c r="Y717" s="24"/>
      <c r="Z717" s="61"/>
      <c r="AA717" s="16"/>
      <c r="AB717" s="16"/>
      <c r="AC717" s="16"/>
      <c r="AD717" s="16"/>
      <c r="AE717" s="16"/>
      <c r="AF717" s="17"/>
      <c r="AJ717" s="24"/>
      <c r="AK717" s="61"/>
      <c r="AL717" s="16"/>
      <c r="AM717" s="16"/>
      <c r="AN717" s="16"/>
      <c r="AO717" s="16"/>
      <c r="AP717" s="16"/>
      <c r="AQ717" s="17"/>
      <c r="AU717" s="24"/>
      <c r="AV717" s="61"/>
      <c r="AW717" s="16"/>
      <c r="AX717" s="16"/>
      <c r="AY717" s="16"/>
      <c r="AZ717" s="16"/>
      <c r="BA717" s="16"/>
      <c r="BB717" s="17"/>
      <c r="BF717" s="24"/>
      <c r="BG717" s="61"/>
      <c r="BH717" s="16"/>
      <c r="BI717" s="16"/>
      <c r="BJ717" s="16"/>
      <c r="BK717" s="16"/>
      <c r="BL717" s="16"/>
      <c r="BM717" s="17"/>
      <c r="BQ717" s="24"/>
      <c r="BR717" s="61"/>
      <c r="BS717" s="16"/>
      <c r="BT717" s="16"/>
      <c r="BU717" s="16"/>
      <c r="BV717" s="16"/>
      <c r="BW717" s="16"/>
      <c r="BX717" s="17"/>
      <c r="CB717" s="24"/>
      <c r="CC717" s="61"/>
      <c r="CD717" s="16"/>
      <c r="CE717" s="16"/>
      <c r="CF717" s="16"/>
      <c r="CG717" s="16"/>
      <c r="CH717" s="16"/>
      <c r="CI717" s="17"/>
      <c r="CM717" s="24"/>
      <c r="CN717" s="61"/>
      <c r="CO717" s="16"/>
      <c r="CP717" s="16"/>
      <c r="CQ717" s="16"/>
      <c r="CR717" s="16"/>
      <c r="CS717" s="16"/>
      <c r="CT717" s="17"/>
      <c r="CX717" s="24"/>
      <c r="CY717" s="60"/>
      <c r="CZ717" s="16"/>
      <c r="DA717" s="16"/>
      <c r="DB717" s="16"/>
      <c r="DC717" s="16"/>
      <c r="DD717" s="16"/>
      <c r="DE717" s="17"/>
      <c r="DI717" s="24"/>
      <c r="DJ717" s="60"/>
      <c r="DK717" s="16"/>
      <c r="DL717" s="16"/>
      <c r="DM717" s="16"/>
      <c r="DN717" s="16"/>
      <c r="DO717" s="16"/>
      <c r="DP717" s="17"/>
      <c r="DT717" s="24"/>
      <c r="DU717" s="60"/>
      <c r="DV717" s="16"/>
      <c r="DW717" s="16"/>
      <c r="DX717" s="16"/>
      <c r="DY717" s="16"/>
      <c r="DZ717" s="16"/>
      <c r="EA717" s="17"/>
      <c r="EE717" s="24"/>
      <c r="EF717" s="60"/>
      <c r="EG717" s="16"/>
      <c r="EH717" s="16"/>
      <c r="EI717" s="16"/>
      <c r="EJ717" s="16"/>
      <c r="EK717" s="16"/>
      <c r="EL717" s="17"/>
      <c r="EP717" s="24"/>
      <c r="EQ717" s="60"/>
      <c r="ER717" s="16"/>
      <c r="ES717" s="16"/>
      <c r="ET717" s="16"/>
      <c r="EU717" s="16"/>
      <c r="EV717" s="16"/>
      <c r="EW717" s="17"/>
      <c r="FA717" s="24"/>
      <c r="FB717" s="60"/>
      <c r="FC717" s="16"/>
      <c r="FD717" s="16"/>
      <c r="FE717" s="16"/>
      <c r="FF717" s="16"/>
      <c r="FG717" s="16"/>
      <c r="FH717" s="17"/>
      <c r="FL717" s="24"/>
      <c r="FM717" s="60"/>
      <c r="FN717" s="16"/>
      <c r="FO717" s="16"/>
      <c r="FP717" s="16"/>
      <c r="FQ717" s="16"/>
      <c r="FR717" s="16"/>
      <c r="FS717" s="17"/>
      <c r="FW717" s="24"/>
      <c r="FX717" s="60"/>
      <c r="FY717" s="16"/>
      <c r="FZ717" s="16"/>
      <c r="GA717" s="16"/>
      <c r="GB717" s="16"/>
      <c r="GC717" s="16"/>
      <c r="GD717" s="17"/>
      <c r="GH717" s="24"/>
      <c r="GI717" s="60"/>
      <c r="GJ717" s="16"/>
      <c r="GK717" s="16"/>
      <c r="GL717" s="16"/>
      <c r="GM717" s="16"/>
      <c r="GN717" s="16"/>
      <c r="GO717" s="17"/>
      <c r="GS717" s="24"/>
      <c r="GT717" s="60"/>
      <c r="GU717" s="16"/>
      <c r="GV717" s="16"/>
      <c r="GW717" s="16"/>
      <c r="GX717" s="16"/>
      <c r="GY717" s="16"/>
      <c r="GZ717" s="17"/>
      <c r="HD717" s="24"/>
      <c r="HE717" s="60"/>
      <c r="HF717" s="16"/>
      <c r="HG717" s="16"/>
      <c r="HH717" s="16"/>
      <c r="HI717" s="16"/>
      <c r="HJ717" s="16"/>
      <c r="HK717" s="17"/>
      <c r="HO717" s="24"/>
      <c r="HP717" s="60"/>
      <c r="HQ717" s="16"/>
      <c r="HR717" s="16"/>
      <c r="HS717" s="16"/>
      <c r="HT717" s="16"/>
      <c r="HU717" s="16"/>
      <c r="HV717" s="17"/>
      <c r="HZ717" s="24"/>
      <c r="IA717" s="60"/>
      <c r="IB717" s="16"/>
      <c r="IC717" s="16"/>
      <c r="ID717" s="16"/>
      <c r="IE717" s="16"/>
      <c r="IF717" s="16"/>
      <c r="IG717" s="17"/>
      <c r="IK717" s="24"/>
      <c r="IL717" s="60"/>
      <c r="IM717" s="16"/>
      <c r="IN717" s="16"/>
      <c r="IO717" s="16"/>
      <c r="IP717" s="16"/>
      <c r="IQ717" s="16"/>
      <c r="IR717" s="17"/>
      <c r="IV717" s="24"/>
      <c r="IW717" s="60"/>
      <c r="IX717" s="16"/>
      <c r="IY717" s="16"/>
      <c r="IZ717" s="16"/>
      <c r="JA717" s="16"/>
      <c r="JB717" s="16"/>
      <c r="JC717" s="17"/>
      <c r="JG717" s="24"/>
      <c r="JH717" s="60"/>
      <c r="JI717" s="16"/>
      <c r="JJ717" s="16"/>
      <c r="JK717" s="16"/>
      <c r="JL717" s="16"/>
      <c r="JM717" s="16"/>
      <c r="JN717" s="17"/>
      <c r="JR717" s="24"/>
      <c r="JS717" s="60"/>
      <c r="JT717" s="16"/>
      <c r="JU717" s="16"/>
      <c r="JV717" s="16"/>
      <c r="JW717" s="16"/>
      <c r="JX717" s="16"/>
      <c r="JY717" s="17"/>
      <c r="KC717" s="24"/>
      <c r="KD717" s="60"/>
      <c r="KE717" s="16"/>
      <c r="KF717" s="16"/>
      <c r="KG717" s="16"/>
      <c r="KH717" s="16"/>
      <c r="KI717" s="16"/>
      <c r="KJ717" s="17"/>
      <c r="KN717" s="24"/>
      <c r="KO717" s="60"/>
      <c r="KP717" s="16"/>
      <c r="KQ717" s="16"/>
      <c r="KR717" s="16"/>
      <c r="KS717" s="16"/>
      <c r="KT717" s="16"/>
      <c r="KU717" s="17"/>
      <c r="KY717" s="24"/>
      <c r="KZ717" s="60"/>
      <c r="LA717" s="16"/>
      <c r="LB717" s="16"/>
      <c r="LC717" s="16"/>
      <c r="LD717" s="16"/>
      <c r="LE717" s="16"/>
      <c r="LF717" s="17"/>
      <c r="LJ717" s="24"/>
      <c r="LK717" s="60"/>
      <c r="LL717" s="16"/>
      <c r="LM717" s="16"/>
      <c r="LN717" s="16"/>
      <c r="LO717" s="16"/>
      <c r="LP717" s="16"/>
      <c r="LQ717" s="17"/>
    </row>
    <row r="718">
      <c r="C718" s="31"/>
      <c r="D718" s="61"/>
      <c r="E718" s="16"/>
      <c r="F718" s="16"/>
      <c r="G718" s="21"/>
      <c r="H718" s="16"/>
      <c r="I718" s="16"/>
      <c r="J718" s="17"/>
      <c r="N718" s="17"/>
      <c r="O718" s="61"/>
      <c r="P718" s="16"/>
      <c r="Q718" s="16"/>
      <c r="R718" s="16"/>
      <c r="S718" s="16"/>
      <c r="T718" s="16"/>
      <c r="U718" s="17"/>
      <c r="Y718" s="24"/>
      <c r="Z718" s="61"/>
      <c r="AA718" s="16"/>
      <c r="AB718" s="16"/>
      <c r="AC718" s="16"/>
      <c r="AD718" s="16"/>
      <c r="AE718" s="16"/>
      <c r="AF718" s="17"/>
      <c r="AJ718" s="24"/>
      <c r="AK718" s="61"/>
      <c r="AL718" s="16"/>
      <c r="AM718" s="16"/>
      <c r="AN718" s="16"/>
      <c r="AO718" s="16"/>
      <c r="AP718" s="16"/>
      <c r="AQ718" s="17"/>
      <c r="AU718" s="24"/>
      <c r="AV718" s="61"/>
      <c r="AW718" s="16"/>
      <c r="AX718" s="16"/>
      <c r="AY718" s="16"/>
      <c r="AZ718" s="16"/>
      <c r="BA718" s="16"/>
      <c r="BB718" s="17"/>
      <c r="BF718" s="24"/>
      <c r="BG718" s="61"/>
      <c r="BH718" s="16"/>
      <c r="BI718" s="16"/>
      <c r="BJ718" s="16"/>
      <c r="BK718" s="16"/>
      <c r="BL718" s="16"/>
      <c r="BM718" s="17"/>
      <c r="BQ718" s="24"/>
      <c r="BR718" s="61"/>
      <c r="BS718" s="16"/>
      <c r="BT718" s="16"/>
      <c r="BU718" s="16"/>
      <c r="BV718" s="16"/>
      <c r="BW718" s="16"/>
      <c r="BX718" s="17"/>
      <c r="CB718" s="24"/>
      <c r="CC718" s="61"/>
      <c r="CD718" s="16"/>
      <c r="CE718" s="16"/>
      <c r="CF718" s="16"/>
      <c r="CG718" s="16"/>
      <c r="CH718" s="16"/>
      <c r="CI718" s="17"/>
      <c r="CM718" s="24"/>
      <c r="CN718" s="61"/>
      <c r="CO718" s="16"/>
      <c r="CP718" s="16"/>
      <c r="CQ718" s="16"/>
      <c r="CR718" s="16"/>
      <c r="CS718" s="16"/>
      <c r="CT718" s="17"/>
      <c r="CX718" s="24"/>
      <c r="CY718" s="60"/>
      <c r="CZ718" s="16"/>
      <c r="DA718" s="16"/>
      <c r="DB718" s="16"/>
      <c r="DC718" s="16"/>
      <c r="DD718" s="16"/>
      <c r="DE718" s="17"/>
      <c r="DI718" s="24"/>
      <c r="DJ718" s="60"/>
      <c r="DK718" s="16"/>
      <c r="DL718" s="16"/>
      <c r="DM718" s="16"/>
      <c r="DN718" s="16"/>
      <c r="DO718" s="16"/>
      <c r="DP718" s="17"/>
      <c r="DT718" s="24"/>
      <c r="DU718" s="60"/>
      <c r="DV718" s="16"/>
      <c r="DW718" s="16"/>
      <c r="DX718" s="16"/>
      <c r="DY718" s="16"/>
      <c r="DZ718" s="16"/>
      <c r="EA718" s="17"/>
      <c r="EE718" s="24"/>
      <c r="EF718" s="60"/>
      <c r="EG718" s="16"/>
      <c r="EH718" s="16"/>
      <c r="EI718" s="16"/>
      <c r="EJ718" s="16"/>
      <c r="EK718" s="16"/>
      <c r="EL718" s="17"/>
      <c r="EP718" s="24"/>
      <c r="EQ718" s="60"/>
      <c r="ER718" s="16"/>
      <c r="ES718" s="16"/>
      <c r="ET718" s="16"/>
      <c r="EU718" s="16"/>
      <c r="EV718" s="16"/>
      <c r="EW718" s="17"/>
      <c r="FA718" s="24"/>
      <c r="FB718" s="60"/>
      <c r="FC718" s="16"/>
      <c r="FD718" s="16"/>
      <c r="FE718" s="16"/>
      <c r="FF718" s="16"/>
      <c r="FG718" s="16"/>
      <c r="FH718" s="17"/>
      <c r="FL718" s="24"/>
      <c r="FM718" s="60"/>
      <c r="FN718" s="16"/>
      <c r="FO718" s="16"/>
      <c r="FP718" s="16"/>
      <c r="FQ718" s="16"/>
      <c r="FR718" s="16"/>
      <c r="FS718" s="17"/>
      <c r="FW718" s="24"/>
      <c r="FX718" s="60"/>
      <c r="FY718" s="16"/>
      <c r="FZ718" s="16"/>
      <c r="GA718" s="16"/>
      <c r="GB718" s="16"/>
      <c r="GC718" s="16"/>
      <c r="GD718" s="17"/>
      <c r="GH718" s="24"/>
      <c r="GI718" s="60"/>
      <c r="GJ718" s="16"/>
      <c r="GK718" s="16"/>
      <c r="GL718" s="16"/>
      <c r="GM718" s="16"/>
      <c r="GN718" s="16"/>
      <c r="GO718" s="17"/>
      <c r="GS718" s="24"/>
      <c r="GT718" s="60"/>
      <c r="GU718" s="16"/>
      <c r="GV718" s="16"/>
      <c r="GW718" s="16"/>
      <c r="GX718" s="16"/>
      <c r="GY718" s="16"/>
      <c r="GZ718" s="17"/>
      <c r="HD718" s="24"/>
      <c r="HE718" s="60"/>
      <c r="HF718" s="16"/>
      <c r="HG718" s="16"/>
      <c r="HH718" s="16"/>
      <c r="HI718" s="16"/>
      <c r="HJ718" s="16"/>
      <c r="HK718" s="17"/>
      <c r="HO718" s="24"/>
      <c r="HP718" s="60"/>
      <c r="HQ718" s="16"/>
      <c r="HR718" s="16"/>
      <c r="HS718" s="16"/>
      <c r="HT718" s="16"/>
      <c r="HU718" s="16"/>
      <c r="HV718" s="17"/>
      <c r="HZ718" s="24"/>
      <c r="IA718" s="60"/>
      <c r="IB718" s="16"/>
      <c r="IC718" s="16"/>
      <c r="ID718" s="16"/>
      <c r="IE718" s="16"/>
      <c r="IF718" s="16"/>
      <c r="IG718" s="17"/>
      <c r="IK718" s="24"/>
      <c r="IL718" s="60"/>
      <c r="IM718" s="16"/>
      <c r="IN718" s="16"/>
      <c r="IO718" s="16"/>
      <c r="IP718" s="16"/>
      <c r="IQ718" s="16"/>
      <c r="IR718" s="17"/>
      <c r="IV718" s="24"/>
      <c r="IW718" s="60"/>
      <c r="IX718" s="16"/>
      <c r="IY718" s="16"/>
      <c r="IZ718" s="16"/>
      <c r="JA718" s="16"/>
      <c r="JB718" s="16"/>
      <c r="JC718" s="17"/>
      <c r="JG718" s="24"/>
      <c r="JH718" s="60"/>
      <c r="JI718" s="16"/>
      <c r="JJ718" s="16"/>
      <c r="JK718" s="16"/>
      <c r="JL718" s="16"/>
      <c r="JM718" s="16"/>
      <c r="JN718" s="17"/>
      <c r="JR718" s="24"/>
      <c r="JS718" s="60"/>
      <c r="JT718" s="16"/>
      <c r="JU718" s="16"/>
      <c r="JV718" s="16"/>
      <c r="JW718" s="16"/>
      <c r="JX718" s="16"/>
      <c r="JY718" s="17"/>
      <c r="KC718" s="24"/>
      <c r="KD718" s="60"/>
      <c r="KE718" s="16"/>
      <c r="KF718" s="16"/>
      <c r="KG718" s="16"/>
      <c r="KH718" s="16"/>
      <c r="KI718" s="16"/>
      <c r="KJ718" s="17"/>
      <c r="KN718" s="24"/>
      <c r="KO718" s="60"/>
      <c r="KP718" s="16"/>
      <c r="KQ718" s="16"/>
      <c r="KR718" s="16"/>
      <c r="KS718" s="16"/>
      <c r="KT718" s="16"/>
      <c r="KU718" s="17"/>
      <c r="KY718" s="24"/>
      <c r="KZ718" s="60"/>
      <c r="LA718" s="16"/>
      <c r="LB718" s="16"/>
      <c r="LC718" s="16"/>
      <c r="LD718" s="16"/>
      <c r="LE718" s="16"/>
      <c r="LF718" s="17"/>
      <c r="LJ718" s="24"/>
      <c r="LK718" s="60"/>
      <c r="LL718" s="16"/>
      <c r="LM718" s="16"/>
      <c r="LN718" s="16"/>
      <c r="LO718" s="16"/>
      <c r="LP718" s="16"/>
      <c r="LQ718" s="17"/>
    </row>
    <row r="719">
      <c r="C719" s="31"/>
      <c r="D719" s="61"/>
      <c r="E719" s="16"/>
      <c r="F719" s="16"/>
      <c r="G719" s="21"/>
      <c r="H719" s="16"/>
      <c r="I719" s="16"/>
      <c r="J719" s="17"/>
      <c r="N719" s="17"/>
      <c r="O719" s="61"/>
      <c r="P719" s="16"/>
      <c r="Q719" s="16"/>
      <c r="R719" s="16"/>
      <c r="S719" s="16"/>
      <c r="T719" s="16"/>
      <c r="U719" s="17"/>
      <c r="Y719" s="24"/>
      <c r="Z719" s="61"/>
      <c r="AA719" s="16"/>
      <c r="AB719" s="16"/>
      <c r="AC719" s="16"/>
      <c r="AD719" s="16"/>
      <c r="AE719" s="16"/>
      <c r="AF719" s="17"/>
      <c r="AJ719" s="24"/>
      <c r="AK719" s="61"/>
      <c r="AL719" s="16"/>
      <c r="AM719" s="16"/>
      <c r="AN719" s="16"/>
      <c r="AO719" s="16"/>
      <c r="AP719" s="16"/>
      <c r="AQ719" s="17"/>
      <c r="AU719" s="24"/>
      <c r="AV719" s="61"/>
      <c r="AW719" s="16"/>
      <c r="AX719" s="16"/>
      <c r="AY719" s="16"/>
      <c r="AZ719" s="16"/>
      <c r="BA719" s="16"/>
      <c r="BB719" s="17"/>
      <c r="BF719" s="24"/>
      <c r="BG719" s="61"/>
      <c r="BH719" s="16"/>
      <c r="BI719" s="16"/>
      <c r="BJ719" s="16"/>
      <c r="BK719" s="16"/>
      <c r="BL719" s="16"/>
      <c r="BM719" s="17"/>
      <c r="BQ719" s="24"/>
      <c r="BR719" s="61"/>
      <c r="BS719" s="16"/>
      <c r="BT719" s="16"/>
      <c r="BU719" s="16"/>
      <c r="BV719" s="16"/>
      <c r="BW719" s="16"/>
      <c r="BX719" s="17"/>
      <c r="CB719" s="24"/>
      <c r="CC719" s="61"/>
      <c r="CD719" s="16"/>
      <c r="CE719" s="16"/>
      <c r="CF719" s="16"/>
      <c r="CG719" s="16"/>
      <c r="CH719" s="16"/>
      <c r="CI719" s="17"/>
      <c r="CM719" s="24"/>
      <c r="CN719" s="61"/>
      <c r="CO719" s="16"/>
      <c r="CP719" s="16"/>
      <c r="CQ719" s="16"/>
      <c r="CR719" s="16"/>
      <c r="CS719" s="16"/>
      <c r="CT719" s="17"/>
      <c r="CX719" s="24"/>
      <c r="CY719" s="60"/>
      <c r="CZ719" s="16"/>
      <c r="DA719" s="16"/>
      <c r="DB719" s="16"/>
      <c r="DC719" s="16"/>
      <c r="DD719" s="16"/>
      <c r="DE719" s="17"/>
      <c r="DI719" s="24"/>
      <c r="DJ719" s="60"/>
      <c r="DK719" s="16"/>
      <c r="DL719" s="16"/>
      <c r="DM719" s="16"/>
      <c r="DN719" s="16"/>
      <c r="DO719" s="16"/>
      <c r="DP719" s="17"/>
      <c r="DT719" s="24"/>
      <c r="DU719" s="60"/>
      <c r="DV719" s="16"/>
      <c r="DW719" s="16"/>
      <c r="DX719" s="16"/>
      <c r="DY719" s="16"/>
      <c r="DZ719" s="16"/>
      <c r="EA719" s="17"/>
      <c r="EE719" s="24"/>
      <c r="EF719" s="60"/>
      <c r="EG719" s="16"/>
      <c r="EH719" s="16"/>
      <c r="EI719" s="16"/>
      <c r="EJ719" s="16"/>
      <c r="EK719" s="16"/>
      <c r="EL719" s="17"/>
      <c r="EP719" s="24"/>
      <c r="EQ719" s="60"/>
      <c r="ER719" s="16"/>
      <c r="ES719" s="16"/>
      <c r="ET719" s="16"/>
      <c r="EU719" s="16"/>
      <c r="EV719" s="16"/>
      <c r="EW719" s="17"/>
      <c r="FA719" s="24"/>
      <c r="FB719" s="60"/>
      <c r="FC719" s="16"/>
      <c r="FD719" s="16"/>
      <c r="FE719" s="16"/>
      <c r="FF719" s="16"/>
      <c r="FG719" s="16"/>
      <c r="FH719" s="17"/>
      <c r="FL719" s="24"/>
      <c r="FM719" s="60"/>
      <c r="FN719" s="16"/>
      <c r="FO719" s="16"/>
      <c r="FP719" s="16"/>
      <c r="FQ719" s="16"/>
      <c r="FR719" s="16"/>
      <c r="FS719" s="17"/>
      <c r="FW719" s="24"/>
      <c r="FX719" s="60"/>
      <c r="FY719" s="16"/>
      <c r="FZ719" s="16"/>
      <c r="GA719" s="16"/>
      <c r="GB719" s="16"/>
      <c r="GC719" s="16"/>
      <c r="GD719" s="17"/>
      <c r="GH719" s="24"/>
      <c r="GI719" s="60"/>
      <c r="GJ719" s="16"/>
      <c r="GK719" s="16"/>
      <c r="GL719" s="16"/>
      <c r="GM719" s="16"/>
      <c r="GN719" s="16"/>
      <c r="GO719" s="17"/>
      <c r="GS719" s="24"/>
      <c r="GT719" s="60"/>
      <c r="GU719" s="16"/>
      <c r="GV719" s="16"/>
      <c r="GW719" s="16"/>
      <c r="GX719" s="16"/>
      <c r="GY719" s="16"/>
      <c r="GZ719" s="17"/>
      <c r="HD719" s="24"/>
      <c r="HE719" s="60"/>
      <c r="HF719" s="16"/>
      <c r="HG719" s="16"/>
      <c r="HH719" s="16"/>
      <c r="HI719" s="16"/>
      <c r="HJ719" s="16"/>
      <c r="HK719" s="17"/>
      <c r="HO719" s="24"/>
      <c r="HP719" s="60"/>
      <c r="HQ719" s="16"/>
      <c r="HR719" s="16"/>
      <c r="HS719" s="16"/>
      <c r="HT719" s="16"/>
      <c r="HU719" s="16"/>
      <c r="HV719" s="17"/>
      <c r="HZ719" s="24"/>
      <c r="IA719" s="60"/>
      <c r="IB719" s="16"/>
      <c r="IC719" s="16"/>
      <c r="ID719" s="16"/>
      <c r="IE719" s="16"/>
      <c r="IF719" s="16"/>
      <c r="IG719" s="17"/>
      <c r="IK719" s="24"/>
      <c r="IL719" s="60"/>
      <c r="IM719" s="16"/>
      <c r="IN719" s="16"/>
      <c r="IO719" s="16"/>
      <c r="IP719" s="16"/>
      <c r="IQ719" s="16"/>
      <c r="IR719" s="17"/>
      <c r="IV719" s="24"/>
      <c r="IW719" s="60"/>
      <c r="IX719" s="16"/>
      <c r="IY719" s="16"/>
      <c r="IZ719" s="16"/>
      <c r="JA719" s="16"/>
      <c r="JB719" s="16"/>
      <c r="JC719" s="17"/>
      <c r="JG719" s="24"/>
      <c r="JH719" s="60"/>
      <c r="JI719" s="16"/>
      <c r="JJ719" s="16"/>
      <c r="JK719" s="16"/>
      <c r="JL719" s="16"/>
      <c r="JM719" s="16"/>
      <c r="JN719" s="17"/>
      <c r="JR719" s="24"/>
      <c r="JS719" s="60"/>
      <c r="JT719" s="16"/>
      <c r="JU719" s="16"/>
      <c r="JV719" s="16"/>
      <c r="JW719" s="16"/>
      <c r="JX719" s="16"/>
      <c r="JY719" s="17"/>
      <c r="KC719" s="24"/>
      <c r="KD719" s="60"/>
      <c r="KE719" s="16"/>
      <c r="KF719" s="16"/>
      <c r="KG719" s="16"/>
      <c r="KH719" s="16"/>
      <c r="KI719" s="16"/>
      <c r="KJ719" s="17"/>
      <c r="KN719" s="24"/>
      <c r="KO719" s="60"/>
      <c r="KP719" s="16"/>
      <c r="KQ719" s="16"/>
      <c r="KR719" s="16"/>
      <c r="KS719" s="16"/>
      <c r="KT719" s="16"/>
      <c r="KU719" s="17"/>
      <c r="KY719" s="24"/>
      <c r="KZ719" s="60"/>
      <c r="LA719" s="16"/>
      <c r="LB719" s="16"/>
      <c r="LC719" s="16"/>
      <c r="LD719" s="16"/>
      <c r="LE719" s="16"/>
      <c r="LF719" s="17"/>
      <c r="LJ719" s="24"/>
      <c r="LK719" s="60"/>
      <c r="LL719" s="16"/>
      <c r="LM719" s="16"/>
      <c r="LN719" s="16"/>
      <c r="LO719" s="16"/>
      <c r="LP719" s="16"/>
      <c r="LQ719" s="17"/>
    </row>
    <row r="720">
      <c r="C720" s="31"/>
      <c r="D720" s="61"/>
      <c r="E720" s="16"/>
      <c r="F720" s="16"/>
      <c r="G720" s="21"/>
      <c r="H720" s="16"/>
      <c r="I720" s="16"/>
      <c r="J720" s="17"/>
      <c r="N720" s="17"/>
      <c r="O720" s="61"/>
      <c r="P720" s="16"/>
      <c r="Q720" s="16"/>
      <c r="R720" s="16"/>
      <c r="S720" s="16"/>
      <c r="T720" s="16"/>
      <c r="U720" s="17"/>
      <c r="Y720" s="24"/>
      <c r="Z720" s="61"/>
      <c r="AA720" s="16"/>
      <c r="AB720" s="16"/>
      <c r="AC720" s="16"/>
      <c r="AD720" s="16"/>
      <c r="AE720" s="16"/>
      <c r="AF720" s="17"/>
      <c r="AJ720" s="24"/>
      <c r="AK720" s="61"/>
      <c r="AL720" s="16"/>
      <c r="AM720" s="16"/>
      <c r="AN720" s="16"/>
      <c r="AO720" s="16"/>
      <c r="AP720" s="16"/>
      <c r="AQ720" s="17"/>
      <c r="AU720" s="24"/>
      <c r="AV720" s="61"/>
      <c r="AW720" s="16"/>
      <c r="AX720" s="16"/>
      <c r="AY720" s="16"/>
      <c r="AZ720" s="16"/>
      <c r="BA720" s="16"/>
      <c r="BB720" s="17"/>
      <c r="BF720" s="24"/>
      <c r="BG720" s="61"/>
      <c r="BH720" s="16"/>
      <c r="BI720" s="16"/>
      <c r="BJ720" s="16"/>
      <c r="BK720" s="16"/>
      <c r="BL720" s="16"/>
      <c r="BM720" s="17"/>
      <c r="BQ720" s="24"/>
      <c r="BR720" s="61"/>
      <c r="BS720" s="16"/>
      <c r="BT720" s="16"/>
      <c r="BU720" s="16"/>
      <c r="BV720" s="16"/>
      <c r="BW720" s="16"/>
      <c r="BX720" s="17"/>
      <c r="CB720" s="24"/>
      <c r="CC720" s="61"/>
      <c r="CD720" s="16"/>
      <c r="CE720" s="16"/>
      <c r="CF720" s="16"/>
      <c r="CG720" s="16"/>
      <c r="CH720" s="16"/>
      <c r="CI720" s="17"/>
      <c r="CM720" s="24"/>
      <c r="CN720" s="61"/>
      <c r="CO720" s="16"/>
      <c r="CP720" s="16"/>
      <c r="CQ720" s="16"/>
      <c r="CR720" s="16"/>
      <c r="CS720" s="16"/>
      <c r="CT720" s="17"/>
      <c r="CX720" s="24"/>
      <c r="CY720" s="60"/>
      <c r="CZ720" s="16"/>
      <c r="DA720" s="16"/>
      <c r="DB720" s="16"/>
      <c r="DC720" s="16"/>
      <c r="DD720" s="16"/>
      <c r="DE720" s="17"/>
      <c r="DI720" s="24"/>
      <c r="DJ720" s="60"/>
      <c r="DK720" s="16"/>
      <c r="DL720" s="16"/>
      <c r="DM720" s="16"/>
      <c r="DN720" s="16"/>
      <c r="DO720" s="16"/>
      <c r="DP720" s="17"/>
      <c r="DT720" s="24"/>
      <c r="DU720" s="60"/>
      <c r="DV720" s="16"/>
      <c r="DW720" s="16"/>
      <c r="DX720" s="16"/>
      <c r="DY720" s="16"/>
      <c r="DZ720" s="16"/>
      <c r="EA720" s="17"/>
      <c r="EE720" s="24"/>
      <c r="EF720" s="60"/>
      <c r="EG720" s="16"/>
      <c r="EH720" s="16"/>
      <c r="EI720" s="16"/>
      <c r="EJ720" s="16"/>
      <c r="EK720" s="16"/>
      <c r="EL720" s="17"/>
      <c r="EP720" s="24"/>
      <c r="EQ720" s="60"/>
      <c r="ER720" s="16"/>
      <c r="ES720" s="16"/>
      <c r="ET720" s="16"/>
      <c r="EU720" s="16"/>
      <c r="EV720" s="16"/>
      <c r="EW720" s="17"/>
      <c r="FA720" s="24"/>
      <c r="FB720" s="60"/>
      <c r="FC720" s="16"/>
      <c r="FD720" s="16"/>
      <c r="FE720" s="16"/>
      <c r="FF720" s="16"/>
      <c r="FG720" s="16"/>
      <c r="FH720" s="17"/>
      <c r="FL720" s="24"/>
      <c r="FM720" s="60"/>
      <c r="FN720" s="16"/>
      <c r="FO720" s="16"/>
      <c r="FP720" s="16"/>
      <c r="FQ720" s="16"/>
      <c r="FR720" s="16"/>
      <c r="FS720" s="17"/>
      <c r="FW720" s="24"/>
      <c r="FX720" s="60"/>
      <c r="FY720" s="16"/>
      <c r="FZ720" s="16"/>
      <c r="GA720" s="16"/>
      <c r="GB720" s="16"/>
      <c r="GC720" s="16"/>
      <c r="GD720" s="17"/>
      <c r="GH720" s="24"/>
      <c r="GI720" s="60"/>
      <c r="GJ720" s="16"/>
      <c r="GK720" s="16"/>
      <c r="GL720" s="16"/>
      <c r="GM720" s="16"/>
      <c r="GN720" s="16"/>
      <c r="GO720" s="17"/>
      <c r="GS720" s="24"/>
      <c r="GT720" s="60"/>
      <c r="GU720" s="16"/>
      <c r="GV720" s="16"/>
      <c r="GW720" s="16"/>
      <c r="GX720" s="16"/>
      <c r="GY720" s="16"/>
      <c r="GZ720" s="17"/>
      <c r="HD720" s="24"/>
      <c r="HE720" s="60"/>
      <c r="HF720" s="16"/>
      <c r="HG720" s="16"/>
      <c r="HH720" s="16"/>
      <c r="HI720" s="16"/>
      <c r="HJ720" s="16"/>
      <c r="HK720" s="17"/>
      <c r="HO720" s="24"/>
      <c r="HP720" s="60"/>
      <c r="HQ720" s="16"/>
      <c r="HR720" s="16"/>
      <c r="HS720" s="16"/>
      <c r="HT720" s="16"/>
      <c r="HU720" s="16"/>
      <c r="HV720" s="17"/>
      <c r="HZ720" s="24"/>
      <c r="IA720" s="60"/>
      <c r="IB720" s="16"/>
      <c r="IC720" s="16"/>
      <c r="ID720" s="16"/>
      <c r="IE720" s="16"/>
      <c r="IF720" s="16"/>
      <c r="IG720" s="17"/>
      <c r="IK720" s="24"/>
      <c r="IL720" s="60"/>
      <c r="IM720" s="16"/>
      <c r="IN720" s="16"/>
      <c r="IO720" s="16"/>
      <c r="IP720" s="16"/>
      <c r="IQ720" s="16"/>
      <c r="IR720" s="17"/>
      <c r="IV720" s="24"/>
      <c r="IW720" s="60"/>
      <c r="IX720" s="16"/>
      <c r="IY720" s="16"/>
      <c r="IZ720" s="16"/>
      <c r="JA720" s="16"/>
      <c r="JB720" s="16"/>
      <c r="JC720" s="17"/>
      <c r="JG720" s="24"/>
      <c r="JH720" s="60"/>
      <c r="JI720" s="16"/>
      <c r="JJ720" s="16"/>
      <c r="JK720" s="16"/>
      <c r="JL720" s="16"/>
      <c r="JM720" s="16"/>
      <c r="JN720" s="17"/>
      <c r="JR720" s="24"/>
      <c r="JS720" s="60"/>
      <c r="JT720" s="16"/>
      <c r="JU720" s="16"/>
      <c r="JV720" s="16"/>
      <c r="JW720" s="16"/>
      <c r="JX720" s="16"/>
      <c r="JY720" s="17"/>
      <c r="KC720" s="24"/>
      <c r="KD720" s="60"/>
      <c r="KE720" s="16"/>
      <c r="KF720" s="16"/>
      <c r="KG720" s="16"/>
      <c r="KH720" s="16"/>
      <c r="KI720" s="16"/>
      <c r="KJ720" s="17"/>
      <c r="KN720" s="24"/>
      <c r="KO720" s="60"/>
      <c r="KP720" s="16"/>
      <c r="KQ720" s="16"/>
      <c r="KR720" s="16"/>
      <c r="KS720" s="16"/>
      <c r="KT720" s="16"/>
      <c r="KU720" s="17"/>
      <c r="KY720" s="24"/>
      <c r="KZ720" s="60"/>
      <c r="LA720" s="16"/>
      <c r="LB720" s="16"/>
      <c r="LC720" s="16"/>
      <c r="LD720" s="16"/>
      <c r="LE720" s="16"/>
      <c r="LF720" s="17"/>
      <c r="LJ720" s="24"/>
      <c r="LK720" s="60"/>
      <c r="LL720" s="16"/>
      <c r="LM720" s="16"/>
      <c r="LN720" s="16"/>
      <c r="LO720" s="16"/>
      <c r="LP720" s="16"/>
      <c r="LQ720" s="17"/>
    </row>
    <row r="721">
      <c r="C721" s="31"/>
      <c r="D721" s="61"/>
      <c r="E721" s="16"/>
      <c r="F721" s="16"/>
      <c r="G721" s="21"/>
      <c r="H721" s="16"/>
      <c r="I721" s="16"/>
      <c r="J721" s="17"/>
      <c r="N721" s="17"/>
      <c r="O721" s="61"/>
      <c r="P721" s="16"/>
      <c r="Q721" s="16"/>
      <c r="R721" s="16"/>
      <c r="S721" s="16"/>
      <c r="T721" s="16"/>
      <c r="U721" s="17"/>
      <c r="Y721" s="24"/>
      <c r="Z721" s="61"/>
      <c r="AA721" s="16"/>
      <c r="AB721" s="16"/>
      <c r="AC721" s="16"/>
      <c r="AD721" s="16"/>
      <c r="AE721" s="16"/>
      <c r="AF721" s="17"/>
      <c r="AJ721" s="24"/>
      <c r="AK721" s="61"/>
      <c r="AL721" s="16"/>
      <c r="AM721" s="16"/>
      <c r="AN721" s="16"/>
      <c r="AO721" s="16"/>
      <c r="AP721" s="16"/>
      <c r="AQ721" s="17"/>
      <c r="AU721" s="24"/>
      <c r="AV721" s="61"/>
      <c r="AW721" s="16"/>
      <c r="AX721" s="16"/>
      <c r="AY721" s="16"/>
      <c r="AZ721" s="16"/>
      <c r="BA721" s="16"/>
      <c r="BB721" s="17"/>
      <c r="BF721" s="24"/>
      <c r="BG721" s="61"/>
      <c r="BH721" s="16"/>
      <c r="BI721" s="16"/>
      <c r="BJ721" s="16"/>
      <c r="BK721" s="16"/>
      <c r="BL721" s="16"/>
      <c r="BM721" s="17"/>
      <c r="BQ721" s="24"/>
      <c r="BR721" s="61"/>
      <c r="BS721" s="16"/>
      <c r="BT721" s="16"/>
      <c r="BU721" s="16"/>
      <c r="BV721" s="16"/>
      <c r="BW721" s="16"/>
      <c r="BX721" s="17"/>
      <c r="CB721" s="24"/>
      <c r="CC721" s="61"/>
      <c r="CD721" s="16"/>
      <c r="CE721" s="16"/>
      <c r="CF721" s="16"/>
      <c r="CG721" s="16"/>
      <c r="CH721" s="16"/>
      <c r="CI721" s="17"/>
      <c r="CM721" s="24"/>
      <c r="CN721" s="61"/>
      <c r="CO721" s="16"/>
      <c r="CP721" s="16"/>
      <c r="CQ721" s="16"/>
      <c r="CR721" s="16"/>
      <c r="CS721" s="16"/>
      <c r="CT721" s="17"/>
      <c r="CX721" s="24"/>
      <c r="CY721" s="60"/>
      <c r="CZ721" s="16"/>
      <c r="DA721" s="16"/>
      <c r="DB721" s="16"/>
      <c r="DC721" s="16"/>
      <c r="DD721" s="16"/>
      <c r="DE721" s="17"/>
      <c r="DI721" s="24"/>
      <c r="DJ721" s="60"/>
      <c r="DK721" s="16"/>
      <c r="DL721" s="16"/>
      <c r="DM721" s="16"/>
      <c r="DN721" s="16"/>
      <c r="DO721" s="16"/>
      <c r="DP721" s="17"/>
      <c r="DT721" s="24"/>
      <c r="DU721" s="60"/>
      <c r="DV721" s="16"/>
      <c r="DW721" s="16"/>
      <c r="DX721" s="16"/>
      <c r="DY721" s="16"/>
      <c r="DZ721" s="16"/>
      <c r="EA721" s="17"/>
      <c r="EE721" s="24"/>
      <c r="EF721" s="60"/>
      <c r="EG721" s="16"/>
      <c r="EH721" s="16"/>
      <c r="EI721" s="16"/>
      <c r="EJ721" s="16"/>
      <c r="EK721" s="16"/>
      <c r="EL721" s="17"/>
      <c r="EP721" s="24"/>
      <c r="EQ721" s="60"/>
      <c r="ER721" s="16"/>
      <c r="ES721" s="16"/>
      <c r="ET721" s="16"/>
      <c r="EU721" s="16"/>
      <c r="EV721" s="16"/>
      <c r="EW721" s="17"/>
      <c r="FA721" s="24"/>
      <c r="FB721" s="60"/>
      <c r="FC721" s="16"/>
      <c r="FD721" s="16"/>
      <c r="FE721" s="16"/>
      <c r="FF721" s="16"/>
      <c r="FG721" s="16"/>
      <c r="FH721" s="17"/>
      <c r="FL721" s="24"/>
      <c r="FM721" s="60"/>
      <c r="FN721" s="16"/>
      <c r="FO721" s="16"/>
      <c r="FP721" s="16"/>
      <c r="FQ721" s="16"/>
      <c r="FR721" s="16"/>
      <c r="FS721" s="17"/>
      <c r="FW721" s="24"/>
      <c r="FX721" s="60"/>
      <c r="FY721" s="16"/>
      <c r="FZ721" s="16"/>
      <c r="GA721" s="16"/>
      <c r="GB721" s="16"/>
      <c r="GC721" s="16"/>
      <c r="GD721" s="17"/>
      <c r="GH721" s="24"/>
      <c r="GI721" s="60"/>
      <c r="GJ721" s="16"/>
      <c r="GK721" s="16"/>
      <c r="GL721" s="16"/>
      <c r="GM721" s="16"/>
      <c r="GN721" s="16"/>
      <c r="GO721" s="17"/>
      <c r="GS721" s="24"/>
      <c r="GT721" s="60"/>
      <c r="GU721" s="16"/>
      <c r="GV721" s="16"/>
      <c r="GW721" s="16"/>
      <c r="GX721" s="16"/>
      <c r="GY721" s="16"/>
      <c r="GZ721" s="17"/>
      <c r="HD721" s="24"/>
      <c r="HE721" s="60"/>
      <c r="HF721" s="16"/>
      <c r="HG721" s="16"/>
      <c r="HH721" s="16"/>
      <c r="HI721" s="16"/>
      <c r="HJ721" s="16"/>
      <c r="HK721" s="17"/>
      <c r="HO721" s="24"/>
      <c r="HP721" s="60"/>
      <c r="HQ721" s="16"/>
      <c r="HR721" s="16"/>
      <c r="HS721" s="16"/>
      <c r="HT721" s="16"/>
      <c r="HU721" s="16"/>
      <c r="HV721" s="17"/>
      <c r="HZ721" s="24"/>
      <c r="IA721" s="60"/>
      <c r="IB721" s="16"/>
      <c r="IC721" s="16"/>
      <c r="ID721" s="16"/>
      <c r="IE721" s="16"/>
      <c r="IF721" s="16"/>
      <c r="IG721" s="17"/>
      <c r="IK721" s="24"/>
      <c r="IL721" s="60"/>
      <c r="IM721" s="16"/>
      <c r="IN721" s="16"/>
      <c r="IO721" s="16"/>
      <c r="IP721" s="16"/>
      <c r="IQ721" s="16"/>
      <c r="IR721" s="17"/>
      <c r="IV721" s="24"/>
      <c r="IW721" s="60"/>
      <c r="IX721" s="16"/>
      <c r="IY721" s="16"/>
      <c r="IZ721" s="16"/>
      <c r="JA721" s="16"/>
      <c r="JB721" s="16"/>
      <c r="JC721" s="17"/>
      <c r="JG721" s="24"/>
      <c r="JH721" s="60"/>
      <c r="JI721" s="16"/>
      <c r="JJ721" s="16"/>
      <c r="JK721" s="16"/>
      <c r="JL721" s="16"/>
      <c r="JM721" s="16"/>
      <c r="JN721" s="17"/>
      <c r="JR721" s="24"/>
      <c r="JS721" s="60"/>
      <c r="JT721" s="16"/>
      <c r="JU721" s="16"/>
      <c r="JV721" s="16"/>
      <c r="JW721" s="16"/>
      <c r="JX721" s="16"/>
      <c r="JY721" s="17"/>
      <c r="KC721" s="24"/>
      <c r="KD721" s="60"/>
      <c r="KE721" s="16"/>
      <c r="KF721" s="16"/>
      <c r="KG721" s="16"/>
      <c r="KH721" s="16"/>
      <c r="KI721" s="16"/>
      <c r="KJ721" s="17"/>
      <c r="KN721" s="24"/>
      <c r="KO721" s="60"/>
      <c r="KP721" s="16"/>
      <c r="KQ721" s="16"/>
      <c r="KR721" s="16"/>
      <c r="KS721" s="16"/>
      <c r="KT721" s="16"/>
      <c r="KU721" s="17"/>
      <c r="KY721" s="24"/>
      <c r="KZ721" s="60"/>
      <c r="LA721" s="16"/>
      <c r="LB721" s="16"/>
      <c r="LC721" s="16"/>
      <c r="LD721" s="16"/>
      <c r="LE721" s="16"/>
      <c r="LF721" s="17"/>
      <c r="LJ721" s="24"/>
      <c r="LK721" s="60"/>
      <c r="LL721" s="16"/>
      <c r="LM721" s="16"/>
      <c r="LN721" s="16"/>
      <c r="LO721" s="16"/>
      <c r="LP721" s="16"/>
      <c r="LQ721" s="17"/>
    </row>
    <row r="722">
      <c r="C722" s="31"/>
      <c r="D722" s="61"/>
      <c r="E722" s="16"/>
      <c r="F722" s="16"/>
      <c r="G722" s="21"/>
      <c r="H722" s="16"/>
      <c r="I722" s="16"/>
      <c r="J722" s="17"/>
      <c r="N722" s="17"/>
      <c r="O722" s="61"/>
      <c r="P722" s="16"/>
      <c r="Q722" s="16"/>
      <c r="R722" s="16"/>
      <c r="S722" s="16"/>
      <c r="T722" s="16"/>
      <c r="U722" s="17"/>
      <c r="Y722" s="24"/>
      <c r="Z722" s="61"/>
      <c r="AA722" s="16"/>
      <c r="AB722" s="16"/>
      <c r="AC722" s="16"/>
      <c r="AD722" s="16"/>
      <c r="AE722" s="16"/>
      <c r="AF722" s="17"/>
      <c r="AJ722" s="24"/>
      <c r="AK722" s="61"/>
      <c r="AL722" s="16"/>
      <c r="AM722" s="16"/>
      <c r="AN722" s="16"/>
      <c r="AO722" s="16"/>
      <c r="AP722" s="16"/>
      <c r="AQ722" s="17"/>
      <c r="AU722" s="24"/>
      <c r="AV722" s="61"/>
      <c r="AW722" s="16"/>
      <c r="AX722" s="16"/>
      <c r="AY722" s="16"/>
      <c r="AZ722" s="16"/>
      <c r="BA722" s="16"/>
      <c r="BB722" s="17"/>
      <c r="BF722" s="24"/>
      <c r="BG722" s="61"/>
      <c r="BH722" s="16"/>
      <c r="BI722" s="16"/>
      <c r="BJ722" s="16"/>
      <c r="BK722" s="16"/>
      <c r="BL722" s="16"/>
      <c r="BM722" s="17"/>
      <c r="BQ722" s="24"/>
      <c r="BR722" s="61"/>
      <c r="BS722" s="16"/>
      <c r="BT722" s="16"/>
      <c r="BU722" s="16"/>
      <c r="BV722" s="16"/>
      <c r="BW722" s="16"/>
      <c r="BX722" s="17"/>
      <c r="CB722" s="24"/>
      <c r="CC722" s="61"/>
      <c r="CD722" s="16"/>
      <c r="CE722" s="16"/>
      <c r="CF722" s="16"/>
      <c r="CG722" s="16"/>
      <c r="CH722" s="16"/>
      <c r="CI722" s="17"/>
      <c r="CM722" s="24"/>
      <c r="CN722" s="61"/>
      <c r="CO722" s="16"/>
      <c r="CP722" s="16"/>
      <c r="CQ722" s="16"/>
      <c r="CR722" s="16"/>
      <c r="CS722" s="16"/>
      <c r="CT722" s="17"/>
      <c r="CX722" s="24"/>
      <c r="CY722" s="60"/>
      <c r="CZ722" s="16"/>
      <c r="DA722" s="16"/>
      <c r="DB722" s="16"/>
      <c r="DC722" s="16"/>
      <c r="DD722" s="16"/>
      <c r="DE722" s="17"/>
      <c r="DI722" s="24"/>
      <c r="DJ722" s="60"/>
      <c r="DK722" s="16"/>
      <c r="DL722" s="16"/>
      <c r="DM722" s="16"/>
      <c r="DN722" s="16"/>
      <c r="DO722" s="16"/>
      <c r="DP722" s="17"/>
      <c r="DT722" s="24"/>
      <c r="DU722" s="60"/>
      <c r="DV722" s="16"/>
      <c r="DW722" s="16"/>
      <c r="DX722" s="16"/>
      <c r="DY722" s="16"/>
      <c r="DZ722" s="16"/>
      <c r="EA722" s="17"/>
      <c r="EE722" s="24"/>
      <c r="EF722" s="60"/>
      <c r="EG722" s="16"/>
      <c r="EH722" s="16"/>
      <c r="EI722" s="16"/>
      <c r="EJ722" s="16"/>
      <c r="EK722" s="16"/>
      <c r="EL722" s="17"/>
      <c r="EP722" s="24"/>
      <c r="EQ722" s="60"/>
      <c r="ER722" s="16"/>
      <c r="ES722" s="16"/>
      <c r="ET722" s="16"/>
      <c r="EU722" s="16"/>
      <c r="EV722" s="16"/>
      <c r="EW722" s="17"/>
      <c r="FA722" s="24"/>
      <c r="FB722" s="60"/>
      <c r="FC722" s="16"/>
      <c r="FD722" s="16"/>
      <c r="FE722" s="16"/>
      <c r="FF722" s="16"/>
      <c r="FG722" s="16"/>
      <c r="FH722" s="17"/>
      <c r="FL722" s="24"/>
      <c r="FM722" s="60"/>
      <c r="FN722" s="16"/>
      <c r="FO722" s="16"/>
      <c r="FP722" s="16"/>
      <c r="FQ722" s="16"/>
      <c r="FR722" s="16"/>
      <c r="FS722" s="17"/>
      <c r="FW722" s="24"/>
      <c r="FX722" s="60"/>
      <c r="FY722" s="16"/>
      <c r="FZ722" s="16"/>
      <c r="GA722" s="16"/>
      <c r="GB722" s="16"/>
      <c r="GC722" s="16"/>
      <c r="GD722" s="17"/>
      <c r="GH722" s="24"/>
      <c r="GI722" s="60"/>
      <c r="GJ722" s="16"/>
      <c r="GK722" s="16"/>
      <c r="GL722" s="16"/>
      <c r="GM722" s="16"/>
      <c r="GN722" s="16"/>
      <c r="GO722" s="17"/>
      <c r="GS722" s="24"/>
      <c r="GT722" s="60"/>
      <c r="GU722" s="16"/>
      <c r="GV722" s="16"/>
      <c r="GW722" s="16"/>
      <c r="GX722" s="16"/>
      <c r="GY722" s="16"/>
      <c r="GZ722" s="17"/>
      <c r="HD722" s="24"/>
      <c r="HE722" s="60"/>
      <c r="HF722" s="16"/>
      <c r="HG722" s="16"/>
      <c r="HH722" s="16"/>
      <c r="HI722" s="16"/>
      <c r="HJ722" s="16"/>
      <c r="HK722" s="17"/>
      <c r="HO722" s="24"/>
      <c r="HP722" s="60"/>
      <c r="HQ722" s="16"/>
      <c r="HR722" s="16"/>
      <c r="HS722" s="16"/>
      <c r="HT722" s="16"/>
      <c r="HU722" s="16"/>
      <c r="HV722" s="17"/>
      <c r="HZ722" s="24"/>
      <c r="IA722" s="60"/>
      <c r="IB722" s="16"/>
      <c r="IC722" s="16"/>
      <c r="ID722" s="16"/>
      <c r="IE722" s="16"/>
      <c r="IF722" s="16"/>
      <c r="IG722" s="17"/>
      <c r="IK722" s="24"/>
      <c r="IL722" s="60"/>
      <c r="IM722" s="16"/>
      <c r="IN722" s="16"/>
      <c r="IO722" s="16"/>
      <c r="IP722" s="16"/>
      <c r="IQ722" s="16"/>
      <c r="IR722" s="17"/>
      <c r="IV722" s="24"/>
      <c r="IW722" s="60"/>
      <c r="IX722" s="16"/>
      <c r="IY722" s="16"/>
      <c r="IZ722" s="16"/>
      <c r="JA722" s="16"/>
      <c r="JB722" s="16"/>
      <c r="JC722" s="17"/>
      <c r="JG722" s="24"/>
      <c r="JH722" s="60"/>
      <c r="JI722" s="16"/>
      <c r="JJ722" s="16"/>
      <c r="JK722" s="16"/>
      <c r="JL722" s="16"/>
      <c r="JM722" s="16"/>
      <c r="JN722" s="17"/>
      <c r="JR722" s="24"/>
      <c r="JS722" s="60"/>
      <c r="JT722" s="16"/>
      <c r="JU722" s="16"/>
      <c r="JV722" s="16"/>
      <c r="JW722" s="16"/>
      <c r="JX722" s="16"/>
      <c r="JY722" s="17"/>
      <c r="KC722" s="24"/>
      <c r="KD722" s="60"/>
      <c r="KE722" s="16"/>
      <c r="KF722" s="16"/>
      <c r="KG722" s="16"/>
      <c r="KH722" s="16"/>
      <c r="KI722" s="16"/>
      <c r="KJ722" s="17"/>
      <c r="KN722" s="24"/>
      <c r="KO722" s="60"/>
      <c r="KP722" s="16"/>
      <c r="KQ722" s="16"/>
      <c r="KR722" s="16"/>
      <c r="KS722" s="16"/>
      <c r="KT722" s="16"/>
      <c r="KU722" s="17"/>
      <c r="KY722" s="24"/>
      <c r="KZ722" s="60"/>
      <c r="LA722" s="16"/>
      <c r="LB722" s="16"/>
      <c r="LC722" s="16"/>
      <c r="LD722" s="16"/>
      <c r="LE722" s="16"/>
      <c r="LF722" s="17"/>
      <c r="LJ722" s="24"/>
      <c r="LK722" s="60"/>
      <c r="LL722" s="16"/>
      <c r="LM722" s="16"/>
      <c r="LN722" s="16"/>
      <c r="LO722" s="16"/>
      <c r="LP722" s="16"/>
      <c r="LQ722" s="17"/>
    </row>
    <row r="723">
      <c r="C723" s="31"/>
      <c r="D723" s="61"/>
      <c r="E723" s="16"/>
      <c r="F723" s="16"/>
      <c r="G723" s="21"/>
      <c r="H723" s="16"/>
      <c r="I723" s="16"/>
      <c r="J723" s="17"/>
      <c r="N723" s="17"/>
      <c r="O723" s="61"/>
      <c r="P723" s="16"/>
      <c r="Q723" s="16"/>
      <c r="R723" s="16"/>
      <c r="S723" s="16"/>
      <c r="T723" s="16"/>
      <c r="U723" s="17"/>
      <c r="Y723" s="24"/>
      <c r="Z723" s="61"/>
      <c r="AA723" s="16"/>
      <c r="AB723" s="16"/>
      <c r="AC723" s="16"/>
      <c r="AD723" s="16"/>
      <c r="AE723" s="16"/>
      <c r="AF723" s="17"/>
      <c r="AJ723" s="24"/>
      <c r="AK723" s="61"/>
      <c r="AL723" s="16"/>
      <c r="AM723" s="16"/>
      <c r="AN723" s="16"/>
      <c r="AO723" s="16"/>
      <c r="AP723" s="16"/>
      <c r="AQ723" s="17"/>
      <c r="AU723" s="24"/>
      <c r="AV723" s="61"/>
      <c r="AW723" s="16"/>
      <c r="AX723" s="16"/>
      <c r="AY723" s="16"/>
      <c r="AZ723" s="16"/>
      <c r="BA723" s="16"/>
      <c r="BB723" s="17"/>
      <c r="BF723" s="24"/>
      <c r="BG723" s="61"/>
      <c r="BH723" s="16"/>
      <c r="BI723" s="16"/>
      <c r="BJ723" s="16"/>
      <c r="BK723" s="16"/>
      <c r="BL723" s="16"/>
      <c r="BM723" s="17"/>
      <c r="BQ723" s="24"/>
      <c r="BR723" s="61"/>
      <c r="BS723" s="16"/>
      <c r="BT723" s="16"/>
      <c r="BU723" s="16"/>
      <c r="BV723" s="16"/>
      <c r="BW723" s="16"/>
      <c r="BX723" s="17"/>
      <c r="CB723" s="24"/>
      <c r="CC723" s="61"/>
      <c r="CD723" s="16"/>
      <c r="CE723" s="16"/>
      <c r="CF723" s="16"/>
      <c r="CG723" s="16"/>
      <c r="CH723" s="16"/>
      <c r="CI723" s="17"/>
      <c r="CM723" s="24"/>
      <c r="CN723" s="61"/>
      <c r="CO723" s="16"/>
      <c r="CP723" s="16"/>
      <c r="CQ723" s="16"/>
      <c r="CR723" s="16"/>
      <c r="CS723" s="16"/>
      <c r="CT723" s="17"/>
      <c r="CX723" s="24"/>
      <c r="CY723" s="60"/>
      <c r="CZ723" s="16"/>
      <c r="DA723" s="16"/>
      <c r="DB723" s="16"/>
      <c r="DC723" s="16"/>
      <c r="DD723" s="16"/>
      <c r="DE723" s="17"/>
      <c r="DI723" s="24"/>
      <c r="DJ723" s="60"/>
      <c r="DK723" s="16"/>
      <c r="DL723" s="16"/>
      <c r="DM723" s="16"/>
      <c r="DN723" s="16"/>
      <c r="DO723" s="16"/>
      <c r="DP723" s="17"/>
      <c r="DT723" s="24"/>
      <c r="DU723" s="60"/>
      <c r="DV723" s="16"/>
      <c r="DW723" s="16"/>
      <c r="DX723" s="16"/>
      <c r="DY723" s="16"/>
      <c r="DZ723" s="16"/>
      <c r="EA723" s="17"/>
      <c r="EE723" s="24"/>
      <c r="EF723" s="60"/>
      <c r="EG723" s="16"/>
      <c r="EH723" s="16"/>
      <c r="EI723" s="16"/>
      <c r="EJ723" s="16"/>
      <c r="EK723" s="16"/>
      <c r="EL723" s="17"/>
      <c r="EP723" s="24"/>
      <c r="EQ723" s="60"/>
      <c r="ER723" s="16"/>
      <c r="ES723" s="16"/>
      <c r="ET723" s="16"/>
      <c r="EU723" s="16"/>
      <c r="EV723" s="16"/>
      <c r="EW723" s="17"/>
      <c r="FA723" s="24"/>
      <c r="FB723" s="60"/>
      <c r="FC723" s="16"/>
      <c r="FD723" s="16"/>
      <c r="FE723" s="16"/>
      <c r="FF723" s="16"/>
      <c r="FG723" s="16"/>
      <c r="FH723" s="17"/>
      <c r="FL723" s="24"/>
      <c r="FM723" s="60"/>
      <c r="FN723" s="16"/>
      <c r="FO723" s="16"/>
      <c r="FP723" s="16"/>
      <c r="FQ723" s="16"/>
      <c r="FR723" s="16"/>
      <c r="FS723" s="17"/>
      <c r="FW723" s="24"/>
      <c r="FX723" s="60"/>
      <c r="FY723" s="16"/>
      <c r="FZ723" s="16"/>
      <c r="GA723" s="16"/>
      <c r="GB723" s="16"/>
      <c r="GC723" s="16"/>
      <c r="GD723" s="17"/>
      <c r="GH723" s="24"/>
      <c r="GI723" s="60"/>
      <c r="GJ723" s="16"/>
      <c r="GK723" s="16"/>
      <c r="GL723" s="16"/>
      <c r="GM723" s="16"/>
      <c r="GN723" s="16"/>
      <c r="GO723" s="17"/>
      <c r="GS723" s="24"/>
      <c r="GT723" s="60"/>
      <c r="GU723" s="16"/>
      <c r="GV723" s="16"/>
      <c r="GW723" s="16"/>
      <c r="GX723" s="16"/>
      <c r="GY723" s="16"/>
      <c r="GZ723" s="17"/>
      <c r="HD723" s="24"/>
      <c r="HE723" s="60"/>
      <c r="HF723" s="16"/>
      <c r="HG723" s="16"/>
      <c r="HH723" s="16"/>
      <c r="HI723" s="16"/>
      <c r="HJ723" s="16"/>
      <c r="HK723" s="17"/>
      <c r="HO723" s="24"/>
      <c r="HP723" s="60"/>
      <c r="HQ723" s="16"/>
      <c r="HR723" s="16"/>
      <c r="HS723" s="16"/>
      <c r="HT723" s="16"/>
      <c r="HU723" s="16"/>
      <c r="HV723" s="17"/>
      <c r="HZ723" s="24"/>
      <c r="IA723" s="60"/>
      <c r="IB723" s="16"/>
      <c r="IC723" s="16"/>
      <c r="ID723" s="16"/>
      <c r="IE723" s="16"/>
      <c r="IF723" s="16"/>
      <c r="IG723" s="17"/>
      <c r="IK723" s="24"/>
      <c r="IL723" s="60"/>
      <c r="IM723" s="16"/>
      <c r="IN723" s="16"/>
      <c r="IO723" s="16"/>
      <c r="IP723" s="16"/>
      <c r="IQ723" s="16"/>
      <c r="IR723" s="17"/>
      <c r="IV723" s="24"/>
      <c r="IW723" s="60"/>
      <c r="IX723" s="16"/>
      <c r="IY723" s="16"/>
      <c r="IZ723" s="16"/>
      <c r="JA723" s="16"/>
      <c r="JB723" s="16"/>
      <c r="JC723" s="17"/>
      <c r="JG723" s="24"/>
      <c r="JH723" s="60"/>
      <c r="JI723" s="16"/>
      <c r="JJ723" s="16"/>
      <c r="JK723" s="16"/>
      <c r="JL723" s="16"/>
      <c r="JM723" s="16"/>
      <c r="JN723" s="17"/>
      <c r="JR723" s="24"/>
      <c r="JS723" s="60"/>
      <c r="JT723" s="16"/>
      <c r="JU723" s="16"/>
      <c r="JV723" s="16"/>
      <c r="JW723" s="16"/>
      <c r="JX723" s="16"/>
      <c r="JY723" s="17"/>
      <c r="KC723" s="24"/>
      <c r="KD723" s="60"/>
      <c r="KE723" s="16"/>
      <c r="KF723" s="16"/>
      <c r="KG723" s="16"/>
      <c r="KH723" s="16"/>
      <c r="KI723" s="16"/>
      <c r="KJ723" s="17"/>
      <c r="KN723" s="24"/>
      <c r="KO723" s="60"/>
      <c r="KP723" s="16"/>
      <c r="KQ723" s="16"/>
      <c r="KR723" s="16"/>
      <c r="KS723" s="16"/>
      <c r="KT723" s="16"/>
      <c r="KU723" s="17"/>
      <c r="KY723" s="24"/>
      <c r="KZ723" s="60"/>
      <c r="LA723" s="16"/>
      <c r="LB723" s="16"/>
      <c r="LC723" s="16"/>
      <c r="LD723" s="16"/>
      <c r="LE723" s="16"/>
      <c r="LF723" s="17"/>
      <c r="LJ723" s="24"/>
      <c r="LK723" s="60"/>
      <c r="LL723" s="16"/>
      <c r="LM723" s="16"/>
      <c r="LN723" s="16"/>
      <c r="LO723" s="16"/>
      <c r="LP723" s="16"/>
      <c r="LQ723" s="17"/>
    </row>
    <row r="724">
      <c r="C724" s="31"/>
      <c r="D724" s="61"/>
      <c r="E724" s="16"/>
      <c r="F724" s="16"/>
      <c r="G724" s="21"/>
      <c r="H724" s="16"/>
      <c r="I724" s="16"/>
      <c r="J724" s="17"/>
      <c r="N724" s="17"/>
      <c r="O724" s="61"/>
      <c r="P724" s="16"/>
      <c r="Q724" s="16"/>
      <c r="R724" s="16"/>
      <c r="S724" s="16"/>
      <c r="T724" s="16"/>
      <c r="U724" s="17"/>
      <c r="Y724" s="24"/>
      <c r="Z724" s="61"/>
      <c r="AA724" s="16"/>
      <c r="AB724" s="16"/>
      <c r="AC724" s="16"/>
      <c r="AD724" s="16"/>
      <c r="AE724" s="16"/>
      <c r="AF724" s="17"/>
      <c r="AJ724" s="24"/>
      <c r="AK724" s="61"/>
      <c r="AL724" s="16"/>
      <c r="AM724" s="16"/>
      <c r="AN724" s="16"/>
      <c r="AO724" s="16"/>
      <c r="AP724" s="16"/>
      <c r="AQ724" s="17"/>
      <c r="AU724" s="24"/>
      <c r="AV724" s="61"/>
      <c r="AW724" s="16"/>
      <c r="AX724" s="16"/>
      <c r="AY724" s="16"/>
      <c r="AZ724" s="16"/>
      <c r="BA724" s="16"/>
      <c r="BB724" s="17"/>
      <c r="BF724" s="24"/>
      <c r="BG724" s="61"/>
      <c r="BH724" s="16"/>
      <c r="BI724" s="16"/>
      <c r="BJ724" s="16"/>
      <c r="BK724" s="16"/>
      <c r="BL724" s="16"/>
      <c r="BM724" s="17"/>
      <c r="BQ724" s="24"/>
      <c r="BR724" s="61"/>
      <c r="BS724" s="16"/>
      <c r="BT724" s="16"/>
      <c r="BU724" s="16"/>
      <c r="BV724" s="16"/>
      <c r="BW724" s="16"/>
      <c r="BX724" s="17"/>
      <c r="CB724" s="24"/>
      <c r="CC724" s="61"/>
      <c r="CD724" s="16"/>
      <c r="CE724" s="16"/>
      <c r="CF724" s="16"/>
      <c r="CG724" s="16"/>
      <c r="CH724" s="16"/>
      <c r="CI724" s="17"/>
      <c r="CM724" s="24"/>
      <c r="CN724" s="61"/>
      <c r="CO724" s="16"/>
      <c r="CP724" s="16"/>
      <c r="CQ724" s="16"/>
      <c r="CR724" s="16"/>
      <c r="CS724" s="16"/>
      <c r="CT724" s="17"/>
      <c r="CX724" s="24"/>
      <c r="CY724" s="60"/>
      <c r="CZ724" s="16"/>
      <c r="DA724" s="16"/>
      <c r="DB724" s="16"/>
      <c r="DC724" s="16"/>
      <c r="DD724" s="16"/>
      <c r="DE724" s="17"/>
      <c r="DI724" s="24"/>
      <c r="DJ724" s="60"/>
      <c r="DK724" s="16"/>
      <c r="DL724" s="16"/>
      <c r="DM724" s="16"/>
      <c r="DN724" s="16"/>
      <c r="DO724" s="16"/>
      <c r="DP724" s="17"/>
      <c r="DT724" s="24"/>
      <c r="DU724" s="60"/>
      <c r="DV724" s="16"/>
      <c r="DW724" s="16"/>
      <c r="DX724" s="16"/>
      <c r="DY724" s="16"/>
      <c r="DZ724" s="16"/>
      <c r="EA724" s="17"/>
      <c r="EE724" s="24"/>
      <c r="EF724" s="60"/>
      <c r="EG724" s="16"/>
      <c r="EH724" s="16"/>
      <c r="EI724" s="16"/>
      <c r="EJ724" s="16"/>
      <c r="EK724" s="16"/>
      <c r="EL724" s="17"/>
      <c r="EP724" s="24"/>
      <c r="EQ724" s="60"/>
      <c r="ER724" s="16"/>
      <c r="ES724" s="16"/>
      <c r="ET724" s="16"/>
      <c r="EU724" s="16"/>
      <c r="EV724" s="16"/>
      <c r="EW724" s="17"/>
      <c r="FA724" s="24"/>
      <c r="FB724" s="60"/>
      <c r="FC724" s="16"/>
      <c r="FD724" s="16"/>
      <c r="FE724" s="16"/>
      <c r="FF724" s="16"/>
      <c r="FG724" s="16"/>
      <c r="FH724" s="17"/>
      <c r="FL724" s="24"/>
      <c r="FM724" s="60"/>
      <c r="FN724" s="16"/>
      <c r="FO724" s="16"/>
      <c r="FP724" s="16"/>
      <c r="FQ724" s="16"/>
      <c r="FR724" s="16"/>
      <c r="FS724" s="17"/>
      <c r="FW724" s="24"/>
      <c r="FX724" s="60"/>
      <c r="FY724" s="16"/>
      <c r="FZ724" s="16"/>
      <c r="GA724" s="16"/>
      <c r="GB724" s="16"/>
      <c r="GC724" s="16"/>
      <c r="GD724" s="17"/>
      <c r="GH724" s="24"/>
      <c r="GI724" s="60"/>
      <c r="GJ724" s="16"/>
      <c r="GK724" s="16"/>
      <c r="GL724" s="16"/>
      <c r="GM724" s="16"/>
      <c r="GN724" s="16"/>
      <c r="GO724" s="17"/>
      <c r="GS724" s="24"/>
      <c r="GT724" s="60"/>
      <c r="GU724" s="16"/>
      <c r="GV724" s="16"/>
      <c r="GW724" s="16"/>
      <c r="GX724" s="16"/>
      <c r="GY724" s="16"/>
      <c r="GZ724" s="17"/>
      <c r="HD724" s="24"/>
      <c r="HE724" s="60"/>
      <c r="HF724" s="16"/>
      <c r="HG724" s="16"/>
      <c r="HH724" s="16"/>
      <c r="HI724" s="16"/>
      <c r="HJ724" s="16"/>
      <c r="HK724" s="17"/>
      <c r="HO724" s="24"/>
      <c r="HP724" s="60"/>
      <c r="HQ724" s="16"/>
      <c r="HR724" s="16"/>
      <c r="HS724" s="16"/>
      <c r="HT724" s="16"/>
      <c r="HU724" s="16"/>
      <c r="HV724" s="17"/>
      <c r="HZ724" s="24"/>
      <c r="IA724" s="60"/>
      <c r="IB724" s="16"/>
      <c r="IC724" s="16"/>
      <c r="ID724" s="16"/>
      <c r="IE724" s="16"/>
      <c r="IF724" s="16"/>
      <c r="IG724" s="17"/>
      <c r="IK724" s="24"/>
      <c r="IL724" s="60"/>
      <c r="IM724" s="16"/>
      <c r="IN724" s="16"/>
      <c r="IO724" s="16"/>
      <c r="IP724" s="16"/>
      <c r="IQ724" s="16"/>
      <c r="IR724" s="17"/>
      <c r="IV724" s="24"/>
      <c r="IW724" s="60"/>
      <c r="IX724" s="16"/>
      <c r="IY724" s="16"/>
      <c r="IZ724" s="16"/>
      <c r="JA724" s="16"/>
      <c r="JB724" s="16"/>
      <c r="JC724" s="17"/>
      <c r="JG724" s="24"/>
      <c r="JH724" s="60"/>
      <c r="JI724" s="16"/>
      <c r="JJ724" s="16"/>
      <c r="JK724" s="16"/>
      <c r="JL724" s="16"/>
      <c r="JM724" s="16"/>
      <c r="JN724" s="17"/>
      <c r="JR724" s="24"/>
      <c r="JS724" s="60"/>
      <c r="JT724" s="16"/>
      <c r="JU724" s="16"/>
      <c r="JV724" s="16"/>
      <c r="JW724" s="16"/>
      <c r="JX724" s="16"/>
      <c r="JY724" s="17"/>
      <c r="KC724" s="24"/>
      <c r="KD724" s="60"/>
      <c r="KE724" s="16"/>
      <c r="KF724" s="16"/>
      <c r="KG724" s="16"/>
      <c r="KH724" s="16"/>
      <c r="KI724" s="16"/>
      <c r="KJ724" s="17"/>
      <c r="KN724" s="24"/>
      <c r="KO724" s="60"/>
      <c r="KP724" s="16"/>
      <c r="KQ724" s="16"/>
      <c r="KR724" s="16"/>
      <c r="KS724" s="16"/>
      <c r="KT724" s="16"/>
      <c r="KU724" s="17"/>
      <c r="KY724" s="24"/>
      <c r="KZ724" s="60"/>
      <c r="LA724" s="16"/>
      <c r="LB724" s="16"/>
      <c r="LC724" s="16"/>
      <c r="LD724" s="16"/>
      <c r="LE724" s="16"/>
      <c r="LF724" s="17"/>
      <c r="LJ724" s="24"/>
      <c r="LK724" s="60"/>
      <c r="LL724" s="16"/>
      <c r="LM724" s="16"/>
      <c r="LN724" s="16"/>
      <c r="LO724" s="16"/>
      <c r="LP724" s="16"/>
      <c r="LQ724" s="17"/>
    </row>
    <row r="725">
      <c r="C725" s="31"/>
      <c r="D725" s="61"/>
      <c r="E725" s="16"/>
      <c r="F725" s="16"/>
      <c r="G725" s="21"/>
      <c r="H725" s="16"/>
      <c r="I725" s="16"/>
      <c r="J725" s="17"/>
      <c r="N725" s="17"/>
      <c r="O725" s="61"/>
      <c r="P725" s="16"/>
      <c r="Q725" s="16"/>
      <c r="R725" s="16"/>
      <c r="S725" s="16"/>
      <c r="T725" s="16"/>
      <c r="U725" s="17"/>
      <c r="Y725" s="24"/>
      <c r="Z725" s="61"/>
      <c r="AA725" s="16"/>
      <c r="AB725" s="16"/>
      <c r="AC725" s="16"/>
      <c r="AD725" s="16"/>
      <c r="AE725" s="16"/>
      <c r="AF725" s="17"/>
      <c r="AJ725" s="24"/>
      <c r="AK725" s="61"/>
      <c r="AL725" s="16"/>
      <c r="AM725" s="16"/>
      <c r="AN725" s="16"/>
      <c r="AO725" s="16"/>
      <c r="AP725" s="16"/>
      <c r="AQ725" s="17"/>
      <c r="AU725" s="24"/>
      <c r="AV725" s="61"/>
      <c r="AW725" s="16"/>
      <c r="AX725" s="16"/>
      <c r="AY725" s="16"/>
      <c r="AZ725" s="16"/>
      <c r="BA725" s="16"/>
      <c r="BB725" s="17"/>
      <c r="BF725" s="24"/>
      <c r="BG725" s="61"/>
      <c r="BH725" s="16"/>
      <c r="BI725" s="16"/>
      <c r="BJ725" s="16"/>
      <c r="BK725" s="16"/>
      <c r="BL725" s="16"/>
      <c r="BM725" s="17"/>
      <c r="BQ725" s="24"/>
      <c r="BR725" s="61"/>
      <c r="BS725" s="16"/>
      <c r="BT725" s="16"/>
      <c r="BU725" s="16"/>
      <c r="BV725" s="16"/>
      <c r="BW725" s="16"/>
      <c r="BX725" s="17"/>
      <c r="CB725" s="24"/>
      <c r="CC725" s="61"/>
      <c r="CD725" s="16"/>
      <c r="CE725" s="16"/>
      <c r="CF725" s="16"/>
      <c r="CG725" s="16"/>
      <c r="CH725" s="16"/>
      <c r="CI725" s="17"/>
      <c r="CM725" s="24"/>
      <c r="CN725" s="61"/>
      <c r="CO725" s="16"/>
      <c r="CP725" s="16"/>
      <c r="CQ725" s="16"/>
      <c r="CR725" s="16"/>
      <c r="CS725" s="16"/>
      <c r="CT725" s="17"/>
      <c r="CX725" s="24"/>
      <c r="CY725" s="60"/>
      <c r="CZ725" s="16"/>
      <c r="DA725" s="16"/>
      <c r="DB725" s="16"/>
      <c r="DC725" s="16"/>
      <c r="DD725" s="16"/>
      <c r="DE725" s="17"/>
      <c r="DI725" s="24"/>
      <c r="DJ725" s="60"/>
      <c r="DK725" s="16"/>
      <c r="DL725" s="16"/>
      <c r="DM725" s="16"/>
      <c r="DN725" s="16"/>
      <c r="DO725" s="16"/>
      <c r="DP725" s="17"/>
      <c r="DT725" s="24"/>
      <c r="DU725" s="60"/>
      <c r="DV725" s="16"/>
      <c r="DW725" s="16"/>
      <c r="DX725" s="16"/>
      <c r="DY725" s="16"/>
      <c r="DZ725" s="16"/>
      <c r="EA725" s="17"/>
      <c r="EE725" s="24"/>
      <c r="EF725" s="60"/>
      <c r="EG725" s="16"/>
      <c r="EH725" s="16"/>
      <c r="EI725" s="16"/>
      <c r="EJ725" s="16"/>
      <c r="EK725" s="16"/>
      <c r="EL725" s="17"/>
      <c r="EP725" s="24"/>
      <c r="EQ725" s="60"/>
      <c r="ER725" s="16"/>
      <c r="ES725" s="16"/>
      <c r="ET725" s="16"/>
      <c r="EU725" s="16"/>
      <c r="EV725" s="16"/>
      <c r="EW725" s="17"/>
      <c r="FA725" s="24"/>
      <c r="FB725" s="60"/>
      <c r="FC725" s="16"/>
      <c r="FD725" s="16"/>
      <c r="FE725" s="16"/>
      <c r="FF725" s="16"/>
      <c r="FG725" s="16"/>
      <c r="FH725" s="17"/>
      <c r="FL725" s="24"/>
      <c r="FM725" s="60"/>
      <c r="FN725" s="16"/>
      <c r="FO725" s="16"/>
      <c r="FP725" s="16"/>
      <c r="FQ725" s="16"/>
      <c r="FR725" s="16"/>
      <c r="FS725" s="17"/>
      <c r="FW725" s="24"/>
      <c r="FX725" s="60"/>
      <c r="FY725" s="16"/>
      <c r="FZ725" s="16"/>
      <c r="GA725" s="16"/>
      <c r="GB725" s="16"/>
      <c r="GC725" s="16"/>
      <c r="GD725" s="17"/>
      <c r="GH725" s="24"/>
      <c r="GI725" s="60"/>
      <c r="GJ725" s="16"/>
      <c r="GK725" s="16"/>
      <c r="GL725" s="16"/>
      <c r="GM725" s="16"/>
      <c r="GN725" s="16"/>
      <c r="GO725" s="17"/>
      <c r="GS725" s="24"/>
      <c r="GT725" s="60"/>
      <c r="GU725" s="16"/>
      <c r="GV725" s="16"/>
      <c r="GW725" s="16"/>
      <c r="GX725" s="16"/>
      <c r="GY725" s="16"/>
      <c r="GZ725" s="17"/>
      <c r="HD725" s="24"/>
      <c r="HE725" s="60"/>
      <c r="HF725" s="16"/>
      <c r="HG725" s="16"/>
      <c r="HH725" s="16"/>
      <c r="HI725" s="16"/>
      <c r="HJ725" s="16"/>
      <c r="HK725" s="17"/>
      <c r="HO725" s="24"/>
      <c r="HP725" s="60"/>
      <c r="HQ725" s="16"/>
      <c r="HR725" s="16"/>
      <c r="HS725" s="16"/>
      <c r="HT725" s="16"/>
      <c r="HU725" s="16"/>
      <c r="HV725" s="17"/>
      <c r="HZ725" s="24"/>
      <c r="IA725" s="60"/>
      <c r="IB725" s="16"/>
      <c r="IC725" s="16"/>
      <c r="ID725" s="16"/>
      <c r="IE725" s="16"/>
      <c r="IF725" s="16"/>
      <c r="IG725" s="17"/>
      <c r="IK725" s="24"/>
      <c r="IL725" s="60"/>
      <c r="IM725" s="16"/>
      <c r="IN725" s="16"/>
      <c r="IO725" s="16"/>
      <c r="IP725" s="16"/>
      <c r="IQ725" s="16"/>
      <c r="IR725" s="17"/>
      <c r="IV725" s="24"/>
      <c r="IW725" s="60"/>
      <c r="IX725" s="16"/>
      <c r="IY725" s="16"/>
      <c r="IZ725" s="16"/>
      <c r="JA725" s="16"/>
      <c r="JB725" s="16"/>
      <c r="JC725" s="17"/>
      <c r="JG725" s="24"/>
      <c r="JH725" s="60"/>
      <c r="JI725" s="16"/>
      <c r="JJ725" s="16"/>
      <c r="JK725" s="16"/>
      <c r="JL725" s="16"/>
      <c r="JM725" s="16"/>
      <c r="JN725" s="17"/>
      <c r="JR725" s="24"/>
      <c r="JS725" s="60"/>
      <c r="JT725" s="16"/>
      <c r="JU725" s="16"/>
      <c r="JV725" s="16"/>
      <c r="JW725" s="16"/>
      <c r="JX725" s="16"/>
      <c r="JY725" s="17"/>
      <c r="KC725" s="24"/>
      <c r="KD725" s="60"/>
      <c r="KE725" s="16"/>
      <c r="KF725" s="16"/>
      <c r="KG725" s="16"/>
      <c r="KH725" s="16"/>
      <c r="KI725" s="16"/>
      <c r="KJ725" s="17"/>
      <c r="KN725" s="24"/>
      <c r="KO725" s="60"/>
      <c r="KP725" s="16"/>
      <c r="KQ725" s="16"/>
      <c r="KR725" s="16"/>
      <c r="KS725" s="16"/>
      <c r="KT725" s="16"/>
      <c r="KU725" s="17"/>
      <c r="KY725" s="24"/>
      <c r="KZ725" s="60"/>
      <c r="LA725" s="16"/>
      <c r="LB725" s="16"/>
      <c r="LC725" s="16"/>
      <c r="LD725" s="16"/>
      <c r="LE725" s="16"/>
      <c r="LF725" s="17"/>
      <c r="LJ725" s="24"/>
      <c r="LK725" s="60"/>
      <c r="LL725" s="16"/>
      <c r="LM725" s="16"/>
      <c r="LN725" s="16"/>
      <c r="LO725" s="16"/>
      <c r="LP725" s="16"/>
      <c r="LQ725" s="17"/>
    </row>
    <row r="726">
      <c r="C726" s="31"/>
      <c r="D726" s="61"/>
      <c r="E726" s="16"/>
      <c r="F726" s="16"/>
      <c r="G726" s="21"/>
      <c r="H726" s="16"/>
      <c r="I726" s="16"/>
      <c r="J726" s="17"/>
      <c r="N726" s="17"/>
      <c r="O726" s="61"/>
      <c r="P726" s="16"/>
      <c r="Q726" s="16"/>
      <c r="R726" s="16"/>
      <c r="S726" s="16"/>
      <c r="T726" s="16"/>
      <c r="U726" s="17"/>
      <c r="Y726" s="24"/>
      <c r="Z726" s="61"/>
      <c r="AA726" s="16"/>
      <c r="AB726" s="16"/>
      <c r="AC726" s="16"/>
      <c r="AD726" s="16"/>
      <c r="AE726" s="16"/>
      <c r="AF726" s="17"/>
      <c r="AJ726" s="24"/>
      <c r="AK726" s="61"/>
      <c r="AL726" s="16"/>
      <c r="AM726" s="16"/>
      <c r="AN726" s="16"/>
      <c r="AO726" s="16"/>
      <c r="AP726" s="16"/>
      <c r="AQ726" s="17"/>
      <c r="AU726" s="24"/>
      <c r="AV726" s="61"/>
      <c r="AW726" s="16"/>
      <c r="AX726" s="16"/>
      <c r="AY726" s="16"/>
      <c r="AZ726" s="16"/>
      <c r="BA726" s="16"/>
      <c r="BB726" s="17"/>
      <c r="BF726" s="24"/>
      <c r="BG726" s="61"/>
      <c r="BH726" s="16"/>
      <c r="BI726" s="16"/>
      <c r="BJ726" s="16"/>
      <c r="BK726" s="16"/>
      <c r="BL726" s="16"/>
      <c r="BM726" s="17"/>
      <c r="BQ726" s="24"/>
      <c r="BR726" s="61"/>
      <c r="BS726" s="16"/>
      <c r="BT726" s="16"/>
      <c r="BU726" s="16"/>
      <c r="BV726" s="16"/>
      <c r="BW726" s="16"/>
      <c r="BX726" s="17"/>
      <c r="CB726" s="24"/>
      <c r="CC726" s="61"/>
      <c r="CD726" s="16"/>
      <c r="CE726" s="16"/>
      <c r="CF726" s="16"/>
      <c r="CG726" s="16"/>
      <c r="CH726" s="16"/>
      <c r="CI726" s="17"/>
      <c r="CM726" s="24"/>
      <c r="CN726" s="61"/>
      <c r="CO726" s="16"/>
      <c r="CP726" s="16"/>
      <c r="CQ726" s="16"/>
      <c r="CR726" s="16"/>
      <c r="CS726" s="16"/>
      <c r="CT726" s="17"/>
      <c r="CX726" s="24"/>
      <c r="CY726" s="60"/>
      <c r="CZ726" s="16"/>
      <c r="DA726" s="16"/>
      <c r="DB726" s="16"/>
      <c r="DC726" s="16"/>
      <c r="DD726" s="16"/>
      <c r="DE726" s="17"/>
      <c r="DI726" s="24"/>
      <c r="DJ726" s="60"/>
      <c r="DK726" s="16"/>
      <c r="DL726" s="16"/>
      <c r="DM726" s="16"/>
      <c r="DN726" s="16"/>
      <c r="DO726" s="16"/>
      <c r="DP726" s="17"/>
      <c r="DT726" s="24"/>
      <c r="DU726" s="60"/>
      <c r="DV726" s="16"/>
      <c r="DW726" s="16"/>
      <c r="DX726" s="16"/>
      <c r="DY726" s="16"/>
      <c r="DZ726" s="16"/>
      <c r="EA726" s="17"/>
      <c r="EE726" s="24"/>
      <c r="EF726" s="60"/>
      <c r="EG726" s="16"/>
      <c r="EH726" s="16"/>
      <c r="EI726" s="16"/>
      <c r="EJ726" s="16"/>
      <c r="EK726" s="16"/>
      <c r="EL726" s="17"/>
      <c r="EP726" s="24"/>
      <c r="EQ726" s="60"/>
      <c r="ER726" s="16"/>
      <c r="ES726" s="16"/>
      <c r="ET726" s="16"/>
      <c r="EU726" s="16"/>
      <c r="EV726" s="16"/>
      <c r="EW726" s="17"/>
      <c r="FA726" s="24"/>
      <c r="FB726" s="60"/>
      <c r="FC726" s="16"/>
      <c r="FD726" s="16"/>
      <c r="FE726" s="16"/>
      <c r="FF726" s="16"/>
      <c r="FG726" s="16"/>
      <c r="FH726" s="17"/>
      <c r="FL726" s="24"/>
      <c r="FM726" s="60"/>
      <c r="FN726" s="16"/>
      <c r="FO726" s="16"/>
      <c r="FP726" s="16"/>
      <c r="FQ726" s="16"/>
      <c r="FR726" s="16"/>
      <c r="FS726" s="17"/>
      <c r="FW726" s="24"/>
      <c r="FX726" s="60"/>
      <c r="FY726" s="16"/>
      <c r="FZ726" s="16"/>
      <c r="GA726" s="16"/>
      <c r="GB726" s="16"/>
      <c r="GC726" s="16"/>
      <c r="GD726" s="17"/>
      <c r="GH726" s="24"/>
      <c r="GI726" s="60"/>
      <c r="GJ726" s="16"/>
      <c r="GK726" s="16"/>
      <c r="GL726" s="16"/>
      <c r="GM726" s="16"/>
      <c r="GN726" s="16"/>
      <c r="GO726" s="17"/>
      <c r="GS726" s="24"/>
      <c r="GT726" s="60"/>
      <c r="GU726" s="16"/>
      <c r="GV726" s="16"/>
      <c r="GW726" s="16"/>
      <c r="GX726" s="16"/>
      <c r="GY726" s="16"/>
      <c r="GZ726" s="17"/>
      <c r="HD726" s="24"/>
      <c r="HE726" s="60"/>
      <c r="HF726" s="16"/>
      <c r="HG726" s="16"/>
      <c r="HH726" s="16"/>
      <c r="HI726" s="16"/>
      <c r="HJ726" s="16"/>
      <c r="HK726" s="17"/>
      <c r="HO726" s="24"/>
      <c r="HP726" s="60"/>
      <c r="HQ726" s="16"/>
      <c r="HR726" s="16"/>
      <c r="HS726" s="16"/>
      <c r="HT726" s="16"/>
      <c r="HU726" s="16"/>
      <c r="HV726" s="17"/>
      <c r="HZ726" s="24"/>
      <c r="IA726" s="60"/>
      <c r="IB726" s="16"/>
      <c r="IC726" s="16"/>
      <c r="ID726" s="16"/>
      <c r="IE726" s="16"/>
      <c r="IF726" s="16"/>
      <c r="IG726" s="17"/>
      <c r="IK726" s="24"/>
      <c r="IL726" s="60"/>
      <c r="IM726" s="16"/>
      <c r="IN726" s="16"/>
      <c r="IO726" s="16"/>
      <c r="IP726" s="16"/>
      <c r="IQ726" s="16"/>
      <c r="IR726" s="17"/>
      <c r="IV726" s="24"/>
      <c r="IW726" s="60"/>
      <c r="IX726" s="16"/>
      <c r="IY726" s="16"/>
      <c r="IZ726" s="16"/>
      <c r="JA726" s="16"/>
      <c r="JB726" s="16"/>
      <c r="JC726" s="17"/>
      <c r="JG726" s="24"/>
      <c r="JH726" s="60"/>
      <c r="JI726" s="16"/>
      <c r="JJ726" s="16"/>
      <c r="JK726" s="16"/>
      <c r="JL726" s="16"/>
      <c r="JM726" s="16"/>
      <c r="JN726" s="17"/>
      <c r="JR726" s="24"/>
      <c r="JS726" s="60"/>
      <c r="JT726" s="16"/>
      <c r="JU726" s="16"/>
      <c r="JV726" s="16"/>
      <c r="JW726" s="16"/>
      <c r="JX726" s="16"/>
      <c r="JY726" s="17"/>
      <c r="KC726" s="24"/>
      <c r="KD726" s="60"/>
      <c r="KE726" s="16"/>
      <c r="KF726" s="16"/>
      <c r="KG726" s="16"/>
      <c r="KH726" s="16"/>
      <c r="KI726" s="16"/>
      <c r="KJ726" s="17"/>
      <c r="KN726" s="24"/>
      <c r="KO726" s="60"/>
      <c r="KP726" s="16"/>
      <c r="KQ726" s="16"/>
      <c r="KR726" s="16"/>
      <c r="KS726" s="16"/>
      <c r="KT726" s="16"/>
      <c r="KU726" s="17"/>
      <c r="KY726" s="24"/>
      <c r="KZ726" s="60"/>
      <c r="LA726" s="16"/>
      <c r="LB726" s="16"/>
      <c r="LC726" s="16"/>
      <c r="LD726" s="16"/>
      <c r="LE726" s="16"/>
      <c r="LF726" s="17"/>
      <c r="LJ726" s="24"/>
      <c r="LK726" s="60"/>
      <c r="LL726" s="16"/>
      <c r="LM726" s="16"/>
      <c r="LN726" s="16"/>
      <c r="LO726" s="16"/>
      <c r="LP726" s="16"/>
      <c r="LQ726" s="17"/>
    </row>
    <row r="727">
      <c r="C727" s="31"/>
      <c r="D727" s="61"/>
      <c r="E727" s="16"/>
      <c r="F727" s="16"/>
      <c r="G727" s="21"/>
      <c r="H727" s="16"/>
      <c r="I727" s="16"/>
      <c r="J727" s="17"/>
      <c r="N727" s="17"/>
      <c r="O727" s="61"/>
      <c r="P727" s="16"/>
      <c r="Q727" s="16"/>
      <c r="R727" s="16"/>
      <c r="S727" s="16"/>
      <c r="T727" s="16"/>
      <c r="U727" s="17"/>
      <c r="Y727" s="24"/>
      <c r="Z727" s="61"/>
      <c r="AA727" s="16"/>
      <c r="AB727" s="16"/>
      <c r="AC727" s="16"/>
      <c r="AD727" s="16"/>
      <c r="AE727" s="16"/>
      <c r="AF727" s="17"/>
      <c r="AJ727" s="24"/>
      <c r="AK727" s="61"/>
      <c r="AL727" s="16"/>
      <c r="AM727" s="16"/>
      <c r="AN727" s="16"/>
      <c r="AO727" s="16"/>
      <c r="AP727" s="16"/>
      <c r="AQ727" s="17"/>
      <c r="AU727" s="24"/>
      <c r="AV727" s="61"/>
      <c r="AW727" s="16"/>
      <c r="AX727" s="16"/>
      <c r="AY727" s="16"/>
      <c r="AZ727" s="16"/>
      <c r="BA727" s="16"/>
      <c r="BB727" s="17"/>
      <c r="BF727" s="24"/>
      <c r="BG727" s="61"/>
      <c r="BH727" s="16"/>
      <c r="BI727" s="16"/>
      <c r="BJ727" s="16"/>
      <c r="BK727" s="16"/>
      <c r="BL727" s="16"/>
      <c r="BM727" s="17"/>
      <c r="BQ727" s="24"/>
      <c r="BR727" s="61"/>
      <c r="BS727" s="16"/>
      <c r="BT727" s="16"/>
      <c r="BU727" s="16"/>
      <c r="BV727" s="16"/>
      <c r="BW727" s="16"/>
      <c r="BX727" s="17"/>
      <c r="CB727" s="24"/>
      <c r="CC727" s="61"/>
      <c r="CD727" s="16"/>
      <c r="CE727" s="16"/>
      <c r="CF727" s="16"/>
      <c r="CG727" s="16"/>
      <c r="CH727" s="16"/>
      <c r="CI727" s="17"/>
      <c r="CM727" s="24"/>
      <c r="CN727" s="61"/>
      <c r="CO727" s="16"/>
      <c r="CP727" s="16"/>
      <c r="CQ727" s="16"/>
      <c r="CR727" s="16"/>
      <c r="CS727" s="16"/>
      <c r="CT727" s="17"/>
      <c r="CX727" s="24"/>
      <c r="CY727" s="60"/>
      <c r="CZ727" s="16"/>
      <c r="DA727" s="16"/>
      <c r="DB727" s="16"/>
      <c r="DC727" s="16"/>
      <c r="DD727" s="16"/>
      <c r="DE727" s="17"/>
      <c r="DI727" s="24"/>
      <c r="DJ727" s="60"/>
      <c r="DK727" s="16"/>
      <c r="DL727" s="16"/>
      <c r="DM727" s="16"/>
      <c r="DN727" s="16"/>
      <c r="DO727" s="16"/>
      <c r="DP727" s="17"/>
      <c r="DT727" s="24"/>
      <c r="DU727" s="60"/>
      <c r="DV727" s="16"/>
      <c r="DW727" s="16"/>
      <c r="DX727" s="16"/>
      <c r="DY727" s="16"/>
      <c r="DZ727" s="16"/>
      <c r="EA727" s="17"/>
      <c r="EE727" s="24"/>
      <c r="EF727" s="60"/>
      <c r="EG727" s="16"/>
      <c r="EH727" s="16"/>
      <c r="EI727" s="16"/>
      <c r="EJ727" s="16"/>
      <c r="EK727" s="16"/>
      <c r="EL727" s="17"/>
      <c r="EP727" s="24"/>
      <c r="EQ727" s="60"/>
      <c r="ER727" s="16"/>
      <c r="ES727" s="16"/>
      <c r="ET727" s="16"/>
      <c r="EU727" s="16"/>
      <c r="EV727" s="16"/>
      <c r="EW727" s="17"/>
      <c r="FA727" s="24"/>
      <c r="FB727" s="60"/>
      <c r="FC727" s="16"/>
      <c r="FD727" s="16"/>
      <c r="FE727" s="16"/>
      <c r="FF727" s="16"/>
      <c r="FG727" s="16"/>
      <c r="FH727" s="17"/>
      <c r="FL727" s="24"/>
      <c r="FM727" s="60"/>
      <c r="FN727" s="16"/>
      <c r="FO727" s="16"/>
      <c r="FP727" s="16"/>
      <c r="FQ727" s="16"/>
      <c r="FR727" s="16"/>
      <c r="FS727" s="17"/>
      <c r="FW727" s="24"/>
      <c r="FX727" s="60"/>
      <c r="FY727" s="16"/>
      <c r="FZ727" s="16"/>
      <c r="GA727" s="16"/>
      <c r="GB727" s="16"/>
      <c r="GC727" s="16"/>
      <c r="GD727" s="17"/>
      <c r="GH727" s="24"/>
      <c r="GI727" s="60"/>
      <c r="GJ727" s="16"/>
      <c r="GK727" s="16"/>
      <c r="GL727" s="16"/>
      <c r="GM727" s="16"/>
      <c r="GN727" s="16"/>
      <c r="GO727" s="17"/>
      <c r="GS727" s="24"/>
      <c r="GT727" s="60"/>
      <c r="GU727" s="16"/>
      <c r="GV727" s="16"/>
      <c r="GW727" s="16"/>
      <c r="GX727" s="16"/>
      <c r="GY727" s="16"/>
      <c r="GZ727" s="17"/>
      <c r="HD727" s="24"/>
      <c r="HE727" s="60"/>
      <c r="HF727" s="16"/>
      <c r="HG727" s="16"/>
      <c r="HH727" s="16"/>
      <c r="HI727" s="16"/>
      <c r="HJ727" s="16"/>
      <c r="HK727" s="17"/>
      <c r="HO727" s="24"/>
      <c r="HP727" s="60"/>
      <c r="HQ727" s="16"/>
      <c r="HR727" s="16"/>
      <c r="HS727" s="16"/>
      <c r="HT727" s="16"/>
      <c r="HU727" s="16"/>
      <c r="HV727" s="17"/>
      <c r="HZ727" s="24"/>
      <c r="IA727" s="60"/>
      <c r="IB727" s="16"/>
      <c r="IC727" s="16"/>
      <c r="ID727" s="16"/>
      <c r="IE727" s="16"/>
      <c r="IF727" s="16"/>
      <c r="IG727" s="17"/>
      <c r="IK727" s="24"/>
      <c r="IL727" s="60"/>
      <c r="IM727" s="16"/>
      <c r="IN727" s="16"/>
      <c r="IO727" s="16"/>
      <c r="IP727" s="16"/>
      <c r="IQ727" s="16"/>
      <c r="IR727" s="17"/>
      <c r="IV727" s="24"/>
      <c r="IW727" s="60"/>
      <c r="IX727" s="16"/>
      <c r="IY727" s="16"/>
      <c r="IZ727" s="16"/>
      <c r="JA727" s="16"/>
      <c r="JB727" s="16"/>
      <c r="JC727" s="17"/>
      <c r="JG727" s="24"/>
      <c r="JH727" s="60"/>
      <c r="JI727" s="16"/>
      <c r="JJ727" s="16"/>
      <c r="JK727" s="16"/>
      <c r="JL727" s="16"/>
      <c r="JM727" s="16"/>
      <c r="JN727" s="17"/>
      <c r="JR727" s="24"/>
      <c r="JS727" s="60"/>
      <c r="JT727" s="16"/>
      <c r="JU727" s="16"/>
      <c r="JV727" s="16"/>
      <c r="JW727" s="16"/>
      <c r="JX727" s="16"/>
      <c r="JY727" s="17"/>
      <c r="KC727" s="24"/>
      <c r="KD727" s="60"/>
      <c r="KE727" s="16"/>
      <c r="KF727" s="16"/>
      <c r="KG727" s="16"/>
      <c r="KH727" s="16"/>
      <c r="KI727" s="16"/>
      <c r="KJ727" s="17"/>
      <c r="KN727" s="24"/>
      <c r="KO727" s="60"/>
      <c r="KP727" s="16"/>
      <c r="KQ727" s="16"/>
      <c r="KR727" s="16"/>
      <c r="KS727" s="16"/>
      <c r="KT727" s="16"/>
      <c r="KU727" s="17"/>
      <c r="KY727" s="24"/>
      <c r="KZ727" s="60"/>
      <c r="LA727" s="16"/>
      <c r="LB727" s="16"/>
      <c r="LC727" s="16"/>
      <c r="LD727" s="16"/>
      <c r="LE727" s="16"/>
      <c r="LF727" s="17"/>
      <c r="LJ727" s="24"/>
      <c r="LK727" s="60"/>
      <c r="LL727" s="16"/>
      <c r="LM727" s="16"/>
      <c r="LN727" s="16"/>
      <c r="LO727" s="16"/>
      <c r="LP727" s="16"/>
      <c r="LQ727" s="17"/>
    </row>
    <row r="728">
      <c r="C728" s="31"/>
      <c r="D728" s="61"/>
      <c r="E728" s="16"/>
      <c r="F728" s="16"/>
      <c r="G728" s="21"/>
      <c r="H728" s="16"/>
      <c r="I728" s="16"/>
      <c r="J728" s="17"/>
      <c r="N728" s="17"/>
      <c r="O728" s="61"/>
      <c r="P728" s="16"/>
      <c r="Q728" s="16"/>
      <c r="R728" s="16"/>
      <c r="S728" s="16"/>
      <c r="T728" s="16"/>
      <c r="U728" s="17"/>
      <c r="Y728" s="24"/>
      <c r="Z728" s="61"/>
      <c r="AA728" s="16"/>
      <c r="AB728" s="16"/>
      <c r="AC728" s="16"/>
      <c r="AD728" s="16"/>
      <c r="AE728" s="16"/>
      <c r="AF728" s="17"/>
      <c r="AJ728" s="24"/>
      <c r="AK728" s="61"/>
      <c r="AL728" s="16"/>
      <c r="AM728" s="16"/>
      <c r="AN728" s="16"/>
      <c r="AO728" s="16"/>
      <c r="AP728" s="16"/>
      <c r="AQ728" s="17"/>
      <c r="AU728" s="24"/>
      <c r="AV728" s="61"/>
      <c r="AW728" s="16"/>
      <c r="AX728" s="16"/>
      <c r="AY728" s="16"/>
      <c r="AZ728" s="16"/>
      <c r="BA728" s="16"/>
      <c r="BB728" s="17"/>
      <c r="BF728" s="24"/>
      <c r="BG728" s="61"/>
      <c r="BH728" s="16"/>
      <c r="BI728" s="16"/>
      <c r="BJ728" s="16"/>
      <c r="BK728" s="16"/>
      <c r="BL728" s="16"/>
      <c r="BM728" s="17"/>
      <c r="BQ728" s="24"/>
      <c r="BR728" s="61"/>
      <c r="BS728" s="16"/>
      <c r="BT728" s="16"/>
      <c r="BU728" s="16"/>
      <c r="BV728" s="16"/>
      <c r="BW728" s="16"/>
      <c r="BX728" s="17"/>
      <c r="CB728" s="24"/>
      <c r="CC728" s="61"/>
      <c r="CD728" s="16"/>
      <c r="CE728" s="16"/>
      <c r="CF728" s="16"/>
      <c r="CG728" s="16"/>
      <c r="CH728" s="16"/>
      <c r="CI728" s="17"/>
      <c r="CM728" s="24"/>
      <c r="CN728" s="61"/>
      <c r="CO728" s="16"/>
      <c r="CP728" s="16"/>
      <c r="CQ728" s="16"/>
      <c r="CR728" s="16"/>
      <c r="CS728" s="16"/>
      <c r="CT728" s="17"/>
      <c r="CX728" s="24"/>
      <c r="CY728" s="60"/>
      <c r="CZ728" s="16"/>
      <c r="DA728" s="16"/>
      <c r="DB728" s="16"/>
      <c r="DC728" s="16"/>
      <c r="DD728" s="16"/>
      <c r="DE728" s="17"/>
      <c r="DI728" s="24"/>
      <c r="DJ728" s="60"/>
      <c r="DK728" s="16"/>
      <c r="DL728" s="16"/>
      <c r="DM728" s="16"/>
      <c r="DN728" s="16"/>
      <c r="DO728" s="16"/>
      <c r="DP728" s="17"/>
      <c r="DT728" s="24"/>
      <c r="DU728" s="60"/>
      <c r="DV728" s="16"/>
      <c r="DW728" s="16"/>
      <c r="DX728" s="16"/>
      <c r="DY728" s="16"/>
      <c r="DZ728" s="16"/>
      <c r="EA728" s="17"/>
      <c r="EE728" s="24"/>
      <c r="EF728" s="60"/>
      <c r="EG728" s="16"/>
      <c r="EH728" s="16"/>
      <c r="EI728" s="16"/>
      <c r="EJ728" s="16"/>
      <c r="EK728" s="16"/>
      <c r="EL728" s="17"/>
      <c r="EP728" s="24"/>
      <c r="EQ728" s="60"/>
      <c r="ER728" s="16"/>
      <c r="ES728" s="16"/>
      <c r="ET728" s="16"/>
      <c r="EU728" s="16"/>
      <c r="EV728" s="16"/>
      <c r="EW728" s="17"/>
      <c r="FA728" s="24"/>
      <c r="FB728" s="60"/>
      <c r="FC728" s="16"/>
      <c r="FD728" s="16"/>
      <c r="FE728" s="16"/>
      <c r="FF728" s="16"/>
      <c r="FG728" s="16"/>
      <c r="FH728" s="17"/>
      <c r="FL728" s="24"/>
      <c r="FM728" s="60"/>
      <c r="FN728" s="16"/>
      <c r="FO728" s="16"/>
      <c r="FP728" s="16"/>
      <c r="FQ728" s="16"/>
      <c r="FR728" s="16"/>
      <c r="FS728" s="17"/>
      <c r="FW728" s="24"/>
      <c r="FX728" s="60"/>
      <c r="FY728" s="16"/>
      <c r="FZ728" s="16"/>
      <c r="GA728" s="16"/>
      <c r="GB728" s="16"/>
      <c r="GC728" s="16"/>
      <c r="GD728" s="17"/>
      <c r="GH728" s="24"/>
      <c r="GI728" s="60"/>
      <c r="GJ728" s="16"/>
      <c r="GK728" s="16"/>
      <c r="GL728" s="16"/>
      <c r="GM728" s="16"/>
      <c r="GN728" s="16"/>
      <c r="GO728" s="17"/>
      <c r="GS728" s="24"/>
      <c r="GT728" s="60"/>
      <c r="GU728" s="16"/>
      <c r="GV728" s="16"/>
      <c r="GW728" s="16"/>
      <c r="GX728" s="16"/>
      <c r="GY728" s="16"/>
      <c r="GZ728" s="17"/>
      <c r="HD728" s="24"/>
      <c r="HE728" s="60"/>
      <c r="HF728" s="16"/>
      <c r="HG728" s="16"/>
      <c r="HH728" s="16"/>
      <c r="HI728" s="16"/>
      <c r="HJ728" s="16"/>
      <c r="HK728" s="17"/>
      <c r="HO728" s="24"/>
      <c r="HP728" s="60"/>
      <c r="HQ728" s="16"/>
      <c r="HR728" s="16"/>
      <c r="HS728" s="16"/>
      <c r="HT728" s="16"/>
      <c r="HU728" s="16"/>
      <c r="HV728" s="17"/>
      <c r="HZ728" s="24"/>
      <c r="IA728" s="60"/>
      <c r="IB728" s="16"/>
      <c r="IC728" s="16"/>
      <c r="ID728" s="16"/>
      <c r="IE728" s="16"/>
      <c r="IF728" s="16"/>
      <c r="IG728" s="17"/>
      <c r="IK728" s="24"/>
      <c r="IL728" s="60"/>
      <c r="IM728" s="16"/>
      <c r="IN728" s="16"/>
      <c r="IO728" s="16"/>
      <c r="IP728" s="16"/>
      <c r="IQ728" s="16"/>
      <c r="IR728" s="17"/>
      <c r="IV728" s="24"/>
      <c r="IW728" s="60"/>
      <c r="IX728" s="16"/>
      <c r="IY728" s="16"/>
      <c r="IZ728" s="16"/>
      <c r="JA728" s="16"/>
      <c r="JB728" s="16"/>
      <c r="JC728" s="17"/>
      <c r="JG728" s="24"/>
      <c r="JH728" s="60"/>
      <c r="JI728" s="16"/>
      <c r="JJ728" s="16"/>
      <c r="JK728" s="16"/>
      <c r="JL728" s="16"/>
      <c r="JM728" s="16"/>
      <c r="JN728" s="17"/>
      <c r="JR728" s="24"/>
      <c r="JS728" s="60"/>
      <c r="JT728" s="16"/>
      <c r="JU728" s="16"/>
      <c r="JV728" s="16"/>
      <c r="JW728" s="16"/>
      <c r="JX728" s="16"/>
      <c r="JY728" s="17"/>
      <c r="KC728" s="24"/>
      <c r="KD728" s="60"/>
      <c r="KE728" s="16"/>
      <c r="KF728" s="16"/>
      <c r="KG728" s="16"/>
      <c r="KH728" s="16"/>
      <c r="KI728" s="16"/>
      <c r="KJ728" s="17"/>
      <c r="KN728" s="24"/>
      <c r="KO728" s="60"/>
      <c r="KP728" s="16"/>
      <c r="KQ728" s="16"/>
      <c r="KR728" s="16"/>
      <c r="KS728" s="16"/>
      <c r="KT728" s="16"/>
      <c r="KU728" s="17"/>
      <c r="KY728" s="24"/>
      <c r="KZ728" s="60"/>
      <c r="LA728" s="16"/>
      <c r="LB728" s="16"/>
      <c r="LC728" s="16"/>
      <c r="LD728" s="16"/>
      <c r="LE728" s="16"/>
      <c r="LF728" s="17"/>
      <c r="LJ728" s="24"/>
      <c r="LK728" s="60"/>
      <c r="LL728" s="16"/>
      <c r="LM728" s="16"/>
      <c r="LN728" s="16"/>
      <c r="LO728" s="16"/>
      <c r="LP728" s="16"/>
      <c r="LQ728" s="17"/>
    </row>
    <row r="729">
      <c r="C729" s="31"/>
      <c r="D729" s="61"/>
      <c r="E729" s="16"/>
      <c r="F729" s="16"/>
      <c r="G729" s="21"/>
      <c r="H729" s="16"/>
      <c r="I729" s="16"/>
      <c r="J729" s="17"/>
      <c r="N729" s="17"/>
      <c r="O729" s="61"/>
      <c r="P729" s="16"/>
      <c r="Q729" s="16"/>
      <c r="R729" s="16"/>
      <c r="S729" s="16"/>
      <c r="T729" s="16"/>
      <c r="U729" s="17"/>
      <c r="Y729" s="24"/>
      <c r="Z729" s="61"/>
      <c r="AA729" s="16"/>
      <c r="AB729" s="16"/>
      <c r="AC729" s="16"/>
      <c r="AD729" s="16"/>
      <c r="AE729" s="16"/>
      <c r="AF729" s="17"/>
      <c r="AJ729" s="24"/>
      <c r="AK729" s="61"/>
      <c r="AL729" s="16"/>
      <c r="AM729" s="16"/>
      <c r="AN729" s="16"/>
      <c r="AO729" s="16"/>
      <c r="AP729" s="16"/>
      <c r="AQ729" s="17"/>
      <c r="AU729" s="24"/>
      <c r="AV729" s="61"/>
      <c r="AW729" s="16"/>
      <c r="AX729" s="16"/>
      <c r="AY729" s="16"/>
      <c r="AZ729" s="16"/>
      <c r="BA729" s="16"/>
      <c r="BB729" s="17"/>
      <c r="BF729" s="24"/>
      <c r="BG729" s="61"/>
      <c r="BH729" s="16"/>
      <c r="BI729" s="16"/>
      <c r="BJ729" s="16"/>
      <c r="BK729" s="16"/>
      <c r="BL729" s="16"/>
      <c r="BM729" s="17"/>
      <c r="BQ729" s="24"/>
      <c r="BR729" s="61"/>
      <c r="BS729" s="16"/>
      <c r="BT729" s="16"/>
      <c r="BU729" s="16"/>
      <c r="BV729" s="16"/>
      <c r="BW729" s="16"/>
      <c r="BX729" s="17"/>
      <c r="CB729" s="24"/>
      <c r="CC729" s="61"/>
      <c r="CD729" s="16"/>
      <c r="CE729" s="16"/>
      <c r="CF729" s="16"/>
      <c r="CG729" s="16"/>
      <c r="CH729" s="16"/>
      <c r="CI729" s="17"/>
      <c r="CM729" s="24"/>
      <c r="CN729" s="61"/>
      <c r="CO729" s="16"/>
      <c r="CP729" s="16"/>
      <c r="CQ729" s="16"/>
      <c r="CR729" s="16"/>
      <c r="CS729" s="16"/>
      <c r="CT729" s="17"/>
      <c r="CX729" s="24"/>
      <c r="CY729" s="60"/>
      <c r="CZ729" s="16"/>
      <c r="DA729" s="16"/>
      <c r="DB729" s="16"/>
      <c r="DC729" s="16"/>
      <c r="DD729" s="16"/>
      <c r="DE729" s="17"/>
      <c r="DI729" s="24"/>
      <c r="DJ729" s="60"/>
      <c r="DK729" s="16"/>
      <c r="DL729" s="16"/>
      <c r="DM729" s="16"/>
      <c r="DN729" s="16"/>
      <c r="DO729" s="16"/>
      <c r="DP729" s="17"/>
      <c r="DT729" s="24"/>
      <c r="DU729" s="60"/>
      <c r="DV729" s="16"/>
      <c r="DW729" s="16"/>
      <c r="DX729" s="16"/>
      <c r="DY729" s="16"/>
      <c r="DZ729" s="16"/>
      <c r="EA729" s="17"/>
      <c r="EE729" s="24"/>
      <c r="EF729" s="60"/>
      <c r="EG729" s="16"/>
      <c r="EH729" s="16"/>
      <c r="EI729" s="16"/>
      <c r="EJ729" s="16"/>
      <c r="EK729" s="16"/>
      <c r="EL729" s="17"/>
      <c r="EP729" s="24"/>
      <c r="EQ729" s="60"/>
      <c r="ER729" s="16"/>
      <c r="ES729" s="16"/>
      <c r="ET729" s="16"/>
      <c r="EU729" s="16"/>
      <c r="EV729" s="16"/>
      <c r="EW729" s="17"/>
      <c r="FA729" s="24"/>
      <c r="FB729" s="60"/>
      <c r="FC729" s="16"/>
      <c r="FD729" s="16"/>
      <c r="FE729" s="16"/>
      <c r="FF729" s="16"/>
      <c r="FG729" s="16"/>
      <c r="FH729" s="17"/>
      <c r="FL729" s="24"/>
      <c r="FM729" s="60"/>
      <c r="FN729" s="16"/>
      <c r="FO729" s="16"/>
      <c r="FP729" s="16"/>
      <c r="FQ729" s="16"/>
      <c r="FR729" s="16"/>
      <c r="FS729" s="17"/>
      <c r="FW729" s="24"/>
      <c r="FX729" s="60"/>
      <c r="FY729" s="16"/>
      <c r="FZ729" s="16"/>
      <c r="GA729" s="16"/>
      <c r="GB729" s="16"/>
      <c r="GC729" s="16"/>
      <c r="GD729" s="17"/>
      <c r="GH729" s="24"/>
      <c r="GI729" s="60"/>
      <c r="GJ729" s="16"/>
      <c r="GK729" s="16"/>
      <c r="GL729" s="16"/>
      <c r="GM729" s="16"/>
      <c r="GN729" s="16"/>
      <c r="GO729" s="17"/>
      <c r="GS729" s="24"/>
      <c r="GT729" s="60"/>
      <c r="GU729" s="16"/>
      <c r="GV729" s="16"/>
      <c r="GW729" s="16"/>
      <c r="GX729" s="16"/>
      <c r="GY729" s="16"/>
      <c r="GZ729" s="17"/>
      <c r="HD729" s="24"/>
      <c r="HE729" s="60"/>
      <c r="HF729" s="16"/>
      <c r="HG729" s="16"/>
      <c r="HH729" s="16"/>
      <c r="HI729" s="16"/>
      <c r="HJ729" s="16"/>
      <c r="HK729" s="17"/>
      <c r="HO729" s="24"/>
      <c r="HP729" s="60"/>
      <c r="HQ729" s="16"/>
      <c r="HR729" s="16"/>
      <c r="HS729" s="16"/>
      <c r="HT729" s="16"/>
      <c r="HU729" s="16"/>
      <c r="HV729" s="17"/>
      <c r="HZ729" s="24"/>
      <c r="IA729" s="60"/>
      <c r="IB729" s="16"/>
      <c r="IC729" s="16"/>
      <c r="ID729" s="16"/>
      <c r="IE729" s="16"/>
      <c r="IF729" s="16"/>
      <c r="IG729" s="17"/>
      <c r="IK729" s="24"/>
      <c r="IL729" s="60"/>
      <c r="IM729" s="16"/>
      <c r="IN729" s="16"/>
      <c r="IO729" s="16"/>
      <c r="IP729" s="16"/>
      <c r="IQ729" s="16"/>
      <c r="IR729" s="17"/>
      <c r="IV729" s="24"/>
      <c r="IW729" s="60"/>
      <c r="IX729" s="16"/>
      <c r="IY729" s="16"/>
      <c r="IZ729" s="16"/>
      <c r="JA729" s="16"/>
      <c r="JB729" s="16"/>
      <c r="JC729" s="17"/>
      <c r="JG729" s="24"/>
      <c r="JH729" s="60"/>
      <c r="JI729" s="16"/>
      <c r="JJ729" s="16"/>
      <c r="JK729" s="16"/>
      <c r="JL729" s="16"/>
      <c r="JM729" s="16"/>
      <c r="JN729" s="17"/>
      <c r="JR729" s="24"/>
      <c r="JS729" s="60"/>
      <c r="JT729" s="16"/>
      <c r="JU729" s="16"/>
      <c r="JV729" s="16"/>
      <c r="JW729" s="16"/>
      <c r="JX729" s="16"/>
      <c r="JY729" s="17"/>
      <c r="KC729" s="24"/>
      <c r="KD729" s="60"/>
      <c r="KE729" s="16"/>
      <c r="KF729" s="16"/>
      <c r="KG729" s="16"/>
      <c r="KH729" s="16"/>
      <c r="KI729" s="16"/>
      <c r="KJ729" s="17"/>
      <c r="KN729" s="24"/>
      <c r="KO729" s="60"/>
      <c r="KP729" s="16"/>
      <c r="KQ729" s="16"/>
      <c r="KR729" s="16"/>
      <c r="KS729" s="16"/>
      <c r="KT729" s="16"/>
      <c r="KU729" s="17"/>
      <c r="KY729" s="24"/>
      <c r="KZ729" s="60"/>
      <c r="LA729" s="16"/>
      <c r="LB729" s="16"/>
      <c r="LC729" s="16"/>
      <c r="LD729" s="16"/>
      <c r="LE729" s="16"/>
      <c r="LF729" s="17"/>
      <c r="LJ729" s="24"/>
      <c r="LK729" s="60"/>
      <c r="LL729" s="16"/>
      <c r="LM729" s="16"/>
      <c r="LN729" s="16"/>
      <c r="LO729" s="16"/>
      <c r="LP729" s="16"/>
      <c r="LQ729" s="17"/>
    </row>
    <row r="730">
      <c r="C730" s="31"/>
      <c r="D730" s="61"/>
      <c r="E730" s="16"/>
      <c r="F730" s="16"/>
      <c r="G730" s="21"/>
      <c r="H730" s="16"/>
      <c r="I730" s="16"/>
      <c r="J730" s="17"/>
      <c r="N730" s="17"/>
      <c r="O730" s="61"/>
      <c r="P730" s="16"/>
      <c r="Q730" s="16"/>
      <c r="R730" s="16"/>
      <c r="S730" s="16"/>
      <c r="T730" s="16"/>
      <c r="U730" s="17"/>
      <c r="Y730" s="24"/>
      <c r="Z730" s="61"/>
      <c r="AA730" s="16"/>
      <c r="AB730" s="16"/>
      <c r="AC730" s="16"/>
      <c r="AD730" s="16"/>
      <c r="AE730" s="16"/>
      <c r="AF730" s="17"/>
      <c r="AJ730" s="24"/>
      <c r="AK730" s="61"/>
      <c r="AL730" s="16"/>
      <c r="AM730" s="16"/>
      <c r="AN730" s="16"/>
      <c r="AO730" s="16"/>
      <c r="AP730" s="16"/>
      <c r="AQ730" s="17"/>
      <c r="AU730" s="24"/>
      <c r="AV730" s="61"/>
      <c r="AW730" s="16"/>
      <c r="AX730" s="16"/>
      <c r="AY730" s="16"/>
      <c r="AZ730" s="16"/>
      <c r="BA730" s="16"/>
      <c r="BB730" s="17"/>
      <c r="BF730" s="24"/>
      <c r="BG730" s="61"/>
      <c r="BH730" s="16"/>
      <c r="BI730" s="16"/>
      <c r="BJ730" s="16"/>
      <c r="BK730" s="16"/>
      <c r="BL730" s="16"/>
      <c r="BM730" s="17"/>
      <c r="BQ730" s="24"/>
      <c r="BR730" s="61"/>
      <c r="BS730" s="16"/>
      <c r="BT730" s="16"/>
      <c r="BU730" s="16"/>
      <c r="BV730" s="16"/>
      <c r="BW730" s="16"/>
      <c r="BX730" s="17"/>
      <c r="CB730" s="24"/>
      <c r="CC730" s="61"/>
      <c r="CD730" s="16"/>
      <c r="CE730" s="16"/>
      <c r="CF730" s="16"/>
      <c r="CG730" s="16"/>
      <c r="CH730" s="16"/>
      <c r="CI730" s="17"/>
      <c r="CM730" s="24"/>
      <c r="CN730" s="61"/>
      <c r="CO730" s="16"/>
      <c r="CP730" s="16"/>
      <c r="CQ730" s="16"/>
      <c r="CR730" s="16"/>
      <c r="CS730" s="16"/>
      <c r="CT730" s="17"/>
      <c r="CX730" s="24"/>
      <c r="CY730" s="60"/>
      <c r="CZ730" s="16"/>
      <c r="DA730" s="16"/>
      <c r="DB730" s="16"/>
      <c r="DC730" s="16"/>
      <c r="DD730" s="16"/>
      <c r="DE730" s="17"/>
      <c r="DI730" s="24"/>
      <c r="DJ730" s="60"/>
      <c r="DK730" s="16"/>
      <c r="DL730" s="16"/>
      <c r="DM730" s="16"/>
      <c r="DN730" s="16"/>
      <c r="DO730" s="16"/>
      <c r="DP730" s="17"/>
      <c r="DT730" s="24"/>
      <c r="DU730" s="60"/>
      <c r="DV730" s="16"/>
      <c r="DW730" s="16"/>
      <c r="DX730" s="16"/>
      <c r="DY730" s="16"/>
      <c r="DZ730" s="16"/>
      <c r="EA730" s="17"/>
      <c r="EE730" s="24"/>
      <c r="EF730" s="60"/>
      <c r="EG730" s="16"/>
      <c r="EH730" s="16"/>
      <c r="EI730" s="16"/>
      <c r="EJ730" s="16"/>
      <c r="EK730" s="16"/>
      <c r="EL730" s="17"/>
      <c r="EP730" s="24"/>
      <c r="EQ730" s="60"/>
      <c r="ER730" s="16"/>
      <c r="ES730" s="16"/>
      <c r="ET730" s="16"/>
      <c r="EU730" s="16"/>
      <c r="EV730" s="16"/>
      <c r="EW730" s="17"/>
      <c r="FA730" s="24"/>
      <c r="FB730" s="60"/>
      <c r="FC730" s="16"/>
      <c r="FD730" s="16"/>
      <c r="FE730" s="16"/>
      <c r="FF730" s="16"/>
      <c r="FG730" s="16"/>
      <c r="FH730" s="17"/>
      <c r="FL730" s="24"/>
      <c r="FM730" s="60"/>
      <c r="FN730" s="16"/>
      <c r="FO730" s="16"/>
      <c r="FP730" s="16"/>
      <c r="FQ730" s="16"/>
      <c r="FR730" s="16"/>
      <c r="FS730" s="17"/>
      <c r="FW730" s="24"/>
      <c r="FX730" s="60"/>
      <c r="FY730" s="16"/>
      <c r="FZ730" s="16"/>
      <c r="GA730" s="16"/>
      <c r="GB730" s="16"/>
      <c r="GC730" s="16"/>
      <c r="GD730" s="17"/>
      <c r="GH730" s="24"/>
      <c r="GI730" s="60"/>
      <c r="GJ730" s="16"/>
      <c r="GK730" s="16"/>
      <c r="GL730" s="16"/>
      <c r="GM730" s="16"/>
      <c r="GN730" s="16"/>
      <c r="GO730" s="17"/>
      <c r="GS730" s="24"/>
      <c r="GT730" s="60"/>
      <c r="GU730" s="16"/>
      <c r="GV730" s="16"/>
      <c r="GW730" s="16"/>
      <c r="GX730" s="16"/>
      <c r="GY730" s="16"/>
      <c r="GZ730" s="17"/>
      <c r="HD730" s="24"/>
      <c r="HE730" s="60"/>
      <c r="HF730" s="16"/>
      <c r="HG730" s="16"/>
      <c r="HH730" s="16"/>
      <c r="HI730" s="16"/>
      <c r="HJ730" s="16"/>
      <c r="HK730" s="17"/>
      <c r="HO730" s="24"/>
      <c r="HP730" s="60"/>
      <c r="HQ730" s="16"/>
      <c r="HR730" s="16"/>
      <c r="HS730" s="16"/>
      <c r="HT730" s="16"/>
      <c r="HU730" s="16"/>
      <c r="HV730" s="17"/>
      <c r="HZ730" s="24"/>
      <c r="IA730" s="60"/>
      <c r="IB730" s="16"/>
      <c r="IC730" s="16"/>
      <c r="ID730" s="16"/>
      <c r="IE730" s="16"/>
      <c r="IF730" s="16"/>
      <c r="IG730" s="17"/>
      <c r="IK730" s="24"/>
      <c r="IL730" s="60"/>
      <c r="IM730" s="16"/>
      <c r="IN730" s="16"/>
      <c r="IO730" s="16"/>
      <c r="IP730" s="16"/>
      <c r="IQ730" s="16"/>
      <c r="IR730" s="17"/>
      <c r="IV730" s="24"/>
      <c r="IW730" s="60"/>
      <c r="IX730" s="16"/>
      <c r="IY730" s="16"/>
      <c r="IZ730" s="16"/>
      <c r="JA730" s="16"/>
      <c r="JB730" s="16"/>
      <c r="JC730" s="17"/>
      <c r="JG730" s="24"/>
      <c r="JH730" s="60"/>
      <c r="JI730" s="16"/>
      <c r="JJ730" s="16"/>
      <c r="JK730" s="16"/>
      <c r="JL730" s="16"/>
      <c r="JM730" s="16"/>
      <c r="JN730" s="17"/>
      <c r="JR730" s="24"/>
      <c r="JS730" s="60"/>
      <c r="JT730" s="16"/>
      <c r="JU730" s="16"/>
      <c r="JV730" s="16"/>
      <c r="JW730" s="16"/>
      <c r="JX730" s="16"/>
      <c r="JY730" s="17"/>
      <c r="KC730" s="24"/>
      <c r="KD730" s="60"/>
      <c r="KE730" s="16"/>
      <c r="KF730" s="16"/>
      <c r="KG730" s="16"/>
      <c r="KH730" s="16"/>
      <c r="KI730" s="16"/>
      <c r="KJ730" s="17"/>
      <c r="KN730" s="24"/>
      <c r="KO730" s="60"/>
      <c r="KP730" s="16"/>
      <c r="KQ730" s="16"/>
      <c r="KR730" s="16"/>
      <c r="KS730" s="16"/>
      <c r="KT730" s="16"/>
      <c r="KU730" s="17"/>
      <c r="KY730" s="24"/>
      <c r="KZ730" s="60"/>
      <c r="LA730" s="16"/>
      <c r="LB730" s="16"/>
      <c r="LC730" s="16"/>
      <c r="LD730" s="16"/>
      <c r="LE730" s="16"/>
      <c r="LF730" s="17"/>
      <c r="LJ730" s="24"/>
      <c r="LK730" s="60"/>
      <c r="LL730" s="16"/>
      <c r="LM730" s="16"/>
      <c r="LN730" s="16"/>
      <c r="LO730" s="16"/>
      <c r="LP730" s="16"/>
      <c r="LQ730" s="17"/>
    </row>
    <row r="731">
      <c r="C731" s="31"/>
      <c r="D731" s="61"/>
      <c r="E731" s="16"/>
      <c r="F731" s="16"/>
      <c r="G731" s="21"/>
      <c r="H731" s="16"/>
      <c r="I731" s="16"/>
      <c r="J731" s="17"/>
      <c r="N731" s="17"/>
      <c r="O731" s="61"/>
      <c r="P731" s="16"/>
      <c r="Q731" s="16"/>
      <c r="R731" s="16"/>
      <c r="S731" s="16"/>
      <c r="T731" s="16"/>
      <c r="U731" s="17"/>
      <c r="Y731" s="24"/>
      <c r="Z731" s="61"/>
      <c r="AA731" s="16"/>
      <c r="AB731" s="16"/>
      <c r="AC731" s="16"/>
      <c r="AD731" s="16"/>
      <c r="AE731" s="16"/>
      <c r="AF731" s="17"/>
      <c r="AJ731" s="24"/>
      <c r="AK731" s="61"/>
      <c r="AL731" s="16"/>
      <c r="AM731" s="16"/>
      <c r="AN731" s="16"/>
      <c r="AO731" s="16"/>
      <c r="AP731" s="16"/>
      <c r="AQ731" s="17"/>
      <c r="AU731" s="24"/>
      <c r="AV731" s="61"/>
      <c r="AW731" s="16"/>
      <c r="AX731" s="16"/>
      <c r="AY731" s="16"/>
      <c r="AZ731" s="16"/>
      <c r="BA731" s="16"/>
      <c r="BB731" s="17"/>
      <c r="BF731" s="24"/>
      <c r="BG731" s="61"/>
      <c r="BH731" s="16"/>
      <c r="BI731" s="16"/>
      <c r="BJ731" s="16"/>
      <c r="BK731" s="16"/>
      <c r="BL731" s="16"/>
      <c r="BM731" s="17"/>
      <c r="BQ731" s="24"/>
      <c r="BR731" s="61"/>
      <c r="BS731" s="16"/>
      <c r="BT731" s="16"/>
      <c r="BU731" s="16"/>
      <c r="BV731" s="16"/>
      <c r="BW731" s="16"/>
      <c r="BX731" s="17"/>
      <c r="CB731" s="24"/>
      <c r="CC731" s="61"/>
      <c r="CD731" s="16"/>
      <c r="CE731" s="16"/>
      <c r="CF731" s="16"/>
      <c r="CG731" s="16"/>
      <c r="CH731" s="16"/>
      <c r="CI731" s="17"/>
      <c r="CM731" s="24"/>
      <c r="CN731" s="61"/>
      <c r="CO731" s="16"/>
      <c r="CP731" s="16"/>
      <c r="CQ731" s="16"/>
      <c r="CR731" s="16"/>
      <c r="CS731" s="16"/>
      <c r="CT731" s="17"/>
      <c r="CX731" s="24"/>
      <c r="CY731" s="60"/>
      <c r="CZ731" s="16"/>
      <c r="DA731" s="16"/>
      <c r="DB731" s="16"/>
      <c r="DC731" s="16"/>
      <c r="DD731" s="16"/>
      <c r="DE731" s="17"/>
      <c r="DI731" s="24"/>
      <c r="DJ731" s="60"/>
      <c r="DK731" s="16"/>
      <c r="DL731" s="16"/>
      <c r="DM731" s="16"/>
      <c r="DN731" s="16"/>
      <c r="DO731" s="16"/>
      <c r="DP731" s="17"/>
      <c r="DT731" s="24"/>
      <c r="DU731" s="60"/>
      <c r="DV731" s="16"/>
      <c r="DW731" s="16"/>
      <c r="DX731" s="16"/>
      <c r="DY731" s="16"/>
      <c r="DZ731" s="16"/>
      <c r="EA731" s="17"/>
      <c r="EE731" s="24"/>
      <c r="EF731" s="60"/>
      <c r="EG731" s="16"/>
      <c r="EH731" s="16"/>
      <c r="EI731" s="16"/>
      <c r="EJ731" s="16"/>
      <c r="EK731" s="16"/>
      <c r="EL731" s="17"/>
      <c r="EP731" s="24"/>
      <c r="EQ731" s="60"/>
      <c r="ER731" s="16"/>
      <c r="ES731" s="16"/>
      <c r="ET731" s="16"/>
      <c r="EU731" s="16"/>
      <c r="EV731" s="16"/>
      <c r="EW731" s="17"/>
      <c r="FA731" s="24"/>
      <c r="FB731" s="60"/>
      <c r="FC731" s="16"/>
      <c r="FD731" s="16"/>
      <c r="FE731" s="16"/>
      <c r="FF731" s="16"/>
      <c r="FG731" s="16"/>
      <c r="FH731" s="17"/>
      <c r="FL731" s="24"/>
      <c r="FM731" s="60"/>
      <c r="FN731" s="16"/>
      <c r="FO731" s="16"/>
      <c r="FP731" s="16"/>
      <c r="FQ731" s="16"/>
      <c r="FR731" s="16"/>
      <c r="FS731" s="17"/>
      <c r="FW731" s="24"/>
      <c r="FX731" s="60"/>
      <c r="FY731" s="16"/>
      <c r="FZ731" s="16"/>
      <c r="GA731" s="16"/>
      <c r="GB731" s="16"/>
      <c r="GC731" s="16"/>
      <c r="GD731" s="17"/>
      <c r="GH731" s="24"/>
      <c r="GI731" s="60"/>
      <c r="GJ731" s="16"/>
      <c r="GK731" s="16"/>
      <c r="GL731" s="16"/>
      <c r="GM731" s="16"/>
      <c r="GN731" s="16"/>
      <c r="GO731" s="17"/>
      <c r="GS731" s="24"/>
      <c r="GT731" s="60"/>
      <c r="GU731" s="16"/>
      <c r="GV731" s="16"/>
      <c r="GW731" s="16"/>
      <c r="GX731" s="16"/>
      <c r="GY731" s="16"/>
      <c r="GZ731" s="17"/>
      <c r="HD731" s="24"/>
      <c r="HE731" s="60"/>
      <c r="HF731" s="16"/>
      <c r="HG731" s="16"/>
      <c r="HH731" s="16"/>
      <c r="HI731" s="16"/>
      <c r="HJ731" s="16"/>
      <c r="HK731" s="17"/>
      <c r="HO731" s="24"/>
      <c r="HP731" s="60"/>
      <c r="HQ731" s="16"/>
      <c r="HR731" s="16"/>
      <c r="HS731" s="16"/>
      <c r="HT731" s="16"/>
      <c r="HU731" s="16"/>
      <c r="HV731" s="17"/>
      <c r="HZ731" s="24"/>
      <c r="IA731" s="60"/>
      <c r="IB731" s="16"/>
      <c r="IC731" s="16"/>
      <c r="ID731" s="16"/>
      <c r="IE731" s="16"/>
      <c r="IF731" s="16"/>
      <c r="IG731" s="17"/>
      <c r="IK731" s="24"/>
      <c r="IL731" s="60"/>
      <c r="IM731" s="16"/>
      <c r="IN731" s="16"/>
      <c r="IO731" s="16"/>
      <c r="IP731" s="16"/>
      <c r="IQ731" s="16"/>
      <c r="IR731" s="17"/>
      <c r="IV731" s="24"/>
      <c r="IW731" s="60"/>
      <c r="IX731" s="16"/>
      <c r="IY731" s="16"/>
      <c r="IZ731" s="16"/>
      <c r="JA731" s="16"/>
      <c r="JB731" s="16"/>
      <c r="JC731" s="17"/>
      <c r="JG731" s="24"/>
      <c r="JH731" s="60"/>
      <c r="JI731" s="16"/>
      <c r="JJ731" s="16"/>
      <c r="JK731" s="16"/>
      <c r="JL731" s="16"/>
      <c r="JM731" s="16"/>
      <c r="JN731" s="17"/>
      <c r="JR731" s="24"/>
      <c r="JS731" s="60"/>
      <c r="JT731" s="16"/>
      <c r="JU731" s="16"/>
      <c r="JV731" s="16"/>
      <c r="JW731" s="16"/>
      <c r="JX731" s="16"/>
      <c r="JY731" s="17"/>
      <c r="KC731" s="24"/>
      <c r="KD731" s="60"/>
      <c r="KE731" s="16"/>
      <c r="KF731" s="16"/>
      <c r="KG731" s="16"/>
      <c r="KH731" s="16"/>
      <c r="KI731" s="16"/>
      <c r="KJ731" s="17"/>
      <c r="KN731" s="24"/>
      <c r="KO731" s="60"/>
      <c r="KP731" s="16"/>
      <c r="KQ731" s="16"/>
      <c r="KR731" s="16"/>
      <c r="KS731" s="16"/>
      <c r="KT731" s="16"/>
      <c r="KU731" s="17"/>
      <c r="KY731" s="24"/>
      <c r="KZ731" s="60"/>
      <c r="LA731" s="16"/>
      <c r="LB731" s="16"/>
      <c r="LC731" s="16"/>
      <c r="LD731" s="16"/>
      <c r="LE731" s="16"/>
      <c r="LF731" s="17"/>
      <c r="LJ731" s="24"/>
      <c r="LK731" s="60"/>
      <c r="LL731" s="16"/>
      <c r="LM731" s="16"/>
      <c r="LN731" s="16"/>
      <c r="LO731" s="16"/>
      <c r="LP731" s="16"/>
      <c r="LQ731" s="17"/>
    </row>
    <row r="732">
      <c r="C732" s="31"/>
      <c r="D732" s="61"/>
      <c r="E732" s="16"/>
      <c r="F732" s="16"/>
      <c r="G732" s="21"/>
      <c r="H732" s="16"/>
      <c r="I732" s="16"/>
      <c r="J732" s="17"/>
      <c r="N732" s="17"/>
      <c r="O732" s="61"/>
      <c r="P732" s="16"/>
      <c r="Q732" s="16"/>
      <c r="R732" s="16"/>
      <c r="S732" s="16"/>
      <c r="T732" s="16"/>
      <c r="U732" s="17"/>
      <c r="Y732" s="24"/>
      <c r="Z732" s="61"/>
      <c r="AA732" s="16"/>
      <c r="AB732" s="16"/>
      <c r="AC732" s="16"/>
      <c r="AD732" s="16"/>
      <c r="AE732" s="16"/>
      <c r="AF732" s="17"/>
      <c r="AJ732" s="24"/>
      <c r="AK732" s="61"/>
      <c r="AL732" s="16"/>
      <c r="AM732" s="16"/>
      <c r="AN732" s="16"/>
      <c r="AO732" s="16"/>
      <c r="AP732" s="16"/>
      <c r="AQ732" s="17"/>
      <c r="AU732" s="24"/>
      <c r="AV732" s="61"/>
      <c r="AW732" s="16"/>
      <c r="AX732" s="16"/>
      <c r="AY732" s="16"/>
      <c r="AZ732" s="16"/>
      <c r="BA732" s="16"/>
      <c r="BB732" s="17"/>
      <c r="BF732" s="24"/>
      <c r="BG732" s="61"/>
      <c r="BH732" s="16"/>
      <c r="BI732" s="16"/>
      <c r="BJ732" s="16"/>
      <c r="BK732" s="16"/>
      <c r="BL732" s="16"/>
      <c r="BM732" s="17"/>
      <c r="BQ732" s="24"/>
      <c r="BR732" s="61"/>
      <c r="BS732" s="16"/>
      <c r="BT732" s="16"/>
      <c r="BU732" s="16"/>
      <c r="BV732" s="16"/>
      <c r="BW732" s="16"/>
      <c r="BX732" s="17"/>
      <c r="CB732" s="24"/>
      <c r="CC732" s="61"/>
      <c r="CD732" s="16"/>
      <c r="CE732" s="16"/>
      <c r="CF732" s="16"/>
      <c r="CG732" s="16"/>
      <c r="CH732" s="16"/>
      <c r="CI732" s="17"/>
      <c r="CM732" s="24"/>
      <c r="CN732" s="61"/>
      <c r="CO732" s="16"/>
      <c r="CP732" s="16"/>
      <c r="CQ732" s="16"/>
      <c r="CR732" s="16"/>
      <c r="CS732" s="16"/>
      <c r="CT732" s="17"/>
      <c r="CX732" s="24"/>
      <c r="CY732" s="60"/>
      <c r="CZ732" s="16"/>
      <c r="DA732" s="16"/>
      <c r="DB732" s="16"/>
      <c r="DC732" s="16"/>
      <c r="DD732" s="16"/>
      <c r="DE732" s="17"/>
      <c r="DI732" s="24"/>
      <c r="DJ732" s="60"/>
      <c r="DK732" s="16"/>
      <c r="DL732" s="16"/>
      <c r="DM732" s="16"/>
      <c r="DN732" s="16"/>
      <c r="DO732" s="16"/>
      <c r="DP732" s="17"/>
      <c r="DT732" s="24"/>
      <c r="DU732" s="60"/>
      <c r="DV732" s="16"/>
      <c r="DW732" s="16"/>
      <c r="DX732" s="16"/>
      <c r="DY732" s="16"/>
      <c r="DZ732" s="16"/>
      <c r="EA732" s="17"/>
      <c r="EE732" s="24"/>
      <c r="EF732" s="60"/>
      <c r="EG732" s="16"/>
      <c r="EH732" s="16"/>
      <c r="EI732" s="16"/>
      <c r="EJ732" s="16"/>
      <c r="EK732" s="16"/>
      <c r="EL732" s="17"/>
      <c r="EP732" s="24"/>
      <c r="EQ732" s="60"/>
      <c r="ER732" s="16"/>
      <c r="ES732" s="16"/>
      <c r="ET732" s="16"/>
      <c r="EU732" s="16"/>
      <c r="EV732" s="16"/>
      <c r="EW732" s="17"/>
      <c r="FA732" s="24"/>
      <c r="FB732" s="60"/>
      <c r="FC732" s="16"/>
      <c r="FD732" s="16"/>
      <c r="FE732" s="16"/>
      <c r="FF732" s="16"/>
      <c r="FG732" s="16"/>
      <c r="FH732" s="17"/>
      <c r="FL732" s="24"/>
      <c r="FM732" s="60"/>
      <c r="FN732" s="16"/>
      <c r="FO732" s="16"/>
      <c r="FP732" s="16"/>
      <c r="FQ732" s="16"/>
      <c r="FR732" s="16"/>
      <c r="FS732" s="17"/>
      <c r="FW732" s="24"/>
      <c r="FX732" s="60"/>
      <c r="FY732" s="16"/>
      <c r="FZ732" s="16"/>
      <c r="GA732" s="16"/>
      <c r="GB732" s="16"/>
      <c r="GC732" s="16"/>
      <c r="GD732" s="17"/>
      <c r="GH732" s="24"/>
      <c r="GI732" s="60"/>
      <c r="GJ732" s="16"/>
      <c r="GK732" s="16"/>
      <c r="GL732" s="16"/>
      <c r="GM732" s="16"/>
      <c r="GN732" s="16"/>
      <c r="GO732" s="17"/>
      <c r="GS732" s="24"/>
      <c r="GT732" s="60"/>
      <c r="GU732" s="16"/>
      <c r="GV732" s="16"/>
      <c r="GW732" s="16"/>
      <c r="GX732" s="16"/>
      <c r="GY732" s="16"/>
      <c r="GZ732" s="17"/>
      <c r="HD732" s="24"/>
      <c r="HE732" s="60"/>
      <c r="HF732" s="16"/>
      <c r="HG732" s="16"/>
      <c r="HH732" s="16"/>
      <c r="HI732" s="16"/>
      <c r="HJ732" s="16"/>
      <c r="HK732" s="17"/>
      <c r="HO732" s="24"/>
      <c r="HP732" s="60"/>
      <c r="HQ732" s="16"/>
      <c r="HR732" s="16"/>
      <c r="HS732" s="16"/>
      <c r="HT732" s="16"/>
      <c r="HU732" s="16"/>
      <c r="HV732" s="17"/>
      <c r="HZ732" s="24"/>
      <c r="IA732" s="60"/>
      <c r="IB732" s="16"/>
      <c r="IC732" s="16"/>
      <c r="ID732" s="16"/>
      <c r="IE732" s="16"/>
      <c r="IF732" s="16"/>
      <c r="IG732" s="17"/>
      <c r="IK732" s="24"/>
      <c r="IL732" s="60"/>
      <c r="IM732" s="16"/>
      <c r="IN732" s="16"/>
      <c r="IO732" s="16"/>
      <c r="IP732" s="16"/>
      <c r="IQ732" s="16"/>
      <c r="IR732" s="17"/>
      <c r="IV732" s="24"/>
      <c r="IW732" s="60"/>
      <c r="IX732" s="16"/>
      <c r="IY732" s="16"/>
      <c r="IZ732" s="16"/>
      <c r="JA732" s="16"/>
      <c r="JB732" s="16"/>
      <c r="JC732" s="17"/>
      <c r="JG732" s="24"/>
      <c r="JH732" s="60"/>
      <c r="JI732" s="16"/>
      <c r="JJ732" s="16"/>
      <c r="JK732" s="16"/>
      <c r="JL732" s="16"/>
      <c r="JM732" s="16"/>
      <c r="JN732" s="17"/>
      <c r="JR732" s="24"/>
      <c r="JS732" s="60"/>
      <c r="JT732" s="16"/>
      <c r="JU732" s="16"/>
      <c r="JV732" s="16"/>
      <c r="JW732" s="16"/>
      <c r="JX732" s="16"/>
      <c r="JY732" s="17"/>
      <c r="KC732" s="24"/>
      <c r="KD732" s="60"/>
      <c r="KE732" s="16"/>
      <c r="KF732" s="16"/>
      <c r="KG732" s="16"/>
      <c r="KH732" s="16"/>
      <c r="KI732" s="16"/>
      <c r="KJ732" s="17"/>
      <c r="KN732" s="24"/>
      <c r="KO732" s="60"/>
      <c r="KP732" s="16"/>
      <c r="KQ732" s="16"/>
      <c r="KR732" s="16"/>
      <c r="KS732" s="16"/>
      <c r="KT732" s="16"/>
      <c r="KU732" s="17"/>
      <c r="KY732" s="24"/>
      <c r="KZ732" s="60"/>
      <c r="LA732" s="16"/>
      <c r="LB732" s="16"/>
      <c r="LC732" s="16"/>
      <c r="LD732" s="16"/>
      <c r="LE732" s="16"/>
      <c r="LF732" s="17"/>
      <c r="LJ732" s="24"/>
      <c r="LK732" s="60"/>
      <c r="LL732" s="16"/>
      <c r="LM732" s="16"/>
      <c r="LN732" s="16"/>
      <c r="LO732" s="16"/>
      <c r="LP732" s="16"/>
      <c r="LQ732" s="17"/>
    </row>
    <row r="733">
      <c r="C733" s="31"/>
      <c r="D733" s="61"/>
      <c r="E733" s="16"/>
      <c r="F733" s="16"/>
      <c r="G733" s="21"/>
      <c r="H733" s="16"/>
      <c r="I733" s="16"/>
      <c r="J733" s="17"/>
      <c r="N733" s="17"/>
      <c r="O733" s="61"/>
      <c r="P733" s="16"/>
      <c r="Q733" s="16"/>
      <c r="R733" s="16"/>
      <c r="S733" s="16"/>
      <c r="T733" s="16"/>
      <c r="U733" s="17"/>
      <c r="Y733" s="24"/>
      <c r="Z733" s="61"/>
      <c r="AA733" s="16"/>
      <c r="AB733" s="16"/>
      <c r="AC733" s="16"/>
      <c r="AD733" s="16"/>
      <c r="AE733" s="16"/>
      <c r="AF733" s="17"/>
      <c r="AJ733" s="24"/>
      <c r="AK733" s="61"/>
      <c r="AL733" s="16"/>
      <c r="AM733" s="16"/>
      <c r="AN733" s="16"/>
      <c r="AO733" s="16"/>
      <c r="AP733" s="16"/>
      <c r="AQ733" s="17"/>
      <c r="AU733" s="24"/>
      <c r="AV733" s="61"/>
      <c r="AW733" s="16"/>
      <c r="AX733" s="16"/>
      <c r="AY733" s="16"/>
      <c r="AZ733" s="16"/>
      <c r="BA733" s="16"/>
      <c r="BB733" s="17"/>
      <c r="BF733" s="24"/>
      <c r="BG733" s="61"/>
      <c r="BH733" s="16"/>
      <c r="BI733" s="16"/>
      <c r="BJ733" s="16"/>
      <c r="BK733" s="16"/>
      <c r="BL733" s="16"/>
      <c r="BM733" s="17"/>
      <c r="BQ733" s="24"/>
      <c r="BR733" s="61"/>
      <c r="BS733" s="16"/>
      <c r="BT733" s="16"/>
      <c r="BU733" s="16"/>
      <c r="BV733" s="16"/>
      <c r="BW733" s="16"/>
      <c r="BX733" s="17"/>
      <c r="CB733" s="24"/>
      <c r="CC733" s="61"/>
      <c r="CD733" s="16"/>
      <c r="CE733" s="16"/>
      <c r="CF733" s="16"/>
      <c r="CG733" s="16"/>
      <c r="CH733" s="16"/>
      <c r="CI733" s="17"/>
      <c r="CM733" s="24"/>
      <c r="CN733" s="61"/>
      <c r="CO733" s="16"/>
      <c r="CP733" s="16"/>
      <c r="CQ733" s="16"/>
      <c r="CR733" s="16"/>
      <c r="CS733" s="16"/>
      <c r="CT733" s="17"/>
      <c r="CX733" s="24"/>
      <c r="CY733" s="60"/>
      <c r="CZ733" s="16"/>
      <c r="DA733" s="16"/>
      <c r="DB733" s="16"/>
      <c r="DC733" s="16"/>
      <c r="DD733" s="16"/>
      <c r="DE733" s="17"/>
      <c r="DI733" s="24"/>
      <c r="DJ733" s="60"/>
      <c r="DK733" s="16"/>
      <c r="DL733" s="16"/>
      <c r="DM733" s="16"/>
      <c r="DN733" s="16"/>
      <c r="DO733" s="16"/>
      <c r="DP733" s="17"/>
      <c r="DT733" s="24"/>
      <c r="DU733" s="60"/>
      <c r="DV733" s="16"/>
      <c r="DW733" s="16"/>
      <c r="DX733" s="16"/>
      <c r="DY733" s="16"/>
      <c r="DZ733" s="16"/>
      <c r="EA733" s="17"/>
      <c r="EE733" s="24"/>
      <c r="EF733" s="60"/>
      <c r="EG733" s="16"/>
      <c r="EH733" s="16"/>
      <c r="EI733" s="16"/>
      <c r="EJ733" s="16"/>
      <c r="EK733" s="16"/>
      <c r="EL733" s="17"/>
      <c r="EP733" s="24"/>
      <c r="EQ733" s="60"/>
      <c r="ER733" s="16"/>
      <c r="ES733" s="16"/>
      <c r="ET733" s="16"/>
      <c r="EU733" s="16"/>
      <c r="EV733" s="16"/>
      <c r="EW733" s="17"/>
      <c r="FA733" s="24"/>
      <c r="FB733" s="60"/>
      <c r="FC733" s="16"/>
      <c r="FD733" s="16"/>
      <c r="FE733" s="16"/>
      <c r="FF733" s="16"/>
      <c r="FG733" s="16"/>
      <c r="FH733" s="17"/>
      <c r="FL733" s="24"/>
      <c r="FM733" s="60"/>
      <c r="FN733" s="16"/>
      <c r="FO733" s="16"/>
      <c r="FP733" s="16"/>
      <c r="FQ733" s="16"/>
      <c r="FR733" s="16"/>
      <c r="FS733" s="17"/>
      <c r="FW733" s="24"/>
      <c r="FX733" s="60"/>
      <c r="FY733" s="16"/>
      <c r="FZ733" s="16"/>
      <c r="GA733" s="16"/>
      <c r="GB733" s="16"/>
      <c r="GC733" s="16"/>
      <c r="GD733" s="17"/>
      <c r="GH733" s="24"/>
      <c r="GI733" s="60"/>
      <c r="GJ733" s="16"/>
      <c r="GK733" s="16"/>
      <c r="GL733" s="16"/>
      <c r="GM733" s="16"/>
      <c r="GN733" s="16"/>
      <c r="GO733" s="17"/>
      <c r="GS733" s="24"/>
      <c r="GT733" s="60"/>
      <c r="GU733" s="16"/>
      <c r="GV733" s="16"/>
      <c r="GW733" s="16"/>
      <c r="GX733" s="16"/>
      <c r="GY733" s="16"/>
      <c r="GZ733" s="17"/>
      <c r="HD733" s="24"/>
      <c r="HE733" s="60"/>
      <c r="HF733" s="16"/>
      <c r="HG733" s="16"/>
      <c r="HH733" s="16"/>
      <c r="HI733" s="16"/>
      <c r="HJ733" s="16"/>
      <c r="HK733" s="17"/>
      <c r="HO733" s="24"/>
      <c r="HP733" s="60"/>
      <c r="HQ733" s="16"/>
      <c r="HR733" s="16"/>
      <c r="HS733" s="16"/>
      <c r="HT733" s="16"/>
      <c r="HU733" s="16"/>
      <c r="HV733" s="17"/>
      <c r="HZ733" s="24"/>
      <c r="IA733" s="60"/>
      <c r="IB733" s="16"/>
      <c r="IC733" s="16"/>
      <c r="ID733" s="16"/>
      <c r="IE733" s="16"/>
      <c r="IF733" s="16"/>
      <c r="IG733" s="17"/>
      <c r="IK733" s="24"/>
      <c r="IL733" s="60"/>
      <c r="IM733" s="16"/>
      <c r="IN733" s="16"/>
      <c r="IO733" s="16"/>
      <c r="IP733" s="16"/>
      <c r="IQ733" s="16"/>
      <c r="IR733" s="17"/>
      <c r="IV733" s="24"/>
      <c r="IW733" s="60"/>
      <c r="IX733" s="16"/>
      <c r="IY733" s="16"/>
      <c r="IZ733" s="16"/>
      <c r="JA733" s="16"/>
      <c r="JB733" s="16"/>
      <c r="JC733" s="17"/>
      <c r="JG733" s="24"/>
      <c r="JH733" s="60"/>
      <c r="JI733" s="16"/>
      <c r="JJ733" s="16"/>
      <c r="JK733" s="16"/>
      <c r="JL733" s="16"/>
      <c r="JM733" s="16"/>
      <c r="JN733" s="17"/>
      <c r="JR733" s="24"/>
      <c r="JS733" s="60"/>
      <c r="JT733" s="16"/>
      <c r="JU733" s="16"/>
      <c r="JV733" s="16"/>
      <c r="JW733" s="16"/>
      <c r="JX733" s="16"/>
      <c r="JY733" s="17"/>
      <c r="KC733" s="24"/>
      <c r="KD733" s="60"/>
      <c r="KE733" s="16"/>
      <c r="KF733" s="16"/>
      <c r="KG733" s="16"/>
      <c r="KH733" s="16"/>
      <c r="KI733" s="16"/>
      <c r="KJ733" s="17"/>
      <c r="KN733" s="24"/>
      <c r="KO733" s="60"/>
      <c r="KP733" s="16"/>
      <c r="KQ733" s="16"/>
      <c r="KR733" s="16"/>
      <c r="KS733" s="16"/>
      <c r="KT733" s="16"/>
      <c r="KU733" s="17"/>
      <c r="KY733" s="24"/>
      <c r="KZ733" s="60"/>
      <c r="LA733" s="16"/>
      <c r="LB733" s="16"/>
      <c r="LC733" s="16"/>
      <c r="LD733" s="16"/>
      <c r="LE733" s="16"/>
      <c r="LF733" s="17"/>
      <c r="LJ733" s="24"/>
      <c r="LK733" s="60"/>
      <c r="LL733" s="16"/>
      <c r="LM733" s="16"/>
      <c r="LN733" s="16"/>
      <c r="LO733" s="16"/>
      <c r="LP733" s="16"/>
      <c r="LQ733" s="17"/>
    </row>
    <row r="734">
      <c r="C734" s="31"/>
      <c r="D734" s="61"/>
      <c r="E734" s="16"/>
      <c r="F734" s="16"/>
      <c r="G734" s="21"/>
      <c r="H734" s="16"/>
      <c r="I734" s="16"/>
      <c r="J734" s="17"/>
      <c r="N734" s="17"/>
      <c r="O734" s="61"/>
      <c r="P734" s="16"/>
      <c r="Q734" s="16"/>
      <c r="R734" s="16"/>
      <c r="S734" s="16"/>
      <c r="T734" s="16"/>
      <c r="U734" s="17"/>
      <c r="Y734" s="24"/>
      <c r="Z734" s="61"/>
      <c r="AA734" s="16"/>
      <c r="AB734" s="16"/>
      <c r="AC734" s="16"/>
      <c r="AD734" s="16"/>
      <c r="AE734" s="16"/>
      <c r="AF734" s="17"/>
      <c r="AJ734" s="24"/>
      <c r="AK734" s="61"/>
      <c r="AL734" s="16"/>
      <c r="AM734" s="16"/>
      <c r="AN734" s="16"/>
      <c r="AO734" s="16"/>
      <c r="AP734" s="16"/>
      <c r="AQ734" s="17"/>
      <c r="AU734" s="24"/>
      <c r="AV734" s="61"/>
      <c r="AW734" s="16"/>
      <c r="AX734" s="16"/>
      <c r="AY734" s="16"/>
      <c r="AZ734" s="16"/>
      <c r="BA734" s="16"/>
      <c r="BB734" s="17"/>
      <c r="BF734" s="24"/>
      <c r="BG734" s="61"/>
      <c r="BH734" s="16"/>
      <c r="BI734" s="16"/>
      <c r="BJ734" s="16"/>
      <c r="BK734" s="16"/>
      <c r="BL734" s="16"/>
      <c r="BM734" s="17"/>
      <c r="BQ734" s="24"/>
      <c r="BR734" s="61"/>
      <c r="BS734" s="16"/>
      <c r="BT734" s="16"/>
      <c r="BU734" s="16"/>
      <c r="BV734" s="16"/>
      <c r="BW734" s="16"/>
      <c r="BX734" s="17"/>
      <c r="CB734" s="24"/>
      <c r="CC734" s="61"/>
      <c r="CD734" s="16"/>
      <c r="CE734" s="16"/>
      <c r="CF734" s="16"/>
      <c r="CG734" s="16"/>
      <c r="CH734" s="16"/>
      <c r="CI734" s="17"/>
      <c r="CM734" s="24"/>
      <c r="CN734" s="61"/>
      <c r="CO734" s="16"/>
      <c r="CP734" s="16"/>
      <c r="CQ734" s="16"/>
      <c r="CR734" s="16"/>
      <c r="CS734" s="16"/>
      <c r="CT734" s="17"/>
      <c r="CX734" s="24"/>
      <c r="CY734" s="60"/>
      <c r="CZ734" s="16"/>
      <c r="DA734" s="16"/>
      <c r="DB734" s="16"/>
      <c r="DC734" s="16"/>
      <c r="DD734" s="16"/>
      <c r="DE734" s="17"/>
      <c r="DI734" s="24"/>
      <c r="DJ734" s="60"/>
      <c r="DK734" s="16"/>
      <c r="DL734" s="16"/>
      <c r="DM734" s="16"/>
      <c r="DN734" s="16"/>
      <c r="DO734" s="16"/>
      <c r="DP734" s="17"/>
      <c r="DT734" s="24"/>
      <c r="DU734" s="60"/>
      <c r="DV734" s="16"/>
      <c r="DW734" s="16"/>
      <c r="DX734" s="16"/>
      <c r="DY734" s="16"/>
      <c r="DZ734" s="16"/>
      <c r="EA734" s="17"/>
      <c r="EE734" s="24"/>
      <c r="EF734" s="60"/>
      <c r="EG734" s="16"/>
      <c r="EH734" s="16"/>
      <c r="EI734" s="16"/>
      <c r="EJ734" s="16"/>
      <c r="EK734" s="16"/>
      <c r="EL734" s="17"/>
      <c r="EP734" s="24"/>
      <c r="EQ734" s="60"/>
      <c r="ER734" s="16"/>
      <c r="ES734" s="16"/>
      <c r="ET734" s="16"/>
      <c r="EU734" s="16"/>
      <c r="EV734" s="16"/>
      <c r="EW734" s="17"/>
      <c r="FA734" s="24"/>
      <c r="FB734" s="60"/>
      <c r="FC734" s="16"/>
      <c r="FD734" s="16"/>
      <c r="FE734" s="16"/>
      <c r="FF734" s="16"/>
      <c r="FG734" s="16"/>
      <c r="FH734" s="17"/>
      <c r="FL734" s="24"/>
      <c r="FM734" s="60"/>
      <c r="FN734" s="16"/>
      <c r="FO734" s="16"/>
      <c r="FP734" s="16"/>
      <c r="FQ734" s="16"/>
      <c r="FR734" s="16"/>
      <c r="FS734" s="17"/>
      <c r="FW734" s="24"/>
      <c r="FX734" s="60"/>
      <c r="FY734" s="16"/>
      <c r="FZ734" s="16"/>
      <c r="GA734" s="16"/>
      <c r="GB734" s="16"/>
      <c r="GC734" s="16"/>
      <c r="GD734" s="17"/>
      <c r="GH734" s="24"/>
      <c r="GI734" s="60"/>
      <c r="GJ734" s="16"/>
      <c r="GK734" s="16"/>
      <c r="GL734" s="16"/>
      <c r="GM734" s="16"/>
      <c r="GN734" s="16"/>
      <c r="GO734" s="17"/>
      <c r="GS734" s="24"/>
      <c r="GT734" s="60"/>
      <c r="GU734" s="16"/>
      <c r="GV734" s="16"/>
      <c r="GW734" s="16"/>
      <c r="GX734" s="16"/>
      <c r="GY734" s="16"/>
      <c r="GZ734" s="17"/>
      <c r="HD734" s="24"/>
      <c r="HE734" s="60"/>
      <c r="HF734" s="16"/>
      <c r="HG734" s="16"/>
      <c r="HH734" s="16"/>
      <c r="HI734" s="16"/>
      <c r="HJ734" s="16"/>
      <c r="HK734" s="17"/>
      <c r="HO734" s="24"/>
      <c r="HP734" s="60"/>
      <c r="HQ734" s="16"/>
      <c r="HR734" s="16"/>
      <c r="HS734" s="16"/>
      <c r="HT734" s="16"/>
      <c r="HU734" s="16"/>
      <c r="HV734" s="17"/>
      <c r="HZ734" s="24"/>
      <c r="IA734" s="60"/>
      <c r="IB734" s="16"/>
      <c r="IC734" s="16"/>
      <c r="ID734" s="16"/>
      <c r="IE734" s="16"/>
      <c r="IF734" s="16"/>
      <c r="IG734" s="17"/>
      <c r="IK734" s="24"/>
      <c r="IL734" s="60"/>
      <c r="IM734" s="16"/>
      <c r="IN734" s="16"/>
      <c r="IO734" s="16"/>
      <c r="IP734" s="16"/>
      <c r="IQ734" s="16"/>
      <c r="IR734" s="17"/>
      <c r="IV734" s="24"/>
      <c r="IW734" s="60"/>
      <c r="IX734" s="16"/>
      <c r="IY734" s="16"/>
      <c r="IZ734" s="16"/>
      <c r="JA734" s="16"/>
      <c r="JB734" s="16"/>
      <c r="JC734" s="17"/>
      <c r="JG734" s="24"/>
      <c r="JH734" s="60"/>
      <c r="JI734" s="16"/>
      <c r="JJ734" s="16"/>
      <c r="JK734" s="16"/>
      <c r="JL734" s="16"/>
      <c r="JM734" s="16"/>
      <c r="JN734" s="17"/>
      <c r="JR734" s="24"/>
      <c r="JS734" s="60"/>
      <c r="JT734" s="16"/>
      <c r="JU734" s="16"/>
      <c r="JV734" s="16"/>
      <c r="JW734" s="16"/>
      <c r="JX734" s="16"/>
      <c r="JY734" s="17"/>
      <c r="KC734" s="24"/>
      <c r="KD734" s="60"/>
      <c r="KE734" s="16"/>
      <c r="KF734" s="16"/>
      <c r="KG734" s="16"/>
      <c r="KH734" s="16"/>
      <c r="KI734" s="16"/>
      <c r="KJ734" s="17"/>
      <c r="KN734" s="24"/>
      <c r="KO734" s="60"/>
      <c r="KP734" s="16"/>
      <c r="KQ734" s="16"/>
      <c r="KR734" s="16"/>
      <c r="KS734" s="16"/>
      <c r="KT734" s="16"/>
      <c r="KU734" s="17"/>
      <c r="KY734" s="24"/>
      <c r="KZ734" s="60"/>
      <c r="LA734" s="16"/>
      <c r="LB734" s="16"/>
      <c r="LC734" s="16"/>
      <c r="LD734" s="16"/>
      <c r="LE734" s="16"/>
      <c r="LF734" s="17"/>
      <c r="LJ734" s="24"/>
      <c r="LK734" s="60"/>
      <c r="LL734" s="16"/>
      <c r="LM734" s="16"/>
      <c r="LN734" s="16"/>
      <c r="LO734" s="16"/>
      <c r="LP734" s="16"/>
      <c r="LQ734" s="17"/>
    </row>
    <row r="735">
      <c r="C735" s="31"/>
      <c r="D735" s="61"/>
      <c r="E735" s="16"/>
      <c r="F735" s="16"/>
      <c r="G735" s="21"/>
      <c r="H735" s="16"/>
      <c r="I735" s="16"/>
      <c r="J735" s="17"/>
      <c r="N735" s="17"/>
      <c r="O735" s="61"/>
      <c r="P735" s="16"/>
      <c r="Q735" s="16"/>
      <c r="R735" s="16"/>
      <c r="S735" s="16"/>
      <c r="T735" s="16"/>
      <c r="U735" s="17"/>
      <c r="Y735" s="24"/>
      <c r="Z735" s="61"/>
      <c r="AA735" s="16"/>
      <c r="AB735" s="16"/>
      <c r="AC735" s="16"/>
      <c r="AD735" s="16"/>
      <c r="AE735" s="16"/>
      <c r="AF735" s="17"/>
      <c r="AJ735" s="24"/>
      <c r="AK735" s="61"/>
      <c r="AL735" s="16"/>
      <c r="AM735" s="16"/>
      <c r="AN735" s="16"/>
      <c r="AO735" s="16"/>
      <c r="AP735" s="16"/>
      <c r="AQ735" s="17"/>
      <c r="AU735" s="24"/>
      <c r="AV735" s="61"/>
      <c r="AW735" s="16"/>
      <c r="AX735" s="16"/>
      <c r="AY735" s="16"/>
      <c r="AZ735" s="16"/>
      <c r="BA735" s="16"/>
      <c r="BB735" s="17"/>
      <c r="BF735" s="24"/>
      <c r="BG735" s="61"/>
      <c r="BH735" s="16"/>
      <c r="BI735" s="16"/>
      <c r="BJ735" s="16"/>
      <c r="BK735" s="16"/>
      <c r="BL735" s="16"/>
      <c r="BM735" s="17"/>
      <c r="BQ735" s="24"/>
      <c r="BR735" s="61"/>
      <c r="BS735" s="16"/>
      <c r="BT735" s="16"/>
      <c r="BU735" s="16"/>
      <c r="BV735" s="16"/>
      <c r="BW735" s="16"/>
      <c r="BX735" s="17"/>
      <c r="CB735" s="24"/>
      <c r="CC735" s="61"/>
      <c r="CD735" s="16"/>
      <c r="CE735" s="16"/>
      <c r="CF735" s="16"/>
      <c r="CG735" s="16"/>
      <c r="CH735" s="16"/>
      <c r="CI735" s="17"/>
      <c r="CM735" s="24"/>
      <c r="CN735" s="61"/>
      <c r="CO735" s="16"/>
      <c r="CP735" s="16"/>
      <c r="CQ735" s="16"/>
      <c r="CR735" s="16"/>
      <c r="CS735" s="16"/>
      <c r="CT735" s="17"/>
      <c r="CX735" s="24"/>
      <c r="CY735" s="60"/>
      <c r="CZ735" s="16"/>
      <c r="DA735" s="16"/>
      <c r="DB735" s="16"/>
      <c r="DC735" s="16"/>
      <c r="DD735" s="16"/>
      <c r="DE735" s="17"/>
      <c r="DI735" s="24"/>
      <c r="DJ735" s="60"/>
      <c r="DK735" s="16"/>
      <c r="DL735" s="16"/>
      <c r="DM735" s="16"/>
      <c r="DN735" s="16"/>
      <c r="DO735" s="16"/>
      <c r="DP735" s="17"/>
      <c r="DT735" s="24"/>
      <c r="DU735" s="60"/>
      <c r="DV735" s="16"/>
      <c r="DW735" s="16"/>
      <c r="DX735" s="16"/>
      <c r="DY735" s="16"/>
      <c r="DZ735" s="16"/>
      <c r="EA735" s="17"/>
      <c r="EE735" s="24"/>
      <c r="EF735" s="60"/>
      <c r="EG735" s="16"/>
      <c r="EH735" s="16"/>
      <c r="EI735" s="16"/>
      <c r="EJ735" s="16"/>
      <c r="EK735" s="16"/>
      <c r="EL735" s="17"/>
      <c r="EP735" s="24"/>
      <c r="EQ735" s="60"/>
      <c r="ER735" s="16"/>
      <c r="ES735" s="16"/>
      <c r="ET735" s="16"/>
      <c r="EU735" s="16"/>
      <c r="EV735" s="16"/>
      <c r="EW735" s="17"/>
      <c r="FA735" s="24"/>
      <c r="FB735" s="60"/>
      <c r="FC735" s="16"/>
      <c r="FD735" s="16"/>
      <c r="FE735" s="16"/>
      <c r="FF735" s="16"/>
      <c r="FG735" s="16"/>
      <c r="FH735" s="17"/>
      <c r="FL735" s="24"/>
      <c r="FM735" s="60"/>
      <c r="FN735" s="16"/>
      <c r="FO735" s="16"/>
      <c r="FP735" s="16"/>
      <c r="FQ735" s="16"/>
      <c r="FR735" s="16"/>
      <c r="FS735" s="17"/>
      <c r="FW735" s="24"/>
      <c r="FX735" s="60"/>
      <c r="FY735" s="16"/>
      <c r="FZ735" s="16"/>
      <c r="GA735" s="16"/>
      <c r="GB735" s="16"/>
      <c r="GC735" s="16"/>
      <c r="GD735" s="17"/>
      <c r="GH735" s="24"/>
      <c r="GI735" s="60"/>
      <c r="GJ735" s="16"/>
      <c r="GK735" s="16"/>
      <c r="GL735" s="16"/>
      <c r="GM735" s="16"/>
      <c r="GN735" s="16"/>
      <c r="GO735" s="17"/>
      <c r="GS735" s="24"/>
      <c r="GT735" s="60"/>
      <c r="GU735" s="16"/>
      <c r="GV735" s="16"/>
      <c r="GW735" s="16"/>
      <c r="GX735" s="16"/>
      <c r="GY735" s="16"/>
      <c r="GZ735" s="17"/>
      <c r="HD735" s="24"/>
      <c r="HE735" s="60"/>
      <c r="HF735" s="16"/>
      <c r="HG735" s="16"/>
      <c r="HH735" s="16"/>
      <c r="HI735" s="16"/>
      <c r="HJ735" s="16"/>
      <c r="HK735" s="17"/>
      <c r="HO735" s="24"/>
      <c r="HP735" s="60"/>
      <c r="HQ735" s="16"/>
      <c r="HR735" s="16"/>
      <c r="HS735" s="16"/>
      <c r="HT735" s="16"/>
      <c r="HU735" s="16"/>
      <c r="HV735" s="17"/>
      <c r="HZ735" s="24"/>
      <c r="IA735" s="60"/>
      <c r="IB735" s="16"/>
      <c r="IC735" s="16"/>
      <c r="ID735" s="16"/>
      <c r="IE735" s="16"/>
      <c r="IF735" s="16"/>
      <c r="IG735" s="17"/>
      <c r="IK735" s="24"/>
      <c r="IL735" s="60"/>
      <c r="IM735" s="16"/>
      <c r="IN735" s="16"/>
      <c r="IO735" s="16"/>
      <c r="IP735" s="16"/>
      <c r="IQ735" s="16"/>
      <c r="IR735" s="17"/>
      <c r="IV735" s="24"/>
      <c r="IW735" s="60"/>
      <c r="IX735" s="16"/>
      <c r="IY735" s="16"/>
      <c r="IZ735" s="16"/>
      <c r="JA735" s="16"/>
      <c r="JB735" s="16"/>
      <c r="JC735" s="17"/>
      <c r="JG735" s="24"/>
      <c r="JH735" s="60"/>
      <c r="JI735" s="16"/>
      <c r="JJ735" s="16"/>
      <c r="JK735" s="16"/>
      <c r="JL735" s="16"/>
      <c r="JM735" s="16"/>
      <c r="JN735" s="17"/>
      <c r="JR735" s="24"/>
      <c r="JS735" s="60"/>
      <c r="JT735" s="16"/>
      <c r="JU735" s="16"/>
      <c r="JV735" s="16"/>
      <c r="JW735" s="16"/>
      <c r="JX735" s="16"/>
      <c r="JY735" s="17"/>
      <c r="KC735" s="24"/>
      <c r="KD735" s="60"/>
      <c r="KE735" s="16"/>
      <c r="KF735" s="16"/>
      <c r="KG735" s="16"/>
      <c r="KH735" s="16"/>
      <c r="KI735" s="16"/>
      <c r="KJ735" s="17"/>
      <c r="KN735" s="24"/>
      <c r="KO735" s="60"/>
      <c r="KP735" s="16"/>
      <c r="KQ735" s="16"/>
      <c r="KR735" s="16"/>
      <c r="KS735" s="16"/>
      <c r="KT735" s="16"/>
      <c r="KU735" s="17"/>
      <c r="KY735" s="24"/>
      <c r="KZ735" s="60"/>
      <c r="LA735" s="16"/>
      <c r="LB735" s="16"/>
      <c r="LC735" s="16"/>
      <c r="LD735" s="16"/>
      <c r="LE735" s="16"/>
      <c r="LF735" s="17"/>
      <c r="LJ735" s="24"/>
      <c r="LK735" s="60"/>
      <c r="LL735" s="16"/>
      <c r="LM735" s="16"/>
      <c r="LN735" s="16"/>
      <c r="LO735" s="16"/>
      <c r="LP735" s="16"/>
      <c r="LQ735" s="17"/>
    </row>
    <row r="736">
      <c r="C736" s="31"/>
      <c r="D736" s="61"/>
      <c r="E736" s="16"/>
      <c r="F736" s="16"/>
      <c r="G736" s="21"/>
      <c r="H736" s="16"/>
      <c r="I736" s="16"/>
      <c r="J736" s="17"/>
      <c r="N736" s="17"/>
      <c r="O736" s="61"/>
      <c r="P736" s="16"/>
      <c r="Q736" s="16"/>
      <c r="R736" s="16"/>
      <c r="S736" s="16"/>
      <c r="T736" s="16"/>
      <c r="U736" s="17"/>
      <c r="Y736" s="24"/>
      <c r="Z736" s="61"/>
      <c r="AA736" s="16"/>
      <c r="AB736" s="16"/>
      <c r="AC736" s="16"/>
      <c r="AD736" s="16"/>
      <c r="AE736" s="16"/>
      <c r="AF736" s="17"/>
      <c r="AJ736" s="24"/>
      <c r="AK736" s="61"/>
      <c r="AL736" s="16"/>
      <c r="AM736" s="16"/>
      <c r="AN736" s="16"/>
      <c r="AO736" s="16"/>
      <c r="AP736" s="16"/>
      <c r="AQ736" s="17"/>
      <c r="AU736" s="24"/>
      <c r="AV736" s="61"/>
      <c r="AW736" s="16"/>
      <c r="AX736" s="16"/>
      <c r="AY736" s="16"/>
      <c r="AZ736" s="16"/>
      <c r="BA736" s="16"/>
      <c r="BB736" s="17"/>
      <c r="BF736" s="24"/>
      <c r="BG736" s="61"/>
      <c r="BH736" s="16"/>
      <c r="BI736" s="16"/>
      <c r="BJ736" s="16"/>
      <c r="BK736" s="16"/>
      <c r="BL736" s="16"/>
      <c r="BM736" s="17"/>
      <c r="BQ736" s="24"/>
      <c r="BR736" s="61"/>
      <c r="BS736" s="16"/>
      <c r="BT736" s="16"/>
      <c r="BU736" s="16"/>
      <c r="BV736" s="16"/>
      <c r="BW736" s="16"/>
      <c r="BX736" s="17"/>
      <c r="CB736" s="24"/>
      <c r="CC736" s="61"/>
      <c r="CD736" s="16"/>
      <c r="CE736" s="16"/>
      <c r="CF736" s="16"/>
      <c r="CG736" s="16"/>
      <c r="CH736" s="16"/>
      <c r="CI736" s="17"/>
      <c r="CM736" s="24"/>
      <c r="CN736" s="61"/>
      <c r="CO736" s="16"/>
      <c r="CP736" s="16"/>
      <c r="CQ736" s="16"/>
      <c r="CR736" s="16"/>
      <c r="CS736" s="16"/>
      <c r="CT736" s="17"/>
      <c r="CX736" s="24"/>
      <c r="CY736" s="60"/>
      <c r="CZ736" s="16"/>
      <c r="DA736" s="16"/>
      <c r="DB736" s="16"/>
      <c r="DC736" s="16"/>
      <c r="DD736" s="16"/>
      <c r="DE736" s="17"/>
      <c r="DI736" s="24"/>
      <c r="DJ736" s="60"/>
      <c r="DK736" s="16"/>
      <c r="DL736" s="16"/>
      <c r="DM736" s="16"/>
      <c r="DN736" s="16"/>
      <c r="DO736" s="16"/>
      <c r="DP736" s="17"/>
      <c r="DT736" s="24"/>
      <c r="DU736" s="60"/>
      <c r="DV736" s="16"/>
      <c r="DW736" s="16"/>
      <c r="DX736" s="16"/>
      <c r="DY736" s="16"/>
      <c r="DZ736" s="16"/>
      <c r="EA736" s="17"/>
      <c r="EE736" s="24"/>
      <c r="EF736" s="60"/>
      <c r="EG736" s="16"/>
      <c r="EH736" s="16"/>
      <c r="EI736" s="16"/>
      <c r="EJ736" s="16"/>
      <c r="EK736" s="16"/>
      <c r="EL736" s="17"/>
      <c r="EP736" s="24"/>
      <c r="EQ736" s="60"/>
      <c r="ER736" s="16"/>
      <c r="ES736" s="16"/>
      <c r="ET736" s="16"/>
      <c r="EU736" s="16"/>
      <c r="EV736" s="16"/>
      <c r="EW736" s="17"/>
      <c r="FA736" s="24"/>
      <c r="FB736" s="60"/>
      <c r="FC736" s="16"/>
      <c r="FD736" s="16"/>
      <c r="FE736" s="16"/>
      <c r="FF736" s="16"/>
      <c r="FG736" s="16"/>
      <c r="FH736" s="17"/>
      <c r="FL736" s="24"/>
      <c r="FM736" s="60"/>
      <c r="FN736" s="16"/>
      <c r="FO736" s="16"/>
      <c r="FP736" s="16"/>
      <c r="FQ736" s="16"/>
      <c r="FR736" s="16"/>
      <c r="FS736" s="17"/>
      <c r="FW736" s="24"/>
      <c r="FX736" s="60"/>
      <c r="FY736" s="16"/>
      <c r="FZ736" s="16"/>
      <c r="GA736" s="16"/>
      <c r="GB736" s="16"/>
      <c r="GC736" s="16"/>
      <c r="GD736" s="17"/>
      <c r="GH736" s="24"/>
      <c r="GI736" s="60"/>
      <c r="GJ736" s="16"/>
      <c r="GK736" s="16"/>
      <c r="GL736" s="16"/>
      <c r="GM736" s="16"/>
      <c r="GN736" s="16"/>
      <c r="GO736" s="17"/>
      <c r="GS736" s="24"/>
      <c r="GT736" s="60"/>
      <c r="GU736" s="16"/>
      <c r="GV736" s="16"/>
      <c r="GW736" s="16"/>
      <c r="GX736" s="16"/>
      <c r="GY736" s="16"/>
      <c r="GZ736" s="17"/>
      <c r="HD736" s="24"/>
      <c r="HE736" s="60"/>
      <c r="HF736" s="16"/>
      <c r="HG736" s="16"/>
      <c r="HH736" s="16"/>
      <c r="HI736" s="16"/>
      <c r="HJ736" s="16"/>
      <c r="HK736" s="17"/>
      <c r="HO736" s="24"/>
      <c r="HP736" s="60"/>
      <c r="HQ736" s="16"/>
      <c r="HR736" s="16"/>
      <c r="HS736" s="16"/>
      <c r="HT736" s="16"/>
      <c r="HU736" s="16"/>
      <c r="HV736" s="17"/>
      <c r="HZ736" s="24"/>
      <c r="IA736" s="60"/>
      <c r="IB736" s="16"/>
      <c r="IC736" s="16"/>
      <c r="ID736" s="16"/>
      <c r="IE736" s="16"/>
      <c r="IF736" s="16"/>
      <c r="IG736" s="17"/>
      <c r="IK736" s="24"/>
      <c r="IL736" s="60"/>
      <c r="IM736" s="16"/>
      <c r="IN736" s="16"/>
      <c r="IO736" s="16"/>
      <c r="IP736" s="16"/>
      <c r="IQ736" s="16"/>
      <c r="IR736" s="17"/>
      <c r="IV736" s="24"/>
      <c r="IW736" s="60"/>
      <c r="IX736" s="16"/>
      <c r="IY736" s="16"/>
      <c r="IZ736" s="16"/>
      <c r="JA736" s="16"/>
      <c r="JB736" s="16"/>
      <c r="JC736" s="17"/>
      <c r="JG736" s="24"/>
      <c r="JH736" s="60"/>
      <c r="JI736" s="16"/>
      <c r="JJ736" s="16"/>
      <c r="JK736" s="16"/>
      <c r="JL736" s="16"/>
      <c r="JM736" s="16"/>
      <c r="JN736" s="17"/>
      <c r="JR736" s="24"/>
      <c r="JS736" s="60"/>
      <c r="JT736" s="16"/>
      <c r="JU736" s="16"/>
      <c r="JV736" s="16"/>
      <c r="JW736" s="16"/>
      <c r="JX736" s="16"/>
      <c r="JY736" s="17"/>
      <c r="KC736" s="24"/>
      <c r="KD736" s="60"/>
      <c r="KE736" s="16"/>
      <c r="KF736" s="16"/>
      <c r="KG736" s="16"/>
      <c r="KH736" s="16"/>
      <c r="KI736" s="16"/>
      <c r="KJ736" s="17"/>
      <c r="KN736" s="24"/>
      <c r="KO736" s="60"/>
      <c r="KP736" s="16"/>
      <c r="KQ736" s="16"/>
      <c r="KR736" s="16"/>
      <c r="KS736" s="16"/>
      <c r="KT736" s="16"/>
      <c r="KU736" s="17"/>
      <c r="KY736" s="24"/>
      <c r="KZ736" s="60"/>
      <c r="LA736" s="16"/>
      <c r="LB736" s="16"/>
      <c r="LC736" s="16"/>
      <c r="LD736" s="16"/>
      <c r="LE736" s="16"/>
      <c r="LF736" s="17"/>
      <c r="LJ736" s="24"/>
      <c r="LK736" s="60"/>
      <c r="LL736" s="16"/>
      <c r="LM736" s="16"/>
      <c r="LN736" s="16"/>
      <c r="LO736" s="16"/>
      <c r="LP736" s="16"/>
      <c r="LQ736" s="17"/>
    </row>
    <row r="737">
      <c r="C737" s="31"/>
      <c r="D737" s="61"/>
      <c r="E737" s="16"/>
      <c r="F737" s="16"/>
      <c r="G737" s="21"/>
      <c r="H737" s="16"/>
      <c r="I737" s="16"/>
      <c r="J737" s="17"/>
      <c r="N737" s="17"/>
      <c r="O737" s="61"/>
      <c r="P737" s="16"/>
      <c r="Q737" s="16"/>
      <c r="R737" s="16"/>
      <c r="S737" s="16"/>
      <c r="T737" s="16"/>
      <c r="U737" s="17"/>
      <c r="Y737" s="24"/>
      <c r="Z737" s="61"/>
      <c r="AA737" s="16"/>
      <c r="AB737" s="16"/>
      <c r="AC737" s="16"/>
      <c r="AD737" s="16"/>
      <c r="AE737" s="16"/>
      <c r="AF737" s="17"/>
      <c r="AJ737" s="24"/>
      <c r="AK737" s="61"/>
      <c r="AL737" s="16"/>
      <c r="AM737" s="16"/>
      <c r="AN737" s="16"/>
      <c r="AO737" s="16"/>
      <c r="AP737" s="16"/>
      <c r="AQ737" s="17"/>
      <c r="AU737" s="24"/>
      <c r="AV737" s="61"/>
      <c r="AW737" s="16"/>
      <c r="AX737" s="16"/>
      <c r="AY737" s="16"/>
      <c r="AZ737" s="16"/>
      <c r="BA737" s="16"/>
      <c r="BB737" s="17"/>
      <c r="BF737" s="24"/>
      <c r="BG737" s="61"/>
      <c r="BH737" s="16"/>
      <c r="BI737" s="16"/>
      <c r="BJ737" s="16"/>
      <c r="BK737" s="16"/>
      <c r="BL737" s="16"/>
      <c r="BM737" s="17"/>
      <c r="BQ737" s="24"/>
      <c r="BR737" s="61"/>
      <c r="BS737" s="16"/>
      <c r="BT737" s="16"/>
      <c r="BU737" s="16"/>
      <c r="BV737" s="16"/>
      <c r="BW737" s="16"/>
      <c r="BX737" s="17"/>
      <c r="CB737" s="24"/>
      <c r="CC737" s="61"/>
      <c r="CD737" s="16"/>
      <c r="CE737" s="16"/>
      <c r="CF737" s="16"/>
      <c r="CG737" s="16"/>
      <c r="CH737" s="16"/>
      <c r="CI737" s="17"/>
      <c r="CM737" s="24"/>
      <c r="CN737" s="61"/>
      <c r="CO737" s="16"/>
      <c r="CP737" s="16"/>
      <c r="CQ737" s="16"/>
      <c r="CR737" s="16"/>
      <c r="CS737" s="16"/>
      <c r="CT737" s="17"/>
      <c r="CX737" s="24"/>
      <c r="CY737" s="60"/>
      <c r="CZ737" s="16"/>
      <c r="DA737" s="16"/>
      <c r="DB737" s="16"/>
      <c r="DC737" s="16"/>
      <c r="DD737" s="16"/>
      <c r="DE737" s="17"/>
      <c r="DI737" s="24"/>
      <c r="DJ737" s="60"/>
      <c r="DK737" s="16"/>
      <c r="DL737" s="16"/>
      <c r="DM737" s="16"/>
      <c r="DN737" s="16"/>
      <c r="DO737" s="16"/>
      <c r="DP737" s="17"/>
      <c r="DT737" s="24"/>
      <c r="DU737" s="60"/>
      <c r="DV737" s="16"/>
      <c r="DW737" s="16"/>
      <c r="DX737" s="16"/>
      <c r="DY737" s="16"/>
      <c r="DZ737" s="16"/>
      <c r="EA737" s="17"/>
      <c r="EE737" s="24"/>
      <c r="EF737" s="60"/>
      <c r="EG737" s="16"/>
      <c r="EH737" s="16"/>
      <c r="EI737" s="16"/>
      <c r="EJ737" s="16"/>
      <c r="EK737" s="16"/>
      <c r="EL737" s="17"/>
      <c r="EP737" s="24"/>
      <c r="EQ737" s="60"/>
      <c r="ER737" s="16"/>
      <c r="ES737" s="16"/>
      <c r="ET737" s="16"/>
      <c r="EU737" s="16"/>
      <c r="EV737" s="16"/>
      <c r="EW737" s="17"/>
      <c r="FA737" s="24"/>
      <c r="FB737" s="60"/>
      <c r="FC737" s="16"/>
      <c r="FD737" s="16"/>
      <c r="FE737" s="16"/>
      <c r="FF737" s="16"/>
      <c r="FG737" s="16"/>
      <c r="FH737" s="17"/>
      <c r="FL737" s="24"/>
      <c r="FM737" s="60"/>
      <c r="FN737" s="16"/>
      <c r="FO737" s="16"/>
      <c r="FP737" s="16"/>
      <c r="FQ737" s="16"/>
      <c r="FR737" s="16"/>
      <c r="FS737" s="17"/>
      <c r="FW737" s="24"/>
      <c r="FX737" s="60"/>
      <c r="FY737" s="16"/>
      <c r="FZ737" s="16"/>
      <c r="GA737" s="16"/>
      <c r="GB737" s="16"/>
      <c r="GC737" s="16"/>
      <c r="GD737" s="17"/>
      <c r="GH737" s="24"/>
      <c r="GI737" s="60"/>
      <c r="GJ737" s="16"/>
      <c r="GK737" s="16"/>
      <c r="GL737" s="16"/>
      <c r="GM737" s="16"/>
      <c r="GN737" s="16"/>
      <c r="GO737" s="17"/>
      <c r="GS737" s="24"/>
      <c r="GT737" s="60"/>
      <c r="GU737" s="16"/>
      <c r="GV737" s="16"/>
      <c r="GW737" s="16"/>
      <c r="GX737" s="16"/>
      <c r="GY737" s="16"/>
      <c r="GZ737" s="17"/>
      <c r="HD737" s="24"/>
      <c r="HE737" s="60"/>
      <c r="HF737" s="16"/>
      <c r="HG737" s="16"/>
      <c r="HH737" s="16"/>
      <c r="HI737" s="16"/>
      <c r="HJ737" s="16"/>
      <c r="HK737" s="17"/>
      <c r="HO737" s="24"/>
      <c r="HP737" s="60"/>
      <c r="HQ737" s="16"/>
      <c r="HR737" s="16"/>
      <c r="HS737" s="16"/>
      <c r="HT737" s="16"/>
      <c r="HU737" s="16"/>
      <c r="HV737" s="17"/>
      <c r="HZ737" s="24"/>
      <c r="IA737" s="60"/>
      <c r="IB737" s="16"/>
      <c r="IC737" s="16"/>
      <c r="ID737" s="16"/>
      <c r="IE737" s="16"/>
      <c r="IF737" s="16"/>
      <c r="IG737" s="17"/>
      <c r="IK737" s="24"/>
      <c r="IL737" s="60"/>
      <c r="IM737" s="16"/>
      <c r="IN737" s="16"/>
      <c r="IO737" s="16"/>
      <c r="IP737" s="16"/>
      <c r="IQ737" s="16"/>
      <c r="IR737" s="17"/>
      <c r="IV737" s="24"/>
      <c r="IW737" s="60"/>
      <c r="IX737" s="16"/>
      <c r="IY737" s="16"/>
      <c r="IZ737" s="16"/>
      <c r="JA737" s="16"/>
      <c r="JB737" s="16"/>
      <c r="JC737" s="17"/>
      <c r="JG737" s="24"/>
      <c r="JH737" s="60"/>
      <c r="JI737" s="16"/>
      <c r="JJ737" s="16"/>
      <c r="JK737" s="16"/>
      <c r="JL737" s="16"/>
      <c r="JM737" s="16"/>
      <c r="JN737" s="17"/>
      <c r="JR737" s="24"/>
      <c r="JS737" s="60"/>
      <c r="JT737" s="16"/>
      <c r="JU737" s="16"/>
      <c r="JV737" s="16"/>
      <c r="JW737" s="16"/>
      <c r="JX737" s="16"/>
      <c r="JY737" s="17"/>
      <c r="KC737" s="24"/>
      <c r="KD737" s="60"/>
      <c r="KE737" s="16"/>
      <c r="KF737" s="16"/>
      <c r="KG737" s="16"/>
      <c r="KH737" s="16"/>
      <c r="KI737" s="16"/>
      <c r="KJ737" s="17"/>
      <c r="KN737" s="24"/>
      <c r="KO737" s="60"/>
      <c r="KP737" s="16"/>
      <c r="KQ737" s="16"/>
      <c r="KR737" s="16"/>
      <c r="KS737" s="16"/>
      <c r="KT737" s="16"/>
      <c r="KU737" s="17"/>
      <c r="KY737" s="24"/>
      <c r="KZ737" s="60"/>
      <c r="LA737" s="16"/>
      <c r="LB737" s="16"/>
      <c r="LC737" s="16"/>
      <c r="LD737" s="16"/>
      <c r="LE737" s="16"/>
      <c r="LF737" s="17"/>
      <c r="LJ737" s="24"/>
      <c r="LK737" s="60"/>
      <c r="LL737" s="16"/>
      <c r="LM737" s="16"/>
      <c r="LN737" s="16"/>
      <c r="LO737" s="16"/>
      <c r="LP737" s="16"/>
      <c r="LQ737" s="17"/>
    </row>
    <row r="738">
      <c r="C738" s="31"/>
      <c r="D738" s="61"/>
      <c r="E738" s="16"/>
      <c r="F738" s="16"/>
      <c r="G738" s="21"/>
      <c r="H738" s="16"/>
      <c r="I738" s="16"/>
      <c r="J738" s="17"/>
      <c r="N738" s="17"/>
      <c r="O738" s="61"/>
      <c r="P738" s="16"/>
      <c r="Q738" s="16"/>
      <c r="R738" s="16"/>
      <c r="S738" s="16"/>
      <c r="T738" s="16"/>
      <c r="U738" s="17"/>
      <c r="Y738" s="24"/>
      <c r="Z738" s="61"/>
      <c r="AA738" s="16"/>
      <c r="AB738" s="16"/>
      <c r="AC738" s="16"/>
      <c r="AD738" s="16"/>
      <c r="AE738" s="16"/>
      <c r="AF738" s="17"/>
      <c r="AJ738" s="24"/>
      <c r="AK738" s="61"/>
      <c r="AL738" s="16"/>
      <c r="AM738" s="16"/>
      <c r="AN738" s="16"/>
      <c r="AO738" s="16"/>
      <c r="AP738" s="16"/>
      <c r="AQ738" s="17"/>
      <c r="AU738" s="24"/>
      <c r="AV738" s="61"/>
      <c r="AW738" s="16"/>
      <c r="AX738" s="16"/>
      <c r="AY738" s="16"/>
      <c r="AZ738" s="16"/>
      <c r="BA738" s="16"/>
      <c r="BB738" s="17"/>
      <c r="BF738" s="24"/>
      <c r="BG738" s="61"/>
      <c r="BH738" s="16"/>
      <c r="BI738" s="16"/>
      <c r="BJ738" s="16"/>
      <c r="BK738" s="16"/>
      <c r="BL738" s="16"/>
      <c r="BM738" s="17"/>
      <c r="BQ738" s="24"/>
      <c r="BR738" s="61"/>
      <c r="BS738" s="16"/>
      <c r="BT738" s="16"/>
      <c r="BU738" s="16"/>
      <c r="BV738" s="16"/>
      <c r="BW738" s="16"/>
      <c r="BX738" s="17"/>
      <c r="CB738" s="24"/>
      <c r="CC738" s="61"/>
      <c r="CD738" s="16"/>
      <c r="CE738" s="16"/>
      <c r="CF738" s="16"/>
      <c r="CG738" s="16"/>
      <c r="CH738" s="16"/>
      <c r="CI738" s="17"/>
      <c r="CM738" s="24"/>
      <c r="CN738" s="61"/>
      <c r="CO738" s="16"/>
      <c r="CP738" s="16"/>
      <c r="CQ738" s="16"/>
      <c r="CR738" s="16"/>
      <c r="CS738" s="16"/>
      <c r="CT738" s="17"/>
      <c r="CX738" s="24"/>
      <c r="CY738" s="60"/>
      <c r="CZ738" s="16"/>
      <c r="DA738" s="16"/>
      <c r="DB738" s="16"/>
      <c r="DC738" s="16"/>
      <c r="DD738" s="16"/>
      <c r="DE738" s="17"/>
      <c r="DI738" s="24"/>
      <c r="DJ738" s="60"/>
      <c r="DK738" s="16"/>
      <c r="DL738" s="16"/>
      <c r="DM738" s="16"/>
      <c r="DN738" s="16"/>
      <c r="DO738" s="16"/>
      <c r="DP738" s="17"/>
      <c r="DT738" s="24"/>
      <c r="DU738" s="60"/>
      <c r="DV738" s="16"/>
      <c r="DW738" s="16"/>
      <c r="DX738" s="16"/>
      <c r="DY738" s="16"/>
      <c r="DZ738" s="16"/>
      <c r="EA738" s="17"/>
      <c r="EE738" s="24"/>
      <c r="EF738" s="60"/>
      <c r="EG738" s="16"/>
      <c r="EH738" s="16"/>
      <c r="EI738" s="16"/>
      <c r="EJ738" s="16"/>
      <c r="EK738" s="16"/>
      <c r="EL738" s="17"/>
      <c r="EP738" s="24"/>
      <c r="EQ738" s="60"/>
      <c r="ER738" s="16"/>
      <c r="ES738" s="16"/>
      <c r="ET738" s="16"/>
      <c r="EU738" s="16"/>
      <c r="EV738" s="16"/>
      <c r="EW738" s="17"/>
      <c r="FA738" s="24"/>
      <c r="FB738" s="60"/>
      <c r="FC738" s="16"/>
      <c r="FD738" s="16"/>
      <c r="FE738" s="16"/>
      <c r="FF738" s="16"/>
      <c r="FG738" s="16"/>
      <c r="FH738" s="17"/>
      <c r="FL738" s="24"/>
      <c r="FM738" s="60"/>
      <c r="FN738" s="16"/>
      <c r="FO738" s="16"/>
      <c r="FP738" s="16"/>
      <c r="FQ738" s="16"/>
      <c r="FR738" s="16"/>
      <c r="FS738" s="17"/>
      <c r="FW738" s="24"/>
      <c r="FX738" s="60"/>
      <c r="FY738" s="16"/>
      <c r="FZ738" s="16"/>
      <c r="GA738" s="16"/>
      <c r="GB738" s="16"/>
      <c r="GC738" s="16"/>
      <c r="GD738" s="17"/>
      <c r="GH738" s="24"/>
      <c r="GI738" s="60"/>
      <c r="GJ738" s="16"/>
      <c r="GK738" s="16"/>
      <c r="GL738" s="16"/>
      <c r="GM738" s="16"/>
      <c r="GN738" s="16"/>
      <c r="GO738" s="17"/>
      <c r="GS738" s="24"/>
      <c r="GT738" s="60"/>
      <c r="GU738" s="16"/>
      <c r="GV738" s="16"/>
      <c r="GW738" s="16"/>
      <c r="GX738" s="16"/>
      <c r="GY738" s="16"/>
      <c r="GZ738" s="17"/>
      <c r="HD738" s="24"/>
      <c r="HE738" s="60"/>
      <c r="HF738" s="16"/>
      <c r="HG738" s="16"/>
      <c r="HH738" s="16"/>
      <c r="HI738" s="16"/>
      <c r="HJ738" s="16"/>
      <c r="HK738" s="17"/>
      <c r="HO738" s="24"/>
      <c r="HP738" s="60"/>
      <c r="HQ738" s="16"/>
      <c r="HR738" s="16"/>
      <c r="HS738" s="16"/>
      <c r="HT738" s="16"/>
      <c r="HU738" s="16"/>
      <c r="HV738" s="17"/>
      <c r="HZ738" s="24"/>
      <c r="IA738" s="60"/>
      <c r="IB738" s="16"/>
      <c r="IC738" s="16"/>
      <c r="ID738" s="16"/>
      <c r="IE738" s="16"/>
      <c r="IF738" s="16"/>
      <c r="IG738" s="17"/>
      <c r="IK738" s="24"/>
      <c r="IL738" s="60"/>
      <c r="IM738" s="16"/>
      <c r="IN738" s="16"/>
      <c r="IO738" s="16"/>
      <c r="IP738" s="16"/>
      <c r="IQ738" s="16"/>
      <c r="IR738" s="17"/>
      <c r="IV738" s="24"/>
      <c r="IW738" s="60"/>
      <c r="IX738" s="16"/>
      <c r="IY738" s="16"/>
      <c r="IZ738" s="16"/>
      <c r="JA738" s="16"/>
      <c r="JB738" s="16"/>
      <c r="JC738" s="17"/>
      <c r="JG738" s="24"/>
      <c r="JH738" s="60"/>
      <c r="JI738" s="16"/>
      <c r="JJ738" s="16"/>
      <c r="JK738" s="16"/>
      <c r="JL738" s="16"/>
      <c r="JM738" s="16"/>
      <c r="JN738" s="17"/>
      <c r="JR738" s="24"/>
      <c r="JS738" s="60"/>
      <c r="JT738" s="16"/>
      <c r="JU738" s="16"/>
      <c r="JV738" s="16"/>
      <c r="JW738" s="16"/>
      <c r="JX738" s="16"/>
      <c r="JY738" s="17"/>
      <c r="KC738" s="24"/>
      <c r="KD738" s="60"/>
      <c r="KE738" s="16"/>
      <c r="KF738" s="16"/>
      <c r="KG738" s="16"/>
      <c r="KH738" s="16"/>
      <c r="KI738" s="16"/>
      <c r="KJ738" s="17"/>
      <c r="KN738" s="24"/>
      <c r="KO738" s="60"/>
      <c r="KP738" s="16"/>
      <c r="KQ738" s="16"/>
      <c r="KR738" s="16"/>
      <c r="KS738" s="16"/>
      <c r="KT738" s="16"/>
      <c r="KU738" s="17"/>
      <c r="KY738" s="24"/>
      <c r="KZ738" s="60"/>
      <c r="LA738" s="16"/>
      <c r="LB738" s="16"/>
      <c r="LC738" s="16"/>
      <c r="LD738" s="16"/>
      <c r="LE738" s="16"/>
      <c r="LF738" s="17"/>
      <c r="LJ738" s="24"/>
      <c r="LK738" s="60"/>
      <c r="LL738" s="16"/>
      <c r="LM738" s="16"/>
      <c r="LN738" s="16"/>
      <c r="LO738" s="16"/>
      <c r="LP738" s="16"/>
      <c r="LQ738" s="17"/>
    </row>
    <row r="739">
      <c r="C739" s="31"/>
      <c r="D739" s="61"/>
      <c r="E739" s="16"/>
      <c r="F739" s="16"/>
      <c r="G739" s="21"/>
      <c r="H739" s="16"/>
      <c r="I739" s="16"/>
      <c r="J739" s="17"/>
      <c r="N739" s="17"/>
      <c r="O739" s="61"/>
      <c r="P739" s="16"/>
      <c r="Q739" s="16"/>
      <c r="R739" s="16"/>
      <c r="S739" s="16"/>
      <c r="T739" s="16"/>
      <c r="U739" s="17"/>
      <c r="Y739" s="24"/>
      <c r="Z739" s="61"/>
      <c r="AA739" s="16"/>
      <c r="AB739" s="16"/>
      <c r="AC739" s="16"/>
      <c r="AD739" s="16"/>
      <c r="AE739" s="16"/>
      <c r="AF739" s="17"/>
      <c r="AJ739" s="24"/>
      <c r="AK739" s="61"/>
      <c r="AL739" s="16"/>
      <c r="AM739" s="16"/>
      <c r="AN739" s="16"/>
      <c r="AO739" s="16"/>
      <c r="AP739" s="16"/>
      <c r="AQ739" s="17"/>
      <c r="AU739" s="24"/>
      <c r="AV739" s="61"/>
      <c r="AW739" s="16"/>
      <c r="AX739" s="16"/>
      <c r="AY739" s="16"/>
      <c r="AZ739" s="16"/>
      <c r="BA739" s="16"/>
      <c r="BB739" s="17"/>
      <c r="BF739" s="24"/>
      <c r="BG739" s="61"/>
      <c r="BH739" s="16"/>
      <c r="BI739" s="16"/>
      <c r="BJ739" s="16"/>
      <c r="BK739" s="16"/>
      <c r="BL739" s="16"/>
      <c r="BM739" s="17"/>
      <c r="BQ739" s="24"/>
      <c r="BR739" s="61"/>
      <c r="BS739" s="16"/>
      <c r="BT739" s="16"/>
      <c r="BU739" s="16"/>
      <c r="BV739" s="16"/>
      <c r="BW739" s="16"/>
      <c r="BX739" s="17"/>
      <c r="CB739" s="24"/>
      <c r="CC739" s="61"/>
      <c r="CD739" s="16"/>
      <c r="CE739" s="16"/>
      <c r="CF739" s="16"/>
      <c r="CG739" s="16"/>
      <c r="CH739" s="16"/>
      <c r="CI739" s="17"/>
      <c r="CM739" s="24"/>
      <c r="CN739" s="61"/>
      <c r="CO739" s="16"/>
      <c r="CP739" s="16"/>
      <c r="CQ739" s="16"/>
      <c r="CR739" s="16"/>
      <c r="CS739" s="16"/>
      <c r="CT739" s="17"/>
      <c r="CX739" s="24"/>
      <c r="CY739" s="60"/>
      <c r="CZ739" s="16"/>
      <c r="DA739" s="16"/>
      <c r="DB739" s="16"/>
      <c r="DC739" s="16"/>
      <c r="DD739" s="16"/>
      <c r="DE739" s="17"/>
      <c r="DI739" s="24"/>
      <c r="DJ739" s="60"/>
      <c r="DK739" s="16"/>
      <c r="DL739" s="16"/>
      <c r="DM739" s="16"/>
      <c r="DN739" s="16"/>
      <c r="DO739" s="16"/>
      <c r="DP739" s="17"/>
      <c r="DT739" s="24"/>
      <c r="DU739" s="60"/>
      <c r="DV739" s="16"/>
      <c r="DW739" s="16"/>
      <c r="DX739" s="16"/>
      <c r="DY739" s="16"/>
      <c r="DZ739" s="16"/>
      <c r="EA739" s="17"/>
      <c r="EE739" s="24"/>
      <c r="EF739" s="60"/>
      <c r="EG739" s="16"/>
      <c r="EH739" s="16"/>
      <c r="EI739" s="16"/>
      <c r="EJ739" s="16"/>
      <c r="EK739" s="16"/>
      <c r="EL739" s="17"/>
      <c r="EP739" s="24"/>
      <c r="EQ739" s="60"/>
      <c r="ER739" s="16"/>
      <c r="ES739" s="16"/>
      <c r="ET739" s="16"/>
      <c r="EU739" s="16"/>
      <c r="EV739" s="16"/>
      <c r="EW739" s="17"/>
      <c r="FA739" s="24"/>
      <c r="FB739" s="60"/>
      <c r="FC739" s="16"/>
      <c r="FD739" s="16"/>
      <c r="FE739" s="16"/>
      <c r="FF739" s="16"/>
      <c r="FG739" s="16"/>
      <c r="FH739" s="17"/>
      <c r="FL739" s="24"/>
      <c r="FM739" s="60"/>
      <c r="FN739" s="16"/>
      <c r="FO739" s="16"/>
      <c r="FP739" s="16"/>
      <c r="FQ739" s="16"/>
      <c r="FR739" s="16"/>
      <c r="FS739" s="17"/>
      <c r="FW739" s="24"/>
      <c r="FX739" s="60"/>
      <c r="FY739" s="16"/>
      <c r="FZ739" s="16"/>
      <c r="GA739" s="16"/>
      <c r="GB739" s="16"/>
      <c r="GC739" s="16"/>
      <c r="GD739" s="17"/>
      <c r="GH739" s="24"/>
      <c r="GI739" s="60"/>
      <c r="GJ739" s="16"/>
      <c r="GK739" s="16"/>
      <c r="GL739" s="16"/>
      <c r="GM739" s="16"/>
      <c r="GN739" s="16"/>
      <c r="GO739" s="17"/>
      <c r="GS739" s="24"/>
      <c r="GT739" s="60"/>
      <c r="GU739" s="16"/>
      <c r="GV739" s="16"/>
      <c r="GW739" s="16"/>
      <c r="GX739" s="16"/>
      <c r="GY739" s="16"/>
      <c r="GZ739" s="17"/>
      <c r="HD739" s="24"/>
      <c r="HE739" s="60"/>
      <c r="HF739" s="16"/>
      <c r="HG739" s="16"/>
      <c r="HH739" s="16"/>
      <c r="HI739" s="16"/>
      <c r="HJ739" s="16"/>
      <c r="HK739" s="17"/>
      <c r="HO739" s="24"/>
      <c r="HP739" s="60"/>
      <c r="HQ739" s="16"/>
      <c r="HR739" s="16"/>
      <c r="HS739" s="16"/>
      <c r="HT739" s="16"/>
      <c r="HU739" s="16"/>
      <c r="HV739" s="17"/>
      <c r="HZ739" s="24"/>
      <c r="IA739" s="60"/>
      <c r="IB739" s="16"/>
      <c r="IC739" s="16"/>
      <c r="ID739" s="16"/>
      <c r="IE739" s="16"/>
      <c r="IF739" s="16"/>
      <c r="IG739" s="17"/>
      <c r="IK739" s="24"/>
      <c r="IL739" s="60"/>
      <c r="IM739" s="16"/>
      <c r="IN739" s="16"/>
      <c r="IO739" s="16"/>
      <c r="IP739" s="16"/>
      <c r="IQ739" s="16"/>
      <c r="IR739" s="17"/>
      <c r="IV739" s="24"/>
      <c r="IW739" s="60"/>
      <c r="IX739" s="16"/>
      <c r="IY739" s="16"/>
      <c r="IZ739" s="16"/>
      <c r="JA739" s="16"/>
      <c r="JB739" s="16"/>
      <c r="JC739" s="17"/>
      <c r="JG739" s="24"/>
      <c r="JH739" s="60"/>
      <c r="JI739" s="16"/>
      <c r="JJ739" s="16"/>
      <c r="JK739" s="16"/>
      <c r="JL739" s="16"/>
      <c r="JM739" s="16"/>
      <c r="JN739" s="17"/>
      <c r="JR739" s="24"/>
      <c r="JS739" s="60"/>
      <c r="JT739" s="16"/>
      <c r="JU739" s="16"/>
      <c r="JV739" s="16"/>
      <c r="JW739" s="16"/>
      <c r="JX739" s="16"/>
      <c r="JY739" s="17"/>
      <c r="KC739" s="24"/>
      <c r="KD739" s="60"/>
      <c r="KE739" s="16"/>
      <c r="KF739" s="16"/>
      <c r="KG739" s="16"/>
      <c r="KH739" s="16"/>
      <c r="KI739" s="16"/>
      <c r="KJ739" s="17"/>
      <c r="KN739" s="24"/>
      <c r="KO739" s="60"/>
      <c r="KP739" s="16"/>
      <c r="KQ739" s="16"/>
      <c r="KR739" s="16"/>
      <c r="KS739" s="16"/>
      <c r="KT739" s="16"/>
      <c r="KU739" s="17"/>
      <c r="KY739" s="24"/>
      <c r="KZ739" s="60"/>
      <c r="LA739" s="16"/>
      <c r="LB739" s="16"/>
      <c r="LC739" s="16"/>
      <c r="LD739" s="16"/>
      <c r="LE739" s="16"/>
      <c r="LF739" s="17"/>
      <c r="LJ739" s="24"/>
      <c r="LK739" s="60"/>
      <c r="LL739" s="16"/>
      <c r="LM739" s="16"/>
      <c r="LN739" s="16"/>
      <c r="LO739" s="16"/>
      <c r="LP739" s="16"/>
      <c r="LQ739" s="17"/>
    </row>
    <row r="740">
      <c r="C740" s="31"/>
      <c r="D740" s="61"/>
      <c r="E740" s="16"/>
      <c r="F740" s="16"/>
      <c r="G740" s="21"/>
      <c r="H740" s="16"/>
      <c r="I740" s="16"/>
      <c r="J740" s="17"/>
      <c r="N740" s="17"/>
      <c r="O740" s="61"/>
      <c r="P740" s="16"/>
      <c r="Q740" s="16"/>
      <c r="R740" s="16"/>
      <c r="S740" s="16"/>
      <c r="T740" s="16"/>
      <c r="U740" s="17"/>
      <c r="Y740" s="24"/>
      <c r="Z740" s="61"/>
      <c r="AA740" s="16"/>
      <c r="AB740" s="16"/>
      <c r="AC740" s="16"/>
      <c r="AD740" s="16"/>
      <c r="AE740" s="16"/>
      <c r="AF740" s="17"/>
      <c r="AJ740" s="24"/>
      <c r="AK740" s="61"/>
      <c r="AL740" s="16"/>
      <c r="AM740" s="16"/>
      <c r="AN740" s="16"/>
      <c r="AO740" s="16"/>
      <c r="AP740" s="16"/>
      <c r="AQ740" s="17"/>
      <c r="AU740" s="24"/>
      <c r="AV740" s="61"/>
      <c r="AW740" s="16"/>
      <c r="AX740" s="16"/>
      <c r="AY740" s="16"/>
      <c r="AZ740" s="16"/>
      <c r="BA740" s="16"/>
      <c r="BB740" s="17"/>
      <c r="BF740" s="24"/>
      <c r="BG740" s="61"/>
      <c r="BH740" s="16"/>
      <c r="BI740" s="16"/>
      <c r="BJ740" s="16"/>
      <c r="BK740" s="16"/>
      <c r="BL740" s="16"/>
      <c r="BM740" s="17"/>
      <c r="BQ740" s="24"/>
      <c r="BR740" s="61"/>
      <c r="BS740" s="16"/>
      <c r="BT740" s="16"/>
      <c r="BU740" s="16"/>
      <c r="BV740" s="16"/>
      <c r="BW740" s="16"/>
      <c r="BX740" s="17"/>
      <c r="CB740" s="24"/>
      <c r="CC740" s="61"/>
      <c r="CD740" s="16"/>
      <c r="CE740" s="16"/>
      <c r="CF740" s="16"/>
      <c r="CG740" s="16"/>
      <c r="CH740" s="16"/>
      <c r="CI740" s="17"/>
      <c r="CM740" s="24"/>
      <c r="CN740" s="61"/>
      <c r="CO740" s="16"/>
      <c r="CP740" s="16"/>
      <c r="CQ740" s="16"/>
      <c r="CR740" s="16"/>
      <c r="CS740" s="16"/>
      <c r="CT740" s="17"/>
      <c r="CX740" s="24"/>
      <c r="CY740" s="60"/>
      <c r="CZ740" s="16"/>
      <c r="DA740" s="16"/>
      <c r="DB740" s="16"/>
      <c r="DC740" s="16"/>
      <c r="DD740" s="16"/>
      <c r="DE740" s="17"/>
      <c r="DI740" s="24"/>
      <c r="DJ740" s="60"/>
      <c r="DK740" s="16"/>
      <c r="DL740" s="16"/>
      <c r="DM740" s="16"/>
      <c r="DN740" s="16"/>
      <c r="DO740" s="16"/>
      <c r="DP740" s="17"/>
      <c r="DT740" s="24"/>
      <c r="DU740" s="60"/>
      <c r="DV740" s="16"/>
      <c r="DW740" s="16"/>
      <c r="DX740" s="16"/>
      <c r="DY740" s="16"/>
      <c r="DZ740" s="16"/>
      <c r="EA740" s="17"/>
      <c r="EE740" s="24"/>
      <c r="EF740" s="60"/>
      <c r="EG740" s="16"/>
      <c r="EH740" s="16"/>
      <c r="EI740" s="16"/>
      <c r="EJ740" s="16"/>
      <c r="EK740" s="16"/>
      <c r="EL740" s="17"/>
      <c r="EP740" s="24"/>
      <c r="EQ740" s="60"/>
      <c r="ER740" s="16"/>
      <c r="ES740" s="16"/>
      <c r="ET740" s="16"/>
      <c r="EU740" s="16"/>
      <c r="EV740" s="16"/>
      <c r="EW740" s="17"/>
      <c r="FA740" s="24"/>
      <c r="FB740" s="60"/>
      <c r="FC740" s="16"/>
      <c r="FD740" s="16"/>
      <c r="FE740" s="16"/>
      <c r="FF740" s="16"/>
      <c r="FG740" s="16"/>
      <c r="FH740" s="17"/>
      <c r="FL740" s="24"/>
      <c r="FM740" s="60"/>
      <c r="FN740" s="16"/>
      <c r="FO740" s="16"/>
      <c r="FP740" s="16"/>
      <c r="FQ740" s="16"/>
      <c r="FR740" s="16"/>
      <c r="FS740" s="17"/>
      <c r="FW740" s="24"/>
      <c r="FX740" s="60"/>
      <c r="FY740" s="16"/>
      <c r="FZ740" s="16"/>
      <c r="GA740" s="16"/>
      <c r="GB740" s="16"/>
      <c r="GC740" s="16"/>
      <c r="GD740" s="17"/>
      <c r="GH740" s="24"/>
      <c r="GI740" s="60"/>
      <c r="GJ740" s="16"/>
      <c r="GK740" s="16"/>
      <c r="GL740" s="16"/>
      <c r="GM740" s="16"/>
      <c r="GN740" s="16"/>
      <c r="GO740" s="17"/>
      <c r="GS740" s="24"/>
      <c r="GT740" s="60"/>
      <c r="GU740" s="16"/>
      <c r="GV740" s="16"/>
      <c r="GW740" s="16"/>
      <c r="GX740" s="16"/>
      <c r="GY740" s="16"/>
      <c r="GZ740" s="17"/>
      <c r="HD740" s="24"/>
      <c r="HE740" s="60"/>
      <c r="HF740" s="16"/>
      <c r="HG740" s="16"/>
      <c r="HH740" s="16"/>
      <c r="HI740" s="16"/>
      <c r="HJ740" s="16"/>
      <c r="HK740" s="17"/>
      <c r="HO740" s="24"/>
      <c r="HP740" s="60"/>
      <c r="HQ740" s="16"/>
      <c r="HR740" s="16"/>
      <c r="HS740" s="16"/>
      <c r="HT740" s="16"/>
      <c r="HU740" s="16"/>
      <c r="HV740" s="17"/>
      <c r="HZ740" s="24"/>
      <c r="IA740" s="60"/>
      <c r="IB740" s="16"/>
      <c r="IC740" s="16"/>
      <c r="ID740" s="16"/>
      <c r="IE740" s="16"/>
      <c r="IF740" s="16"/>
      <c r="IG740" s="17"/>
      <c r="IK740" s="24"/>
      <c r="IL740" s="60"/>
      <c r="IM740" s="16"/>
      <c r="IN740" s="16"/>
      <c r="IO740" s="16"/>
      <c r="IP740" s="16"/>
      <c r="IQ740" s="16"/>
      <c r="IR740" s="17"/>
      <c r="IV740" s="24"/>
      <c r="IW740" s="60"/>
      <c r="IX740" s="16"/>
      <c r="IY740" s="16"/>
      <c r="IZ740" s="16"/>
      <c r="JA740" s="16"/>
      <c r="JB740" s="16"/>
      <c r="JC740" s="17"/>
      <c r="JG740" s="24"/>
      <c r="JH740" s="60"/>
      <c r="JI740" s="16"/>
      <c r="JJ740" s="16"/>
      <c r="JK740" s="16"/>
      <c r="JL740" s="16"/>
      <c r="JM740" s="16"/>
      <c r="JN740" s="17"/>
      <c r="JR740" s="24"/>
      <c r="JS740" s="60"/>
      <c r="JT740" s="16"/>
      <c r="JU740" s="16"/>
      <c r="JV740" s="16"/>
      <c r="JW740" s="16"/>
      <c r="JX740" s="16"/>
      <c r="JY740" s="17"/>
      <c r="KC740" s="24"/>
      <c r="KD740" s="60"/>
      <c r="KE740" s="16"/>
      <c r="KF740" s="16"/>
      <c r="KG740" s="16"/>
      <c r="KH740" s="16"/>
      <c r="KI740" s="16"/>
      <c r="KJ740" s="17"/>
      <c r="KN740" s="24"/>
      <c r="KO740" s="60"/>
      <c r="KP740" s="16"/>
      <c r="KQ740" s="16"/>
      <c r="KR740" s="16"/>
      <c r="KS740" s="16"/>
      <c r="KT740" s="16"/>
      <c r="KU740" s="17"/>
      <c r="KY740" s="24"/>
      <c r="KZ740" s="60"/>
      <c r="LA740" s="16"/>
      <c r="LB740" s="16"/>
      <c r="LC740" s="16"/>
      <c r="LD740" s="16"/>
      <c r="LE740" s="16"/>
      <c r="LF740" s="17"/>
      <c r="LJ740" s="24"/>
      <c r="LK740" s="60"/>
      <c r="LL740" s="16"/>
      <c r="LM740" s="16"/>
      <c r="LN740" s="16"/>
      <c r="LO740" s="16"/>
      <c r="LP740" s="16"/>
      <c r="LQ740" s="17"/>
    </row>
    <row r="741">
      <c r="C741" s="31"/>
      <c r="D741" s="61"/>
      <c r="E741" s="16"/>
      <c r="F741" s="16"/>
      <c r="G741" s="21"/>
      <c r="H741" s="16"/>
      <c r="I741" s="16"/>
      <c r="J741" s="17"/>
      <c r="N741" s="17"/>
      <c r="O741" s="61"/>
      <c r="P741" s="16"/>
      <c r="Q741" s="16"/>
      <c r="R741" s="16"/>
      <c r="S741" s="16"/>
      <c r="T741" s="16"/>
      <c r="U741" s="17"/>
      <c r="Y741" s="24"/>
      <c r="Z741" s="61"/>
      <c r="AA741" s="16"/>
      <c r="AB741" s="16"/>
      <c r="AC741" s="16"/>
      <c r="AD741" s="16"/>
      <c r="AE741" s="16"/>
      <c r="AF741" s="17"/>
      <c r="AJ741" s="24"/>
      <c r="AK741" s="61"/>
      <c r="AL741" s="16"/>
      <c r="AM741" s="16"/>
      <c r="AN741" s="16"/>
      <c r="AO741" s="16"/>
      <c r="AP741" s="16"/>
      <c r="AQ741" s="17"/>
      <c r="AU741" s="24"/>
      <c r="AV741" s="61"/>
      <c r="AW741" s="16"/>
      <c r="AX741" s="16"/>
      <c r="AY741" s="16"/>
      <c r="AZ741" s="16"/>
      <c r="BA741" s="16"/>
      <c r="BB741" s="17"/>
      <c r="BF741" s="24"/>
      <c r="BG741" s="61"/>
      <c r="BH741" s="16"/>
      <c r="BI741" s="16"/>
      <c r="BJ741" s="16"/>
      <c r="BK741" s="16"/>
      <c r="BL741" s="16"/>
      <c r="BM741" s="17"/>
      <c r="BQ741" s="24"/>
      <c r="BR741" s="61"/>
      <c r="BS741" s="16"/>
      <c r="BT741" s="16"/>
      <c r="BU741" s="16"/>
      <c r="BV741" s="16"/>
      <c r="BW741" s="16"/>
      <c r="BX741" s="17"/>
      <c r="CB741" s="24"/>
      <c r="CC741" s="61"/>
      <c r="CD741" s="16"/>
      <c r="CE741" s="16"/>
      <c r="CF741" s="16"/>
      <c r="CG741" s="16"/>
      <c r="CH741" s="16"/>
      <c r="CI741" s="17"/>
      <c r="CM741" s="24"/>
      <c r="CN741" s="61"/>
      <c r="CO741" s="16"/>
      <c r="CP741" s="16"/>
      <c r="CQ741" s="16"/>
      <c r="CR741" s="16"/>
      <c r="CS741" s="16"/>
      <c r="CT741" s="17"/>
      <c r="CX741" s="24"/>
      <c r="CY741" s="60"/>
      <c r="CZ741" s="16"/>
      <c r="DA741" s="16"/>
      <c r="DB741" s="16"/>
      <c r="DC741" s="16"/>
      <c r="DD741" s="16"/>
      <c r="DE741" s="17"/>
      <c r="DI741" s="24"/>
      <c r="DJ741" s="60"/>
      <c r="DK741" s="16"/>
      <c r="DL741" s="16"/>
      <c r="DM741" s="16"/>
      <c r="DN741" s="16"/>
      <c r="DO741" s="16"/>
      <c r="DP741" s="17"/>
      <c r="DT741" s="24"/>
      <c r="DU741" s="60"/>
      <c r="DV741" s="16"/>
      <c r="DW741" s="16"/>
      <c r="DX741" s="16"/>
      <c r="DY741" s="16"/>
      <c r="DZ741" s="16"/>
      <c r="EA741" s="17"/>
      <c r="EE741" s="24"/>
      <c r="EF741" s="60"/>
      <c r="EG741" s="16"/>
      <c r="EH741" s="16"/>
      <c r="EI741" s="16"/>
      <c r="EJ741" s="16"/>
      <c r="EK741" s="16"/>
      <c r="EL741" s="17"/>
      <c r="EP741" s="24"/>
      <c r="EQ741" s="60"/>
      <c r="ER741" s="16"/>
      <c r="ES741" s="16"/>
      <c r="ET741" s="16"/>
      <c r="EU741" s="16"/>
      <c r="EV741" s="16"/>
      <c r="EW741" s="17"/>
      <c r="FA741" s="24"/>
      <c r="FB741" s="60"/>
      <c r="FC741" s="16"/>
      <c r="FD741" s="16"/>
      <c r="FE741" s="16"/>
      <c r="FF741" s="16"/>
      <c r="FG741" s="16"/>
      <c r="FH741" s="17"/>
      <c r="FL741" s="24"/>
      <c r="FM741" s="60"/>
      <c r="FN741" s="16"/>
      <c r="FO741" s="16"/>
      <c r="FP741" s="16"/>
      <c r="FQ741" s="16"/>
      <c r="FR741" s="16"/>
      <c r="FS741" s="17"/>
      <c r="FW741" s="24"/>
      <c r="FX741" s="60"/>
      <c r="FY741" s="16"/>
      <c r="FZ741" s="16"/>
      <c r="GA741" s="16"/>
      <c r="GB741" s="16"/>
      <c r="GC741" s="16"/>
      <c r="GD741" s="17"/>
      <c r="GH741" s="24"/>
      <c r="GI741" s="60"/>
      <c r="GJ741" s="16"/>
      <c r="GK741" s="16"/>
      <c r="GL741" s="16"/>
      <c r="GM741" s="16"/>
      <c r="GN741" s="16"/>
      <c r="GO741" s="17"/>
      <c r="GS741" s="24"/>
      <c r="GT741" s="60"/>
      <c r="GU741" s="16"/>
      <c r="GV741" s="16"/>
      <c r="GW741" s="16"/>
      <c r="GX741" s="16"/>
      <c r="GY741" s="16"/>
      <c r="GZ741" s="17"/>
      <c r="HD741" s="24"/>
      <c r="HE741" s="60"/>
      <c r="HF741" s="16"/>
      <c r="HG741" s="16"/>
      <c r="HH741" s="16"/>
      <c r="HI741" s="16"/>
      <c r="HJ741" s="16"/>
      <c r="HK741" s="17"/>
      <c r="HO741" s="24"/>
      <c r="HP741" s="60"/>
      <c r="HQ741" s="16"/>
      <c r="HR741" s="16"/>
      <c r="HS741" s="16"/>
      <c r="HT741" s="16"/>
      <c r="HU741" s="16"/>
      <c r="HV741" s="17"/>
      <c r="HZ741" s="24"/>
      <c r="IA741" s="60"/>
      <c r="IB741" s="16"/>
      <c r="IC741" s="16"/>
      <c r="ID741" s="16"/>
      <c r="IE741" s="16"/>
      <c r="IF741" s="16"/>
      <c r="IG741" s="17"/>
      <c r="IK741" s="24"/>
      <c r="IL741" s="60"/>
      <c r="IM741" s="16"/>
      <c r="IN741" s="16"/>
      <c r="IO741" s="16"/>
      <c r="IP741" s="16"/>
      <c r="IQ741" s="16"/>
      <c r="IR741" s="17"/>
      <c r="IV741" s="24"/>
      <c r="IW741" s="60"/>
      <c r="IX741" s="16"/>
      <c r="IY741" s="16"/>
      <c r="IZ741" s="16"/>
      <c r="JA741" s="16"/>
      <c r="JB741" s="16"/>
      <c r="JC741" s="17"/>
      <c r="JG741" s="24"/>
      <c r="JH741" s="60"/>
      <c r="JI741" s="16"/>
      <c r="JJ741" s="16"/>
      <c r="JK741" s="16"/>
      <c r="JL741" s="16"/>
      <c r="JM741" s="16"/>
      <c r="JN741" s="17"/>
      <c r="JR741" s="24"/>
      <c r="JS741" s="60"/>
      <c r="JT741" s="16"/>
      <c r="JU741" s="16"/>
      <c r="JV741" s="16"/>
      <c r="JW741" s="16"/>
      <c r="JX741" s="16"/>
      <c r="JY741" s="17"/>
      <c r="KC741" s="24"/>
      <c r="KD741" s="60"/>
      <c r="KE741" s="16"/>
      <c r="KF741" s="16"/>
      <c r="KG741" s="16"/>
      <c r="KH741" s="16"/>
      <c r="KI741" s="16"/>
      <c r="KJ741" s="17"/>
      <c r="KN741" s="24"/>
      <c r="KO741" s="60"/>
      <c r="KP741" s="16"/>
      <c r="KQ741" s="16"/>
      <c r="KR741" s="16"/>
      <c r="KS741" s="16"/>
      <c r="KT741" s="16"/>
      <c r="KU741" s="17"/>
      <c r="KY741" s="24"/>
      <c r="KZ741" s="60"/>
      <c r="LA741" s="16"/>
      <c r="LB741" s="16"/>
      <c r="LC741" s="16"/>
      <c r="LD741" s="16"/>
      <c r="LE741" s="16"/>
      <c r="LF741" s="17"/>
      <c r="LJ741" s="24"/>
      <c r="LK741" s="60"/>
      <c r="LL741" s="16"/>
      <c r="LM741" s="16"/>
      <c r="LN741" s="16"/>
      <c r="LO741" s="16"/>
      <c r="LP741" s="16"/>
      <c r="LQ741" s="17"/>
    </row>
    <row r="742">
      <c r="C742" s="31"/>
      <c r="D742" s="61"/>
      <c r="E742" s="16"/>
      <c r="F742" s="16"/>
      <c r="G742" s="21"/>
      <c r="H742" s="16"/>
      <c r="I742" s="16"/>
      <c r="J742" s="17"/>
      <c r="N742" s="17"/>
      <c r="O742" s="61"/>
      <c r="P742" s="16"/>
      <c r="Q742" s="16"/>
      <c r="R742" s="16"/>
      <c r="S742" s="16"/>
      <c r="T742" s="16"/>
      <c r="U742" s="17"/>
      <c r="Y742" s="24"/>
      <c r="Z742" s="61"/>
      <c r="AA742" s="16"/>
      <c r="AB742" s="16"/>
      <c r="AC742" s="16"/>
      <c r="AD742" s="16"/>
      <c r="AE742" s="16"/>
      <c r="AF742" s="17"/>
      <c r="AJ742" s="24"/>
      <c r="AK742" s="61"/>
      <c r="AL742" s="16"/>
      <c r="AM742" s="16"/>
      <c r="AN742" s="16"/>
      <c r="AO742" s="16"/>
      <c r="AP742" s="16"/>
      <c r="AQ742" s="17"/>
      <c r="AU742" s="24"/>
      <c r="AV742" s="61"/>
      <c r="AW742" s="16"/>
      <c r="AX742" s="16"/>
      <c r="AY742" s="16"/>
      <c r="AZ742" s="16"/>
      <c r="BA742" s="16"/>
      <c r="BB742" s="17"/>
      <c r="BF742" s="24"/>
      <c r="BG742" s="61"/>
      <c r="BH742" s="16"/>
      <c r="BI742" s="16"/>
      <c r="BJ742" s="16"/>
      <c r="BK742" s="16"/>
      <c r="BL742" s="16"/>
      <c r="BM742" s="17"/>
      <c r="BQ742" s="24"/>
      <c r="BR742" s="61"/>
      <c r="BS742" s="16"/>
      <c r="BT742" s="16"/>
      <c r="BU742" s="16"/>
      <c r="BV742" s="16"/>
      <c r="BW742" s="16"/>
      <c r="BX742" s="17"/>
      <c r="CB742" s="24"/>
      <c r="CC742" s="61"/>
      <c r="CD742" s="16"/>
      <c r="CE742" s="16"/>
      <c r="CF742" s="16"/>
      <c r="CG742" s="16"/>
      <c r="CH742" s="16"/>
      <c r="CI742" s="17"/>
      <c r="CM742" s="24"/>
      <c r="CN742" s="61"/>
      <c r="CO742" s="16"/>
      <c r="CP742" s="16"/>
      <c r="CQ742" s="16"/>
      <c r="CR742" s="16"/>
      <c r="CS742" s="16"/>
      <c r="CT742" s="17"/>
      <c r="CX742" s="24"/>
      <c r="CY742" s="60"/>
      <c r="CZ742" s="16"/>
      <c r="DA742" s="16"/>
      <c r="DB742" s="16"/>
      <c r="DC742" s="16"/>
      <c r="DD742" s="16"/>
      <c r="DE742" s="17"/>
      <c r="DI742" s="24"/>
      <c r="DJ742" s="60"/>
      <c r="DK742" s="16"/>
      <c r="DL742" s="16"/>
      <c r="DM742" s="16"/>
      <c r="DN742" s="16"/>
      <c r="DO742" s="16"/>
      <c r="DP742" s="17"/>
      <c r="DT742" s="24"/>
      <c r="DU742" s="60"/>
      <c r="DV742" s="16"/>
      <c r="DW742" s="16"/>
      <c r="DX742" s="16"/>
      <c r="DY742" s="16"/>
      <c r="DZ742" s="16"/>
      <c r="EA742" s="17"/>
      <c r="EE742" s="24"/>
      <c r="EF742" s="60"/>
      <c r="EG742" s="16"/>
      <c r="EH742" s="16"/>
      <c r="EI742" s="16"/>
      <c r="EJ742" s="16"/>
      <c r="EK742" s="16"/>
      <c r="EL742" s="17"/>
      <c r="EP742" s="24"/>
      <c r="EQ742" s="60"/>
      <c r="ER742" s="16"/>
      <c r="ES742" s="16"/>
      <c r="ET742" s="16"/>
      <c r="EU742" s="16"/>
      <c r="EV742" s="16"/>
      <c r="EW742" s="17"/>
      <c r="FA742" s="24"/>
      <c r="FB742" s="60"/>
      <c r="FC742" s="16"/>
      <c r="FD742" s="16"/>
      <c r="FE742" s="16"/>
      <c r="FF742" s="16"/>
      <c r="FG742" s="16"/>
      <c r="FH742" s="17"/>
      <c r="FL742" s="24"/>
      <c r="FM742" s="60"/>
      <c r="FN742" s="16"/>
      <c r="FO742" s="16"/>
      <c r="FP742" s="16"/>
      <c r="FQ742" s="16"/>
      <c r="FR742" s="16"/>
      <c r="FS742" s="17"/>
      <c r="FW742" s="24"/>
      <c r="FX742" s="60"/>
      <c r="FY742" s="16"/>
      <c r="FZ742" s="16"/>
      <c r="GA742" s="16"/>
      <c r="GB742" s="16"/>
      <c r="GC742" s="16"/>
      <c r="GD742" s="17"/>
      <c r="GH742" s="24"/>
      <c r="GI742" s="60"/>
      <c r="GJ742" s="16"/>
      <c r="GK742" s="16"/>
      <c r="GL742" s="16"/>
      <c r="GM742" s="16"/>
      <c r="GN742" s="16"/>
      <c r="GO742" s="17"/>
      <c r="GS742" s="24"/>
      <c r="GT742" s="60"/>
      <c r="GU742" s="16"/>
      <c r="GV742" s="16"/>
      <c r="GW742" s="16"/>
      <c r="GX742" s="16"/>
      <c r="GY742" s="16"/>
      <c r="GZ742" s="17"/>
      <c r="HD742" s="24"/>
      <c r="HE742" s="60"/>
      <c r="HF742" s="16"/>
      <c r="HG742" s="16"/>
      <c r="HH742" s="16"/>
      <c r="HI742" s="16"/>
      <c r="HJ742" s="16"/>
      <c r="HK742" s="17"/>
      <c r="HO742" s="24"/>
      <c r="HP742" s="60"/>
      <c r="HQ742" s="16"/>
      <c r="HR742" s="16"/>
      <c r="HS742" s="16"/>
      <c r="HT742" s="16"/>
      <c r="HU742" s="16"/>
      <c r="HV742" s="17"/>
      <c r="HZ742" s="24"/>
      <c r="IA742" s="60"/>
      <c r="IB742" s="16"/>
      <c r="IC742" s="16"/>
      <c r="ID742" s="16"/>
      <c r="IE742" s="16"/>
      <c r="IF742" s="16"/>
      <c r="IG742" s="17"/>
      <c r="IK742" s="24"/>
      <c r="IL742" s="60"/>
      <c r="IM742" s="16"/>
      <c r="IN742" s="16"/>
      <c r="IO742" s="16"/>
      <c r="IP742" s="16"/>
      <c r="IQ742" s="16"/>
      <c r="IR742" s="17"/>
      <c r="IV742" s="24"/>
      <c r="IW742" s="60"/>
      <c r="IX742" s="16"/>
      <c r="IY742" s="16"/>
      <c r="IZ742" s="16"/>
      <c r="JA742" s="16"/>
      <c r="JB742" s="16"/>
      <c r="JC742" s="17"/>
      <c r="JG742" s="24"/>
      <c r="JH742" s="60"/>
      <c r="JI742" s="16"/>
      <c r="JJ742" s="16"/>
      <c r="JK742" s="16"/>
      <c r="JL742" s="16"/>
      <c r="JM742" s="16"/>
      <c r="JN742" s="17"/>
      <c r="JR742" s="24"/>
      <c r="JS742" s="60"/>
      <c r="JT742" s="16"/>
      <c r="JU742" s="16"/>
      <c r="JV742" s="16"/>
      <c r="JW742" s="16"/>
      <c r="JX742" s="16"/>
      <c r="JY742" s="17"/>
      <c r="KC742" s="24"/>
      <c r="KD742" s="60"/>
      <c r="KE742" s="16"/>
      <c r="KF742" s="16"/>
      <c r="KG742" s="16"/>
      <c r="KH742" s="16"/>
      <c r="KI742" s="16"/>
      <c r="KJ742" s="17"/>
      <c r="KN742" s="24"/>
      <c r="KO742" s="60"/>
      <c r="KP742" s="16"/>
      <c r="KQ742" s="16"/>
      <c r="KR742" s="16"/>
      <c r="KS742" s="16"/>
      <c r="KT742" s="16"/>
      <c r="KU742" s="17"/>
      <c r="KY742" s="24"/>
      <c r="KZ742" s="60"/>
      <c r="LA742" s="16"/>
      <c r="LB742" s="16"/>
      <c r="LC742" s="16"/>
      <c r="LD742" s="16"/>
      <c r="LE742" s="16"/>
      <c r="LF742" s="17"/>
      <c r="LJ742" s="24"/>
      <c r="LK742" s="60"/>
      <c r="LL742" s="16"/>
      <c r="LM742" s="16"/>
      <c r="LN742" s="16"/>
      <c r="LO742" s="16"/>
      <c r="LP742" s="16"/>
      <c r="LQ742" s="17"/>
    </row>
    <row r="743">
      <c r="C743" s="31"/>
      <c r="D743" s="61"/>
      <c r="E743" s="16"/>
      <c r="F743" s="16"/>
      <c r="G743" s="21"/>
      <c r="H743" s="16"/>
      <c r="I743" s="16"/>
      <c r="J743" s="17"/>
      <c r="N743" s="17"/>
      <c r="O743" s="61"/>
      <c r="P743" s="16"/>
      <c r="Q743" s="16"/>
      <c r="R743" s="16"/>
      <c r="S743" s="16"/>
      <c r="T743" s="16"/>
      <c r="U743" s="17"/>
      <c r="Y743" s="24"/>
      <c r="Z743" s="61"/>
      <c r="AA743" s="16"/>
      <c r="AB743" s="16"/>
      <c r="AC743" s="16"/>
      <c r="AD743" s="16"/>
      <c r="AE743" s="16"/>
      <c r="AF743" s="17"/>
      <c r="AJ743" s="24"/>
      <c r="AK743" s="61"/>
      <c r="AL743" s="16"/>
      <c r="AM743" s="16"/>
      <c r="AN743" s="16"/>
      <c r="AO743" s="16"/>
      <c r="AP743" s="16"/>
      <c r="AQ743" s="17"/>
      <c r="AU743" s="24"/>
      <c r="AV743" s="61"/>
      <c r="AW743" s="16"/>
      <c r="AX743" s="16"/>
      <c r="AY743" s="16"/>
      <c r="AZ743" s="16"/>
      <c r="BA743" s="16"/>
      <c r="BB743" s="17"/>
      <c r="BF743" s="24"/>
      <c r="BG743" s="61"/>
      <c r="BH743" s="16"/>
      <c r="BI743" s="16"/>
      <c r="BJ743" s="16"/>
      <c r="BK743" s="16"/>
      <c r="BL743" s="16"/>
      <c r="BM743" s="17"/>
      <c r="BQ743" s="24"/>
      <c r="BR743" s="61"/>
      <c r="BS743" s="16"/>
      <c r="BT743" s="16"/>
      <c r="BU743" s="16"/>
      <c r="BV743" s="16"/>
      <c r="BW743" s="16"/>
      <c r="BX743" s="17"/>
      <c r="CB743" s="24"/>
      <c r="CC743" s="61"/>
      <c r="CD743" s="16"/>
      <c r="CE743" s="16"/>
      <c r="CF743" s="16"/>
      <c r="CG743" s="16"/>
      <c r="CH743" s="16"/>
      <c r="CI743" s="17"/>
      <c r="CM743" s="24"/>
      <c r="CN743" s="61"/>
      <c r="CO743" s="16"/>
      <c r="CP743" s="16"/>
      <c r="CQ743" s="16"/>
      <c r="CR743" s="16"/>
      <c r="CS743" s="16"/>
      <c r="CT743" s="17"/>
      <c r="CX743" s="24"/>
      <c r="CY743" s="60"/>
      <c r="CZ743" s="16"/>
      <c r="DA743" s="16"/>
      <c r="DB743" s="16"/>
      <c r="DC743" s="16"/>
      <c r="DD743" s="16"/>
      <c r="DE743" s="17"/>
      <c r="DI743" s="24"/>
      <c r="DJ743" s="60"/>
      <c r="DK743" s="16"/>
      <c r="DL743" s="16"/>
      <c r="DM743" s="16"/>
      <c r="DN743" s="16"/>
      <c r="DO743" s="16"/>
      <c r="DP743" s="17"/>
      <c r="DT743" s="24"/>
      <c r="DU743" s="60"/>
      <c r="DV743" s="16"/>
      <c r="DW743" s="16"/>
      <c r="DX743" s="16"/>
      <c r="DY743" s="16"/>
      <c r="DZ743" s="16"/>
      <c r="EA743" s="17"/>
      <c r="EE743" s="24"/>
      <c r="EF743" s="60"/>
      <c r="EG743" s="16"/>
      <c r="EH743" s="16"/>
      <c r="EI743" s="16"/>
      <c r="EJ743" s="16"/>
      <c r="EK743" s="16"/>
      <c r="EL743" s="17"/>
      <c r="EP743" s="24"/>
      <c r="EQ743" s="60"/>
      <c r="ER743" s="16"/>
      <c r="ES743" s="16"/>
      <c r="ET743" s="16"/>
      <c r="EU743" s="16"/>
      <c r="EV743" s="16"/>
      <c r="EW743" s="17"/>
      <c r="FA743" s="24"/>
      <c r="FB743" s="60"/>
      <c r="FC743" s="16"/>
      <c r="FD743" s="16"/>
      <c r="FE743" s="16"/>
      <c r="FF743" s="16"/>
      <c r="FG743" s="16"/>
      <c r="FH743" s="17"/>
      <c r="FL743" s="24"/>
      <c r="FM743" s="60"/>
      <c r="FN743" s="16"/>
      <c r="FO743" s="16"/>
      <c r="FP743" s="16"/>
      <c r="FQ743" s="16"/>
      <c r="FR743" s="16"/>
      <c r="FS743" s="17"/>
      <c r="FW743" s="24"/>
      <c r="FX743" s="60"/>
      <c r="FY743" s="16"/>
      <c r="FZ743" s="16"/>
      <c r="GA743" s="16"/>
      <c r="GB743" s="16"/>
      <c r="GC743" s="16"/>
      <c r="GD743" s="17"/>
      <c r="GH743" s="24"/>
      <c r="GI743" s="60"/>
      <c r="GJ743" s="16"/>
      <c r="GK743" s="16"/>
      <c r="GL743" s="16"/>
      <c r="GM743" s="16"/>
      <c r="GN743" s="16"/>
      <c r="GO743" s="17"/>
      <c r="GS743" s="24"/>
      <c r="GT743" s="60"/>
      <c r="GU743" s="16"/>
      <c r="GV743" s="16"/>
      <c r="GW743" s="16"/>
      <c r="GX743" s="16"/>
      <c r="GY743" s="16"/>
      <c r="GZ743" s="17"/>
      <c r="HD743" s="24"/>
      <c r="HE743" s="60"/>
      <c r="HF743" s="16"/>
      <c r="HG743" s="16"/>
      <c r="HH743" s="16"/>
      <c r="HI743" s="16"/>
      <c r="HJ743" s="16"/>
      <c r="HK743" s="17"/>
      <c r="HO743" s="24"/>
      <c r="HP743" s="60"/>
      <c r="HQ743" s="16"/>
      <c r="HR743" s="16"/>
      <c r="HS743" s="16"/>
      <c r="HT743" s="16"/>
      <c r="HU743" s="16"/>
      <c r="HV743" s="17"/>
      <c r="HZ743" s="24"/>
      <c r="IA743" s="60"/>
      <c r="IB743" s="16"/>
      <c r="IC743" s="16"/>
      <c r="ID743" s="16"/>
      <c r="IE743" s="16"/>
      <c r="IF743" s="16"/>
      <c r="IG743" s="17"/>
      <c r="IK743" s="24"/>
      <c r="IL743" s="60"/>
      <c r="IM743" s="16"/>
      <c r="IN743" s="16"/>
      <c r="IO743" s="16"/>
      <c r="IP743" s="16"/>
      <c r="IQ743" s="16"/>
      <c r="IR743" s="17"/>
      <c r="IV743" s="24"/>
      <c r="IW743" s="60"/>
      <c r="IX743" s="16"/>
      <c r="IY743" s="16"/>
      <c r="IZ743" s="16"/>
      <c r="JA743" s="16"/>
      <c r="JB743" s="16"/>
      <c r="JC743" s="17"/>
      <c r="JG743" s="24"/>
      <c r="JH743" s="60"/>
      <c r="JI743" s="16"/>
      <c r="JJ743" s="16"/>
      <c r="JK743" s="16"/>
      <c r="JL743" s="16"/>
      <c r="JM743" s="16"/>
      <c r="JN743" s="17"/>
      <c r="JR743" s="24"/>
      <c r="JS743" s="60"/>
      <c r="JT743" s="16"/>
      <c r="JU743" s="16"/>
      <c r="JV743" s="16"/>
      <c r="JW743" s="16"/>
      <c r="JX743" s="16"/>
      <c r="JY743" s="17"/>
      <c r="KC743" s="24"/>
      <c r="KD743" s="60"/>
      <c r="KE743" s="16"/>
      <c r="KF743" s="16"/>
      <c r="KG743" s="16"/>
      <c r="KH743" s="16"/>
      <c r="KI743" s="16"/>
      <c r="KJ743" s="17"/>
      <c r="KN743" s="24"/>
      <c r="KO743" s="60"/>
      <c r="KP743" s="16"/>
      <c r="KQ743" s="16"/>
      <c r="KR743" s="16"/>
      <c r="KS743" s="16"/>
      <c r="KT743" s="16"/>
      <c r="KU743" s="17"/>
      <c r="KY743" s="24"/>
      <c r="KZ743" s="60"/>
      <c r="LA743" s="16"/>
      <c r="LB743" s="16"/>
      <c r="LC743" s="16"/>
      <c r="LD743" s="16"/>
      <c r="LE743" s="16"/>
      <c r="LF743" s="17"/>
      <c r="LJ743" s="24"/>
      <c r="LK743" s="60"/>
      <c r="LL743" s="16"/>
      <c r="LM743" s="16"/>
      <c r="LN743" s="16"/>
      <c r="LO743" s="16"/>
      <c r="LP743" s="16"/>
      <c r="LQ743" s="17"/>
    </row>
    <row r="744">
      <c r="C744" s="31"/>
      <c r="D744" s="61"/>
      <c r="E744" s="16"/>
      <c r="F744" s="16"/>
      <c r="G744" s="21"/>
      <c r="H744" s="16"/>
      <c r="I744" s="16"/>
      <c r="J744" s="17"/>
      <c r="N744" s="17"/>
      <c r="O744" s="61"/>
      <c r="P744" s="16"/>
      <c r="Q744" s="16"/>
      <c r="R744" s="16"/>
      <c r="S744" s="16"/>
      <c r="T744" s="16"/>
      <c r="U744" s="17"/>
      <c r="Y744" s="24"/>
      <c r="Z744" s="61"/>
      <c r="AA744" s="16"/>
      <c r="AB744" s="16"/>
      <c r="AC744" s="16"/>
      <c r="AD744" s="16"/>
      <c r="AE744" s="16"/>
      <c r="AF744" s="17"/>
      <c r="AJ744" s="24"/>
      <c r="AK744" s="61"/>
      <c r="AL744" s="16"/>
      <c r="AM744" s="16"/>
      <c r="AN744" s="16"/>
      <c r="AO744" s="16"/>
      <c r="AP744" s="16"/>
      <c r="AQ744" s="17"/>
      <c r="AU744" s="24"/>
      <c r="AV744" s="61"/>
      <c r="AW744" s="16"/>
      <c r="AX744" s="16"/>
      <c r="AY744" s="16"/>
      <c r="AZ744" s="16"/>
      <c r="BA744" s="16"/>
      <c r="BB744" s="17"/>
      <c r="BF744" s="24"/>
      <c r="BG744" s="61"/>
      <c r="BH744" s="16"/>
      <c r="BI744" s="16"/>
      <c r="BJ744" s="16"/>
      <c r="BK744" s="16"/>
      <c r="BL744" s="16"/>
      <c r="BM744" s="17"/>
      <c r="BQ744" s="24"/>
      <c r="BR744" s="61"/>
      <c r="BS744" s="16"/>
      <c r="BT744" s="16"/>
      <c r="BU744" s="16"/>
      <c r="BV744" s="16"/>
      <c r="BW744" s="16"/>
      <c r="BX744" s="17"/>
      <c r="CB744" s="24"/>
      <c r="CC744" s="61"/>
      <c r="CD744" s="16"/>
      <c r="CE744" s="16"/>
      <c r="CF744" s="16"/>
      <c r="CG744" s="16"/>
      <c r="CH744" s="16"/>
      <c r="CI744" s="17"/>
      <c r="CM744" s="24"/>
      <c r="CN744" s="61"/>
      <c r="CO744" s="16"/>
      <c r="CP744" s="16"/>
      <c r="CQ744" s="16"/>
      <c r="CR744" s="16"/>
      <c r="CS744" s="16"/>
      <c r="CT744" s="17"/>
      <c r="CX744" s="24"/>
      <c r="CY744" s="60"/>
      <c r="CZ744" s="16"/>
      <c r="DA744" s="16"/>
      <c r="DB744" s="16"/>
      <c r="DC744" s="16"/>
      <c r="DD744" s="16"/>
      <c r="DE744" s="17"/>
      <c r="DI744" s="24"/>
      <c r="DJ744" s="60"/>
      <c r="DK744" s="16"/>
      <c r="DL744" s="16"/>
      <c r="DM744" s="16"/>
      <c r="DN744" s="16"/>
      <c r="DO744" s="16"/>
      <c r="DP744" s="17"/>
      <c r="DT744" s="24"/>
      <c r="DU744" s="60"/>
      <c r="DV744" s="16"/>
      <c r="DW744" s="16"/>
      <c r="DX744" s="16"/>
      <c r="DY744" s="16"/>
      <c r="DZ744" s="16"/>
      <c r="EA744" s="17"/>
      <c r="EE744" s="24"/>
      <c r="EF744" s="60"/>
      <c r="EG744" s="16"/>
      <c r="EH744" s="16"/>
      <c r="EI744" s="16"/>
      <c r="EJ744" s="16"/>
      <c r="EK744" s="16"/>
      <c r="EL744" s="17"/>
      <c r="EP744" s="24"/>
      <c r="EQ744" s="60"/>
      <c r="ER744" s="16"/>
      <c r="ES744" s="16"/>
      <c r="ET744" s="16"/>
      <c r="EU744" s="16"/>
      <c r="EV744" s="16"/>
      <c r="EW744" s="17"/>
      <c r="FA744" s="24"/>
      <c r="FB744" s="60"/>
      <c r="FC744" s="16"/>
      <c r="FD744" s="16"/>
      <c r="FE744" s="16"/>
      <c r="FF744" s="16"/>
      <c r="FG744" s="16"/>
      <c r="FH744" s="17"/>
      <c r="FL744" s="24"/>
      <c r="FM744" s="60"/>
      <c r="FN744" s="16"/>
      <c r="FO744" s="16"/>
      <c r="FP744" s="16"/>
      <c r="FQ744" s="16"/>
      <c r="FR744" s="16"/>
      <c r="FS744" s="17"/>
      <c r="FW744" s="24"/>
      <c r="FX744" s="60"/>
      <c r="FY744" s="16"/>
      <c r="FZ744" s="16"/>
      <c r="GA744" s="16"/>
      <c r="GB744" s="16"/>
      <c r="GC744" s="16"/>
      <c r="GD744" s="17"/>
      <c r="GH744" s="24"/>
      <c r="GI744" s="60"/>
      <c r="GJ744" s="16"/>
      <c r="GK744" s="16"/>
      <c r="GL744" s="16"/>
      <c r="GM744" s="16"/>
      <c r="GN744" s="16"/>
      <c r="GO744" s="17"/>
      <c r="GS744" s="24"/>
      <c r="GT744" s="60"/>
      <c r="GU744" s="16"/>
      <c r="GV744" s="16"/>
      <c r="GW744" s="16"/>
      <c r="GX744" s="16"/>
      <c r="GY744" s="16"/>
      <c r="GZ744" s="17"/>
      <c r="HD744" s="24"/>
      <c r="HE744" s="60"/>
      <c r="HF744" s="16"/>
      <c r="HG744" s="16"/>
      <c r="HH744" s="16"/>
      <c r="HI744" s="16"/>
      <c r="HJ744" s="16"/>
      <c r="HK744" s="17"/>
      <c r="HO744" s="24"/>
      <c r="HP744" s="60"/>
      <c r="HQ744" s="16"/>
      <c r="HR744" s="16"/>
      <c r="HS744" s="16"/>
      <c r="HT744" s="16"/>
      <c r="HU744" s="16"/>
      <c r="HV744" s="17"/>
      <c r="HZ744" s="24"/>
      <c r="IA744" s="60"/>
      <c r="IB744" s="16"/>
      <c r="IC744" s="16"/>
      <c r="ID744" s="16"/>
      <c r="IE744" s="16"/>
      <c r="IF744" s="16"/>
      <c r="IG744" s="17"/>
      <c r="IK744" s="24"/>
      <c r="IL744" s="60"/>
      <c r="IM744" s="16"/>
      <c r="IN744" s="16"/>
      <c r="IO744" s="16"/>
      <c r="IP744" s="16"/>
      <c r="IQ744" s="16"/>
      <c r="IR744" s="17"/>
      <c r="IV744" s="24"/>
      <c r="IW744" s="60"/>
      <c r="IX744" s="16"/>
      <c r="IY744" s="16"/>
      <c r="IZ744" s="16"/>
      <c r="JA744" s="16"/>
      <c r="JB744" s="16"/>
      <c r="JC744" s="17"/>
      <c r="JG744" s="24"/>
      <c r="JH744" s="60"/>
      <c r="JI744" s="16"/>
      <c r="JJ744" s="16"/>
      <c r="JK744" s="16"/>
      <c r="JL744" s="16"/>
      <c r="JM744" s="16"/>
      <c r="JN744" s="17"/>
      <c r="JR744" s="24"/>
      <c r="JS744" s="60"/>
      <c r="JT744" s="16"/>
      <c r="JU744" s="16"/>
      <c r="JV744" s="16"/>
      <c r="JW744" s="16"/>
      <c r="JX744" s="16"/>
      <c r="JY744" s="17"/>
      <c r="KC744" s="24"/>
      <c r="KD744" s="60"/>
      <c r="KE744" s="16"/>
      <c r="KF744" s="16"/>
      <c r="KG744" s="16"/>
      <c r="KH744" s="16"/>
      <c r="KI744" s="16"/>
      <c r="KJ744" s="17"/>
      <c r="KN744" s="24"/>
      <c r="KO744" s="60"/>
      <c r="KP744" s="16"/>
      <c r="KQ744" s="16"/>
      <c r="KR744" s="16"/>
      <c r="KS744" s="16"/>
      <c r="KT744" s="16"/>
      <c r="KU744" s="17"/>
      <c r="KY744" s="24"/>
      <c r="KZ744" s="60"/>
      <c r="LA744" s="16"/>
      <c r="LB744" s="16"/>
      <c r="LC744" s="16"/>
      <c r="LD744" s="16"/>
      <c r="LE744" s="16"/>
      <c r="LF744" s="17"/>
      <c r="LJ744" s="24"/>
      <c r="LK744" s="60"/>
      <c r="LL744" s="16"/>
      <c r="LM744" s="16"/>
      <c r="LN744" s="16"/>
      <c r="LO744" s="16"/>
      <c r="LP744" s="16"/>
      <c r="LQ744" s="17"/>
    </row>
    <row r="745">
      <c r="C745" s="31"/>
      <c r="D745" s="61"/>
      <c r="E745" s="16"/>
      <c r="F745" s="16"/>
      <c r="G745" s="21"/>
      <c r="H745" s="16"/>
      <c r="I745" s="16"/>
      <c r="J745" s="17"/>
      <c r="N745" s="17"/>
      <c r="O745" s="61"/>
      <c r="P745" s="16"/>
      <c r="Q745" s="16"/>
      <c r="R745" s="16"/>
      <c r="S745" s="16"/>
      <c r="T745" s="16"/>
      <c r="U745" s="17"/>
      <c r="Y745" s="24"/>
      <c r="Z745" s="61"/>
      <c r="AA745" s="16"/>
      <c r="AB745" s="16"/>
      <c r="AC745" s="16"/>
      <c r="AD745" s="16"/>
      <c r="AE745" s="16"/>
      <c r="AF745" s="17"/>
      <c r="AJ745" s="24"/>
      <c r="AK745" s="61"/>
      <c r="AL745" s="16"/>
      <c r="AM745" s="16"/>
      <c r="AN745" s="16"/>
      <c r="AO745" s="16"/>
      <c r="AP745" s="16"/>
      <c r="AQ745" s="17"/>
      <c r="AU745" s="24"/>
      <c r="AV745" s="61"/>
      <c r="AW745" s="16"/>
      <c r="AX745" s="16"/>
      <c r="AY745" s="16"/>
      <c r="AZ745" s="16"/>
      <c r="BA745" s="16"/>
      <c r="BB745" s="17"/>
      <c r="BF745" s="24"/>
      <c r="BG745" s="61"/>
      <c r="BH745" s="16"/>
      <c r="BI745" s="16"/>
      <c r="BJ745" s="16"/>
      <c r="BK745" s="16"/>
      <c r="BL745" s="16"/>
      <c r="BM745" s="17"/>
      <c r="BQ745" s="24"/>
      <c r="BR745" s="61"/>
      <c r="BS745" s="16"/>
      <c r="BT745" s="16"/>
      <c r="BU745" s="16"/>
      <c r="BV745" s="16"/>
      <c r="BW745" s="16"/>
      <c r="BX745" s="17"/>
      <c r="CB745" s="24"/>
      <c r="CC745" s="61"/>
      <c r="CD745" s="16"/>
      <c r="CE745" s="16"/>
      <c r="CF745" s="16"/>
      <c r="CG745" s="16"/>
      <c r="CH745" s="16"/>
      <c r="CI745" s="17"/>
      <c r="CM745" s="24"/>
      <c r="CN745" s="61"/>
      <c r="CO745" s="16"/>
      <c r="CP745" s="16"/>
      <c r="CQ745" s="16"/>
      <c r="CR745" s="16"/>
      <c r="CS745" s="16"/>
      <c r="CT745" s="17"/>
      <c r="CX745" s="24"/>
      <c r="CY745" s="60"/>
      <c r="CZ745" s="16"/>
      <c r="DA745" s="16"/>
      <c r="DB745" s="16"/>
      <c r="DC745" s="16"/>
      <c r="DD745" s="16"/>
      <c r="DE745" s="17"/>
      <c r="DI745" s="24"/>
      <c r="DJ745" s="60"/>
      <c r="DK745" s="16"/>
      <c r="DL745" s="16"/>
      <c r="DM745" s="16"/>
      <c r="DN745" s="16"/>
      <c r="DO745" s="16"/>
      <c r="DP745" s="17"/>
      <c r="DT745" s="24"/>
      <c r="DU745" s="60"/>
      <c r="DV745" s="16"/>
      <c r="DW745" s="16"/>
      <c r="DX745" s="16"/>
      <c r="DY745" s="16"/>
      <c r="DZ745" s="16"/>
      <c r="EA745" s="17"/>
      <c r="EE745" s="24"/>
      <c r="EF745" s="60"/>
      <c r="EG745" s="16"/>
      <c r="EH745" s="16"/>
      <c r="EI745" s="16"/>
      <c r="EJ745" s="16"/>
      <c r="EK745" s="16"/>
      <c r="EL745" s="17"/>
      <c r="EP745" s="24"/>
      <c r="EQ745" s="60"/>
      <c r="ER745" s="16"/>
      <c r="ES745" s="16"/>
      <c r="ET745" s="16"/>
      <c r="EU745" s="16"/>
      <c r="EV745" s="16"/>
      <c r="EW745" s="17"/>
      <c r="FA745" s="24"/>
      <c r="FB745" s="60"/>
      <c r="FC745" s="16"/>
      <c r="FD745" s="16"/>
      <c r="FE745" s="16"/>
      <c r="FF745" s="16"/>
      <c r="FG745" s="16"/>
      <c r="FH745" s="17"/>
      <c r="FL745" s="24"/>
      <c r="FM745" s="60"/>
      <c r="FN745" s="16"/>
      <c r="FO745" s="16"/>
      <c r="FP745" s="16"/>
      <c r="FQ745" s="16"/>
      <c r="FR745" s="16"/>
      <c r="FS745" s="17"/>
      <c r="FW745" s="24"/>
      <c r="FX745" s="60"/>
      <c r="FY745" s="16"/>
      <c r="FZ745" s="16"/>
      <c r="GA745" s="16"/>
      <c r="GB745" s="16"/>
      <c r="GC745" s="16"/>
      <c r="GD745" s="17"/>
      <c r="GH745" s="24"/>
      <c r="GI745" s="60"/>
      <c r="GJ745" s="16"/>
      <c r="GK745" s="16"/>
      <c r="GL745" s="16"/>
      <c r="GM745" s="16"/>
      <c r="GN745" s="16"/>
      <c r="GO745" s="17"/>
      <c r="GS745" s="24"/>
      <c r="GT745" s="60"/>
      <c r="GU745" s="16"/>
      <c r="GV745" s="16"/>
      <c r="GW745" s="16"/>
      <c r="GX745" s="16"/>
      <c r="GY745" s="16"/>
      <c r="GZ745" s="17"/>
      <c r="HD745" s="24"/>
      <c r="HE745" s="60"/>
      <c r="HF745" s="16"/>
      <c r="HG745" s="16"/>
      <c r="HH745" s="16"/>
      <c r="HI745" s="16"/>
      <c r="HJ745" s="16"/>
      <c r="HK745" s="17"/>
      <c r="HO745" s="24"/>
      <c r="HP745" s="60"/>
      <c r="HQ745" s="16"/>
      <c r="HR745" s="16"/>
      <c r="HS745" s="16"/>
      <c r="HT745" s="16"/>
      <c r="HU745" s="16"/>
      <c r="HV745" s="17"/>
      <c r="HZ745" s="24"/>
      <c r="IA745" s="60"/>
      <c r="IB745" s="16"/>
      <c r="IC745" s="16"/>
      <c r="ID745" s="16"/>
      <c r="IE745" s="16"/>
      <c r="IF745" s="16"/>
      <c r="IG745" s="17"/>
      <c r="IK745" s="24"/>
      <c r="IL745" s="60"/>
      <c r="IM745" s="16"/>
      <c r="IN745" s="16"/>
      <c r="IO745" s="16"/>
      <c r="IP745" s="16"/>
      <c r="IQ745" s="16"/>
      <c r="IR745" s="17"/>
      <c r="IV745" s="24"/>
      <c r="IW745" s="60"/>
      <c r="IX745" s="16"/>
      <c r="IY745" s="16"/>
      <c r="IZ745" s="16"/>
      <c r="JA745" s="16"/>
      <c r="JB745" s="16"/>
      <c r="JC745" s="17"/>
      <c r="JG745" s="24"/>
      <c r="JH745" s="60"/>
      <c r="JI745" s="16"/>
      <c r="JJ745" s="16"/>
      <c r="JK745" s="16"/>
      <c r="JL745" s="16"/>
      <c r="JM745" s="16"/>
      <c r="JN745" s="17"/>
      <c r="JR745" s="24"/>
      <c r="JS745" s="60"/>
      <c r="JT745" s="16"/>
      <c r="JU745" s="16"/>
      <c r="JV745" s="16"/>
      <c r="JW745" s="16"/>
      <c r="JX745" s="16"/>
      <c r="JY745" s="17"/>
      <c r="KC745" s="24"/>
      <c r="KD745" s="60"/>
      <c r="KE745" s="16"/>
      <c r="KF745" s="16"/>
      <c r="KG745" s="16"/>
      <c r="KH745" s="16"/>
      <c r="KI745" s="16"/>
      <c r="KJ745" s="17"/>
      <c r="KN745" s="24"/>
      <c r="KO745" s="60"/>
      <c r="KP745" s="16"/>
      <c r="KQ745" s="16"/>
      <c r="KR745" s="16"/>
      <c r="KS745" s="16"/>
      <c r="KT745" s="16"/>
      <c r="KU745" s="17"/>
      <c r="KY745" s="24"/>
      <c r="KZ745" s="60"/>
      <c r="LA745" s="16"/>
      <c r="LB745" s="16"/>
      <c r="LC745" s="16"/>
      <c r="LD745" s="16"/>
      <c r="LE745" s="16"/>
      <c r="LF745" s="17"/>
      <c r="LJ745" s="24"/>
      <c r="LK745" s="60"/>
      <c r="LL745" s="16"/>
      <c r="LM745" s="16"/>
      <c r="LN745" s="16"/>
      <c r="LO745" s="16"/>
      <c r="LP745" s="16"/>
      <c r="LQ745" s="17"/>
    </row>
    <row r="746">
      <c r="C746" s="31"/>
      <c r="D746" s="61"/>
      <c r="E746" s="16"/>
      <c r="F746" s="16"/>
      <c r="G746" s="21"/>
      <c r="H746" s="16"/>
      <c r="I746" s="16"/>
      <c r="J746" s="17"/>
      <c r="N746" s="17"/>
      <c r="O746" s="61"/>
      <c r="P746" s="16"/>
      <c r="Q746" s="16"/>
      <c r="R746" s="16"/>
      <c r="S746" s="16"/>
      <c r="T746" s="16"/>
      <c r="U746" s="17"/>
      <c r="Y746" s="24"/>
      <c r="Z746" s="61"/>
      <c r="AA746" s="16"/>
      <c r="AB746" s="16"/>
      <c r="AC746" s="16"/>
      <c r="AD746" s="16"/>
      <c r="AE746" s="16"/>
      <c r="AF746" s="17"/>
      <c r="AJ746" s="24"/>
      <c r="AK746" s="61"/>
      <c r="AL746" s="16"/>
      <c r="AM746" s="16"/>
      <c r="AN746" s="16"/>
      <c r="AO746" s="16"/>
      <c r="AP746" s="16"/>
      <c r="AQ746" s="17"/>
      <c r="AU746" s="24"/>
      <c r="AV746" s="61"/>
      <c r="AW746" s="16"/>
      <c r="AX746" s="16"/>
      <c r="AY746" s="16"/>
      <c r="AZ746" s="16"/>
      <c r="BA746" s="16"/>
      <c r="BB746" s="17"/>
      <c r="BF746" s="24"/>
      <c r="BG746" s="61"/>
      <c r="BH746" s="16"/>
      <c r="BI746" s="16"/>
      <c r="BJ746" s="16"/>
      <c r="BK746" s="16"/>
      <c r="BL746" s="16"/>
      <c r="BM746" s="17"/>
      <c r="BQ746" s="24"/>
      <c r="BR746" s="61"/>
      <c r="BS746" s="16"/>
      <c r="BT746" s="16"/>
      <c r="BU746" s="16"/>
      <c r="BV746" s="16"/>
      <c r="BW746" s="16"/>
      <c r="BX746" s="17"/>
      <c r="CB746" s="24"/>
      <c r="CC746" s="61"/>
      <c r="CD746" s="16"/>
      <c r="CE746" s="16"/>
      <c r="CF746" s="16"/>
      <c r="CG746" s="16"/>
      <c r="CH746" s="16"/>
      <c r="CI746" s="17"/>
      <c r="CM746" s="24"/>
      <c r="CN746" s="61"/>
      <c r="CO746" s="16"/>
      <c r="CP746" s="16"/>
      <c r="CQ746" s="16"/>
      <c r="CR746" s="16"/>
      <c r="CS746" s="16"/>
      <c r="CT746" s="17"/>
      <c r="CX746" s="24"/>
      <c r="CY746" s="60"/>
      <c r="CZ746" s="16"/>
      <c r="DA746" s="16"/>
      <c r="DB746" s="16"/>
      <c r="DC746" s="16"/>
      <c r="DD746" s="16"/>
      <c r="DE746" s="17"/>
      <c r="DI746" s="24"/>
      <c r="DJ746" s="60"/>
      <c r="DK746" s="16"/>
      <c r="DL746" s="16"/>
      <c r="DM746" s="16"/>
      <c r="DN746" s="16"/>
      <c r="DO746" s="16"/>
      <c r="DP746" s="17"/>
      <c r="DT746" s="24"/>
      <c r="DU746" s="60"/>
      <c r="DV746" s="16"/>
      <c r="DW746" s="16"/>
      <c r="DX746" s="16"/>
      <c r="DY746" s="16"/>
      <c r="DZ746" s="16"/>
      <c r="EA746" s="17"/>
      <c r="EE746" s="24"/>
      <c r="EF746" s="60"/>
      <c r="EG746" s="16"/>
      <c r="EH746" s="16"/>
      <c r="EI746" s="16"/>
      <c r="EJ746" s="16"/>
      <c r="EK746" s="16"/>
      <c r="EL746" s="17"/>
      <c r="EP746" s="24"/>
      <c r="EQ746" s="60"/>
      <c r="ER746" s="16"/>
      <c r="ES746" s="16"/>
      <c r="ET746" s="16"/>
      <c r="EU746" s="16"/>
      <c r="EV746" s="16"/>
      <c r="EW746" s="17"/>
      <c r="FA746" s="24"/>
      <c r="FB746" s="60"/>
      <c r="FC746" s="16"/>
      <c r="FD746" s="16"/>
      <c r="FE746" s="16"/>
      <c r="FF746" s="16"/>
      <c r="FG746" s="16"/>
      <c r="FH746" s="17"/>
      <c r="FL746" s="24"/>
      <c r="FM746" s="60"/>
      <c r="FN746" s="16"/>
      <c r="FO746" s="16"/>
      <c r="FP746" s="16"/>
      <c r="FQ746" s="16"/>
      <c r="FR746" s="16"/>
      <c r="FS746" s="17"/>
      <c r="FW746" s="24"/>
      <c r="FX746" s="60"/>
      <c r="FY746" s="16"/>
      <c r="FZ746" s="16"/>
      <c r="GA746" s="16"/>
      <c r="GB746" s="16"/>
      <c r="GC746" s="16"/>
      <c r="GD746" s="17"/>
      <c r="GH746" s="24"/>
      <c r="GI746" s="60"/>
      <c r="GJ746" s="16"/>
      <c r="GK746" s="16"/>
      <c r="GL746" s="16"/>
      <c r="GM746" s="16"/>
      <c r="GN746" s="16"/>
      <c r="GO746" s="17"/>
      <c r="GS746" s="24"/>
      <c r="GT746" s="60"/>
      <c r="GU746" s="16"/>
      <c r="GV746" s="16"/>
      <c r="GW746" s="16"/>
      <c r="GX746" s="16"/>
      <c r="GY746" s="16"/>
      <c r="GZ746" s="17"/>
      <c r="HD746" s="24"/>
      <c r="HE746" s="60"/>
      <c r="HF746" s="16"/>
      <c r="HG746" s="16"/>
      <c r="HH746" s="16"/>
      <c r="HI746" s="16"/>
      <c r="HJ746" s="16"/>
      <c r="HK746" s="17"/>
      <c r="HO746" s="24"/>
      <c r="HP746" s="60"/>
      <c r="HQ746" s="16"/>
      <c r="HR746" s="16"/>
      <c r="HS746" s="16"/>
      <c r="HT746" s="16"/>
      <c r="HU746" s="16"/>
      <c r="HV746" s="17"/>
      <c r="HZ746" s="24"/>
      <c r="IA746" s="60"/>
      <c r="IB746" s="16"/>
      <c r="IC746" s="16"/>
      <c r="ID746" s="16"/>
      <c r="IE746" s="16"/>
      <c r="IF746" s="16"/>
      <c r="IG746" s="17"/>
      <c r="IK746" s="24"/>
      <c r="IL746" s="60"/>
      <c r="IM746" s="16"/>
      <c r="IN746" s="16"/>
      <c r="IO746" s="16"/>
      <c r="IP746" s="16"/>
      <c r="IQ746" s="16"/>
      <c r="IR746" s="17"/>
      <c r="IV746" s="24"/>
      <c r="IW746" s="60"/>
      <c r="IX746" s="16"/>
      <c r="IY746" s="16"/>
      <c r="IZ746" s="16"/>
      <c r="JA746" s="16"/>
      <c r="JB746" s="16"/>
      <c r="JC746" s="17"/>
      <c r="JG746" s="24"/>
      <c r="JH746" s="60"/>
      <c r="JI746" s="16"/>
      <c r="JJ746" s="16"/>
      <c r="JK746" s="16"/>
      <c r="JL746" s="16"/>
      <c r="JM746" s="16"/>
      <c r="JN746" s="17"/>
      <c r="JR746" s="24"/>
      <c r="JS746" s="60"/>
      <c r="JT746" s="16"/>
      <c r="JU746" s="16"/>
      <c r="JV746" s="16"/>
      <c r="JW746" s="16"/>
      <c r="JX746" s="16"/>
      <c r="JY746" s="17"/>
      <c r="KC746" s="24"/>
      <c r="KD746" s="60"/>
      <c r="KE746" s="16"/>
      <c r="KF746" s="16"/>
      <c r="KG746" s="16"/>
      <c r="KH746" s="16"/>
      <c r="KI746" s="16"/>
      <c r="KJ746" s="17"/>
      <c r="KN746" s="24"/>
      <c r="KO746" s="60"/>
      <c r="KP746" s="16"/>
      <c r="KQ746" s="16"/>
      <c r="KR746" s="16"/>
      <c r="KS746" s="16"/>
      <c r="KT746" s="16"/>
      <c r="KU746" s="17"/>
      <c r="KY746" s="24"/>
      <c r="KZ746" s="60"/>
      <c r="LA746" s="16"/>
      <c r="LB746" s="16"/>
      <c r="LC746" s="16"/>
      <c r="LD746" s="16"/>
      <c r="LE746" s="16"/>
      <c r="LF746" s="17"/>
      <c r="LJ746" s="24"/>
      <c r="LK746" s="60"/>
      <c r="LL746" s="16"/>
      <c r="LM746" s="16"/>
      <c r="LN746" s="16"/>
      <c r="LO746" s="16"/>
      <c r="LP746" s="16"/>
      <c r="LQ746" s="17"/>
    </row>
    <row r="747">
      <c r="C747" s="31"/>
      <c r="D747" s="61"/>
      <c r="E747" s="16"/>
      <c r="F747" s="16"/>
      <c r="G747" s="21"/>
      <c r="H747" s="16"/>
      <c r="I747" s="16"/>
      <c r="J747" s="17"/>
      <c r="N747" s="17"/>
      <c r="O747" s="61"/>
      <c r="P747" s="16"/>
      <c r="Q747" s="16"/>
      <c r="R747" s="16"/>
      <c r="S747" s="16"/>
      <c r="T747" s="16"/>
      <c r="U747" s="17"/>
      <c r="Y747" s="24"/>
      <c r="Z747" s="61"/>
      <c r="AA747" s="16"/>
      <c r="AB747" s="16"/>
      <c r="AC747" s="16"/>
      <c r="AD747" s="16"/>
      <c r="AE747" s="16"/>
      <c r="AF747" s="17"/>
      <c r="AJ747" s="24"/>
      <c r="AK747" s="61"/>
      <c r="AL747" s="16"/>
      <c r="AM747" s="16"/>
      <c r="AN747" s="16"/>
      <c r="AO747" s="16"/>
      <c r="AP747" s="16"/>
      <c r="AQ747" s="17"/>
      <c r="AU747" s="24"/>
      <c r="AV747" s="61"/>
      <c r="AW747" s="16"/>
      <c r="AX747" s="16"/>
      <c r="AY747" s="16"/>
      <c r="AZ747" s="16"/>
      <c r="BA747" s="16"/>
      <c r="BB747" s="17"/>
      <c r="BF747" s="24"/>
      <c r="BG747" s="61"/>
      <c r="BH747" s="16"/>
      <c r="BI747" s="16"/>
      <c r="BJ747" s="16"/>
      <c r="BK747" s="16"/>
      <c r="BL747" s="16"/>
      <c r="BM747" s="17"/>
      <c r="BQ747" s="24"/>
      <c r="BR747" s="61"/>
      <c r="BS747" s="16"/>
      <c r="BT747" s="16"/>
      <c r="BU747" s="16"/>
      <c r="BV747" s="16"/>
      <c r="BW747" s="16"/>
      <c r="BX747" s="17"/>
      <c r="CB747" s="24"/>
      <c r="CC747" s="61"/>
      <c r="CD747" s="16"/>
      <c r="CE747" s="16"/>
      <c r="CF747" s="16"/>
      <c r="CG747" s="16"/>
      <c r="CH747" s="16"/>
      <c r="CI747" s="17"/>
      <c r="CM747" s="24"/>
      <c r="CN747" s="61"/>
      <c r="CO747" s="16"/>
      <c r="CP747" s="16"/>
      <c r="CQ747" s="16"/>
      <c r="CR747" s="16"/>
      <c r="CS747" s="16"/>
      <c r="CT747" s="17"/>
      <c r="CX747" s="24"/>
      <c r="CY747" s="60"/>
      <c r="CZ747" s="16"/>
      <c r="DA747" s="16"/>
      <c r="DB747" s="16"/>
      <c r="DC747" s="16"/>
      <c r="DD747" s="16"/>
      <c r="DE747" s="17"/>
      <c r="DI747" s="24"/>
      <c r="DJ747" s="60"/>
      <c r="DK747" s="16"/>
      <c r="DL747" s="16"/>
      <c r="DM747" s="16"/>
      <c r="DN747" s="16"/>
      <c r="DO747" s="16"/>
      <c r="DP747" s="17"/>
      <c r="DT747" s="24"/>
      <c r="DU747" s="60"/>
      <c r="DV747" s="16"/>
      <c r="DW747" s="16"/>
      <c r="DX747" s="16"/>
      <c r="DY747" s="16"/>
      <c r="DZ747" s="16"/>
      <c r="EA747" s="17"/>
      <c r="EE747" s="24"/>
      <c r="EF747" s="60"/>
      <c r="EG747" s="16"/>
      <c r="EH747" s="16"/>
      <c r="EI747" s="16"/>
      <c r="EJ747" s="16"/>
      <c r="EK747" s="16"/>
      <c r="EL747" s="17"/>
      <c r="EP747" s="24"/>
      <c r="EQ747" s="60"/>
      <c r="ER747" s="16"/>
      <c r="ES747" s="16"/>
      <c r="ET747" s="16"/>
      <c r="EU747" s="16"/>
      <c r="EV747" s="16"/>
      <c r="EW747" s="17"/>
      <c r="FA747" s="24"/>
      <c r="FB747" s="60"/>
      <c r="FC747" s="16"/>
      <c r="FD747" s="16"/>
      <c r="FE747" s="16"/>
      <c r="FF747" s="16"/>
      <c r="FG747" s="16"/>
      <c r="FH747" s="17"/>
      <c r="FL747" s="24"/>
      <c r="FM747" s="60"/>
      <c r="FN747" s="16"/>
      <c r="FO747" s="16"/>
      <c r="FP747" s="16"/>
      <c r="FQ747" s="16"/>
      <c r="FR747" s="16"/>
      <c r="FS747" s="17"/>
      <c r="FW747" s="24"/>
      <c r="FX747" s="60"/>
      <c r="FY747" s="16"/>
      <c r="FZ747" s="16"/>
      <c r="GA747" s="16"/>
      <c r="GB747" s="16"/>
      <c r="GC747" s="16"/>
      <c r="GD747" s="17"/>
      <c r="GH747" s="24"/>
      <c r="GI747" s="60"/>
      <c r="GJ747" s="16"/>
      <c r="GK747" s="16"/>
      <c r="GL747" s="16"/>
      <c r="GM747" s="16"/>
      <c r="GN747" s="16"/>
      <c r="GO747" s="17"/>
      <c r="GS747" s="24"/>
      <c r="GT747" s="60"/>
      <c r="GU747" s="16"/>
      <c r="GV747" s="16"/>
      <c r="GW747" s="16"/>
      <c r="GX747" s="16"/>
      <c r="GY747" s="16"/>
      <c r="GZ747" s="17"/>
      <c r="HD747" s="24"/>
      <c r="HE747" s="60"/>
      <c r="HF747" s="16"/>
      <c r="HG747" s="16"/>
      <c r="HH747" s="16"/>
      <c r="HI747" s="16"/>
      <c r="HJ747" s="16"/>
      <c r="HK747" s="17"/>
      <c r="HO747" s="24"/>
      <c r="HP747" s="60"/>
      <c r="HQ747" s="16"/>
      <c r="HR747" s="16"/>
      <c r="HS747" s="16"/>
      <c r="HT747" s="16"/>
      <c r="HU747" s="16"/>
      <c r="HV747" s="17"/>
      <c r="HZ747" s="24"/>
      <c r="IA747" s="60"/>
      <c r="IB747" s="16"/>
      <c r="IC747" s="16"/>
      <c r="ID747" s="16"/>
      <c r="IE747" s="16"/>
      <c r="IF747" s="16"/>
      <c r="IG747" s="17"/>
      <c r="IK747" s="24"/>
      <c r="IL747" s="60"/>
      <c r="IM747" s="16"/>
      <c r="IN747" s="16"/>
      <c r="IO747" s="16"/>
      <c r="IP747" s="16"/>
      <c r="IQ747" s="16"/>
      <c r="IR747" s="17"/>
      <c r="IV747" s="24"/>
      <c r="IW747" s="60"/>
      <c r="IX747" s="16"/>
      <c r="IY747" s="16"/>
      <c r="IZ747" s="16"/>
      <c r="JA747" s="16"/>
      <c r="JB747" s="16"/>
      <c r="JC747" s="17"/>
      <c r="JG747" s="24"/>
      <c r="JH747" s="60"/>
      <c r="JI747" s="16"/>
      <c r="JJ747" s="16"/>
      <c r="JK747" s="16"/>
      <c r="JL747" s="16"/>
      <c r="JM747" s="16"/>
      <c r="JN747" s="17"/>
      <c r="JR747" s="24"/>
      <c r="JS747" s="60"/>
      <c r="JT747" s="16"/>
      <c r="JU747" s="16"/>
      <c r="JV747" s="16"/>
      <c r="JW747" s="16"/>
      <c r="JX747" s="16"/>
      <c r="JY747" s="17"/>
      <c r="KC747" s="24"/>
      <c r="KD747" s="60"/>
      <c r="KE747" s="16"/>
      <c r="KF747" s="16"/>
      <c r="KG747" s="16"/>
      <c r="KH747" s="16"/>
      <c r="KI747" s="16"/>
      <c r="KJ747" s="17"/>
      <c r="KN747" s="24"/>
      <c r="KO747" s="60"/>
      <c r="KP747" s="16"/>
      <c r="KQ747" s="16"/>
      <c r="KR747" s="16"/>
      <c r="KS747" s="16"/>
      <c r="KT747" s="16"/>
      <c r="KU747" s="17"/>
      <c r="KY747" s="24"/>
      <c r="KZ747" s="60"/>
      <c r="LA747" s="16"/>
      <c r="LB747" s="16"/>
      <c r="LC747" s="16"/>
      <c r="LD747" s="16"/>
      <c r="LE747" s="16"/>
      <c r="LF747" s="17"/>
      <c r="LJ747" s="24"/>
      <c r="LK747" s="60"/>
      <c r="LL747" s="16"/>
      <c r="LM747" s="16"/>
      <c r="LN747" s="16"/>
      <c r="LO747" s="16"/>
      <c r="LP747" s="16"/>
      <c r="LQ747" s="17"/>
    </row>
    <row r="748">
      <c r="C748" s="31"/>
      <c r="D748" s="61"/>
      <c r="E748" s="16"/>
      <c r="F748" s="16"/>
      <c r="G748" s="21"/>
      <c r="H748" s="16"/>
      <c r="I748" s="16"/>
      <c r="J748" s="17"/>
      <c r="N748" s="17"/>
      <c r="O748" s="61"/>
      <c r="P748" s="16"/>
      <c r="Q748" s="16"/>
      <c r="R748" s="16"/>
      <c r="S748" s="16"/>
      <c r="T748" s="16"/>
      <c r="U748" s="17"/>
      <c r="Y748" s="24"/>
      <c r="Z748" s="61"/>
      <c r="AA748" s="16"/>
      <c r="AB748" s="16"/>
      <c r="AC748" s="16"/>
      <c r="AD748" s="16"/>
      <c r="AE748" s="16"/>
      <c r="AF748" s="17"/>
      <c r="AJ748" s="24"/>
      <c r="AK748" s="61"/>
      <c r="AL748" s="16"/>
      <c r="AM748" s="16"/>
      <c r="AN748" s="16"/>
      <c r="AO748" s="16"/>
      <c r="AP748" s="16"/>
      <c r="AQ748" s="17"/>
      <c r="AU748" s="24"/>
      <c r="AV748" s="61"/>
      <c r="AW748" s="16"/>
      <c r="AX748" s="16"/>
      <c r="AY748" s="16"/>
      <c r="AZ748" s="16"/>
      <c r="BA748" s="16"/>
      <c r="BB748" s="17"/>
      <c r="BF748" s="24"/>
      <c r="BG748" s="61"/>
      <c r="BH748" s="16"/>
      <c r="BI748" s="16"/>
      <c r="BJ748" s="16"/>
      <c r="BK748" s="16"/>
      <c r="BL748" s="16"/>
      <c r="BM748" s="17"/>
      <c r="BQ748" s="24"/>
      <c r="BR748" s="61"/>
      <c r="BS748" s="16"/>
      <c r="BT748" s="16"/>
      <c r="BU748" s="16"/>
      <c r="BV748" s="16"/>
      <c r="BW748" s="16"/>
      <c r="BX748" s="17"/>
      <c r="CB748" s="24"/>
      <c r="CC748" s="61"/>
      <c r="CD748" s="16"/>
      <c r="CE748" s="16"/>
      <c r="CF748" s="16"/>
      <c r="CG748" s="16"/>
      <c r="CH748" s="16"/>
      <c r="CI748" s="17"/>
      <c r="CM748" s="24"/>
      <c r="CN748" s="61"/>
      <c r="CO748" s="16"/>
      <c r="CP748" s="16"/>
      <c r="CQ748" s="16"/>
      <c r="CR748" s="16"/>
      <c r="CS748" s="16"/>
      <c r="CT748" s="17"/>
      <c r="CX748" s="24"/>
      <c r="CY748" s="60"/>
      <c r="CZ748" s="16"/>
      <c r="DA748" s="16"/>
      <c r="DB748" s="16"/>
      <c r="DC748" s="16"/>
      <c r="DD748" s="16"/>
      <c r="DE748" s="17"/>
      <c r="DI748" s="24"/>
      <c r="DJ748" s="60"/>
      <c r="DK748" s="16"/>
      <c r="DL748" s="16"/>
      <c r="DM748" s="16"/>
      <c r="DN748" s="16"/>
      <c r="DO748" s="16"/>
      <c r="DP748" s="17"/>
      <c r="DT748" s="24"/>
      <c r="DU748" s="60"/>
      <c r="DV748" s="16"/>
      <c r="DW748" s="16"/>
      <c r="DX748" s="16"/>
      <c r="DY748" s="16"/>
      <c r="DZ748" s="16"/>
      <c r="EA748" s="17"/>
      <c r="EE748" s="24"/>
      <c r="EF748" s="60"/>
      <c r="EG748" s="16"/>
      <c r="EH748" s="16"/>
      <c r="EI748" s="16"/>
      <c r="EJ748" s="16"/>
      <c r="EK748" s="16"/>
      <c r="EL748" s="17"/>
      <c r="EP748" s="24"/>
      <c r="EQ748" s="60"/>
      <c r="ER748" s="16"/>
      <c r="ES748" s="16"/>
      <c r="ET748" s="16"/>
      <c r="EU748" s="16"/>
      <c r="EV748" s="16"/>
      <c r="EW748" s="17"/>
      <c r="FA748" s="24"/>
      <c r="FB748" s="60"/>
      <c r="FC748" s="16"/>
      <c r="FD748" s="16"/>
      <c r="FE748" s="16"/>
      <c r="FF748" s="16"/>
      <c r="FG748" s="16"/>
      <c r="FH748" s="17"/>
      <c r="FL748" s="24"/>
      <c r="FM748" s="60"/>
      <c r="FN748" s="16"/>
      <c r="FO748" s="16"/>
      <c r="FP748" s="16"/>
      <c r="FQ748" s="16"/>
      <c r="FR748" s="16"/>
      <c r="FS748" s="17"/>
      <c r="FW748" s="24"/>
      <c r="FX748" s="60"/>
      <c r="FY748" s="16"/>
      <c r="FZ748" s="16"/>
      <c r="GA748" s="16"/>
      <c r="GB748" s="16"/>
      <c r="GC748" s="16"/>
      <c r="GD748" s="17"/>
      <c r="GH748" s="24"/>
      <c r="GI748" s="60"/>
      <c r="GJ748" s="16"/>
      <c r="GK748" s="16"/>
      <c r="GL748" s="16"/>
      <c r="GM748" s="16"/>
      <c r="GN748" s="16"/>
      <c r="GO748" s="17"/>
      <c r="GS748" s="24"/>
      <c r="GT748" s="60"/>
      <c r="GU748" s="16"/>
      <c r="GV748" s="16"/>
      <c r="GW748" s="16"/>
      <c r="GX748" s="16"/>
      <c r="GY748" s="16"/>
      <c r="GZ748" s="17"/>
      <c r="HD748" s="24"/>
      <c r="HE748" s="60"/>
      <c r="HF748" s="16"/>
      <c r="HG748" s="16"/>
      <c r="HH748" s="16"/>
      <c r="HI748" s="16"/>
      <c r="HJ748" s="16"/>
      <c r="HK748" s="17"/>
      <c r="HO748" s="24"/>
      <c r="HP748" s="60"/>
      <c r="HQ748" s="16"/>
      <c r="HR748" s="16"/>
      <c r="HS748" s="16"/>
      <c r="HT748" s="16"/>
      <c r="HU748" s="16"/>
      <c r="HV748" s="17"/>
      <c r="HZ748" s="24"/>
      <c r="IA748" s="60"/>
      <c r="IB748" s="16"/>
      <c r="IC748" s="16"/>
      <c r="ID748" s="16"/>
      <c r="IE748" s="16"/>
      <c r="IF748" s="16"/>
      <c r="IG748" s="17"/>
      <c r="IK748" s="24"/>
      <c r="IL748" s="60"/>
      <c r="IM748" s="16"/>
      <c r="IN748" s="16"/>
      <c r="IO748" s="16"/>
      <c r="IP748" s="16"/>
      <c r="IQ748" s="16"/>
      <c r="IR748" s="17"/>
      <c r="IV748" s="24"/>
      <c r="IW748" s="60"/>
      <c r="IX748" s="16"/>
      <c r="IY748" s="16"/>
      <c r="IZ748" s="16"/>
      <c r="JA748" s="16"/>
      <c r="JB748" s="16"/>
      <c r="JC748" s="17"/>
      <c r="JG748" s="24"/>
      <c r="JH748" s="60"/>
      <c r="JI748" s="16"/>
      <c r="JJ748" s="16"/>
      <c r="JK748" s="16"/>
      <c r="JL748" s="16"/>
      <c r="JM748" s="16"/>
      <c r="JN748" s="17"/>
      <c r="JR748" s="24"/>
      <c r="JS748" s="60"/>
      <c r="JT748" s="16"/>
      <c r="JU748" s="16"/>
      <c r="JV748" s="16"/>
      <c r="JW748" s="16"/>
      <c r="JX748" s="16"/>
      <c r="JY748" s="17"/>
      <c r="KC748" s="24"/>
      <c r="KD748" s="60"/>
      <c r="KE748" s="16"/>
      <c r="KF748" s="16"/>
      <c r="KG748" s="16"/>
      <c r="KH748" s="16"/>
      <c r="KI748" s="16"/>
      <c r="KJ748" s="17"/>
      <c r="KN748" s="24"/>
      <c r="KO748" s="60"/>
      <c r="KP748" s="16"/>
      <c r="KQ748" s="16"/>
      <c r="KR748" s="16"/>
      <c r="KS748" s="16"/>
      <c r="KT748" s="16"/>
      <c r="KU748" s="17"/>
      <c r="KY748" s="24"/>
      <c r="KZ748" s="60"/>
      <c r="LA748" s="16"/>
      <c r="LB748" s="16"/>
      <c r="LC748" s="16"/>
      <c r="LD748" s="16"/>
      <c r="LE748" s="16"/>
      <c r="LF748" s="17"/>
      <c r="LJ748" s="24"/>
      <c r="LK748" s="60"/>
      <c r="LL748" s="16"/>
      <c r="LM748" s="16"/>
      <c r="LN748" s="16"/>
      <c r="LO748" s="16"/>
      <c r="LP748" s="16"/>
      <c r="LQ748" s="17"/>
    </row>
    <row r="749">
      <c r="C749" s="31"/>
      <c r="D749" s="61"/>
      <c r="E749" s="16"/>
      <c r="F749" s="16"/>
      <c r="G749" s="21"/>
      <c r="H749" s="16"/>
      <c r="I749" s="16"/>
      <c r="J749" s="17"/>
      <c r="N749" s="17"/>
      <c r="O749" s="61"/>
      <c r="P749" s="16"/>
      <c r="Q749" s="16"/>
      <c r="R749" s="16"/>
      <c r="S749" s="16"/>
      <c r="T749" s="16"/>
      <c r="U749" s="17"/>
      <c r="Y749" s="24"/>
      <c r="Z749" s="61"/>
      <c r="AA749" s="16"/>
      <c r="AB749" s="16"/>
      <c r="AC749" s="16"/>
      <c r="AD749" s="16"/>
      <c r="AE749" s="16"/>
      <c r="AF749" s="17"/>
      <c r="AJ749" s="24"/>
      <c r="AK749" s="61"/>
      <c r="AL749" s="16"/>
      <c r="AM749" s="16"/>
      <c r="AN749" s="16"/>
      <c r="AO749" s="16"/>
      <c r="AP749" s="16"/>
      <c r="AQ749" s="17"/>
      <c r="AU749" s="24"/>
      <c r="AV749" s="61"/>
      <c r="AW749" s="16"/>
      <c r="AX749" s="16"/>
      <c r="AY749" s="16"/>
      <c r="AZ749" s="16"/>
      <c r="BA749" s="16"/>
      <c r="BB749" s="17"/>
      <c r="BF749" s="24"/>
      <c r="BG749" s="61"/>
      <c r="BH749" s="16"/>
      <c r="BI749" s="16"/>
      <c r="BJ749" s="16"/>
      <c r="BK749" s="16"/>
      <c r="BL749" s="16"/>
      <c r="BM749" s="17"/>
      <c r="BQ749" s="24"/>
      <c r="BR749" s="61"/>
      <c r="BS749" s="16"/>
      <c r="BT749" s="16"/>
      <c r="BU749" s="16"/>
      <c r="BV749" s="16"/>
      <c r="BW749" s="16"/>
      <c r="BX749" s="17"/>
      <c r="CB749" s="24"/>
      <c r="CC749" s="61"/>
      <c r="CD749" s="16"/>
      <c r="CE749" s="16"/>
      <c r="CF749" s="16"/>
      <c r="CG749" s="16"/>
      <c r="CH749" s="16"/>
      <c r="CI749" s="17"/>
      <c r="CM749" s="24"/>
      <c r="CN749" s="61"/>
      <c r="CO749" s="16"/>
      <c r="CP749" s="16"/>
      <c r="CQ749" s="16"/>
      <c r="CR749" s="16"/>
      <c r="CS749" s="16"/>
      <c r="CT749" s="17"/>
      <c r="CX749" s="24"/>
      <c r="CY749" s="60"/>
      <c r="CZ749" s="16"/>
      <c r="DA749" s="16"/>
      <c r="DB749" s="16"/>
      <c r="DC749" s="16"/>
      <c r="DD749" s="16"/>
      <c r="DE749" s="17"/>
      <c r="DI749" s="24"/>
      <c r="DJ749" s="60"/>
      <c r="DK749" s="16"/>
      <c r="DL749" s="16"/>
      <c r="DM749" s="16"/>
      <c r="DN749" s="16"/>
      <c r="DO749" s="16"/>
      <c r="DP749" s="17"/>
      <c r="DT749" s="24"/>
      <c r="DU749" s="60"/>
      <c r="DV749" s="16"/>
      <c r="DW749" s="16"/>
      <c r="DX749" s="16"/>
      <c r="DY749" s="16"/>
      <c r="DZ749" s="16"/>
      <c r="EA749" s="17"/>
      <c r="EE749" s="24"/>
      <c r="EF749" s="60"/>
      <c r="EG749" s="16"/>
      <c r="EH749" s="16"/>
      <c r="EI749" s="16"/>
      <c r="EJ749" s="16"/>
      <c r="EK749" s="16"/>
      <c r="EL749" s="17"/>
      <c r="EP749" s="24"/>
      <c r="EQ749" s="60"/>
      <c r="ER749" s="16"/>
      <c r="ES749" s="16"/>
      <c r="ET749" s="16"/>
      <c r="EU749" s="16"/>
      <c r="EV749" s="16"/>
      <c r="EW749" s="17"/>
      <c r="FA749" s="24"/>
      <c r="FB749" s="60"/>
      <c r="FC749" s="16"/>
      <c r="FD749" s="16"/>
      <c r="FE749" s="16"/>
      <c r="FF749" s="16"/>
      <c r="FG749" s="16"/>
      <c r="FH749" s="17"/>
      <c r="FL749" s="24"/>
      <c r="FM749" s="60"/>
      <c r="FN749" s="16"/>
      <c r="FO749" s="16"/>
      <c r="FP749" s="16"/>
      <c r="FQ749" s="16"/>
      <c r="FR749" s="16"/>
      <c r="FS749" s="17"/>
      <c r="FW749" s="24"/>
      <c r="FX749" s="60"/>
      <c r="FY749" s="16"/>
      <c r="FZ749" s="16"/>
      <c r="GA749" s="16"/>
      <c r="GB749" s="16"/>
      <c r="GC749" s="16"/>
      <c r="GD749" s="17"/>
      <c r="GH749" s="24"/>
      <c r="GI749" s="60"/>
      <c r="GJ749" s="16"/>
      <c r="GK749" s="16"/>
      <c r="GL749" s="16"/>
      <c r="GM749" s="16"/>
      <c r="GN749" s="16"/>
      <c r="GO749" s="17"/>
      <c r="GS749" s="24"/>
      <c r="GT749" s="60"/>
      <c r="GU749" s="16"/>
      <c r="GV749" s="16"/>
      <c r="GW749" s="16"/>
      <c r="GX749" s="16"/>
      <c r="GY749" s="16"/>
      <c r="GZ749" s="17"/>
      <c r="HD749" s="24"/>
      <c r="HE749" s="60"/>
      <c r="HF749" s="16"/>
      <c r="HG749" s="16"/>
      <c r="HH749" s="16"/>
      <c r="HI749" s="16"/>
      <c r="HJ749" s="16"/>
      <c r="HK749" s="17"/>
      <c r="HO749" s="24"/>
      <c r="HP749" s="60"/>
      <c r="HQ749" s="16"/>
      <c r="HR749" s="16"/>
      <c r="HS749" s="16"/>
      <c r="HT749" s="16"/>
      <c r="HU749" s="16"/>
      <c r="HV749" s="17"/>
      <c r="HZ749" s="24"/>
      <c r="IA749" s="60"/>
      <c r="IB749" s="16"/>
      <c r="IC749" s="16"/>
      <c r="ID749" s="16"/>
      <c r="IE749" s="16"/>
      <c r="IF749" s="16"/>
      <c r="IG749" s="17"/>
      <c r="IK749" s="24"/>
      <c r="IL749" s="60"/>
      <c r="IM749" s="16"/>
      <c r="IN749" s="16"/>
      <c r="IO749" s="16"/>
      <c r="IP749" s="16"/>
      <c r="IQ749" s="16"/>
      <c r="IR749" s="17"/>
      <c r="IV749" s="24"/>
      <c r="IW749" s="60"/>
      <c r="IX749" s="16"/>
      <c r="IY749" s="16"/>
      <c r="IZ749" s="16"/>
      <c r="JA749" s="16"/>
      <c r="JB749" s="16"/>
      <c r="JC749" s="17"/>
      <c r="JG749" s="24"/>
      <c r="JH749" s="60"/>
      <c r="JI749" s="16"/>
      <c r="JJ749" s="16"/>
      <c r="JK749" s="16"/>
      <c r="JL749" s="16"/>
      <c r="JM749" s="16"/>
      <c r="JN749" s="17"/>
      <c r="JR749" s="24"/>
      <c r="JS749" s="60"/>
      <c r="JT749" s="16"/>
      <c r="JU749" s="16"/>
      <c r="JV749" s="16"/>
      <c r="JW749" s="16"/>
      <c r="JX749" s="16"/>
      <c r="JY749" s="17"/>
      <c r="KC749" s="24"/>
      <c r="KD749" s="60"/>
      <c r="KE749" s="16"/>
      <c r="KF749" s="16"/>
      <c r="KG749" s="16"/>
      <c r="KH749" s="16"/>
      <c r="KI749" s="16"/>
      <c r="KJ749" s="17"/>
      <c r="KN749" s="24"/>
      <c r="KO749" s="60"/>
      <c r="KP749" s="16"/>
      <c r="KQ749" s="16"/>
      <c r="KR749" s="16"/>
      <c r="KS749" s="16"/>
      <c r="KT749" s="16"/>
      <c r="KU749" s="17"/>
      <c r="KY749" s="24"/>
      <c r="KZ749" s="60"/>
      <c r="LA749" s="16"/>
      <c r="LB749" s="16"/>
      <c r="LC749" s="16"/>
      <c r="LD749" s="16"/>
      <c r="LE749" s="16"/>
      <c r="LF749" s="17"/>
      <c r="LJ749" s="24"/>
      <c r="LK749" s="60"/>
      <c r="LL749" s="16"/>
      <c r="LM749" s="16"/>
      <c r="LN749" s="16"/>
      <c r="LO749" s="16"/>
      <c r="LP749" s="16"/>
      <c r="LQ749" s="17"/>
    </row>
    <row r="750">
      <c r="C750" s="31"/>
      <c r="D750" s="61"/>
      <c r="E750" s="16"/>
      <c r="F750" s="16"/>
      <c r="G750" s="21"/>
      <c r="H750" s="16"/>
      <c r="I750" s="16"/>
      <c r="J750" s="17"/>
      <c r="N750" s="17"/>
      <c r="O750" s="61"/>
      <c r="P750" s="16"/>
      <c r="Q750" s="16"/>
      <c r="R750" s="16"/>
      <c r="S750" s="16"/>
      <c r="T750" s="16"/>
      <c r="U750" s="17"/>
      <c r="Y750" s="24"/>
      <c r="Z750" s="61"/>
      <c r="AA750" s="16"/>
      <c r="AB750" s="16"/>
      <c r="AC750" s="16"/>
      <c r="AD750" s="16"/>
      <c r="AE750" s="16"/>
      <c r="AF750" s="17"/>
      <c r="AJ750" s="24"/>
      <c r="AK750" s="61"/>
      <c r="AL750" s="16"/>
      <c r="AM750" s="16"/>
      <c r="AN750" s="16"/>
      <c r="AO750" s="16"/>
      <c r="AP750" s="16"/>
      <c r="AQ750" s="17"/>
      <c r="AU750" s="24"/>
      <c r="AV750" s="61"/>
      <c r="AW750" s="16"/>
      <c r="AX750" s="16"/>
      <c r="AY750" s="16"/>
      <c r="AZ750" s="16"/>
      <c r="BA750" s="16"/>
      <c r="BB750" s="17"/>
      <c r="BF750" s="24"/>
      <c r="BG750" s="61"/>
      <c r="BH750" s="16"/>
      <c r="BI750" s="16"/>
      <c r="BJ750" s="16"/>
      <c r="BK750" s="16"/>
      <c r="BL750" s="16"/>
      <c r="BM750" s="17"/>
      <c r="BQ750" s="24"/>
      <c r="BR750" s="61"/>
      <c r="BS750" s="16"/>
      <c r="BT750" s="16"/>
      <c r="BU750" s="16"/>
      <c r="BV750" s="16"/>
      <c r="BW750" s="16"/>
      <c r="BX750" s="17"/>
      <c r="CB750" s="24"/>
      <c r="CC750" s="61"/>
      <c r="CD750" s="16"/>
      <c r="CE750" s="16"/>
      <c r="CF750" s="16"/>
      <c r="CG750" s="16"/>
      <c r="CH750" s="16"/>
      <c r="CI750" s="17"/>
      <c r="CM750" s="24"/>
      <c r="CN750" s="61"/>
      <c r="CO750" s="16"/>
      <c r="CP750" s="16"/>
      <c r="CQ750" s="16"/>
      <c r="CR750" s="16"/>
      <c r="CS750" s="16"/>
      <c r="CT750" s="17"/>
      <c r="CX750" s="24"/>
      <c r="CY750" s="60"/>
      <c r="CZ750" s="16"/>
      <c r="DA750" s="16"/>
      <c r="DB750" s="16"/>
      <c r="DC750" s="16"/>
      <c r="DD750" s="16"/>
      <c r="DE750" s="17"/>
      <c r="DI750" s="24"/>
      <c r="DJ750" s="60"/>
      <c r="DK750" s="16"/>
      <c r="DL750" s="16"/>
      <c r="DM750" s="16"/>
      <c r="DN750" s="16"/>
      <c r="DO750" s="16"/>
      <c r="DP750" s="17"/>
      <c r="DT750" s="24"/>
      <c r="DU750" s="60"/>
      <c r="DV750" s="16"/>
      <c r="DW750" s="16"/>
      <c r="DX750" s="16"/>
      <c r="DY750" s="16"/>
      <c r="DZ750" s="16"/>
      <c r="EA750" s="17"/>
      <c r="EE750" s="24"/>
      <c r="EF750" s="60"/>
      <c r="EG750" s="16"/>
      <c r="EH750" s="16"/>
      <c r="EI750" s="16"/>
      <c r="EJ750" s="16"/>
      <c r="EK750" s="16"/>
      <c r="EL750" s="17"/>
      <c r="EP750" s="24"/>
      <c r="EQ750" s="60"/>
      <c r="ER750" s="16"/>
      <c r="ES750" s="16"/>
      <c r="ET750" s="16"/>
      <c r="EU750" s="16"/>
      <c r="EV750" s="16"/>
      <c r="EW750" s="17"/>
      <c r="FA750" s="24"/>
      <c r="FB750" s="60"/>
      <c r="FC750" s="16"/>
      <c r="FD750" s="16"/>
      <c r="FE750" s="16"/>
      <c r="FF750" s="16"/>
      <c r="FG750" s="16"/>
      <c r="FH750" s="17"/>
      <c r="FL750" s="24"/>
      <c r="FM750" s="60"/>
      <c r="FN750" s="16"/>
      <c r="FO750" s="16"/>
      <c r="FP750" s="16"/>
      <c r="FQ750" s="16"/>
      <c r="FR750" s="16"/>
      <c r="FS750" s="17"/>
      <c r="FW750" s="24"/>
      <c r="FX750" s="60"/>
      <c r="FY750" s="16"/>
      <c r="FZ750" s="16"/>
      <c r="GA750" s="16"/>
      <c r="GB750" s="16"/>
      <c r="GC750" s="16"/>
      <c r="GD750" s="17"/>
      <c r="GH750" s="24"/>
      <c r="GI750" s="60"/>
      <c r="GJ750" s="16"/>
      <c r="GK750" s="16"/>
      <c r="GL750" s="16"/>
      <c r="GM750" s="16"/>
      <c r="GN750" s="16"/>
      <c r="GO750" s="17"/>
      <c r="GS750" s="24"/>
      <c r="GT750" s="60"/>
      <c r="GU750" s="16"/>
      <c r="GV750" s="16"/>
      <c r="GW750" s="16"/>
      <c r="GX750" s="16"/>
      <c r="GY750" s="16"/>
      <c r="GZ750" s="17"/>
      <c r="HD750" s="24"/>
      <c r="HE750" s="60"/>
      <c r="HF750" s="16"/>
      <c r="HG750" s="16"/>
      <c r="HH750" s="16"/>
      <c r="HI750" s="16"/>
      <c r="HJ750" s="16"/>
      <c r="HK750" s="17"/>
      <c r="HO750" s="24"/>
      <c r="HP750" s="60"/>
      <c r="HQ750" s="16"/>
      <c r="HR750" s="16"/>
      <c r="HS750" s="16"/>
      <c r="HT750" s="16"/>
      <c r="HU750" s="16"/>
      <c r="HV750" s="17"/>
      <c r="HZ750" s="24"/>
      <c r="IA750" s="60"/>
      <c r="IB750" s="16"/>
      <c r="IC750" s="16"/>
      <c r="ID750" s="16"/>
      <c r="IE750" s="16"/>
      <c r="IF750" s="16"/>
      <c r="IG750" s="17"/>
      <c r="IK750" s="24"/>
      <c r="IL750" s="60"/>
      <c r="IM750" s="16"/>
      <c r="IN750" s="16"/>
      <c r="IO750" s="16"/>
      <c r="IP750" s="16"/>
      <c r="IQ750" s="16"/>
      <c r="IR750" s="17"/>
      <c r="IV750" s="24"/>
      <c r="IW750" s="60"/>
      <c r="IX750" s="16"/>
      <c r="IY750" s="16"/>
      <c r="IZ750" s="16"/>
      <c r="JA750" s="16"/>
      <c r="JB750" s="16"/>
      <c r="JC750" s="17"/>
      <c r="JG750" s="24"/>
      <c r="JH750" s="60"/>
      <c r="JI750" s="16"/>
      <c r="JJ750" s="16"/>
      <c r="JK750" s="16"/>
      <c r="JL750" s="16"/>
      <c r="JM750" s="16"/>
      <c r="JN750" s="17"/>
      <c r="JR750" s="24"/>
      <c r="JS750" s="60"/>
      <c r="JT750" s="16"/>
      <c r="JU750" s="16"/>
      <c r="JV750" s="16"/>
      <c r="JW750" s="16"/>
      <c r="JX750" s="16"/>
      <c r="JY750" s="17"/>
      <c r="KC750" s="24"/>
      <c r="KD750" s="60"/>
      <c r="KE750" s="16"/>
      <c r="KF750" s="16"/>
      <c r="KG750" s="16"/>
      <c r="KH750" s="16"/>
      <c r="KI750" s="16"/>
      <c r="KJ750" s="17"/>
      <c r="KN750" s="24"/>
      <c r="KO750" s="60"/>
      <c r="KP750" s="16"/>
      <c r="KQ750" s="16"/>
      <c r="KR750" s="16"/>
      <c r="KS750" s="16"/>
      <c r="KT750" s="16"/>
      <c r="KU750" s="17"/>
      <c r="KY750" s="24"/>
      <c r="KZ750" s="60"/>
      <c r="LA750" s="16"/>
      <c r="LB750" s="16"/>
      <c r="LC750" s="16"/>
      <c r="LD750" s="16"/>
      <c r="LE750" s="16"/>
      <c r="LF750" s="17"/>
      <c r="LJ750" s="24"/>
      <c r="LK750" s="60"/>
      <c r="LL750" s="16"/>
      <c r="LM750" s="16"/>
      <c r="LN750" s="16"/>
      <c r="LO750" s="16"/>
      <c r="LP750" s="16"/>
      <c r="LQ750" s="17"/>
    </row>
    <row r="751">
      <c r="C751" s="31"/>
      <c r="D751" s="61"/>
      <c r="E751" s="16"/>
      <c r="F751" s="16"/>
      <c r="G751" s="21"/>
      <c r="H751" s="16"/>
      <c r="I751" s="16"/>
      <c r="J751" s="17"/>
      <c r="N751" s="17"/>
      <c r="O751" s="61"/>
      <c r="P751" s="16"/>
      <c r="Q751" s="16"/>
      <c r="R751" s="16"/>
      <c r="S751" s="16"/>
      <c r="T751" s="16"/>
      <c r="U751" s="17"/>
      <c r="Y751" s="24"/>
      <c r="Z751" s="61"/>
      <c r="AA751" s="16"/>
      <c r="AB751" s="16"/>
      <c r="AC751" s="16"/>
      <c r="AD751" s="16"/>
      <c r="AE751" s="16"/>
      <c r="AF751" s="17"/>
      <c r="AJ751" s="24"/>
      <c r="AK751" s="61"/>
      <c r="AL751" s="16"/>
      <c r="AM751" s="16"/>
      <c r="AN751" s="16"/>
      <c r="AO751" s="16"/>
      <c r="AP751" s="16"/>
      <c r="AQ751" s="17"/>
      <c r="AU751" s="24"/>
      <c r="AV751" s="61"/>
      <c r="AW751" s="16"/>
      <c r="AX751" s="16"/>
      <c r="AY751" s="16"/>
      <c r="AZ751" s="16"/>
      <c r="BA751" s="16"/>
      <c r="BB751" s="17"/>
      <c r="BF751" s="24"/>
      <c r="BG751" s="61"/>
      <c r="BH751" s="16"/>
      <c r="BI751" s="16"/>
      <c r="BJ751" s="16"/>
      <c r="BK751" s="16"/>
      <c r="BL751" s="16"/>
      <c r="BM751" s="17"/>
      <c r="BQ751" s="24"/>
      <c r="BR751" s="61"/>
      <c r="BS751" s="16"/>
      <c r="BT751" s="16"/>
      <c r="BU751" s="16"/>
      <c r="BV751" s="16"/>
      <c r="BW751" s="16"/>
      <c r="BX751" s="17"/>
      <c r="CB751" s="24"/>
      <c r="CC751" s="61"/>
      <c r="CD751" s="16"/>
      <c r="CE751" s="16"/>
      <c r="CF751" s="16"/>
      <c r="CG751" s="16"/>
      <c r="CH751" s="16"/>
      <c r="CI751" s="17"/>
      <c r="CM751" s="24"/>
      <c r="CN751" s="61"/>
      <c r="CO751" s="16"/>
      <c r="CP751" s="16"/>
      <c r="CQ751" s="16"/>
      <c r="CR751" s="16"/>
      <c r="CS751" s="16"/>
      <c r="CT751" s="17"/>
      <c r="CX751" s="24"/>
      <c r="CY751" s="60"/>
      <c r="CZ751" s="16"/>
      <c r="DA751" s="16"/>
      <c r="DB751" s="16"/>
      <c r="DC751" s="16"/>
      <c r="DD751" s="16"/>
      <c r="DE751" s="17"/>
      <c r="DI751" s="24"/>
      <c r="DJ751" s="60"/>
      <c r="DK751" s="16"/>
      <c r="DL751" s="16"/>
      <c r="DM751" s="16"/>
      <c r="DN751" s="16"/>
      <c r="DO751" s="16"/>
      <c r="DP751" s="17"/>
      <c r="DT751" s="24"/>
      <c r="DU751" s="60"/>
      <c r="DV751" s="16"/>
      <c r="DW751" s="16"/>
      <c r="DX751" s="16"/>
      <c r="DY751" s="16"/>
      <c r="DZ751" s="16"/>
      <c r="EA751" s="17"/>
      <c r="EE751" s="24"/>
      <c r="EF751" s="60"/>
      <c r="EG751" s="16"/>
      <c r="EH751" s="16"/>
      <c r="EI751" s="16"/>
      <c r="EJ751" s="16"/>
      <c r="EK751" s="16"/>
      <c r="EL751" s="17"/>
      <c r="EP751" s="24"/>
      <c r="EQ751" s="60"/>
      <c r="ER751" s="16"/>
      <c r="ES751" s="16"/>
      <c r="ET751" s="16"/>
      <c r="EU751" s="16"/>
      <c r="EV751" s="16"/>
      <c r="EW751" s="17"/>
      <c r="FA751" s="24"/>
      <c r="FB751" s="60"/>
      <c r="FC751" s="16"/>
      <c r="FD751" s="16"/>
      <c r="FE751" s="16"/>
      <c r="FF751" s="16"/>
      <c r="FG751" s="16"/>
      <c r="FH751" s="17"/>
      <c r="FL751" s="24"/>
      <c r="FM751" s="60"/>
      <c r="FN751" s="16"/>
      <c r="FO751" s="16"/>
      <c r="FP751" s="16"/>
      <c r="FQ751" s="16"/>
      <c r="FR751" s="16"/>
      <c r="FS751" s="17"/>
      <c r="FW751" s="24"/>
      <c r="FX751" s="60"/>
      <c r="FY751" s="16"/>
      <c r="FZ751" s="16"/>
      <c r="GA751" s="16"/>
      <c r="GB751" s="16"/>
      <c r="GC751" s="16"/>
      <c r="GD751" s="17"/>
      <c r="GH751" s="24"/>
      <c r="GI751" s="60"/>
      <c r="GJ751" s="16"/>
      <c r="GK751" s="16"/>
      <c r="GL751" s="16"/>
      <c r="GM751" s="16"/>
      <c r="GN751" s="16"/>
      <c r="GO751" s="17"/>
      <c r="GS751" s="24"/>
      <c r="GT751" s="60"/>
      <c r="GU751" s="16"/>
      <c r="GV751" s="16"/>
      <c r="GW751" s="16"/>
      <c r="GX751" s="16"/>
      <c r="GY751" s="16"/>
      <c r="GZ751" s="17"/>
      <c r="HD751" s="24"/>
      <c r="HE751" s="60"/>
      <c r="HF751" s="16"/>
      <c r="HG751" s="16"/>
      <c r="HH751" s="16"/>
      <c r="HI751" s="16"/>
      <c r="HJ751" s="16"/>
      <c r="HK751" s="17"/>
      <c r="HO751" s="24"/>
      <c r="HP751" s="60"/>
      <c r="HQ751" s="16"/>
      <c r="HR751" s="16"/>
      <c r="HS751" s="16"/>
      <c r="HT751" s="16"/>
      <c r="HU751" s="16"/>
      <c r="HV751" s="17"/>
      <c r="HZ751" s="24"/>
      <c r="IA751" s="60"/>
      <c r="IB751" s="16"/>
      <c r="IC751" s="16"/>
      <c r="ID751" s="16"/>
      <c r="IE751" s="16"/>
      <c r="IF751" s="16"/>
      <c r="IG751" s="17"/>
      <c r="IK751" s="24"/>
      <c r="IL751" s="60"/>
      <c r="IM751" s="16"/>
      <c r="IN751" s="16"/>
      <c r="IO751" s="16"/>
      <c r="IP751" s="16"/>
      <c r="IQ751" s="16"/>
      <c r="IR751" s="17"/>
      <c r="IV751" s="24"/>
      <c r="IW751" s="60"/>
      <c r="IX751" s="16"/>
      <c r="IY751" s="16"/>
      <c r="IZ751" s="16"/>
      <c r="JA751" s="16"/>
      <c r="JB751" s="16"/>
      <c r="JC751" s="17"/>
      <c r="JG751" s="24"/>
      <c r="JH751" s="60"/>
      <c r="JI751" s="16"/>
      <c r="JJ751" s="16"/>
      <c r="JK751" s="16"/>
      <c r="JL751" s="16"/>
      <c r="JM751" s="16"/>
      <c r="JN751" s="17"/>
      <c r="JR751" s="24"/>
      <c r="JS751" s="60"/>
      <c r="JT751" s="16"/>
      <c r="JU751" s="16"/>
      <c r="JV751" s="16"/>
      <c r="JW751" s="16"/>
      <c r="JX751" s="16"/>
      <c r="JY751" s="17"/>
      <c r="KC751" s="24"/>
      <c r="KD751" s="60"/>
      <c r="KE751" s="16"/>
      <c r="KF751" s="16"/>
      <c r="KG751" s="16"/>
      <c r="KH751" s="16"/>
      <c r="KI751" s="16"/>
      <c r="KJ751" s="17"/>
      <c r="KN751" s="24"/>
      <c r="KO751" s="60"/>
      <c r="KP751" s="16"/>
      <c r="KQ751" s="16"/>
      <c r="KR751" s="16"/>
      <c r="KS751" s="16"/>
      <c r="KT751" s="16"/>
      <c r="KU751" s="17"/>
      <c r="KY751" s="24"/>
      <c r="KZ751" s="60"/>
      <c r="LA751" s="16"/>
      <c r="LB751" s="16"/>
      <c r="LC751" s="16"/>
      <c r="LD751" s="16"/>
      <c r="LE751" s="16"/>
      <c r="LF751" s="17"/>
      <c r="LJ751" s="24"/>
      <c r="LK751" s="60"/>
      <c r="LL751" s="16"/>
      <c r="LM751" s="16"/>
      <c r="LN751" s="16"/>
      <c r="LO751" s="16"/>
      <c r="LP751" s="16"/>
      <c r="LQ751" s="17"/>
    </row>
    <row r="752">
      <c r="C752" s="31"/>
      <c r="D752" s="61"/>
      <c r="E752" s="16"/>
      <c r="F752" s="16"/>
      <c r="G752" s="21"/>
      <c r="H752" s="16"/>
      <c r="I752" s="16"/>
      <c r="J752" s="17"/>
      <c r="N752" s="17"/>
      <c r="O752" s="61"/>
      <c r="P752" s="16"/>
      <c r="Q752" s="16"/>
      <c r="R752" s="16"/>
      <c r="S752" s="16"/>
      <c r="T752" s="16"/>
      <c r="U752" s="17"/>
      <c r="Y752" s="24"/>
      <c r="Z752" s="61"/>
      <c r="AA752" s="16"/>
      <c r="AB752" s="16"/>
      <c r="AC752" s="16"/>
      <c r="AD752" s="16"/>
      <c r="AE752" s="16"/>
      <c r="AF752" s="17"/>
      <c r="AJ752" s="24"/>
      <c r="AK752" s="61"/>
      <c r="AL752" s="16"/>
      <c r="AM752" s="16"/>
      <c r="AN752" s="16"/>
      <c r="AO752" s="16"/>
      <c r="AP752" s="16"/>
      <c r="AQ752" s="17"/>
      <c r="AU752" s="24"/>
      <c r="AV752" s="61"/>
      <c r="AW752" s="16"/>
      <c r="AX752" s="16"/>
      <c r="AY752" s="16"/>
      <c r="AZ752" s="16"/>
      <c r="BA752" s="16"/>
      <c r="BB752" s="17"/>
      <c r="BF752" s="24"/>
      <c r="BG752" s="61"/>
      <c r="BH752" s="16"/>
      <c r="BI752" s="16"/>
      <c r="BJ752" s="16"/>
      <c r="BK752" s="16"/>
      <c r="BL752" s="16"/>
      <c r="BM752" s="17"/>
      <c r="BQ752" s="24"/>
      <c r="BR752" s="61"/>
      <c r="BS752" s="16"/>
      <c r="BT752" s="16"/>
      <c r="BU752" s="16"/>
      <c r="BV752" s="16"/>
      <c r="BW752" s="16"/>
      <c r="BX752" s="17"/>
      <c r="CB752" s="24"/>
      <c r="CC752" s="61"/>
      <c r="CD752" s="16"/>
      <c r="CE752" s="16"/>
      <c r="CF752" s="16"/>
      <c r="CG752" s="16"/>
      <c r="CH752" s="16"/>
      <c r="CI752" s="17"/>
      <c r="CM752" s="24"/>
      <c r="CN752" s="61"/>
      <c r="CO752" s="16"/>
      <c r="CP752" s="16"/>
      <c r="CQ752" s="16"/>
      <c r="CR752" s="16"/>
      <c r="CS752" s="16"/>
      <c r="CT752" s="17"/>
      <c r="CX752" s="24"/>
      <c r="CY752" s="60"/>
      <c r="CZ752" s="16"/>
      <c r="DA752" s="16"/>
      <c r="DB752" s="16"/>
      <c r="DC752" s="16"/>
      <c r="DD752" s="16"/>
      <c r="DE752" s="17"/>
      <c r="DI752" s="24"/>
      <c r="DJ752" s="60"/>
      <c r="DK752" s="16"/>
      <c r="DL752" s="16"/>
      <c r="DM752" s="16"/>
      <c r="DN752" s="16"/>
      <c r="DO752" s="16"/>
      <c r="DP752" s="17"/>
      <c r="DT752" s="24"/>
      <c r="DU752" s="60"/>
      <c r="DV752" s="16"/>
      <c r="DW752" s="16"/>
      <c r="DX752" s="16"/>
      <c r="DY752" s="16"/>
      <c r="DZ752" s="16"/>
      <c r="EA752" s="17"/>
      <c r="EE752" s="24"/>
      <c r="EF752" s="60"/>
      <c r="EG752" s="16"/>
      <c r="EH752" s="16"/>
      <c r="EI752" s="16"/>
      <c r="EJ752" s="16"/>
      <c r="EK752" s="16"/>
      <c r="EL752" s="17"/>
      <c r="EP752" s="24"/>
      <c r="EQ752" s="60"/>
      <c r="ER752" s="16"/>
      <c r="ES752" s="16"/>
      <c r="ET752" s="16"/>
      <c r="EU752" s="16"/>
      <c r="EV752" s="16"/>
      <c r="EW752" s="17"/>
      <c r="FA752" s="24"/>
      <c r="FB752" s="60"/>
      <c r="FC752" s="16"/>
      <c r="FD752" s="16"/>
      <c r="FE752" s="16"/>
      <c r="FF752" s="16"/>
      <c r="FG752" s="16"/>
      <c r="FH752" s="17"/>
      <c r="FL752" s="24"/>
      <c r="FM752" s="60"/>
      <c r="FN752" s="16"/>
      <c r="FO752" s="16"/>
      <c r="FP752" s="16"/>
      <c r="FQ752" s="16"/>
      <c r="FR752" s="16"/>
      <c r="FS752" s="17"/>
      <c r="FW752" s="24"/>
      <c r="FX752" s="60"/>
      <c r="FY752" s="16"/>
      <c r="FZ752" s="16"/>
      <c r="GA752" s="16"/>
      <c r="GB752" s="16"/>
      <c r="GC752" s="16"/>
      <c r="GD752" s="17"/>
      <c r="GH752" s="24"/>
      <c r="GI752" s="60"/>
      <c r="GJ752" s="16"/>
      <c r="GK752" s="16"/>
      <c r="GL752" s="16"/>
      <c r="GM752" s="16"/>
      <c r="GN752" s="16"/>
      <c r="GO752" s="17"/>
      <c r="GS752" s="24"/>
      <c r="GT752" s="60"/>
      <c r="GU752" s="16"/>
      <c r="GV752" s="16"/>
      <c r="GW752" s="16"/>
      <c r="GX752" s="16"/>
      <c r="GY752" s="16"/>
      <c r="GZ752" s="17"/>
      <c r="HD752" s="24"/>
      <c r="HE752" s="60"/>
      <c r="HF752" s="16"/>
      <c r="HG752" s="16"/>
      <c r="HH752" s="16"/>
      <c r="HI752" s="16"/>
      <c r="HJ752" s="16"/>
      <c r="HK752" s="17"/>
      <c r="HO752" s="24"/>
      <c r="HP752" s="60"/>
      <c r="HQ752" s="16"/>
      <c r="HR752" s="16"/>
      <c r="HS752" s="16"/>
      <c r="HT752" s="16"/>
      <c r="HU752" s="16"/>
      <c r="HV752" s="17"/>
      <c r="HZ752" s="24"/>
      <c r="IA752" s="60"/>
      <c r="IB752" s="16"/>
      <c r="IC752" s="16"/>
      <c r="ID752" s="16"/>
      <c r="IE752" s="16"/>
      <c r="IF752" s="16"/>
      <c r="IG752" s="17"/>
      <c r="IK752" s="24"/>
      <c r="IL752" s="60"/>
      <c r="IM752" s="16"/>
      <c r="IN752" s="16"/>
      <c r="IO752" s="16"/>
      <c r="IP752" s="16"/>
      <c r="IQ752" s="16"/>
      <c r="IR752" s="17"/>
      <c r="IV752" s="24"/>
      <c r="IW752" s="60"/>
      <c r="IX752" s="16"/>
      <c r="IY752" s="16"/>
      <c r="IZ752" s="16"/>
      <c r="JA752" s="16"/>
      <c r="JB752" s="16"/>
      <c r="JC752" s="17"/>
      <c r="JG752" s="24"/>
      <c r="JH752" s="60"/>
      <c r="JI752" s="16"/>
      <c r="JJ752" s="16"/>
      <c r="JK752" s="16"/>
      <c r="JL752" s="16"/>
      <c r="JM752" s="16"/>
      <c r="JN752" s="17"/>
      <c r="JR752" s="24"/>
      <c r="JS752" s="60"/>
      <c r="JT752" s="16"/>
      <c r="JU752" s="16"/>
      <c r="JV752" s="16"/>
      <c r="JW752" s="16"/>
      <c r="JX752" s="16"/>
      <c r="JY752" s="17"/>
      <c r="KC752" s="24"/>
      <c r="KD752" s="60"/>
      <c r="KE752" s="16"/>
      <c r="KF752" s="16"/>
      <c r="KG752" s="16"/>
      <c r="KH752" s="16"/>
      <c r="KI752" s="16"/>
      <c r="KJ752" s="17"/>
      <c r="KN752" s="24"/>
      <c r="KO752" s="60"/>
      <c r="KP752" s="16"/>
      <c r="KQ752" s="16"/>
      <c r="KR752" s="16"/>
      <c r="KS752" s="16"/>
      <c r="KT752" s="16"/>
      <c r="KU752" s="17"/>
      <c r="KY752" s="24"/>
      <c r="KZ752" s="60"/>
      <c r="LA752" s="16"/>
      <c r="LB752" s="16"/>
      <c r="LC752" s="16"/>
      <c r="LD752" s="16"/>
      <c r="LE752" s="16"/>
      <c r="LF752" s="17"/>
      <c r="LJ752" s="24"/>
      <c r="LK752" s="60"/>
      <c r="LL752" s="16"/>
      <c r="LM752" s="16"/>
      <c r="LN752" s="16"/>
      <c r="LO752" s="16"/>
      <c r="LP752" s="16"/>
      <c r="LQ752" s="17"/>
    </row>
    <row r="753">
      <c r="C753" s="31"/>
      <c r="D753" s="61"/>
      <c r="E753" s="16"/>
      <c r="F753" s="16"/>
      <c r="G753" s="21"/>
      <c r="H753" s="16"/>
      <c r="I753" s="16"/>
      <c r="J753" s="17"/>
      <c r="N753" s="17"/>
      <c r="O753" s="61"/>
      <c r="P753" s="16"/>
      <c r="Q753" s="16"/>
      <c r="R753" s="16"/>
      <c r="S753" s="16"/>
      <c r="T753" s="16"/>
      <c r="U753" s="17"/>
      <c r="Y753" s="24"/>
      <c r="Z753" s="61"/>
      <c r="AA753" s="16"/>
      <c r="AB753" s="16"/>
      <c r="AC753" s="16"/>
      <c r="AD753" s="16"/>
      <c r="AE753" s="16"/>
      <c r="AF753" s="17"/>
      <c r="AJ753" s="24"/>
      <c r="AK753" s="61"/>
      <c r="AL753" s="16"/>
      <c r="AM753" s="16"/>
      <c r="AN753" s="16"/>
      <c r="AO753" s="16"/>
      <c r="AP753" s="16"/>
      <c r="AQ753" s="17"/>
      <c r="AU753" s="24"/>
      <c r="AV753" s="61"/>
      <c r="AW753" s="16"/>
      <c r="AX753" s="16"/>
      <c r="AY753" s="16"/>
      <c r="AZ753" s="16"/>
      <c r="BA753" s="16"/>
      <c r="BB753" s="17"/>
      <c r="BF753" s="24"/>
      <c r="BG753" s="61"/>
      <c r="BH753" s="16"/>
      <c r="BI753" s="16"/>
      <c r="BJ753" s="16"/>
      <c r="BK753" s="16"/>
      <c r="BL753" s="16"/>
      <c r="BM753" s="17"/>
      <c r="BQ753" s="24"/>
      <c r="BR753" s="61"/>
      <c r="BS753" s="16"/>
      <c r="BT753" s="16"/>
      <c r="BU753" s="16"/>
      <c r="BV753" s="16"/>
      <c r="BW753" s="16"/>
      <c r="BX753" s="17"/>
      <c r="CB753" s="24"/>
      <c r="CC753" s="61"/>
      <c r="CD753" s="16"/>
      <c r="CE753" s="16"/>
      <c r="CF753" s="16"/>
      <c r="CG753" s="16"/>
      <c r="CH753" s="16"/>
      <c r="CI753" s="17"/>
      <c r="CM753" s="24"/>
      <c r="CN753" s="61"/>
      <c r="CO753" s="16"/>
      <c r="CP753" s="16"/>
      <c r="CQ753" s="16"/>
      <c r="CR753" s="16"/>
      <c r="CS753" s="16"/>
      <c r="CT753" s="17"/>
      <c r="CX753" s="24"/>
      <c r="CY753" s="60"/>
      <c r="CZ753" s="16"/>
      <c r="DA753" s="16"/>
      <c r="DB753" s="16"/>
      <c r="DC753" s="16"/>
      <c r="DD753" s="16"/>
      <c r="DE753" s="17"/>
      <c r="DI753" s="24"/>
      <c r="DJ753" s="60"/>
      <c r="DK753" s="16"/>
      <c r="DL753" s="16"/>
      <c r="DM753" s="16"/>
      <c r="DN753" s="16"/>
      <c r="DO753" s="16"/>
      <c r="DP753" s="17"/>
      <c r="DT753" s="24"/>
      <c r="DU753" s="60"/>
      <c r="DV753" s="16"/>
      <c r="DW753" s="16"/>
      <c r="DX753" s="16"/>
      <c r="DY753" s="16"/>
      <c r="DZ753" s="16"/>
      <c r="EA753" s="17"/>
      <c r="EE753" s="24"/>
      <c r="EF753" s="60"/>
      <c r="EG753" s="16"/>
      <c r="EH753" s="16"/>
      <c r="EI753" s="16"/>
      <c r="EJ753" s="16"/>
      <c r="EK753" s="16"/>
      <c r="EL753" s="17"/>
      <c r="EP753" s="24"/>
      <c r="EQ753" s="60"/>
      <c r="ER753" s="16"/>
      <c r="ES753" s="16"/>
      <c r="ET753" s="16"/>
      <c r="EU753" s="16"/>
      <c r="EV753" s="16"/>
      <c r="EW753" s="17"/>
      <c r="FA753" s="24"/>
      <c r="FB753" s="60"/>
      <c r="FC753" s="16"/>
      <c r="FD753" s="16"/>
      <c r="FE753" s="16"/>
      <c r="FF753" s="16"/>
      <c r="FG753" s="16"/>
      <c r="FH753" s="17"/>
      <c r="FL753" s="24"/>
      <c r="FM753" s="60"/>
      <c r="FN753" s="16"/>
      <c r="FO753" s="16"/>
      <c r="FP753" s="16"/>
      <c r="FQ753" s="16"/>
      <c r="FR753" s="16"/>
      <c r="FS753" s="17"/>
      <c r="FW753" s="24"/>
      <c r="FX753" s="60"/>
      <c r="FY753" s="16"/>
      <c r="FZ753" s="16"/>
      <c r="GA753" s="16"/>
      <c r="GB753" s="16"/>
      <c r="GC753" s="16"/>
      <c r="GD753" s="17"/>
      <c r="GH753" s="24"/>
      <c r="GI753" s="60"/>
      <c r="GJ753" s="16"/>
      <c r="GK753" s="16"/>
      <c r="GL753" s="16"/>
      <c r="GM753" s="16"/>
      <c r="GN753" s="16"/>
      <c r="GO753" s="17"/>
      <c r="GS753" s="24"/>
      <c r="GT753" s="60"/>
      <c r="GU753" s="16"/>
      <c r="GV753" s="16"/>
      <c r="GW753" s="16"/>
      <c r="GX753" s="16"/>
      <c r="GY753" s="16"/>
      <c r="GZ753" s="17"/>
      <c r="HD753" s="24"/>
      <c r="HE753" s="60"/>
      <c r="HF753" s="16"/>
      <c r="HG753" s="16"/>
      <c r="HH753" s="16"/>
      <c r="HI753" s="16"/>
      <c r="HJ753" s="16"/>
      <c r="HK753" s="17"/>
      <c r="HO753" s="24"/>
      <c r="HP753" s="60"/>
      <c r="HQ753" s="16"/>
      <c r="HR753" s="16"/>
      <c r="HS753" s="16"/>
      <c r="HT753" s="16"/>
      <c r="HU753" s="16"/>
      <c r="HV753" s="17"/>
      <c r="HZ753" s="24"/>
      <c r="IA753" s="60"/>
      <c r="IB753" s="16"/>
      <c r="IC753" s="16"/>
      <c r="ID753" s="16"/>
      <c r="IE753" s="16"/>
      <c r="IF753" s="16"/>
      <c r="IG753" s="17"/>
      <c r="IK753" s="24"/>
      <c r="IL753" s="60"/>
      <c r="IM753" s="16"/>
      <c r="IN753" s="16"/>
      <c r="IO753" s="16"/>
      <c r="IP753" s="16"/>
      <c r="IQ753" s="16"/>
      <c r="IR753" s="17"/>
      <c r="IV753" s="24"/>
      <c r="IW753" s="60"/>
      <c r="IX753" s="16"/>
      <c r="IY753" s="16"/>
      <c r="IZ753" s="16"/>
      <c r="JA753" s="16"/>
      <c r="JB753" s="16"/>
      <c r="JC753" s="17"/>
      <c r="JG753" s="24"/>
      <c r="JH753" s="60"/>
      <c r="JI753" s="16"/>
      <c r="JJ753" s="16"/>
      <c r="JK753" s="16"/>
      <c r="JL753" s="16"/>
      <c r="JM753" s="16"/>
      <c r="JN753" s="17"/>
      <c r="JR753" s="24"/>
      <c r="JS753" s="60"/>
      <c r="JT753" s="16"/>
      <c r="JU753" s="16"/>
      <c r="JV753" s="16"/>
      <c r="JW753" s="16"/>
      <c r="JX753" s="16"/>
      <c r="JY753" s="17"/>
      <c r="KC753" s="24"/>
      <c r="KD753" s="60"/>
      <c r="KE753" s="16"/>
      <c r="KF753" s="16"/>
      <c r="KG753" s="16"/>
      <c r="KH753" s="16"/>
      <c r="KI753" s="16"/>
      <c r="KJ753" s="17"/>
      <c r="KN753" s="24"/>
      <c r="KO753" s="60"/>
      <c r="KP753" s="16"/>
      <c r="KQ753" s="16"/>
      <c r="KR753" s="16"/>
      <c r="KS753" s="16"/>
      <c r="KT753" s="16"/>
      <c r="KU753" s="17"/>
      <c r="KY753" s="24"/>
      <c r="KZ753" s="60"/>
      <c r="LA753" s="16"/>
      <c r="LB753" s="16"/>
      <c r="LC753" s="16"/>
      <c r="LD753" s="16"/>
      <c r="LE753" s="16"/>
      <c r="LF753" s="17"/>
      <c r="LJ753" s="24"/>
      <c r="LK753" s="60"/>
      <c r="LL753" s="16"/>
      <c r="LM753" s="16"/>
      <c r="LN753" s="16"/>
      <c r="LO753" s="16"/>
      <c r="LP753" s="16"/>
      <c r="LQ753" s="17"/>
    </row>
    <row r="754">
      <c r="C754" s="31"/>
      <c r="D754" s="61"/>
      <c r="E754" s="16"/>
      <c r="F754" s="16"/>
      <c r="G754" s="21"/>
      <c r="H754" s="16"/>
      <c r="I754" s="16"/>
      <c r="J754" s="17"/>
      <c r="N754" s="17"/>
      <c r="O754" s="61"/>
      <c r="P754" s="16"/>
      <c r="Q754" s="16"/>
      <c r="R754" s="16"/>
      <c r="S754" s="16"/>
      <c r="T754" s="16"/>
      <c r="U754" s="17"/>
      <c r="Y754" s="24"/>
      <c r="Z754" s="61"/>
      <c r="AA754" s="16"/>
      <c r="AB754" s="16"/>
      <c r="AC754" s="16"/>
      <c r="AD754" s="16"/>
      <c r="AE754" s="16"/>
      <c r="AF754" s="17"/>
      <c r="AJ754" s="24"/>
      <c r="AK754" s="61"/>
      <c r="AL754" s="16"/>
      <c r="AM754" s="16"/>
      <c r="AN754" s="16"/>
      <c r="AO754" s="16"/>
      <c r="AP754" s="16"/>
      <c r="AQ754" s="17"/>
      <c r="AU754" s="24"/>
      <c r="AV754" s="61"/>
      <c r="AW754" s="16"/>
      <c r="AX754" s="16"/>
      <c r="AY754" s="16"/>
      <c r="AZ754" s="16"/>
      <c r="BA754" s="16"/>
      <c r="BB754" s="17"/>
      <c r="BF754" s="24"/>
      <c r="BG754" s="61"/>
      <c r="BH754" s="16"/>
      <c r="BI754" s="16"/>
      <c r="BJ754" s="16"/>
      <c r="BK754" s="16"/>
      <c r="BL754" s="16"/>
      <c r="BM754" s="17"/>
      <c r="BQ754" s="24"/>
      <c r="BR754" s="61"/>
      <c r="BS754" s="16"/>
      <c r="BT754" s="16"/>
      <c r="BU754" s="16"/>
      <c r="BV754" s="16"/>
      <c r="BW754" s="16"/>
      <c r="BX754" s="17"/>
      <c r="CB754" s="24"/>
      <c r="CC754" s="61"/>
      <c r="CD754" s="16"/>
      <c r="CE754" s="16"/>
      <c r="CF754" s="16"/>
      <c r="CG754" s="16"/>
      <c r="CH754" s="16"/>
      <c r="CI754" s="17"/>
      <c r="CM754" s="24"/>
      <c r="CN754" s="61"/>
      <c r="CO754" s="16"/>
      <c r="CP754" s="16"/>
      <c r="CQ754" s="16"/>
      <c r="CR754" s="16"/>
      <c r="CS754" s="16"/>
      <c r="CT754" s="17"/>
      <c r="CX754" s="24"/>
      <c r="CY754" s="60"/>
      <c r="CZ754" s="16"/>
      <c r="DA754" s="16"/>
      <c r="DB754" s="16"/>
      <c r="DC754" s="16"/>
      <c r="DD754" s="16"/>
      <c r="DE754" s="17"/>
      <c r="DI754" s="24"/>
      <c r="DJ754" s="60"/>
      <c r="DK754" s="16"/>
      <c r="DL754" s="16"/>
      <c r="DM754" s="16"/>
      <c r="DN754" s="16"/>
      <c r="DO754" s="16"/>
      <c r="DP754" s="17"/>
      <c r="DT754" s="24"/>
      <c r="DU754" s="60"/>
      <c r="DV754" s="16"/>
      <c r="DW754" s="16"/>
      <c r="DX754" s="16"/>
      <c r="DY754" s="16"/>
      <c r="DZ754" s="16"/>
      <c r="EA754" s="17"/>
      <c r="EE754" s="24"/>
      <c r="EF754" s="60"/>
      <c r="EG754" s="16"/>
      <c r="EH754" s="16"/>
      <c r="EI754" s="16"/>
      <c r="EJ754" s="16"/>
      <c r="EK754" s="16"/>
      <c r="EL754" s="17"/>
      <c r="EP754" s="24"/>
      <c r="EQ754" s="60"/>
      <c r="ER754" s="16"/>
      <c r="ES754" s="16"/>
      <c r="ET754" s="16"/>
      <c r="EU754" s="16"/>
      <c r="EV754" s="16"/>
      <c r="EW754" s="17"/>
      <c r="FA754" s="24"/>
      <c r="FB754" s="60"/>
      <c r="FC754" s="16"/>
      <c r="FD754" s="16"/>
      <c r="FE754" s="16"/>
      <c r="FF754" s="16"/>
      <c r="FG754" s="16"/>
      <c r="FH754" s="17"/>
      <c r="FL754" s="24"/>
      <c r="FM754" s="60"/>
      <c r="FN754" s="16"/>
      <c r="FO754" s="16"/>
      <c r="FP754" s="16"/>
      <c r="FQ754" s="16"/>
      <c r="FR754" s="16"/>
      <c r="FS754" s="17"/>
      <c r="FW754" s="24"/>
      <c r="FX754" s="60"/>
      <c r="FY754" s="16"/>
      <c r="FZ754" s="16"/>
      <c r="GA754" s="16"/>
      <c r="GB754" s="16"/>
      <c r="GC754" s="16"/>
      <c r="GD754" s="17"/>
      <c r="GH754" s="24"/>
      <c r="GI754" s="60"/>
      <c r="GJ754" s="16"/>
      <c r="GK754" s="16"/>
      <c r="GL754" s="16"/>
      <c r="GM754" s="16"/>
      <c r="GN754" s="16"/>
      <c r="GO754" s="17"/>
      <c r="GS754" s="24"/>
      <c r="GT754" s="60"/>
      <c r="GU754" s="16"/>
      <c r="GV754" s="16"/>
      <c r="GW754" s="16"/>
      <c r="GX754" s="16"/>
      <c r="GY754" s="16"/>
      <c r="GZ754" s="17"/>
      <c r="HD754" s="24"/>
      <c r="HE754" s="60"/>
      <c r="HF754" s="16"/>
      <c r="HG754" s="16"/>
      <c r="HH754" s="16"/>
      <c r="HI754" s="16"/>
      <c r="HJ754" s="16"/>
      <c r="HK754" s="17"/>
      <c r="HO754" s="24"/>
      <c r="HP754" s="60"/>
      <c r="HQ754" s="16"/>
      <c r="HR754" s="16"/>
      <c r="HS754" s="16"/>
      <c r="HT754" s="16"/>
      <c r="HU754" s="16"/>
      <c r="HV754" s="17"/>
      <c r="HZ754" s="24"/>
      <c r="IA754" s="60"/>
      <c r="IB754" s="16"/>
      <c r="IC754" s="16"/>
      <c r="ID754" s="16"/>
      <c r="IE754" s="16"/>
      <c r="IF754" s="16"/>
      <c r="IG754" s="17"/>
      <c r="IK754" s="24"/>
      <c r="IL754" s="60"/>
      <c r="IM754" s="16"/>
      <c r="IN754" s="16"/>
      <c r="IO754" s="16"/>
      <c r="IP754" s="16"/>
      <c r="IQ754" s="16"/>
      <c r="IR754" s="17"/>
      <c r="IV754" s="24"/>
      <c r="IW754" s="60"/>
      <c r="IX754" s="16"/>
      <c r="IY754" s="16"/>
      <c r="IZ754" s="16"/>
      <c r="JA754" s="16"/>
      <c r="JB754" s="16"/>
      <c r="JC754" s="17"/>
      <c r="JG754" s="24"/>
      <c r="JH754" s="60"/>
      <c r="JI754" s="16"/>
      <c r="JJ754" s="16"/>
      <c r="JK754" s="16"/>
      <c r="JL754" s="16"/>
      <c r="JM754" s="16"/>
      <c r="JN754" s="17"/>
      <c r="JR754" s="24"/>
      <c r="JS754" s="60"/>
      <c r="JT754" s="16"/>
      <c r="JU754" s="16"/>
      <c r="JV754" s="16"/>
      <c r="JW754" s="16"/>
      <c r="JX754" s="16"/>
      <c r="JY754" s="17"/>
      <c r="KC754" s="24"/>
      <c r="KD754" s="60"/>
      <c r="KE754" s="16"/>
      <c r="KF754" s="16"/>
      <c r="KG754" s="16"/>
      <c r="KH754" s="16"/>
      <c r="KI754" s="16"/>
      <c r="KJ754" s="17"/>
      <c r="KN754" s="24"/>
      <c r="KO754" s="60"/>
      <c r="KP754" s="16"/>
      <c r="KQ754" s="16"/>
      <c r="KR754" s="16"/>
      <c r="KS754" s="16"/>
      <c r="KT754" s="16"/>
      <c r="KU754" s="17"/>
      <c r="KY754" s="24"/>
      <c r="KZ754" s="60"/>
      <c r="LA754" s="16"/>
      <c r="LB754" s="16"/>
      <c r="LC754" s="16"/>
      <c r="LD754" s="16"/>
      <c r="LE754" s="16"/>
      <c r="LF754" s="17"/>
      <c r="LJ754" s="24"/>
      <c r="LK754" s="60"/>
      <c r="LL754" s="16"/>
      <c r="LM754" s="16"/>
      <c r="LN754" s="16"/>
      <c r="LO754" s="16"/>
      <c r="LP754" s="16"/>
      <c r="LQ754" s="17"/>
    </row>
    <row r="755">
      <c r="C755" s="31"/>
      <c r="D755" s="61"/>
      <c r="E755" s="16"/>
      <c r="F755" s="16"/>
      <c r="G755" s="21"/>
      <c r="H755" s="16"/>
      <c r="I755" s="16"/>
      <c r="J755" s="17"/>
      <c r="N755" s="17"/>
      <c r="O755" s="61"/>
      <c r="P755" s="16"/>
      <c r="Q755" s="16"/>
      <c r="R755" s="16"/>
      <c r="S755" s="16"/>
      <c r="T755" s="16"/>
      <c r="U755" s="17"/>
      <c r="Y755" s="24"/>
      <c r="Z755" s="61"/>
      <c r="AA755" s="16"/>
      <c r="AB755" s="16"/>
      <c r="AC755" s="16"/>
      <c r="AD755" s="16"/>
      <c r="AE755" s="16"/>
      <c r="AF755" s="17"/>
      <c r="AJ755" s="24"/>
      <c r="AK755" s="61"/>
      <c r="AL755" s="16"/>
      <c r="AM755" s="16"/>
      <c r="AN755" s="16"/>
      <c r="AO755" s="16"/>
      <c r="AP755" s="16"/>
      <c r="AQ755" s="17"/>
      <c r="AU755" s="24"/>
      <c r="AV755" s="61"/>
      <c r="AW755" s="16"/>
      <c r="AX755" s="16"/>
      <c r="AY755" s="16"/>
      <c r="AZ755" s="16"/>
      <c r="BA755" s="16"/>
      <c r="BB755" s="17"/>
      <c r="BF755" s="24"/>
      <c r="BG755" s="61"/>
      <c r="BH755" s="16"/>
      <c r="BI755" s="16"/>
      <c r="BJ755" s="16"/>
      <c r="BK755" s="16"/>
      <c r="BL755" s="16"/>
      <c r="BM755" s="17"/>
      <c r="BQ755" s="24"/>
      <c r="BR755" s="61"/>
      <c r="BS755" s="16"/>
      <c r="BT755" s="16"/>
      <c r="BU755" s="16"/>
      <c r="BV755" s="16"/>
      <c r="BW755" s="16"/>
      <c r="BX755" s="17"/>
      <c r="CB755" s="24"/>
      <c r="CC755" s="61"/>
      <c r="CD755" s="16"/>
      <c r="CE755" s="16"/>
      <c r="CF755" s="16"/>
      <c r="CG755" s="16"/>
      <c r="CH755" s="16"/>
      <c r="CI755" s="17"/>
      <c r="CM755" s="24"/>
      <c r="CN755" s="61"/>
      <c r="CO755" s="16"/>
      <c r="CP755" s="16"/>
      <c r="CQ755" s="16"/>
      <c r="CR755" s="16"/>
      <c r="CS755" s="16"/>
      <c r="CT755" s="17"/>
      <c r="CX755" s="24"/>
      <c r="CY755" s="60"/>
      <c r="CZ755" s="16"/>
      <c r="DA755" s="16"/>
      <c r="DB755" s="16"/>
      <c r="DC755" s="16"/>
      <c r="DD755" s="16"/>
      <c r="DE755" s="17"/>
      <c r="DI755" s="24"/>
      <c r="DJ755" s="60"/>
      <c r="DK755" s="16"/>
      <c r="DL755" s="16"/>
      <c r="DM755" s="16"/>
      <c r="DN755" s="16"/>
      <c r="DO755" s="16"/>
      <c r="DP755" s="17"/>
      <c r="DT755" s="24"/>
      <c r="DU755" s="60"/>
      <c r="DV755" s="16"/>
      <c r="DW755" s="16"/>
      <c r="DX755" s="16"/>
      <c r="DY755" s="16"/>
      <c r="DZ755" s="16"/>
      <c r="EA755" s="17"/>
      <c r="EE755" s="24"/>
      <c r="EF755" s="60"/>
      <c r="EG755" s="16"/>
      <c r="EH755" s="16"/>
      <c r="EI755" s="16"/>
      <c r="EJ755" s="16"/>
      <c r="EK755" s="16"/>
      <c r="EL755" s="17"/>
      <c r="EP755" s="24"/>
      <c r="EQ755" s="60"/>
      <c r="ER755" s="16"/>
      <c r="ES755" s="16"/>
      <c r="ET755" s="16"/>
      <c r="EU755" s="16"/>
      <c r="EV755" s="16"/>
      <c r="EW755" s="17"/>
      <c r="FA755" s="24"/>
      <c r="FB755" s="60"/>
      <c r="FC755" s="16"/>
      <c r="FD755" s="16"/>
      <c r="FE755" s="16"/>
      <c r="FF755" s="16"/>
      <c r="FG755" s="16"/>
      <c r="FH755" s="17"/>
      <c r="FL755" s="24"/>
      <c r="FM755" s="60"/>
      <c r="FN755" s="16"/>
      <c r="FO755" s="16"/>
      <c r="FP755" s="16"/>
      <c r="FQ755" s="16"/>
      <c r="FR755" s="16"/>
      <c r="FS755" s="17"/>
      <c r="FW755" s="24"/>
      <c r="FX755" s="60"/>
      <c r="FY755" s="16"/>
      <c r="FZ755" s="16"/>
      <c r="GA755" s="16"/>
      <c r="GB755" s="16"/>
      <c r="GC755" s="16"/>
      <c r="GD755" s="17"/>
      <c r="GH755" s="24"/>
      <c r="GI755" s="60"/>
      <c r="GJ755" s="16"/>
      <c r="GK755" s="16"/>
      <c r="GL755" s="16"/>
      <c r="GM755" s="16"/>
      <c r="GN755" s="16"/>
      <c r="GO755" s="17"/>
      <c r="GS755" s="24"/>
      <c r="GT755" s="60"/>
      <c r="GU755" s="16"/>
      <c r="GV755" s="16"/>
      <c r="GW755" s="16"/>
      <c r="GX755" s="16"/>
      <c r="GY755" s="16"/>
      <c r="GZ755" s="17"/>
      <c r="HD755" s="24"/>
      <c r="HE755" s="60"/>
      <c r="HF755" s="16"/>
      <c r="HG755" s="16"/>
      <c r="HH755" s="16"/>
      <c r="HI755" s="16"/>
      <c r="HJ755" s="16"/>
      <c r="HK755" s="17"/>
      <c r="HO755" s="24"/>
      <c r="HP755" s="60"/>
      <c r="HQ755" s="16"/>
      <c r="HR755" s="16"/>
      <c r="HS755" s="16"/>
      <c r="HT755" s="16"/>
      <c r="HU755" s="16"/>
      <c r="HV755" s="17"/>
      <c r="HZ755" s="24"/>
      <c r="IA755" s="60"/>
      <c r="IB755" s="16"/>
      <c r="IC755" s="16"/>
      <c r="ID755" s="16"/>
      <c r="IE755" s="16"/>
      <c r="IF755" s="16"/>
      <c r="IG755" s="17"/>
      <c r="IK755" s="24"/>
      <c r="IL755" s="60"/>
      <c r="IM755" s="16"/>
      <c r="IN755" s="16"/>
      <c r="IO755" s="16"/>
      <c r="IP755" s="16"/>
      <c r="IQ755" s="16"/>
      <c r="IR755" s="17"/>
      <c r="IV755" s="24"/>
      <c r="IW755" s="60"/>
      <c r="IX755" s="16"/>
      <c r="IY755" s="16"/>
      <c r="IZ755" s="16"/>
      <c r="JA755" s="16"/>
      <c r="JB755" s="16"/>
      <c r="JC755" s="17"/>
      <c r="JG755" s="24"/>
      <c r="JH755" s="60"/>
      <c r="JI755" s="16"/>
      <c r="JJ755" s="16"/>
      <c r="JK755" s="16"/>
      <c r="JL755" s="16"/>
      <c r="JM755" s="16"/>
      <c r="JN755" s="17"/>
      <c r="JR755" s="24"/>
      <c r="JS755" s="60"/>
      <c r="JT755" s="16"/>
      <c r="JU755" s="16"/>
      <c r="JV755" s="16"/>
      <c r="JW755" s="16"/>
      <c r="JX755" s="16"/>
      <c r="JY755" s="17"/>
      <c r="KC755" s="24"/>
      <c r="KD755" s="60"/>
      <c r="KE755" s="16"/>
      <c r="KF755" s="16"/>
      <c r="KG755" s="16"/>
      <c r="KH755" s="16"/>
      <c r="KI755" s="16"/>
      <c r="KJ755" s="17"/>
      <c r="KN755" s="24"/>
      <c r="KO755" s="60"/>
      <c r="KP755" s="16"/>
      <c r="KQ755" s="16"/>
      <c r="KR755" s="16"/>
      <c r="KS755" s="16"/>
      <c r="KT755" s="16"/>
      <c r="KU755" s="17"/>
      <c r="KY755" s="24"/>
      <c r="KZ755" s="60"/>
      <c r="LA755" s="16"/>
      <c r="LB755" s="16"/>
      <c r="LC755" s="16"/>
      <c r="LD755" s="16"/>
      <c r="LE755" s="16"/>
      <c r="LF755" s="17"/>
      <c r="LJ755" s="24"/>
      <c r="LK755" s="60"/>
      <c r="LL755" s="16"/>
      <c r="LM755" s="16"/>
      <c r="LN755" s="16"/>
      <c r="LO755" s="16"/>
      <c r="LP755" s="16"/>
      <c r="LQ755" s="17"/>
    </row>
    <row r="756">
      <c r="C756" s="31"/>
      <c r="D756" s="61"/>
      <c r="E756" s="16"/>
      <c r="F756" s="16"/>
      <c r="G756" s="21"/>
      <c r="H756" s="16"/>
      <c r="I756" s="16"/>
      <c r="J756" s="17"/>
      <c r="N756" s="17"/>
      <c r="O756" s="61"/>
      <c r="P756" s="16"/>
      <c r="Q756" s="16"/>
      <c r="R756" s="16"/>
      <c r="S756" s="16"/>
      <c r="T756" s="16"/>
      <c r="U756" s="17"/>
      <c r="Y756" s="24"/>
      <c r="Z756" s="61"/>
      <c r="AA756" s="16"/>
      <c r="AB756" s="16"/>
      <c r="AC756" s="16"/>
      <c r="AD756" s="16"/>
      <c r="AE756" s="16"/>
      <c r="AF756" s="17"/>
      <c r="AJ756" s="24"/>
      <c r="AK756" s="61"/>
      <c r="AL756" s="16"/>
      <c r="AM756" s="16"/>
      <c r="AN756" s="16"/>
      <c r="AO756" s="16"/>
      <c r="AP756" s="16"/>
      <c r="AQ756" s="17"/>
      <c r="AU756" s="24"/>
      <c r="AV756" s="61"/>
      <c r="AW756" s="16"/>
      <c r="AX756" s="16"/>
      <c r="AY756" s="16"/>
      <c r="AZ756" s="16"/>
      <c r="BA756" s="16"/>
      <c r="BB756" s="17"/>
      <c r="BF756" s="24"/>
      <c r="BG756" s="61"/>
      <c r="BH756" s="16"/>
      <c r="BI756" s="16"/>
      <c r="BJ756" s="16"/>
      <c r="BK756" s="16"/>
      <c r="BL756" s="16"/>
      <c r="BM756" s="17"/>
      <c r="BQ756" s="24"/>
      <c r="BR756" s="61"/>
      <c r="BS756" s="16"/>
      <c r="BT756" s="16"/>
      <c r="BU756" s="16"/>
      <c r="BV756" s="16"/>
      <c r="BW756" s="16"/>
      <c r="BX756" s="17"/>
      <c r="CB756" s="24"/>
      <c r="CC756" s="61"/>
      <c r="CD756" s="16"/>
      <c r="CE756" s="16"/>
      <c r="CF756" s="16"/>
      <c r="CG756" s="16"/>
      <c r="CH756" s="16"/>
      <c r="CI756" s="17"/>
      <c r="CM756" s="24"/>
      <c r="CN756" s="61"/>
      <c r="CO756" s="16"/>
      <c r="CP756" s="16"/>
      <c r="CQ756" s="16"/>
      <c r="CR756" s="16"/>
      <c r="CS756" s="16"/>
      <c r="CT756" s="17"/>
      <c r="CX756" s="24"/>
      <c r="CY756" s="60"/>
      <c r="CZ756" s="16"/>
      <c r="DA756" s="16"/>
      <c r="DB756" s="16"/>
      <c r="DC756" s="16"/>
      <c r="DD756" s="16"/>
      <c r="DE756" s="17"/>
      <c r="DI756" s="24"/>
      <c r="DJ756" s="60"/>
      <c r="DK756" s="16"/>
      <c r="DL756" s="16"/>
      <c r="DM756" s="16"/>
      <c r="DN756" s="16"/>
      <c r="DO756" s="16"/>
      <c r="DP756" s="17"/>
      <c r="DT756" s="24"/>
      <c r="DU756" s="60"/>
      <c r="DV756" s="16"/>
      <c r="DW756" s="16"/>
      <c r="DX756" s="16"/>
      <c r="DY756" s="16"/>
      <c r="DZ756" s="16"/>
      <c r="EA756" s="17"/>
      <c r="EE756" s="24"/>
      <c r="EF756" s="60"/>
      <c r="EG756" s="16"/>
      <c r="EH756" s="16"/>
      <c r="EI756" s="16"/>
      <c r="EJ756" s="16"/>
      <c r="EK756" s="16"/>
      <c r="EL756" s="17"/>
      <c r="EP756" s="24"/>
      <c r="EQ756" s="60"/>
      <c r="ER756" s="16"/>
      <c r="ES756" s="16"/>
      <c r="ET756" s="16"/>
      <c r="EU756" s="16"/>
      <c r="EV756" s="16"/>
      <c r="EW756" s="17"/>
      <c r="FA756" s="24"/>
      <c r="FB756" s="60"/>
      <c r="FC756" s="16"/>
      <c r="FD756" s="16"/>
      <c r="FE756" s="16"/>
      <c r="FF756" s="16"/>
      <c r="FG756" s="16"/>
      <c r="FH756" s="17"/>
      <c r="FL756" s="24"/>
      <c r="FM756" s="60"/>
      <c r="FN756" s="16"/>
      <c r="FO756" s="16"/>
      <c r="FP756" s="16"/>
      <c r="FQ756" s="16"/>
      <c r="FR756" s="16"/>
      <c r="FS756" s="17"/>
      <c r="FW756" s="24"/>
      <c r="FX756" s="60"/>
      <c r="FY756" s="16"/>
      <c r="FZ756" s="16"/>
      <c r="GA756" s="16"/>
      <c r="GB756" s="16"/>
      <c r="GC756" s="16"/>
      <c r="GD756" s="17"/>
      <c r="GH756" s="24"/>
      <c r="GI756" s="60"/>
      <c r="GJ756" s="16"/>
      <c r="GK756" s="16"/>
      <c r="GL756" s="16"/>
      <c r="GM756" s="16"/>
      <c r="GN756" s="16"/>
      <c r="GO756" s="17"/>
      <c r="GS756" s="24"/>
      <c r="GT756" s="60"/>
      <c r="GU756" s="16"/>
      <c r="GV756" s="16"/>
      <c r="GW756" s="16"/>
      <c r="GX756" s="16"/>
      <c r="GY756" s="16"/>
      <c r="GZ756" s="17"/>
      <c r="HD756" s="24"/>
      <c r="HE756" s="60"/>
      <c r="HF756" s="16"/>
      <c r="HG756" s="16"/>
      <c r="HH756" s="16"/>
      <c r="HI756" s="16"/>
      <c r="HJ756" s="16"/>
      <c r="HK756" s="17"/>
      <c r="HO756" s="24"/>
      <c r="HP756" s="60"/>
      <c r="HQ756" s="16"/>
      <c r="HR756" s="16"/>
      <c r="HS756" s="16"/>
      <c r="HT756" s="16"/>
      <c r="HU756" s="16"/>
      <c r="HV756" s="17"/>
      <c r="HZ756" s="24"/>
      <c r="IA756" s="60"/>
      <c r="IB756" s="16"/>
      <c r="IC756" s="16"/>
      <c r="ID756" s="16"/>
      <c r="IE756" s="16"/>
      <c r="IF756" s="16"/>
      <c r="IG756" s="17"/>
      <c r="IK756" s="24"/>
      <c r="IL756" s="60"/>
      <c r="IM756" s="16"/>
      <c r="IN756" s="16"/>
      <c r="IO756" s="16"/>
      <c r="IP756" s="16"/>
      <c r="IQ756" s="16"/>
      <c r="IR756" s="17"/>
      <c r="IV756" s="24"/>
      <c r="IW756" s="60"/>
      <c r="IX756" s="16"/>
      <c r="IY756" s="16"/>
      <c r="IZ756" s="16"/>
      <c r="JA756" s="16"/>
      <c r="JB756" s="16"/>
      <c r="JC756" s="17"/>
      <c r="JG756" s="24"/>
      <c r="JH756" s="60"/>
      <c r="JI756" s="16"/>
      <c r="JJ756" s="16"/>
      <c r="JK756" s="16"/>
      <c r="JL756" s="16"/>
      <c r="JM756" s="16"/>
      <c r="JN756" s="17"/>
      <c r="JR756" s="24"/>
      <c r="JS756" s="60"/>
      <c r="JT756" s="16"/>
      <c r="JU756" s="16"/>
      <c r="JV756" s="16"/>
      <c r="JW756" s="16"/>
      <c r="JX756" s="16"/>
      <c r="JY756" s="17"/>
      <c r="KC756" s="24"/>
      <c r="KD756" s="60"/>
      <c r="KE756" s="16"/>
      <c r="KF756" s="16"/>
      <c r="KG756" s="16"/>
      <c r="KH756" s="16"/>
      <c r="KI756" s="16"/>
      <c r="KJ756" s="17"/>
      <c r="KN756" s="24"/>
      <c r="KO756" s="60"/>
      <c r="KP756" s="16"/>
      <c r="KQ756" s="16"/>
      <c r="KR756" s="16"/>
      <c r="KS756" s="16"/>
      <c r="KT756" s="16"/>
      <c r="KU756" s="17"/>
      <c r="KY756" s="24"/>
      <c r="KZ756" s="60"/>
      <c r="LA756" s="16"/>
      <c r="LB756" s="16"/>
      <c r="LC756" s="16"/>
      <c r="LD756" s="16"/>
      <c r="LE756" s="16"/>
      <c r="LF756" s="17"/>
      <c r="LJ756" s="24"/>
      <c r="LK756" s="60"/>
      <c r="LL756" s="16"/>
      <c r="LM756" s="16"/>
      <c r="LN756" s="16"/>
      <c r="LO756" s="16"/>
      <c r="LP756" s="16"/>
      <c r="LQ756" s="17"/>
    </row>
    <row r="757">
      <c r="C757" s="31"/>
      <c r="D757" s="61"/>
      <c r="E757" s="16"/>
      <c r="F757" s="16"/>
      <c r="G757" s="21"/>
      <c r="H757" s="16"/>
      <c r="I757" s="16"/>
      <c r="J757" s="17"/>
      <c r="N757" s="17"/>
      <c r="O757" s="61"/>
      <c r="P757" s="16"/>
      <c r="Q757" s="16"/>
      <c r="R757" s="16"/>
      <c r="S757" s="16"/>
      <c r="T757" s="16"/>
      <c r="U757" s="17"/>
      <c r="Y757" s="24"/>
      <c r="Z757" s="61"/>
      <c r="AA757" s="16"/>
      <c r="AB757" s="16"/>
      <c r="AC757" s="16"/>
      <c r="AD757" s="16"/>
      <c r="AE757" s="16"/>
      <c r="AF757" s="17"/>
      <c r="AJ757" s="24"/>
      <c r="AK757" s="61"/>
      <c r="AL757" s="16"/>
      <c r="AM757" s="16"/>
      <c r="AN757" s="16"/>
      <c r="AO757" s="16"/>
      <c r="AP757" s="16"/>
      <c r="AQ757" s="17"/>
      <c r="AU757" s="24"/>
      <c r="AV757" s="61"/>
      <c r="AW757" s="16"/>
      <c r="AX757" s="16"/>
      <c r="AY757" s="16"/>
      <c r="AZ757" s="16"/>
      <c r="BA757" s="16"/>
      <c r="BB757" s="17"/>
      <c r="BF757" s="24"/>
      <c r="BG757" s="61"/>
      <c r="BH757" s="16"/>
      <c r="BI757" s="16"/>
      <c r="BJ757" s="16"/>
      <c r="BK757" s="16"/>
      <c r="BL757" s="16"/>
      <c r="BM757" s="17"/>
      <c r="BQ757" s="24"/>
      <c r="BR757" s="61"/>
      <c r="BS757" s="16"/>
      <c r="BT757" s="16"/>
      <c r="BU757" s="16"/>
      <c r="BV757" s="16"/>
      <c r="BW757" s="16"/>
      <c r="BX757" s="17"/>
      <c r="CB757" s="24"/>
      <c r="CC757" s="61"/>
      <c r="CD757" s="16"/>
      <c r="CE757" s="16"/>
      <c r="CF757" s="16"/>
      <c r="CG757" s="16"/>
      <c r="CH757" s="16"/>
      <c r="CI757" s="17"/>
      <c r="CM757" s="24"/>
      <c r="CN757" s="61"/>
      <c r="CO757" s="16"/>
      <c r="CP757" s="16"/>
      <c r="CQ757" s="16"/>
      <c r="CR757" s="16"/>
      <c r="CS757" s="16"/>
      <c r="CT757" s="17"/>
      <c r="CX757" s="24"/>
      <c r="CY757" s="60"/>
      <c r="CZ757" s="16"/>
      <c r="DA757" s="16"/>
      <c r="DB757" s="16"/>
      <c r="DC757" s="16"/>
      <c r="DD757" s="16"/>
      <c r="DE757" s="17"/>
      <c r="DI757" s="24"/>
      <c r="DJ757" s="60"/>
      <c r="DK757" s="16"/>
      <c r="DL757" s="16"/>
      <c r="DM757" s="16"/>
      <c r="DN757" s="16"/>
      <c r="DO757" s="16"/>
      <c r="DP757" s="17"/>
      <c r="DT757" s="24"/>
      <c r="DU757" s="60"/>
      <c r="DV757" s="16"/>
      <c r="DW757" s="16"/>
      <c r="DX757" s="16"/>
      <c r="DY757" s="16"/>
      <c r="DZ757" s="16"/>
      <c r="EA757" s="17"/>
      <c r="EE757" s="24"/>
      <c r="EF757" s="60"/>
      <c r="EG757" s="16"/>
      <c r="EH757" s="16"/>
      <c r="EI757" s="16"/>
      <c r="EJ757" s="16"/>
      <c r="EK757" s="16"/>
      <c r="EL757" s="17"/>
      <c r="EP757" s="24"/>
      <c r="EQ757" s="60"/>
      <c r="ER757" s="16"/>
      <c r="ES757" s="16"/>
      <c r="ET757" s="16"/>
      <c r="EU757" s="16"/>
      <c r="EV757" s="16"/>
      <c r="EW757" s="17"/>
      <c r="FA757" s="24"/>
      <c r="FB757" s="60"/>
      <c r="FC757" s="16"/>
      <c r="FD757" s="16"/>
      <c r="FE757" s="16"/>
      <c r="FF757" s="16"/>
      <c r="FG757" s="16"/>
      <c r="FH757" s="17"/>
      <c r="FL757" s="24"/>
      <c r="FM757" s="60"/>
      <c r="FN757" s="16"/>
      <c r="FO757" s="16"/>
      <c r="FP757" s="16"/>
      <c r="FQ757" s="16"/>
      <c r="FR757" s="16"/>
      <c r="FS757" s="17"/>
      <c r="FW757" s="24"/>
      <c r="FX757" s="60"/>
      <c r="FY757" s="16"/>
      <c r="FZ757" s="16"/>
      <c r="GA757" s="16"/>
      <c r="GB757" s="16"/>
      <c r="GC757" s="16"/>
      <c r="GD757" s="17"/>
      <c r="GH757" s="24"/>
      <c r="GI757" s="60"/>
      <c r="GJ757" s="16"/>
      <c r="GK757" s="16"/>
      <c r="GL757" s="16"/>
      <c r="GM757" s="16"/>
      <c r="GN757" s="16"/>
      <c r="GO757" s="17"/>
      <c r="GS757" s="24"/>
      <c r="GT757" s="60"/>
      <c r="GU757" s="16"/>
      <c r="GV757" s="16"/>
      <c r="GW757" s="16"/>
      <c r="GX757" s="16"/>
      <c r="GY757" s="16"/>
      <c r="GZ757" s="17"/>
      <c r="HD757" s="24"/>
      <c r="HE757" s="60"/>
      <c r="HF757" s="16"/>
      <c r="HG757" s="16"/>
      <c r="HH757" s="16"/>
      <c r="HI757" s="16"/>
      <c r="HJ757" s="16"/>
      <c r="HK757" s="17"/>
      <c r="HO757" s="24"/>
      <c r="HP757" s="60"/>
      <c r="HQ757" s="16"/>
      <c r="HR757" s="16"/>
      <c r="HS757" s="16"/>
      <c r="HT757" s="16"/>
      <c r="HU757" s="16"/>
      <c r="HV757" s="17"/>
      <c r="HZ757" s="24"/>
      <c r="IA757" s="60"/>
      <c r="IB757" s="16"/>
      <c r="IC757" s="16"/>
      <c r="ID757" s="16"/>
      <c r="IE757" s="16"/>
      <c r="IF757" s="16"/>
      <c r="IG757" s="17"/>
      <c r="IK757" s="24"/>
      <c r="IL757" s="60"/>
      <c r="IM757" s="16"/>
      <c r="IN757" s="16"/>
      <c r="IO757" s="16"/>
      <c r="IP757" s="16"/>
      <c r="IQ757" s="16"/>
      <c r="IR757" s="17"/>
      <c r="IV757" s="24"/>
      <c r="IW757" s="60"/>
      <c r="IX757" s="16"/>
      <c r="IY757" s="16"/>
      <c r="IZ757" s="16"/>
      <c r="JA757" s="16"/>
      <c r="JB757" s="16"/>
      <c r="JC757" s="17"/>
      <c r="JG757" s="24"/>
      <c r="JH757" s="60"/>
      <c r="JI757" s="16"/>
      <c r="JJ757" s="16"/>
      <c r="JK757" s="16"/>
      <c r="JL757" s="16"/>
      <c r="JM757" s="16"/>
      <c r="JN757" s="17"/>
      <c r="JR757" s="24"/>
      <c r="JS757" s="60"/>
      <c r="JT757" s="16"/>
      <c r="JU757" s="16"/>
      <c r="JV757" s="16"/>
      <c r="JW757" s="16"/>
      <c r="JX757" s="16"/>
      <c r="JY757" s="17"/>
      <c r="KC757" s="24"/>
      <c r="KD757" s="60"/>
      <c r="KE757" s="16"/>
      <c r="KF757" s="16"/>
      <c r="KG757" s="16"/>
      <c r="KH757" s="16"/>
      <c r="KI757" s="16"/>
      <c r="KJ757" s="17"/>
      <c r="KN757" s="24"/>
      <c r="KO757" s="60"/>
      <c r="KP757" s="16"/>
      <c r="KQ757" s="16"/>
      <c r="KR757" s="16"/>
      <c r="KS757" s="16"/>
      <c r="KT757" s="16"/>
      <c r="KU757" s="17"/>
      <c r="KY757" s="24"/>
      <c r="KZ757" s="60"/>
      <c r="LA757" s="16"/>
      <c r="LB757" s="16"/>
      <c r="LC757" s="16"/>
      <c r="LD757" s="16"/>
      <c r="LE757" s="16"/>
      <c r="LF757" s="17"/>
      <c r="LJ757" s="24"/>
      <c r="LK757" s="60"/>
      <c r="LL757" s="16"/>
      <c r="LM757" s="16"/>
      <c r="LN757" s="16"/>
      <c r="LO757" s="16"/>
      <c r="LP757" s="16"/>
      <c r="LQ757" s="17"/>
    </row>
    <row r="758">
      <c r="C758" s="31"/>
      <c r="D758" s="61"/>
      <c r="E758" s="16"/>
      <c r="F758" s="16"/>
      <c r="G758" s="21"/>
      <c r="H758" s="16"/>
      <c r="I758" s="16"/>
      <c r="J758" s="17"/>
      <c r="N758" s="17"/>
      <c r="O758" s="61"/>
      <c r="P758" s="16"/>
      <c r="Q758" s="16"/>
      <c r="R758" s="16"/>
      <c r="S758" s="16"/>
      <c r="T758" s="16"/>
      <c r="U758" s="17"/>
      <c r="Y758" s="24"/>
      <c r="Z758" s="61"/>
      <c r="AA758" s="16"/>
      <c r="AB758" s="16"/>
      <c r="AC758" s="16"/>
      <c r="AD758" s="16"/>
      <c r="AE758" s="16"/>
      <c r="AF758" s="17"/>
      <c r="AJ758" s="24"/>
      <c r="AK758" s="61"/>
      <c r="AL758" s="16"/>
      <c r="AM758" s="16"/>
      <c r="AN758" s="16"/>
      <c r="AO758" s="16"/>
      <c r="AP758" s="16"/>
      <c r="AQ758" s="17"/>
      <c r="AU758" s="24"/>
      <c r="AV758" s="61"/>
      <c r="AW758" s="16"/>
      <c r="AX758" s="16"/>
      <c r="AY758" s="16"/>
      <c r="AZ758" s="16"/>
      <c r="BA758" s="16"/>
      <c r="BB758" s="17"/>
      <c r="BF758" s="24"/>
      <c r="BG758" s="61"/>
      <c r="BH758" s="16"/>
      <c r="BI758" s="16"/>
      <c r="BJ758" s="16"/>
      <c r="BK758" s="16"/>
      <c r="BL758" s="16"/>
      <c r="BM758" s="17"/>
      <c r="BQ758" s="24"/>
      <c r="BR758" s="61"/>
      <c r="BS758" s="16"/>
      <c r="BT758" s="16"/>
      <c r="BU758" s="16"/>
      <c r="BV758" s="16"/>
      <c r="BW758" s="16"/>
      <c r="BX758" s="17"/>
      <c r="CB758" s="24"/>
      <c r="CC758" s="61"/>
      <c r="CD758" s="16"/>
      <c r="CE758" s="16"/>
      <c r="CF758" s="16"/>
      <c r="CG758" s="16"/>
      <c r="CH758" s="16"/>
      <c r="CI758" s="17"/>
      <c r="CM758" s="24"/>
      <c r="CN758" s="61"/>
      <c r="CO758" s="16"/>
      <c r="CP758" s="16"/>
      <c r="CQ758" s="16"/>
      <c r="CR758" s="16"/>
      <c r="CS758" s="16"/>
      <c r="CT758" s="17"/>
      <c r="CX758" s="24"/>
      <c r="CY758" s="60"/>
      <c r="CZ758" s="16"/>
      <c r="DA758" s="16"/>
      <c r="DB758" s="16"/>
      <c r="DC758" s="16"/>
      <c r="DD758" s="16"/>
      <c r="DE758" s="17"/>
      <c r="DI758" s="24"/>
      <c r="DJ758" s="60"/>
      <c r="DK758" s="16"/>
      <c r="DL758" s="16"/>
      <c r="DM758" s="16"/>
      <c r="DN758" s="16"/>
      <c r="DO758" s="16"/>
      <c r="DP758" s="17"/>
      <c r="DT758" s="24"/>
      <c r="DU758" s="60"/>
      <c r="DV758" s="16"/>
      <c r="DW758" s="16"/>
      <c r="DX758" s="16"/>
      <c r="DY758" s="16"/>
      <c r="DZ758" s="16"/>
      <c r="EA758" s="17"/>
      <c r="EE758" s="24"/>
      <c r="EF758" s="60"/>
      <c r="EG758" s="16"/>
      <c r="EH758" s="16"/>
      <c r="EI758" s="16"/>
      <c r="EJ758" s="16"/>
      <c r="EK758" s="16"/>
      <c r="EL758" s="17"/>
      <c r="EP758" s="24"/>
      <c r="EQ758" s="60"/>
      <c r="ER758" s="16"/>
      <c r="ES758" s="16"/>
      <c r="ET758" s="16"/>
      <c r="EU758" s="16"/>
      <c r="EV758" s="16"/>
      <c r="EW758" s="17"/>
      <c r="FA758" s="24"/>
      <c r="FB758" s="60"/>
      <c r="FC758" s="16"/>
      <c r="FD758" s="16"/>
      <c r="FE758" s="16"/>
      <c r="FF758" s="16"/>
      <c r="FG758" s="16"/>
      <c r="FH758" s="17"/>
      <c r="FL758" s="24"/>
      <c r="FM758" s="60"/>
      <c r="FN758" s="16"/>
      <c r="FO758" s="16"/>
      <c r="FP758" s="16"/>
      <c r="FQ758" s="16"/>
      <c r="FR758" s="16"/>
      <c r="FS758" s="17"/>
      <c r="FW758" s="24"/>
      <c r="FX758" s="60"/>
      <c r="FY758" s="16"/>
      <c r="FZ758" s="16"/>
      <c r="GA758" s="16"/>
      <c r="GB758" s="16"/>
      <c r="GC758" s="16"/>
      <c r="GD758" s="17"/>
      <c r="GH758" s="24"/>
      <c r="GI758" s="60"/>
      <c r="GJ758" s="16"/>
      <c r="GK758" s="16"/>
      <c r="GL758" s="16"/>
      <c r="GM758" s="16"/>
      <c r="GN758" s="16"/>
      <c r="GO758" s="17"/>
      <c r="GS758" s="24"/>
      <c r="GT758" s="60"/>
      <c r="GU758" s="16"/>
      <c r="GV758" s="16"/>
      <c r="GW758" s="16"/>
      <c r="GX758" s="16"/>
      <c r="GY758" s="16"/>
      <c r="GZ758" s="17"/>
      <c r="HD758" s="24"/>
      <c r="HE758" s="60"/>
      <c r="HF758" s="16"/>
      <c r="HG758" s="16"/>
      <c r="HH758" s="16"/>
      <c r="HI758" s="16"/>
      <c r="HJ758" s="16"/>
      <c r="HK758" s="17"/>
      <c r="HO758" s="24"/>
      <c r="HP758" s="60"/>
      <c r="HQ758" s="16"/>
      <c r="HR758" s="16"/>
      <c r="HS758" s="16"/>
      <c r="HT758" s="16"/>
      <c r="HU758" s="16"/>
      <c r="HV758" s="17"/>
      <c r="HZ758" s="24"/>
      <c r="IA758" s="60"/>
      <c r="IB758" s="16"/>
      <c r="IC758" s="16"/>
      <c r="ID758" s="16"/>
      <c r="IE758" s="16"/>
      <c r="IF758" s="16"/>
      <c r="IG758" s="17"/>
      <c r="IK758" s="24"/>
      <c r="IL758" s="60"/>
      <c r="IM758" s="16"/>
      <c r="IN758" s="16"/>
      <c r="IO758" s="16"/>
      <c r="IP758" s="16"/>
      <c r="IQ758" s="16"/>
      <c r="IR758" s="17"/>
      <c r="IV758" s="24"/>
      <c r="IW758" s="60"/>
      <c r="IX758" s="16"/>
      <c r="IY758" s="16"/>
      <c r="IZ758" s="16"/>
      <c r="JA758" s="16"/>
      <c r="JB758" s="16"/>
      <c r="JC758" s="17"/>
      <c r="JG758" s="24"/>
      <c r="JH758" s="60"/>
      <c r="JI758" s="16"/>
      <c r="JJ758" s="16"/>
      <c r="JK758" s="16"/>
      <c r="JL758" s="16"/>
      <c r="JM758" s="16"/>
      <c r="JN758" s="17"/>
      <c r="JR758" s="24"/>
      <c r="JS758" s="60"/>
      <c r="JT758" s="16"/>
      <c r="JU758" s="16"/>
      <c r="JV758" s="16"/>
      <c r="JW758" s="16"/>
      <c r="JX758" s="16"/>
      <c r="JY758" s="17"/>
      <c r="KC758" s="24"/>
      <c r="KD758" s="60"/>
      <c r="KE758" s="16"/>
      <c r="KF758" s="16"/>
      <c r="KG758" s="16"/>
      <c r="KH758" s="16"/>
      <c r="KI758" s="16"/>
      <c r="KJ758" s="17"/>
      <c r="KN758" s="24"/>
      <c r="KO758" s="60"/>
      <c r="KP758" s="16"/>
      <c r="KQ758" s="16"/>
      <c r="KR758" s="16"/>
      <c r="KS758" s="16"/>
      <c r="KT758" s="16"/>
      <c r="KU758" s="17"/>
      <c r="KY758" s="24"/>
      <c r="KZ758" s="60"/>
      <c r="LA758" s="16"/>
      <c r="LB758" s="16"/>
      <c r="LC758" s="16"/>
      <c r="LD758" s="16"/>
      <c r="LE758" s="16"/>
      <c r="LF758" s="17"/>
      <c r="LJ758" s="24"/>
      <c r="LK758" s="60"/>
      <c r="LL758" s="16"/>
      <c r="LM758" s="16"/>
      <c r="LN758" s="16"/>
      <c r="LO758" s="16"/>
      <c r="LP758" s="16"/>
      <c r="LQ758" s="17"/>
    </row>
    <row r="759">
      <c r="C759" s="31"/>
      <c r="D759" s="61"/>
      <c r="E759" s="16"/>
      <c r="F759" s="16"/>
      <c r="G759" s="21"/>
      <c r="H759" s="16"/>
      <c r="I759" s="16"/>
      <c r="J759" s="17"/>
      <c r="N759" s="17"/>
      <c r="O759" s="61"/>
      <c r="P759" s="16"/>
      <c r="Q759" s="16"/>
      <c r="R759" s="16"/>
      <c r="S759" s="16"/>
      <c r="T759" s="16"/>
      <c r="U759" s="17"/>
      <c r="Y759" s="24"/>
      <c r="Z759" s="61"/>
      <c r="AA759" s="16"/>
      <c r="AB759" s="16"/>
      <c r="AC759" s="16"/>
      <c r="AD759" s="16"/>
      <c r="AE759" s="16"/>
      <c r="AF759" s="17"/>
      <c r="AJ759" s="24"/>
      <c r="AK759" s="61"/>
      <c r="AL759" s="16"/>
      <c r="AM759" s="16"/>
      <c r="AN759" s="16"/>
      <c r="AO759" s="16"/>
      <c r="AP759" s="16"/>
      <c r="AQ759" s="17"/>
      <c r="AU759" s="24"/>
      <c r="AV759" s="61"/>
      <c r="AW759" s="16"/>
      <c r="AX759" s="16"/>
      <c r="AY759" s="16"/>
      <c r="AZ759" s="16"/>
      <c r="BA759" s="16"/>
      <c r="BB759" s="17"/>
      <c r="BF759" s="24"/>
      <c r="BG759" s="61"/>
      <c r="BH759" s="16"/>
      <c r="BI759" s="16"/>
      <c r="BJ759" s="16"/>
      <c r="BK759" s="16"/>
      <c r="BL759" s="16"/>
      <c r="BM759" s="17"/>
      <c r="BQ759" s="24"/>
      <c r="BR759" s="61"/>
      <c r="BS759" s="16"/>
      <c r="BT759" s="16"/>
      <c r="BU759" s="16"/>
      <c r="BV759" s="16"/>
      <c r="BW759" s="16"/>
      <c r="BX759" s="17"/>
      <c r="CB759" s="24"/>
      <c r="CC759" s="61"/>
      <c r="CD759" s="16"/>
      <c r="CE759" s="16"/>
      <c r="CF759" s="16"/>
      <c r="CG759" s="16"/>
      <c r="CH759" s="16"/>
      <c r="CI759" s="17"/>
      <c r="CM759" s="24"/>
      <c r="CN759" s="61"/>
      <c r="CO759" s="16"/>
      <c r="CP759" s="16"/>
      <c r="CQ759" s="16"/>
      <c r="CR759" s="16"/>
      <c r="CS759" s="16"/>
      <c r="CT759" s="17"/>
      <c r="CX759" s="24"/>
      <c r="CY759" s="60"/>
      <c r="CZ759" s="16"/>
      <c r="DA759" s="16"/>
      <c r="DB759" s="16"/>
      <c r="DC759" s="16"/>
      <c r="DD759" s="16"/>
      <c r="DE759" s="17"/>
      <c r="DI759" s="24"/>
      <c r="DJ759" s="60"/>
      <c r="DK759" s="16"/>
      <c r="DL759" s="16"/>
      <c r="DM759" s="16"/>
      <c r="DN759" s="16"/>
      <c r="DO759" s="16"/>
      <c r="DP759" s="17"/>
      <c r="DT759" s="24"/>
      <c r="DU759" s="60"/>
      <c r="DV759" s="16"/>
      <c r="DW759" s="16"/>
      <c r="DX759" s="16"/>
      <c r="DY759" s="16"/>
      <c r="DZ759" s="16"/>
      <c r="EA759" s="17"/>
      <c r="EE759" s="24"/>
      <c r="EF759" s="60"/>
      <c r="EG759" s="16"/>
      <c r="EH759" s="16"/>
      <c r="EI759" s="16"/>
      <c r="EJ759" s="16"/>
      <c r="EK759" s="16"/>
      <c r="EL759" s="17"/>
      <c r="EP759" s="24"/>
      <c r="EQ759" s="60"/>
      <c r="ER759" s="16"/>
      <c r="ES759" s="16"/>
      <c r="ET759" s="16"/>
      <c r="EU759" s="16"/>
      <c r="EV759" s="16"/>
      <c r="EW759" s="17"/>
      <c r="FA759" s="24"/>
      <c r="FB759" s="60"/>
      <c r="FC759" s="16"/>
      <c r="FD759" s="16"/>
      <c r="FE759" s="16"/>
      <c r="FF759" s="16"/>
      <c r="FG759" s="16"/>
      <c r="FH759" s="17"/>
      <c r="FL759" s="24"/>
      <c r="FM759" s="60"/>
      <c r="FN759" s="16"/>
      <c r="FO759" s="16"/>
      <c r="FP759" s="16"/>
      <c r="FQ759" s="16"/>
      <c r="FR759" s="16"/>
      <c r="FS759" s="17"/>
      <c r="FW759" s="24"/>
      <c r="FX759" s="60"/>
      <c r="FY759" s="16"/>
      <c r="FZ759" s="16"/>
      <c r="GA759" s="16"/>
      <c r="GB759" s="16"/>
      <c r="GC759" s="16"/>
      <c r="GD759" s="17"/>
      <c r="GH759" s="24"/>
      <c r="GI759" s="60"/>
      <c r="GJ759" s="16"/>
      <c r="GK759" s="16"/>
      <c r="GL759" s="16"/>
      <c r="GM759" s="16"/>
      <c r="GN759" s="16"/>
      <c r="GO759" s="17"/>
      <c r="GS759" s="24"/>
      <c r="GT759" s="60"/>
      <c r="GU759" s="16"/>
      <c r="GV759" s="16"/>
      <c r="GW759" s="16"/>
      <c r="GX759" s="16"/>
      <c r="GY759" s="16"/>
      <c r="GZ759" s="17"/>
      <c r="HD759" s="24"/>
      <c r="HE759" s="60"/>
      <c r="HF759" s="16"/>
      <c r="HG759" s="16"/>
      <c r="HH759" s="16"/>
      <c r="HI759" s="16"/>
      <c r="HJ759" s="16"/>
      <c r="HK759" s="17"/>
      <c r="HO759" s="24"/>
      <c r="HP759" s="60"/>
      <c r="HQ759" s="16"/>
      <c r="HR759" s="16"/>
      <c r="HS759" s="16"/>
      <c r="HT759" s="16"/>
      <c r="HU759" s="16"/>
      <c r="HV759" s="17"/>
      <c r="HZ759" s="24"/>
      <c r="IA759" s="60"/>
      <c r="IB759" s="16"/>
      <c r="IC759" s="16"/>
      <c r="ID759" s="16"/>
      <c r="IE759" s="16"/>
      <c r="IF759" s="16"/>
      <c r="IG759" s="17"/>
      <c r="IK759" s="24"/>
      <c r="IL759" s="60"/>
      <c r="IM759" s="16"/>
      <c r="IN759" s="16"/>
      <c r="IO759" s="16"/>
      <c r="IP759" s="16"/>
      <c r="IQ759" s="16"/>
      <c r="IR759" s="17"/>
      <c r="IV759" s="24"/>
      <c r="IW759" s="60"/>
      <c r="IX759" s="16"/>
      <c r="IY759" s="16"/>
      <c r="IZ759" s="16"/>
      <c r="JA759" s="16"/>
      <c r="JB759" s="16"/>
      <c r="JC759" s="17"/>
      <c r="JG759" s="24"/>
      <c r="JH759" s="60"/>
      <c r="JI759" s="16"/>
      <c r="JJ759" s="16"/>
      <c r="JK759" s="16"/>
      <c r="JL759" s="16"/>
      <c r="JM759" s="16"/>
      <c r="JN759" s="17"/>
      <c r="JR759" s="24"/>
      <c r="JS759" s="60"/>
      <c r="JT759" s="16"/>
      <c r="JU759" s="16"/>
      <c r="JV759" s="16"/>
      <c r="JW759" s="16"/>
      <c r="JX759" s="16"/>
      <c r="JY759" s="17"/>
      <c r="KC759" s="24"/>
      <c r="KD759" s="60"/>
      <c r="KE759" s="16"/>
      <c r="KF759" s="16"/>
      <c r="KG759" s="16"/>
      <c r="KH759" s="16"/>
      <c r="KI759" s="16"/>
      <c r="KJ759" s="17"/>
      <c r="KN759" s="24"/>
      <c r="KO759" s="60"/>
      <c r="KP759" s="16"/>
      <c r="KQ759" s="16"/>
      <c r="KR759" s="16"/>
      <c r="KS759" s="16"/>
      <c r="KT759" s="16"/>
      <c r="KU759" s="17"/>
      <c r="KY759" s="24"/>
      <c r="KZ759" s="60"/>
      <c r="LA759" s="16"/>
      <c r="LB759" s="16"/>
      <c r="LC759" s="16"/>
      <c r="LD759" s="16"/>
      <c r="LE759" s="16"/>
      <c r="LF759" s="17"/>
      <c r="LJ759" s="24"/>
      <c r="LK759" s="60"/>
      <c r="LL759" s="16"/>
      <c r="LM759" s="16"/>
      <c r="LN759" s="16"/>
      <c r="LO759" s="16"/>
      <c r="LP759" s="16"/>
      <c r="LQ759" s="17"/>
    </row>
    <row r="760">
      <c r="C760" s="31"/>
      <c r="D760" s="61"/>
      <c r="E760" s="16"/>
      <c r="F760" s="16"/>
      <c r="G760" s="21"/>
      <c r="H760" s="16"/>
      <c r="I760" s="16"/>
      <c r="J760" s="17"/>
      <c r="N760" s="17"/>
      <c r="O760" s="61"/>
      <c r="P760" s="16"/>
      <c r="Q760" s="16"/>
      <c r="R760" s="16"/>
      <c r="S760" s="16"/>
      <c r="T760" s="16"/>
      <c r="U760" s="17"/>
      <c r="Y760" s="24"/>
      <c r="Z760" s="61"/>
      <c r="AA760" s="16"/>
      <c r="AB760" s="16"/>
      <c r="AC760" s="16"/>
      <c r="AD760" s="16"/>
      <c r="AE760" s="16"/>
      <c r="AF760" s="17"/>
      <c r="AJ760" s="24"/>
      <c r="AK760" s="61"/>
      <c r="AL760" s="16"/>
      <c r="AM760" s="16"/>
      <c r="AN760" s="16"/>
      <c r="AO760" s="16"/>
      <c r="AP760" s="16"/>
      <c r="AQ760" s="17"/>
      <c r="AU760" s="24"/>
      <c r="AV760" s="61"/>
      <c r="AW760" s="16"/>
      <c r="AX760" s="16"/>
      <c r="AY760" s="16"/>
      <c r="AZ760" s="16"/>
      <c r="BA760" s="16"/>
      <c r="BB760" s="17"/>
      <c r="BF760" s="24"/>
      <c r="BG760" s="61"/>
      <c r="BH760" s="16"/>
      <c r="BI760" s="16"/>
      <c r="BJ760" s="16"/>
      <c r="BK760" s="16"/>
      <c r="BL760" s="16"/>
      <c r="BM760" s="17"/>
      <c r="BQ760" s="24"/>
      <c r="BR760" s="61"/>
      <c r="BS760" s="16"/>
      <c r="BT760" s="16"/>
      <c r="BU760" s="16"/>
      <c r="BV760" s="16"/>
      <c r="BW760" s="16"/>
      <c r="BX760" s="17"/>
      <c r="CB760" s="24"/>
      <c r="CC760" s="61"/>
      <c r="CD760" s="16"/>
      <c r="CE760" s="16"/>
      <c r="CF760" s="16"/>
      <c r="CG760" s="16"/>
      <c r="CH760" s="16"/>
      <c r="CI760" s="17"/>
      <c r="CM760" s="24"/>
      <c r="CN760" s="61"/>
      <c r="CO760" s="16"/>
      <c r="CP760" s="16"/>
      <c r="CQ760" s="16"/>
      <c r="CR760" s="16"/>
      <c r="CS760" s="16"/>
      <c r="CT760" s="17"/>
      <c r="CX760" s="24"/>
      <c r="CY760" s="60"/>
      <c r="CZ760" s="16"/>
      <c r="DA760" s="16"/>
      <c r="DB760" s="16"/>
      <c r="DC760" s="16"/>
      <c r="DD760" s="16"/>
      <c r="DE760" s="17"/>
      <c r="DI760" s="24"/>
      <c r="DJ760" s="60"/>
      <c r="DK760" s="16"/>
      <c r="DL760" s="16"/>
      <c r="DM760" s="16"/>
      <c r="DN760" s="16"/>
      <c r="DO760" s="16"/>
      <c r="DP760" s="17"/>
      <c r="DT760" s="24"/>
      <c r="DU760" s="60"/>
      <c r="DV760" s="16"/>
      <c r="DW760" s="16"/>
      <c r="DX760" s="16"/>
      <c r="DY760" s="16"/>
      <c r="DZ760" s="16"/>
      <c r="EA760" s="17"/>
      <c r="EE760" s="24"/>
      <c r="EF760" s="60"/>
      <c r="EG760" s="16"/>
      <c r="EH760" s="16"/>
      <c r="EI760" s="16"/>
      <c r="EJ760" s="16"/>
      <c r="EK760" s="16"/>
      <c r="EL760" s="17"/>
      <c r="EP760" s="24"/>
      <c r="EQ760" s="60"/>
      <c r="ER760" s="16"/>
      <c r="ES760" s="16"/>
      <c r="ET760" s="16"/>
      <c r="EU760" s="16"/>
      <c r="EV760" s="16"/>
      <c r="EW760" s="17"/>
      <c r="FA760" s="24"/>
      <c r="FB760" s="60"/>
      <c r="FC760" s="16"/>
      <c r="FD760" s="16"/>
      <c r="FE760" s="16"/>
      <c r="FF760" s="16"/>
      <c r="FG760" s="16"/>
      <c r="FH760" s="17"/>
      <c r="FL760" s="24"/>
      <c r="FM760" s="60"/>
      <c r="FN760" s="16"/>
      <c r="FO760" s="16"/>
      <c r="FP760" s="16"/>
      <c r="FQ760" s="16"/>
      <c r="FR760" s="16"/>
      <c r="FS760" s="17"/>
      <c r="FW760" s="24"/>
      <c r="FX760" s="60"/>
      <c r="FY760" s="16"/>
      <c r="FZ760" s="16"/>
      <c r="GA760" s="16"/>
      <c r="GB760" s="16"/>
      <c r="GC760" s="16"/>
      <c r="GD760" s="17"/>
      <c r="GH760" s="24"/>
      <c r="GI760" s="60"/>
      <c r="GJ760" s="16"/>
      <c r="GK760" s="16"/>
      <c r="GL760" s="16"/>
      <c r="GM760" s="16"/>
      <c r="GN760" s="16"/>
      <c r="GO760" s="17"/>
      <c r="GS760" s="24"/>
      <c r="GT760" s="60"/>
      <c r="GU760" s="16"/>
      <c r="GV760" s="16"/>
      <c r="GW760" s="16"/>
      <c r="GX760" s="16"/>
      <c r="GY760" s="16"/>
      <c r="GZ760" s="17"/>
      <c r="HD760" s="24"/>
      <c r="HE760" s="60"/>
      <c r="HF760" s="16"/>
      <c r="HG760" s="16"/>
      <c r="HH760" s="16"/>
      <c r="HI760" s="16"/>
      <c r="HJ760" s="16"/>
      <c r="HK760" s="17"/>
      <c r="HO760" s="24"/>
      <c r="HP760" s="60"/>
      <c r="HQ760" s="16"/>
      <c r="HR760" s="16"/>
      <c r="HS760" s="16"/>
      <c r="HT760" s="16"/>
      <c r="HU760" s="16"/>
      <c r="HV760" s="17"/>
      <c r="HZ760" s="24"/>
      <c r="IA760" s="60"/>
      <c r="IB760" s="16"/>
      <c r="IC760" s="16"/>
      <c r="ID760" s="16"/>
      <c r="IE760" s="16"/>
      <c r="IF760" s="16"/>
      <c r="IG760" s="17"/>
      <c r="IK760" s="24"/>
      <c r="IL760" s="60"/>
      <c r="IM760" s="16"/>
      <c r="IN760" s="16"/>
      <c r="IO760" s="16"/>
      <c r="IP760" s="16"/>
      <c r="IQ760" s="16"/>
      <c r="IR760" s="17"/>
      <c r="IV760" s="24"/>
      <c r="IW760" s="60"/>
      <c r="IX760" s="16"/>
      <c r="IY760" s="16"/>
      <c r="IZ760" s="16"/>
      <c r="JA760" s="16"/>
      <c r="JB760" s="16"/>
      <c r="JC760" s="17"/>
      <c r="JG760" s="24"/>
      <c r="JH760" s="60"/>
      <c r="JI760" s="16"/>
      <c r="JJ760" s="16"/>
      <c r="JK760" s="16"/>
      <c r="JL760" s="16"/>
      <c r="JM760" s="16"/>
      <c r="JN760" s="17"/>
      <c r="JR760" s="24"/>
      <c r="JS760" s="60"/>
      <c r="JT760" s="16"/>
      <c r="JU760" s="16"/>
      <c r="JV760" s="16"/>
      <c r="JW760" s="16"/>
      <c r="JX760" s="16"/>
      <c r="JY760" s="17"/>
      <c r="KC760" s="24"/>
      <c r="KD760" s="60"/>
      <c r="KE760" s="16"/>
      <c r="KF760" s="16"/>
      <c r="KG760" s="16"/>
      <c r="KH760" s="16"/>
      <c r="KI760" s="16"/>
      <c r="KJ760" s="17"/>
      <c r="KN760" s="24"/>
      <c r="KO760" s="60"/>
      <c r="KP760" s="16"/>
      <c r="KQ760" s="16"/>
      <c r="KR760" s="16"/>
      <c r="KS760" s="16"/>
      <c r="KT760" s="16"/>
      <c r="KU760" s="17"/>
      <c r="KY760" s="24"/>
      <c r="KZ760" s="60"/>
      <c r="LA760" s="16"/>
      <c r="LB760" s="16"/>
      <c r="LC760" s="16"/>
      <c r="LD760" s="16"/>
      <c r="LE760" s="16"/>
      <c r="LF760" s="17"/>
      <c r="LJ760" s="24"/>
      <c r="LK760" s="60"/>
      <c r="LL760" s="16"/>
      <c r="LM760" s="16"/>
      <c r="LN760" s="16"/>
      <c r="LO760" s="16"/>
      <c r="LP760" s="16"/>
      <c r="LQ760" s="17"/>
    </row>
    <row r="761">
      <c r="C761" s="31"/>
      <c r="D761" s="61"/>
      <c r="E761" s="16"/>
      <c r="F761" s="16"/>
      <c r="G761" s="21"/>
      <c r="H761" s="16"/>
      <c r="I761" s="16"/>
      <c r="J761" s="17"/>
      <c r="N761" s="17"/>
      <c r="O761" s="61"/>
      <c r="P761" s="16"/>
      <c r="Q761" s="16"/>
      <c r="R761" s="16"/>
      <c r="S761" s="16"/>
      <c r="T761" s="16"/>
      <c r="U761" s="17"/>
      <c r="Y761" s="24"/>
      <c r="Z761" s="61"/>
      <c r="AA761" s="16"/>
      <c r="AB761" s="16"/>
      <c r="AC761" s="16"/>
      <c r="AD761" s="16"/>
      <c r="AE761" s="16"/>
      <c r="AF761" s="17"/>
      <c r="AJ761" s="24"/>
      <c r="AK761" s="61"/>
      <c r="AL761" s="16"/>
      <c r="AM761" s="16"/>
      <c r="AN761" s="16"/>
      <c r="AO761" s="16"/>
      <c r="AP761" s="16"/>
      <c r="AQ761" s="17"/>
      <c r="AU761" s="24"/>
      <c r="AV761" s="61"/>
      <c r="AW761" s="16"/>
      <c r="AX761" s="16"/>
      <c r="AY761" s="16"/>
      <c r="AZ761" s="16"/>
      <c r="BA761" s="16"/>
      <c r="BB761" s="17"/>
      <c r="BF761" s="24"/>
      <c r="BG761" s="61"/>
      <c r="BH761" s="16"/>
      <c r="BI761" s="16"/>
      <c r="BJ761" s="16"/>
      <c r="BK761" s="16"/>
      <c r="BL761" s="16"/>
      <c r="BM761" s="17"/>
      <c r="BQ761" s="24"/>
      <c r="BR761" s="61"/>
      <c r="BS761" s="16"/>
      <c r="BT761" s="16"/>
      <c r="BU761" s="16"/>
      <c r="BV761" s="16"/>
      <c r="BW761" s="16"/>
      <c r="BX761" s="17"/>
      <c r="CB761" s="24"/>
      <c r="CC761" s="61"/>
      <c r="CD761" s="16"/>
      <c r="CE761" s="16"/>
      <c r="CF761" s="16"/>
      <c r="CG761" s="16"/>
      <c r="CH761" s="16"/>
      <c r="CI761" s="17"/>
      <c r="CM761" s="24"/>
      <c r="CN761" s="61"/>
      <c r="CO761" s="16"/>
      <c r="CP761" s="16"/>
      <c r="CQ761" s="16"/>
      <c r="CR761" s="16"/>
      <c r="CS761" s="16"/>
      <c r="CT761" s="17"/>
      <c r="CX761" s="24"/>
      <c r="CY761" s="60"/>
      <c r="CZ761" s="16"/>
      <c r="DA761" s="16"/>
      <c r="DB761" s="16"/>
      <c r="DC761" s="16"/>
      <c r="DD761" s="16"/>
      <c r="DE761" s="17"/>
      <c r="DI761" s="24"/>
      <c r="DJ761" s="60"/>
      <c r="DK761" s="16"/>
      <c r="DL761" s="16"/>
      <c r="DM761" s="16"/>
      <c r="DN761" s="16"/>
      <c r="DO761" s="16"/>
      <c r="DP761" s="17"/>
      <c r="DT761" s="24"/>
      <c r="DU761" s="60"/>
      <c r="DV761" s="16"/>
      <c r="DW761" s="16"/>
      <c r="DX761" s="16"/>
      <c r="DY761" s="16"/>
      <c r="DZ761" s="16"/>
      <c r="EA761" s="17"/>
      <c r="EE761" s="24"/>
      <c r="EF761" s="60"/>
      <c r="EG761" s="16"/>
      <c r="EH761" s="16"/>
      <c r="EI761" s="16"/>
      <c r="EJ761" s="16"/>
      <c r="EK761" s="16"/>
      <c r="EL761" s="17"/>
      <c r="EP761" s="24"/>
      <c r="EQ761" s="60"/>
      <c r="ER761" s="16"/>
      <c r="ES761" s="16"/>
      <c r="ET761" s="16"/>
      <c r="EU761" s="16"/>
      <c r="EV761" s="16"/>
      <c r="EW761" s="17"/>
      <c r="FA761" s="24"/>
      <c r="FB761" s="60"/>
      <c r="FC761" s="16"/>
      <c r="FD761" s="16"/>
      <c r="FE761" s="16"/>
      <c r="FF761" s="16"/>
      <c r="FG761" s="16"/>
      <c r="FH761" s="17"/>
      <c r="FL761" s="24"/>
      <c r="FM761" s="60"/>
      <c r="FN761" s="16"/>
      <c r="FO761" s="16"/>
      <c r="FP761" s="16"/>
      <c r="FQ761" s="16"/>
      <c r="FR761" s="16"/>
      <c r="FS761" s="17"/>
      <c r="FW761" s="24"/>
      <c r="FX761" s="60"/>
      <c r="FY761" s="16"/>
      <c r="FZ761" s="16"/>
      <c r="GA761" s="16"/>
      <c r="GB761" s="16"/>
      <c r="GC761" s="16"/>
      <c r="GD761" s="17"/>
      <c r="GH761" s="24"/>
      <c r="GI761" s="60"/>
      <c r="GJ761" s="16"/>
      <c r="GK761" s="16"/>
      <c r="GL761" s="16"/>
      <c r="GM761" s="16"/>
      <c r="GN761" s="16"/>
      <c r="GO761" s="17"/>
      <c r="GS761" s="24"/>
      <c r="GT761" s="60"/>
      <c r="GU761" s="16"/>
      <c r="GV761" s="16"/>
      <c r="GW761" s="16"/>
      <c r="GX761" s="16"/>
      <c r="GY761" s="16"/>
      <c r="GZ761" s="17"/>
      <c r="HD761" s="24"/>
      <c r="HE761" s="60"/>
      <c r="HF761" s="16"/>
      <c r="HG761" s="16"/>
      <c r="HH761" s="16"/>
      <c r="HI761" s="16"/>
      <c r="HJ761" s="16"/>
      <c r="HK761" s="17"/>
      <c r="HO761" s="24"/>
      <c r="HP761" s="60"/>
      <c r="HQ761" s="16"/>
      <c r="HR761" s="16"/>
      <c r="HS761" s="16"/>
      <c r="HT761" s="16"/>
      <c r="HU761" s="16"/>
      <c r="HV761" s="17"/>
      <c r="HZ761" s="24"/>
      <c r="IA761" s="60"/>
      <c r="IB761" s="16"/>
      <c r="IC761" s="16"/>
      <c r="ID761" s="16"/>
      <c r="IE761" s="16"/>
      <c r="IF761" s="16"/>
      <c r="IG761" s="17"/>
      <c r="IK761" s="24"/>
      <c r="IL761" s="60"/>
      <c r="IM761" s="16"/>
      <c r="IN761" s="16"/>
      <c r="IO761" s="16"/>
      <c r="IP761" s="16"/>
      <c r="IQ761" s="16"/>
      <c r="IR761" s="17"/>
      <c r="IV761" s="24"/>
      <c r="IW761" s="60"/>
      <c r="IX761" s="16"/>
      <c r="IY761" s="16"/>
      <c r="IZ761" s="16"/>
      <c r="JA761" s="16"/>
      <c r="JB761" s="16"/>
      <c r="JC761" s="17"/>
      <c r="JG761" s="24"/>
      <c r="JH761" s="60"/>
      <c r="JI761" s="16"/>
      <c r="JJ761" s="16"/>
      <c r="JK761" s="16"/>
      <c r="JL761" s="16"/>
      <c r="JM761" s="16"/>
      <c r="JN761" s="17"/>
      <c r="JR761" s="24"/>
      <c r="JS761" s="60"/>
      <c r="JT761" s="16"/>
      <c r="JU761" s="16"/>
      <c r="JV761" s="16"/>
      <c r="JW761" s="16"/>
      <c r="JX761" s="16"/>
      <c r="JY761" s="17"/>
      <c r="KC761" s="24"/>
      <c r="KD761" s="60"/>
      <c r="KE761" s="16"/>
      <c r="KF761" s="16"/>
      <c r="KG761" s="16"/>
      <c r="KH761" s="16"/>
      <c r="KI761" s="16"/>
      <c r="KJ761" s="17"/>
      <c r="KN761" s="24"/>
      <c r="KO761" s="60"/>
      <c r="KP761" s="16"/>
      <c r="KQ761" s="16"/>
      <c r="KR761" s="16"/>
      <c r="KS761" s="16"/>
      <c r="KT761" s="16"/>
      <c r="KU761" s="17"/>
      <c r="KY761" s="24"/>
      <c r="KZ761" s="60"/>
      <c r="LA761" s="16"/>
      <c r="LB761" s="16"/>
      <c r="LC761" s="16"/>
      <c r="LD761" s="16"/>
      <c r="LE761" s="16"/>
      <c r="LF761" s="17"/>
      <c r="LJ761" s="24"/>
      <c r="LK761" s="60"/>
      <c r="LL761" s="16"/>
      <c r="LM761" s="16"/>
      <c r="LN761" s="16"/>
      <c r="LO761" s="16"/>
      <c r="LP761" s="16"/>
      <c r="LQ761" s="17"/>
    </row>
    <row r="762">
      <c r="C762" s="31"/>
      <c r="D762" s="61"/>
      <c r="E762" s="16"/>
      <c r="F762" s="16"/>
      <c r="G762" s="21"/>
      <c r="H762" s="16"/>
      <c r="I762" s="16"/>
      <c r="J762" s="17"/>
      <c r="N762" s="17"/>
      <c r="O762" s="61"/>
      <c r="P762" s="16"/>
      <c r="Q762" s="16"/>
      <c r="R762" s="16"/>
      <c r="S762" s="16"/>
      <c r="T762" s="16"/>
      <c r="U762" s="17"/>
      <c r="Y762" s="24"/>
      <c r="Z762" s="61"/>
      <c r="AA762" s="16"/>
      <c r="AB762" s="16"/>
      <c r="AC762" s="16"/>
      <c r="AD762" s="16"/>
      <c r="AE762" s="16"/>
      <c r="AF762" s="17"/>
      <c r="AJ762" s="24"/>
      <c r="AK762" s="61"/>
      <c r="AL762" s="16"/>
      <c r="AM762" s="16"/>
      <c r="AN762" s="16"/>
      <c r="AO762" s="16"/>
      <c r="AP762" s="16"/>
      <c r="AQ762" s="17"/>
      <c r="AU762" s="24"/>
      <c r="AV762" s="61"/>
      <c r="AW762" s="16"/>
      <c r="AX762" s="16"/>
      <c r="AY762" s="16"/>
      <c r="AZ762" s="16"/>
      <c r="BA762" s="16"/>
      <c r="BB762" s="17"/>
      <c r="BF762" s="24"/>
      <c r="BG762" s="61"/>
      <c r="BH762" s="16"/>
      <c r="BI762" s="16"/>
      <c r="BJ762" s="16"/>
      <c r="BK762" s="16"/>
      <c r="BL762" s="16"/>
      <c r="BM762" s="17"/>
      <c r="BQ762" s="24"/>
      <c r="BR762" s="61"/>
      <c r="BS762" s="16"/>
      <c r="BT762" s="16"/>
      <c r="BU762" s="16"/>
      <c r="BV762" s="16"/>
      <c r="BW762" s="16"/>
      <c r="BX762" s="17"/>
      <c r="CB762" s="24"/>
      <c r="CC762" s="61"/>
      <c r="CD762" s="16"/>
      <c r="CE762" s="16"/>
      <c r="CF762" s="16"/>
      <c r="CG762" s="16"/>
      <c r="CH762" s="16"/>
      <c r="CI762" s="17"/>
      <c r="CM762" s="24"/>
      <c r="CN762" s="61"/>
      <c r="CO762" s="16"/>
      <c r="CP762" s="16"/>
      <c r="CQ762" s="16"/>
      <c r="CR762" s="16"/>
      <c r="CS762" s="16"/>
      <c r="CT762" s="17"/>
      <c r="CX762" s="24"/>
      <c r="CY762" s="60"/>
      <c r="CZ762" s="16"/>
      <c r="DA762" s="16"/>
      <c r="DB762" s="16"/>
      <c r="DC762" s="16"/>
      <c r="DD762" s="16"/>
      <c r="DE762" s="17"/>
      <c r="DI762" s="24"/>
      <c r="DJ762" s="60"/>
      <c r="DK762" s="16"/>
      <c r="DL762" s="16"/>
      <c r="DM762" s="16"/>
      <c r="DN762" s="16"/>
      <c r="DO762" s="16"/>
      <c r="DP762" s="17"/>
      <c r="DT762" s="24"/>
      <c r="DU762" s="60"/>
      <c r="DV762" s="16"/>
      <c r="DW762" s="16"/>
      <c r="DX762" s="16"/>
      <c r="DY762" s="16"/>
      <c r="DZ762" s="16"/>
      <c r="EA762" s="17"/>
      <c r="EE762" s="24"/>
      <c r="EF762" s="60"/>
      <c r="EG762" s="16"/>
      <c r="EH762" s="16"/>
      <c r="EI762" s="16"/>
      <c r="EJ762" s="16"/>
      <c r="EK762" s="16"/>
      <c r="EL762" s="17"/>
      <c r="EP762" s="24"/>
      <c r="EQ762" s="60"/>
      <c r="ER762" s="16"/>
      <c r="ES762" s="16"/>
      <c r="ET762" s="16"/>
      <c r="EU762" s="16"/>
      <c r="EV762" s="16"/>
      <c r="EW762" s="17"/>
      <c r="FA762" s="24"/>
      <c r="FB762" s="60"/>
      <c r="FC762" s="16"/>
      <c r="FD762" s="16"/>
      <c r="FE762" s="16"/>
      <c r="FF762" s="16"/>
      <c r="FG762" s="16"/>
      <c r="FH762" s="17"/>
      <c r="FL762" s="24"/>
      <c r="FM762" s="60"/>
      <c r="FN762" s="16"/>
      <c r="FO762" s="16"/>
      <c r="FP762" s="16"/>
      <c r="FQ762" s="16"/>
      <c r="FR762" s="16"/>
      <c r="FS762" s="17"/>
      <c r="FW762" s="24"/>
      <c r="FX762" s="60"/>
      <c r="FY762" s="16"/>
      <c r="FZ762" s="16"/>
      <c r="GA762" s="16"/>
      <c r="GB762" s="16"/>
      <c r="GC762" s="16"/>
      <c r="GD762" s="17"/>
      <c r="GH762" s="24"/>
      <c r="GI762" s="60"/>
      <c r="GJ762" s="16"/>
      <c r="GK762" s="16"/>
      <c r="GL762" s="16"/>
      <c r="GM762" s="16"/>
      <c r="GN762" s="16"/>
      <c r="GO762" s="17"/>
      <c r="GS762" s="24"/>
      <c r="GT762" s="60"/>
      <c r="GU762" s="16"/>
      <c r="GV762" s="16"/>
      <c r="GW762" s="16"/>
      <c r="GX762" s="16"/>
      <c r="GY762" s="16"/>
      <c r="GZ762" s="17"/>
      <c r="HD762" s="24"/>
      <c r="HE762" s="60"/>
      <c r="HF762" s="16"/>
      <c r="HG762" s="16"/>
      <c r="HH762" s="16"/>
      <c r="HI762" s="16"/>
      <c r="HJ762" s="16"/>
      <c r="HK762" s="17"/>
      <c r="HO762" s="24"/>
      <c r="HP762" s="60"/>
      <c r="HQ762" s="16"/>
      <c r="HR762" s="16"/>
      <c r="HS762" s="16"/>
      <c r="HT762" s="16"/>
      <c r="HU762" s="16"/>
      <c r="HV762" s="17"/>
      <c r="HZ762" s="24"/>
      <c r="IA762" s="60"/>
      <c r="IB762" s="16"/>
      <c r="IC762" s="16"/>
      <c r="ID762" s="16"/>
      <c r="IE762" s="16"/>
      <c r="IF762" s="16"/>
      <c r="IG762" s="17"/>
      <c r="IK762" s="24"/>
      <c r="IL762" s="60"/>
      <c r="IM762" s="16"/>
      <c r="IN762" s="16"/>
      <c r="IO762" s="16"/>
      <c r="IP762" s="16"/>
      <c r="IQ762" s="16"/>
      <c r="IR762" s="17"/>
      <c r="IV762" s="24"/>
      <c r="IW762" s="60"/>
      <c r="IX762" s="16"/>
      <c r="IY762" s="16"/>
      <c r="IZ762" s="16"/>
      <c r="JA762" s="16"/>
      <c r="JB762" s="16"/>
      <c r="JC762" s="17"/>
      <c r="JG762" s="24"/>
      <c r="JH762" s="60"/>
      <c r="JI762" s="16"/>
      <c r="JJ762" s="16"/>
      <c r="JK762" s="16"/>
      <c r="JL762" s="16"/>
      <c r="JM762" s="16"/>
      <c r="JN762" s="17"/>
      <c r="JR762" s="24"/>
      <c r="JS762" s="60"/>
      <c r="JT762" s="16"/>
      <c r="JU762" s="16"/>
      <c r="JV762" s="16"/>
      <c r="JW762" s="16"/>
      <c r="JX762" s="16"/>
      <c r="JY762" s="17"/>
      <c r="KC762" s="24"/>
      <c r="KD762" s="60"/>
      <c r="KE762" s="16"/>
      <c r="KF762" s="16"/>
      <c r="KG762" s="16"/>
      <c r="KH762" s="16"/>
      <c r="KI762" s="16"/>
      <c r="KJ762" s="17"/>
      <c r="KN762" s="24"/>
      <c r="KO762" s="60"/>
      <c r="KP762" s="16"/>
      <c r="KQ762" s="16"/>
      <c r="KR762" s="16"/>
      <c r="KS762" s="16"/>
      <c r="KT762" s="16"/>
      <c r="KU762" s="17"/>
      <c r="KY762" s="24"/>
      <c r="KZ762" s="60"/>
      <c r="LA762" s="16"/>
      <c r="LB762" s="16"/>
      <c r="LC762" s="16"/>
      <c r="LD762" s="16"/>
      <c r="LE762" s="16"/>
      <c r="LF762" s="17"/>
      <c r="LJ762" s="24"/>
      <c r="LK762" s="60"/>
      <c r="LL762" s="16"/>
      <c r="LM762" s="16"/>
      <c r="LN762" s="16"/>
      <c r="LO762" s="16"/>
      <c r="LP762" s="16"/>
      <c r="LQ762" s="17"/>
    </row>
    <row r="763">
      <c r="C763" s="31"/>
      <c r="D763" s="61"/>
      <c r="E763" s="16"/>
      <c r="F763" s="16"/>
      <c r="G763" s="21"/>
      <c r="H763" s="16"/>
      <c r="I763" s="16"/>
      <c r="J763" s="17"/>
      <c r="N763" s="17"/>
      <c r="O763" s="61"/>
      <c r="P763" s="16"/>
      <c r="Q763" s="16"/>
      <c r="R763" s="16"/>
      <c r="S763" s="16"/>
      <c r="T763" s="16"/>
      <c r="U763" s="17"/>
      <c r="Y763" s="24"/>
      <c r="Z763" s="61"/>
      <c r="AA763" s="16"/>
      <c r="AB763" s="16"/>
      <c r="AC763" s="16"/>
      <c r="AD763" s="16"/>
      <c r="AE763" s="16"/>
      <c r="AF763" s="17"/>
      <c r="AJ763" s="24"/>
      <c r="AK763" s="61"/>
      <c r="AL763" s="16"/>
      <c r="AM763" s="16"/>
      <c r="AN763" s="16"/>
      <c r="AO763" s="16"/>
      <c r="AP763" s="16"/>
      <c r="AQ763" s="17"/>
      <c r="AU763" s="24"/>
      <c r="AV763" s="61"/>
      <c r="AW763" s="16"/>
      <c r="AX763" s="16"/>
      <c r="AY763" s="16"/>
      <c r="AZ763" s="16"/>
      <c r="BA763" s="16"/>
      <c r="BB763" s="17"/>
      <c r="BF763" s="24"/>
      <c r="BG763" s="61"/>
      <c r="BH763" s="16"/>
      <c r="BI763" s="16"/>
      <c r="BJ763" s="16"/>
      <c r="BK763" s="16"/>
      <c r="BL763" s="16"/>
      <c r="BM763" s="17"/>
      <c r="BQ763" s="24"/>
      <c r="BR763" s="61"/>
      <c r="BS763" s="16"/>
      <c r="BT763" s="16"/>
      <c r="BU763" s="16"/>
      <c r="BV763" s="16"/>
      <c r="BW763" s="16"/>
      <c r="BX763" s="17"/>
      <c r="CB763" s="24"/>
      <c r="CC763" s="61"/>
      <c r="CD763" s="16"/>
      <c r="CE763" s="16"/>
      <c r="CF763" s="16"/>
      <c r="CG763" s="16"/>
      <c r="CH763" s="16"/>
      <c r="CI763" s="17"/>
      <c r="CM763" s="24"/>
      <c r="CN763" s="61"/>
      <c r="CO763" s="16"/>
      <c r="CP763" s="16"/>
      <c r="CQ763" s="16"/>
      <c r="CR763" s="16"/>
      <c r="CS763" s="16"/>
      <c r="CT763" s="17"/>
      <c r="CX763" s="24"/>
      <c r="CY763" s="60"/>
      <c r="CZ763" s="16"/>
      <c r="DA763" s="16"/>
      <c r="DB763" s="16"/>
      <c r="DC763" s="16"/>
      <c r="DD763" s="16"/>
      <c r="DE763" s="17"/>
      <c r="DI763" s="24"/>
      <c r="DJ763" s="60"/>
      <c r="DK763" s="16"/>
      <c r="DL763" s="16"/>
      <c r="DM763" s="16"/>
      <c r="DN763" s="16"/>
      <c r="DO763" s="16"/>
      <c r="DP763" s="17"/>
      <c r="DT763" s="24"/>
      <c r="DU763" s="60"/>
      <c r="DV763" s="16"/>
      <c r="DW763" s="16"/>
      <c r="DX763" s="16"/>
      <c r="DY763" s="16"/>
      <c r="DZ763" s="16"/>
      <c r="EA763" s="17"/>
      <c r="EE763" s="24"/>
      <c r="EF763" s="60"/>
      <c r="EG763" s="16"/>
      <c r="EH763" s="16"/>
      <c r="EI763" s="16"/>
      <c r="EJ763" s="16"/>
      <c r="EK763" s="16"/>
      <c r="EL763" s="17"/>
      <c r="EP763" s="24"/>
      <c r="EQ763" s="60"/>
      <c r="ER763" s="16"/>
      <c r="ES763" s="16"/>
      <c r="ET763" s="16"/>
      <c r="EU763" s="16"/>
      <c r="EV763" s="16"/>
      <c r="EW763" s="17"/>
      <c r="FA763" s="24"/>
      <c r="FB763" s="60"/>
      <c r="FC763" s="16"/>
      <c r="FD763" s="16"/>
      <c r="FE763" s="16"/>
      <c r="FF763" s="16"/>
      <c r="FG763" s="16"/>
      <c r="FH763" s="17"/>
      <c r="FL763" s="24"/>
      <c r="FM763" s="60"/>
      <c r="FN763" s="16"/>
      <c r="FO763" s="16"/>
      <c r="FP763" s="16"/>
      <c r="FQ763" s="16"/>
      <c r="FR763" s="16"/>
      <c r="FS763" s="17"/>
      <c r="FW763" s="24"/>
      <c r="FX763" s="60"/>
      <c r="FY763" s="16"/>
      <c r="FZ763" s="16"/>
      <c r="GA763" s="16"/>
      <c r="GB763" s="16"/>
      <c r="GC763" s="16"/>
      <c r="GD763" s="17"/>
      <c r="GH763" s="24"/>
      <c r="GI763" s="60"/>
      <c r="GJ763" s="16"/>
      <c r="GK763" s="16"/>
      <c r="GL763" s="16"/>
      <c r="GM763" s="16"/>
      <c r="GN763" s="16"/>
      <c r="GO763" s="17"/>
      <c r="GS763" s="24"/>
      <c r="GT763" s="60"/>
      <c r="GU763" s="16"/>
      <c r="GV763" s="16"/>
      <c r="GW763" s="16"/>
      <c r="GX763" s="16"/>
      <c r="GY763" s="16"/>
      <c r="GZ763" s="17"/>
      <c r="HD763" s="24"/>
      <c r="HE763" s="60"/>
      <c r="HF763" s="16"/>
      <c r="HG763" s="16"/>
      <c r="HH763" s="16"/>
      <c r="HI763" s="16"/>
      <c r="HJ763" s="16"/>
      <c r="HK763" s="17"/>
      <c r="HO763" s="24"/>
      <c r="HP763" s="60"/>
      <c r="HQ763" s="16"/>
      <c r="HR763" s="16"/>
      <c r="HS763" s="16"/>
      <c r="HT763" s="16"/>
      <c r="HU763" s="16"/>
      <c r="HV763" s="17"/>
      <c r="HZ763" s="24"/>
      <c r="IA763" s="60"/>
      <c r="IB763" s="16"/>
      <c r="IC763" s="16"/>
      <c r="ID763" s="16"/>
      <c r="IE763" s="16"/>
      <c r="IF763" s="16"/>
      <c r="IG763" s="17"/>
      <c r="IK763" s="24"/>
      <c r="IL763" s="60"/>
      <c r="IM763" s="16"/>
      <c r="IN763" s="16"/>
      <c r="IO763" s="16"/>
      <c r="IP763" s="16"/>
      <c r="IQ763" s="16"/>
      <c r="IR763" s="17"/>
      <c r="IV763" s="24"/>
      <c r="IW763" s="60"/>
      <c r="IX763" s="16"/>
      <c r="IY763" s="16"/>
      <c r="IZ763" s="16"/>
      <c r="JA763" s="16"/>
      <c r="JB763" s="16"/>
      <c r="JC763" s="17"/>
      <c r="JG763" s="24"/>
      <c r="JH763" s="60"/>
      <c r="JI763" s="16"/>
      <c r="JJ763" s="16"/>
      <c r="JK763" s="16"/>
      <c r="JL763" s="16"/>
      <c r="JM763" s="16"/>
      <c r="JN763" s="17"/>
      <c r="JR763" s="24"/>
      <c r="JS763" s="60"/>
      <c r="JT763" s="16"/>
      <c r="JU763" s="16"/>
      <c r="JV763" s="16"/>
      <c r="JW763" s="16"/>
      <c r="JX763" s="16"/>
      <c r="JY763" s="17"/>
      <c r="KC763" s="24"/>
      <c r="KD763" s="60"/>
      <c r="KE763" s="16"/>
      <c r="KF763" s="16"/>
      <c r="KG763" s="16"/>
      <c r="KH763" s="16"/>
      <c r="KI763" s="16"/>
      <c r="KJ763" s="17"/>
      <c r="KN763" s="24"/>
      <c r="KO763" s="60"/>
      <c r="KP763" s="16"/>
      <c r="KQ763" s="16"/>
      <c r="KR763" s="16"/>
      <c r="KS763" s="16"/>
      <c r="KT763" s="16"/>
      <c r="KU763" s="17"/>
      <c r="KY763" s="24"/>
      <c r="KZ763" s="60"/>
      <c r="LA763" s="16"/>
      <c r="LB763" s="16"/>
      <c r="LC763" s="16"/>
      <c r="LD763" s="16"/>
      <c r="LE763" s="16"/>
      <c r="LF763" s="17"/>
      <c r="LJ763" s="24"/>
      <c r="LK763" s="60"/>
      <c r="LL763" s="16"/>
      <c r="LM763" s="16"/>
      <c r="LN763" s="16"/>
      <c r="LO763" s="16"/>
      <c r="LP763" s="16"/>
      <c r="LQ763" s="17"/>
    </row>
    <row r="764">
      <c r="C764" s="31"/>
      <c r="D764" s="61"/>
      <c r="E764" s="16"/>
      <c r="F764" s="16"/>
      <c r="G764" s="21"/>
      <c r="H764" s="16"/>
      <c r="I764" s="16"/>
      <c r="J764" s="17"/>
      <c r="N764" s="17"/>
      <c r="O764" s="61"/>
      <c r="P764" s="16"/>
      <c r="Q764" s="16"/>
      <c r="R764" s="16"/>
      <c r="S764" s="16"/>
      <c r="T764" s="16"/>
      <c r="U764" s="17"/>
      <c r="Y764" s="24"/>
      <c r="Z764" s="61"/>
      <c r="AA764" s="16"/>
      <c r="AB764" s="16"/>
      <c r="AC764" s="16"/>
      <c r="AD764" s="16"/>
      <c r="AE764" s="16"/>
      <c r="AF764" s="17"/>
      <c r="AJ764" s="24"/>
      <c r="AK764" s="61"/>
      <c r="AL764" s="16"/>
      <c r="AM764" s="16"/>
      <c r="AN764" s="16"/>
      <c r="AO764" s="16"/>
      <c r="AP764" s="16"/>
      <c r="AQ764" s="17"/>
      <c r="AU764" s="24"/>
      <c r="AV764" s="61"/>
      <c r="AW764" s="16"/>
      <c r="AX764" s="16"/>
      <c r="AY764" s="16"/>
      <c r="AZ764" s="16"/>
      <c r="BA764" s="16"/>
      <c r="BB764" s="17"/>
      <c r="BF764" s="24"/>
      <c r="BG764" s="61"/>
      <c r="BH764" s="16"/>
      <c r="BI764" s="16"/>
      <c r="BJ764" s="16"/>
      <c r="BK764" s="16"/>
      <c r="BL764" s="16"/>
      <c r="BM764" s="17"/>
      <c r="BQ764" s="24"/>
      <c r="BR764" s="61"/>
      <c r="BS764" s="16"/>
      <c r="BT764" s="16"/>
      <c r="BU764" s="16"/>
      <c r="BV764" s="16"/>
      <c r="BW764" s="16"/>
      <c r="BX764" s="17"/>
      <c r="CB764" s="24"/>
      <c r="CC764" s="61"/>
      <c r="CD764" s="16"/>
      <c r="CE764" s="16"/>
      <c r="CF764" s="16"/>
      <c r="CG764" s="16"/>
      <c r="CH764" s="16"/>
      <c r="CI764" s="17"/>
      <c r="CM764" s="24"/>
      <c r="CN764" s="61"/>
      <c r="CO764" s="16"/>
      <c r="CP764" s="16"/>
      <c r="CQ764" s="16"/>
      <c r="CR764" s="16"/>
      <c r="CS764" s="16"/>
      <c r="CT764" s="17"/>
      <c r="CX764" s="24"/>
      <c r="CY764" s="60"/>
      <c r="CZ764" s="16"/>
      <c r="DA764" s="16"/>
      <c r="DB764" s="16"/>
      <c r="DC764" s="16"/>
      <c r="DD764" s="16"/>
      <c r="DE764" s="17"/>
      <c r="DI764" s="24"/>
      <c r="DJ764" s="60"/>
      <c r="DK764" s="16"/>
      <c r="DL764" s="16"/>
      <c r="DM764" s="16"/>
      <c r="DN764" s="16"/>
      <c r="DO764" s="16"/>
      <c r="DP764" s="17"/>
      <c r="DT764" s="24"/>
      <c r="DU764" s="60"/>
      <c r="DV764" s="16"/>
      <c r="DW764" s="16"/>
      <c r="DX764" s="16"/>
      <c r="DY764" s="16"/>
      <c r="DZ764" s="16"/>
      <c r="EA764" s="17"/>
      <c r="EE764" s="24"/>
      <c r="EF764" s="60"/>
      <c r="EG764" s="16"/>
      <c r="EH764" s="16"/>
      <c r="EI764" s="16"/>
      <c r="EJ764" s="16"/>
      <c r="EK764" s="16"/>
      <c r="EL764" s="17"/>
      <c r="EP764" s="24"/>
      <c r="EQ764" s="60"/>
      <c r="ER764" s="16"/>
      <c r="ES764" s="16"/>
      <c r="ET764" s="16"/>
      <c r="EU764" s="16"/>
      <c r="EV764" s="16"/>
      <c r="EW764" s="17"/>
      <c r="FA764" s="24"/>
      <c r="FB764" s="60"/>
      <c r="FC764" s="16"/>
      <c r="FD764" s="16"/>
      <c r="FE764" s="16"/>
      <c r="FF764" s="16"/>
      <c r="FG764" s="16"/>
      <c r="FH764" s="17"/>
      <c r="FL764" s="24"/>
      <c r="FM764" s="60"/>
      <c r="FN764" s="16"/>
      <c r="FO764" s="16"/>
      <c r="FP764" s="16"/>
      <c r="FQ764" s="16"/>
      <c r="FR764" s="16"/>
      <c r="FS764" s="17"/>
      <c r="FW764" s="24"/>
      <c r="FX764" s="60"/>
      <c r="FY764" s="16"/>
      <c r="FZ764" s="16"/>
      <c r="GA764" s="16"/>
      <c r="GB764" s="16"/>
      <c r="GC764" s="16"/>
      <c r="GD764" s="17"/>
      <c r="GH764" s="24"/>
      <c r="GI764" s="60"/>
      <c r="GJ764" s="16"/>
      <c r="GK764" s="16"/>
      <c r="GL764" s="16"/>
      <c r="GM764" s="16"/>
      <c r="GN764" s="16"/>
      <c r="GO764" s="17"/>
      <c r="GS764" s="24"/>
      <c r="GT764" s="60"/>
      <c r="GU764" s="16"/>
      <c r="GV764" s="16"/>
      <c r="GW764" s="16"/>
      <c r="GX764" s="16"/>
      <c r="GY764" s="16"/>
      <c r="GZ764" s="17"/>
      <c r="HD764" s="24"/>
      <c r="HE764" s="60"/>
      <c r="HF764" s="16"/>
      <c r="HG764" s="16"/>
      <c r="HH764" s="16"/>
      <c r="HI764" s="16"/>
      <c r="HJ764" s="16"/>
      <c r="HK764" s="17"/>
      <c r="HO764" s="24"/>
      <c r="HP764" s="60"/>
      <c r="HQ764" s="16"/>
      <c r="HR764" s="16"/>
      <c r="HS764" s="16"/>
      <c r="HT764" s="16"/>
      <c r="HU764" s="16"/>
      <c r="HV764" s="17"/>
      <c r="HZ764" s="24"/>
      <c r="IA764" s="60"/>
      <c r="IB764" s="16"/>
      <c r="IC764" s="16"/>
      <c r="ID764" s="16"/>
      <c r="IE764" s="16"/>
      <c r="IF764" s="16"/>
      <c r="IG764" s="17"/>
      <c r="IK764" s="24"/>
      <c r="IL764" s="60"/>
      <c r="IM764" s="16"/>
      <c r="IN764" s="16"/>
      <c r="IO764" s="16"/>
      <c r="IP764" s="16"/>
      <c r="IQ764" s="16"/>
      <c r="IR764" s="17"/>
      <c r="IV764" s="24"/>
      <c r="IW764" s="60"/>
      <c r="IX764" s="16"/>
      <c r="IY764" s="16"/>
      <c r="IZ764" s="16"/>
      <c r="JA764" s="16"/>
      <c r="JB764" s="16"/>
      <c r="JC764" s="17"/>
      <c r="JG764" s="24"/>
      <c r="JH764" s="60"/>
      <c r="JI764" s="16"/>
      <c r="JJ764" s="16"/>
      <c r="JK764" s="16"/>
      <c r="JL764" s="16"/>
      <c r="JM764" s="16"/>
      <c r="JN764" s="17"/>
      <c r="JR764" s="24"/>
      <c r="JS764" s="60"/>
      <c r="JT764" s="16"/>
      <c r="JU764" s="16"/>
      <c r="JV764" s="16"/>
      <c r="JW764" s="16"/>
      <c r="JX764" s="16"/>
      <c r="JY764" s="17"/>
      <c r="KC764" s="24"/>
      <c r="KD764" s="60"/>
      <c r="KE764" s="16"/>
      <c r="KF764" s="16"/>
      <c r="KG764" s="16"/>
      <c r="KH764" s="16"/>
      <c r="KI764" s="16"/>
      <c r="KJ764" s="17"/>
      <c r="KN764" s="24"/>
      <c r="KO764" s="60"/>
      <c r="KP764" s="16"/>
      <c r="KQ764" s="16"/>
      <c r="KR764" s="16"/>
      <c r="KS764" s="16"/>
      <c r="KT764" s="16"/>
      <c r="KU764" s="17"/>
      <c r="KY764" s="24"/>
      <c r="KZ764" s="60"/>
      <c r="LA764" s="16"/>
      <c r="LB764" s="16"/>
      <c r="LC764" s="16"/>
      <c r="LD764" s="16"/>
      <c r="LE764" s="16"/>
      <c r="LF764" s="17"/>
      <c r="LJ764" s="24"/>
      <c r="LK764" s="60"/>
      <c r="LL764" s="16"/>
      <c r="LM764" s="16"/>
      <c r="LN764" s="16"/>
      <c r="LO764" s="16"/>
      <c r="LP764" s="16"/>
      <c r="LQ764" s="17"/>
    </row>
    <row r="765">
      <c r="C765" s="31"/>
      <c r="D765" s="61"/>
      <c r="E765" s="16"/>
      <c r="F765" s="16"/>
      <c r="G765" s="21"/>
      <c r="H765" s="16"/>
      <c r="I765" s="16"/>
      <c r="J765" s="17"/>
      <c r="N765" s="17"/>
      <c r="O765" s="61"/>
      <c r="P765" s="16"/>
      <c r="Q765" s="16"/>
      <c r="R765" s="16"/>
      <c r="S765" s="16"/>
      <c r="T765" s="16"/>
      <c r="U765" s="17"/>
      <c r="Y765" s="24"/>
      <c r="Z765" s="61"/>
      <c r="AA765" s="16"/>
      <c r="AB765" s="16"/>
      <c r="AC765" s="16"/>
      <c r="AD765" s="16"/>
      <c r="AE765" s="16"/>
      <c r="AF765" s="17"/>
      <c r="AJ765" s="24"/>
      <c r="AK765" s="61"/>
      <c r="AL765" s="16"/>
      <c r="AM765" s="16"/>
      <c r="AN765" s="16"/>
      <c r="AO765" s="16"/>
      <c r="AP765" s="16"/>
      <c r="AQ765" s="17"/>
      <c r="AU765" s="24"/>
      <c r="AV765" s="61"/>
      <c r="AW765" s="16"/>
      <c r="AX765" s="16"/>
      <c r="AY765" s="16"/>
      <c r="AZ765" s="16"/>
      <c r="BA765" s="16"/>
      <c r="BB765" s="17"/>
      <c r="BF765" s="24"/>
      <c r="BG765" s="61"/>
      <c r="BH765" s="16"/>
      <c r="BI765" s="16"/>
      <c r="BJ765" s="16"/>
      <c r="BK765" s="16"/>
      <c r="BL765" s="16"/>
      <c r="BM765" s="17"/>
      <c r="BQ765" s="24"/>
      <c r="BR765" s="61"/>
      <c r="BS765" s="16"/>
      <c r="BT765" s="16"/>
      <c r="BU765" s="16"/>
      <c r="BV765" s="16"/>
      <c r="BW765" s="16"/>
      <c r="BX765" s="17"/>
      <c r="CB765" s="24"/>
      <c r="CC765" s="61"/>
      <c r="CD765" s="16"/>
      <c r="CE765" s="16"/>
      <c r="CF765" s="16"/>
      <c r="CG765" s="16"/>
      <c r="CH765" s="16"/>
      <c r="CI765" s="17"/>
      <c r="CM765" s="24"/>
      <c r="CN765" s="61"/>
      <c r="CO765" s="16"/>
      <c r="CP765" s="16"/>
      <c r="CQ765" s="16"/>
      <c r="CR765" s="16"/>
      <c r="CS765" s="16"/>
      <c r="CT765" s="17"/>
      <c r="CX765" s="24"/>
      <c r="CY765" s="60"/>
      <c r="CZ765" s="16"/>
      <c r="DA765" s="16"/>
      <c r="DB765" s="16"/>
      <c r="DC765" s="16"/>
      <c r="DD765" s="16"/>
      <c r="DE765" s="17"/>
      <c r="DI765" s="24"/>
      <c r="DJ765" s="60"/>
      <c r="DK765" s="16"/>
      <c r="DL765" s="16"/>
      <c r="DM765" s="16"/>
      <c r="DN765" s="16"/>
      <c r="DO765" s="16"/>
      <c r="DP765" s="17"/>
      <c r="DT765" s="24"/>
      <c r="DU765" s="60"/>
      <c r="DV765" s="16"/>
      <c r="DW765" s="16"/>
      <c r="DX765" s="16"/>
      <c r="DY765" s="16"/>
      <c r="DZ765" s="16"/>
      <c r="EA765" s="17"/>
      <c r="EE765" s="24"/>
      <c r="EF765" s="60"/>
      <c r="EG765" s="16"/>
      <c r="EH765" s="16"/>
      <c r="EI765" s="16"/>
      <c r="EJ765" s="16"/>
      <c r="EK765" s="16"/>
      <c r="EL765" s="17"/>
      <c r="EP765" s="24"/>
      <c r="EQ765" s="60"/>
      <c r="ER765" s="16"/>
      <c r="ES765" s="16"/>
      <c r="ET765" s="16"/>
      <c r="EU765" s="16"/>
      <c r="EV765" s="16"/>
      <c r="EW765" s="17"/>
      <c r="FA765" s="24"/>
      <c r="FB765" s="60"/>
      <c r="FC765" s="16"/>
      <c r="FD765" s="16"/>
      <c r="FE765" s="16"/>
      <c r="FF765" s="16"/>
      <c r="FG765" s="16"/>
      <c r="FH765" s="17"/>
      <c r="FL765" s="24"/>
      <c r="FM765" s="60"/>
      <c r="FN765" s="16"/>
      <c r="FO765" s="16"/>
      <c r="FP765" s="16"/>
      <c r="FQ765" s="16"/>
      <c r="FR765" s="16"/>
      <c r="FS765" s="17"/>
      <c r="FW765" s="24"/>
      <c r="FX765" s="60"/>
      <c r="FY765" s="16"/>
      <c r="FZ765" s="16"/>
      <c r="GA765" s="16"/>
      <c r="GB765" s="16"/>
      <c r="GC765" s="16"/>
      <c r="GD765" s="17"/>
      <c r="GH765" s="24"/>
      <c r="GI765" s="60"/>
      <c r="GJ765" s="16"/>
      <c r="GK765" s="16"/>
      <c r="GL765" s="16"/>
      <c r="GM765" s="16"/>
      <c r="GN765" s="16"/>
      <c r="GO765" s="17"/>
      <c r="GS765" s="24"/>
      <c r="GT765" s="60"/>
      <c r="GU765" s="16"/>
      <c r="GV765" s="16"/>
      <c r="GW765" s="16"/>
      <c r="GX765" s="16"/>
      <c r="GY765" s="16"/>
      <c r="GZ765" s="17"/>
      <c r="HD765" s="24"/>
      <c r="HE765" s="60"/>
      <c r="HF765" s="16"/>
      <c r="HG765" s="16"/>
      <c r="HH765" s="16"/>
      <c r="HI765" s="16"/>
      <c r="HJ765" s="16"/>
      <c r="HK765" s="17"/>
      <c r="HO765" s="24"/>
      <c r="HP765" s="60"/>
      <c r="HQ765" s="16"/>
      <c r="HR765" s="16"/>
      <c r="HS765" s="16"/>
      <c r="HT765" s="16"/>
      <c r="HU765" s="16"/>
      <c r="HV765" s="17"/>
      <c r="HZ765" s="24"/>
      <c r="IA765" s="60"/>
      <c r="IB765" s="16"/>
      <c r="IC765" s="16"/>
      <c r="ID765" s="16"/>
      <c r="IE765" s="16"/>
      <c r="IF765" s="16"/>
      <c r="IG765" s="17"/>
      <c r="IK765" s="24"/>
      <c r="IL765" s="60"/>
      <c r="IM765" s="16"/>
      <c r="IN765" s="16"/>
      <c r="IO765" s="16"/>
      <c r="IP765" s="16"/>
      <c r="IQ765" s="16"/>
      <c r="IR765" s="17"/>
      <c r="IV765" s="24"/>
      <c r="IW765" s="60"/>
      <c r="IX765" s="16"/>
      <c r="IY765" s="16"/>
      <c r="IZ765" s="16"/>
      <c r="JA765" s="16"/>
      <c r="JB765" s="16"/>
      <c r="JC765" s="17"/>
      <c r="JG765" s="24"/>
      <c r="JH765" s="60"/>
      <c r="JI765" s="16"/>
      <c r="JJ765" s="16"/>
      <c r="JK765" s="16"/>
      <c r="JL765" s="16"/>
      <c r="JM765" s="16"/>
      <c r="JN765" s="17"/>
      <c r="JR765" s="24"/>
      <c r="JS765" s="60"/>
      <c r="JT765" s="16"/>
      <c r="JU765" s="16"/>
      <c r="JV765" s="16"/>
      <c r="JW765" s="16"/>
      <c r="JX765" s="16"/>
      <c r="JY765" s="17"/>
      <c r="KC765" s="24"/>
      <c r="KD765" s="60"/>
      <c r="KE765" s="16"/>
      <c r="KF765" s="16"/>
      <c r="KG765" s="16"/>
      <c r="KH765" s="16"/>
      <c r="KI765" s="16"/>
      <c r="KJ765" s="17"/>
      <c r="KN765" s="24"/>
      <c r="KO765" s="60"/>
      <c r="KP765" s="16"/>
      <c r="KQ765" s="16"/>
      <c r="KR765" s="16"/>
      <c r="KS765" s="16"/>
      <c r="KT765" s="16"/>
      <c r="KU765" s="17"/>
      <c r="KY765" s="24"/>
      <c r="KZ765" s="60"/>
      <c r="LA765" s="16"/>
      <c r="LB765" s="16"/>
      <c r="LC765" s="16"/>
      <c r="LD765" s="16"/>
      <c r="LE765" s="16"/>
      <c r="LF765" s="17"/>
      <c r="LJ765" s="24"/>
      <c r="LK765" s="60"/>
      <c r="LL765" s="16"/>
      <c r="LM765" s="16"/>
      <c r="LN765" s="16"/>
      <c r="LO765" s="16"/>
      <c r="LP765" s="16"/>
      <c r="LQ765" s="17"/>
    </row>
    <row r="766">
      <c r="C766" s="31"/>
      <c r="D766" s="61"/>
      <c r="E766" s="16"/>
      <c r="F766" s="16"/>
      <c r="G766" s="21"/>
      <c r="H766" s="16"/>
      <c r="I766" s="16"/>
      <c r="J766" s="17"/>
      <c r="N766" s="17"/>
      <c r="O766" s="61"/>
      <c r="P766" s="16"/>
      <c r="Q766" s="16"/>
      <c r="R766" s="16"/>
      <c r="S766" s="16"/>
      <c r="T766" s="16"/>
      <c r="U766" s="17"/>
      <c r="Y766" s="24"/>
      <c r="Z766" s="61"/>
      <c r="AA766" s="16"/>
      <c r="AB766" s="16"/>
      <c r="AC766" s="16"/>
      <c r="AD766" s="16"/>
      <c r="AE766" s="16"/>
      <c r="AF766" s="17"/>
      <c r="AJ766" s="24"/>
      <c r="AK766" s="61"/>
      <c r="AL766" s="16"/>
      <c r="AM766" s="16"/>
      <c r="AN766" s="16"/>
      <c r="AO766" s="16"/>
      <c r="AP766" s="16"/>
      <c r="AQ766" s="17"/>
      <c r="AU766" s="24"/>
      <c r="AV766" s="61"/>
      <c r="AW766" s="16"/>
      <c r="AX766" s="16"/>
      <c r="AY766" s="16"/>
      <c r="AZ766" s="16"/>
      <c r="BA766" s="16"/>
      <c r="BB766" s="17"/>
      <c r="BF766" s="24"/>
      <c r="BG766" s="61"/>
      <c r="BH766" s="16"/>
      <c r="BI766" s="16"/>
      <c r="BJ766" s="16"/>
      <c r="BK766" s="16"/>
      <c r="BL766" s="16"/>
      <c r="BM766" s="17"/>
      <c r="BQ766" s="24"/>
      <c r="BR766" s="61"/>
      <c r="BS766" s="16"/>
      <c r="BT766" s="16"/>
      <c r="BU766" s="16"/>
      <c r="BV766" s="16"/>
      <c r="BW766" s="16"/>
      <c r="BX766" s="17"/>
      <c r="CB766" s="24"/>
      <c r="CC766" s="61"/>
      <c r="CD766" s="16"/>
      <c r="CE766" s="16"/>
      <c r="CF766" s="16"/>
      <c r="CG766" s="16"/>
      <c r="CH766" s="16"/>
      <c r="CI766" s="17"/>
      <c r="CM766" s="24"/>
      <c r="CN766" s="61"/>
      <c r="CO766" s="16"/>
      <c r="CP766" s="16"/>
      <c r="CQ766" s="16"/>
      <c r="CR766" s="16"/>
      <c r="CS766" s="16"/>
      <c r="CT766" s="17"/>
      <c r="CX766" s="24"/>
      <c r="CY766" s="60"/>
      <c r="CZ766" s="16"/>
      <c r="DA766" s="16"/>
      <c r="DB766" s="16"/>
      <c r="DC766" s="16"/>
      <c r="DD766" s="16"/>
      <c r="DE766" s="17"/>
      <c r="DI766" s="24"/>
      <c r="DJ766" s="60"/>
      <c r="DK766" s="16"/>
      <c r="DL766" s="16"/>
      <c r="DM766" s="16"/>
      <c r="DN766" s="16"/>
      <c r="DO766" s="16"/>
      <c r="DP766" s="17"/>
      <c r="DT766" s="24"/>
      <c r="DU766" s="60"/>
      <c r="DV766" s="16"/>
      <c r="DW766" s="16"/>
      <c r="DX766" s="16"/>
      <c r="DY766" s="16"/>
      <c r="DZ766" s="16"/>
      <c r="EA766" s="17"/>
      <c r="EE766" s="24"/>
      <c r="EF766" s="60"/>
      <c r="EG766" s="16"/>
      <c r="EH766" s="16"/>
      <c r="EI766" s="16"/>
      <c r="EJ766" s="16"/>
      <c r="EK766" s="16"/>
      <c r="EL766" s="17"/>
      <c r="EP766" s="24"/>
      <c r="EQ766" s="60"/>
      <c r="ER766" s="16"/>
      <c r="ES766" s="16"/>
      <c r="ET766" s="16"/>
      <c r="EU766" s="16"/>
      <c r="EV766" s="16"/>
      <c r="EW766" s="17"/>
      <c r="FA766" s="24"/>
      <c r="FB766" s="60"/>
      <c r="FC766" s="16"/>
      <c r="FD766" s="16"/>
      <c r="FE766" s="16"/>
      <c r="FF766" s="16"/>
      <c r="FG766" s="16"/>
      <c r="FH766" s="17"/>
      <c r="FL766" s="24"/>
      <c r="FM766" s="60"/>
      <c r="FN766" s="16"/>
      <c r="FO766" s="16"/>
      <c r="FP766" s="16"/>
      <c r="FQ766" s="16"/>
      <c r="FR766" s="16"/>
      <c r="FS766" s="17"/>
      <c r="FW766" s="24"/>
      <c r="FX766" s="60"/>
      <c r="FY766" s="16"/>
      <c r="FZ766" s="16"/>
      <c r="GA766" s="16"/>
      <c r="GB766" s="16"/>
      <c r="GC766" s="16"/>
      <c r="GD766" s="17"/>
      <c r="GH766" s="24"/>
      <c r="GI766" s="60"/>
      <c r="GJ766" s="16"/>
      <c r="GK766" s="16"/>
      <c r="GL766" s="16"/>
      <c r="GM766" s="16"/>
      <c r="GN766" s="16"/>
      <c r="GO766" s="17"/>
      <c r="GS766" s="24"/>
      <c r="GT766" s="60"/>
      <c r="GU766" s="16"/>
      <c r="GV766" s="16"/>
      <c r="GW766" s="16"/>
      <c r="GX766" s="16"/>
      <c r="GY766" s="16"/>
      <c r="GZ766" s="17"/>
      <c r="HD766" s="24"/>
      <c r="HE766" s="60"/>
      <c r="HF766" s="16"/>
      <c r="HG766" s="16"/>
      <c r="HH766" s="16"/>
      <c r="HI766" s="16"/>
      <c r="HJ766" s="16"/>
      <c r="HK766" s="17"/>
      <c r="HO766" s="24"/>
      <c r="HP766" s="60"/>
      <c r="HQ766" s="16"/>
      <c r="HR766" s="16"/>
      <c r="HS766" s="16"/>
      <c r="HT766" s="16"/>
      <c r="HU766" s="16"/>
      <c r="HV766" s="17"/>
      <c r="HZ766" s="24"/>
      <c r="IA766" s="60"/>
      <c r="IB766" s="16"/>
      <c r="IC766" s="16"/>
      <c r="ID766" s="16"/>
      <c r="IE766" s="16"/>
      <c r="IF766" s="16"/>
      <c r="IG766" s="17"/>
      <c r="IK766" s="24"/>
      <c r="IL766" s="60"/>
      <c r="IM766" s="16"/>
      <c r="IN766" s="16"/>
      <c r="IO766" s="16"/>
      <c r="IP766" s="16"/>
      <c r="IQ766" s="16"/>
      <c r="IR766" s="17"/>
      <c r="IV766" s="24"/>
      <c r="IW766" s="60"/>
      <c r="IX766" s="16"/>
      <c r="IY766" s="16"/>
      <c r="IZ766" s="16"/>
      <c r="JA766" s="16"/>
      <c r="JB766" s="16"/>
      <c r="JC766" s="17"/>
      <c r="JG766" s="24"/>
      <c r="JH766" s="60"/>
      <c r="JI766" s="16"/>
      <c r="JJ766" s="16"/>
      <c r="JK766" s="16"/>
      <c r="JL766" s="16"/>
      <c r="JM766" s="16"/>
      <c r="JN766" s="17"/>
      <c r="JR766" s="24"/>
      <c r="JS766" s="60"/>
      <c r="JT766" s="16"/>
      <c r="JU766" s="16"/>
      <c r="JV766" s="16"/>
      <c r="JW766" s="16"/>
      <c r="JX766" s="16"/>
      <c r="JY766" s="17"/>
      <c r="KC766" s="24"/>
      <c r="KD766" s="60"/>
      <c r="KE766" s="16"/>
      <c r="KF766" s="16"/>
      <c r="KG766" s="16"/>
      <c r="KH766" s="16"/>
      <c r="KI766" s="16"/>
      <c r="KJ766" s="17"/>
      <c r="KN766" s="24"/>
      <c r="KO766" s="60"/>
      <c r="KP766" s="16"/>
      <c r="KQ766" s="16"/>
      <c r="KR766" s="16"/>
      <c r="KS766" s="16"/>
      <c r="KT766" s="16"/>
      <c r="KU766" s="17"/>
      <c r="KY766" s="24"/>
      <c r="KZ766" s="60"/>
      <c r="LA766" s="16"/>
      <c r="LB766" s="16"/>
      <c r="LC766" s="16"/>
      <c r="LD766" s="16"/>
      <c r="LE766" s="16"/>
      <c r="LF766" s="17"/>
      <c r="LJ766" s="24"/>
      <c r="LK766" s="60"/>
      <c r="LL766" s="16"/>
      <c r="LM766" s="16"/>
      <c r="LN766" s="16"/>
      <c r="LO766" s="16"/>
      <c r="LP766" s="16"/>
      <c r="LQ766" s="17"/>
    </row>
    <row r="767">
      <c r="C767" s="31"/>
      <c r="D767" s="61"/>
      <c r="E767" s="16"/>
      <c r="F767" s="16"/>
      <c r="G767" s="21"/>
      <c r="H767" s="16"/>
      <c r="I767" s="16"/>
      <c r="J767" s="17"/>
      <c r="N767" s="17"/>
      <c r="O767" s="61"/>
      <c r="P767" s="16"/>
      <c r="Q767" s="16"/>
      <c r="R767" s="16"/>
      <c r="S767" s="16"/>
      <c r="T767" s="16"/>
      <c r="U767" s="17"/>
      <c r="Y767" s="24"/>
      <c r="Z767" s="61"/>
      <c r="AA767" s="16"/>
      <c r="AB767" s="16"/>
      <c r="AC767" s="16"/>
      <c r="AD767" s="16"/>
      <c r="AE767" s="16"/>
      <c r="AF767" s="17"/>
      <c r="AJ767" s="24"/>
      <c r="AK767" s="61"/>
      <c r="AL767" s="16"/>
      <c r="AM767" s="16"/>
      <c r="AN767" s="16"/>
      <c r="AO767" s="16"/>
      <c r="AP767" s="16"/>
      <c r="AQ767" s="17"/>
      <c r="AU767" s="24"/>
      <c r="AV767" s="61"/>
      <c r="AW767" s="16"/>
      <c r="AX767" s="16"/>
      <c r="AY767" s="16"/>
      <c r="AZ767" s="16"/>
      <c r="BA767" s="16"/>
      <c r="BB767" s="17"/>
      <c r="BF767" s="24"/>
      <c r="BG767" s="61"/>
      <c r="BH767" s="16"/>
      <c r="BI767" s="16"/>
      <c r="BJ767" s="16"/>
      <c r="BK767" s="16"/>
      <c r="BL767" s="16"/>
      <c r="BM767" s="17"/>
      <c r="BQ767" s="24"/>
      <c r="BR767" s="61"/>
      <c r="BS767" s="16"/>
      <c r="BT767" s="16"/>
      <c r="BU767" s="16"/>
      <c r="BV767" s="16"/>
      <c r="BW767" s="16"/>
      <c r="BX767" s="17"/>
      <c r="CB767" s="24"/>
      <c r="CC767" s="61"/>
      <c r="CD767" s="16"/>
      <c r="CE767" s="16"/>
      <c r="CF767" s="16"/>
      <c r="CG767" s="16"/>
      <c r="CH767" s="16"/>
      <c r="CI767" s="17"/>
      <c r="CM767" s="24"/>
      <c r="CN767" s="61"/>
      <c r="CO767" s="16"/>
      <c r="CP767" s="16"/>
      <c r="CQ767" s="16"/>
      <c r="CR767" s="16"/>
      <c r="CS767" s="16"/>
      <c r="CT767" s="17"/>
      <c r="CX767" s="24"/>
      <c r="CY767" s="60"/>
      <c r="CZ767" s="16"/>
      <c r="DA767" s="16"/>
      <c r="DB767" s="16"/>
      <c r="DC767" s="16"/>
      <c r="DD767" s="16"/>
      <c r="DE767" s="17"/>
      <c r="DI767" s="24"/>
      <c r="DJ767" s="60"/>
      <c r="DK767" s="16"/>
      <c r="DL767" s="16"/>
      <c r="DM767" s="16"/>
      <c r="DN767" s="16"/>
      <c r="DO767" s="16"/>
      <c r="DP767" s="17"/>
      <c r="DT767" s="24"/>
      <c r="DU767" s="60"/>
      <c r="DV767" s="16"/>
      <c r="DW767" s="16"/>
      <c r="DX767" s="16"/>
      <c r="DY767" s="16"/>
      <c r="DZ767" s="16"/>
      <c r="EA767" s="17"/>
      <c r="EE767" s="24"/>
      <c r="EF767" s="60"/>
      <c r="EG767" s="16"/>
      <c r="EH767" s="16"/>
      <c r="EI767" s="16"/>
      <c r="EJ767" s="16"/>
      <c r="EK767" s="16"/>
      <c r="EL767" s="17"/>
      <c r="EP767" s="24"/>
      <c r="EQ767" s="60"/>
      <c r="ER767" s="16"/>
      <c r="ES767" s="16"/>
      <c r="ET767" s="16"/>
      <c r="EU767" s="16"/>
      <c r="EV767" s="16"/>
      <c r="EW767" s="17"/>
      <c r="FA767" s="24"/>
      <c r="FB767" s="60"/>
      <c r="FC767" s="16"/>
      <c r="FD767" s="16"/>
      <c r="FE767" s="16"/>
      <c r="FF767" s="16"/>
      <c r="FG767" s="16"/>
      <c r="FH767" s="17"/>
      <c r="FL767" s="24"/>
      <c r="FM767" s="60"/>
      <c r="FN767" s="16"/>
      <c r="FO767" s="16"/>
      <c r="FP767" s="16"/>
      <c r="FQ767" s="16"/>
      <c r="FR767" s="16"/>
      <c r="FS767" s="17"/>
      <c r="FW767" s="24"/>
      <c r="FX767" s="60"/>
      <c r="FY767" s="16"/>
      <c r="FZ767" s="16"/>
      <c r="GA767" s="16"/>
      <c r="GB767" s="16"/>
      <c r="GC767" s="16"/>
      <c r="GD767" s="17"/>
      <c r="GH767" s="24"/>
      <c r="GI767" s="60"/>
      <c r="GJ767" s="16"/>
      <c r="GK767" s="16"/>
      <c r="GL767" s="16"/>
      <c r="GM767" s="16"/>
      <c r="GN767" s="16"/>
      <c r="GO767" s="17"/>
      <c r="GS767" s="24"/>
      <c r="GT767" s="60"/>
      <c r="GU767" s="16"/>
      <c r="GV767" s="16"/>
      <c r="GW767" s="16"/>
      <c r="GX767" s="16"/>
      <c r="GY767" s="16"/>
      <c r="GZ767" s="17"/>
      <c r="HD767" s="24"/>
      <c r="HE767" s="60"/>
      <c r="HF767" s="16"/>
      <c r="HG767" s="16"/>
      <c r="HH767" s="16"/>
      <c r="HI767" s="16"/>
      <c r="HJ767" s="16"/>
      <c r="HK767" s="17"/>
      <c r="HO767" s="24"/>
      <c r="HP767" s="60"/>
      <c r="HQ767" s="16"/>
      <c r="HR767" s="16"/>
      <c r="HS767" s="16"/>
      <c r="HT767" s="16"/>
      <c r="HU767" s="16"/>
      <c r="HV767" s="17"/>
      <c r="HZ767" s="24"/>
      <c r="IA767" s="60"/>
      <c r="IB767" s="16"/>
      <c r="IC767" s="16"/>
      <c r="ID767" s="16"/>
      <c r="IE767" s="16"/>
      <c r="IF767" s="16"/>
      <c r="IG767" s="17"/>
      <c r="IK767" s="24"/>
      <c r="IL767" s="60"/>
      <c r="IM767" s="16"/>
      <c r="IN767" s="16"/>
      <c r="IO767" s="16"/>
      <c r="IP767" s="16"/>
      <c r="IQ767" s="16"/>
      <c r="IR767" s="17"/>
      <c r="IV767" s="24"/>
      <c r="IW767" s="60"/>
      <c r="IX767" s="16"/>
      <c r="IY767" s="16"/>
      <c r="IZ767" s="16"/>
      <c r="JA767" s="16"/>
      <c r="JB767" s="16"/>
      <c r="JC767" s="17"/>
      <c r="JG767" s="24"/>
      <c r="JH767" s="60"/>
      <c r="JI767" s="16"/>
      <c r="JJ767" s="16"/>
      <c r="JK767" s="16"/>
      <c r="JL767" s="16"/>
      <c r="JM767" s="16"/>
      <c r="JN767" s="17"/>
      <c r="JR767" s="24"/>
      <c r="JS767" s="60"/>
      <c r="JT767" s="16"/>
      <c r="JU767" s="16"/>
      <c r="JV767" s="16"/>
      <c r="JW767" s="16"/>
      <c r="JX767" s="16"/>
      <c r="JY767" s="17"/>
      <c r="KC767" s="24"/>
      <c r="KD767" s="60"/>
      <c r="KE767" s="16"/>
      <c r="KF767" s="16"/>
      <c r="KG767" s="16"/>
      <c r="KH767" s="16"/>
      <c r="KI767" s="16"/>
      <c r="KJ767" s="17"/>
      <c r="KN767" s="24"/>
      <c r="KO767" s="60"/>
      <c r="KP767" s="16"/>
      <c r="KQ767" s="16"/>
      <c r="KR767" s="16"/>
      <c r="KS767" s="16"/>
      <c r="KT767" s="16"/>
      <c r="KU767" s="17"/>
      <c r="KY767" s="24"/>
      <c r="KZ767" s="60"/>
      <c r="LA767" s="16"/>
      <c r="LB767" s="16"/>
      <c r="LC767" s="16"/>
      <c r="LD767" s="16"/>
      <c r="LE767" s="16"/>
      <c r="LF767" s="17"/>
      <c r="LJ767" s="24"/>
      <c r="LK767" s="60"/>
      <c r="LL767" s="16"/>
      <c r="LM767" s="16"/>
      <c r="LN767" s="16"/>
      <c r="LO767" s="16"/>
      <c r="LP767" s="16"/>
      <c r="LQ767" s="17"/>
    </row>
    <row r="768">
      <c r="C768" s="31"/>
      <c r="D768" s="61"/>
      <c r="E768" s="16"/>
      <c r="F768" s="16"/>
      <c r="G768" s="21"/>
      <c r="H768" s="16"/>
      <c r="I768" s="16"/>
      <c r="J768" s="17"/>
      <c r="N768" s="17"/>
      <c r="O768" s="61"/>
      <c r="P768" s="16"/>
      <c r="Q768" s="16"/>
      <c r="R768" s="16"/>
      <c r="S768" s="16"/>
      <c r="T768" s="16"/>
      <c r="U768" s="17"/>
      <c r="Y768" s="24"/>
      <c r="Z768" s="61"/>
      <c r="AA768" s="16"/>
      <c r="AB768" s="16"/>
      <c r="AC768" s="16"/>
      <c r="AD768" s="16"/>
      <c r="AE768" s="16"/>
      <c r="AF768" s="17"/>
      <c r="AJ768" s="24"/>
      <c r="AK768" s="61"/>
      <c r="AL768" s="16"/>
      <c r="AM768" s="16"/>
      <c r="AN768" s="16"/>
      <c r="AO768" s="16"/>
      <c r="AP768" s="16"/>
      <c r="AQ768" s="17"/>
      <c r="AU768" s="24"/>
      <c r="AV768" s="61"/>
      <c r="AW768" s="16"/>
      <c r="AX768" s="16"/>
      <c r="AY768" s="16"/>
      <c r="AZ768" s="16"/>
      <c r="BA768" s="16"/>
      <c r="BB768" s="17"/>
      <c r="BF768" s="24"/>
      <c r="BG768" s="61"/>
      <c r="BH768" s="16"/>
      <c r="BI768" s="16"/>
      <c r="BJ768" s="16"/>
      <c r="BK768" s="16"/>
      <c r="BL768" s="16"/>
      <c r="BM768" s="17"/>
      <c r="BQ768" s="24"/>
      <c r="BR768" s="61"/>
      <c r="BS768" s="16"/>
      <c r="BT768" s="16"/>
      <c r="BU768" s="16"/>
      <c r="BV768" s="16"/>
      <c r="BW768" s="16"/>
      <c r="BX768" s="17"/>
      <c r="CB768" s="24"/>
      <c r="CC768" s="61"/>
      <c r="CD768" s="16"/>
      <c r="CE768" s="16"/>
      <c r="CF768" s="16"/>
      <c r="CG768" s="16"/>
      <c r="CH768" s="16"/>
      <c r="CI768" s="17"/>
      <c r="CM768" s="24"/>
      <c r="CN768" s="61"/>
      <c r="CO768" s="16"/>
      <c r="CP768" s="16"/>
      <c r="CQ768" s="16"/>
      <c r="CR768" s="16"/>
      <c r="CS768" s="16"/>
      <c r="CT768" s="17"/>
      <c r="CX768" s="24"/>
      <c r="CY768" s="60"/>
      <c r="CZ768" s="16"/>
      <c r="DA768" s="16"/>
      <c r="DB768" s="16"/>
      <c r="DC768" s="16"/>
      <c r="DD768" s="16"/>
      <c r="DE768" s="17"/>
      <c r="DI768" s="24"/>
      <c r="DJ768" s="60"/>
      <c r="DK768" s="16"/>
      <c r="DL768" s="16"/>
      <c r="DM768" s="16"/>
      <c r="DN768" s="16"/>
      <c r="DO768" s="16"/>
      <c r="DP768" s="17"/>
      <c r="DT768" s="24"/>
      <c r="DU768" s="60"/>
      <c r="DV768" s="16"/>
      <c r="DW768" s="16"/>
      <c r="DX768" s="16"/>
      <c r="DY768" s="16"/>
      <c r="DZ768" s="16"/>
      <c r="EA768" s="17"/>
      <c r="EE768" s="24"/>
      <c r="EF768" s="60"/>
      <c r="EG768" s="16"/>
      <c r="EH768" s="16"/>
      <c r="EI768" s="16"/>
      <c r="EJ768" s="16"/>
      <c r="EK768" s="16"/>
      <c r="EL768" s="17"/>
      <c r="EP768" s="24"/>
      <c r="EQ768" s="60"/>
      <c r="ER768" s="16"/>
      <c r="ES768" s="16"/>
      <c r="ET768" s="16"/>
      <c r="EU768" s="16"/>
      <c r="EV768" s="16"/>
      <c r="EW768" s="17"/>
      <c r="FA768" s="24"/>
      <c r="FB768" s="60"/>
      <c r="FC768" s="16"/>
      <c r="FD768" s="16"/>
      <c r="FE768" s="16"/>
      <c r="FF768" s="16"/>
      <c r="FG768" s="16"/>
      <c r="FH768" s="17"/>
      <c r="FL768" s="24"/>
      <c r="FM768" s="60"/>
      <c r="FN768" s="16"/>
      <c r="FO768" s="16"/>
      <c r="FP768" s="16"/>
      <c r="FQ768" s="16"/>
      <c r="FR768" s="16"/>
      <c r="FS768" s="17"/>
      <c r="FW768" s="24"/>
      <c r="FX768" s="60"/>
      <c r="FY768" s="16"/>
      <c r="FZ768" s="16"/>
      <c r="GA768" s="16"/>
      <c r="GB768" s="16"/>
      <c r="GC768" s="16"/>
      <c r="GD768" s="17"/>
      <c r="GH768" s="24"/>
      <c r="GI768" s="60"/>
      <c r="GJ768" s="16"/>
      <c r="GK768" s="16"/>
      <c r="GL768" s="16"/>
      <c r="GM768" s="16"/>
      <c r="GN768" s="16"/>
      <c r="GO768" s="17"/>
      <c r="GS768" s="24"/>
      <c r="GT768" s="60"/>
      <c r="GU768" s="16"/>
      <c r="GV768" s="16"/>
      <c r="GW768" s="16"/>
      <c r="GX768" s="16"/>
      <c r="GY768" s="16"/>
      <c r="GZ768" s="17"/>
      <c r="HD768" s="24"/>
      <c r="HE768" s="60"/>
      <c r="HF768" s="16"/>
      <c r="HG768" s="16"/>
      <c r="HH768" s="16"/>
      <c r="HI768" s="16"/>
      <c r="HJ768" s="16"/>
      <c r="HK768" s="17"/>
      <c r="HO768" s="24"/>
      <c r="HP768" s="60"/>
      <c r="HQ768" s="16"/>
      <c r="HR768" s="16"/>
      <c r="HS768" s="16"/>
      <c r="HT768" s="16"/>
      <c r="HU768" s="16"/>
      <c r="HV768" s="17"/>
      <c r="HZ768" s="24"/>
      <c r="IA768" s="60"/>
      <c r="IB768" s="16"/>
      <c r="IC768" s="16"/>
      <c r="ID768" s="16"/>
      <c r="IE768" s="16"/>
      <c r="IF768" s="16"/>
      <c r="IG768" s="17"/>
      <c r="IK768" s="24"/>
      <c r="IL768" s="60"/>
      <c r="IM768" s="16"/>
      <c r="IN768" s="16"/>
      <c r="IO768" s="16"/>
      <c r="IP768" s="16"/>
      <c r="IQ768" s="16"/>
      <c r="IR768" s="17"/>
      <c r="IV768" s="24"/>
      <c r="IW768" s="60"/>
      <c r="IX768" s="16"/>
      <c r="IY768" s="16"/>
      <c r="IZ768" s="16"/>
      <c r="JA768" s="16"/>
      <c r="JB768" s="16"/>
      <c r="JC768" s="17"/>
      <c r="JG768" s="24"/>
      <c r="JH768" s="60"/>
      <c r="JI768" s="16"/>
      <c r="JJ768" s="16"/>
      <c r="JK768" s="16"/>
      <c r="JL768" s="16"/>
      <c r="JM768" s="16"/>
      <c r="JN768" s="17"/>
      <c r="JR768" s="24"/>
      <c r="JS768" s="60"/>
      <c r="JT768" s="16"/>
      <c r="JU768" s="16"/>
      <c r="JV768" s="16"/>
      <c r="JW768" s="16"/>
      <c r="JX768" s="16"/>
      <c r="JY768" s="17"/>
      <c r="KC768" s="24"/>
      <c r="KD768" s="60"/>
      <c r="KE768" s="16"/>
      <c r="KF768" s="16"/>
      <c r="KG768" s="16"/>
      <c r="KH768" s="16"/>
      <c r="KI768" s="16"/>
      <c r="KJ768" s="17"/>
      <c r="KN768" s="24"/>
      <c r="KO768" s="60"/>
      <c r="KP768" s="16"/>
      <c r="KQ768" s="16"/>
      <c r="KR768" s="16"/>
      <c r="KS768" s="16"/>
      <c r="KT768" s="16"/>
      <c r="KU768" s="17"/>
      <c r="KY768" s="24"/>
      <c r="KZ768" s="60"/>
      <c r="LA768" s="16"/>
      <c r="LB768" s="16"/>
      <c r="LC768" s="16"/>
      <c r="LD768" s="16"/>
      <c r="LE768" s="16"/>
      <c r="LF768" s="17"/>
      <c r="LJ768" s="24"/>
      <c r="LK768" s="60"/>
      <c r="LL768" s="16"/>
      <c r="LM768" s="16"/>
      <c r="LN768" s="16"/>
      <c r="LO768" s="16"/>
      <c r="LP768" s="16"/>
      <c r="LQ768" s="17"/>
    </row>
    <row r="769">
      <c r="C769" s="31"/>
      <c r="D769" s="61"/>
      <c r="E769" s="16"/>
      <c r="F769" s="16"/>
      <c r="G769" s="21"/>
      <c r="H769" s="16"/>
      <c r="I769" s="16"/>
      <c r="J769" s="17"/>
      <c r="N769" s="17"/>
      <c r="O769" s="61"/>
      <c r="P769" s="16"/>
      <c r="Q769" s="16"/>
      <c r="R769" s="16"/>
      <c r="S769" s="16"/>
      <c r="T769" s="16"/>
      <c r="U769" s="17"/>
      <c r="Y769" s="24"/>
      <c r="Z769" s="61"/>
      <c r="AA769" s="16"/>
      <c r="AB769" s="16"/>
      <c r="AC769" s="16"/>
      <c r="AD769" s="16"/>
      <c r="AE769" s="16"/>
      <c r="AF769" s="17"/>
      <c r="AJ769" s="24"/>
      <c r="AK769" s="61"/>
      <c r="AL769" s="16"/>
      <c r="AM769" s="16"/>
      <c r="AN769" s="16"/>
      <c r="AO769" s="16"/>
      <c r="AP769" s="16"/>
      <c r="AQ769" s="17"/>
      <c r="AU769" s="24"/>
      <c r="AV769" s="61"/>
      <c r="AW769" s="16"/>
      <c r="AX769" s="16"/>
      <c r="AY769" s="16"/>
      <c r="AZ769" s="16"/>
      <c r="BA769" s="16"/>
      <c r="BB769" s="17"/>
      <c r="BF769" s="24"/>
      <c r="BG769" s="61"/>
      <c r="BH769" s="16"/>
      <c r="BI769" s="16"/>
      <c r="BJ769" s="16"/>
      <c r="BK769" s="16"/>
      <c r="BL769" s="16"/>
      <c r="BM769" s="17"/>
      <c r="BQ769" s="24"/>
      <c r="BR769" s="61"/>
      <c r="BS769" s="16"/>
      <c r="BT769" s="16"/>
      <c r="BU769" s="16"/>
      <c r="BV769" s="16"/>
      <c r="BW769" s="16"/>
      <c r="BX769" s="17"/>
      <c r="CB769" s="24"/>
      <c r="CC769" s="61"/>
      <c r="CD769" s="16"/>
      <c r="CE769" s="16"/>
      <c r="CF769" s="16"/>
      <c r="CG769" s="16"/>
      <c r="CH769" s="16"/>
      <c r="CI769" s="17"/>
      <c r="CM769" s="24"/>
      <c r="CN769" s="61"/>
      <c r="CO769" s="16"/>
      <c r="CP769" s="16"/>
      <c r="CQ769" s="16"/>
      <c r="CR769" s="16"/>
      <c r="CS769" s="16"/>
      <c r="CT769" s="17"/>
      <c r="CX769" s="24"/>
      <c r="CY769" s="60"/>
      <c r="CZ769" s="16"/>
      <c r="DA769" s="16"/>
      <c r="DB769" s="16"/>
      <c r="DC769" s="16"/>
      <c r="DD769" s="16"/>
      <c r="DE769" s="17"/>
      <c r="DI769" s="24"/>
      <c r="DJ769" s="60"/>
      <c r="DK769" s="16"/>
      <c r="DL769" s="16"/>
      <c r="DM769" s="16"/>
      <c r="DN769" s="16"/>
      <c r="DO769" s="16"/>
      <c r="DP769" s="17"/>
      <c r="DT769" s="24"/>
      <c r="DU769" s="60"/>
      <c r="DV769" s="16"/>
      <c r="DW769" s="16"/>
      <c r="DX769" s="16"/>
      <c r="DY769" s="16"/>
      <c r="DZ769" s="16"/>
      <c r="EA769" s="17"/>
      <c r="EE769" s="24"/>
      <c r="EF769" s="60"/>
      <c r="EG769" s="16"/>
      <c r="EH769" s="16"/>
      <c r="EI769" s="16"/>
      <c r="EJ769" s="16"/>
      <c r="EK769" s="16"/>
      <c r="EL769" s="17"/>
      <c r="EP769" s="24"/>
      <c r="EQ769" s="60"/>
      <c r="ER769" s="16"/>
      <c r="ES769" s="16"/>
      <c r="ET769" s="16"/>
      <c r="EU769" s="16"/>
      <c r="EV769" s="16"/>
      <c r="EW769" s="17"/>
      <c r="FA769" s="24"/>
      <c r="FB769" s="60"/>
      <c r="FC769" s="16"/>
      <c r="FD769" s="16"/>
      <c r="FE769" s="16"/>
      <c r="FF769" s="16"/>
      <c r="FG769" s="16"/>
      <c r="FH769" s="17"/>
      <c r="FL769" s="24"/>
      <c r="FM769" s="60"/>
      <c r="FN769" s="16"/>
      <c r="FO769" s="16"/>
      <c r="FP769" s="16"/>
      <c r="FQ769" s="16"/>
      <c r="FR769" s="16"/>
      <c r="FS769" s="17"/>
      <c r="FW769" s="24"/>
      <c r="FX769" s="60"/>
      <c r="FY769" s="16"/>
      <c r="FZ769" s="16"/>
      <c r="GA769" s="16"/>
      <c r="GB769" s="16"/>
      <c r="GC769" s="16"/>
      <c r="GD769" s="17"/>
      <c r="GH769" s="24"/>
      <c r="GI769" s="60"/>
      <c r="GJ769" s="16"/>
      <c r="GK769" s="16"/>
      <c r="GL769" s="16"/>
      <c r="GM769" s="16"/>
      <c r="GN769" s="16"/>
      <c r="GO769" s="17"/>
      <c r="GS769" s="24"/>
      <c r="GT769" s="60"/>
      <c r="GU769" s="16"/>
      <c r="GV769" s="16"/>
      <c r="GW769" s="16"/>
      <c r="GX769" s="16"/>
      <c r="GY769" s="16"/>
      <c r="GZ769" s="17"/>
      <c r="HD769" s="24"/>
      <c r="HE769" s="60"/>
      <c r="HF769" s="16"/>
      <c r="HG769" s="16"/>
      <c r="HH769" s="16"/>
      <c r="HI769" s="16"/>
      <c r="HJ769" s="16"/>
      <c r="HK769" s="17"/>
      <c r="HO769" s="24"/>
      <c r="HP769" s="60"/>
      <c r="HQ769" s="16"/>
      <c r="HR769" s="16"/>
      <c r="HS769" s="16"/>
      <c r="HT769" s="16"/>
      <c r="HU769" s="16"/>
      <c r="HV769" s="17"/>
      <c r="HZ769" s="24"/>
      <c r="IA769" s="60"/>
      <c r="IB769" s="16"/>
      <c r="IC769" s="16"/>
      <c r="ID769" s="16"/>
      <c r="IE769" s="16"/>
      <c r="IF769" s="16"/>
      <c r="IG769" s="17"/>
      <c r="IK769" s="24"/>
      <c r="IL769" s="60"/>
      <c r="IM769" s="16"/>
      <c r="IN769" s="16"/>
      <c r="IO769" s="16"/>
      <c r="IP769" s="16"/>
      <c r="IQ769" s="16"/>
      <c r="IR769" s="17"/>
      <c r="IV769" s="24"/>
      <c r="IW769" s="60"/>
      <c r="IX769" s="16"/>
      <c r="IY769" s="16"/>
      <c r="IZ769" s="16"/>
      <c r="JA769" s="16"/>
      <c r="JB769" s="16"/>
      <c r="JC769" s="17"/>
      <c r="JG769" s="24"/>
      <c r="JH769" s="60"/>
      <c r="JI769" s="16"/>
      <c r="JJ769" s="16"/>
      <c r="JK769" s="16"/>
      <c r="JL769" s="16"/>
      <c r="JM769" s="16"/>
      <c r="JN769" s="17"/>
      <c r="JR769" s="24"/>
      <c r="JS769" s="60"/>
      <c r="JT769" s="16"/>
      <c r="JU769" s="16"/>
      <c r="JV769" s="16"/>
      <c r="JW769" s="16"/>
      <c r="JX769" s="16"/>
      <c r="JY769" s="17"/>
      <c r="KC769" s="24"/>
      <c r="KD769" s="60"/>
      <c r="KE769" s="16"/>
      <c r="KF769" s="16"/>
      <c r="KG769" s="16"/>
      <c r="KH769" s="16"/>
      <c r="KI769" s="16"/>
      <c r="KJ769" s="17"/>
      <c r="KN769" s="24"/>
      <c r="KO769" s="60"/>
      <c r="KP769" s="16"/>
      <c r="KQ769" s="16"/>
      <c r="KR769" s="16"/>
      <c r="KS769" s="16"/>
      <c r="KT769" s="16"/>
      <c r="KU769" s="17"/>
      <c r="KY769" s="24"/>
      <c r="KZ769" s="60"/>
      <c r="LA769" s="16"/>
      <c r="LB769" s="16"/>
      <c r="LC769" s="16"/>
      <c r="LD769" s="16"/>
      <c r="LE769" s="16"/>
      <c r="LF769" s="17"/>
      <c r="LJ769" s="24"/>
      <c r="LK769" s="60"/>
      <c r="LL769" s="16"/>
      <c r="LM769" s="16"/>
      <c r="LN769" s="16"/>
      <c r="LO769" s="16"/>
      <c r="LP769" s="16"/>
      <c r="LQ769" s="17"/>
    </row>
    <row r="770">
      <c r="C770" s="31"/>
      <c r="D770" s="61"/>
      <c r="E770" s="16"/>
      <c r="F770" s="16"/>
      <c r="G770" s="21"/>
      <c r="H770" s="16"/>
      <c r="I770" s="16"/>
      <c r="J770" s="17"/>
      <c r="N770" s="17"/>
      <c r="O770" s="61"/>
      <c r="P770" s="16"/>
      <c r="Q770" s="16"/>
      <c r="R770" s="16"/>
      <c r="S770" s="16"/>
      <c r="T770" s="16"/>
      <c r="U770" s="17"/>
      <c r="Y770" s="24"/>
      <c r="Z770" s="61"/>
      <c r="AA770" s="16"/>
      <c r="AB770" s="16"/>
      <c r="AC770" s="16"/>
      <c r="AD770" s="16"/>
      <c r="AE770" s="16"/>
      <c r="AF770" s="17"/>
      <c r="AJ770" s="24"/>
      <c r="AK770" s="61"/>
      <c r="AL770" s="16"/>
      <c r="AM770" s="16"/>
      <c r="AN770" s="16"/>
      <c r="AO770" s="16"/>
      <c r="AP770" s="16"/>
      <c r="AQ770" s="17"/>
      <c r="AU770" s="24"/>
      <c r="AV770" s="61"/>
      <c r="AW770" s="16"/>
      <c r="AX770" s="16"/>
      <c r="AY770" s="16"/>
      <c r="AZ770" s="16"/>
      <c r="BA770" s="16"/>
      <c r="BB770" s="17"/>
      <c r="BF770" s="24"/>
      <c r="BG770" s="61"/>
      <c r="BH770" s="16"/>
      <c r="BI770" s="16"/>
      <c r="BJ770" s="16"/>
      <c r="BK770" s="16"/>
      <c r="BL770" s="16"/>
      <c r="BM770" s="17"/>
      <c r="BQ770" s="24"/>
      <c r="BR770" s="61"/>
      <c r="BS770" s="16"/>
      <c r="BT770" s="16"/>
      <c r="BU770" s="16"/>
      <c r="BV770" s="16"/>
      <c r="BW770" s="16"/>
      <c r="BX770" s="17"/>
      <c r="CB770" s="24"/>
      <c r="CC770" s="61"/>
      <c r="CD770" s="16"/>
      <c r="CE770" s="16"/>
      <c r="CF770" s="16"/>
      <c r="CG770" s="16"/>
      <c r="CH770" s="16"/>
      <c r="CI770" s="17"/>
      <c r="CM770" s="24"/>
      <c r="CN770" s="61"/>
      <c r="CO770" s="16"/>
      <c r="CP770" s="16"/>
      <c r="CQ770" s="16"/>
      <c r="CR770" s="16"/>
      <c r="CS770" s="16"/>
      <c r="CT770" s="17"/>
      <c r="CX770" s="24"/>
      <c r="CY770" s="60"/>
      <c r="CZ770" s="16"/>
      <c r="DA770" s="16"/>
      <c r="DB770" s="16"/>
      <c r="DC770" s="16"/>
      <c r="DD770" s="16"/>
      <c r="DE770" s="17"/>
      <c r="DI770" s="24"/>
      <c r="DJ770" s="60"/>
      <c r="DK770" s="16"/>
      <c r="DL770" s="16"/>
      <c r="DM770" s="16"/>
      <c r="DN770" s="16"/>
      <c r="DO770" s="16"/>
      <c r="DP770" s="17"/>
      <c r="DT770" s="24"/>
      <c r="DU770" s="60"/>
      <c r="DV770" s="16"/>
      <c r="DW770" s="16"/>
      <c r="DX770" s="16"/>
      <c r="DY770" s="16"/>
      <c r="DZ770" s="16"/>
      <c r="EA770" s="17"/>
      <c r="EE770" s="24"/>
      <c r="EF770" s="60"/>
      <c r="EG770" s="16"/>
      <c r="EH770" s="16"/>
      <c r="EI770" s="16"/>
      <c r="EJ770" s="16"/>
      <c r="EK770" s="16"/>
      <c r="EL770" s="17"/>
      <c r="EP770" s="24"/>
      <c r="EQ770" s="60"/>
      <c r="ER770" s="16"/>
      <c r="ES770" s="16"/>
      <c r="ET770" s="16"/>
      <c r="EU770" s="16"/>
      <c r="EV770" s="16"/>
      <c r="EW770" s="17"/>
      <c r="FA770" s="24"/>
      <c r="FB770" s="60"/>
      <c r="FC770" s="16"/>
      <c r="FD770" s="16"/>
      <c r="FE770" s="16"/>
      <c r="FF770" s="16"/>
      <c r="FG770" s="16"/>
      <c r="FH770" s="17"/>
      <c r="FL770" s="24"/>
      <c r="FM770" s="60"/>
      <c r="FN770" s="16"/>
      <c r="FO770" s="16"/>
      <c r="FP770" s="16"/>
      <c r="FQ770" s="16"/>
      <c r="FR770" s="16"/>
      <c r="FS770" s="17"/>
      <c r="FW770" s="24"/>
      <c r="FX770" s="60"/>
      <c r="FY770" s="16"/>
      <c r="FZ770" s="16"/>
      <c r="GA770" s="16"/>
      <c r="GB770" s="16"/>
      <c r="GC770" s="16"/>
      <c r="GD770" s="17"/>
      <c r="GH770" s="24"/>
      <c r="GI770" s="60"/>
      <c r="GJ770" s="16"/>
      <c r="GK770" s="16"/>
      <c r="GL770" s="16"/>
      <c r="GM770" s="16"/>
      <c r="GN770" s="16"/>
      <c r="GO770" s="17"/>
      <c r="GS770" s="24"/>
      <c r="GT770" s="60"/>
      <c r="GU770" s="16"/>
      <c r="GV770" s="16"/>
      <c r="GW770" s="16"/>
      <c r="GX770" s="16"/>
      <c r="GY770" s="16"/>
      <c r="GZ770" s="17"/>
      <c r="HD770" s="24"/>
      <c r="HE770" s="60"/>
      <c r="HF770" s="16"/>
      <c r="HG770" s="16"/>
      <c r="HH770" s="16"/>
      <c r="HI770" s="16"/>
      <c r="HJ770" s="16"/>
      <c r="HK770" s="17"/>
      <c r="HO770" s="24"/>
      <c r="HP770" s="60"/>
      <c r="HQ770" s="16"/>
      <c r="HR770" s="16"/>
      <c r="HS770" s="16"/>
      <c r="HT770" s="16"/>
      <c r="HU770" s="16"/>
      <c r="HV770" s="17"/>
      <c r="HZ770" s="24"/>
      <c r="IA770" s="60"/>
      <c r="IB770" s="16"/>
      <c r="IC770" s="16"/>
      <c r="ID770" s="16"/>
      <c r="IE770" s="16"/>
      <c r="IF770" s="16"/>
      <c r="IG770" s="17"/>
      <c r="IK770" s="24"/>
      <c r="IL770" s="60"/>
      <c r="IM770" s="16"/>
      <c r="IN770" s="16"/>
      <c r="IO770" s="16"/>
      <c r="IP770" s="16"/>
      <c r="IQ770" s="16"/>
      <c r="IR770" s="17"/>
      <c r="IV770" s="24"/>
      <c r="IW770" s="60"/>
      <c r="IX770" s="16"/>
      <c r="IY770" s="16"/>
      <c r="IZ770" s="16"/>
      <c r="JA770" s="16"/>
      <c r="JB770" s="16"/>
      <c r="JC770" s="17"/>
      <c r="JG770" s="24"/>
      <c r="JH770" s="60"/>
      <c r="JI770" s="16"/>
      <c r="JJ770" s="16"/>
      <c r="JK770" s="16"/>
      <c r="JL770" s="16"/>
      <c r="JM770" s="16"/>
      <c r="JN770" s="17"/>
      <c r="JR770" s="24"/>
      <c r="JS770" s="60"/>
      <c r="JT770" s="16"/>
      <c r="JU770" s="16"/>
      <c r="JV770" s="16"/>
      <c r="JW770" s="16"/>
      <c r="JX770" s="16"/>
      <c r="JY770" s="17"/>
      <c r="KC770" s="24"/>
      <c r="KD770" s="60"/>
      <c r="KE770" s="16"/>
      <c r="KF770" s="16"/>
      <c r="KG770" s="16"/>
      <c r="KH770" s="16"/>
      <c r="KI770" s="16"/>
      <c r="KJ770" s="17"/>
      <c r="KN770" s="24"/>
      <c r="KO770" s="60"/>
      <c r="KP770" s="16"/>
      <c r="KQ770" s="16"/>
      <c r="KR770" s="16"/>
      <c r="KS770" s="16"/>
      <c r="KT770" s="16"/>
      <c r="KU770" s="17"/>
      <c r="KY770" s="24"/>
      <c r="KZ770" s="60"/>
      <c r="LA770" s="16"/>
      <c r="LB770" s="16"/>
      <c r="LC770" s="16"/>
      <c r="LD770" s="16"/>
      <c r="LE770" s="16"/>
      <c r="LF770" s="17"/>
      <c r="LJ770" s="24"/>
      <c r="LK770" s="60"/>
      <c r="LL770" s="16"/>
      <c r="LM770" s="16"/>
      <c r="LN770" s="16"/>
      <c r="LO770" s="16"/>
      <c r="LP770" s="16"/>
      <c r="LQ770" s="17"/>
    </row>
    <row r="771">
      <c r="C771" s="31"/>
      <c r="D771" s="61"/>
      <c r="E771" s="16"/>
      <c r="F771" s="16"/>
      <c r="G771" s="21"/>
      <c r="H771" s="16"/>
      <c r="I771" s="16"/>
      <c r="J771" s="17"/>
      <c r="N771" s="17"/>
      <c r="O771" s="61"/>
      <c r="P771" s="16"/>
      <c r="Q771" s="16"/>
      <c r="R771" s="16"/>
      <c r="S771" s="16"/>
      <c r="T771" s="16"/>
      <c r="U771" s="17"/>
      <c r="Y771" s="24"/>
      <c r="Z771" s="61"/>
      <c r="AA771" s="16"/>
      <c r="AB771" s="16"/>
      <c r="AC771" s="16"/>
      <c r="AD771" s="16"/>
      <c r="AE771" s="16"/>
      <c r="AF771" s="17"/>
      <c r="AJ771" s="24"/>
      <c r="AK771" s="61"/>
      <c r="AL771" s="16"/>
      <c r="AM771" s="16"/>
      <c r="AN771" s="16"/>
      <c r="AO771" s="16"/>
      <c r="AP771" s="16"/>
      <c r="AQ771" s="17"/>
      <c r="AU771" s="24"/>
      <c r="AV771" s="61"/>
      <c r="AW771" s="16"/>
      <c r="AX771" s="16"/>
      <c r="AY771" s="16"/>
      <c r="AZ771" s="16"/>
      <c r="BA771" s="16"/>
      <c r="BB771" s="17"/>
      <c r="BF771" s="24"/>
      <c r="BG771" s="61"/>
      <c r="BH771" s="16"/>
      <c r="BI771" s="16"/>
      <c r="BJ771" s="16"/>
      <c r="BK771" s="16"/>
      <c r="BL771" s="16"/>
      <c r="BM771" s="17"/>
      <c r="BQ771" s="24"/>
      <c r="BR771" s="61"/>
      <c r="BS771" s="16"/>
      <c r="BT771" s="16"/>
      <c r="BU771" s="16"/>
      <c r="BV771" s="16"/>
      <c r="BW771" s="16"/>
      <c r="BX771" s="17"/>
      <c r="CB771" s="24"/>
      <c r="CC771" s="61"/>
      <c r="CD771" s="16"/>
      <c r="CE771" s="16"/>
      <c r="CF771" s="16"/>
      <c r="CG771" s="16"/>
      <c r="CH771" s="16"/>
      <c r="CI771" s="17"/>
      <c r="CM771" s="24"/>
      <c r="CN771" s="61"/>
      <c r="CO771" s="16"/>
      <c r="CP771" s="16"/>
      <c r="CQ771" s="16"/>
      <c r="CR771" s="16"/>
      <c r="CS771" s="16"/>
      <c r="CT771" s="17"/>
      <c r="CX771" s="24"/>
      <c r="CY771" s="60"/>
      <c r="CZ771" s="16"/>
      <c r="DA771" s="16"/>
      <c r="DB771" s="16"/>
      <c r="DC771" s="16"/>
      <c r="DD771" s="16"/>
      <c r="DE771" s="17"/>
      <c r="DI771" s="24"/>
      <c r="DJ771" s="60"/>
      <c r="DK771" s="16"/>
      <c r="DL771" s="16"/>
      <c r="DM771" s="16"/>
      <c r="DN771" s="16"/>
      <c r="DO771" s="16"/>
      <c r="DP771" s="17"/>
      <c r="DT771" s="24"/>
      <c r="DU771" s="60"/>
      <c r="DV771" s="16"/>
      <c r="DW771" s="16"/>
      <c r="DX771" s="16"/>
      <c r="DY771" s="16"/>
      <c r="DZ771" s="16"/>
      <c r="EA771" s="17"/>
      <c r="EE771" s="24"/>
      <c r="EF771" s="60"/>
      <c r="EG771" s="16"/>
      <c r="EH771" s="16"/>
      <c r="EI771" s="16"/>
      <c r="EJ771" s="16"/>
      <c r="EK771" s="16"/>
      <c r="EL771" s="17"/>
      <c r="EP771" s="24"/>
      <c r="EQ771" s="60"/>
      <c r="ER771" s="16"/>
      <c r="ES771" s="16"/>
      <c r="ET771" s="16"/>
      <c r="EU771" s="16"/>
      <c r="EV771" s="16"/>
      <c r="EW771" s="17"/>
      <c r="FA771" s="24"/>
      <c r="FB771" s="60"/>
      <c r="FC771" s="16"/>
      <c r="FD771" s="16"/>
      <c r="FE771" s="16"/>
      <c r="FF771" s="16"/>
      <c r="FG771" s="16"/>
      <c r="FH771" s="17"/>
      <c r="FL771" s="24"/>
      <c r="FM771" s="60"/>
      <c r="FN771" s="16"/>
      <c r="FO771" s="16"/>
      <c r="FP771" s="16"/>
      <c r="FQ771" s="16"/>
      <c r="FR771" s="16"/>
      <c r="FS771" s="17"/>
      <c r="FW771" s="24"/>
      <c r="FX771" s="60"/>
      <c r="FY771" s="16"/>
      <c r="FZ771" s="16"/>
      <c r="GA771" s="16"/>
      <c r="GB771" s="16"/>
      <c r="GC771" s="16"/>
      <c r="GD771" s="17"/>
      <c r="GH771" s="24"/>
      <c r="GI771" s="60"/>
      <c r="GJ771" s="16"/>
      <c r="GK771" s="16"/>
      <c r="GL771" s="16"/>
      <c r="GM771" s="16"/>
      <c r="GN771" s="16"/>
      <c r="GO771" s="17"/>
      <c r="GS771" s="24"/>
      <c r="GT771" s="60"/>
      <c r="GU771" s="16"/>
      <c r="GV771" s="16"/>
      <c r="GW771" s="16"/>
      <c r="GX771" s="16"/>
      <c r="GY771" s="16"/>
      <c r="GZ771" s="17"/>
      <c r="HD771" s="24"/>
      <c r="HE771" s="60"/>
      <c r="HF771" s="16"/>
      <c r="HG771" s="16"/>
      <c r="HH771" s="16"/>
      <c r="HI771" s="16"/>
      <c r="HJ771" s="16"/>
      <c r="HK771" s="17"/>
      <c r="HO771" s="24"/>
      <c r="HP771" s="60"/>
      <c r="HQ771" s="16"/>
      <c r="HR771" s="16"/>
      <c r="HS771" s="16"/>
      <c r="HT771" s="16"/>
      <c r="HU771" s="16"/>
      <c r="HV771" s="17"/>
      <c r="HZ771" s="24"/>
      <c r="IA771" s="60"/>
      <c r="IB771" s="16"/>
      <c r="IC771" s="16"/>
      <c r="ID771" s="16"/>
      <c r="IE771" s="16"/>
      <c r="IF771" s="16"/>
      <c r="IG771" s="17"/>
      <c r="IK771" s="24"/>
      <c r="IL771" s="60"/>
      <c r="IM771" s="16"/>
      <c r="IN771" s="16"/>
      <c r="IO771" s="16"/>
      <c r="IP771" s="16"/>
      <c r="IQ771" s="16"/>
      <c r="IR771" s="17"/>
      <c r="IV771" s="24"/>
      <c r="IW771" s="60"/>
      <c r="IX771" s="16"/>
      <c r="IY771" s="16"/>
      <c r="IZ771" s="16"/>
      <c r="JA771" s="16"/>
      <c r="JB771" s="16"/>
      <c r="JC771" s="17"/>
      <c r="JG771" s="24"/>
      <c r="JH771" s="60"/>
      <c r="JI771" s="16"/>
      <c r="JJ771" s="16"/>
      <c r="JK771" s="16"/>
      <c r="JL771" s="16"/>
      <c r="JM771" s="16"/>
      <c r="JN771" s="17"/>
      <c r="JR771" s="24"/>
      <c r="JS771" s="60"/>
      <c r="JT771" s="16"/>
      <c r="JU771" s="16"/>
      <c r="JV771" s="16"/>
      <c r="JW771" s="16"/>
      <c r="JX771" s="16"/>
      <c r="JY771" s="17"/>
      <c r="KC771" s="24"/>
      <c r="KD771" s="60"/>
      <c r="KE771" s="16"/>
      <c r="KF771" s="16"/>
      <c r="KG771" s="16"/>
      <c r="KH771" s="16"/>
      <c r="KI771" s="16"/>
      <c r="KJ771" s="17"/>
      <c r="KN771" s="24"/>
      <c r="KO771" s="60"/>
      <c r="KP771" s="16"/>
      <c r="KQ771" s="16"/>
      <c r="KR771" s="16"/>
      <c r="KS771" s="16"/>
      <c r="KT771" s="16"/>
      <c r="KU771" s="17"/>
      <c r="KY771" s="24"/>
      <c r="KZ771" s="60"/>
      <c r="LA771" s="16"/>
      <c r="LB771" s="16"/>
      <c r="LC771" s="16"/>
      <c r="LD771" s="16"/>
      <c r="LE771" s="16"/>
      <c r="LF771" s="17"/>
      <c r="LJ771" s="24"/>
      <c r="LK771" s="60"/>
      <c r="LL771" s="16"/>
      <c r="LM771" s="16"/>
      <c r="LN771" s="16"/>
      <c r="LO771" s="16"/>
      <c r="LP771" s="16"/>
      <c r="LQ771" s="17"/>
    </row>
    <row r="772">
      <c r="C772" s="31"/>
      <c r="D772" s="61"/>
      <c r="E772" s="16"/>
      <c r="F772" s="16"/>
      <c r="G772" s="21"/>
      <c r="H772" s="16"/>
      <c r="I772" s="16"/>
      <c r="J772" s="17"/>
      <c r="N772" s="17"/>
      <c r="O772" s="61"/>
      <c r="P772" s="16"/>
      <c r="Q772" s="16"/>
      <c r="R772" s="16"/>
      <c r="S772" s="16"/>
      <c r="T772" s="16"/>
      <c r="U772" s="17"/>
      <c r="Y772" s="24"/>
      <c r="Z772" s="61"/>
      <c r="AA772" s="16"/>
      <c r="AB772" s="16"/>
      <c r="AC772" s="16"/>
      <c r="AD772" s="16"/>
      <c r="AE772" s="16"/>
      <c r="AF772" s="17"/>
      <c r="AJ772" s="24"/>
      <c r="AK772" s="61"/>
      <c r="AL772" s="16"/>
      <c r="AM772" s="16"/>
      <c r="AN772" s="16"/>
      <c r="AO772" s="16"/>
      <c r="AP772" s="16"/>
      <c r="AQ772" s="17"/>
      <c r="AU772" s="24"/>
      <c r="AV772" s="61"/>
      <c r="AW772" s="16"/>
      <c r="AX772" s="16"/>
      <c r="AY772" s="16"/>
      <c r="AZ772" s="16"/>
      <c r="BA772" s="16"/>
      <c r="BB772" s="17"/>
      <c r="BF772" s="24"/>
      <c r="BG772" s="61"/>
      <c r="BH772" s="16"/>
      <c r="BI772" s="16"/>
      <c r="BJ772" s="16"/>
      <c r="BK772" s="16"/>
      <c r="BL772" s="16"/>
      <c r="BM772" s="17"/>
      <c r="BQ772" s="24"/>
      <c r="BR772" s="61"/>
      <c r="BS772" s="16"/>
      <c r="BT772" s="16"/>
      <c r="BU772" s="16"/>
      <c r="BV772" s="16"/>
      <c r="BW772" s="16"/>
      <c r="BX772" s="17"/>
      <c r="CB772" s="24"/>
      <c r="CC772" s="61"/>
      <c r="CD772" s="16"/>
      <c r="CE772" s="16"/>
      <c r="CF772" s="16"/>
      <c r="CG772" s="16"/>
      <c r="CH772" s="16"/>
      <c r="CI772" s="17"/>
      <c r="CM772" s="24"/>
      <c r="CN772" s="61"/>
      <c r="CO772" s="16"/>
      <c r="CP772" s="16"/>
      <c r="CQ772" s="16"/>
      <c r="CR772" s="16"/>
      <c r="CS772" s="16"/>
      <c r="CT772" s="17"/>
      <c r="CX772" s="24"/>
      <c r="CY772" s="60"/>
      <c r="CZ772" s="16"/>
      <c r="DA772" s="16"/>
      <c r="DB772" s="16"/>
      <c r="DC772" s="16"/>
      <c r="DD772" s="16"/>
      <c r="DE772" s="17"/>
      <c r="DI772" s="24"/>
      <c r="DJ772" s="60"/>
      <c r="DK772" s="16"/>
      <c r="DL772" s="16"/>
      <c r="DM772" s="16"/>
      <c r="DN772" s="16"/>
      <c r="DO772" s="16"/>
      <c r="DP772" s="17"/>
      <c r="DT772" s="24"/>
      <c r="DU772" s="60"/>
      <c r="DV772" s="16"/>
      <c r="DW772" s="16"/>
      <c r="DX772" s="16"/>
      <c r="DY772" s="16"/>
      <c r="DZ772" s="16"/>
      <c r="EA772" s="17"/>
      <c r="EE772" s="24"/>
      <c r="EF772" s="60"/>
      <c r="EG772" s="16"/>
      <c r="EH772" s="16"/>
      <c r="EI772" s="16"/>
      <c r="EJ772" s="16"/>
      <c r="EK772" s="16"/>
      <c r="EL772" s="17"/>
      <c r="EP772" s="24"/>
      <c r="EQ772" s="60"/>
      <c r="ER772" s="16"/>
      <c r="ES772" s="16"/>
      <c r="ET772" s="16"/>
      <c r="EU772" s="16"/>
      <c r="EV772" s="16"/>
      <c r="EW772" s="17"/>
      <c r="FA772" s="24"/>
      <c r="FB772" s="60"/>
      <c r="FC772" s="16"/>
      <c r="FD772" s="16"/>
      <c r="FE772" s="16"/>
      <c r="FF772" s="16"/>
      <c r="FG772" s="16"/>
      <c r="FH772" s="17"/>
      <c r="FL772" s="24"/>
      <c r="FM772" s="60"/>
      <c r="FN772" s="16"/>
      <c r="FO772" s="16"/>
      <c r="FP772" s="16"/>
      <c r="FQ772" s="16"/>
      <c r="FR772" s="16"/>
      <c r="FS772" s="17"/>
      <c r="FW772" s="24"/>
      <c r="FX772" s="60"/>
      <c r="FY772" s="16"/>
      <c r="FZ772" s="16"/>
      <c r="GA772" s="16"/>
      <c r="GB772" s="16"/>
      <c r="GC772" s="16"/>
      <c r="GD772" s="17"/>
      <c r="GH772" s="24"/>
      <c r="GI772" s="60"/>
      <c r="GJ772" s="16"/>
      <c r="GK772" s="16"/>
      <c r="GL772" s="16"/>
      <c r="GM772" s="16"/>
      <c r="GN772" s="16"/>
      <c r="GO772" s="17"/>
      <c r="GS772" s="24"/>
      <c r="GT772" s="60"/>
      <c r="GU772" s="16"/>
      <c r="GV772" s="16"/>
      <c r="GW772" s="16"/>
      <c r="GX772" s="16"/>
      <c r="GY772" s="16"/>
      <c r="GZ772" s="17"/>
      <c r="HD772" s="24"/>
      <c r="HE772" s="60"/>
      <c r="HF772" s="16"/>
      <c r="HG772" s="16"/>
      <c r="HH772" s="16"/>
      <c r="HI772" s="16"/>
      <c r="HJ772" s="16"/>
      <c r="HK772" s="17"/>
      <c r="HO772" s="24"/>
      <c r="HP772" s="60"/>
      <c r="HQ772" s="16"/>
      <c r="HR772" s="16"/>
      <c r="HS772" s="16"/>
      <c r="HT772" s="16"/>
      <c r="HU772" s="16"/>
      <c r="HV772" s="17"/>
      <c r="HZ772" s="24"/>
      <c r="IA772" s="60"/>
      <c r="IB772" s="16"/>
      <c r="IC772" s="16"/>
      <c r="ID772" s="16"/>
      <c r="IE772" s="16"/>
      <c r="IF772" s="16"/>
      <c r="IG772" s="17"/>
      <c r="IK772" s="24"/>
      <c r="IL772" s="60"/>
      <c r="IM772" s="16"/>
      <c r="IN772" s="16"/>
      <c r="IO772" s="16"/>
      <c r="IP772" s="16"/>
      <c r="IQ772" s="16"/>
      <c r="IR772" s="17"/>
      <c r="IV772" s="24"/>
      <c r="IW772" s="60"/>
      <c r="IX772" s="16"/>
      <c r="IY772" s="16"/>
      <c r="IZ772" s="16"/>
      <c r="JA772" s="16"/>
      <c r="JB772" s="16"/>
      <c r="JC772" s="17"/>
      <c r="JG772" s="24"/>
      <c r="JH772" s="60"/>
      <c r="JI772" s="16"/>
      <c r="JJ772" s="16"/>
      <c r="JK772" s="16"/>
      <c r="JL772" s="16"/>
      <c r="JM772" s="16"/>
      <c r="JN772" s="17"/>
      <c r="JR772" s="24"/>
      <c r="JS772" s="60"/>
      <c r="JT772" s="16"/>
      <c r="JU772" s="16"/>
      <c r="JV772" s="16"/>
      <c r="JW772" s="16"/>
      <c r="JX772" s="16"/>
      <c r="JY772" s="17"/>
      <c r="KC772" s="24"/>
      <c r="KD772" s="60"/>
      <c r="KE772" s="16"/>
      <c r="KF772" s="16"/>
      <c r="KG772" s="16"/>
      <c r="KH772" s="16"/>
      <c r="KI772" s="16"/>
      <c r="KJ772" s="17"/>
      <c r="KN772" s="24"/>
      <c r="KO772" s="60"/>
      <c r="KP772" s="16"/>
      <c r="KQ772" s="16"/>
      <c r="KR772" s="16"/>
      <c r="KS772" s="16"/>
      <c r="KT772" s="16"/>
      <c r="KU772" s="17"/>
      <c r="KY772" s="24"/>
      <c r="KZ772" s="60"/>
      <c r="LA772" s="16"/>
      <c r="LB772" s="16"/>
      <c r="LC772" s="16"/>
      <c r="LD772" s="16"/>
      <c r="LE772" s="16"/>
      <c r="LF772" s="17"/>
      <c r="LJ772" s="24"/>
      <c r="LK772" s="60"/>
      <c r="LL772" s="16"/>
      <c r="LM772" s="16"/>
      <c r="LN772" s="16"/>
      <c r="LO772" s="16"/>
      <c r="LP772" s="16"/>
      <c r="LQ772" s="17"/>
    </row>
    <row r="773">
      <c r="C773" s="31"/>
      <c r="D773" s="61"/>
      <c r="E773" s="16"/>
      <c r="F773" s="16"/>
      <c r="G773" s="21"/>
      <c r="H773" s="16"/>
      <c r="I773" s="16"/>
      <c r="J773" s="17"/>
      <c r="N773" s="17"/>
      <c r="O773" s="61"/>
      <c r="P773" s="16"/>
      <c r="Q773" s="16"/>
      <c r="R773" s="16"/>
      <c r="S773" s="16"/>
      <c r="T773" s="16"/>
      <c r="U773" s="17"/>
      <c r="Y773" s="24"/>
      <c r="Z773" s="61"/>
      <c r="AA773" s="16"/>
      <c r="AB773" s="16"/>
      <c r="AC773" s="16"/>
      <c r="AD773" s="16"/>
      <c r="AE773" s="16"/>
      <c r="AF773" s="17"/>
      <c r="AJ773" s="24"/>
      <c r="AK773" s="61"/>
      <c r="AL773" s="16"/>
      <c r="AM773" s="16"/>
      <c r="AN773" s="16"/>
      <c r="AO773" s="16"/>
      <c r="AP773" s="16"/>
      <c r="AQ773" s="17"/>
      <c r="AU773" s="24"/>
      <c r="AV773" s="61"/>
      <c r="AW773" s="16"/>
      <c r="AX773" s="16"/>
      <c r="AY773" s="16"/>
      <c r="AZ773" s="16"/>
      <c r="BA773" s="16"/>
      <c r="BB773" s="17"/>
      <c r="BF773" s="24"/>
      <c r="BG773" s="61"/>
      <c r="BH773" s="16"/>
      <c r="BI773" s="16"/>
      <c r="BJ773" s="16"/>
      <c r="BK773" s="16"/>
      <c r="BL773" s="16"/>
      <c r="BM773" s="17"/>
      <c r="BQ773" s="24"/>
      <c r="BR773" s="61"/>
      <c r="BS773" s="16"/>
      <c r="BT773" s="16"/>
      <c r="BU773" s="16"/>
      <c r="BV773" s="16"/>
      <c r="BW773" s="16"/>
      <c r="BX773" s="17"/>
      <c r="CB773" s="24"/>
      <c r="CC773" s="61"/>
      <c r="CD773" s="16"/>
      <c r="CE773" s="16"/>
      <c r="CF773" s="16"/>
      <c r="CG773" s="16"/>
      <c r="CH773" s="16"/>
      <c r="CI773" s="17"/>
      <c r="CM773" s="24"/>
      <c r="CN773" s="61"/>
      <c r="CO773" s="16"/>
      <c r="CP773" s="16"/>
      <c r="CQ773" s="16"/>
      <c r="CR773" s="16"/>
      <c r="CS773" s="16"/>
      <c r="CT773" s="17"/>
      <c r="CX773" s="24"/>
      <c r="CY773" s="60"/>
      <c r="CZ773" s="16"/>
      <c r="DA773" s="16"/>
      <c r="DB773" s="16"/>
      <c r="DC773" s="16"/>
      <c r="DD773" s="16"/>
      <c r="DE773" s="17"/>
      <c r="DI773" s="24"/>
      <c r="DJ773" s="60"/>
      <c r="DK773" s="16"/>
      <c r="DL773" s="16"/>
      <c r="DM773" s="16"/>
      <c r="DN773" s="16"/>
      <c r="DO773" s="16"/>
      <c r="DP773" s="17"/>
      <c r="DT773" s="24"/>
      <c r="DU773" s="60"/>
      <c r="DV773" s="16"/>
      <c r="DW773" s="16"/>
      <c r="DX773" s="16"/>
      <c r="DY773" s="16"/>
      <c r="DZ773" s="16"/>
      <c r="EA773" s="17"/>
      <c r="EE773" s="24"/>
      <c r="EF773" s="60"/>
      <c r="EG773" s="16"/>
      <c r="EH773" s="16"/>
      <c r="EI773" s="16"/>
      <c r="EJ773" s="16"/>
      <c r="EK773" s="16"/>
      <c r="EL773" s="17"/>
      <c r="EP773" s="24"/>
      <c r="EQ773" s="60"/>
      <c r="ER773" s="16"/>
      <c r="ES773" s="16"/>
      <c r="ET773" s="16"/>
      <c r="EU773" s="16"/>
      <c r="EV773" s="16"/>
      <c r="EW773" s="17"/>
      <c r="FA773" s="24"/>
      <c r="FB773" s="60"/>
      <c r="FC773" s="16"/>
      <c r="FD773" s="16"/>
      <c r="FE773" s="16"/>
      <c r="FF773" s="16"/>
      <c r="FG773" s="16"/>
      <c r="FH773" s="17"/>
      <c r="FL773" s="24"/>
      <c r="FM773" s="60"/>
      <c r="FN773" s="16"/>
      <c r="FO773" s="16"/>
      <c r="FP773" s="16"/>
      <c r="FQ773" s="16"/>
      <c r="FR773" s="16"/>
      <c r="FS773" s="17"/>
      <c r="FW773" s="24"/>
      <c r="FX773" s="60"/>
      <c r="FY773" s="16"/>
      <c r="FZ773" s="16"/>
      <c r="GA773" s="16"/>
      <c r="GB773" s="16"/>
      <c r="GC773" s="16"/>
      <c r="GD773" s="17"/>
      <c r="GH773" s="24"/>
      <c r="GI773" s="60"/>
      <c r="GJ773" s="16"/>
      <c r="GK773" s="16"/>
      <c r="GL773" s="16"/>
      <c r="GM773" s="16"/>
      <c r="GN773" s="16"/>
      <c r="GO773" s="17"/>
      <c r="GS773" s="24"/>
      <c r="GT773" s="60"/>
      <c r="GU773" s="16"/>
      <c r="GV773" s="16"/>
      <c r="GW773" s="16"/>
      <c r="GX773" s="16"/>
      <c r="GY773" s="16"/>
      <c r="GZ773" s="17"/>
      <c r="HD773" s="24"/>
      <c r="HE773" s="60"/>
      <c r="HF773" s="16"/>
      <c r="HG773" s="16"/>
      <c r="HH773" s="16"/>
      <c r="HI773" s="16"/>
      <c r="HJ773" s="16"/>
      <c r="HK773" s="17"/>
      <c r="HO773" s="24"/>
      <c r="HP773" s="60"/>
      <c r="HQ773" s="16"/>
      <c r="HR773" s="16"/>
      <c r="HS773" s="16"/>
      <c r="HT773" s="16"/>
      <c r="HU773" s="16"/>
      <c r="HV773" s="17"/>
      <c r="HZ773" s="24"/>
      <c r="IA773" s="60"/>
      <c r="IB773" s="16"/>
      <c r="IC773" s="16"/>
      <c r="ID773" s="16"/>
      <c r="IE773" s="16"/>
      <c r="IF773" s="16"/>
      <c r="IG773" s="17"/>
      <c r="IK773" s="24"/>
      <c r="IL773" s="60"/>
      <c r="IM773" s="16"/>
      <c r="IN773" s="16"/>
      <c r="IO773" s="16"/>
      <c r="IP773" s="16"/>
      <c r="IQ773" s="16"/>
      <c r="IR773" s="17"/>
      <c r="IV773" s="24"/>
      <c r="IW773" s="60"/>
      <c r="IX773" s="16"/>
      <c r="IY773" s="16"/>
      <c r="IZ773" s="16"/>
      <c r="JA773" s="16"/>
      <c r="JB773" s="16"/>
      <c r="JC773" s="17"/>
      <c r="JG773" s="24"/>
      <c r="JH773" s="60"/>
      <c r="JI773" s="16"/>
      <c r="JJ773" s="16"/>
      <c r="JK773" s="16"/>
      <c r="JL773" s="16"/>
      <c r="JM773" s="16"/>
      <c r="JN773" s="17"/>
      <c r="JR773" s="24"/>
      <c r="JS773" s="60"/>
      <c r="JT773" s="16"/>
      <c r="JU773" s="16"/>
      <c r="JV773" s="16"/>
      <c r="JW773" s="16"/>
      <c r="JX773" s="16"/>
      <c r="JY773" s="17"/>
      <c r="KC773" s="24"/>
      <c r="KD773" s="60"/>
      <c r="KE773" s="16"/>
      <c r="KF773" s="16"/>
      <c r="KG773" s="16"/>
      <c r="KH773" s="16"/>
      <c r="KI773" s="16"/>
      <c r="KJ773" s="17"/>
      <c r="KN773" s="24"/>
      <c r="KO773" s="60"/>
      <c r="KP773" s="16"/>
      <c r="KQ773" s="16"/>
      <c r="KR773" s="16"/>
      <c r="KS773" s="16"/>
      <c r="KT773" s="16"/>
      <c r="KU773" s="17"/>
      <c r="KY773" s="24"/>
      <c r="KZ773" s="60"/>
      <c r="LA773" s="16"/>
      <c r="LB773" s="16"/>
      <c r="LC773" s="16"/>
      <c r="LD773" s="16"/>
      <c r="LE773" s="16"/>
      <c r="LF773" s="17"/>
      <c r="LJ773" s="24"/>
      <c r="LK773" s="60"/>
      <c r="LL773" s="16"/>
      <c r="LM773" s="16"/>
      <c r="LN773" s="16"/>
      <c r="LO773" s="16"/>
      <c r="LP773" s="16"/>
      <c r="LQ773" s="17"/>
    </row>
    <row r="774">
      <c r="C774" s="31"/>
      <c r="D774" s="61"/>
      <c r="E774" s="16"/>
      <c r="F774" s="16"/>
      <c r="G774" s="21"/>
      <c r="H774" s="16"/>
      <c r="I774" s="16"/>
      <c r="J774" s="17"/>
      <c r="N774" s="17"/>
      <c r="O774" s="61"/>
      <c r="P774" s="16"/>
      <c r="Q774" s="16"/>
      <c r="R774" s="16"/>
      <c r="S774" s="16"/>
      <c r="T774" s="16"/>
      <c r="U774" s="17"/>
      <c r="Y774" s="24"/>
      <c r="Z774" s="61"/>
      <c r="AA774" s="16"/>
      <c r="AB774" s="16"/>
      <c r="AC774" s="16"/>
      <c r="AD774" s="16"/>
      <c r="AE774" s="16"/>
      <c r="AF774" s="17"/>
      <c r="AJ774" s="24"/>
      <c r="AK774" s="61"/>
      <c r="AL774" s="16"/>
      <c r="AM774" s="16"/>
      <c r="AN774" s="16"/>
      <c r="AO774" s="16"/>
      <c r="AP774" s="16"/>
      <c r="AQ774" s="17"/>
      <c r="AU774" s="24"/>
      <c r="AV774" s="61"/>
      <c r="AW774" s="16"/>
      <c r="AX774" s="16"/>
      <c r="AY774" s="16"/>
      <c r="AZ774" s="16"/>
      <c r="BA774" s="16"/>
      <c r="BB774" s="17"/>
      <c r="BF774" s="24"/>
      <c r="BG774" s="61"/>
      <c r="BH774" s="16"/>
      <c r="BI774" s="16"/>
      <c r="BJ774" s="16"/>
      <c r="BK774" s="16"/>
      <c r="BL774" s="16"/>
      <c r="BM774" s="17"/>
      <c r="BQ774" s="24"/>
      <c r="BR774" s="61"/>
      <c r="BS774" s="16"/>
      <c r="BT774" s="16"/>
      <c r="BU774" s="16"/>
      <c r="BV774" s="16"/>
      <c r="BW774" s="16"/>
      <c r="BX774" s="17"/>
      <c r="CB774" s="24"/>
      <c r="CC774" s="61"/>
      <c r="CD774" s="16"/>
      <c r="CE774" s="16"/>
      <c r="CF774" s="16"/>
      <c r="CG774" s="16"/>
      <c r="CH774" s="16"/>
      <c r="CI774" s="17"/>
      <c r="CM774" s="24"/>
      <c r="CN774" s="61"/>
      <c r="CO774" s="16"/>
      <c r="CP774" s="16"/>
      <c r="CQ774" s="16"/>
      <c r="CR774" s="16"/>
      <c r="CS774" s="16"/>
      <c r="CT774" s="17"/>
      <c r="CX774" s="24"/>
      <c r="CY774" s="60"/>
      <c r="CZ774" s="16"/>
      <c r="DA774" s="16"/>
      <c r="DB774" s="16"/>
      <c r="DC774" s="16"/>
      <c r="DD774" s="16"/>
      <c r="DE774" s="17"/>
      <c r="DI774" s="24"/>
      <c r="DJ774" s="60"/>
      <c r="DK774" s="16"/>
      <c r="DL774" s="16"/>
      <c r="DM774" s="16"/>
      <c r="DN774" s="16"/>
      <c r="DO774" s="16"/>
      <c r="DP774" s="17"/>
      <c r="DT774" s="24"/>
      <c r="DU774" s="60"/>
      <c r="DV774" s="16"/>
      <c r="DW774" s="16"/>
      <c r="DX774" s="16"/>
      <c r="DY774" s="16"/>
      <c r="DZ774" s="16"/>
      <c r="EA774" s="17"/>
      <c r="EE774" s="24"/>
      <c r="EF774" s="60"/>
      <c r="EG774" s="16"/>
      <c r="EH774" s="16"/>
      <c r="EI774" s="16"/>
      <c r="EJ774" s="16"/>
      <c r="EK774" s="16"/>
      <c r="EL774" s="17"/>
      <c r="EP774" s="24"/>
      <c r="EQ774" s="60"/>
      <c r="ER774" s="16"/>
      <c r="ES774" s="16"/>
      <c r="ET774" s="16"/>
      <c r="EU774" s="16"/>
      <c r="EV774" s="16"/>
      <c r="EW774" s="17"/>
      <c r="FA774" s="24"/>
      <c r="FB774" s="60"/>
      <c r="FC774" s="16"/>
      <c r="FD774" s="16"/>
      <c r="FE774" s="16"/>
      <c r="FF774" s="16"/>
      <c r="FG774" s="16"/>
      <c r="FH774" s="17"/>
      <c r="FL774" s="24"/>
      <c r="FM774" s="60"/>
      <c r="FN774" s="16"/>
      <c r="FO774" s="16"/>
      <c r="FP774" s="16"/>
      <c r="FQ774" s="16"/>
      <c r="FR774" s="16"/>
      <c r="FS774" s="17"/>
      <c r="FW774" s="24"/>
      <c r="FX774" s="60"/>
      <c r="FY774" s="16"/>
      <c r="FZ774" s="16"/>
      <c r="GA774" s="16"/>
      <c r="GB774" s="16"/>
      <c r="GC774" s="16"/>
      <c r="GD774" s="17"/>
      <c r="GH774" s="24"/>
      <c r="GI774" s="60"/>
      <c r="GJ774" s="16"/>
      <c r="GK774" s="16"/>
      <c r="GL774" s="16"/>
      <c r="GM774" s="16"/>
      <c r="GN774" s="16"/>
      <c r="GO774" s="17"/>
      <c r="GS774" s="24"/>
      <c r="GT774" s="60"/>
      <c r="GU774" s="16"/>
      <c r="GV774" s="16"/>
      <c r="GW774" s="16"/>
      <c r="GX774" s="16"/>
      <c r="GY774" s="16"/>
      <c r="GZ774" s="17"/>
      <c r="HD774" s="24"/>
      <c r="HE774" s="60"/>
      <c r="HF774" s="16"/>
      <c r="HG774" s="16"/>
      <c r="HH774" s="16"/>
      <c r="HI774" s="16"/>
      <c r="HJ774" s="16"/>
      <c r="HK774" s="17"/>
      <c r="HO774" s="24"/>
      <c r="HP774" s="60"/>
      <c r="HQ774" s="16"/>
      <c r="HR774" s="16"/>
      <c r="HS774" s="16"/>
      <c r="HT774" s="16"/>
      <c r="HU774" s="16"/>
      <c r="HV774" s="17"/>
      <c r="HZ774" s="24"/>
      <c r="IA774" s="60"/>
      <c r="IB774" s="16"/>
      <c r="IC774" s="16"/>
      <c r="ID774" s="16"/>
      <c r="IE774" s="16"/>
      <c r="IF774" s="16"/>
      <c r="IG774" s="17"/>
      <c r="IK774" s="24"/>
      <c r="IL774" s="60"/>
      <c r="IM774" s="16"/>
      <c r="IN774" s="16"/>
      <c r="IO774" s="16"/>
      <c r="IP774" s="16"/>
      <c r="IQ774" s="16"/>
      <c r="IR774" s="17"/>
      <c r="IV774" s="24"/>
      <c r="IW774" s="60"/>
      <c r="IX774" s="16"/>
      <c r="IY774" s="16"/>
      <c r="IZ774" s="16"/>
      <c r="JA774" s="16"/>
      <c r="JB774" s="16"/>
      <c r="JC774" s="17"/>
      <c r="JG774" s="24"/>
      <c r="JH774" s="60"/>
      <c r="JI774" s="16"/>
      <c r="JJ774" s="16"/>
      <c r="JK774" s="16"/>
      <c r="JL774" s="16"/>
      <c r="JM774" s="16"/>
      <c r="JN774" s="17"/>
      <c r="JR774" s="24"/>
      <c r="JS774" s="60"/>
      <c r="JT774" s="16"/>
      <c r="JU774" s="16"/>
      <c r="JV774" s="16"/>
      <c r="JW774" s="16"/>
      <c r="JX774" s="16"/>
      <c r="JY774" s="17"/>
      <c r="KC774" s="24"/>
      <c r="KD774" s="60"/>
      <c r="KE774" s="16"/>
      <c r="KF774" s="16"/>
      <c r="KG774" s="16"/>
      <c r="KH774" s="16"/>
      <c r="KI774" s="16"/>
      <c r="KJ774" s="17"/>
      <c r="KN774" s="24"/>
      <c r="KO774" s="60"/>
      <c r="KP774" s="16"/>
      <c r="KQ774" s="16"/>
      <c r="KR774" s="16"/>
      <c r="KS774" s="16"/>
      <c r="KT774" s="16"/>
      <c r="KU774" s="17"/>
      <c r="KY774" s="24"/>
      <c r="KZ774" s="60"/>
      <c r="LA774" s="16"/>
      <c r="LB774" s="16"/>
      <c r="LC774" s="16"/>
      <c r="LD774" s="16"/>
      <c r="LE774" s="16"/>
      <c r="LF774" s="17"/>
      <c r="LJ774" s="24"/>
      <c r="LK774" s="60"/>
      <c r="LL774" s="16"/>
      <c r="LM774" s="16"/>
      <c r="LN774" s="16"/>
      <c r="LO774" s="16"/>
      <c r="LP774" s="16"/>
      <c r="LQ774" s="17"/>
    </row>
    <row r="775">
      <c r="C775" s="31"/>
      <c r="D775" s="61"/>
      <c r="E775" s="16"/>
      <c r="F775" s="16"/>
      <c r="G775" s="21"/>
      <c r="H775" s="16"/>
      <c r="I775" s="16"/>
      <c r="J775" s="17"/>
      <c r="N775" s="17"/>
      <c r="O775" s="61"/>
      <c r="P775" s="16"/>
      <c r="Q775" s="16"/>
      <c r="R775" s="16"/>
      <c r="S775" s="16"/>
      <c r="T775" s="16"/>
      <c r="U775" s="17"/>
      <c r="Y775" s="24"/>
      <c r="Z775" s="61"/>
      <c r="AA775" s="16"/>
      <c r="AB775" s="16"/>
      <c r="AC775" s="16"/>
      <c r="AD775" s="16"/>
      <c r="AE775" s="16"/>
      <c r="AF775" s="17"/>
      <c r="AJ775" s="24"/>
      <c r="AK775" s="61"/>
      <c r="AL775" s="16"/>
      <c r="AM775" s="16"/>
      <c r="AN775" s="16"/>
      <c r="AO775" s="16"/>
      <c r="AP775" s="16"/>
      <c r="AQ775" s="17"/>
      <c r="AU775" s="24"/>
      <c r="AV775" s="61"/>
      <c r="AW775" s="16"/>
      <c r="AX775" s="16"/>
      <c r="AY775" s="16"/>
      <c r="AZ775" s="16"/>
      <c r="BA775" s="16"/>
      <c r="BB775" s="17"/>
      <c r="BF775" s="24"/>
      <c r="BG775" s="61"/>
      <c r="BH775" s="16"/>
      <c r="BI775" s="16"/>
      <c r="BJ775" s="16"/>
      <c r="BK775" s="16"/>
      <c r="BL775" s="16"/>
      <c r="BM775" s="17"/>
      <c r="BQ775" s="24"/>
      <c r="BR775" s="61"/>
      <c r="BS775" s="16"/>
      <c r="BT775" s="16"/>
      <c r="BU775" s="16"/>
      <c r="BV775" s="16"/>
      <c r="BW775" s="16"/>
      <c r="BX775" s="17"/>
      <c r="CB775" s="24"/>
      <c r="CC775" s="61"/>
      <c r="CD775" s="16"/>
      <c r="CE775" s="16"/>
      <c r="CF775" s="16"/>
      <c r="CG775" s="16"/>
      <c r="CH775" s="16"/>
      <c r="CI775" s="17"/>
      <c r="CM775" s="24"/>
      <c r="CN775" s="61"/>
      <c r="CO775" s="16"/>
      <c r="CP775" s="16"/>
      <c r="CQ775" s="16"/>
      <c r="CR775" s="16"/>
      <c r="CS775" s="16"/>
      <c r="CT775" s="17"/>
      <c r="CX775" s="24"/>
      <c r="CY775" s="60"/>
      <c r="CZ775" s="16"/>
      <c r="DA775" s="16"/>
      <c r="DB775" s="16"/>
      <c r="DC775" s="16"/>
      <c r="DD775" s="16"/>
      <c r="DE775" s="17"/>
      <c r="DI775" s="24"/>
      <c r="DJ775" s="60"/>
      <c r="DK775" s="16"/>
      <c r="DL775" s="16"/>
      <c r="DM775" s="16"/>
      <c r="DN775" s="16"/>
      <c r="DO775" s="16"/>
      <c r="DP775" s="17"/>
      <c r="DT775" s="24"/>
      <c r="DU775" s="60"/>
      <c r="DV775" s="16"/>
      <c r="DW775" s="16"/>
      <c r="DX775" s="16"/>
      <c r="DY775" s="16"/>
      <c r="DZ775" s="16"/>
      <c r="EA775" s="17"/>
      <c r="EE775" s="24"/>
      <c r="EF775" s="60"/>
      <c r="EG775" s="16"/>
      <c r="EH775" s="16"/>
      <c r="EI775" s="16"/>
      <c r="EJ775" s="16"/>
      <c r="EK775" s="16"/>
      <c r="EL775" s="17"/>
      <c r="EP775" s="24"/>
      <c r="EQ775" s="60"/>
      <c r="ER775" s="16"/>
      <c r="ES775" s="16"/>
      <c r="ET775" s="16"/>
      <c r="EU775" s="16"/>
      <c r="EV775" s="16"/>
      <c r="EW775" s="17"/>
      <c r="FA775" s="24"/>
      <c r="FB775" s="60"/>
      <c r="FC775" s="16"/>
      <c r="FD775" s="16"/>
      <c r="FE775" s="16"/>
      <c r="FF775" s="16"/>
      <c r="FG775" s="16"/>
      <c r="FH775" s="17"/>
      <c r="FL775" s="24"/>
      <c r="FM775" s="60"/>
      <c r="FN775" s="16"/>
      <c r="FO775" s="16"/>
      <c r="FP775" s="16"/>
      <c r="FQ775" s="16"/>
      <c r="FR775" s="16"/>
      <c r="FS775" s="17"/>
      <c r="FW775" s="24"/>
      <c r="FX775" s="60"/>
      <c r="FY775" s="16"/>
      <c r="FZ775" s="16"/>
      <c r="GA775" s="16"/>
      <c r="GB775" s="16"/>
      <c r="GC775" s="16"/>
      <c r="GD775" s="17"/>
      <c r="GH775" s="24"/>
      <c r="GI775" s="60"/>
      <c r="GJ775" s="16"/>
      <c r="GK775" s="16"/>
      <c r="GL775" s="16"/>
      <c r="GM775" s="16"/>
      <c r="GN775" s="16"/>
      <c r="GO775" s="17"/>
      <c r="GS775" s="24"/>
      <c r="GT775" s="60"/>
      <c r="GU775" s="16"/>
      <c r="GV775" s="16"/>
      <c r="GW775" s="16"/>
      <c r="GX775" s="16"/>
      <c r="GY775" s="16"/>
      <c r="GZ775" s="17"/>
      <c r="HD775" s="24"/>
      <c r="HE775" s="60"/>
      <c r="HF775" s="16"/>
      <c r="HG775" s="16"/>
      <c r="HH775" s="16"/>
      <c r="HI775" s="16"/>
      <c r="HJ775" s="16"/>
      <c r="HK775" s="17"/>
      <c r="HO775" s="24"/>
      <c r="HP775" s="60"/>
      <c r="HQ775" s="16"/>
      <c r="HR775" s="16"/>
      <c r="HS775" s="16"/>
      <c r="HT775" s="16"/>
      <c r="HU775" s="16"/>
      <c r="HV775" s="17"/>
      <c r="HZ775" s="24"/>
      <c r="IA775" s="60"/>
      <c r="IB775" s="16"/>
      <c r="IC775" s="16"/>
      <c r="ID775" s="16"/>
      <c r="IE775" s="16"/>
      <c r="IF775" s="16"/>
      <c r="IG775" s="17"/>
      <c r="IK775" s="24"/>
      <c r="IL775" s="60"/>
      <c r="IM775" s="16"/>
      <c r="IN775" s="16"/>
      <c r="IO775" s="16"/>
      <c r="IP775" s="16"/>
      <c r="IQ775" s="16"/>
      <c r="IR775" s="17"/>
      <c r="IV775" s="24"/>
      <c r="IW775" s="60"/>
      <c r="IX775" s="16"/>
      <c r="IY775" s="16"/>
      <c r="IZ775" s="16"/>
      <c r="JA775" s="16"/>
      <c r="JB775" s="16"/>
      <c r="JC775" s="17"/>
      <c r="JG775" s="24"/>
      <c r="JH775" s="60"/>
      <c r="JI775" s="16"/>
      <c r="JJ775" s="16"/>
      <c r="JK775" s="16"/>
      <c r="JL775" s="16"/>
      <c r="JM775" s="16"/>
      <c r="JN775" s="17"/>
      <c r="JR775" s="24"/>
      <c r="JS775" s="60"/>
      <c r="JT775" s="16"/>
      <c r="JU775" s="16"/>
      <c r="JV775" s="16"/>
      <c r="JW775" s="16"/>
      <c r="JX775" s="16"/>
      <c r="JY775" s="17"/>
      <c r="KC775" s="24"/>
      <c r="KD775" s="60"/>
      <c r="KE775" s="16"/>
      <c r="KF775" s="16"/>
      <c r="KG775" s="16"/>
      <c r="KH775" s="16"/>
      <c r="KI775" s="16"/>
      <c r="KJ775" s="17"/>
      <c r="KN775" s="24"/>
      <c r="KO775" s="60"/>
      <c r="KP775" s="16"/>
      <c r="KQ775" s="16"/>
      <c r="KR775" s="16"/>
      <c r="KS775" s="16"/>
      <c r="KT775" s="16"/>
      <c r="KU775" s="17"/>
      <c r="KY775" s="24"/>
      <c r="KZ775" s="60"/>
      <c r="LA775" s="16"/>
      <c r="LB775" s="16"/>
      <c r="LC775" s="16"/>
      <c r="LD775" s="16"/>
      <c r="LE775" s="16"/>
      <c r="LF775" s="17"/>
      <c r="LJ775" s="24"/>
      <c r="LK775" s="60"/>
      <c r="LL775" s="16"/>
      <c r="LM775" s="16"/>
      <c r="LN775" s="16"/>
      <c r="LO775" s="16"/>
      <c r="LP775" s="16"/>
      <c r="LQ775" s="17"/>
    </row>
    <row r="776">
      <c r="C776" s="31"/>
      <c r="D776" s="61"/>
      <c r="E776" s="16"/>
      <c r="F776" s="16"/>
      <c r="G776" s="21"/>
      <c r="H776" s="16"/>
      <c r="I776" s="16"/>
      <c r="J776" s="17"/>
      <c r="N776" s="17"/>
      <c r="O776" s="61"/>
      <c r="P776" s="16"/>
      <c r="Q776" s="16"/>
      <c r="R776" s="16"/>
      <c r="S776" s="16"/>
      <c r="T776" s="16"/>
      <c r="U776" s="17"/>
      <c r="Y776" s="24"/>
      <c r="Z776" s="61"/>
      <c r="AA776" s="16"/>
      <c r="AB776" s="16"/>
      <c r="AC776" s="16"/>
      <c r="AD776" s="16"/>
      <c r="AE776" s="16"/>
      <c r="AF776" s="17"/>
      <c r="AJ776" s="24"/>
      <c r="AK776" s="61"/>
      <c r="AL776" s="16"/>
      <c r="AM776" s="16"/>
      <c r="AN776" s="16"/>
      <c r="AO776" s="16"/>
      <c r="AP776" s="16"/>
      <c r="AQ776" s="17"/>
      <c r="AU776" s="24"/>
      <c r="AV776" s="61"/>
      <c r="AW776" s="16"/>
      <c r="AX776" s="16"/>
      <c r="AY776" s="16"/>
      <c r="AZ776" s="16"/>
      <c r="BA776" s="16"/>
      <c r="BB776" s="17"/>
      <c r="BF776" s="24"/>
      <c r="BG776" s="61"/>
      <c r="BH776" s="16"/>
      <c r="BI776" s="16"/>
      <c r="BJ776" s="16"/>
      <c r="BK776" s="16"/>
      <c r="BL776" s="16"/>
      <c r="BM776" s="17"/>
      <c r="BQ776" s="24"/>
      <c r="BR776" s="61"/>
      <c r="BS776" s="16"/>
      <c r="BT776" s="16"/>
      <c r="BU776" s="16"/>
      <c r="BV776" s="16"/>
      <c r="BW776" s="16"/>
      <c r="BX776" s="17"/>
      <c r="CB776" s="24"/>
      <c r="CC776" s="61"/>
      <c r="CD776" s="16"/>
      <c r="CE776" s="16"/>
      <c r="CF776" s="16"/>
      <c r="CG776" s="16"/>
      <c r="CH776" s="16"/>
      <c r="CI776" s="17"/>
      <c r="CM776" s="24"/>
      <c r="CN776" s="61"/>
      <c r="CO776" s="16"/>
      <c r="CP776" s="16"/>
      <c r="CQ776" s="16"/>
      <c r="CR776" s="16"/>
      <c r="CS776" s="16"/>
      <c r="CT776" s="17"/>
      <c r="CX776" s="24"/>
      <c r="CY776" s="60"/>
      <c r="CZ776" s="16"/>
      <c r="DA776" s="16"/>
      <c r="DB776" s="16"/>
      <c r="DC776" s="16"/>
      <c r="DD776" s="16"/>
      <c r="DE776" s="17"/>
      <c r="DI776" s="24"/>
      <c r="DJ776" s="60"/>
      <c r="DK776" s="16"/>
      <c r="DL776" s="16"/>
      <c r="DM776" s="16"/>
      <c r="DN776" s="16"/>
      <c r="DO776" s="16"/>
      <c r="DP776" s="17"/>
      <c r="DT776" s="24"/>
      <c r="DU776" s="60"/>
      <c r="DV776" s="16"/>
      <c r="DW776" s="16"/>
      <c r="DX776" s="16"/>
      <c r="DY776" s="16"/>
      <c r="DZ776" s="16"/>
      <c r="EA776" s="17"/>
      <c r="EE776" s="24"/>
      <c r="EF776" s="60"/>
      <c r="EG776" s="16"/>
      <c r="EH776" s="16"/>
      <c r="EI776" s="16"/>
      <c r="EJ776" s="16"/>
      <c r="EK776" s="16"/>
      <c r="EL776" s="17"/>
      <c r="EP776" s="24"/>
      <c r="EQ776" s="60"/>
      <c r="ER776" s="16"/>
      <c r="ES776" s="16"/>
      <c r="ET776" s="16"/>
      <c r="EU776" s="16"/>
      <c r="EV776" s="16"/>
      <c r="EW776" s="17"/>
      <c r="FA776" s="24"/>
      <c r="FB776" s="60"/>
      <c r="FC776" s="16"/>
      <c r="FD776" s="16"/>
      <c r="FE776" s="16"/>
      <c r="FF776" s="16"/>
      <c r="FG776" s="16"/>
      <c r="FH776" s="17"/>
      <c r="FL776" s="24"/>
      <c r="FM776" s="60"/>
      <c r="FN776" s="16"/>
      <c r="FO776" s="16"/>
      <c r="FP776" s="16"/>
      <c r="FQ776" s="16"/>
      <c r="FR776" s="16"/>
      <c r="FS776" s="17"/>
      <c r="FW776" s="24"/>
      <c r="FX776" s="60"/>
      <c r="FY776" s="16"/>
      <c r="FZ776" s="16"/>
      <c r="GA776" s="16"/>
      <c r="GB776" s="16"/>
      <c r="GC776" s="16"/>
      <c r="GD776" s="17"/>
      <c r="GH776" s="24"/>
      <c r="GI776" s="60"/>
      <c r="GJ776" s="16"/>
      <c r="GK776" s="16"/>
      <c r="GL776" s="16"/>
      <c r="GM776" s="16"/>
      <c r="GN776" s="16"/>
      <c r="GO776" s="17"/>
      <c r="GS776" s="24"/>
      <c r="GT776" s="60"/>
      <c r="GU776" s="16"/>
      <c r="GV776" s="16"/>
      <c r="GW776" s="16"/>
      <c r="GX776" s="16"/>
      <c r="GY776" s="16"/>
      <c r="GZ776" s="17"/>
      <c r="HD776" s="24"/>
      <c r="HE776" s="60"/>
      <c r="HF776" s="16"/>
      <c r="HG776" s="16"/>
      <c r="HH776" s="16"/>
      <c r="HI776" s="16"/>
      <c r="HJ776" s="16"/>
      <c r="HK776" s="17"/>
      <c r="HO776" s="24"/>
      <c r="HP776" s="60"/>
      <c r="HQ776" s="16"/>
      <c r="HR776" s="16"/>
      <c r="HS776" s="16"/>
      <c r="HT776" s="16"/>
      <c r="HU776" s="16"/>
      <c r="HV776" s="17"/>
      <c r="HZ776" s="24"/>
      <c r="IA776" s="60"/>
      <c r="IB776" s="16"/>
      <c r="IC776" s="16"/>
      <c r="ID776" s="16"/>
      <c r="IE776" s="16"/>
      <c r="IF776" s="16"/>
      <c r="IG776" s="17"/>
      <c r="IK776" s="24"/>
      <c r="IL776" s="60"/>
      <c r="IM776" s="16"/>
      <c r="IN776" s="16"/>
      <c r="IO776" s="16"/>
      <c r="IP776" s="16"/>
      <c r="IQ776" s="16"/>
      <c r="IR776" s="17"/>
      <c r="IV776" s="24"/>
      <c r="IW776" s="60"/>
      <c r="IX776" s="16"/>
      <c r="IY776" s="16"/>
      <c r="IZ776" s="16"/>
      <c r="JA776" s="16"/>
      <c r="JB776" s="16"/>
      <c r="JC776" s="17"/>
      <c r="JG776" s="24"/>
      <c r="JH776" s="60"/>
      <c r="JI776" s="16"/>
      <c r="JJ776" s="16"/>
      <c r="JK776" s="16"/>
      <c r="JL776" s="16"/>
      <c r="JM776" s="16"/>
      <c r="JN776" s="17"/>
      <c r="JR776" s="24"/>
      <c r="JS776" s="60"/>
      <c r="JT776" s="16"/>
      <c r="JU776" s="16"/>
      <c r="JV776" s="16"/>
      <c r="JW776" s="16"/>
      <c r="JX776" s="16"/>
      <c r="JY776" s="17"/>
      <c r="KC776" s="24"/>
      <c r="KD776" s="60"/>
      <c r="KE776" s="16"/>
      <c r="KF776" s="16"/>
      <c r="KG776" s="16"/>
      <c r="KH776" s="16"/>
      <c r="KI776" s="16"/>
      <c r="KJ776" s="17"/>
      <c r="KN776" s="24"/>
      <c r="KO776" s="60"/>
      <c r="KP776" s="16"/>
      <c r="KQ776" s="16"/>
      <c r="KR776" s="16"/>
      <c r="KS776" s="16"/>
      <c r="KT776" s="16"/>
      <c r="KU776" s="17"/>
      <c r="KY776" s="24"/>
      <c r="KZ776" s="60"/>
      <c r="LA776" s="16"/>
      <c r="LB776" s="16"/>
      <c r="LC776" s="16"/>
      <c r="LD776" s="16"/>
      <c r="LE776" s="16"/>
      <c r="LF776" s="17"/>
      <c r="LJ776" s="24"/>
      <c r="LK776" s="60"/>
      <c r="LL776" s="16"/>
      <c r="LM776" s="16"/>
      <c r="LN776" s="16"/>
      <c r="LO776" s="16"/>
      <c r="LP776" s="16"/>
      <c r="LQ776" s="17"/>
    </row>
    <row r="777">
      <c r="C777" s="31"/>
      <c r="D777" s="61"/>
      <c r="E777" s="16"/>
      <c r="F777" s="16"/>
      <c r="G777" s="21"/>
      <c r="H777" s="16"/>
      <c r="I777" s="16"/>
      <c r="J777" s="17"/>
      <c r="N777" s="17"/>
      <c r="O777" s="61"/>
      <c r="P777" s="16"/>
      <c r="Q777" s="16"/>
      <c r="R777" s="16"/>
      <c r="S777" s="16"/>
      <c r="T777" s="16"/>
      <c r="U777" s="17"/>
      <c r="Y777" s="24"/>
      <c r="Z777" s="61"/>
      <c r="AA777" s="16"/>
      <c r="AB777" s="16"/>
      <c r="AC777" s="16"/>
      <c r="AD777" s="16"/>
      <c r="AE777" s="16"/>
      <c r="AF777" s="17"/>
      <c r="AJ777" s="24"/>
      <c r="AK777" s="61"/>
      <c r="AL777" s="16"/>
      <c r="AM777" s="16"/>
      <c r="AN777" s="16"/>
      <c r="AO777" s="16"/>
      <c r="AP777" s="16"/>
      <c r="AQ777" s="17"/>
      <c r="AU777" s="24"/>
      <c r="AV777" s="61"/>
      <c r="AW777" s="16"/>
      <c r="AX777" s="16"/>
      <c r="AY777" s="16"/>
      <c r="AZ777" s="16"/>
      <c r="BA777" s="16"/>
      <c r="BB777" s="17"/>
      <c r="BF777" s="24"/>
      <c r="BG777" s="61"/>
      <c r="BH777" s="16"/>
      <c r="BI777" s="16"/>
      <c r="BJ777" s="16"/>
      <c r="BK777" s="16"/>
      <c r="BL777" s="16"/>
      <c r="BM777" s="17"/>
      <c r="BQ777" s="24"/>
      <c r="BR777" s="61"/>
      <c r="BS777" s="16"/>
      <c r="BT777" s="16"/>
      <c r="BU777" s="16"/>
      <c r="BV777" s="16"/>
      <c r="BW777" s="16"/>
      <c r="BX777" s="17"/>
      <c r="CB777" s="24"/>
      <c r="CC777" s="61"/>
      <c r="CD777" s="16"/>
      <c r="CE777" s="16"/>
      <c r="CF777" s="16"/>
      <c r="CG777" s="16"/>
      <c r="CH777" s="16"/>
      <c r="CI777" s="17"/>
      <c r="CM777" s="24"/>
      <c r="CN777" s="61"/>
      <c r="CO777" s="16"/>
      <c r="CP777" s="16"/>
      <c r="CQ777" s="16"/>
      <c r="CR777" s="16"/>
      <c r="CS777" s="16"/>
      <c r="CT777" s="17"/>
      <c r="CX777" s="24"/>
      <c r="CY777" s="60"/>
      <c r="CZ777" s="16"/>
      <c r="DA777" s="16"/>
      <c r="DB777" s="16"/>
      <c r="DC777" s="16"/>
      <c r="DD777" s="16"/>
      <c r="DE777" s="17"/>
      <c r="DI777" s="24"/>
      <c r="DJ777" s="60"/>
      <c r="DK777" s="16"/>
      <c r="DL777" s="16"/>
      <c r="DM777" s="16"/>
      <c r="DN777" s="16"/>
      <c r="DO777" s="16"/>
      <c r="DP777" s="17"/>
      <c r="DT777" s="24"/>
      <c r="DU777" s="60"/>
      <c r="DV777" s="16"/>
      <c r="DW777" s="16"/>
      <c r="DX777" s="16"/>
      <c r="DY777" s="16"/>
      <c r="DZ777" s="16"/>
      <c r="EA777" s="17"/>
      <c r="EE777" s="24"/>
      <c r="EF777" s="60"/>
      <c r="EG777" s="16"/>
      <c r="EH777" s="16"/>
      <c r="EI777" s="16"/>
      <c r="EJ777" s="16"/>
      <c r="EK777" s="16"/>
      <c r="EL777" s="17"/>
      <c r="EP777" s="24"/>
      <c r="EQ777" s="60"/>
      <c r="ER777" s="16"/>
      <c r="ES777" s="16"/>
      <c r="ET777" s="16"/>
      <c r="EU777" s="16"/>
      <c r="EV777" s="16"/>
      <c r="EW777" s="17"/>
      <c r="FA777" s="24"/>
      <c r="FB777" s="60"/>
      <c r="FC777" s="16"/>
      <c r="FD777" s="16"/>
      <c r="FE777" s="16"/>
      <c r="FF777" s="16"/>
      <c r="FG777" s="16"/>
      <c r="FH777" s="17"/>
      <c r="FL777" s="24"/>
      <c r="FM777" s="60"/>
      <c r="FN777" s="16"/>
      <c r="FO777" s="16"/>
      <c r="FP777" s="16"/>
      <c r="FQ777" s="16"/>
      <c r="FR777" s="16"/>
      <c r="FS777" s="17"/>
      <c r="FW777" s="24"/>
      <c r="FX777" s="60"/>
      <c r="FY777" s="16"/>
      <c r="FZ777" s="16"/>
      <c r="GA777" s="16"/>
      <c r="GB777" s="16"/>
      <c r="GC777" s="16"/>
      <c r="GD777" s="17"/>
      <c r="GH777" s="24"/>
      <c r="GI777" s="60"/>
      <c r="GJ777" s="16"/>
      <c r="GK777" s="16"/>
      <c r="GL777" s="16"/>
      <c r="GM777" s="16"/>
      <c r="GN777" s="16"/>
      <c r="GO777" s="17"/>
      <c r="GS777" s="24"/>
      <c r="GT777" s="60"/>
      <c r="GU777" s="16"/>
      <c r="GV777" s="16"/>
      <c r="GW777" s="16"/>
      <c r="GX777" s="16"/>
      <c r="GY777" s="16"/>
      <c r="GZ777" s="17"/>
      <c r="HD777" s="24"/>
      <c r="HE777" s="60"/>
      <c r="HF777" s="16"/>
      <c r="HG777" s="16"/>
      <c r="HH777" s="16"/>
      <c r="HI777" s="16"/>
      <c r="HJ777" s="16"/>
      <c r="HK777" s="17"/>
      <c r="HO777" s="24"/>
      <c r="HP777" s="60"/>
      <c r="HQ777" s="16"/>
      <c r="HR777" s="16"/>
      <c r="HS777" s="16"/>
      <c r="HT777" s="16"/>
      <c r="HU777" s="16"/>
      <c r="HV777" s="17"/>
      <c r="HZ777" s="24"/>
      <c r="IA777" s="60"/>
      <c r="IB777" s="16"/>
      <c r="IC777" s="16"/>
      <c r="ID777" s="16"/>
      <c r="IE777" s="16"/>
      <c r="IF777" s="16"/>
      <c r="IG777" s="17"/>
      <c r="IK777" s="24"/>
      <c r="IL777" s="60"/>
      <c r="IM777" s="16"/>
      <c r="IN777" s="16"/>
      <c r="IO777" s="16"/>
      <c r="IP777" s="16"/>
      <c r="IQ777" s="16"/>
      <c r="IR777" s="17"/>
      <c r="IV777" s="24"/>
      <c r="IW777" s="60"/>
      <c r="IX777" s="16"/>
      <c r="IY777" s="16"/>
      <c r="IZ777" s="16"/>
      <c r="JA777" s="16"/>
      <c r="JB777" s="16"/>
      <c r="JC777" s="17"/>
      <c r="JG777" s="24"/>
      <c r="JH777" s="60"/>
      <c r="JI777" s="16"/>
      <c r="JJ777" s="16"/>
      <c r="JK777" s="16"/>
      <c r="JL777" s="16"/>
      <c r="JM777" s="16"/>
      <c r="JN777" s="17"/>
      <c r="JR777" s="24"/>
      <c r="JS777" s="60"/>
      <c r="JT777" s="16"/>
      <c r="JU777" s="16"/>
      <c r="JV777" s="16"/>
      <c r="JW777" s="16"/>
      <c r="JX777" s="16"/>
      <c r="JY777" s="17"/>
      <c r="KC777" s="24"/>
      <c r="KD777" s="60"/>
      <c r="KE777" s="16"/>
      <c r="KF777" s="16"/>
      <c r="KG777" s="16"/>
      <c r="KH777" s="16"/>
      <c r="KI777" s="16"/>
      <c r="KJ777" s="17"/>
      <c r="KN777" s="24"/>
      <c r="KO777" s="60"/>
      <c r="KP777" s="16"/>
      <c r="KQ777" s="16"/>
      <c r="KR777" s="16"/>
      <c r="KS777" s="16"/>
      <c r="KT777" s="16"/>
      <c r="KU777" s="17"/>
      <c r="KY777" s="24"/>
      <c r="KZ777" s="60"/>
      <c r="LA777" s="16"/>
      <c r="LB777" s="16"/>
      <c r="LC777" s="16"/>
      <c r="LD777" s="16"/>
      <c r="LE777" s="16"/>
      <c r="LF777" s="17"/>
      <c r="LJ777" s="24"/>
      <c r="LK777" s="60"/>
      <c r="LL777" s="16"/>
      <c r="LM777" s="16"/>
      <c r="LN777" s="16"/>
      <c r="LO777" s="16"/>
      <c r="LP777" s="16"/>
      <c r="LQ777" s="17"/>
    </row>
    <row r="778">
      <c r="C778" s="31"/>
      <c r="D778" s="61"/>
      <c r="E778" s="16"/>
      <c r="F778" s="16"/>
      <c r="G778" s="21"/>
      <c r="H778" s="16"/>
      <c r="I778" s="16"/>
      <c r="J778" s="17"/>
      <c r="N778" s="17"/>
      <c r="O778" s="61"/>
      <c r="P778" s="16"/>
      <c r="Q778" s="16"/>
      <c r="R778" s="16"/>
      <c r="S778" s="16"/>
      <c r="T778" s="16"/>
      <c r="U778" s="17"/>
      <c r="Y778" s="24"/>
      <c r="Z778" s="61"/>
      <c r="AA778" s="16"/>
      <c r="AB778" s="16"/>
      <c r="AC778" s="16"/>
      <c r="AD778" s="16"/>
      <c r="AE778" s="16"/>
      <c r="AF778" s="17"/>
      <c r="AJ778" s="24"/>
      <c r="AK778" s="61"/>
      <c r="AL778" s="16"/>
      <c r="AM778" s="16"/>
      <c r="AN778" s="16"/>
      <c r="AO778" s="16"/>
      <c r="AP778" s="16"/>
      <c r="AQ778" s="17"/>
      <c r="AU778" s="24"/>
      <c r="AV778" s="61"/>
      <c r="AW778" s="16"/>
      <c r="AX778" s="16"/>
      <c r="AY778" s="16"/>
      <c r="AZ778" s="16"/>
      <c r="BA778" s="16"/>
      <c r="BB778" s="17"/>
      <c r="BF778" s="24"/>
      <c r="BG778" s="61"/>
      <c r="BH778" s="16"/>
      <c r="BI778" s="16"/>
      <c r="BJ778" s="16"/>
      <c r="BK778" s="16"/>
      <c r="BL778" s="16"/>
      <c r="BM778" s="17"/>
      <c r="BQ778" s="24"/>
      <c r="BR778" s="61"/>
      <c r="BS778" s="16"/>
      <c r="BT778" s="16"/>
      <c r="BU778" s="16"/>
      <c r="BV778" s="16"/>
      <c r="BW778" s="16"/>
      <c r="BX778" s="17"/>
      <c r="CB778" s="24"/>
      <c r="CC778" s="61"/>
      <c r="CD778" s="16"/>
      <c r="CE778" s="16"/>
      <c r="CF778" s="16"/>
      <c r="CG778" s="16"/>
      <c r="CH778" s="16"/>
      <c r="CI778" s="17"/>
      <c r="CM778" s="24"/>
      <c r="CN778" s="61"/>
      <c r="CO778" s="16"/>
      <c r="CP778" s="16"/>
      <c r="CQ778" s="16"/>
      <c r="CR778" s="16"/>
      <c r="CS778" s="16"/>
      <c r="CT778" s="17"/>
      <c r="CX778" s="24"/>
      <c r="CY778" s="60"/>
      <c r="CZ778" s="16"/>
      <c r="DA778" s="16"/>
      <c r="DB778" s="16"/>
      <c r="DC778" s="16"/>
      <c r="DD778" s="16"/>
      <c r="DE778" s="17"/>
      <c r="DI778" s="24"/>
      <c r="DJ778" s="60"/>
      <c r="DK778" s="16"/>
      <c r="DL778" s="16"/>
      <c r="DM778" s="16"/>
      <c r="DN778" s="16"/>
      <c r="DO778" s="16"/>
      <c r="DP778" s="17"/>
      <c r="DT778" s="24"/>
      <c r="DU778" s="60"/>
      <c r="DV778" s="16"/>
      <c r="DW778" s="16"/>
      <c r="DX778" s="16"/>
      <c r="DY778" s="16"/>
      <c r="DZ778" s="16"/>
      <c r="EA778" s="17"/>
      <c r="EE778" s="24"/>
      <c r="EF778" s="60"/>
      <c r="EG778" s="16"/>
      <c r="EH778" s="16"/>
      <c r="EI778" s="16"/>
      <c r="EJ778" s="16"/>
      <c r="EK778" s="16"/>
      <c r="EL778" s="17"/>
      <c r="EP778" s="24"/>
      <c r="EQ778" s="60"/>
      <c r="ER778" s="16"/>
      <c r="ES778" s="16"/>
      <c r="ET778" s="16"/>
      <c r="EU778" s="16"/>
      <c r="EV778" s="16"/>
      <c r="EW778" s="17"/>
      <c r="FA778" s="24"/>
      <c r="FB778" s="60"/>
      <c r="FC778" s="16"/>
      <c r="FD778" s="16"/>
      <c r="FE778" s="16"/>
      <c r="FF778" s="16"/>
      <c r="FG778" s="16"/>
      <c r="FH778" s="17"/>
      <c r="FL778" s="24"/>
      <c r="FM778" s="60"/>
      <c r="FN778" s="16"/>
      <c r="FO778" s="16"/>
      <c r="FP778" s="16"/>
      <c r="FQ778" s="16"/>
      <c r="FR778" s="16"/>
      <c r="FS778" s="17"/>
      <c r="FW778" s="24"/>
      <c r="FX778" s="60"/>
      <c r="FY778" s="16"/>
      <c r="FZ778" s="16"/>
      <c r="GA778" s="16"/>
      <c r="GB778" s="16"/>
      <c r="GC778" s="16"/>
      <c r="GD778" s="17"/>
      <c r="GH778" s="24"/>
      <c r="GI778" s="60"/>
      <c r="GJ778" s="16"/>
      <c r="GK778" s="16"/>
      <c r="GL778" s="16"/>
      <c r="GM778" s="16"/>
      <c r="GN778" s="16"/>
      <c r="GO778" s="17"/>
      <c r="GS778" s="24"/>
      <c r="GT778" s="60"/>
      <c r="GU778" s="16"/>
      <c r="GV778" s="16"/>
      <c r="GW778" s="16"/>
      <c r="GX778" s="16"/>
      <c r="GY778" s="16"/>
      <c r="GZ778" s="17"/>
      <c r="HD778" s="24"/>
      <c r="HE778" s="60"/>
      <c r="HF778" s="16"/>
      <c r="HG778" s="16"/>
      <c r="HH778" s="16"/>
      <c r="HI778" s="16"/>
      <c r="HJ778" s="16"/>
      <c r="HK778" s="17"/>
      <c r="HO778" s="24"/>
      <c r="HP778" s="60"/>
      <c r="HQ778" s="16"/>
      <c r="HR778" s="16"/>
      <c r="HS778" s="16"/>
      <c r="HT778" s="16"/>
      <c r="HU778" s="16"/>
      <c r="HV778" s="17"/>
      <c r="HZ778" s="24"/>
      <c r="IA778" s="60"/>
      <c r="IB778" s="16"/>
      <c r="IC778" s="16"/>
      <c r="ID778" s="16"/>
      <c r="IE778" s="16"/>
      <c r="IF778" s="16"/>
      <c r="IG778" s="17"/>
      <c r="IK778" s="24"/>
      <c r="IL778" s="60"/>
      <c r="IM778" s="16"/>
      <c r="IN778" s="16"/>
      <c r="IO778" s="16"/>
      <c r="IP778" s="16"/>
      <c r="IQ778" s="16"/>
      <c r="IR778" s="17"/>
      <c r="IV778" s="24"/>
      <c r="IW778" s="60"/>
      <c r="IX778" s="16"/>
      <c r="IY778" s="16"/>
      <c r="IZ778" s="16"/>
      <c r="JA778" s="16"/>
      <c r="JB778" s="16"/>
      <c r="JC778" s="17"/>
      <c r="JG778" s="24"/>
      <c r="JH778" s="60"/>
      <c r="JI778" s="16"/>
      <c r="JJ778" s="16"/>
      <c r="JK778" s="16"/>
      <c r="JL778" s="16"/>
      <c r="JM778" s="16"/>
      <c r="JN778" s="17"/>
      <c r="JR778" s="24"/>
      <c r="JS778" s="60"/>
      <c r="JT778" s="16"/>
      <c r="JU778" s="16"/>
      <c r="JV778" s="16"/>
      <c r="JW778" s="16"/>
      <c r="JX778" s="16"/>
      <c r="JY778" s="17"/>
      <c r="KC778" s="24"/>
      <c r="KD778" s="60"/>
      <c r="KE778" s="16"/>
      <c r="KF778" s="16"/>
      <c r="KG778" s="16"/>
      <c r="KH778" s="16"/>
      <c r="KI778" s="16"/>
      <c r="KJ778" s="17"/>
      <c r="KN778" s="24"/>
      <c r="KO778" s="60"/>
      <c r="KP778" s="16"/>
      <c r="KQ778" s="16"/>
      <c r="KR778" s="16"/>
      <c r="KS778" s="16"/>
      <c r="KT778" s="16"/>
      <c r="KU778" s="17"/>
      <c r="KY778" s="24"/>
      <c r="KZ778" s="60"/>
      <c r="LA778" s="16"/>
      <c r="LB778" s="16"/>
      <c r="LC778" s="16"/>
      <c r="LD778" s="16"/>
      <c r="LE778" s="16"/>
      <c r="LF778" s="17"/>
      <c r="LJ778" s="24"/>
      <c r="LK778" s="60"/>
      <c r="LL778" s="16"/>
      <c r="LM778" s="16"/>
      <c r="LN778" s="16"/>
      <c r="LO778" s="16"/>
      <c r="LP778" s="16"/>
      <c r="LQ778" s="17"/>
    </row>
    <row r="779">
      <c r="C779" s="31"/>
      <c r="D779" s="61"/>
      <c r="E779" s="16"/>
      <c r="F779" s="16"/>
      <c r="G779" s="21"/>
      <c r="H779" s="16"/>
      <c r="I779" s="16"/>
      <c r="J779" s="17"/>
      <c r="N779" s="17"/>
      <c r="O779" s="61"/>
      <c r="P779" s="16"/>
      <c r="Q779" s="16"/>
      <c r="R779" s="16"/>
      <c r="S779" s="16"/>
      <c r="T779" s="16"/>
      <c r="U779" s="17"/>
      <c r="Y779" s="24"/>
      <c r="Z779" s="61"/>
      <c r="AA779" s="16"/>
      <c r="AB779" s="16"/>
      <c r="AC779" s="16"/>
      <c r="AD779" s="16"/>
      <c r="AE779" s="16"/>
      <c r="AF779" s="17"/>
      <c r="AJ779" s="24"/>
      <c r="AK779" s="61"/>
      <c r="AL779" s="16"/>
      <c r="AM779" s="16"/>
      <c r="AN779" s="16"/>
      <c r="AO779" s="16"/>
      <c r="AP779" s="16"/>
      <c r="AQ779" s="17"/>
      <c r="AU779" s="24"/>
      <c r="AV779" s="61"/>
      <c r="AW779" s="16"/>
      <c r="AX779" s="16"/>
      <c r="AY779" s="16"/>
      <c r="AZ779" s="16"/>
      <c r="BA779" s="16"/>
      <c r="BB779" s="17"/>
      <c r="BF779" s="24"/>
      <c r="BG779" s="61"/>
      <c r="BH779" s="16"/>
      <c r="BI779" s="16"/>
      <c r="BJ779" s="16"/>
      <c r="BK779" s="16"/>
      <c r="BL779" s="16"/>
      <c r="BM779" s="17"/>
      <c r="BQ779" s="24"/>
      <c r="BR779" s="61"/>
      <c r="BS779" s="16"/>
      <c r="BT779" s="16"/>
      <c r="BU779" s="16"/>
      <c r="BV779" s="16"/>
      <c r="BW779" s="16"/>
      <c r="BX779" s="17"/>
      <c r="CB779" s="24"/>
      <c r="CC779" s="61"/>
      <c r="CD779" s="16"/>
      <c r="CE779" s="16"/>
      <c r="CF779" s="16"/>
      <c r="CG779" s="16"/>
      <c r="CH779" s="16"/>
      <c r="CI779" s="17"/>
      <c r="CM779" s="24"/>
      <c r="CN779" s="61"/>
      <c r="CO779" s="16"/>
      <c r="CP779" s="16"/>
      <c r="CQ779" s="16"/>
      <c r="CR779" s="16"/>
      <c r="CS779" s="16"/>
      <c r="CT779" s="17"/>
      <c r="CX779" s="24"/>
      <c r="CY779" s="60"/>
      <c r="CZ779" s="16"/>
      <c r="DA779" s="16"/>
      <c r="DB779" s="16"/>
      <c r="DC779" s="16"/>
      <c r="DD779" s="16"/>
      <c r="DE779" s="17"/>
      <c r="DI779" s="24"/>
      <c r="DJ779" s="60"/>
      <c r="DK779" s="16"/>
      <c r="DL779" s="16"/>
      <c r="DM779" s="16"/>
      <c r="DN779" s="16"/>
      <c r="DO779" s="16"/>
      <c r="DP779" s="17"/>
      <c r="DT779" s="24"/>
      <c r="DU779" s="60"/>
      <c r="DV779" s="16"/>
      <c r="DW779" s="16"/>
      <c r="DX779" s="16"/>
      <c r="DY779" s="16"/>
      <c r="DZ779" s="16"/>
      <c r="EA779" s="17"/>
      <c r="EE779" s="24"/>
      <c r="EF779" s="60"/>
      <c r="EG779" s="16"/>
      <c r="EH779" s="16"/>
      <c r="EI779" s="16"/>
      <c r="EJ779" s="16"/>
      <c r="EK779" s="16"/>
      <c r="EL779" s="17"/>
      <c r="EP779" s="24"/>
      <c r="EQ779" s="60"/>
      <c r="ER779" s="16"/>
      <c r="ES779" s="16"/>
      <c r="ET779" s="16"/>
      <c r="EU779" s="16"/>
      <c r="EV779" s="16"/>
      <c r="EW779" s="17"/>
      <c r="FA779" s="24"/>
      <c r="FB779" s="60"/>
      <c r="FC779" s="16"/>
      <c r="FD779" s="16"/>
      <c r="FE779" s="16"/>
      <c r="FF779" s="16"/>
      <c r="FG779" s="16"/>
      <c r="FH779" s="17"/>
      <c r="FL779" s="24"/>
      <c r="FM779" s="60"/>
      <c r="FN779" s="16"/>
      <c r="FO779" s="16"/>
      <c r="FP779" s="16"/>
      <c r="FQ779" s="16"/>
      <c r="FR779" s="16"/>
      <c r="FS779" s="17"/>
      <c r="FW779" s="24"/>
      <c r="FX779" s="60"/>
      <c r="FY779" s="16"/>
      <c r="FZ779" s="16"/>
      <c r="GA779" s="16"/>
      <c r="GB779" s="16"/>
      <c r="GC779" s="16"/>
      <c r="GD779" s="17"/>
      <c r="GH779" s="24"/>
      <c r="GI779" s="60"/>
      <c r="GJ779" s="16"/>
      <c r="GK779" s="16"/>
      <c r="GL779" s="16"/>
      <c r="GM779" s="16"/>
      <c r="GN779" s="16"/>
      <c r="GO779" s="17"/>
      <c r="GS779" s="24"/>
      <c r="GT779" s="60"/>
      <c r="GU779" s="16"/>
      <c r="GV779" s="16"/>
      <c r="GW779" s="16"/>
      <c r="GX779" s="16"/>
      <c r="GY779" s="16"/>
      <c r="GZ779" s="17"/>
      <c r="HD779" s="24"/>
      <c r="HE779" s="60"/>
      <c r="HF779" s="16"/>
      <c r="HG779" s="16"/>
      <c r="HH779" s="16"/>
      <c r="HI779" s="16"/>
      <c r="HJ779" s="16"/>
      <c r="HK779" s="17"/>
      <c r="HO779" s="24"/>
      <c r="HP779" s="60"/>
      <c r="HQ779" s="16"/>
      <c r="HR779" s="16"/>
      <c r="HS779" s="16"/>
      <c r="HT779" s="16"/>
      <c r="HU779" s="16"/>
      <c r="HV779" s="17"/>
      <c r="HZ779" s="24"/>
      <c r="IA779" s="60"/>
      <c r="IB779" s="16"/>
      <c r="IC779" s="16"/>
      <c r="ID779" s="16"/>
      <c r="IE779" s="16"/>
      <c r="IF779" s="16"/>
      <c r="IG779" s="17"/>
      <c r="IK779" s="24"/>
      <c r="IL779" s="60"/>
      <c r="IM779" s="16"/>
      <c r="IN779" s="16"/>
      <c r="IO779" s="16"/>
      <c r="IP779" s="16"/>
      <c r="IQ779" s="16"/>
      <c r="IR779" s="17"/>
      <c r="IV779" s="24"/>
      <c r="IW779" s="60"/>
      <c r="IX779" s="16"/>
      <c r="IY779" s="16"/>
      <c r="IZ779" s="16"/>
      <c r="JA779" s="16"/>
      <c r="JB779" s="16"/>
      <c r="JC779" s="17"/>
      <c r="JG779" s="24"/>
      <c r="JH779" s="60"/>
      <c r="JI779" s="16"/>
      <c r="JJ779" s="16"/>
      <c r="JK779" s="16"/>
      <c r="JL779" s="16"/>
      <c r="JM779" s="16"/>
      <c r="JN779" s="17"/>
      <c r="JR779" s="24"/>
      <c r="JS779" s="60"/>
      <c r="JT779" s="16"/>
      <c r="JU779" s="16"/>
      <c r="JV779" s="16"/>
      <c r="JW779" s="16"/>
      <c r="JX779" s="16"/>
      <c r="JY779" s="17"/>
      <c r="KC779" s="24"/>
      <c r="KD779" s="60"/>
      <c r="KE779" s="16"/>
      <c r="KF779" s="16"/>
      <c r="KG779" s="16"/>
      <c r="KH779" s="16"/>
      <c r="KI779" s="16"/>
      <c r="KJ779" s="17"/>
      <c r="KN779" s="24"/>
      <c r="KO779" s="60"/>
      <c r="KP779" s="16"/>
      <c r="KQ779" s="16"/>
      <c r="KR779" s="16"/>
      <c r="KS779" s="16"/>
      <c r="KT779" s="16"/>
      <c r="KU779" s="17"/>
      <c r="KY779" s="24"/>
      <c r="KZ779" s="60"/>
      <c r="LA779" s="16"/>
      <c r="LB779" s="16"/>
      <c r="LC779" s="16"/>
      <c r="LD779" s="16"/>
      <c r="LE779" s="16"/>
      <c r="LF779" s="17"/>
      <c r="LJ779" s="24"/>
      <c r="LK779" s="60"/>
      <c r="LL779" s="16"/>
      <c r="LM779" s="16"/>
      <c r="LN779" s="16"/>
      <c r="LO779" s="16"/>
      <c r="LP779" s="16"/>
      <c r="LQ779" s="17"/>
    </row>
    <row r="780">
      <c r="C780" s="31"/>
      <c r="D780" s="61"/>
      <c r="E780" s="16"/>
      <c r="F780" s="16"/>
      <c r="G780" s="21"/>
      <c r="H780" s="16"/>
      <c r="I780" s="16"/>
      <c r="J780" s="17"/>
      <c r="N780" s="17"/>
      <c r="O780" s="61"/>
      <c r="P780" s="16"/>
      <c r="Q780" s="16"/>
      <c r="R780" s="16"/>
      <c r="S780" s="16"/>
      <c r="T780" s="16"/>
      <c r="U780" s="17"/>
      <c r="Y780" s="24"/>
      <c r="Z780" s="61"/>
      <c r="AA780" s="16"/>
      <c r="AB780" s="16"/>
      <c r="AC780" s="16"/>
      <c r="AD780" s="16"/>
      <c r="AE780" s="16"/>
      <c r="AF780" s="17"/>
      <c r="AJ780" s="24"/>
      <c r="AK780" s="61"/>
      <c r="AL780" s="16"/>
      <c r="AM780" s="16"/>
      <c r="AN780" s="16"/>
      <c r="AO780" s="16"/>
      <c r="AP780" s="16"/>
      <c r="AQ780" s="17"/>
      <c r="AU780" s="24"/>
      <c r="AV780" s="61"/>
      <c r="AW780" s="16"/>
      <c r="AX780" s="16"/>
      <c r="AY780" s="16"/>
      <c r="AZ780" s="16"/>
      <c r="BA780" s="16"/>
      <c r="BB780" s="17"/>
      <c r="BF780" s="24"/>
      <c r="BG780" s="61"/>
      <c r="BH780" s="16"/>
      <c r="BI780" s="16"/>
      <c r="BJ780" s="16"/>
      <c r="BK780" s="16"/>
      <c r="BL780" s="16"/>
      <c r="BM780" s="17"/>
      <c r="BQ780" s="24"/>
      <c r="BR780" s="61"/>
      <c r="BS780" s="16"/>
      <c r="BT780" s="16"/>
      <c r="BU780" s="16"/>
      <c r="BV780" s="16"/>
      <c r="BW780" s="16"/>
      <c r="BX780" s="17"/>
      <c r="CB780" s="24"/>
      <c r="CC780" s="61"/>
      <c r="CD780" s="16"/>
      <c r="CE780" s="16"/>
      <c r="CF780" s="16"/>
      <c r="CG780" s="16"/>
      <c r="CH780" s="16"/>
      <c r="CI780" s="17"/>
      <c r="CM780" s="24"/>
      <c r="CN780" s="61"/>
      <c r="CO780" s="16"/>
      <c r="CP780" s="16"/>
      <c r="CQ780" s="16"/>
      <c r="CR780" s="16"/>
      <c r="CS780" s="16"/>
      <c r="CT780" s="17"/>
      <c r="CX780" s="24"/>
      <c r="CY780" s="60"/>
      <c r="CZ780" s="16"/>
      <c r="DA780" s="16"/>
      <c r="DB780" s="16"/>
      <c r="DC780" s="16"/>
      <c r="DD780" s="16"/>
      <c r="DE780" s="17"/>
      <c r="DI780" s="24"/>
      <c r="DJ780" s="60"/>
      <c r="DK780" s="16"/>
      <c r="DL780" s="16"/>
      <c r="DM780" s="16"/>
      <c r="DN780" s="16"/>
      <c r="DO780" s="16"/>
      <c r="DP780" s="17"/>
      <c r="DT780" s="24"/>
      <c r="DU780" s="60"/>
      <c r="DV780" s="16"/>
      <c r="DW780" s="16"/>
      <c r="DX780" s="16"/>
      <c r="DY780" s="16"/>
      <c r="DZ780" s="16"/>
      <c r="EA780" s="17"/>
      <c r="EE780" s="24"/>
      <c r="EF780" s="60"/>
      <c r="EG780" s="16"/>
      <c r="EH780" s="16"/>
      <c r="EI780" s="16"/>
      <c r="EJ780" s="16"/>
      <c r="EK780" s="16"/>
      <c r="EL780" s="17"/>
      <c r="EP780" s="24"/>
      <c r="EQ780" s="60"/>
      <c r="ER780" s="16"/>
      <c r="ES780" s="16"/>
      <c r="ET780" s="16"/>
      <c r="EU780" s="16"/>
      <c r="EV780" s="16"/>
      <c r="EW780" s="17"/>
      <c r="FA780" s="24"/>
      <c r="FB780" s="60"/>
      <c r="FC780" s="16"/>
      <c r="FD780" s="16"/>
      <c r="FE780" s="16"/>
      <c r="FF780" s="16"/>
      <c r="FG780" s="16"/>
      <c r="FH780" s="17"/>
      <c r="FL780" s="24"/>
      <c r="FM780" s="60"/>
      <c r="FN780" s="16"/>
      <c r="FO780" s="16"/>
      <c r="FP780" s="16"/>
      <c r="FQ780" s="16"/>
      <c r="FR780" s="16"/>
      <c r="FS780" s="17"/>
      <c r="FW780" s="24"/>
      <c r="FX780" s="60"/>
      <c r="FY780" s="16"/>
      <c r="FZ780" s="16"/>
      <c r="GA780" s="16"/>
      <c r="GB780" s="16"/>
      <c r="GC780" s="16"/>
      <c r="GD780" s="17"/>
      <c r="GH780" s="24"/>
      <c r="GI780" s="60"/>
      <c r="GJ780" s="16"/>
      <c r="GK780" s="16"/>
      <c r="GL780" s="16"/>
      <c r="GM780" s="16"/>
      <c r="GN780" s="16"/>
      <c r="GO780" s="17"/>
      <c r="GS780" s="24"/>
      <c r="GT780" s="60"/>
      <c r="GU780" s="16"/>
      <c r="GV780" s="16"/>
      <c r="GW780" s="16"/>
      <c r="GX780" s="16"/>
      <c r="GY780" s="16"/>
      <c r="GZ780" s="17"/>
      <c r="HD780" s="24"/>
      <c r="HE780" s="60"/>
      <c r="HF780" s="16"/>
      <c r="HG780" s="16"/>
      <c r="HH780" s="16"/>
      <c r="HI780" s="16"/>
      <c r="HJ780" s="16"/>
      <c r="HK780" s="17"/>
      <c r="HO780" s="24"/>
      <c r="HP780" s="60"/>
      <c r="HQ780" s="16"/>
      <c r="HR780" s="16"/>
      <c r="HS780" s="16"/>
      <c r="HT780" s="16"/>
      <c r="HU780" s="16"/>
      <c r="HV780" s="17"/>
      <c r="HZ780" s="24"/>
      <c r="IA780" s="60"/>
      <c r="IB780" s="16"/>
      <c r="IC780" s="16"/>
      <c r="ID780" s="16"/>
      <c r="IE780" s="16"/>
      <c r="IF780" s="16"/>
      <c r="IG780" s="17"/>
      <c r="IK780" s="24"/>
      <c r="IL780" s="60"/>
      <c r="IM780" s="16"/>
      <c r="IN780" s="16"/>
      <c r="IO780" s="16"/>
      <c r="IP780" s="16"/>
      <c r="IQ780" s="16"/>
      <c r="IR780" s="17"/>
      <c r="IV780" s="24"/>
      <c r="IW780" s="60"/>
      <c r="IX780" s="16"/>
      <c r="IY780" s="16"/>
      <c r="IZ780" s="16"/>
      <c r="JA780" s="16"/>
      <c r="JB780" s="16"/>
      <c r="JC780" s="17"/>
      <c r="JG780" s="24"/>
      <c r="JH780" s="60"/>
      <c r="JI780" s="16"/>
      <c r="JJ780" s="16"/>
      <c r="JK780" s="16"/>
      <c r="JL780" s="16"/>
      <c r="JM780" s="16"/>
      <c r="JN780" s="17"/>
      <c r="JR780" s="24"/>
      <c r="JS780" s="60"/>
      <c r="JT780" s="16"/>
      <c r="JU780" s="16"/>
      <c r="JV780" s="16"/>
      <c r="JW780" s="16"/>
      <c r="JX780" s="16"/>
      <c r="JY780" s="17"/>
      <c r="KC780" s="24"/>
      <c r="KD780" s="60"/>
      <c r="KE780" s="16"/>
      <c r="KF780" s="16"/>
      <c r="KG780" s="16"/>
      <c r="KH780" s="16"/>
      <c r="KI780" s="16"/>
      <c r="KJ780" s="17"/>
      <c r="KN780" s="24"/>
      <c r="KO780" s="60"/>
      <c r="KP780" s="16"/>
      <c r="KQ780" s="16"/>
      <c r="KR780" s="16"/>
      <c r="KS780" s="16"/>
      <c r="KT780" s="16"/>
      <c r="KU780" s="17"/>
      <c r="KY780" s="24"/>
      <c r="KZ780" s="60"/>
      <c r="LA780" s="16"/>
      <c r="LB780" s="16"/>
      <c r="LC780" s="16"/>
      <c r="LD780" s="16"/>
      <c r="LE780" s="16"/>
      <c r="LF780" s="17"/>
      <c r="LJ780" s="24"/>
      <c r="LK780" s="60"/>
      <c r="LL780" s="16"/>
      <c r="LM780" s="16"/>
      <c r="LN780" s="16"/>
      <c r="LO780" s="16"/>
      <c r="LP780" s="16"/>
      <c r="LQ780" s="17"/>
    </row>
    <row r="781">
      <c r="C781" s="31"/>
      <c r="D781" s="61"/>
      <c r="E781" s="16"/>
      <c r="F781" s="16"/>
      <c r="G781" s="21"/>
      <c r="H781" s="16"/>
      <c r="I781" s="16"/>
      <c r="J781" s="17"/>
      <c r="N781" s="17"/>
      <c r="O781" s="61"/>
      <c r="P781" s="16"/>
      <c r="Q781" s="16"/>
      <c r="R781" s="16"/>
      <c r="S781" s="16"/>
      <c r="T781" s="16"/>
      <c r="U781" s="17"/>
      <c r="Y781" s="24"/>
      <c r="Z781" s="61"/>
      <c r="AA781" s="16"/>
      <c r="AB781" s="16"/>
      <c r="AC781" s="16"/>
      <c r="AD781" s="16"/>
      <c r="AE781" s="16"/>
      <c r="AF781" s="17"/>
      <c r="AJ781" s="24"/>
      <c r="AK781" s="61"/>
      <c r="AL781" s="16"/>
      <c r="AM781" s="16"/>
      <c r="AN781" s="16"/>
      <c r="AO781" s="16"/>
      <c r="AP781" s="16"/>
      <c r="AQ781" s="17"/>
      <c r="AU781" s="24"/>
      <c r="AV781" s="61"/>
      <c r="AW781" s="16"/>
      <c r="AX781" s="16"/>
      <c r="AY781" s="16"/>
      <c r="AZ781" s="16"/>
      <c r="BA781" s="16"/>
      <c r="BB781" s="17"/>
      <c r="BF781" s="24"/>
      <c r="BG781" s="61"/>
      <c r="BH781" s="16"/>
      <c r="BI781" s="16"/>
      <c r="BJ781" s="16"/>
      <c r="BK781" s="16"/>
      <c r="BL781" s="16"/>
      <c r="BM781" s="17"/>
      <c r="BQ781" s="24"/>
      <c r="BR781" s="61"/>
      <c r="BS781" s="16"/>
      <c r="BT781" s="16"/>
      <c r="BU781" s="16"/>
      <c r="BV781" s="16"/>
      <c r="BW781" s="16"/>
      <c r="BX781" s="17"/>
      <c r="CB781" s="24"/>
      <c r="CC781" s="61"/>
      <c r="CD781" s="16"/>
      <c r="CE781" s="16"/>
      <c r="CF781" s="16"/>
      <c r="CG781" s="16"/>
      <c r="CH781" s="16"/>
      <c r="CI781" s="17"/>
      <c r="CM781" s="24"/>
      <c r="CN781" s="61"/>
      <c r="CO781" s="16"/>
      <c r="CP781" s="16"/>
      <c r="CQ781" s="16"/>
      <c r="CR781" s="16"/>
      <c r="CS781" s="16"/>
      <c r="CT781" s="17"/>
      <c r="CX781" s="24"/>
      <c r="CY781" s="60"/>
      <c r="CZ781" s="16"/>
      <c r="DA781" s="16"/>
      <c r="DB781" s="16"/>
      <c r="DC781" s="16"/>
      <c r="DD781" s="16"/>
      <c r="DE781" s="17"/>
      <c r="DI781" s="24"/>
      <c r="DJ781" s="60"/>
      <c r="DK781" s="16"/>
      <c r="DL781" s="16"/>
      <c r="DM781" s="16"/>
      <c r="DN781" s="16"/>
      <c r="DO781" s="16"/>
      <c r="DP781" s="17"/>
      <c r="DT781" s="24"/>
      <c r="DU781" s="60"/>
      <c r="DV781" s="16"/>
      <c r="DW781" s="16"/>
      <c r="DX781" s="16"/>
      <c r="DY781" s="16"/>
      <c r="DZ781" s="16"/>
      <c r="EA781" s="17"/>
      <c r="EE781" s="24"/>
      <c r="EF781" s="60"/>
      <c r="EG781" s="16"/>
      <c r="EH781" s="16"/>
      <c r="EI781" s="16"/>
      <c r="EJ781" s="16"/>
      <c r="EK781" s="16"/>
      <c r="EL781" s="17"/>
      <c r="EP781" s="24"/>
      <c r="EQ781" s="60"/>
      <c r="ER781" s="16"/>
      <c r="ES781" s="16"/>
      <c r="ET781" s="16"/>
      <c r="EU781" s="16"/>
      <c r="EV781" s="16"/>
      <c r="EW781" s="17"/>
      <c r="FA781" s="24"/>
      <c r="FB781" s="60"/>
      <c r="FC781" s="16"/>
      <c r="FD781" s="16"/>
      <c r="FE781" s="16"/>
      <c r="FF781" s="16"/>
      <c r="FG781" s="16"/>
      <c r="FH781" s="17"/>
      <c r="FL781" s="24"/>
      <c r="FM781" s="60"/>
      <c r="FN781" s="16"/>
      <c r="FO781" s="16"/>
      <c r="FP781" s="16"/>
      <c r="FQ781" s="16"/>
      <c r="FR781" s="16"/>
      <c r="FS781" s="17"/>
      <c r="FW781" s="24"/>
      <c r="FX781" s="60"/>
      <c r="FY781" s="16"/>
      <c r="FZ781" s="16"/>
      <c r="GA781" s="16"/>
      <c r="GB781" s="16"/>
      <c r="GC781" s="16"/>
      <c r="GD781" s="17"/>
      <c r="GH781" s="24"/>
      <c r="GI781" s="60"/>
      <c r="GJ781" s="16"/>
      <c r="GK781" s="16"/>
      <c r="GL781" s="16"/>
      <c r="GM781" s="16"/>
      <c r="GN781" s="16"/>
      <c r="GO781" s="17"/>
      <c r="GS781" s="24"/>
      <c r="GT781" s="60"/>
      <c r="GU781" s="16"/>
      <c r="GV781" s="16"/>
      <c r="GW781" s="16"/>
      <c r="GX781" s="16"/>
      <c r="GY781" s="16"/>
      <c r="GZ781" s="17"/>
      <c r="HD781" s="24"/>
      <c r="HE781" s="60"/>
      <c r="HF781" s="16"/>
      <c r="HG781" s="16"/>
      <c r="HH781" s="16"/>
      <c r="HI781" s="16"/>
      <c r="HJ781" s="16"/>
      <c r="HK781" s="17"/>
      <c r="HO781" s="24"/>
      <c r="HP781" s="60"/>
      <c r="HQ781" s="16"/>
      <c r="HR781" s="16"/>
      <c r="HS781" s="16"/>
      <c r="HT781" s="16"/>
      <c r="HU781" s="16"/>
      <c r="HV781" s="17"/>
      <c r="HZ781" s="24"/>
      <c r="IA781" s="60"/>
      <c r="IB781" s="16"/>
      <c r="IC781" s="16"/>
      <c r="ID781" s="16"/>
      <c r="IE781" s="16"/>
      <c r="IF781" s="16"/>
      <c r="IG781" s="17"/>
      <c r="IK781" s="24"/>
      <c r="IL781" s="60"/>
      <c r="IM781" s="16"/>
      <c r="IN781" s="16"/>
      <c r="IO781" s="16"/>
      <c r="IP781" s="16"/>
      <c r="IQ781" s="16"/>
      <c r="IR781" s="17"/>
      <c r="IV781" s="24"/>
      <c r="IW781" s="60"/>
      <c r="IX781" s="16"/>
      <c r="IY781" s="16"/>
      <c r="IZ781" s="16"/>
      <c r="JA781" s="16"/>
      <c r="JB781" s="16"/>
      <c r="JC781" s="17"/>
      <c r="JG781" s="24"/>
      <c r="JH781" s="60"/>
      <c r="JI781" s="16"/>
      <c r="JJ781" s="16"/>
      <c r="JK781" s="16"/>
      <c r="JL781" s="16"/>
      <c r="JM781" s="16"/>
      <c r="JN781" s="17"/>
      <c r="JR781" s="24"/>
      <c r="JS781" s="60"/>
      <c r="JT781" s="16"/>
      <c r="JU781" s="16"/>
      <c r="JV781" s="16"/>
      <c r="JW781" s="16"/>
      <c r="JX781" s="16"/>
      <c r="JY781" s="17"/>
      <c r="KC781" s="24"/>
      <c r="KD781" s="60"/>
      <c r="KE781" s="16"/>
      <c r="KF781" s="16"/>
      <c r="KG781" s="16"/>
      <c r="KH781" s="16"/>
      <c r="KI781" s="16"/>
      <c r="KJ781" s="17"/>
      <c r="KN781" s="24"/>
      <c r="KO781" s="60"/>
      <c r="KP781" s="16"/>
      <c r="KQ781" s="16"/>
      <c r="KR781" s="16"/>
      <c r="KS781" s="16"/>
      <c r="KT781" s="16"/>
      <c r="KU781" s="17"/>
      <c r="KY781" s="24"/>
      <c r="KZ781" s="60"/>
      <c r="LA781" s="16"/>
      <c r="LB781" s="16"/>
      <c r="LC781" s="16"/>
      <c r="LD781" s="16"/>
      <c r="LE781" s="16"/>
      <c r="LF781" s="17"/>
      <c r="LJ781" s="24"/>
      <c r="LK781" s="60"/>
      <c r="LL781" s="16"/>
      <c r="LM781" s="16"/>
      <c r="LN781" s="16"/>
      <c r="LO781" s="16"/>
      <c r="LP781" s="16"/>
      <c r="LQ781" s="17"/>
    </row>
    <row r="782">
      <c r="C782" s="31"/>
      <c r="D782" s="61"/>
      <c r="E782" s="16"/>
      <c r="F782" s="16"/>
      <c r="G782" s="21"/>
      <c r="H782" s="16"/>
      <c r="I782" s="16"/>
      <c r="J782" s="17"/>
      <c r="N782" s="17"/>
      <c r="O782" s="61"/>
      <c r="P782" s="16"/>
      <c r="Q782" s="16"/>
      <c r="R782" s="16"/>
      <c r="S782" s="16"/>
      <c r="T782" s="16"/>
      <c r="U782" s="17"/>
      <c r="Y782" s="24"/>
      <c r="Z782" s="61"/>
      <c r="AA782" s="16"/>
      <c r="AB782" s="16"/>
      <c r="AC782" s="16"/>
      <c r="AD782" s="16"/>
      <c r="AE782" s="16"/>
      <c r="AF782" s="17"/>
      <c r="AJ782" s="24"/>
      <c r="AK782" s="61"/>
      <c r="AL782" s="16"/>
      <c r="AM782" s="16"/>
      <c r="AN782" s="16"/>
      <c r="AO782" s="16"/>
      <c r="AP782" s="16"/>
      <c r="AQ782" s="17"/>
      <c r="AU782" s="24"/>
      <c r="AV782" s="61"/>
      <c r="AW782" s="16"/>
      <c r="AX782" s="16"/>
      <c r="AY782" s="16"/>
      <c r="AZ782" s="16"/>
      <c r="BA782" s="16"/>
      <c r="BB782" s="17"/>
      <c r="BF782" s="24"/>
      <c r="BG782" s="61"/>
      <c r="BH782" s="16"/>
      <c r="BI782" s="16"/>
      <c r="BJ782" s="16"/>
      <c r="BK782" s="16"/>
      <c r="BL782" s="16"/>
      <c r="BM782" s="17"/>
      <c r="BQ782" s="24"/>
      <c r="BR782" s="61"/>
      <c r="BS782" s="16"/>
      <c r="BT782" s="16"/>
      <c r="BU782" s="16"/>
      <c r="BV782" s="16"/>
      <c r="BW782" s="16"/>
      <c r="BX782" s="17"/>
      <c r="CB782" s="24"/>
      <c r="CC782" s="61"/>
      <c r="CD782" s="16"/>
      <c r="CE782" s="16"/>
      <c r="CF782" s="16"/>
      <c r="CG782" s="16"/>
      <c r="CH782" s="16"/>
      <c r="CI782" s="17"/>
      <c r="CM782" s="24"/>
      <c r="CN782" s="61"/>
      <c r="CO782" s="16"/>
      <c r="CP782" s="16"/>
      <c r="CQ782" s="16"/>
      <c r="CR782" s="16"/>
      <c r="CS782" s="16"/>
      <c r="CT782" s="17"/>
      <c r="CX782" s="24"/>
      <c r="CY782" s="60"/>
      <c r="CZ782" s="16"/>
      <c r="DA782" s="16"/>
      <c r="DB782" s="16"/>
      <c r="DC782" s="16"/>
      <c r="DD782" s="16"/>
      <c r="DE782" s="17"/>
      <c r="DI782" s="24"/>
      <c r="DJ782" s="60"/>
      <c r="DK782" s="16"/>
      <c r="DL782" s="16"/>
      <c r="DM782" s="16"/>
      <c r="DN782" s="16"/>
      <c r="DO782" s="16"/>
      <c r="DP782" s="17"/>
      <c r="DT782" s="24"/>
      <c r="DU782" s="60"/>
      <c r="DV782" s="16"/>
      <c r="DW782" s="16"/>
      <c r="DX782" s="16"/>
      <c r="DY782" s="16"/>
      <c r="DZ782" s="16"/>
      <c r="EA782" s="17"/>
      <c r="EE782" s="24"/>
      <c r="EF782" s="60"/>
      <c r="EG782" s="16"/>
      <c r="EH782" s="16"/>
      <c r="EI782" s="16"/>
      <c r="EJ782" s="16"/>
      <c r="EK782" s="16"/>
      <c r="EL782" s="17"/>
      <c r="EP782" s="24"/>
      <c r="EQ782" s="60"/>
      <c r="ER782" s="16"/>
      <c r="ES782" s="16"/>
      <c r="ET782" s="16"/>
      <c r="EU782" s="16"/>
      <c r="EV782" s="16"/>
      <c r="EW782" s="17"/>
      <c r="FA782" s="24"/>
      <c r="FB782" s="60"/>
      <c r="FC782" s="16"/>
      <c r="FD782" s="16"/>
      <c r="FE782" s="16"/>
      <c r="FF782" s="16"/>
      <c r="FG782" s="16"/>
      <c r="FH782" s="17"/>
      <c r="FL782" s="24"/>
      <c r="FM782" s="60"/>
      <c r="FN782" s="16"/>
      <c r="FO782" s="16"/>
      <c r="FP782" s="16"/>
      <c r="FQ782" s="16"/>
      <c r="FR782" s="16"/>
      <c r="FS782" s="17"/>
      <c r="FW782" s="24"/>
      <c r="FX782" s="60"/>
      <c r="FY782" s="16"/>
      <c r="FZ782" s="16"/>
      <c r="GA782" s="16"/>
      <c r="GB782" s="16"/>
      <c r="GC782" s="16"/>
      <c r="GD782" s="17"/>
      <c r="GH782" s="24"/>
      <c r="GI782" s="60"/>
      <c r="GJ782" s="16"/>
      <c r="GK782" s="16"/>
      <c r="GL782" s="16"/>
      <c r="GM782" s="16"/>
      <c r="GN782" s="16"/>
      <c r="GO782" s="17"/>
      <c r="GS782" s="24"/>
      <c r="GT782" s="60"/>
      <c r="GU782" s="16"/>
      <c r="GV782" s="16"/>
      <c r="GW782" s="16"/>
      <c r="GX782" s="16"/>
      <c r="GY782" s="16"/>
      <c r="GZ782" s="17"/>
      <c r="HD782" s="24"/>
      <c r="HE782" s="60"/>
      <c r="HF782" s="16"/>
      <c r="HG782" s="16"/>
      <c r="HH782" s="16"/>
      <c r="HI782" s="16"/>
      <c r="HJ782" s="16"/>
      <c r="HK782" s="17"/>
      <c r="HO782" s="24"/>
      <c r="HP782" s="60"/>
      <c r="HQ782" s="16"/>
      <c r="HR782" s="16"/>
      <c r="HS782" s="16"/>
      <c r="HT782" s="16"/>
      <c r="HU782" s="16"/>
      <c r="HV782" s="17"/>
      <c r="HZ782" s="24"/>
      <c r="IA782" s="60"/>
      <c r="IB782" s="16"/>
      <c r="IC782" s="16"/>
      <c r="ID782" s="16"/>
      <c r="IE782" s="16"/>
      <c r="IF782" s="16"/>
      <c r="IG782" s="17"/>
      <c r="IK782" s="24"/>
      <c r="IL782" s="60"/>
      <c r="IM782" s="16"/>
      <c r="IN782" s="16"/>
      <c r="IO782" s="16"/>
      <c r="IP782" s="16"/>
      <c r="IQ782" s="16"/>
      <c r="IR782" s="17"/>
      <c r="IV782" s="24"/>
      <c r="IW782" s="60"/>
      <c r="IX782" s="16"/>
      <c r="IY782" s="16"/>
      <c r="IZ782" s="16"/>
      <c r="JA782" s="16"/>
      <c r="JB782" s="16"/>
      <c r="JC782" s="17"/>
      <c r="JG782" s="24"/>
      <c r="JH782" s="60"/>
      <c r="JI782" s="16"/>
      <c r="JJ782" s="16"/>
      <c r="JK782" s="16"/>
      <c r="JL782" s="16"/>
      <c r="JM782" s="16"/>
      <c r="JN782" s="17"/>
      <c r="JR782" s="24"/>
      <c r="JS782" s="60"/>
      <c r="JT782" s="16"/>
      <c r="JU782" s="16"/>
      <c r="JV782" s="16"/>
      <c r="JW782" s="16"/>
      <c r="JX782" s="16"/>
      <c r="JY782" s="17"/>
      <c r="KC782" s="24"/>
      <c r="KD782" s="60"/>
      <c r="KE782" s="16"/>
      <c r="KF782" s="16"/>
      <c r="KG782" s="16"/>
      <c r="KH782" s="16"/>
      <c r="KI782" s="16"/>
      <c r="KJ782" s="17"/>
      <c r="KN782" s="24"/>
      <c r="KO782" s="60"/>
      <c r="KP782" s="16"/>
      <c r="KQ782" s="16"/>
      <c r="KR782" s="16"/>
      <c r="KS782" s="16"/>
      <c r="KT782" s="16"/>
      <c r="KU782" s="17"/>
      <c r="KY782" s="24"/>
      <c r="KZ782" s="60"/>
      <c r="LA782" s="16"/>
      <c r="LB782" s="16"/>
      <c r="LC782" s="16"/>
      <c r="LD782" s="16"/>
      <c r="LE782" s="16"/>
      <c r="LF782" s="17"/>
      <c r="LJ782" s="24"/>
      <c r="LK782" s="60"/>
      <c r="LL782" s="16"/>
      <c r="LM782" s="16"/>
      <c r="LN782" s="16"/>
      <c r="LO782" s="16"/>
      <c r="LP782" s="16"/>
      <c r="LQ782" s="17"/>
    </row>
    <row r="783">
      <c r="C783" s="31"/>
      <c r="D783" s="61"/>
      <c r="E783" s="16"/>
      <c r="F783" s="16"/>
      <c r="G783" s="21"/>
      <c r="H783" s="16"/>
      <c r="I783" s="16"/>
      <c r="J783" s="17"/>
      <c r="N783" s="17"/>
      <c r="O783" s="61"/>
      <c r="P783" s="16"/>
      <c r="Q783" s="16"/>
      <c r="R783" s="16"/>
      <c r="S783" s="16"/>
      <c r="T783" s="16"/>
      <c r="U783" s="17"/>
      <c r="Y783" s="24"/>
      <c r="Z783" s="61"/>
      <c r="AA783" s="16"/>
      <c r="AB783" s="16"/>
      <c r="AC783" s="16"/>
      <c r="AD783" s="16"/>
      <c r="AE783" s="16"/>
      <c r="AF783" s="17"/>
      <c r="AJ783" s="24"/>
      <c r="AK783" s="61"/>
      <c r="AL783" s="16"/>
      <c r="AM783" s="16"/>
      <c r="AN783" s="16"/>
      <c r="AO783" s="16"/>
      <c r="AP783" s="16"/>
      <c r="AQ783" s="17"/>
      <c r="AU783" s="24"/>
      <c r="AV783" s="61"/>
      <c r="AW783" s="16"/>
      <c r="AX783" s="16"/>
      <c r="AY783" s="16"/>
      <c r="AZ783" s="16"/>
      <c r="BA783" s="16"/>
      <c r="BB783" s="17"/>
      <c r="BF783" s="24"/>
      <c r="BG783" s="61"/>
      <c r="BH783" s="16"/>
      <c r="BI783" s="16"/>
      <c r="BJ783" s="16"/>
      <c r="BK783" s="16"/>
      <c r="BL783" s="16"/>
      <c r="BM783" s="17"/>
      <c r="BQ783" s="24"/>
      <c r="BR783" s="61"/>
      <c r="BS783" s="16"/>
      <c r="BT783" s="16"/>
      <c r="BU783" s="16"/>
      <c r="BV783" s="16"/>
      <c r="BW783" s="16"/>
      <c r="BX783" s="17"/>
      <c r="CB783" s="24"/>
      <c r="CC783" s="61"/>
      <c r="CD783" s="16"/>
      <c r="CE783" s="16"/>
      <c r="CF783" s="16"/>
      <c r="CG783" s="16"/>
      <c r="CH783" s="16"/>
      <c r="CI783" s="17"/>
      <c r="CM783" s="24"/>
      <c r="CN783" s="61"/>
      <c r="CO783" s="16"/>
      <c r="CP783" s="16"/>
      <c r="CQ783" s="16"/>
      <c r="CR783" s="16"/>
      <c r="CS783" s="16"/>
      <c r="CT783" s="17"/>
      <c r="CX783" s="24"/>
      <c r="CY783" s="60"/>
      <c r="CZ783" s="16"/>
      <c r="DA783" s="16"/>
      <c r="DB783" s="16"/>
      <c r="DC783" s="16"/>
      <c r="DD783" s="16"/>
      <c r="DE783" s="17"/>
      <c r="DI783" s="24"/>
      <c r="DJ783" s="60"/>
      <c r="DK783" s="16"/>
      <c r="DL783" s="16"/>
      <c r="DM783" s="16"/>
      <c r="DN783" s="16"/>
      <c r="DO783" s="16"/>
      <c r="DP783" s="17"/>
      <c r="DT783" s="24"/>
      <c r="DU783" s="60"/>
      <c r="DV783" s="16"/>
      <c r="DW783" s="16"/>
      <c r="DX783" s="16"/>
      <c r="DY783" s="16"/>
      <c r="DZ783" s="16"/>
      <c r="EA783" s="17"/>
      <c r="EE783" s="24"/>
      <c r="EF783" s="60"/>
      <c r="EG783" s="16"/>
      <c r="EH783" s="16"/>
      <c r="EI783" s="16"/>
      <c r="EJ783" s="16"/>
      <c r="EK783" s="16"/>
      <c r="EL783" s="17"/>
      <c r="EP783" s="24"/>
      <c r="EQ783" s="60"/>
      <c r="ER783" s="16"/>
      <c r="ES783" s="16"/>
      <c r="ET783" s="16"/>
      <c r="EU783" s="16"/>
      <c r="EV783" s="16"/>
      <c r="EW783" s="17"/>
      <c r="FA783" s="24"/>
      <c r="FB783" s="60"/>
      <c r="FC783" s="16"/>
      <c r="FD783" s="16"/>
      <c r="FE783" s="16"/>
      <c r="FF783" s="16"/>
      <c r="FG783" s="16"/>
      <c r="FH783" s="17"/>
      <c r="FL783" s="24"/>
      <c r="FM783" s="60"/>
      <c r="FN783" s="16"/>
      <c r="FO783" s="16"/>
      <c r="FP783" s="16"/>
      <c r="FQ783" s="16"/>
      <c r="FR783" s="16"/>
      <c r="FS783" s="17"/>
      <c r="FW783" s="24"/>
      <c r="FX783" s="60"/>
      <c r="FY783" s="16"/>
      <c r="FZ783" s="16"/>
      <c r="GA783" s="16"/>
      <c r="GB783" s="16"/>
      <c r="GC783" s="16"/>
      <c r="GD783" s="17"/>
      <c r="GH783" s="24"/>
      <c r="GI783" s="60"/>
      <c r="GJ783" s="16"/>
      <c r="GK783" s="16"/>
      <c r="GL783" s="16"/>
      <c r="GM783" s="16"/>
      <c r="GN783" s="16"/>
      <c r="GO783" s="17"/>
      <c r="GS783" s="24"/>
      <c r="GT783" s="60"/>
      <c r="GU783" s="16"/>
      <c r="GV783" s="16"/>
      <c r="GW783" s="16"/>
      <c r="GX783" s="16"/>
      <c r="GY783" s="16"/>
      <c r="GZ783" s="17"/>
      <c r="HD783" s="24"/>
      <c r="HE783" s="60"/>
      <c r="HF783" s="16"/>
      <c r="HG783" s="16"/>
      <c r="HH783" s="16"/>
      <c r="HI783" s="16"/>
      <c r="HJ783" s="16"/>
      <c r="HK783" s="17"/>
      <c r="HO783" s="24"/>
      <c r="HP783" s="60"/>
      <c r="HQ783" s="16"/>
      <c r="HR783" s="16"/>
      <c r="HS783" s="16"/>
      <c r="HT783" s="16"/>
      <c r="HU783" s="16"/>
      <c r="HV783" s="17"/>
      <c r="HZ783" s="24"/>
      <c r="IA783" s="60"/>
      <c r="IB783" s="16"/>
      <c r="IC783" s="16"/>
      <c r="ID783" s="16"/>
      <c r="IE783" s="16"/>
      <c r="IF783" s="16"/>
      <c r="IG783" s="17"/>
      <c r="IK783" s="24"/>
      <c r="IL783" s="60"/>
      <c r="IM783" s="16"/>
      <c r="IN783" s="16"/>
      <c r="IO783" s="16"/>
      <c r="IP783" s="16"/>
      <c r="IQ783" s="16"/>
      <c r="IR783" s="17"/>
      <c r="IV783" s="24"/>
      <c r="IW783" s="60"/>
      <c r="IX783" s="16"/>
      <c r="IY783" s="16"/>
      <c r="IZ783" s="16"/>
      <c r="JA783" s="16"/>
      <c r="JB783" s="16"/>
      <c r="JC783" s="17"/>
      <c r="JG783" s="24"/>
      <c r="JH783" s="60"/>
      <c r="JI783" s="16"/>
      <c r="JJ783" s="16"/>
      <c r="JK783" s="16"/>
      <c r="JL783" s="16"/>
      <c r="JM783" s="16"/>
      <c r="JN783" s="17"/>
      <c r="JR783" s="24"/>
      <c r="JS783" s="60"/>
      <c r="JT783" s="16"/>
      <c r="JU783" s="16"/>
      <c r="JV783" s="16"/>
      <c r="JW783" s="16"/>
      <c r="JX783" s="16"/>
      <c r="JY783" s="17"/>
      <c r="KC783" s="24"/>
      <c r="KD783" s="60"/>
      <c r="KE783" s="16"/>
      <c r="KF783" s="16"/>
      <c r="KG783" s="16"/>
      <c r="KH783" s="16"/>
      <c r="KI783" s="16"/>
      <c r="KJ783" s="17"/>
      <c r="KN783" s="24"/>
      <c r="KO783" s="60"/>
      <c r="KP783" s="16"/>
      <c r="KQ783" s="16"/>
      <c r="KR783" s="16"/>
      <c r="KS783" s="16"/>
      <c r="KT783" s="16"/>
      <c r="KU783" s="17"/>
      <c r="KY783" s="24"/>
      <c r="KZ783" s="60"/>
      <c r="LA783" s="16"/>
      <c r="LB783" s="16"/>
      <c r="LC783" s="16"/>
      <c r="LD783" s="16"/>
      <c r="LE783" s="16"/>
      <c r="LF783" s="17"/>
      <c r="LJ783" s="24"/>
      <c r="LK783" s="60"/>
      <c r="LL783" s="16"/>
      <c r="LM783" s="16"/>
      <c r="LN783" s="16"/>
      <c r="LO783" s="16"/>
      <c r="LP783" s="16"/>
      <c r="LQ783" s="17"/>
    </row>
    <row r="784">
      <c r="C784" s="31"/>
      <c r="D784" s="61"/>
      <c r="E784" s="16"/>
      <c r="F784" s="16"/>
      <c r="G784" s="21"/>
      <c r="H784" s="16"/>
      <c r="I784" s="16"/>
      <c r="J784" s="17"/>
      <c r="N784" s="17"/>
      <c r="O784" s="61"/>
      <c r="P784" s="16"/>
      <c r="Q784" s="16"/>
      <c r="R784" s="16"/>
      <c r="S784" s="16"/>
      <c r="T784" s="16"/>
      <c r="U784" s="17"/>
      <c r="Y784" s="24"/>
      <c r="Z784" s="61"/>
      <c r="AA784" s="16"/>
      <c r="AB784" s="16"/>
      <c r="AC784" s="16"/>
      <c r="AD784" s="16"/>
      <c r="AE784" s="16"/>
      <c r="AF784" s="17"/>
      <c r="AJ784" s="24"/>
      <c r="AK784" s="61"/>
      <c r="AL784" s="16"/>
      <c r="AM784" s="16"/>
      <c r="AN784" s="16"/>
      <c r="AO784" s="16"/>
      <c r="AP784" s="16"/>
      <c r="AQ784" s="17"/>
      <c r="AU784" s="24"/>
      <c r="AV784" s="61"/>
      <c r="AW784" s="16"/>
      <c r="AX784" s="16"/>
      <c r="AY784" s="16"/>
      <c r="AZ784" s="16"/>
      <c r="BA784" s="16"/>
      <c r="BB784" s="17"/>
      <c r="BF784" s="24"/>
      <c r="BG784" s="61"/>
      <c r="BH784" s="16"/>
      <c r="BI784" s="16"/>
      <c r="BJ784" s="16"/>
      <c r="BK784" s="16"/>
      <c r="BL784" s="16"/>
      <c r="BM784" s="17"/>
      <c r="BQ784" s="24"/>
      <c r="BR784" s="61"/>
      <c r="BS784" s="16"/>
      <c r="BT784" s="16"/>
      <c r="BU784" s="16"/>
      <c r="BV784" s="16"/>
      <c r="BW784" s="16"/>
      <c r="BX784" s="17"/>
      <c r="CB784" s="24"/>
      <c r="CC784" s="61"/>
      <c r="CD784" s="16"/>
      <c r="CE784" s="16"/>
      <c r="CF784" s="16"/>
      <c r="CG784" s="16"/>
      <c r="CH784" s="16"/>
      <c r="CI784" s="17"/>
      <c r="CM784" s="24"/>
      <c r="CN784" s="61"/>
      <c r="CO784" s="16"/>
      <c r="CP784" s="16"/>
      <c r="CQ784" s="16"/>
      <c r="CR784" s="16"/>
      <c r="CS784" s="16"/>
      <c r="CT784" s="17"/>
      <c r="CX784" s="24"/>
      <c r="CY784" s="60"/>
      <c r="CZ784" s="16"/>
      <c r="DA784" s="16"/>
      <c r="DB784" s="16"/>
      <c r="DC784" s="16"/>
      <c r="DD784" s="16"/>
      <c r="DE784" s="17"/>
      <c r="DI784" s="24"/>
      <c r="DJ784" s="60"/>
      <c r="DK784" s="16"/>
      <c r="DL784" s="16"/>
      <c r="DM784" s="16"/>
      <c r="DN784" s="16"/>
      <c r="DO784" s="16"/>
      <c r="DP784" s="17"/>
      <c r="DT784" s="24"/>
      <c r="DU784" s="60"/>
      <c r="DV784" s="16"/>
      <c r="DW784" s="16"/>
      <c r="DX784" s="16"/>
      <c r="DY784" s="16"/>
      <c r="DZ784" s="16"/>
      <c r="EA784" s="17"/>
      <c r="EE784" s="24"/>
      <c r="EF784" s="60"/>
      <c r="EG784" s="16"/>
      <c r="EH784" s="16"/>
      <c r="EI784" s="16"/>
      <c r="EJ784" s="16"/>
      <c r="EK784" s="16"/>
      <c r="EL784" s="17"/>
      <c r="EP784" s="24"/>
      <c r="EQ784" s="60"/>
      <c r="ER784" s="16"/>
      <c r="ES784" s="16"/>
      <c r="ET784" s="16"/>
      <c r="EU784" s="16"/>
      <c r="EV784" s="16"/>
      <c r="EW784" s="17"/>
      <c r="FA784" s="24"/>
      <c r="FB784" s="60"/>
      <c r="FC784" s="16"/>
      <c r="FD784" s="16"/>
      <c r="FE784" s="16"/>
      <c r="FF784" s="16"/>
      <c r="FG784" s="16"/>
      <c r="FH784" s="17"/>
      <c r="FL784" s="24"/>
      <c r="FM784" s="60"/>
      <c r="FN784" s="16"/>
      <c r="FO784" s="16"/>
      <c r="FP784" s="16"/>
      <c r="FQ784" s="16"/>
      <c r="FR784" s="16"/>
      <c r="FS784" s="17"/>
      <c r="FW784" s="24"/>
      <c r="FX784" s="60"/>
      <c r="FY784" s="16"/>
      <c r="FZ784" s="16"/>
      <c r="GA784" s="16"/>
      <c r="GB784" s="16"/>
      <c r="GC784" s="16"/>
      <c r="GD784" s="17"/>
      <c r="GH784" s="24"/>
      <c r="GI784" s="60"/>
      <c r="GJ784" s="16"/>
      <c r="GK784" s="16"/>
      <c r="GL784" s="16"/>
      <c r="GM784" s="16"/>
      <c r="GN784" s="16"/>
      <c r="GO784" s="17"/>
      <c r="GS784" s="24"/>
      <c r="GT784" s="60"/>
      <c r="GU784" s="16"/>
      <c r="GV784" s="16"/>
      <c r="GW784" s="16"/>
      <c r="GX784" s="16"/>
      <c r="GY784" s="16"/>
      <c r="GZ784" s="17"/>
      <c r="HD784" s="24"/>
      <c r="HE784" s="60"/>
      <c r="HF784" s="16"/>
      <c r="HG784" s="16"/>
      <c r="HH784" s="16"/>
      <c r="HI784" s="16"/>
      <c r="HJ784" s="16"/>
      <c r="HK784" s="17"/>
      <c r="HO784" s="24"/>
      <c r="HP784" s="60"/>
      <c r="HQ784" s="16"/>
      <c r="HR784" s="16"/>
      <c r="HS784" s="16"/>
      <c r="HT784" s="16"/>
      <c r="HU784" s="16"/>
      <c r="HV784" s="17"/>
      <c r="HZ784" s="24"/>
      <c r="IA784" s="60"/>
      <c r="IB784" s="16"/>
      <c r="IC784" s="16"/>
      <c r="ID784" s="16"/>
      <c r="IE784" s="16"/>
      <c r="IF784" s="16"/>
      <c r="IG784" s="17"/>
      <c r="IK784" s="24"/>
      <c r="IL784" s="60"/>
      <c r="IM784" s="16"/>
      <c r="IN784" s="16"/>
      <c r="IO784" s="16"/>
      <c r="IP784" s="16"/>
      <c r="IQ784" s="16"/>
      <c r="IR784" s="17"/>
      <c r="IV784" s="24"/>
      <c r="IW784" s="60"/>
      <c r="IX784" s="16"/>
      <c r="IY784" s="16"/>
      <c r="IZ784" s="16"/>
      <c r="JA784" s="16"/>
      <c r="JB784" s="16"/>
      <c r="JC784" s="17"/>
      <c r="JG784" s="24"/>
      <c r="JH784" s="60"/>
      <c r="JI784" s="16"/>
      <c r="JJ784" s="16"/>
      <c r="JK784" s="16"/>
      <c r="JL784" s="16"/>
      <c r="JM784" s="16"/>
      <c r="JN784" s="17"/>
      <c r="JR784" s="24"/>
      <c r="JS784" s="60"/>
      <c r="JT784" s="16"/>
      <c r="JU784" s="16"/>
      <c r="JV784" s="16"/>
      <c r="JW784" s="16"/>
      <c r="JX784" s="16"/>
      <c r="JY784" s="17"/>
      <c r="KC784" s="24"/>
      <c r="KD784" s="60"/>
      <c r="KE784" s="16"/>
      <c r="KF784" s="16"/>
      <c r="KG784" s="16"/>
      <c r="KH784" s="16"/>
      <c r="KI784" s="16"/>
      <c r="KJ784" s="17"/>
      <c r="KN784" s="24"/>
      <c r="KO784" s="60"/>
      <c r="KP784" s="16"/>
      <c r="KQ784" s="16"/>
      <c r="KR784" s="16"/>
      <c r="KS784" s="16"/>
      <c r="KT784" s="16"/>
      <c r="KU784" s="17"/>
      <c r="KY784" s="24"/>
      <c r="KZ784" s="60"/>
      <c r="LA784" s="16"/>
      <c r="LB784" s="16"/>
      <c r="LC784" s="16"/>
      <c r="LD784" s="16"/>
      <c r="LE784" s="16"/>
      <c r="LF784" s="17"/>
      <c r="LJ784" s="24"/>
      <c r="LK784" s="60"/>
      <c r="LL784" s="16"/>
      <c r="LM784" s="16"/>
      <c r="LN784" s="16"/>
      <c r="LO784" s="16"/>
      <c r="LP784" s="16"/>
      <c r="LQ784" s="17"/>
    </row>
    <row r="785">
      <c r="C785" s="31"/>
      <c r="D785" s="61"/>
      <c r="E785" s="16"/>
      <c r="F785" s="16"/>
      <c r="G785" s="21"/>
      <c r="H785" s="16"/>
      <c r="I785" s="16"/>
      <c r="J785" s="17"/>
      <c r="N785" s="17"/>
      <c r="O785" s="61"/>
      <c r="P785" s="16"/>
      <c r="Q785" s="16"/>
      <c r="R785" s="16"/>
      <c r="S785" s="16"/>
      <c r="T785" s="16"/>
      <c r="U785" s="17"/>
      <c r="Y785" s="24"/>
      <c r="Z785" s="61"/>
      <c r="AA785" s="16"/>
      <c r="AB785" s="16"/>
      <c r="AC785" s="16"/>
      <c r="AD785" s="16"/>
      <c r="AE785" s="16"/>
      <c r="AF785" s="17"/>
      <c r="AJ785" s="24"/>
      <c r="AK785" s="61"/>
      <c r="AL785" s="16"/>
      <c r="AM785" s="16"/>
      <c r="AN785" s="16"/>
      <c r="AO785" s="16"/>
      <c r="AP785" s="16"/>
      <c r="AQ785" s="17"/>
      <c r="AU785" s="24"/>
      <c r="AV785" s="61"/>
      <c r="AW785" s="16"/>
      <c r="AX785" s="16"/>
      <c r="AY785" s="16"/>
      <c r="AZ785" s="16"/>
      <c r="BA785" s="16"/>
      <c r="BB785" s="17"/>
      <c r="BF785" s="24"/>
      <c r="BG785" s="61"/>
      <c r="BH785" s="16"/>
      <c r="BI785" s="16"/>
      <c r="BJ785" s="16"/>
      <c r="BK785" s="16"/>
      <c r="BL785" s="16"/>
      <c r="BM785" s="17"/>
      <c r="BQ785" s="24"/>
      <c r="BR785" s="61"/>
      <c r="BS785" s="16"/>
      <c r="BT785" s="16"/>
      <c r="BU785" s="16"/>
      <c r="BV785" s="16"/>
      <c r="BW785" s="16"/>
      <c r="BX785" s="17"/>
      <c r="CB785" s="24"/>
      <c r="CC785" s="61"/>
      <c r="CD785" s="16"/>
      <c r="CE785" s="16"/>
      <c r="CF785" s="16"/>
      <c r="CG785" s="16"/>
      <c r="CH785" s="16"/>
      <c r="CI785" s="17"/>
      <c r="CM785" s="24"/>
      <c r="CN785" s="61"/>
      <c r="CO785" s="16"/>
      <c r="CP785" s="16"/>
      <c r="CQ785" s="16"/>
      <c r="CR785" s="16"/>
      <c r="CS785" s="16"/>
      <c r="CT785" s="17"/>
      <c r="CX785" s="24"/>
      <c r="CY785" s="60"/>
      <c r="CZ785" s="16"/>
      <c r="DA785" s="16"/>
      <c r="DB785" s="16"/>
      <c r="DC785" s="16"/>
      <c r="DD785" s="16"/>
      <c r="DE785" s="17"/>
      <c r="DI785" s="24"/>
      <c r="DJ785" s="60"/>
      <c r="DK785" s="16"/>
      <c r="DL785" s="16"/>
      <c r="DM785" s="16"/>
      <c r="DN785" s="16"/>
      <c r="DO785" s="16"/>
      <c r="DP785" s="17"/>
      <c r="DT785" s="24"/>
      <c r="DU785" s="60"/>
      <c r="DV785" s="16"/>
      <c r="DW785" s="16"/>
      <c r="DX785" s="16"/>
      <c r="DY785" s="16"/>
      <c r="DZ785" s="16"/>
      <c r="EA785" s="17"/>
      <c r="EE785" s="24"/>
      <c r="EF785" s="60"/>
      <c r="EG785" s="16"/>
      <c r="EH785" s="16"/>
      <c r="EI785" s="16"/>
      <c r="EJ785" s="16"/>
      <c r="EK785" s="16"/>
      <c r="EL785" s="17"/>
      <c r="EP785" s="24"/>
      <c r="EQ785" s="60"/>
      <c r="ER785" s="16"/>
      <c r="ES785" s="16"/>
      <c r="ET785" s="16"/>
      <c r="EU785" s="16"/>
      <c r="EV785" s="16"/>
      <c r="EW785" s="17"/>
      <c r="FA785" s="24"/>
      <c r="FB785" s="60"/>
      <c r="FC785" s="16"/>
      <c r="FD785" s="16"/>
      <c r="FE785" s="16"/>
      <c r="FF785" s="16"/>
      <c r="FG785" s="16"/>
      <c r="FH785" s="17"/>
      <c r="FL785" s="24"/>
      <c r="FM785" s="60"/>
      <c r="FN785" s="16"/>
      <c r="FO785" s="16"/>
      <c r="FP785" s="16"/>
      <c r="FQ785" s="16"/>
      <c r="FR785" s="16"/>
      <c r="FS785" s="17"/>
      <c r="FW785" s="24"/>
      <c r="FX785" s="60"/>
      <c r="FY785" s="16"/>
      <c r="FZ785" s="16"/>
      <c r="GA785" s="16"/>
      <c r="GB785" s="16"/>
      <c r="GC785" s="16"/>
      <c r="GD785" s="17"/>
      <c r="GH785" s="24"/>
      <c r="GI785" s="60"/>
      <c r="GJ785" s="16"/>
      <c r="GK785" s="16"/>
      <c r="GL785" s="16"/>
      <c r="GM785" s="16"/>
      <c r="GN785" s="16"/>
      <c r="GO785" s="17"/>
      <c r="GS785" s="24"/>
      <c r="GT785" s="60"/>
      <c r="GU785" s="16"/>
      <c r="GV785" s="16"/>
      <c r="GW785" s="16"/>
      <c r="GX785" s="16"/>
      <c r="GY785" s="16"/>
      <c r="GZ785" s="17"/>
      <c r="HD785" s="24"/>
      <c r="HE785" s="60"/>
      <c r="HF785" s="16"/>
      <c r="HG785" s="16"/>
      <c r="HH785" s="16"/>
      <c r="HI785" s="16"/>
      <c r="HJ785" s="16"/>
      <c r="HK785" s="17"/>
      <c r="HO785" s="24"/>
      <c r="HP785" s="60"/>
      <c r="HQ785" s="16"/>
      <c r="HR785" s="16"/>
      <c r="HS785" s="16"/>
      <c r="HT785" s="16"/>
      <c r="HU785" s="16"/>
      <c r="HV785" s="17"/>
      <c r="HZ785" s="24"/>
      <c r="IA785" s="60"/>
      <c r="IB785" s="16"/>
      <c r="IC785" s="16"/>
      <c r="ID785" s="16"/>
      <c r="IE785" s="16"/>
      <c r="IF785" s="16"/>
      <c r="IG785" s="17"/>
      <c r="IK785" s="24"/>
      <c r="IL785" s="60"/>
      <c r="IM785" s="16"/>
      <c r="IN785" s="16"/>
      <c r="IO785" s="16"/>
      <c r="IP785" s="16"/>
      <c r="IQ785" s="16"/>
      <c r="IR785" s="17"/>
      <c r="IV785" s="24"/>
      <c r="IW785" s="60"/>
      <c r="IX785" s="16"/>
      <c r="IY785" s="16"/>
      <c r="IZ785" s="16"/>
      <c r="JA785" s="16"/>
      <c r="JB785" s="16"/>
      <c r="JC785" s="17"/>
      <c r="JG785" s="24"/>
      <c r="JH785" s="60"/>
      <c r="JI785" s="16"/>
      <c r="JJ785" s="16"/>
      <c r="JK785" s="16"/>
      <c r="JL785" s="16"/>
      <c r="JM785" s="16"/>
      <c r="JN785" s="17"/>
      <c r="JR785" s="24"/>
      <c r="JS785" s="60"/>
      <c r="JT785" s="16"/>
      <c r="JU785" s="16"/>
      <c r="JV785" s="16"/>
      <c r="JW785" s="16"/>
      <c r="JX785" s="16"/>
      <c r="JY785" s="17"/>
      <c r="KC785" s="24"/>
      <c r="KD785" s="60"/>
      <c r="KE785" s="16"/>
      <c r="KF785" s="16"/>
      <c r="KG785" s="16"/>
      <c r="KH785" s="16"/>
      <c r="KI785" s="16"/>
      <c r="KJ785" s="17"/>
      <c r="KN785" s="24"/>
      <c r="KO785" s="60"/>
      <c r="KP785" s="16"/>
      <c r="KQ785" s="16"/>
      <c r="KR785" s="16"/>
      <c r="KS785" s="16"/>
      <c r="KT785" s="16"/>
      <c r="KU785" s="17"/>
      <c r="KY785" s="24"/>
      <c r="KZ785" s="60"/>
      <c r="LA785" s="16"/>
      <c r="LB785" s="16"/>
      <c r="LC785" s="16"/>
      <c r="LD785" s="16"/>
      <c r="LE785" s="16"/>
      <c r="LF785" s="17"/>
      <c r="LJ785" s="24"/>
      <c r="LK785" s="60"/>
      <c r="LL785" s="16"/>
      <c r="LM785" s="16"/>
      <c r="LN785" s="16"/>
      <c r="LO785" s="16"/>
      <c r="LP785" s="16"/>
      <c r="LQ785" s="17"/>
    </row>
    <row r="786">
      <c r="C786" s="31"/>
      <c r="D786" s="61"/>
      <c r="E786" s="16"/>
      <c r="F786" s="16"/>
      <c r="G786" s="21"/>
      <c r="H786" s="16"/>
      <c r="I786" s="16"/>
      <c r="J786" s="17"/>
      <c r="N786" s="17"/>
      <c r="O786" s="61"/>
      <c r="P786" s="16"/>
      <c r="Q786" s="16"/>
      <c r="R786" s="16"/>
      <c r="S786" s="16"/>
      <c r="T786" s="16"/>
      <c r="U786" s="17"/>
      <c r="Y786" s="24"/>
      <c r="Z786" s="61"/>
      <c r="AA786" s="16"/>
      <c r="AB786" s="16"/>
      <c r="AC786" s="16"/>
      <c r="AD786" s="16"/>
      <c r="AE786" s="16"/>
      <c r="AF786" s="17"/>
      <c r="AJ786" s="24"/>
      <c r="AK786" s="61"/>
      <c r="AL786" s="16"/>
      <c r="AM786" s="16"/>
      <c r="AN786" s="16"/>
      <c r="AO786" s="16"/>
      <c r="AP786" s="16"/>
      <c r="AQ786" s="17"/>
      <c r="AU786" s="24"/>
      <c r="AV786" s="61"/>
      <c r="AW786" s="16"/>
      <c r="AX786" s="16"/>
      <c r="AY786" s="16"/>
      <c r="AZ786" s="16"/>
      <c r="BA786" s="16"/>
      <c r="BB786" s="17"/>
      <c r="BF786" s="24"/>
      <c r="BG786" s="61"/>
      <c r="BH786" s="16"/>
      <c r="BI786" s="16"/>
      <c r="BJ786" s="16"/>
      <c r="BK786" s="16"/>
      <c r="BL786" s="16"/>
      <c r="BM786" s="17"/>
      <c r="BQ786" s="24"/>
      <c r="BR786" s="61"/>
      <c r="BS786" s="16"/>
      <c r="BT786" s="16"/>
      <c r="BU786" s="16"/>
      <c r="BV786" s="16"/>
      <c r="BW786" s="16"/>
      <c r="BX786" s="17"/>
      <c r="CB786" s="24"/>
      <c r="CC786" s="61"/>
      <c r="CD786" s="16"/>
      <c r="CE786" s="16"/>
      <c r="CF786" s="16"/>
      <c r="CG786" s="16"/>
      <c r="CH786" s="16"/>
      <c r="CI786" s="17"/>
      <c r="CM786" s="24"/>
      <c r="CN786" s="61"/>
      <c r="CO786" s="16"/>
      <c r="CP786" s="16"/>
      <c r="CQ786" s="16"/>
      <c r="CR786" s="16"/>
      <c r="CS786" s="16"/>
      <c r="CT786" s="17"/>
      <c r="CX786" s="24"/>
      <c r="CY786" s="60"/>
      <c r="CZ786" s="16"/>
      <c r="DA786" s="16"/>
      <c r="DB786" s="16"/>
      <c r="DC786" s="16"/>
      <c r="DD786" s="16"/>
      <c r="DE786" s="17"/>
      <c r="DI786" s="24"/>
      <c r="DJ786" s="60"/>
      <c r="DK786" s="16"/>
      <c r="DL786" s="16"/>
      <c r="DM786" s="16"/>
      <c r="DN786" s="16"/>
      <c r="DO786" s="16"/>
      <c r="DP786" s="17"/>
      <c r="DT786" s="24"/>
      <c r="DU786" s="60"/>
      <c r="DV786" s="16"/>
      <c r="DW786" s="16"/>
      <c r="DX786" s="16"/>
      <c r="DY786" s="16"/>
      <c r="DZ786" s="16"/>
      <c r="EA786" s="17"/>
      <c r="EE786" s="24"/>
      <c r="EF786" s="60"/>
      <c r="EG786" s="16"/>
      <c r="EH786" s="16"/>
      <c r="EI786" s="16"/>
      <c r="EJ786" s="16"/>
      <c r="EK786" s="16"/>
      <c r="EL786" s="17"/>
      <c r="EP786" s="24"/>
      <c r="EQ786" s="60"/>
      <c r="ER786" s="16"/>
      <c r="ES786" s="16"/>
      <c r="ET786" s="16"/>
      <c r="EU786" s="16"/>
      <c r="EV786" s="16"/>
      <c r="EW786" s="17"/>
      <c r="FA786" s="24"/>
      <c r="FB786" s="60"/>
      <c r="FC786" s="16"/>
      <c r="FD786" s="16"/>
      <c r="FE786" s="16"/>
      <c r="FF786" s="16"/>
      <c r="FG786" s="16"/>
      <c r="FH786" s="17"/>
      <c r="FL786" s="24"/>
      <c r="FM786" s="60"/>
      <c r="FN786" s="16"/>
      <c r="FO786" s="16"/>
      <c r="FP786" s="16"/>
      <c r="FQ786" s="16"/>
      <c r="FR786" s="16"/>
      <c r="FS786" s="17"/>
      <c r="FW786" s="24"/>
      <c r="FX786" s="60"/>
      <c r="FY786" s="16"/>
      <c r="FZ786" s="16"/>
      <c r="GA786" s="16"/>
      <c r="GB786" s="16"/>
      <c r="GC786" s="16"/>
      <c r="GD786" s="17"/>
      <c r="GH786" s="24"/>
      <c r="GI786" s="60"/>
      <c r="GJ786" s="16"/>
      <c r="GK786" s="16"/>
      <c r="GL786" s="16"/>
      <c r="GM786" s="16"/>
      <c r="GN786" s="16"/>
      <c r="GO786" s="17"/>
      <c r="GS786" s="24"/>
      <c r="GT786" s="60"/>
      <c r="GU786" s="16"/>
      <c r="GV786" s="16"/>
      <c r="GW786" s="16"/>
      <c r="GX786" s="16"/>
      <c r="GY786" s="16"/>
      <c r="GZ786" s="17"/>
      <c r="HD786" s="24"/>
      <c r="HE786" s="60"/>
      <c r="HF786" s="16"/>
      <c r="HG786" s="16"/>
      <c r="HH786" s="16"/>
      <c r="HI786" s="16"/>
      <c r="HJ786" s="16"/>
      <c r="HK786" s="17"/>
      <c r="HO786" s="24"/>
      <c r="HP786" s="60"/>
      <c r="HQ786" s="16"/>
      <c r="HR786" s="16"/>
      <c r="HS786" s="16"/>
      <c r="HT786" s="16"/>
      <c r="HU786" s="16"/>
      <c r="HV786" s="17"/>
      <c r="HZ786" s="24"/>
      <c r="IA786" s="60"/>
      <c r="IB786" s="16"/>
      <c r="IC786" s="16"/>
      <c r="ID786" s="16"/>
      <c r="IE786" s="16"/>
      <c r="IF786" s="16"/>
      <c r="IG786" s="17"/>
      <c r="IK786" s="24"/>
      <c r="IL786" s="60"/>
      <c r="IM786" s="16"/>
      <c r="IN786" s="16"/>
      <c r="IO786" s="16"/>
      <c r="IP786" s="16"/>
      <c r="IQ786" s="16"/>
      <c r="IR786" s="17"/>
      <c r="IV786" s="24"/>
      <c r="IW786" s="60"/>
      <c r="IX786" s="16"/>
      <c r="IY786" s="16"/>
      <c r="IZ786" s="16"/>
      <c r="JA786" s="16"/>
      <c r="JB786" s="16"/>
      <c r="JC786" s="17"/>
      <c r="JG786" s="24"/>
      <c r="JH786" s="60"/>
      <c r="JI786" s="16"/>
      <c r="JJ786" s="16"/>
      <c r="JK786" s="16"/>
      <c r="JL786" s="16"/>
      <c r="JM786" s="16"/>
      <c r="JN786" s="17"/>
      <c r="JR786" s="24"/>
      <c r="JS786" s="60"/>
      <c r="JT786" s="16"/>
      <c r="JU786" s="16"/>
      <c r="JV786" s="16"/>
      <c r="JW786" s="16"/>
      <c r="JX786" s="16"/>
      <c r="JY786" s="17"/>
      <c r="KC786" s="24"/>
      <c r="KD786" s="60"/>
      <c r="KE786" s="16"/>
      <c r="KF786" s="16"/>
      <c r="KG786" s="16"/>
      <c r="KH786" s="16"/>
      <c r="KI786" s="16"/>
      <c r="KJ786" s="17"/>
      <c r="KN786" s="24"/>
      <c r="KO786" s="60"/>
      <c r="KP786" s="16"/>
      <c r="KQ786" s="16"/>
      <c r="KR786" s="16"/>
      <c r="KS786" s="16"/>
      <c r="KT786" s="16"/>
      <c r="KU786" s="17"/>
      <c r="KY786" s="24"/>
      <c r="KZ786" s="60"/>
      <c r="LA786" s="16"/>
      <c r="LB786" s="16"/>
      <c r="LC786" s="16"/>
      <c r="LD786" s="16"/>
      <c r="LE786" s="16"/>
      <c r="LF786" s="17"/>
      <c r="LJ786" s="24"/>
      <c r="LK786" s="60"/>
      <c r="LL786" s="16"/>
      <c r="LM786" s="16"/>
      <c r="LN786" s="16"/>
      <c r="LO786" s="16"/>
      <c r="LP786" s="16"/>
      <c r="LQ786" s="17"/>
    </row>
    <row r="787">
      <c r="C787" s="31"/>
      <c r="D787" s="61"/>
      <c r="E787" s="16"/>
      <c r="F787" s="16"/>
      <c r="G787" s="21"/>
      <c r="H787" s="16"/>
      <c r="I787" s="16"/>
      <c r="J787" s="17"/>
      <c r="N787" s="17"/>
      <c r="O787" s="61"/>
      <c r="P787" s="16"/>
      <c r="Q787" s="16"/>
      <c r="R787" s="16"/>
      <c r="S787" s="16"/>
      <c r="T787" s="16"/>
      <c r="U787" s="17"/>
      <c r="Y787" s="24"/>
      <c r="Z787" s="61"/>
      <c r="AA787" s="16"/>
      <c r="AB787" s="16"/>
      <c r="AC787" s="16"/>
      <c r="AD787" s="16"/>
      <c r="AE787" s="16"/>
      <c r="AF787" s="17"/>
      <c r="AJ787" s="24"/>
      <c r="AK787" s="61"/>
      <c r="AL787" s="16"/>
      <c r="AM787" s="16"/>
      <c r="AN787" s="16"/>
      <c r="AO787" s="16"/>
      <c r="AP787" s="16"/>
      <c r="AQ787" s="17"/>
      <c r="AU787" s="24"/>
      <c r="AV787" s="61"/>
      <c r="AW787" s="16"/>
      <c r="AX787" s="16"/>
      <c r="AY787" s="16"/>
      <c r="AZ787" s="16"/>
      <c r="BA787" s="16"/>
      <c r="BB787" s="17"/>
      <c r="BF787" s="24"/>
      <c r="BG787" s="61"/>
      <c r="BH787" s="16"/>
      <c r="BI787" s="16"/>
      <c r="BJ787" s="16"/>
      <c r="BK787" s="16"/>
      <c r="BL787" s="16"/>
      <c r="BM787" s="17"/>
      <c r="BQ787" s="24"/>
      <c r="BR787" s="61"/>
      <c r="BS787" s="16"/>
      <c r="BT787" s="16"/>
      <c r="BU787" s="16"/>
      <c r="BV787" s="16"/>
      <c r="BW787" s="16"/>
      <c r="BX787" s="17"/>
      <c r="CB787" s="24"/>
      <c r="CC787" s="61"/>
      <c r="CD787" s="16"/>
      <c r="CE787" s="16"/>
      <c r="CF787" s="16"/>
      <c r="CG787" s="16"/>
      <c r="CH787" s="16"/>
      <c r="CI787" s="17"/>
      <c r="CM787" s="24"/>
      <c r="CN787" s="61"/>
      <c r="CO787" s="16"/>
      <c r="CP787" s="16"/>
      <c r="CQ787" s="16"/>
      <c r="CR787" s="16"/>
      <c r="CS787" s="16"/>
      <c r="CT787" s="17"/>
      <c r="CX787" s="24"/>
      <c r="CY787" s="60"/>
      <c r="CZ787" s="16"/>
      <c r="DA787" s="16"/>
      <c r="DB787" s="16"/>
      <c r="DC787" s="16"/>
      <c r="DD787" s="16"/>
      <c r="DE787" s="17"/>
      <c r="DI787" s="24"/>
      <c r="DJ787" s="60"/>
      <c r="DK787" s="16"/>
      <c r="DL787" s="16"/>
      <c r="DM787" s="16"/>
      <c r="DN787" s="16"/>
      <c r="DO787" s="16"/>
      <c r="DP787" s="17"/>
      <c r="DT787" s="24"/>
      <c r="DU787" s="60"/>
      <c r="DV787" s="16"/>
      <c r="DW787" s="16"/>
      <c r="DX787" s="16"/>
      <c r="DY787" s="16"/>
      <c r="DZ787" s="16"/>
      <c r="EA787" s="17"/>
      <c r="EE787" s="24"/>
      <c r="EF787" s="60"/>
      <c r="EG787" s="16"/>
      <c r="EH787" s="16"/>
      <c r="EI787" s="16"/>
      <c r="EJ787" s="16"/>
      <c r="EK787" s="16"/>
      <c r="EL787" s="17"/>
      <c r="EP787" s="24"/>
      <c r="EQ787" s="60"/>
      <c r="ER787" s="16"/>
      <c r="ES787" s="16"/>
      <c r="ET787" s="16"/>
      <c r="EU787" s="16"/>
      <c r="EV787" s="16"/>
      <c r="EW787" s="17"/>
      <c r="FA787" s="24"/>
      <c r="FB787" s="60"/>
      <c r="FC787" s="16"/>
      <c r="FD787" s="16"/>
      <c r="FE787" s="16"/>
      <c r="FF787" s="16"/>
      <c r="FG787" s="16"/>
      <c r="FH787" s="17"/>
      <c r="FL787" s="24"/>
      <c r="FM787" s="60"/>
      <c r="FN787" s="16"/>
      <c r="FO787" s="16"/>
      <c r="FP787" s="16"/>
      <c r="FQ787" s="16"/>
      <c r="FR787" s="16"/>
      <c r="FS787" s="17"/>
      <c r="FW787" s="24"/>
      <c r="FX787" s="60"/>
      <c r="FY787" s="16"/>
      <c r="FZ787" s="16"/>
      <c r="GA787" s="16"/>
      <c r="GB787" s="16"/>
      <c r="GC787" s="16"/>
      <c r="GD787" s="17"/>
      <c r="GH787" s="24"/>
      <c r="GI787" s="60"/>
      <c r="GJ787" s="16"/>
      <c r="GK787" s="16"/>
      <c r="GL787" s="16"/>
      <c r="GM787" s="16"/>
      <c r="GN787" s="16"/>
      <c r="GO787" s="17"/>
      <c r="GS787" s="24"/>
      <c r="GT787" s="60"/>
      <c r="GU787" s="16"/>
      <c r="GV787" s="16"/>
      <c r="GW787" s="16"/>
      <c r="GX787" s="16"/>
      <c r="GY787" s="16"/>
      <c r="GZ787" s="17"/>
      <c r="HD787" s="24"/>
      <c r="HE787" s="60"/>
      <c r="HF787" s="16"/>
      <c r="HG787" s="16"/>
      <c r="HH787" s="16"/>
      <c r="HI787" s="16"/>
      <c r="HJ787" s="16"/>
      <c r="HK787" s="17"/>
      <c r="HO787" s="24"/>
      <c r="HP787" s="60"/>
      <c r="HQ787" s="16"/>
      <c r="HR787" s="16"/>
      <c r="HS787" s="16"/>
      <c r="HT787" s="16"/>
      <c r="HU787" s="16"/>
      <c r="HV787" s="17"/>
      <c r="HZ787" s="24"/>
      <c r="IA787" s="60"/>
      <c r="IB787" s="16"/>
      <c r="IC787" s="16"/>
      <c r="ID787" s="16"/>
      <c r="IE787" s="16"/>
      <c r="IF787" s="16"/>
      <c r="IG787" s="17"/>
      <c r="IK787" s="24"/>
      <c r="IL787" s="60"/>
      <c r="IM787" s="16"/>
      <c r="IN787" s="16"/>
      <c r="IO787" s="16"/>
      <c r="IP787" s="16"/>
      <c r="IQ787" s="16"/>
      <c r="IR787" s="17"/>
      <c r="IV787" s="24"/>
      <c r="IW787" s="60"/>
      <c r="IX787" s="16"/>
      <c r="IY787" s="16"/>
      <c r="IZ787" s="16"/>
      <c r="JA787" s="16"/>
      <c r="JB787" s="16"/>
      <c r="JC787" s="17"/>
      <c r="JG787" s="24"/>
      <c r="JH787" s="60"/>
      <c r="JI787" s="16"/>
      <c r="JJ787" s="16"/>
      <c r="JK787" s="16"/>
      <c r="JL787" s="16"/>
      <c r="JM787" s="16"/>
      <c r="JN787" s="17"/>
      <c r="JR787" s="24"/>
      <c r="JS787" s="60"/>
      <c r="JT787" s="16"/>
      <c r="JU787" s="16"/>
      <c r="JV787" s="16"/>
      <c r="JW787" s="16"/>
      <c r="JX787" s="16"/>
      <c r="JY787" s="17"/>
      <c r="KC787" s="24"/>
      <c r="KD787" s="60"/>
      <c r="KE787" s="16"/>
      <c r="KF787" s="16"/>
      <c r="KG787" s="16"/>
      <c r="KH787" s="16"/>
      <c r="KI787" s="16"/>
      <c r="KJ787" s="17"/>
      <c r="KN787" s="24"/>
      <c r="KO787" s="60"/>
      <c r="KP787" s="16"/>
      <c r="KQ787" s="16"/>
      <c r="KR787" s="16"/>
      <c r="KS787" s="16"/>
      <c r="KT787" s="16"/>
      <c r="KU787" s="17"/>
      <c r="KY787" s="24"/>
      <c r="KZ787" s="60"/>
      <c r="LA787" s="16"/>
      <c r="LB787" s="16"/>
      <c r="LC787" s="16"/>
      <c r="LD787" s="16"/>
      <c r="LE787" s="16"/>
      <c r="LF787" s="17"/>
      <c r="LJ787" s="24"/>
      <c r="LK787" s="60"/>
      <c r="LL787" s="16"/>
      <c r="LM787" s="16"/>
      <c r="LN787" s="16"/>
      <c r="LO787" s="16"/>
      <c r="LP787" s="16"/>
      <c r="LQ787" s="17"/>
    </row>
    <row r="788">
      <c r="C788" s="31"/>
      <c r="D788" s="61"/>
      <c r="E788" s="16"/>
      <c r="F788" s="16"/>
      <c r="G788" s="21"/>
      <c r="H788" s="16"/>
      <c r="I788" s="16"/>
      <c r="J788" s="17"/>
      <c r="N788" s="17"/>
      <c r="O788" s="61"/>
      <c r="P788" s="16"/>
      <c r="Q788" s="16"/>
      <c r="R788" s="16"/>
      <c r="S788" s="16"/>
      <c r="T788" s="16"/>
      <c r="U788" s="17"/>
      <c r="Y788" s="24"/>
      <c r="Z788" s="61"/>
      <c r="AA788" s="16"/>
      <c r="AB788" s="16"/>
      <c r="AC788" s="16"/>
      <c r="AD788" s="16"/>
      <c r="AE788" s="16"/>
      <c r="AF788" s="17"/>
      <c r="AJ788" s="24"/>
      <c r="AK788" s="61"/>
      <c r="AL788" s="16"/>
      <c r="AM788" s="16"/>
      <c r="AN788" s="16"/>
      <c r="AO788" s="16"/>
      <c r="AP788" s="16"/>
      <c r="AQ788" s="17"/>
      <c r="AU788" s="24"/>
      <c r="AV788" s="61"/>
      <c r="AW788" s="16"/>
      <c r="AX788" s="16"/>
      <c r="AY788" s="16"/>
      <c r="AZ788" s="16"/>
      <c r="BA788" s="16"/>
      <c r="BB788" s="17"/>
      <c r="BF788" s="24"/>
      <c r="BG788" s="61"/>
      <c r="BH788" s="16"/>
      <c r="BI788" s="16"/>
      <c r="BJ788" s="16"/>
      <c r="BK788" s="16"/>
      <c r="BL788" s="16"/>
      <c r="BM788" s="17"/>
      <c r="BQ788" s="24"/>
      <c r="BR788" s="61"/>
      <c r="BS788" s="16"/>
      <c r="BT788" s="16"/>
      <c r="BU788" s="16"/>
      <c r="BV788" s="16"/>
      <c r="BW788" s="16"/>
      <c r="BX788" s="17"/>
      <c r="CB788" s="24"/>
      <c r="CC788" s="61"/>
      <c r="CD788" s="16"/>
      <c r="CE788" s="16"/>
      <c r="CF788" s="16"/>
      <c r="CG788" s="16"/>
      <c r="CH788" s="16"/>
      <c r="CI788" s="17"/>
      <c r="CM788" s="24"/>
      <c r="CN788" s="61"/>
      <c r="CO788" s="16"/>
      <c r="CP788" s="16"/>
      <c r="CQ788" s="16"/>
      <c r="CR788" s="16"/>
      <c r="CS788" s="16"/>
      <c r="CT788" s="17"/>
      <c r="CX788" s="24"/>
      <c r="CY788" s="60"/>
      <c r="CZ788" s="16"/>
      <c r="DA788" s="16"/>
      <c r="DB788" s="16"/>
      <c r="DC788" s="16"/>
      <c r="DD788" s="16"/>
      <c r="DE788" s="17"/>
      <c r="DI788" s="24"/>
      <c r="DJ788" s="60"/>
      <c r="DK788" s="16"/>
      <c r="DL788" s="16"/>
      <c r="DM788" s="16"/>
      <c r="DN788" s="16"/>
      <c r="DO788" s="16"/>
      <c r="DP788" s="17"/>
      <c r="DT788" s="24"/>
      <c r="DU788" s="60"/>
      <c r="DV788" s="16"/>
      <c r="DW788" s="16"/>
      <c r="DX788" s="16"/>
      <c r="DY788" s="16"/>
      <c r="DZ788" s="16"/>
      <c r="EA788" s="17"/>
      <c r="EE788" s="24"/>
      <c r="EF788" s="60"/>
      <c r="EG788" s="16"/>
      <c r="EH788" s="16"/>
      <c r="EI788" s="16"/>
      <c r="EJ788" s="16"/>
      <c r="EK788" s="16"/>
      <c r="EL788" s="17"/>
      <c r="EP788" s="24"/>
      <c r="EQ788" s="60"/>
      <c r="ER788" s="16"/>
      <c r="ES788" s="16"/>
      <c r="ET788" s="16"/>
      <c r="EU788" s="16"/>
      <c r="EV788" s="16"/>
      <c r="EW788" s="17"/>
      <c r="FA788" s="24"/>
      <c r="FB788" s="60"/>
      <c r="FC788" s="16"/>
      <c r="FD788" s="16"/>
      <c r="FE788" s="16"/>
      <c r="FF788" s="16"/>
      <c r="FG788" s="16"/>
      <c r="FH788" s="17"/>
      <c r="FL788" s="24"/>
      <c r="FM788" s="60"/>
      <c r="FN788" s="16"/>
      <c r="FO788" s="16"/>
      <c r="FP788" s="16"/>
      <c r="FQ788" s="16"/>
      <c r="FR788" s="16"/>
      <c r="FS788" s="17"/>
      <c r="FW788" s="24"/>
      <c r="FX788" s="60"/>
      <c r="FY788" s="16"/>
      <c r="FZ788" s="16"/>
      <c r="GA788" s="16"/>
      <c r="GB788" s="16"/>
      <c r="GC788" s="16"/>
      <c r="GD788" s="17"/>
      <c r="GH788" s="24"/>
      <c r="GI788" s="60"/>
      <c r="GJ788" s="16"/>
      <c r="GK788" s="16"/>
      <c r="GL788" s="16"/>
      <c r="GM788" s="16"/>
      <c r="GN788" s="16"/>
      <c r="GO788" s="17"/>
      <c r="GS788" s="24"/>
      <c r="GT788" s="60"/>
      <c r="GU788" s="16"/>
      <c r="GV788" s="16"/>
      <c r="GW788" s="16"/>
      <c r="GX788" s="16"/>
      <c r="GY788" s="16"/>
      <c r="GZ788" s="17"/>
      <c r="HD788" s="24"/>
      <c r="HE788" s="60"/>
      <c r="HF788" s="16"/>
      <c r="HG788" s="16"/>
      <c r="HH788" s="16"/>
      <c r="HI788" s="16"/>
      <c r="HJ788" s="16"/>
      <c r="HK788" s="17"/>
      <c r="HO788" s="24"/>
      <c r="HP788" s="60"/>
      <c r="HQ788" s="16"/>
      <c r="HR788" s="16"/>
      <c r="HS788" s="16"/>
      <c r="HT788" s="16"/>
      <c r="HU788" s="16"/>
      <c r="HV788" s="17"/>
      <c r="HZ788" s="24"/>
      <c r="IA788" s="60"/>
      <c r="IB788" s="16"/>
      <c r="IC788" s="16"/>
      <c r="ID788" s="16"/>
      <c r="IE788" s="16"/>
      <c r="IF788" s="16"/>
      <c r="IG788" s="17"/>
      <c r="IK788" s="24"/>
      <c r="IL788" s="60"/>
      <c r="IM788" s="16"/>
      <c r="IN788" s="16"/>
      <c r="IO788" s="16"/>
      <c r="IP788" s="16"/>
      <c r="IQ788" s="16"/>
      <c r="IR788" s="17"/>
      <c r="IV788" s="24"/>
      <c r="IW788" s="60"/>
      <c r="IX788" s="16"/>
      <c r="IY788" s="16"/>
      <c r="IZ788" s="16"/>
      <c r="JA788" s="16"/>
      <c r="JB788" s="16"/>
      <c r="JC788" s="17"/>
      <c r="JG788" s="24"/>
      <c r="JH788" s="60"/>
      <c r="JI788" s="16"/>
      <c r="JJ788" s="16"/>
      <c r="JK788" s="16"/>
      <c r="JL788" s="16"/>
      <c r="JM788" s="16"/>
      <c r="JN788" s="17"/>
      <c r="JR788" s="24"/>
      <c r="JS788" s="60"/>
      <c r="JT788" s="16"/>
      <c r="JU788" s="16"/>
      <c r="JV788" s="16"/>
      <c r="JW788" s="16"/>
      <c r="JX788" s="16"/>
      <c r="JY788" s="17"/>
      <c r="KC788" s="24"/>
      <c r="KD788" s="60"/>
      <c r="KE788" s="16"/>
      <c r="KF788" s="16"/>
      <c r="KG788" s="16"/>
      <c r="KH788" s="16"/>
      <c r="KI788" s="16"/>
      <c r="KJ788" s="17"/>
      <c r="KN788" s="24"/>
      <c r="KO788" s="60"/>
      <c r="KP788" s="16"/>
      <c r="KQ788" s="16"/>
      <c r="KR788" s="16"/>
      <c r="KS788" s="16"/>
      <c r="KT788" s="16"/>
      <c r="KU788" s="17"/>
      <c r="KY788" s="24"/>
      <c r="KZ788" s="60"/>
      <c r="LA788" s="16"/>
      <c r="LB788" s="16"/>
      <c r="LC788" s="16"/>
      <c r="LD788" s="16"/>
      <c r="LE788" s="16"/>
      <c r="LF788" s="17"/>
      <c r="LJ788" s="24"/>
      <c r="LK788" s="60"/>
      <c r="LL788" s="16"/>
      <c r="LM788" s="16"/>
      <c r="LN788" s="16"/>
      <c r="LO788" s="16"/>
      <c r="LP788" s="16"/>
      <c r="LQ788" s="17"/>
    </row>
    <row r="789">
      <c r="C789" s="31"/>
      <c r="D789" s="61"/>
      <c r="E789" s="16"/>
      <c r="F789" s="16"/>
      <c r="G789" s="21"/>
      <c r="H789" s="16"/>
      <c r="I789" s="16"/>
      <c r="J789" s="17"/>
      <c r="N789" s="17"/>
      <c r="O789" s="61"/>
      <c r="P789" s="16"/>
      <c r="Q789" s="16"/>
      <c r="R789" s="16"/>
      <c r="S789" s="16"/>
      <c r="T789" s="16"/>
      <c r="U789" s="17"/>
      <c r="Y789" s="24"/>
      <c r="Z789" s="61"/>
      <c r="AA789" s="16"/>
      <c r="AB789" s="16"/>
      <c r="AC789" s="16"/>
      <c r="AD789" s="16"/>
      <c r="AE789" s="16"/>
      <c r="AF789" s="17"/>
      <c r="AJ789" s="24"/>
      <c r="AK789" s="61"/>
      <c r="AL789" s="16"/>
      <c r="AM789" s="16"/>
      <c r="AN789" s="16"/>
      <c r="AO789" s="16"/>
      <c r="AP789" s="16"/>
      <c r="AQ789" s="17"/>
      <c r="AU789" s="24"/>
      <c r="AV789" s="61"/>
      <c r="AW789" s="16"/>
      <c r="AX789" s="16"/>
      <c r="AY789" s="16"/>
      <c r="AZ789" s="16"/>
      <c r="BA789" s="16"/>
      <c r="BB789" s="17"/>
      <c r="BF789" s="24"/>
      <c r="BG789" s="61"/>
      <c r="BH789" s="16"/>
      <c r="BI789" s="16"/>
      <c r="BJ789" s="16"/>
      <c r="BK789" s="16"/>
      <c r="BL789" s="16"/>
      <c r="BM789" s="17"/>
      <c r="BQ789" s="24"/>
      <c r="BR789" s="61"/>
      <c r="BS789" s="16"/>
      <c r="BT789" s="16"/>
      <c r="BU789" s="16"/>
      <c r="BV789" s="16"/>
      <c r="BW789" s="16"/>
      <c r="BX789" s="17"/>
      <c r="CB789" s="24"/>
      <c r="CC789" s="61"/>
      <c r="CD789" s="16"/>
      <c r="CE789" s="16"/>
      <c r="CF789" s="16"/>
      <c r="CG789" s="16"/>
      <c r="CH789" s="16"/>
      <c r="CI789" s="17"/>
      <c r="CM789" s="24"/>
      <c r="CN789" s="61"/>
      <c r="CO789" s="16"/>
      <c r="CP789" s="16"/>
      <c r="CQ789" s="16"/>
      <c r="CR789" s="16"/>
      <c r="CS789" s="16"/>
      <c r="CT789" s="17"/>
      <c r="CX789" s="24"/>
      <c r="CY789" s="60"/>
      <c r="CZ789" s="16"/>
      <c r="DA789" s="16"/>
      <c r="DB789" s="16"/>
      <c r="DC789" s="16"/>
      <c r="DD789" s="16"/>
      <c r="DE789" s="17"/>
      <c r="DI789" s="24"/>
      <c r="DJ789" s="60"/>
      <c r="DK789" s="16"/>
      <c r="DL789" s="16"/>
      <c r="DM789" s="16"/>
      <c r="DN789" s="16"/>
      <c r="DO789" s="16"/>
      <c r="DP789" s="17"/>
      <c r="DT789" s="24"/>
      <c r="DU789" s="60"/>
      <c r="DV789" s="16"/>
      <c r="DW789" s="16"/>
      <c r="DX789" s="16"/>
      <c r="DY789" s="16"/>
      <c r="DZ789" s="16"/>
      <c r="EA789" s="17"/>
      <c r="EE789" s="24"/>
      <c r="EF789" s="60"/>
      <c r="EG789" s="16"/>
      <c r="EH789" s="16"/>
      <c r="EI789" s="16"/>
      <c r="EJ789" s="16"/>
      <c r="EK789" s="16"/>
      <c r="EL789" s="17"/>
      <c r="EP789" s="24"/>
      <c r="EQ789" s="60"/>
      <c r="ER789" s="16"/>
      <c r="ES789" s="16"/>
      <c r="ET789" s="16"/>
      <c r="EU789" s="16"/>
      <c r="EV789" s="16"/>
      <c r="EW789" s="17"/>
      <c r="FA789" s="24"/>
      <c r="FB789" s="60"/>
      <c r="FC789" s="16"/>
      <c r="FD789" s="16"/>
      <c r="FE789" s="16"/>
      <c r="FF789" s="16"/>
      <c r="FG789" s="16"/>
      <c r="FH789" s="17"/>
      <c r="FL789" s="24"/>
      <c r="FM789" s="60"/>
      <c r="FN789" s="16"/>
      <c r="FO789" s="16"/>
      <c r="FP789" s="16"/>
      <c r="FQ789" s="16"/>
      <c r="FR789" s="16"/>
      <c r="FS789" s="17"/>
      <c r="FW789" s="24"/>
      <c r="FX789" s="60"/>
      <c r="FY789" s="16"/>
      <c r="FZ789" s="16"/>
      <c r="GA789" s="16"/>
      <c r="GB789" s="16"/>
      <c r="GC789" s="16"/>
      <c r="GD789" s="17"/>
      <c r="GH789" s="24"/>
      <c r="GI789" s="60"/>
      <c r="GJ789" s="16"/>
      <c r="GK789" s="16"/>
      <c r="GL789" s="16"/>
      <c r="GM789" s="16"/>
      <c r="GN789" s="16"/>
      <c r="GO789" s="17"/>
      <c r="GS789" s="24"/>
      <c r="GT789" s="60"/>
      <c r="GU789" s="16"/>
      <c r="GV789" s="16"/>
      <c r="GW789" s="16"/>
      <c r="GX789" s="16"/>
      <c r="GY789" s="16"/>
      <c r="GZ789" s="17"/>
      <c r="HD789" s="24"/>
      <c r="HE789" s="60"/>
      <c r="HF789" s="16"/>
      <c r="HG789" s="16"/>
      <c r="HH789" s="16"/>
      <c r="HI789" s="16"/>
      <c r="HJ789" s="16"/>
      <c r="HK789" s="17"/>
      <c r="HO789" s="24"/>
      <c r="HP789" s="60"/>
      <c r="HQ789" s="16"/>
      <c r="HR789" s="16"/>
      <c r="HS789" s="16"/>
      <c r="HT789" s="16"/>
      <c r="HU789" s="16"/>
      <c r="HV789" s="17"/>
      <c r="HZ789" s="24"/>
      <c r="IA789" s="60"/>
      <c r="IB789" s="16"/>
      <c r="IC789" s="16"/>
      <c r="ID789" s="16"/>
      <c r="IE789" s="16"/>
      <c r="IF789" s="16"/>
      <c r="IG789" s="17"/>
      <c r="IK789" s="24"/>
      <c r="IL789" s="60"/>
      <c r="IM789" s="16"/>
      <c r="IN789" s="16"/>
      <c r="IO789" s="16"/>
      <c r="IP789" s="16"/>
      <c r="IQ789" s="16"/>
      <c r="IR789" s="17"/>
      <c r="IV789" s="24"/>
      <c r="IW789" s="60"/>
      <c r="IX789" s="16"/>
      <c r="IY789" s="16"/>
      <c r="IZ789" s="16"/>
      <c r="JA789" s="16"/>
      <c r="JB789" s="16"/>
      <c r="JC789" s="17"/>
      <c r="JG789" s="24"/>
      <c r="JH789" s="60"/>
      <c r="JI789" s="16"/>
      <c r="JJ789" s="16"/>
      <c r="JK789" s="16"/>
      <c r="JL789" s="16"/>
      <c r="JM789" s="16"/>
      <c r="JN789" s="17"/>
      <c r="JR789" s="24"/>
      <c r="JS789" s="60"/>
      <c r="JT789" s="16"/>
      <c r="JU789" s="16"/>
      <c r="JV789" s="16"/>
      <c r="JW789" s="16"/>
      <c r="JX789" s="16"/>
      <c r="JY789" s="17"/>
      <c r="KC789" s="24"/>
      <c r="KD789" s="60"/>
      <c r="KE789" s="16"/>
      <c r="KF789" s="16"/>
      <c r="KG789" s="16"/>
      <c r="KH789" s="16"/>
      <c r="KI789" s="16"/>
      <c r="KJ789" s="17"/>
      <c r="KN789" s="24"/>
      <c r="KO789" s="60"/>
      <c r="KP789" s="16"/>
      <c r="KQ789" s="16"/>
      <c r="KR789" s="16"/>
      <c r="KS789" s="16"/>
      <c r="KT789" s="16"/>
      <c r="KU789" s="17"/>
      <c r="KY789" s="24"/>
      <c r="KZ789" s="60"/>
      <c r="LA789" s="16"/>
      <c r="LB789" s="16"/>
      <c r="LC789" s="16"/>
      <c r="LD789" s="16"/>
      <c r="LE789" s="16"/>
      <c r="LF789" s="17"/>
      <c r="LJ789" s="24"/>
      <c r="LK789" s="60"/>
      <c r="LL789" s="16"/>
      <c r="LM789" s="16"/>
      <c r="LN789" s="16"/>
      <c r="LO789" s="16"/>
      <c r="LP789" s="16"/>
      <c r="LQ789" s="17"/>
    </row>
    <row r="790">
      <c r="C790" s="31"/>
      <c r="D790" s="61"/>
      <c r="E790" s="16"/>
      <c r="F790" s="16"/>
      <c r="G790" s="21"/>
      <c r="H790" s="16"/>
      <c r="I790" s="16"/>
      <c r="J790" s="17"/>
      <c r="N790" s="17"/>
      <c r="O790" s="61"/>
      <c r="P790" s="16"/>
      <c r="Q790" s="16"/>
      <c r="R790" s="16"/>
      <c r="S790" s="16"/>
      <c r="T790" s="16"/>
      <c r="U790" s="17"/>
      <c r="Y790" s="24"/>
      <c r="Z790" s="61"/>
      <c r="AA790" s="16"/>
      <c r="AB790" s="16"/>
      <c r="AC790" s="16"/>
      <c r="AD790" s="16"/>
      <c r="AE790" s="16"/>
      <c r="AF790" s="17"/>
      <c r="AJ790" s="24"/>
      <c r="AK790" s="61"/>
      <c r="AL790" s="16"/>
      <c r="AM790" s="16"/>
      <c r="AN790" s="16"/>
      <c r="AO790" s="16"/>
      <c r="AP790" s="16"/>
      <c r="AQ790" s="17"/>
      <c r="AU790" s="24"/>
      <c r="AV790" s="61"/>
      <c r="AW790" s="16"/>
      <c r="AX790" s="16"/>
      <c r="AY790" s="16"/>
      <c r="AZ790" s="16"/>
      <c r="BA790" s="16"/>
      <c r="BB790" s="17"/>
      <c r="BF790" s="24"/>
      <c r="BG790" s="61"/>
      <c r="BH790" s="16"/>
      <c r="BI790" s="16"/>
      <c r="BJ790" s="16"/>
      <c r="BK790" s="16"/>
      <c r="BL790" s="16"/>
      <c r="BM790" s="17"/>
      <c r="BQ790" s="24"/>
      <c r="BR790" s="61"/>
      <c r="BS790" s="16"/>
      <c r="BT790" s="16"/>
      <c r="BU790" s="16"/>
      <c r="BV790" s="16"/>
      <c r="BW790" s="16"/>
      <c r="BX790" s="17"/>
      <c r="CB790" s="24"/>
      <c r="CC790" s="61"/>
      <c r="CD790" s="16"/>
      <c r="CE790" s="16"/>
      <c r="CF790" s="16"/>
      <c r="CG790" s="16"/>
      <c r="CH790" s="16"/>
      <c r="CI790" s="17"/>
      <c r="CM790" s="24"/>
      <c r="CN790" s="61"/>
      <c r="CO790" s="16"/>
      <c r="CP790" s="16"/>
      <c r="CQ790" s="16"/>
      <c r="CR790" s="16"/>
      <c r="CS790" s="16"/>
      <c r="CT790" s="17"/>
      <c r="CX790" s="24"/>
      <c r="CY790" s="60"/>
      <c r="CZ790" s="16"/>
      <c r="DA790" s="16"/>
      <c r="DB790" s="16"/>
      <c r="DC790" s="16"/>
      <c r="DD790" s="16"/>
      <c r="DE790" s="17"/>
      <c r="DI790" s="24"/>
      <c r="DJ790" s="60"/>
      <c r="DK790" s="16"/>
      <c r="DL790" s="16"/>
      <c r="DM790" s="16"/>
      <c r="DN790" s="16"/>
      <c r="DO790" s="16"/>
      <c r="DP790" s="17"/>
      <c r="DT790" s="24"/>
      <c r="DU790" s="60"/>
      <c r="DV790" s="16"/>
      <c r="DW790" s="16"/>
      <c r="DX790" s="16"/>
      <c r="DY790" s="16"/>
      <c r="DZ790" s="16"/>
      <c r="EA790" s="17"/>
      <c r="EE790" s="24"/>
      <c r="EF790" s="60"/>
      <c r="EG790" s="16"/>
      <c r="EH790" s="16"/>
      <c r="EI790" s="16"/>
      <c r="EJ790" s="16"/>
      <c r="EK790" s="16"/>
      <c r="EL790" s="17"/>
      <c r="EP790" s="24"/>
      <c r="EQ790" s="60"/>
      <c r="ER790" s="16"/>
      <c r="ES790" s="16"/>
      <c r="ET790" s="16"/>
      <c r="EU790" s="16"/>
      <c r="EV790" s="16"/>
      <c r="EW790" s="17"/>
      <c r="FA790" s="24"/>
      <c r="FB790" s="60"/>
      <c r="FC790" s="16"/>
      <c r="FD790" s="16"/>
      <c r="FE790" s="16"/>
      <c r="FF790" s="16"/>
      <c r="FG790" s="16"/>
      <c r="FH790" s="17"/>
      <c r="FL790" s="24"/>
      <c r="FM790" s="60"/>
      <c r="FN790" s="16"/>
      <c r="FO790" s="16"/>
      <c r="FP790" s="16"/>
      <c r="FQ790" s="16"/>
      <c r="FR790" s="16"/>
      <c r="FS790" s="17"/>
      <c r="FW790" s="24"/>
      <c r="FX790" s="60"/>
      <c r="FY790" s="16"/>
      <c r="FZ790" s="16"/>
      <c r="GA790" s="16"/>
      <c r="GB790" s="16"/>
      <c r="GC790" s="16"/>
      <c r="GD790" s="17"/>
      <c r="GH790" s="24"/>
      <c r="GI790" s="60"/>
      <c r="GJ790" s="16"/>
      <c r="GK790" s="16"/>
      <c r="GL790" s="16"/>
      <c r="GM790" s="16"/>
      <c r="GN790" s="16"/>
      <c r="GO790" s="17"/>
      <c r="GS790" s="24"/>
      <c r="GT790" s="60"/>
      <c r="GU790" s="16"/>
      <c r="GV790" s="16"/>
      <c r="GW790" s="16"/>
      <c r="GX790" s="16"/>
      <c r="GY790" s="16"/>
      <c r="GZ790" s="17"/>
      <c r="HD790" s="24"/>
      <c r="HE790" s="60"/>
      <c r="HF790" s="16"/>
      <c r="HG790" s="16"/>
      <c r="HH790" s="16"/>
      <c r="HI790" s="16"/>
      <c r="HJ790" s="16"/>
      <c r="HK790" s="17"/>
      <c r="HO790" s="24"/>
      <c r="HP790" s="60"/>
      <c r="HQ790" s="16"/>
      <c r="HR790" s="16"/>
      <c r="HS790" s="16"/>
      <c r="HT790" s="16"/>
      <c r="HU790" s="16"/>
      <c r="HV790" s="17"/>
      <c r="HZ790" s="24"/>
      <c r="IA790" s="60"/>
      <c r="IB790" s="16"/>
      <c r="IC790" s="16"/>
      <c r="ID790" s="16"/>
      <c r="IE790" s="16"/>
      <c r="IF790" s="16"/>
      <c r="IG790" s="17"/>
      <c r="IK790" s="24"/>
      <c r="IL790" s="60"/>
      <c r="IM790" s="16"/>
      <c r="IN790" s="16"/>
      <c r="IO790" s="16"/>
      <c r="IP790" s="16"/>
      <c r="IQ790" s="16"/>
      <c r="IR790" s="17"/>
      <c r="IV790" s="24"/>
      <c r="IW790" s="60"/>
      <c r="IX790" s="16"/>
      <c r="IY790" s="16"/>
      <c r="IZ790" s="16"/>
      <c r="JA790" s="16"/>
      <c r="JB790" s="16"/>
      <c r="JC790" s="17"/>
      <c r="JG790" s="24"/>
      <c r="JH790" s="60"/>
      <c r="JI790" s="16"/>
      <c r="JJ790" s="16"/>
      <c r="JK790" s="16"/>
      <c r="JL790" s="16"/>
      <c r="JM790" s="16"/>
      <c r="JN790" s="17"/>
      <c r="JR790" s="24"/>
      <c r="JS790" s="60"/>
      <c r="JT790" s="16"/>
      <c r="JU790" s="16"/>
      <c r="JV790" s="16"/>
      <c r="JW790" s="16"/>
      <c r="JX790" s="16"/>
      <c r="JY790" s="17"/>
      <c r="KC790" s="24"/>
      <c r="KD790" s="60"/>
      <c r="KE790" s="16"/>
      <c r="KF790" s="16"/>
      <c r="KG790" s="16"/>
      <c r="KH790" s="16"/>
      <c r="KI790" s="16"/>
      <c r="KJ790" s="17"/>
      <c r="KN790" s="24"/>
      <c r="KO790" s="60"/>
      <c r="KP790" s="16"/>
      <c r="KQ790" s="16"/>
      <c r="KR790" s="16"/>
      <c r="KS790" s="16"/>
      <c r="KT790" s="16"/>
      <c r="KU790" s="17"/>
      <c r="KY790" s="24"/>
      <c r="KZ790" s="60"/>
      <c r="LA790" s="16"/>
      <c r="LB790" s="16"/>
      <c r="LC790" s="16"/>
      <c r="LD790" s="16"/>
      <c r="LE790" s="16"/>
      <c r="LF790" s="17"/>
      <c r="LJ790" s="24"/>
      <c r="LK790" s="60"/>
      <c r="LL790" s="16"/>
      <c r="LM790" s="16"/>
      <c r="LN790" s="16"/>
      <c r="LO790" s="16"/>
      <c r="LP790" s="16"/>
      <c r="LQ790" s="17"/>
    </row>
    <row r="791">
      <c r="C791" s="31"/>
      <c r="D791" s="61"/>
      <c r="E791" s="16"/>
      <c r="F791" s="16"/>
      <c r="G791" s="21"/>
      <c r="H791" s="16"/>
      <c r="I791" s="16"/>
      <c r="J791" s="17"/>
      <c r="N791" s="17"/>
      <c r="O791" s="61"/>
      <c r="P791" s="16"/>
      <c r="Q791" s="16"/>
      <c r="R791" s="16"/>
      <c r="S791" s="16"/>
      <c r="T791" s="16"/>
      <c r="U791" s="17"/>
      <c r="Y791" s="24"/>
      <c r="Z791" s="61"/>
      <c r="AA791" s="16"/>
      <c r="AB791" s="16"/>
      <c r="AC791" s="16"/>
      <c r="AD791" s="16"/>
      <c r="AE791" s="16"/>
      <c r="AF791" s="17"/>
      <c r="AJ791" s="24"/>
      <c r="AK791" s="61"/>
      <c r="AL791" s="16"/>
      <c r="AM791" s="16"/>
      <c r="AN791" s="16"/>
      <c r="AO791" s="16"/>
      <c r="AP791" s="16"/>
      <c r="AQ791" s="17"/>
      <c r="AU791" s="24"/>
      <c r="AV791" s="61"/>
      <c r="AW791" s="16"/>
      <c r="AX791" s="16"/>
      <c r="AY791" s="16"/>
      <c r="AZ791" s="16"/>
      <c r="BA791" s="16"/>
      <c r="BB791" s="17"/>
      <c r="BF791" s="24"/>
      <c r="BG791" s="61"/>
      <c r="BH791" s="16"/>
      <c r="BI791" s="16"/>
      <c r="BJ791" s="16"/>
      <c r="BK791" s="16"/>
      <c r="BL791" s="16"/>
      <c r="BM791" s="17"/>
      <c r="BQ791" s="24"/>
      <c r="BR791" s="61"/>
      <c r="BS791" s="16"/>
      <c r="BT791" s="16"/>
      <c r="BU791" s="16"/>
      <c r="BV791" s="16"/>
      <c r="BW791" s="16"/>
      <c r="BX791" s="17"/>
      <c r="CB791" s="24"/>
      <c r="CC791" s="61"/>
      <c r="CD791" s="16"/>
      <c r="CE791" s="16"/>
      <c r="CF791" s="16"/>
      <c r="CG791" s="16"/>
      <c r="CH791" s="16"/>
      <c r="CI791" s="17"/>
      <c r="CM791" s="24"/>
      <c r="CN791" s="61"/>
      <c r="CO791" s="16"/>
      <c r="CP791" s="16"/>
      <c r="CQ791" s="16"/>
      <c r="CR791" s="16"/>
      <c r="CS791" s="16"/>
      <c r="CT791" s="17"/>
      <c r="CX791" s="24"/>
      <c r="CY791" s="60"/>
      <c r="CZ791" s="16"/>
      <c r="DA791" s="16"/>
      <c r="DB791" s="16"/>
      <c r="DC791" s="16"/>
      <c r="DD791" s="16"/>
      <c r="DE791" s="17"/>
      <c r="DI791" s="24"/>
      <c r="DJ791" s="60"/>
      <c r="DK791" s="16"/>
      <c r="DL791" s="16"/>
      <c r="DM791" s="16"/>
      <c r="DN791" s="16"/>
      <c r="DO791" s="16"/>
      <c r="DP791" s="17"/>
      <c r="DT791" s="24"/>
      <c r="DU791" s="60"/>
      <c r="DV791" s="16"/>
      <c r="DW791" s="16"/>
      <c r="DX791" s="16"/>
      <c r="DY791" s="16"/>
      <c r="DZ791" s="16"/>
      <c r="EA791" s="17"/>
      <c r="EE791" s="24"/>
      <c r="EF791" s="60"/>
      <c r="EG791" s="16"/>
      <c r="EH791" s="16"/>
      <c r="EI791" s="16"/>
      <c r="EJ791" s="16"/>
      <c r="EK791" s="16"/>
      <c r="EL791" s="17"/>
      <c r="EP791" s="24"/>
      <c r="EQ791" s="60"/>
      <c r="ER791" s="16"/>
      <c r="ES791" s="16"/>
      <c r="ET791" s="16"/>
      <c r="EU791" s="16"/>
      <c r="EV791" s="16"/>
      <c r="EW791" s="17"/>
      <c r="FA791" s="24"/>
      <c r="FB791" s="60"/>
      <c r="FC791" s="16"/>
      <c r="FD791" s="16"/>
      <c r="FE791" s="16"/>
      <c r="FF791" s="16"/>
      <c r="FG791" s="16"/>
      <c r="FH791" s="17"/>
      <c r="FL791" s="24"/>
      <c r="FM791" s="60"/>
      <c r="FN791" s="16"/>
      <c r="FO791" s="16"/>
      <c r="FP791" s="16"/>
      <c r="FQ791" s="16"/>
      <c r="FR791" s="16"/>
      <c r="FS791" s="17"/>
      <c r="FW791" s="24"/>
      <c r="FX791" s="60"/>
      <c r="FY791" s="16"/>
      <c r="FZ791" s="16"/>
      <c r="GA791" s="16"/>
      <c r="GB791" s="16"/>
      <c r="GC791" s="16"/>
      <c r="GD791" s="17"/>
      <c r="GH791" s="24"/>
      <c r="GI791" s="60"/>
      <c r="GJ791" s="16"/>
      <c r="GK791" s="16"/>
      <c r="GL791" s="16"/>
      <c r="GM791" s="16"/>
      <c r="GN791" s="16"/>
      <c r="GO791" s="17"/>
      <c r="GS791" s="24"/>
      <c r="GT791" s="60"/>
      <c r="GU791" s="16"/>
      <c r="GV791" s="16"/>
      <c r="GW791" s="16"/>
      <c r="GX791" s="16"/>
      <c r="GY791" s="16"/>
      <c r="GZ791" s="17"/>
      <c r="HD791" s="24"/>
      <c r="HE791" s="60"/>
      <c r="HF791" s="16"/>
      <c r="HG791" s="16"/>
      <c r="HH791" s="16"/>
      <c r="HI791" s="16"/>
      <c r="HJ791" s="16"/>
      <c r="HK791" s="17"/>
      <c r="HO791" s="24"/>
      <c r="HP791" s="60"/>
      <c r="HQ791" s="16"/>
      <c r="HR791" s="16"/>
      <c r="HS791" s="16"/>
      <c r="HT791" s="16"/>
      <c r="HU791" s="16"/>
      <c r="HV791" s="17"/>
      <c r="HZ791" s="24"/>
      <c r="IA791" s="60"/>
      <c r="IB791" s="16"/>
      <c r="IC791" s="16"/>
      <c r="ID791" s="16"/>
      <c r="IE791" s="16"/>
      <c r="IF791" s="16"/>
      <c r="IG791" s="17"/>
      <c r="IK791" s="24"/>
      <c r="IL791" s="60"/>
      <c r="IM791" s="16"/>
      <c r="IN791" s="16"/>
      <c r="IO791" s="16"/>
      <c r="IP791" s="16"/>
      <c r="IQ791" s="16"/>
      <c r="IR791" s="17"/>
      <c r="IV791" s="24"/>
      <c r="IW791" s="60"/>
      <c r="IX791" s="16"/>
      <c r="IY791" s="16"/>
      <c r="IZ791" s="16"/>
      <c r="JA791" s="16"/>
      <c r="JB791" s="16"/>
      <c r="JC791" s="17"/>
      <c r="JG791" s="24"/>
      <c r="JH791" s="60"/>
      <c r="JI791" s="16"/>
      <c r="JJ791" s="16"/>
      <c r="JK791" s="16"/>
      <c r="JL791" s="16"/>
      <c r="JM791" s="16"/>
      <c r="JN791" s="17"/>
      <c r="JR791" s="24"/>
      <c r="JS791" s="60"/>
      <c r="JT791" s="16"/>
      <c r="JU791" s="16"/>
      <c r="JV791" s="16"/>
      <c r="JW791" s="16"/>
      <c r="JX791" s="16"/>
      <c r="JY791" s="17"/>
      <c r="KC791" s="24"/>
      <c r="KD791" s="60"/>
      <c r="KE791" s="16"/>
      <c r="KF791" s="16"/>
      <c r="KG791" s="16"/>
      <c r="KH791" s="16"/>
      <c r="KI791" s="16"/>
      <c r="KJ791" s="17"/>
      <c r="KN791" s="24"/>
      <c r="KO791" s="60"/>
      <c r="KP791" s="16"/>
      <c r="KQ791" s="16"/>
      <c r="KR791" s="16"/>
      <c r="KS791" s="16"/>
      <c r="KT791" s="16"/>
      <c r="KU791" s="17"/>
      <c r="KY791" s="24"/>
      <c r="KZ791" s="60"/>
      <c r="LA791" s="16"/>
      <c r="LB791" s="16"/>
      <c r="LC791" s="16"/>
      <c r="LD791" s="16"/>
      <c r="LE791" s="16"/>
      <c r="LF791" s="17"/>
      <c r="LJ791" s="24"/>
      <c r="LK791" s="60"/>
      <c r="LL791" s="16"/>
      <c r="LM791" s="16"/>
      <c r="LN791" s="16"/>
      <c r="LO791" s="16"/>
      <c r="LP791" s="16"/>
      <c r="LQ791" s="17"/>
    </row>
    <row r="792">
      <c r="C792" s="31"/>
      <c r="D792" s="61"/>
      <c r="E792" s="16"/>
      <c r="F792" s="16"/>
      <c r="G792" s="21"/>
      <c r="H792" s="16"/>
      <c r="I792" s="16"/>
      <c r="J792" s="17"/>
      <c r="N792" s="17"/>
      <c r="O792" s="61"/>
      <c r="P792" s="16"/>
      <c r="Q792" s="16"/>
      <c r="R792" s="16"/>
      <c r="S792" s="16"/>
      <c r="T792" s="16"/>
      <c r="U792" s="17"/>
      <c r="Y792" s="24"/>
      <c r="Z792" s="61"/>
      <c r="AA792" s="16"/>
      <c r="AB792" s="16"/>
      <c r="AC792" s="16"/>
      <c r="AD792" s="16"/>
      <c r="AE792" s="16"/>
      <c r="AF792" s="17"/>
      <c r="AJ792" s="24"/>
      <c r="AK792" s="61"/>
      <c r="AL792" s="16"/>
      <c r="AM792" s="16"/>
      <c r="AN792" s="16"/>
      <c r="AO792" s="16"/>
      <c r="AP792" s="16"/>
      <c r="AQ792" s="17"/>
      <c r="AU792" s="24"/>
      <c r="AV792" s="61"/>
      <c r="AW792" s="16"/>
      <c r="AX792" s="16"/>
      <c r="AY792" s="16"/>
      <c r="AZ792" s="16"/>
      <c r="BA792" s="16"/>
      <c r="BB792" s="17"/>
      <c r="BF792" s="24"/>
      <c r="BG792" s="61"/>
      <c r="BH792" s="16"/>
      <c r="BI792" s="16"/>
      <c r="BJ792" s="16"/>
      <c r="BK792" s="16"/>
      <c r="BL792" s="16"/>
      <c r="BM792" s="17"/>
      <c r="BQ792" s="24"/>
      <c r="BR792" s="61"/>
      <c r="BS792" s="16"/>
      <c r="BT792" s="16"/>
      <c r="BU792" s="16"/>
      <c r="BV792" s="16"/>
      <c r="BW792" s="16"/>
      <c r="BX792" s="17"/>
      <c r="CB792" s="24"/>
      <c r="CC792" s="61"/>
      <c r="CD792" s="16"/>
      <c r="CE792" s="16"/>
      <c r="CF792" s="16"/>
      <c r="CG792" s="16"/>
      <c r="CH792" s="16"/>
      <c r="CI792" s="17"/>
      <c r="CM792" s="24"/>
      <c r="CN792" s="61"/>
      <c r="CO792" s="16"/>
      <c r="CP792" s="16"/>
      <c r="CQ792" s="16"/>
      <c r="CR792" s="16"/>
      <c r="CS792" s="16"/>
      <c r="CT792" s="17"/>
      <c r="CX792" s="24"/>
      <c r="CY792" s="60"/>
      <c r="CZ792" s="16"/>
      <c r="DA792" s="16"/>
      <c r="DB792" s="16"/>
      <c r="DC792" s="16"/>
      <c r="DD792" s="16"/>
      <c r="DE792" s="17"/>
      <c r="DI792" s="24"/>
      <c r="DJ792" s="60"/>
      <c r="DK792" s="16"/>
      <c r="DL792" s="16"/>
      <c r="DM792" s="16"/>
      <c r="DN792" s="16"/>
      <c r="DO792" s="16"/>
      <c r="DP792" s="17"/>
      <c r="DT792" s="24"/>
      <c r="DU792" s="60"/>
      <c r="DV792" s="16"/>
      <c r="DW792" s="16"/>
      <c r="DX792" s="16"/>
      <c r="DY792" s="16"/>
      <c r="DZ792" s="16"/>
      <c r="EA792" s="17"/>
      <c r="EE792" s="24"/>
      <c r="EF792" s="60"/>
      <c r="EG792" s="16"/>
      <c r="EH792" s="16"/>
      <c r="EI792" s="16"/>
      <c r="EJ792" s="16"/>
      <c r="EK792" s="16"/>
      <c r="EL792" s="17"/>
      <c r="EP792" s="24"/>
      <c r="EQ792" s="60"/>
      <c r="ER792" s="16"/>
      <c r="ES792" s="16"/>
      <c r="ET792" s="16"/>
      <c r="EU792" s="16"/>
      <c r="EV792" s="16"/>
      <c r="EW792" s="17"/>
      <c r="FA792" s="24"/>
      <c r="FB792" s="60"/>
      <c r="FC792" s="16"/>
      <c r="FD792" s="16"/>
      <c r="FE792" s="16"/>
      <c r="FF792" s="16"/>
      <c r="FG792" s="16"/>
      <c r="FH792" s="17"/>
      <c r="FL792" s="24"/>
      <c r="FM792" s="60"/>
      <c r="FN792" s="16"/>
      <c r="FO792" s="16"/>
      <c r="FP792" s="16"/>
      <c r="FQ792" s="16"/>
      <c r="FR792" s="16"/>
      <c r="FS792" s="17"/>
      <c r="FW792" s="24"/>
      <c r="FX792" s="60"/>
      <c r="FY792" s="16"/>
      <c r="FZ792" s="16"/>
      <c r="GA792" s="16"/>
      <c r="GB792" s="16"/>
      <c r="GC792" s="16"/>
      <c r="GD792" s="17"/>
      <c r="GH792" s="24"/>
      <c r="GI792" s="60"/>
      <c r="GJ792" s="16"/>
      <c r="GK792" s="16"/>
      <c r="GL792" s="16"/>
      <c r="GM792" s="16"/>
      <c r="GN792" s="16"/>
      <c r="GO792" s="17"/>
      <c r="GS792" s="24"/>
      <c r="GT792" s="60"/>
      <c r="GU792" s="16"/>
      <c r="GV792" s="16"/>
      <c r="GW792" s="16"/>
      <c r="GX792" s="16"/>
      <c r="GY792" s="16"/>
      <c r="GZ792" s="17"/>
      <c r="HD792" s="24"/>
      <c r="HE792" s="60"/>
      <c r="HF792" s="16"/>
      <c r="HG792" s="16"/>
      <c r="HH792" s="16"/>
      <c r="HI792" s="16"/>
      <c r="HJ792" s="16"/>
      <c r="HK792" s="17"/>
      <c r="HO792" s="24"/>
      <c r="HP792" s="60"/>
      <c r="HQ792" s="16"/>
      <c r="HR792" s="16"/>
      <c r="HS792" s="16"/>
      <c r="HT792" s="16"/>
      <c r="HU792" s="16"/>
      <c r="HV792" s="17"/>
      <c r="HZ792" s="24"/>
      <c r="IA792" s="60"/>
      <c r="IB792" s="16"/>
      <c r="IC792" s="16"/>
      <c r="ID792" s="16"/>
      <c r="IE792" s="16"/>
      <c r="IF792" s="16"/>
      <c r="IG792" s="17"/>
      <c r="IK792" s="24"/>
      <c r="IL792" s="60"/>
      <c r="IM792" s="16"/>
      <c r="IN792" s="16"/>
      <c r="IO792" s="16"/>
      <c r="IP792" s="16"/>
      <c r="IQ792" s="16"/>
      <c r="IR792" s="17"/>
      <c r="IV792" s="24"/>
      <c r="IW792" s="60"/>
      <c r="IX792" s="16"/>
      <c r="IY792" s="16"/>
      <c r="IZ792" s="16"/>
      <c r="JA792" s="16"/>
      <c r="JB792" s="16"/>
      <c r="JC792" s="17"/>
      <c r="JG792" s="24"/>
      <c r="JH792" s="60"/>
      <c r="JI792" s="16"/>
      <c r="JJ792" s="16"/>
      <c r="JK792" s="16"/>
      <c r="JL792" s="16"/>
      <c r="JM792" s="16"/>
      <c r="JN792" s="17"/>
      <c r="JR792" s="24"/>
      <c r="JS792" s="60"/>
      <c r="JT792" s="16"/>
      <c r="JU792" s="16"/>
      <c r="JV792" s="16"/>
      <c r="JW792" s="16"/>
      <c r="JX792" s="16"/>
      <c r="JY792" s="17"/>
      <c r="KC792" s="24"/>
      <c r="KD792" s="60"/>
      <c r="KE792" s="16"/>
      <c r="KF792" s="16"/>
      <c r="KG792" s="16"/>
      <c r="KH792" s="16"/>
      <c r="KI792" s="16"/>
      <c r="KJ792" s="17"/>
      <c r="KN792" s="24"/>
      <c r="KO792" s="60"/>
      <c r="KP792" s="16"/>
      <c r="KQ792" s="16"/>
      <c r="KR792" s="16"/>
      <c r="KS792" s="16"/>
      <c r="KT792" s="16"/>
      <c r="KU792" s="17"/>
      <c r="KY792" s="24"/>
      <c r="KZ792" s="60"/>
      <c r="LA792" s="16"/>
      <c r="LB792" s="16"/>
      <c r="LC792" s="16"/>
      <c r="LD792" s="16"/>
      <c r="LE792" s="16"/>
      <c r="LF792" s="17"/>
      <c r="LJ792" s="24"/>
      <c r="LK792" s="60"/>
      <c r="LL792" s="16"/>
      <c r="LM792" s="16"/>
      <c r="LN792" s="16"/>
      <c r="LO792" s="16"/>
      <c r="LP792" s="16"/>
      <c r="LQ792" s="17"/>
    </row>
    <row r="793">
      <c r="C793" s="31"/>
      <c r="D793" s="61"/>
      <c r="E793" s="16"/>
      <c r="F793" s="16"/>
      <c r="G793" s="21"/>
      <c r="H793" s="16"/>
      <c r="I793" s="16"/>
      <c r="J793" s="17"/>
      <c r="N793" s="17"/>
      <c r="O793" s="61"/>
      <c r="P793" s="16"/>
      <c r="Q793" s="16"/>
      <c r="R793" s="16"/>
      <c r="S793" s="16"/>
      <c r="T793" s="16"/>
      <c r="U793" s="17"/>
      <c r="Y793" s="24"/>
      <c r="Z793" s="61"/>
      <c r="AA793" s="16"/>
      <c r="AB793" s="16"/>
      <c r="AC793" s="16"/>
      <c r="AD793" s="16"/>
      <c r="AE793" s="16"/>
      <c r="AF793" s="17"/>
      <c r="AJ793" s="24"/>
      <c r="AK793" s="61"/>
      <c r="AL793" s="16"/>
      <c r="AM793" s="16"/>
      <c r="AN793" s="16"/>
      <c r="AO793" s="16"/>
      <c r="AP793" s="16"/>
      <c r="AQ793" s="17"/>
      <c r="AU793" s="24"/>
      <c r="AV793" s="61"/>
      <c r="AW793" s="16"/>
      <c r="AX793" s="16"/>
      <c r="AY793" s="16"/>
      <c r="AZ793" s="16"/>
      <c r="BA793" s="16"/>
      <c r="BB793" s="17"/>
      <c r="BF793" s="24"/>
      <c r="BG793" s="61"/>
      <c r="BH793" s="16"/>
      <c r="BI793" s="16"/>
      <c r="BJ793" s="16"/>
      <c r="BK793" s="16"/>
      <c r="BL793" s="16"/>
      <c r="BM793" s="17"/>
      <c r="BQ793" s="24"/>
      <c r="BR793" s="61"/>
      <c r="BS793" s="16"/>
      <c r="BT793" s="16"/>
      <c r="BU793" s="16"/>
      <c r="BV793" s="16"/>
      <c r="BW793" s="16"/>
      <c r="BX793" s="17"/>
      <c r="CB793" s="24"/>
      <c r="CC793" s="61"/>
      <c r="CD793" s="16"/>
      <c r="CE793" s="16"/>
      <c r="CF793" s="16"/>
      <c r="CG793" s="16"/>
      <c r="CH793" s="16"/>
      <c r="CI793" s="17"/>
      <c r="CM793" s="24"/>
      <c r="CN793" s="61"/>
      <c r="CO793" s="16"/>
      <c r="CP793" s="16"/>
      <c r="CQ793" s="16"/>
      <c r="CR793" s="16"/>
      <c r="CS793" s="16"/>
      <c r="CT793" s="17"/>
      <c r="CX793" s="24"/>
      <c r="CY793" s="60"/>
      <c r="CZ793" s="16"/>
      <c r="DA793" s="16"/>
      <c r="DB793" s="16"/>
      <c r="DC793" s="16"/>
      <c r="DD793" s="16"/>
      <c r="DE793" s="17"/>
      <c r="DI793" s="24"/>
      <c r="DJ793" s="60"/>
      <c r="DK793" s="16"/>
      <c r="DL793" s="16"/>
      <c r="DM793" s="16"/>
      <c r="DN793" s="16"/>
      <c r="DO793" s="16"/>
      <c r="DP793" s="17"/>
      <c r="DT793" s="24"/>
      <c r="DU793" s="60"/>
      <c r="DV793" s="16"/>
      <c r="DW793" s="16"/>
      <c r="DX793" s="16"/>
      <c r="DY793" s="16"/>
      <c r="DZ793" s="16"/>
      <c r="EA793" s="17"/>
      <c r="EE793" s="24"/>
      <c r="EF793" s="60"/>
      <c r="EG793" s="16"/>
      <c r="EH793" s="16"/>
      <c r="EI793" s="16"/>
      <c r="EJ793" s="16"/>
      <c r="EK793" s="16"/>
      <c r="EL793" s="17"/>
      <c r="EP793" s="24"/>
      <c r="EQ793" s="60"/>
      <c r="ER793" s="16"/>
      <c r="ES793" s="16"/>
      <c r="ET793" s="16"/>
      <c r="EU793" s="16"/>
      <c r="EV793" s="16"/>
      <c r="EW793" s="17"/>
      <c r="FA793" s="24"/>
      <c r="FB793" s="60"/>
      <c r="FC793" s="16"/>
      <c r="FD793" s="16"/>
      <c r="FE793" s="16"/>
      <c r="FF793" s="16"/>
      <c r="FG793" s="16"/>
      <c r="FH793" s="17"/>
      <c r="FL793" s="24"/>
      <c r="FM793" s="60"/>
      <c r="FN793" s="16"/>
      <c r="FO793" s="16"/>
      <c r="FP793" s="16"/>
      <c r="FQ793" s="16"/>
      <c r="FR793" s="16"/>
      <c r="FS793" s="17"/>
      <c r="FW793" s="24"/>
      <c r="FX793" s="60"/>
      <c r="FY793" s="16"/>
      <c r="FZ793" s="16"/>
      <c r="GA793" s="16"/>
      <c r="GB793" s="16"/>
      <c r="GC793" s="16"/>
      <c r="GD793" s="17"/>
      <c r="GH793" s="24"/>
      <c r="GI793" s="60"/>
      <c r="GJ793" s="16"/>
      <c r="GK793" s="16"/>
      <c r="GL793" s="16"/>
      <c r="GM793" s="16"/>
      <c r="GN793" s="16"/>
      <c r="GO793" s="17"/>
      <c r="GS793" s="24"/>
      <c r="GT793" s="60"/>
      <c r="GU793" s="16"/>
      <c r="GV793" s="16"/>
      <c r="GW793" s="16"/>
      <c r="GX793" s="16"/>
      <c r="GY793" s="16"/>
      <c r="GZ793" s="17"/>
      <c r="HD793" s="24"/>
      <c r="HE793" s="60"/>
      <c r="HF793" s="16"/>
      <c r="HG793" s="16"/>
      <c r="HH793" s="16"/>
      <c r="HI793" s="16"/>
      <c r="HJ793" s="16"/>
      <c r="HK793" s="17"/>
      <c r="HO793" s="24"/>
      <c r="HP793" s="60"/>
      <c r="HQ793" s="16"/>
      <c r="HR793" s="16"/>
      <c r="HS793" s="16"/>
      <c r="HT793" s="16"/>
      <c r="HU793" s="16"/>
      <c r="HV793" s="17"/>
      <c r="HZ793" s="24"/>
      <c r="IA793" s="60"/>
      <c r="IB793" s="16"/>
      <c r="IC793" s="16"/>
      <c r="ID793" s="16"/>
      <c r="IE793" s="16"/>
      <c r="IF793" s="16"/>
      <c r="IG793" s="17"/>
      <c r="IK793" s="24"/>
      <c r="IL793" s="60"/>
      <c r="IM793" s="16"/>
      <c r="IN793" s="16"/>
      <c r="IO793" s="16"/>
      <c r="IP793" s="16"/>
      <c r="IQ793" s="16"/>
      <c r="IR793" s="17"/>
      <c r="IV793" s="24"/>
      <c r="IW793" s="60"/>
      <c r="IX793" s="16"/>
      <c r="IY793" s="16"/>
      <c r="IZ793" s="16"/>
      <c r="JA793" s="16"/>
      <c r="JB793" s="16"/>
      <c r="JC793" s="17"/>
      <c r="JG793" s="24"/>
      <c r="JH793" s="60"/>
      <c r="JI793" s="16"/>
      <c r="JJ793" s="16"/>
      <c r="JK793" s="16"/>
      <c r="JL793" s="16"/>
      <c r="JM793" s="16"/>
      <c r="JN793" s="17"/>
      <c r="JR793" s="24"/>
      <c r="JS793" s="60"/>
      <c r="JT793" s="16"/>
      <c r="JU793" s="16"/>
      <c r="JV793" s="16"/>
      <c r="JW793" s="16"/>
      <c r="JX793" s="16"/>
      <c r="JY793" s="17"/>
      <c r="KC793" s="24"/>
      <c r="KD793" s="60"/>
      <c r="KE793" s="16"/>
      <c r="KF793" s="16"/>
      <c r="KG793" s="16"/>
      <c r="KH793" s="16"/>
      <c r="KI793" s="16"/>
      <c r="KJ793" s="17"/>
      <c r="KN793" s="24"/>
      <c r="KO793" s="60"/>
      <c r="KP793" s="16"/>
      <c r="KQ793" s="16"/>
      <c r="KR793" s="16"/>
      <c r="KS793" s="16"/>
      <c r="KT793" s="16"/>
      <c r="KU793" s="17"/>
      <c r="KY793" s="24"/>
      <c r="KZ793" s="60"/>
      <c r="LA793" s="16"/>
      <c r="LB793" s="16"/>
      <c r="LC793" s="16"/>
      <c r="LD793" s="16"/>
      <c r="LE793" s="16"/>
      <c r="LF793" s="17"/>
      <c r="LJ793" s="24"/>
      <c r="LK793" s="60"/>
      <c r="LL793" s="16"/>
      <c r="LM793" s="16"/>
      <c r="LN793" s="16"/>
      <c r="LO793" s="16"/>
      <c r="LP793" s="16"/>
      <c r="LQ793" s="17"/>
    </row>
    <row r="794">
      <c r="C794" s="31"/>
      <c r="D794" s="61"/>
      <c r="E794" s="16"/>
      <c r="F794" s="16"/>
      <c r="G794" s="21"/>
      <c r="H794" s="16"/>
      <c r="I794" s="16"/>
      <c r="J794" s="17"/>
      <c r="N794" s="17"/>
      <c r="O794" s="61"/>
      <c r="P794" s="16"/>
      <c r="Q794" s="16"/>
      <c r="R794" s="16"/>
      <c r="S794" s="16"/>
      <c r="T794" s="16"/>
      <c r="U794" s="17"/>
      <c r="Y794" s="24"/>
      <c r="Z794" s="61"/>
      <c r="AA794" s="16"/>
      <c r="AB794" s="16"/>
      <c r="AC794" s="16"/>
      <c r="AD794" s="16"/>
      <c r="AE794" s="16"/>
      <c r="AF794" s="17"/>
      <c r="AJ794" s="24"/>
      <c r="AK794" s="61"/>
      <c r="AL794" s="16"/>
      <c r="AM794" s="16"/>
      <c r="AN794" s="16"/>
      <c r="AO794" s="16"/>
      <c r="AP794" s="16"/>
      <c r="AQ794" s="17"/>
      <c r="AU794" s="24"/>
      <c r="AV794" s="61"/>
      <c r="AW794" s="16"/>
      <c r="AX794" s="16"/>
      <c r="AY794" s="16"/>
      <c r="AZ794" s="16"/>
      <c r="BA794" s="16"/>
      <c r="BB794" s="17"/>
      <c r="BF794" s="24"/>
      <c r="BG794" s="61"/>
      <c r="BH794" s="16"/>
      <c r="BI794" s="16"/>
      <c r="BJ794" s="16"/>
      <c r="BK794" s="16"/>
      <c r="BL794" s="16"/>
      <c r="BM794" s="17"/>
      <c r="BQ794" s="24"/>
      <c r="BR794" s="61"/>
      <c r="BS794" s="16"/>
      <c r="BT794" s="16"/>
      <c r="BU794" s="16"/>
      <c r="BV794" s="16"/>
      <c r="BW794" s="16"/>
      <c r="BX794" s="17"/>
      <c r="CB794" s="24"/>
      <c r="CC794" s="61"/>
      <c r="CD794" s="16"/>
      <c r="CE794" s="16"/>
      <c r="CF794" s="16"/>
      <c r="CG794" s="16"/>
      <c r="CH794" s="16"/>
      <c r="CI794" s="17"/>
      <c r="CM794" s="24"/>
      <c r="CN794" s="61"/>
      <c r="CO794" s="16"/>
      <c r="CP794" s="16"/>
      <c r="CQ794" s="16"/>
      <c r="CR794" s="16"/>
      <c r="CS794" s="16"/>
      <c r="CT794" s="17"/>
      <c r="CX794" s="24"/>
      <c r="CY794" s="60"/>
      <c r="CZ794" s="16"/>
      <c r="DA794" s="16"/>
      <c r="DB794" s="16"/>
      <c r="DC794" s="16"/>
      <c r="DD794" s="16"/>
      <c r="DE794" s="17"/>
      <c r="DI794" s="24"/>
      <c r="DJ794" s="60"/>
      <c r="DK794" s="16"/>
      <c r="DL794" s="16"/>
      <c r="DM794" s="16"/>
      <c r="DN794" s="16"/>
      <c r="DO794" s="16"/>
      <c r="DP794" s="17"/>
      <c r="DT794" s="24"/>
      <c r="DU794" s="60"/>
      <c r="DV794" s="16"/>
      <c r="DW794" s="16"/>
      <c r="DX794" s="16"/>
      <c r="DY794" s="16"/>
      <c r="DZ794" s="16"/>
      <c r="EA794" s="17"/>
      <c r="EE794" s="24"/>
      <c r="EF794" s="60"/>
      <c r="EG794" s="16"/>
      <c r="EH794" s="16"/>
      <c r="EI794" s="16"/>
      <c r="EJ794" s="16"/>
      <c r="EK794" s="16"/>
      <c r="EL794" s="17"/>
      <c r="EP794" s="24"/>
      <c r="EQ794" s="60"/>
      <c r="ER794" s="16"/>
      <c r="ES794" s="16"/>
      <c r="ET794" s="16"/>
      <c r="EU794" s="16"/>
      <c r="EV794" s="16"/>
      <c r="EW794" s="17"/>
      <c r="FA794" s="24"/>
      <c r="FB794" s="60"/>
      <c r="FC794" s="16"/>
      <c r="FD794" s="16"/>
      <c r="FE794" s="16"/>
      <c r="FF794" s="16"/>
      <c r="FG794" s="16"/>
      <c r="FH794" s="17"/>
      <c r="FL794" s="24"/>
      <c r="FM794" s="60"/>
      <c r="FN794" s="16"/>
      <c r="FO794" s="16"/>
      <c r="FP794" s="16"/>
      <c r="FQ794" s="16"/>
      <c r="FR794" s="16"/>
      <c r="FS794" s="17"/>
      <c r="FW794" s="24"/>
      <c r="FX794" s="60"/>
      <c r="FY794" s="16"/>
      <c r="FZ794" s="16"/>
      <c r="GA794" s="16"/>
      <c r="GB794" s="16"/>
      <c r="GC794" s="16"/>
      <c r="GD794" s="17"/>
      <c r="GH794" s="24"/>
      <c r="GI794" s="60"/>
      <c r="GJ794" s="16"/>
      <c r="GK794" s="16"/>
      <c r="GL794" s="16"/>
      <c r="GM794" s="16"/>
      <c r="GN794" s="16"/>
      <c r="GO794" s="17"/>
      <c r="GS794" s="24"/>
      <c r="GT794" s="60"/>
      <c r="GU794" s="16"/>
      <c r="GV794" s="16"/>
      <c r="GW794" s="16"/>
      <c r="GX794" s="16"/>
      <c r="GY794" s="16"/>
      <c r="GZ794" s="17"/>
      <c r="HD794" s="24"/>
      <c r="HE794" s="60"/>
      <c r="HF794" s="16"/>
      <c r="HG794" s="16"/>
      <c r="HH794" s="16"/>
      <c r="HI794" s="16"/>
      <c r="HJ794" s="16"/>
      <c r="HK794" s="17"/>
      <c r="HO794" s="24"/>
      <c r="HP794" s="60"/>
      <c r="HQ794" s="16"/>
      <c r="HR794" s="16"/>
      <c r="HS794" s="16"/>
      <c r="HT794" s="16"/>
      <c r="HU794" s="16"/>
      <c r="HV794" s="17"/>
      <c r="HZ794" s="24"/>
      <c r="IA794" s="60"/>
      <c r="IB794" s="16"/>
      <c r="IC794" s="16"/>
      <c r="ID794" s="16"/>
      <c r="IE794" s="16"/>
      <c r="IF794" s="16"/>
      <c r="IG794" s="17"/>
      <c r="IK794" s="24"/>
      <c r="IL794" s="60"/>
      <c r="IM794" s="16"/>
      <c r="IN794" s="16"/>
      <c r="IO794" s="16"/>
      <c r="IP794" s="16"/>
      <c r="IQ794" s="16"/>
      <c r="IR794" s="17"/>
      <c r="IV794" s="24"/>
      <c r="IW794" s="60"/>
      <c r="IX794" s="16"/>
      <c r="IY794" s="16"/>
      <c r="IZ794" s="16"/>
      <c r="JA794" s="16"/>
      <c r="JB794" s="16"/>
      <c r="JC794" s="17"/>
      <c r="JG794" s="24"/>
      <c r="JH794" s="60"/>
      <c r="JI794" s="16"/>
      <c r="JJ794" s="16"/>
      <c r="JK794" s="16"/>
      <c r="JL794" s="16"/>
      <c r="JM794" s="16"/>
      <c r="JN794" s="17"/>
      <c r="JR794" s="24"/>
      <c r="JS794" s="60"/>
      <c r="JT794" s="16"/>
      <c r="JU794" s="16"/>
      <c r="JV794" s="16"/>
      <c r="JW794" s="16"/>
      <c r="JX794" s="16"/>
      <c r="JY794" s="17"/>
      <c r="KC794" s="24"/>
      <c r="KD794" s="60"/>
      <c r="KE794" s="16"/>
      <c r="KF794" s="16"/>
      <c r="KG794" s="16"/>
      <c r="KH794" s="16"/>
      <c r="KI794" s="16"/>
      <c r="KJ794" s="17"/>
      <c r="KN794" s="24"/>
      <c r="KO794" s="60"/>
      <c r="KP794" s="16"/>
      <c r="KQ794" s="16"/>
      <c r="KR794" s="16"/>
      <c r="KS794" s="16"/>
      <c r="KT794" s="16"/>
      <c r="KU794" s="17"/>
      <c r="KY794" s="24"/>
      <c r="KZ794" s="60"/>
      <c r="LA794" s="16"/>
      <c r="LB794" s="16"/>
      <c r="LC794" s="16"/>
      <c r="LD794" s="16"/>
      <c r="LE794" s="16"/>
      <c r="LF794" s="17"/>
      <c r="LJ794" s="24"/>
      <c r="LK794" s="60"/>
      <c r="LL794" s="16"/>
      <c r="LM794" s="16"/>
      <c r="LN794" s="16"/>
      <c r="LO794" s="16"/>
      <c r="LP794" s="16"/>
      <c r="LQ794" s="17"/>
    </row>
    <row r="795">
      <c r="C795" s="31"/>
      <c r="D795" s="61"/>
      <c r="E795" s="16"/>
      <c r="F795" s="16"/>
      <c r="G795" s="21"/>
      <c r="H795" s="16"/>
      <c r="I795" s="16"/>
      <c r="J795" s="17"/>
      <c r="N795" s="17"/>
      <c r="O795" s="61"/>
      <c r="P795" s="16"/>
      <c r="Q795" s="16"/>
      <c r="R795" s="16"/>
      <c r="S795" s="16"/>
      <c r="T795" s="16"/>
      <c r="U795" s="17"/>
      <c r="Y795" s="24"/>
      <c r="Z795" s="61"/>
      <c r="AA795" s="16"/>
      <c r="AB795" s="16"/>
      <c r="AC795" s="16"/>
      <c r="AD795" s="16"/>
      <c r="AE795" s="16"/>
      <c r="AF795" s="17"/>
      <c r="AJ795" s="24"/>
      <c r="AK795" s="61"/>
      <c r="AL795" s="16"/>
      <c r="AM795" s="16"/>
      <c r="AN795" s="16"/>
      <c r="AO795" s="16"/>
      <c r="AP795" s="16"/>
      <c r="AQ795" s="17"/>
      <c r="AU795" s="24"/>
      <c r="AV795" s="61"/>
      <c r="AW795" s="16"/>
      <c r="AX795" s="16"/>
      <c r="AY795" s="16"/>
      <c r="AZ795" s="16"/>
      <c r="BA795" s="16"/>
      <c r="BB795" s="17"/>
      <c r="BF795" s="24"/>
      <c r="BG795" s="61"/>
      <c r="BH795" s="16"/>
      <c r="BI795" s="16"/>
      <c r="BJ795" s="16"/>
      <c r="BK795" s="16"/>
      <c r="BL795" s="16"/>
      <c r="BM795" s="17"/>
      <c r="BQ795" s="24"/>
      <c r="BR795" s="61"/>
      <c r="BS795" s="16"/>
      <c r="BT795" s="16"/>
      <c r="BU795" s="16"/>
      <c r="BV795" s="16"/>
      <c r="BW795" s="16"/>
      <c r="BX795" s="17"/>
      <c r="CB795" s="24"/>
      <c r="CC795" s="61"/>
      <c r="CD795" s="16"/>
      <c r="CE795" s="16"/>
      <c r="CF795" s="16"/>
      <c r="CG795" s="16"/>
      <c r="CH795" s="16"/>
      <c r="CI795" s="17"/>
      <c r="CM795" s="24"/>
      <c r="CN795" s="61"/>
      <c r="CO795" s="16"/>
      <c r="CP795" s="16"/>
      <c r="CQ795" s="16"/>
      <c r="CR795" s="16"/>
      <c r="CS795" s="16"/>
      <c r="CT795" s="17"/>
      <c r="CX795" s="24"/>
      <c r="CY795" s="60"/>
      <c r="CZ795" s="16"/>
      <c r="DA795" s="16"/>
      <c r="DB795" s="16"/>
      <c r="DC795" s="16"/>
      <c r="DD795" s="16"/>
      <c r="DE795" s="17"/>
      <c r="DI795" s="24"/>
      <c r="DJ795" s="60"/>
      <c r="DK795" s="16"/>
      <c r="DL795" s="16"/>
      <c r="DM795" s="16"/>
      <c r="DN795" s="16"/>
      <c r="DO795" s="16"/>
      <c r="DP795" s="17"/>
      <c r="DT795" s="24"/>
      <c r="DU795" s="60"/>
      <c r="DV795" s="16"/>
      <c r="DW795" s="16"/>
      <c r="DX795" s="16"/>
      <c r="DY795" s="16"/>
      <c r="DZ795" s="16"/>
      <c r="EA795" s="17"/>
      <c r="EE795" s="24"/>
      <c r="EF795" s="60"/>
      <c r="EG795" s="16"/>
      <c r="EH795" s="16"/>
      <c r="EI795" s="16"/>
      <c r="EJ795" s="16"/>
      <c r="EK795" s="16"/>
      <c r="EL795" s="17"/>
      <c r="EP795" s="24"/>
      <c r="EQ795" s="60"/>
      <c r="ER795" s="16"/>
      <c r="ES795" s="16"/>
      <c r="ET795" s="16"/>
      <c r="EU795" s="16"/>
      <c r="EV795" s="16"/>
      <c r="EW795" s="17"/>
      <c r="FA795" s="24"/>
      <c r="FB795" s="60"/>
      <c r="FC795" s="16"/>
      <c r="FD795" s="16"/>
      <c r="FE795" s="16"/>
      <c r="FF795" s="16"/>
      <c r="FG795" s="16"/>
      <c r="FH795" s="17"/>
      <c r="FL795" s="24"/>
      <c r="FM795" s="60"/>
      <c r="FN795" s="16"/>
      <c r="FO795" s="16"/>
      <c r="FP795" s="16"/>
      <c r="FQ795" s="16"/>
      <c r="FR795" s="16"/>
      <c r="FS795" s="17"/>
      <c r="FW795" s="24"/>
      <c r="FX795" s="60"/>
      <c r="FY795" s="16"/>
      <c r="FZ795" s="16"/>
      <c r="GA795" s="16"/>
      <c r="GB795" s="16"/>
      <c r="GC795" s="16"/>
      <c r="GD795" s="17"/>
      <c r="GH795" s="24"/>
      <c r="GI795" s="60"/>
      <c r="GJ795" s="16"/>
      <c r="GK795" s="16"/>
      <c r="GL795" s="16"/>
      <c r="GM795" s="16"/>
      <c r="GN795" s="16"/>
      <c r="GO795" s="17"/>
      <c r="GS795" s="24"/>
      <c r="GT795" s="60"/>
      <c r="GU795" s="16"/>
      <c r="GV795" s="16"/>
      <c r="GW795" s="16"/>
      <c r="GX795" s="16"/>
      <c r="GY795" s="16"/>
      <c r="GZ795" s="17"/>
      <c r="HD795" s="24"/>
      <c r="HE795" s="60"/>
      <c r="HF795" s="16"/>
      <c r="HG795" s="16"/>
      <c r="HH795" s="16"/>
      <c r="HI795" s="16"/>
      <c r="HJ795" s="16"/>
      <c r="HK795" s="17"/>
      <c r="HO795" s="24"/>
      <c r="HP795" s="60"/>
      <c r="HQ795" s="16"/>
      <c r="HR795" s="16"/>
      <c r="HS795" s="16"/>
      <c r="HT795" s="16"/>
      <c r="HU795" s="16"/>
      <c r="HV795" s="17"/>
      <c r="HZ795" s="24"/>
      <c r="IA795" s="60"/>
      <c r="IB795" s="16"/>
      <c r="IC795" s="16"/>
      <c r="ID795" s="16"/>
      <c r="IE795" s="16"/>
      <c r="IF795" s="16"/>
      <c r="IG795" s="17"/>
      <c r="IK795" s="24"/>
      <c r="IL795" s="60"/>
      <c r="IM795" s="16"/>
      <c r="IN795" s="16"/>
      <c r="IO795" s="16"/>
      <c r="IP795" s="16"/>
      <c r="IQ795" s="16"/>
      <c r="IR795" s="17"/>
      <c r="IV795" s="24"/>
      <c r="IW795" s="60"/>
      <c r="IX795" s="16"/>
      <c r="IY795" s="16"/>
      <c r="IZ795" s="16"/>
      <c r="JA795" s="16"/>
      <c r="JB795" s="16"/>
      <c r="JC795" s="17"/>
      <c r="JG795" s="24"/>
      <c r="JH795" s="60"/>
      <c r="JI795" s="16"/>
      <c r="JJ795" s="16"/>
      <c r="JK795" s="16"/>
      <c r="JL795" s="16"/>
      <c r="JM795" s="16"/>
      <c r="JN795" s="17"/>
      <c r="JR795" s="24"/>
      <c r="JS795" s="60"/>
      <c r="JT795" s="16"/>
      <c r="JU795" s="16"/>
      <c r="JV795" s="16"/>
      <c r="JW795" s="16"/>
      <c r="JX795" s="16"/>
      <c r="JY795" s="17"/>
      <c r="KC795" s="24"/>
      <c r="KD795" s="60"/>
      <c r="KE795" s="16"/>
      <c r="KF795" s="16"/>
      <c r="KG795" s="16"/>
      <c r="KH795" s="16"/>
      <c r="KI795" s="16"/>
      <c r="KJ795" s="17"/>
      <c r="KN795" s="24"/>
      <c r="KO795" s="60"/>
      <c r="KP795" s="16"/>
      <c r="KQ795" s="16"/>
      <c r="KR795" s="16"/>
      <c r="KS795" s="16"/>
      <c r="KT795" s="16"/>
      <c r="KU795" s="17"/>
      <c r="KY795" s="24"/>
      <c r="KZ795" s="60"/>
      <c r="LA795" s="16"/>
      <c r="LB795" s="16"/>
      <c r="LC795" s="16"/>
      <c r="LD795" s="16"/>
      <c r="LE795" s="16"/>
      <c r="LF795" s="17"/>
      <c r="LJ795" s="24"/>
      <c r="LK795" s="60"/>
      <c r="LL795" s="16"/>
      <c r="LM795" s="16"/>
      <c r="LN795" s="16"/>
      <c r="LO795" s="16"/>
      <c r="LP795" s="16"/>
      <c r="LQ795" s="17"/>
    </row>
    <row r="796">
      <c r="C796" s="31"/>
      <c r="D796" s="61"/>
      <c r="E796" s="16"/>
      <c r="F796" s="16"/>
      <c r="G796" s="21"/>
      <c r="H796" s="16"/>
      <c r="I796" s="16"/>
      <c r="J796" s="17"/>
      <c r="N796" s="17"/>
      <c r="O796" s="61"/>
      <c r="P796" s="16"/>
      <c r="Q796" s="16"/>
      <c r="R796" s="16"/>
      <c r="S796" s="16"/>
      <c r="T796" s="16"/>
      <c r="U796" s="17"/>
      <c r="Y796" s="24"/>
      <c r="Z796" s="61"/>
      <c r="AA796" s="16"/>
      <c r="AB796" s="16"/>
      <c r="AC796" s="16"/>
      <c r="AD796" s="16"/>
      <c r="AE796" s="16"/>
      <c r="AF796" s="17"/>
      <c r="AJ796" s="24"/>
      <c r="AK796" s="61"/>
      <c r="AL796" s="16"/>
      <c r="AM796" s="16"/>
      <c r="AN796" s="16"/>
      <c r="AO796" s="16"/>
      <c r="AP796" s="16"/>
      <c r="AQ796" s="17"/>
      <c r="AU796" s="24"/>
      <c r="AV796" s="61"/>
      <c r="AW796" s="16"/>
      <c r="AX796" s="16"/>
      <c r="AY796" s="16"/>
      <c r="AZ796" s="16"/>
      <c r="BA796" s="16"/>
      <c r="BB796" s="17"/>
      <c r="BF796" s="24"/>
      <c r="BG796" s="61"/>
      <c r="BH796" s="16"/>
      <c r="BI796" s="16"/>
      <c r="BJ796" s="16"/>
      <c r="BK796" s="16"/>
      <c r="BL796" s="16"/>
      <c r="BM796" s="17"/>
      <c r="BQ796" s="24"/>
      <c r="BR796" s="61"/>
      <c r="BS796" s="16"/>
      <c r="BT796" s="16"/>
      <c r="BU796" s="16"/>
      <c r="BV796" s="16"/>
      <c r="BW796" s="16"/>
      <c r="BX796" s="17"/>
      <c r="CB796" s="24"/>
      <c r="CC796" s="61"/>
      <c r="CD796" s="16"/>
      <c r="CE796" s="16"/>
      <c r="CF796" s="16"/>
      <c r="CG796" s="16"/>
      <c r="CH796" s="16"/>
      <c r="CI796" s="17"/>
      <c r="CM796" s="24"/>
      <c r="CN796" s="61"/>
      <c r="CO796" s="16"/>
      <c r="CP796" s="16"/>
      <c r="CQ796" s="16"/>
      <c r="CR796" s="16"/>
      <c r="CS796" s="16"/>
      <c r="CT796" s="17"/>
      <c r="CX796" s="24"/>
      <c r="CY796" s="60"/>
      <c r="CZ796" s="16"/>
      <c r="DA796" s="16"/>
      <c r="DB796" s="16"/>
      <c r="DC796" s="16"/>
      <c r="DD796" s="16"/>
      <c r="DE796" s="17"/>
      <c r="DI796" s="24"/>
      <c r="DJ796" s="60"/>
      <c r="DK796" s="16"/>
      <c r="DL796" s="16"/>
      <c r="DM796" s="16"/>
      <c r="DN796" s="16"/>
      <c r="DO796" s="16"/>
      <c r="DP796" s="17"/>
      <c r="DT796" s="24"/>
      <c r="DU796" s="60"/>
      <c r="DV796" s="16"/>
      <c r="DW796" s="16"/>
      <c r="DX796" s="16"/>
      <c r="DY796" s="16"/>
      <c r="DZ796" s="16"/>
      <c r="EA796" s="17"/>
      <c r="EE796" s="24"/>
      <c r="EF796" s="60"/>
      <c r="EG796" s="16"/>
      <c r="EH796" s="16"/>
      <c r="EI796" s="16"/>
      <c r="EJ796" s="16"/>
      <c r="EK796" s="16"/>
      <c r="EL796" s="17"/>
      <c r="EP796" s="24"/>
      <c r="EQ796" s="60"/>
      <c r="ER796" s="16"/>
      <c r="ES796" s="16"/>
      <c r="ET796" s="16"/>
      <c r="EU796" s="16"/>
      <c r="EV796" s="16"/>
      <c r="EW796" s="17"/>
      <c r="FA796" s="24"/>
      <c r="FB796" s="60"/>
      <c r="FC796" s="16"/>
      <c r="FD796" s="16"/>
      <c r="FE796" s="16"/>
      <c r="FF796" s="16"/>
      <c r="FG796" s="16"/>
      <c r="FH796" s="17"/>
      <c r="FL796" s="24"/>
      <c r="FM796" s="60"/>
      <c r="FN796" s="16"/>
      <c r="FO796" s="16"/>
      <c r="FP796" s="16"/>
      <c r="FQ796" s="16"/>
      <c r="FR796" s="16"/>
      <c r="FS796" s="17"/>
      <c r="FW796" s="24"/>
      <c r="FX796" s="60"/>
      <c r="FY796" s="16"/>
      <c r="FZ796" s="16"/>
      <c r="GA796" s="16"/>
      <c r="GB796" s="16"/>
      <c r="GC796" s="16"/>
      <c r="GD796" s="17"/>
      <c r="GH796" s="24"/>
      <c r="GI796" s="60"/>
      <c r="GJ796" s="16"/>
      <c r="GK796" s="16"/>
      <c r="GL796" s="16"/>
      <c r="GM796" s="16"/>
      <c r="GN796" s="16"/>
      <c r="GO796" s="17"/>
      <c r="GS796" s="24"/>
      <c r="GT796" s="60"/>
      <c r="GU796" s="16"/>
      <c r="GV796" s="16"/>
      <c r="GW796" s="16"/>
      <c r="GX796" s="16"/>
      <c r="GY796" s="16"/>
      <c r="GZ796" s="17"/>
      <c r="HD796" s="24"/>
      <c r="HE796" s="60"/>
      <c r="HF796" s="16"/>
      <c r="HG796" s="16"/>
      <c r="HH796" s="16"/>
      <c r="HI796" s="16"/>
      <c r="HJ796" s="16"/>
      <c r="HK796" s="17"/>
      <c r="HO796" s="24"/>
      <c r="HP796" s="60"/>
      <c r="HQ796" s="16"/>
      <c r="HR796" s="16"/>
      <c r="HS796" s="16"/>
      <c r="HT796" s="16"/>
      <c r="HU796" s="16"/>
      <c r="HV796" s="17"/>
      <c r="HZ796" s="24"/>
      <c r="IA796" s="60"/>
      <c r="IB796" s="16"/>
      <c r="IC796" s="16"/>
      <c r="ID796" s="16"/>
      <c r="IE796" s="16"/>
      <c r="IF796" s="16"/>
      <c r="IG796" s="17"/>
      <c r="IK796" s="24"/>
      <c r="IL796" s="60"/>
      <c r="IM796" s="16"/>
      <c r="IN796" s="16"/>
      <c r="IO796" s="16"/>
      <c r="IP796" s="16"/>
      <c r="IQ796" s="16"/>
      <c r="IR796" s="17"/>
      <c r="IV796" s="24"/>
      <c r="IW796" s="60"/>
      <c r="IX796" s="16"/>
      <c r="IY796" s="16"/>
      <c r="IZ796" s="16"/>
      <c r="JA796" s="16"/>
      <c r="JB796" s="16"/>
      <c r="JC796" s="17"/>
      <c r="JG796" s="24"/>
      <c r="JH796" s="60"/>
      <c r="JI796" s="16"/>
      <c r="JJ796" s="16"/>
      <c r="JK796" s="16"/>
      <c r="JL796" s="16"/>
      <c r="JM796" s="16"/>
      <c r="JN796" s="17"/>
      <c r="JR796" s="24"/>
      <c r="JS796" s="60"/>
      <c r="JT796" s="16"/>
      <c r="JU796" s="16"/>
      <c r="JV796" s="16"/>
      <c r="JW796" s="16"/>
      <c r="JX796" s="16"/>
      <c r="JY796" s="17"/>
      <c r="KC796" s="24"/>
      <c r="KD796" s="60"/>
      <c r="KE796" s="16"/>
      <c r="KF796" s="16"/>
      <c r="KG796" s="16"/>
      <c r="KH796" s="16"/>
      <c r="KI796" s="16"/>
      <c r="KJ796" s="17"/>
      <c r="KN796" s="24"/>
      <c r="KO796" s="60"/>
      <c r="KP796" s="16"/>
      <c r="KQ796" s="16"/>
      <c r="KR796" s="16"/>
      <c r="KS796" s="16"/>
      <c r="KT796" s="16"/>
      <c r="KU796" s="17"/>
      <c r="KY796" s="24"/>
      <c r="KZ796" s="60"/>
      <c r="LA796" s="16"/>
      <c r="LB796" s="16"/>
      <c r="LC796" s="16"/>
      <c r="LD796" s="16"/>
      <c r="LE796" s="16"/>
      <c r="LF796" s="17"/>
      <c r="LJ796" s="24"/>
      <c r="LK796" s="60"/>
      <c r="LL796" s="16"/>
      <c r="LM796" s="16"/>
      <c r="LN796" s="16"/>
      <c r="LO796" s="16"/>
      <c r="LP796" s="16"/>
      <c r="LQ796" s="17"/>
    </row>
    <row r="797">
      <c r="C797" s="31"/>
      <c r="D797" s="61"/>
      <c r="E797" s="16"/>
      <c r="F797" s="16"/>
      <c r="G797" s="21"/>
      <c r="H797" s="16"/>
      <c r="I797" s="16"/>
      <c r="J797" s="17"/>
      <c r="N797" s="17"/>
      <c r="O797" s="61"/>
      <c r="P797" s="16"/>
      <c r="Q797" s="16"/>
      <c r="R797" s="16"/>
      <c r="S797" s="16"/>
      <c r="T797" s="16"/>
      <c r="U797" s="17"/>
      <c r="Y797" s="24"/>
      <c r="Z797" s="61"/>
      <c r="AA797" s="16"/>
      <c r="AB797" s="16"/>
      <c r="AC797" s="16"/>
      <c r="AD797" s="16"/>
      <c r="AE797" s="16"/>
      <c r="AF797" s="17"/>
      <c r="AJ797" s="24"/>
      <c r="AK797" s="61"/>
      <c r="AL797" s="16"/>
      <c r="AM797" s="16"/>
      <c r="AN797" s="16"/>
      <c r="AO797" s="16"/>
      <c r="AP797" s="16"/>
      <c r="AQ797" s="17"/>
      <c r="AU797" s="24"/>
      <c r="AV797" s="61"/>
      <c r="AW797" s="16"/>
      <c r="AX797" s="16"/>
      <c r="AY797" s="16"/>
      <c r="AZ797" s="16"/>
      <c r="BA797" s="16"/>
      <c r="BB797" s="17"/>
      <c r="BF797" s="24"/>
      <c r="BG797" s="61"/>
      <c r="BH797" s="16"/>
      <c r="BI797" s="16"/>
      <c r="BJ797" s="16"/>
      <c r="BK797" s="16"/>
      <c r="BL797" s="16"/>
      <c r="BM797" s="17"/>
      <c r="BQ797" s="24"/>
      <c r="BR797" s="61"/>
      <c r="BS797" s="16"/>
      <c r="BT797" s="16"/>
      <c r="BU797" s="16"/>
      <c r="BV797" s="16"/>
      <c r="BW797" s="16"/>
      <c r="BX797" s="17"/>
      <c r="CB797" s="24"/>
      <c r="CC797" s="61"/>
      <c r="CD797" s="16"/>
      <c r="CE797" s="16"/>
      <c r="CF797" s="16"/>
      <c r="CG797" s="16"/>
      <c r="CH797" s="16"/>
      <c r="CI797" s="17"/>
      <c r="CM797" s="24"/>
      <c r="CN797" s="61"/>
      <c r="CO797" s="16"/>
      <c r="CP797" s="16"/>
      <c r="CQ797" s="16"/>
      <c r="CR797" s="16"/>
      <c r="CS797" s="16"/>
      <c r="CT797" s="17"/>
      <c r="CX797" s="24"/>
      <c r="CY797" s="60"/>
      <c r="CZ797" s="16"/>
      <c r="DA797" s="16"/>
      <c r="DB797" s="16"/>
      <c r="DC797" s="16"/>
      <c r="DD797" s="16"/>
      <c r="DE797" s="17"/>
      <c r="DI797" s="24"/>
      <c r="DJ797" s="60"/>
      <c r="DK797" s="16"/>
      <c r="DL797" s="16"/>
      <c r="DM797" s="16"/>
      <c r="DN797" s="16"/>
      <c r="DO797" s="16"/>
      <c r="DP797" s="17"/>
      <c r="DT797" s="24"/>
      <c r="DU797" s="60"/>
      <c r="DV797" s="16"/>
      <c r="DW797" s="16"/>
      <c r="DX797" s="16"/>
      <c r="DY797" s="16"/>
      <c r="DZ797" s="16"/>
      <c r="EA797" s="17"/>
      <c r="EE797" s="24"/>
      <c r="EF797" s="60"/>
      <c r="EG797" s="16"/>
      <c r="EH797" s="16"/>
      <c r="EI797" s="16"/>
      <c r="EJ797" s="16"/>
      <c r="EK797" s="16"/>
      <c r="EL797" s="17"/>
      <c r="EP797" s="24"/>
      <c r="EQ797" s="60"/>
      <c r="ER797" s="16"/>
      <c r="ES797" s="16"/>
      <c r="ET797" s="16"/>
      <c r="EU797" s="16"/>
      <c r="EV797" s="16"/>
      <c r="EW797" s="17"/>
      <c r="FA797" s="24"/>
      <c r="FB797" s="60"/>
      <c r="FC797" s="16"/>
      <c r="FD797" s="16"/>
      <c r="FE797" s="16"/>
      <c r="FF797" s="16"/>
      <c r="FG797" s="16"/>
      <c r="FH797" s="17"/>
      <c r="FL797" s="24"/>
      <c r="FM797" s="60"/>
      <c r="FN797" s="16"/>
      <c r="FO797" s="16"/>
      <c r="FP797" s="16"/>
      <c r="FQ797" s="16"/>
      <c r="FR797" s="16"/>
      <c r="FS797" s="17"/>
      <c r="FW797" s="24"/>
      <c r="FX797" s="60"/>
      <c r="FY797" s="16"/>
      <c r="FZ797" s="16"/>
      <c r="GA797" s="16"/>
      <c r="GB797" s="16"/>
      <c r="GC797" s="16"/>
      <c r="GD797" s="17"/>
      <c r="GH797" s="24"/>
      <c r="GI797" s="60"/>
      <c r="GJ797" s="16"/>
      <c r="GK797" s="16"/>
      <c r="GL797" s="16"/>
      <c r="GM797" s="16"/>
      <c r="GN797" s="16"/>
      <c r="GO797" s="17"/>
      <c r="GS797" s="24"/>
      <c r="GT797" s="60"/>
      <c r="GU797" s="16"/>
      <c r="GV797" s="16"/>
      <c r="GW797" s="16"/>
      <c r="GX797" s="16"/>
      <c r="GY797" s="16"/>
      <c r="GZ797" s="17"/>
      <c r="HD797" s="24"/>
      <c r="HE797" s="60"/>
      <c r="HF797" s="16"/>
      <c r="HG797" s="16"/>
      <c r="HH797" s="16"/>
      <c r="HI797" s="16"/>
      <c r="HJ797" s="16"/>
      <c r="HK797" s="17"/>
      <c r="HO797" s="24"/>
      <c r="HP797" s="60"/>
      <c r="HQ797" s="16"/>
      <c r="HR797" s="16"/>
      <c r="HS797" s="16"/>
      <c r="HT797" s="16"/>
      <c r="HU797" s="16"/>
      <c r="HV797" s="17"/>
      <c r="HZ797" s="24"/>
      <c r="IA797" s="60"/>
      <c r="IB797" s="16"/>
      <c r="IC797" s="16"/>
      <c r="ID797" s="16"/>
      <c r="IE797" s="16"/>
      <c r="IF797" s="16"/>
      <c r="IG797" s="17"/>
      <c r="IK797" s="24"/>
      <c r="IL797" s="60"/>
      <c r="IM797" s="16"/>
      <c r="IN797" s="16"/>
      <c r="IO797" s="16"/>
      <c r="IP797" s="16"/>
      <c r="IQ797" s="16"/>
      <c r="IR797" s="17"/>
      <c r="IV797" s="24"/>
      <c r="IW797" s="60"/>
      <c r="IX797" s="16"/>
      <c r="IY797" s="16"/>
      <c r="IZ797" s="16"/>
      <c r="JA797" s="16"/>
      <c r="JB797" s="16"/>
      <c r="JC797" s="17"/>
      <c r="JG797" s="24"/>
      <c r="JH797" s="60"/>
      <c r="JI797" s="16"/>
      <c r="JJ797" s="16"/>
      <c r="JK797" s="16"/>
      <c r="JL797" s="16"/>
      <c r="JM797" s="16"/>
      <c r="JN797" s="17"/>
      <c r="JR797" s="24"/>
      <c r="JS797" s="60"/>
      <c r="JT797" s="16"/>
      <c r="JU797" s="16"/>
      <c r="JV797" s="16"/>
      <c r="JW797" s="16"/>
      <c r="JX797" s="16"/>
      <c r="JY797" s="17"/>
      <c r="KC797" s="24"/>
      <c r="KD797" s="60"/>
      <c r="KE797" s="16"/>
      <c r="KF797" s="16"/>
      <c r="KG797" s="16"/>
      <c r="KH797" s="16"/>
      <c r="KI797" s="16"/>
      <c r="KJ797" s="17"/>
      <c r="KN797" s="24"/>
      <c r="KO797" s="60"/>
      <c r="KP797" s="16"/>
      <c r="KQ797" s="16"/>
      <c r="KR797" s="16"/>
      <c r="KS797" s="16"/>
      <c r="KT797" s="16"/>
      <c r="KU797" s="17"/>
      <c r="KY797" s="24"/>
      <c r="KZ797" s="60"/>
      <c r="LA797" s="16"/>
      <c r="LB797" s="16"/>
      <c r="LC797" s="16"/>
      <c r="LD797" s="16"/>
      <c r="LE797" s="16"/>
      <c r="LF797" s="17"/>
      <c r="LJ797" s="24"/>
      <c r="LK797" s="60"/>
      <c r="LL797" s="16"/>
      <c r="LM797" s="16"/>
      <c r="LN797" s="16"/>
      <c r="LO797" s="16"/>
      <c r="LP797" s="16"/>
      <c r="LQ797" s="17"/>
    </row>
    <row r="798">
      <c r="C798" s="31"/>
      <c r="D798" s="61"/>
      <c r="E798" s="16"/>
      <c r="F798" s="16"/>
      <c r="G798" s="21"/>
      <c r="H798" s="16"/>
      <c r="I798" s="16"/>
      <c r="J798" s="17"/>
      <c r="N798" s="17"/>
      <c r="O798" s="61"/>
      <c r="P798" s="16"/>
      <c r="Q798" s="16"/>
      <c r="R798" s="16"/>
      <c r="S798" s="16"/>
      <c r="T798" s="16"/>
      <c r="U798" s="17"/>
      <c r="Y798" s="24"/>
      <c r="Z798" s="61"/>
      <c r="AA798" s="16"/>
      <c r="AB798" s="16"/>
      <c r="AC798" s="16"/>
      <c r="AD798" s="16"/>
      <c r="AE798" s="16"/>
      <c r="AF798" s="17"/>
      <c r="AJ798" s="24"/>
      <c r="AK798" s="61"/>
      <c r="AL798" s="16"/>
      <c r="AM798" s="16"/>
      <c r="AN798" s="16"/>
      <c r="AO798" s="16"/>
      <c r="AP798" s="16"/>
      <c r="AQ798" s="17"/>
      <c r="AU798" s="24"/>
      <c r="AV798" s="61"/>
      <c r="AW798" s="16"/>
      <c r="AX798" s="16"/>
      <c r="AY798" s="16"/>
      <c r="AZ798" s="16"/>
      <c r="BA798" s="16"/>
      <c r="BB798" s="17"/>
      <c r="BF798" s="24"/>
      <c r="BG798" s="61"/>
      <c r="BH798" s="16"/>
      <c r="BI798" s="16"/>
      <c r="BJ798" s="16"/>
      <c r="BK798" s="16"/>
      <c r="BL798" s="16"/>
      <c r="BM798" s="17"/>
      <c r="BQ798" s="24"/>
      <c r="BR798" s="61"/>
      <c r="BS798" s="16"/>
      <c r="BT798" s="16"/>
      <c r="BU798" s="16"/>
      <c r="BV798" s="16"/>
      <c r="BW798" s="16"/>
      <c r="BX798" s="17"/>
      <c r="CB798" s="24"/>
      <c r="CC798" s="61"/>
      <c r="CD798" s="16"/>
      <c r="CE798" s="16"/>
      <c r="CF798" s="16"/>
      <c r="CG798" s="16"/>
      <c r="CH798" s="16"/>
      <c r="CI798" s="17"/>
      <c r="CM798" s="24"/>
      <c r="CN798" s="61"/>
      <c r="CO798" s="16"/>
      <c r="CP798" s="16"/>
      <c r="CQ798" s="16"/>
      <c r="CR798" s="16"/>
      <c r="CS798" s="16"/>
      <c r="CT798" s="17"/>
      <c r="CX798" s="24"/>
      <c r="CY798" s="60"/>
      <c r="CZ798" s="16"/>
      <c r="DA798" s="16"/>
      <c r="DB798" s="16"/>
      <c r="DC798" s="16"/>
      <c r="DD798" s="16"/>
      <c r="DE798" s="17"/>
      <c r="DI798" s="24"/>
      <c r="DJ798" s="60"/>
      <c r="DK798" s="16"/>
      <c r="DL798" s="16"/>
      <c r="DM798" s="16"/>
      <c r="DN798" s="16"/>
      <c r="DO798" s="16"/>
      <c r="DP798" s="17"/>
      <c r="DT798" s="24"/>
      <c r="DU798" s="60"/>
      <c r="DV798" s="16"/>
      <c r="DW798" s="16"/>
      <c r="DX798" s="16"/>
      <c r="DY798" s="16"/>
      <c r="DZ798" s="16"/>
      <c r="EA798" s="17"/>
      <c r="EE798" s="24"/>
      <c r="EF798" s="60"/>
      <c r="EG798" s="16"/>
      <c r="EH798" s="16"/>
      <c r="EI798" s="16"/>
      <c r="EJ798" s="16"/>
      <c r="EK798" s="16"/>
      <c r="EL798" s="17"/>
      <c r="EP798" s="24"/>
      <c r="EQ798" s="60"/>
      <c r="ER798" s="16"/>
      <c r="ES798" s="16"/>
      <c r="ET798" s="16"/>
      <c r="EU798" s="16"/>
      <c r="EV798" s="16"/>
      <c r="EW798" s="17"/>
      <c r="FA798" s="24"/>
      <c r="FB798" s="60"/>
      <c r="FC798" s="16"/>
      <c r="FD798" s="16"/>
      <c r="FE798" s="16"/>
      <c r="FF798" s="16"/>
      <c r="FG798" s="16"/>
      <c r="FH798" s="17"/>
      <c r="FL798" s="24"/>
      <c r="FM798" s="60"/>
      <c r="FN798" s="16"/>
      <c r="FO798" s="16"/>
      <c r="FP798" s="16"/>
      <c r="FQ798" s="16"/>
      <c r="FR798" s="16"/>
      <c r="FS798" s="17"/>
      <c r="FW798" s="24"/>
      <c r="FX798" s="60"/>
      <c r="FY798" s="16"/>
      <c r="FZ798" s="16"/>
      <c r="GA798" s="16"/>
      <c r="GB798" s="16"/>
      <c r="GC798" s="16"/>
      <c r="GD798" s="17"/>
      <c r="GH798" s="24"/>
      <c r="GI798" s="60"/>
      <c r="GJ798" s="16"/>
      <c r="GK798" s="16"/>
      <c r="GL798" s="16"/>
      <c r="GM798" s="16"/>
      <c r="GN798" s="16"/>
      <c r="GO798" s="17"/>
      <c r="GS798" s="24"/>
      <c r="GT798" s="60"/>
      <c r="GU798" s="16"/>
      <c r="GV798" s="16"/>
      <c r="GW798" s="16"/>
      <c r="GX798" s="16"/>
      <c r="GY798" s="16"/>
      <c r="GZ798" s="17"/>
      <c r="HD798" s="24"/>
      <c r="HE798" s="60"/>
      <c r="HF798" s="16"/>
      <c r="HG798" s="16"/>
      <c r="HH798" s="16"/>
      <c r="HI798" s="16"/>
      <c r="HJ798" s="16"/>
      <c r="HK798" s="17"/>
      <c r="HO798" s="24"/>
      <c r="HP798" s="60"/>
      <c r="HQ798" s="16"/>
      <c r="HR798" s="16"/>
      <c r="HS798" s="16"/>
      <c r="HT798" s="16"/>
      <c r="HU798" s="16"/>
      <c r="HV798" s="17"/>
      <c r="HZ798" s="24"/>
      <c r="IA798" s="60"/>
      <c r="IB798" s="16"/>
      <c r="IC798" s="16"/>
      <c r="ID798" s="16"/>
      <c r="IE798" s="16"/>
      <c r="IF798" s="16"/>
      <c r="IG798" s="17"/>
      <c r="IK798" s="24"/>
      <c r="IL798" s="60"/>
      <c r="IM798" s="16"/>
      <c r="IN798" s="16"/>
      <c r="IO798" s="16"/>
      <c r="IP798" s="16"/>
      <c r="IQ798" s="16"/>
      <c r="IR798" s="17"/>
      <c r="IV798" s="24"/>
      <c r="IW798" s="60"/>
      <c r="IX798" s="16"/>
      <c r="IY798" s="16"/>
      <c r="IZ798" s="16"/>
      <c r="JA798" s="16"/>
      <c r="JB798" s="16"/>
      <c r="JC798" s="17"/>
      <c r="JG798" s="24"/>
      <c r="JH798" s="60"/>
      <c r="JI798" s="16"/>
      <c r="JJ798" s="16"/>
      <c r="JK798" s="16"/>
      <c r="JL798" s="16"/>
      <c r="JM798" s="16"/>
      <c r="JN798" s="17"/>
      <c r="JR798" s="24"/>
      <c r="JS798" s="60"/>
      <c r="JT798" s="16"/>
      <c r="JU798" s="16"/>
      <c r="JV798" s="16"/>
      <c r="JW798" s="16"/>
      <c r="JX798" s="16"/>
      <c r="JY798" s="17"/>
      <c r="KC798" s="24"/>
      <c r="KD798" s="60"/>
      <c r="KE798" s="16"/>
      <c r="KF798" s="16"/>
      <c r="KG798" s="16"/>
      <c r="KH798" s="16"/>
      <c r="KI798" s="16"/>
      <c r="KJ798" s="17"/>
      <c r="KN798" s="24"/>
      <c r="KO798" s="60"/>
      <c r="KP798" s="16"/>
      <c r="KQ798" s="16"/>
      <c r="KR798" s="16"/>
      <c r="KS798" s="16"/>
      <c r="KT798" s="16"/>
      <c r="KU798" s="17"/>
      <c r="KY798" s="24"/>
      <c r="KZ798" s="60"/>
      <c r="LA798" s="16"/>
      <c r="LB798" s="16"/>
      <c r="LC798" s="16"/>
      <c r="LD798" s="16"/>
      <c r="LE798" s="16"/>
      <c r="LF798" s="17"/>
      <c r="LJ798" s="24"/>
      <c r="LK798" s="60"/>
      <c r="LL798" s="16"/>
      <c r="LM798" s="16"/>
      <c r="LN798" s="16"/>
      <c r="LO798" s="16"/>
      <c r="LP798" s="16"/>
      <c r="LQ798" s="17"/>
    </row>
    <row r="799">
      <c r="C799" s="31"/>
      <c r="D799" s="61"/>
      <c r="E799" s="16"/>
      <c r="F799" s="16"/>
      <c r="G799" s="21"/>
      <c r="H799" s="16"/>
      <c r="I799" s="16"/>
      <c r="J799" s="17"/>
      <c r="N799" s="17"/>
      <c r="O799" s="61"/>
      <c r="P799" s="16"/>
      <c r="Q799" s="16"/>
      <c r="R799" s="16"/>
      <c r="S799" s="16"/>
      <c r="T799" s="16"/>
      <c r="U799" s="17"/>
      <c r="Y799" s="24"/>
      <c r="Z799" s="61"/>
      <c r="AA799" s="16"/>
      <c r="AB799" s="16"/>
      <c r="AC799" s="16"/>
      <c r="AD799" s="16"/>
      <c r="AE799" s="16"/>
      <c r="AF799" s="17"/>
      <c r="AJ799" s="24"/>
      <c r="AK799" s="61"/>
      <c r="AL799" s="16"/>
      <c r="AM799" s="16"/>
      <c r="AN799" s="16"/>
      <c r="AO799" s="16"/>
      <c r="AP799" s="16"/>
      <c r="AQ799" s="17"/>
      <c r="AU799" s="24"/>
      <c r="AV799" s="61"/>
      <c r="AW799" s="16"/>
      <c r="AX799" s="16"/>
      <c r="AY799" s="16"/>
      <c r="AZ799" s="16"/>
      <c r="BA799" s="16"/>
      <c r="BB799" s="17"/>
      <c r="BF799" s="24"/>
      <c r="BG799" s="61"/>
      <c r="BH799" s="16"/>
      <c r="BI799" s="16"/>
      <c r="BJ799" s="16"/>
      <c r="BK799" s="16"/>
      <c r="BL799" s="16"/>
      <c r="BM799" s="17"/>
      <c r="BQ799" s="24"/>
      <c r="BR799" s="61"/>
      <c r="BS799" s="16"/>
      <c r="BT799" s="16"/>
      <c r="BU799" s="16"/>
      <c r="BV799" s="16"/>
      <c r="BW799" s="16"/>
      <c r="BX799" s="17"/>
      <c r="CB799" s="24"/>
      <c r="CC799" s="61"/>
      <c r="CD799" s="16"/>
      <c r="CE799" s="16"/>
      <c r="CF799" s="16"/>
      <c r="CG799" s="16"/>
      <c r="CH799" s="16"/>
      <c r="CI799" s="17"/>
      <c r="CM799" s="24"/>
      <c r="CN799" s="61"/>
      <c r="CO799" s="16"/>
      <c r="CP799" s="16"/>
      <c r="CQ799" s="16"/>
      <c r="CR799" s="16"/>
      <c r="CS799" s="16"/>
      <c r="CT799" s="17"/>
      <c r="CX799" s="24"/>
      <c r="CY799" s="60"/>
      <c r="CZ799" s="16"/>
      <c r="DA799" s="16"/>
      <c r="DB799" s="16"/>
      <c r="DC799" s="16"/>
      <c r="DD799" s="16"/>
      <c r="DE799" s="17"/>
      <c r="DI799" s="24"/>
      <c r="DJ799" s="60"/>
      <c r="DK799" s="16"/>
      <c r="DL799" s="16"/>
      <c r="DM799" s="16"/>
      <c r="DN799" s="16"/>
      <c r="DO799" s="16"/>
      <c r="DP799" s="17"/>
      <c r="DT799" s="24"/>
      <c r="DU799" s="60"/>
      <c r="DV799" s="16"/>
      <c r="DW799" s="16"/>
      <c r="DX799" s="16"/>
      <c r="DY799" s="16"/>
      <c r="DZ799" s="16"/>
      <c r="EA799" s="17"/>
      <c r="EE799" s="24"/>
      <c r="EF799" s="60"/>
      <c r="EG799" s="16"/>
      <c r="EH799" s="16"/>
      <c r="EI799" s="16"/>
      <c r="EJ799" s="16"/>
      <c r="EK799" s="16"/>
      <c r="EL799" s="17"/>
      <c r="EP799" s="24"/>
      <c r="EQ799" s="60"/>
      <c r="ER799" s="16"/>
      <c r="ES799" s="16"/>
      <c r="ET799" s="16"/>
      <c r="EU799" s="16"/>
      <c r="EV799" s="16"/>
      <c r="EW799" s="17"/>
      <c r="FA799" s="24"/>
      <c r="FB799" s="60"/>
      <c r="FC799" s="16"/>
      <c r="FD799" s="16"/>
      <c r="FE799" s="16"/>
      <c r="FF799" s="16"/>
      <c r="FG799" s="16"/>
      <c r="FH799" s="17"/>
      <c r="FL799" s="24"/>
      <c r="FM799" s="60"/>
      <c r="FN799" s="16"/>
      <c r="FO799" s="16"/>
      <c r="FP799" s="16"/>
      <c r="FQ799" s="16"/>
      <c r="FR799" s="16"/>
      <c r="FS799" s="17"/>
      <c r="FW799" s="24"/>
      <c r="FX799" s="60"/>
      <c r="FY799" s="16"/>
      <c r="FZ799" s="16"/>
      <c r="GA799" s="16"/>
      <c r="GB799" s="16"/>
      <c r="GC799" s="16"/>
      <c r="GD799" s="17"/>
      <c r="GH799" s="24"/>
      <c r="GI799" s="60"/>
      <c r="GJ799" s="16"/>
      <c r="GK799" s="16"/>
      <c r="GL799" s="16"/>
      <c r="GM799" s="16"/>
      <c r="GN799" s="16"/>
      <c r="GO799" s="17"/>
      <c r="GS799" s="24"/>
      <c r="GT799" s="60"/>
      <c r="GU799" s="16"/>
      <c r="GV799" s="16"/>
      <c r="GW799" s="16"/>
      <c r="GX799" s="16"/>
      <c r="GY799" s="16"/>
      <c r="GZ799" s="17"/>
      <c r="HD799" s="24"/>
      <c r="HE799" s="60"/>
      <c r="HF799" s="16"/>
      <c r="HG799" s="16"/>
      <c r="HH799" s="16"/>
      <c r="HI799" s="16"/>
      <c r="HJ799" s="16"/>
      <c r="HK799" s="17"/>
      <c r="HO799" s="24"/>
      <c r="HP799" s="60"/>
      <c r="HQ799" s="16"/>
      <c r="HR799" s="16"/>
      <c r="HS799" s="16"/>
      <c r="HT799" s="16"/>
      <c r="HU799" s="16"/>
      <c r="HV799" s="17"/>
      <c r="HZ799" s="24"/>
      <c r="IA799" s="60"/>
      <c r="IB799" s="16"/>
      <c r="IC799" s="16"/>
      <c r="ID799" s="16"/>
      <c r="IE799" s="16"/>
      <c r="IF799" s="16"/>
      <c r="IG799" s="17"/>
      <c r="IK799" s="24"/>
      <c r="IL799" s="60"/>
      <c r="IM799" s="16"/>
      <c r="IN799" s="16"/>
      <c r="IO799" s="16"/>
      <c r="IP799" s="16"/>
      <c r="IQ799" s="16"/>
      <c r="IR799" s="17"/>
      <c r="IV799" s="24"/>
      <c r="IW799" s="60"/>
      <c r="IX799" s="16"/>
      <c r="IY799" s="16"/>
      <c r="IZ799" s="16"/>
      <c r="JA799" s="16"/>
      <c r="JB799" s="16"/>
      <c r="JC799" s="17"/>
      <c r="JG799" s="24"/>
      <c r="JH799" s="60"/>
      <c r="JI799" s="16"/>
      <c r="JJ799" s="16"/>
      <c r="JK799" s="16"/>
      <c r="JL799" s="16"/>
      <c r="JM799" s="16"/>
      <c r="JN799" s="17"/>
      <c r="JR799" s="24"/>
      <c r="JS799" s="60"/>
      <c r="JT799" s="16"/>
      <c r="JU799" s="16"/>
      <c r="JV799" s="16"/>
      <c r="JW799" s="16"/>
      <c r="JX799" s="16"/>
      <c r="JY799" s="17"/>
      <c r="KC799" s="24"/>
      <c r="KD799" s="60"/>
      <c r="KE799" s="16"/>
      <c r="KF799" s="16"/>
      <c r="KG799" s="16"/>
      <c r="KH799" s="16"/>
      <c r="KI799" s="16"/>
      <c r="KJ799" s="17"/>
      <c r="KN799" s="24"/>
      <c r="KO799" s="60"/>
      <c r="KP799" s="16"/>
      <c r="KQ799" s="16"/>
      <c r="KR799" s="16"/>
      <c r="KS799" s="16"/>
      <c r="KT799" s="16"/>
      <c r="KU799" s="17"/>
      <c r="KY799" s="24"/>
      <c r="KZ799" s="60"/>
      <c r="LA799" s="16"/>
      <c r="LB799" s="16"/>
      <c r="LC799" s="16"/>
      <c r="LD799" s="16"/>
      <c r="LE799" s="16"/>
      <c r="LF799" s="17"/>
      <c r="LJ799" s="24"/>
      <c r="LK799" s="60"/>
      <c r="LL799" s="16"/>
      <c r="LM799" s="16"/>
      <c r="LN799" s="16"/>
      <c r="LO799" s="16"/>
      <c r="LP799" s="16"/>
      <c r="LQ799" s="17"/>
    </row>
    <row r="800">
      <c r="C800" s="31"/>
      <c r="D800" s="61"/>
      <c r="E800" s="16"/>
      <c r="F800" s="16"/>
      <c r="G800" s="21"/>
      <c r="H800" s="16"/>
      <c r="I800" s="16"/>
      <c r="J800" s="17"/>
      <c r="N800" s="17"/>
      <c r="O800" s="61"/>
      <c r="P800" s="16"/>
      <c r="Q800" s="16"/>
      <c r="R800" s="16"/>
      <c r="S800" s="16"/>
      <c r="T800" s="16"/>
      <c r="U800" s="17"/>
      <c r="Y800" s="24"/>
      <c r="Z800" s="61"/>
      <c r="AA800" s="16"/>
      <c r="AB800" s="16"/>
      <c r="AC800" s="16"/>
      <c r="AD800" s="16"/>
      <c r="AE800" s="16"/>
      <c r="AF800" s="17"/>
      <c r="AJ800" s="24"/>
      <c r="AK800" s="61"/>
      <c r="AL800" s="16"/>
      <c r="AM800" s="16"/>
      <c r="AN800" s="16"/>
      <c r="AO800" s="16"/>
      <c r="AP800" s="16"/>
      <c r="AQ800" s="17"/>
      <c r="AU800" s="24"/>
      <c r="AV800" s="61"/>
      <c r="AW800" s="16"/>
      <c r="AX800" s="16"/>
      <c r="AY800" s="16"/>
      <c r="AZ800" s="16"/>
      <c r="BA800" s="16"/>
      <c r="BB800" s="17"/>
      <c r="BF800" s="24"/>
      <c r="BG800" s="61"/>
      <c r="BH800" s="16"/>
      <c r="BI800" s="16"/>
      <c r="BJ800" s="16"/>
      <c r="BK800" s="16"/>
      <c r="BL800" s="16"/>
      <c r="BM800" s="17"/>
      <c r="BQ800" s="24"/>
      <c r="BR800" s="61"/>
      <c r="BS800" s="16"/>
      <c r="BT800" s="16"/>
      <c r="BU800" s="16"/>
      <c r="BV800" s="16"/>
      <c r="BW800" s="16"/>
      <c r="BX800" s="17"/>
      <c r="CB800" s="24"/>
      <c r="CC800" s="61"/>
      <c r="CD800" s="16"/>
      <c r="CE800" s="16"/>
      <c r="CF800" s="16"/>
      <c r="CG800" s="16"/>
      <c r="CH800" s="16"/>
      <c r="CI800" s="17"/>
      <c r="CM800" s="24"/>
      <c r="CN800" s="61"/>
      <c r="CO800" s="16"/>
      <c r="CP800" s="16"/>
      <c r="CQ800" s="16"/>
      <c r="CR800" s="16"/>
      <c r="CS800" s="16"/>
      <c r="CT800" s="17"/>
      <c r="CX800" s="24"/>
      <c r="CY800" s="60"/>
      <c r="CZ800" s="16"/>
      <c r="DA800" s="16"/>
      <c r="DB800" s="16"/>
      <c r="DC800" s="16"/>
      <c r="DD800" s="16"/>
      <c r="DE800" s="17"/>
      <c r="DI800" s="24"/>
      <c r="DJ800" s="60"/>
      <c r="DK800" s="16"/>
      <c r="DL800" s="16"/>
      <c r="DM800" s="16"/>
      <c r="DN800" s="16"/>
      <c r="DO800" s="16"/>
      <c r="DP800" s="17"/>
      <c r="DT800" s="24"/>
      <c r="DU800" s="60"/>
      <c r="DV800" s="16"/>
      <c r="DW800" s="16"/>
      <c r="DX800" s="16"/>
      <c r="DY800" s="16"/>
      <c r="DZ800" s="16"/>
      <c r="EA800" s="17"/>
      <c r="EE800" s="24"/>
      <c r="EF800" s="60"/>
      <c r="EG800" s="16"/>
      <c r="EH800" s="16"/>
      <c r="EI800" s="16"/>
      <c r="EJ800" s="16"/>
      <c r="EK800" s="16"/>
      <c r="EL800" s="17"/>
      <c r="EP800" s="24"/>
      <c r="EQ800" s="60"/>
      <c r="ER800" s="16"/>
      <c r="ES800" s="16"/>
      <c r="ET800" s="16"/>
      <c r="EU800" s="16"/>
      <c r="EV800" s="16"/>
      <c r="EW800" s="17"/>
      <c r="FA800" s="24"/>
      <c r="FB800" s="60"/>
      <c r="FC800" s="16"/>
      <c r="FD800" s="16"/>
      <c r="FE800" s="16"/>
      <c r="FF800" s="16"/>
      <c r="FG800" s="16"/>
      <c r="FH800" s="17"/>
      <c r="FL800" s="24"/>
      <c r="FM800" s="60"/>
      <c r="FN800" s="16"/>
      <c r="FO800" s="16"/>
      <c r="FP800" s="16"/>
      <c r="FQ800" s="16"/>
      <c r="FR800" s="16"/>
      <c r="FS800" s="17"/>
      <c r="FW800" s="24"/>
      <c r="FX800" s="60"/>
      <c r="FY800" s="16"/>
      <c r="FZ800" s="16"/>
      <c r="GA800" s="16"/>
      <c r="GB800" s="16"/>
      <c r="GC800" s="16"/>
      <c r="GD800" s="17"/>
      <c r="GH800" s="24"/>
      <c r="GI800" s="60"/>
      <c r="GJ800" s="16"/>
      <c r="GK800" s="16"/>
      <c r="GL800" s="16"/>
      <c r="GM800" s="16"/>
      <c r="GN800" s="16"/>
      <c r="GO800" s="17"/>
      <c r="GS800" s="24"/>
      <c r="GT800" s="60"/>
      <c r="GU800" s="16"/>
      <c r="GV800" s="16"/>
      <c r="GW800" s="16"/>
      <c r="GX800" s="16"/>
      <c r="GY800" s="16"/>
      <c r="GZ800" s="17"/>
      <c r="HD800" s="24"/>
      <c r="HE800" s="60"/>
      <c r="HF800" s="16"/>
      <c r="HG800" s="16"/>
      <c r="HH800" s="16"/>
      <c r="HI800" s="16"/>
      <c r="HJ800" s="16"/>
      <c r="HK800" s="17"/>
      <c r="HO800" s="24"/>
      <c r="HP800" s="60"/>
      <c r="HQ800" s="16"/>
      <c r="HR800" s="16"/>
      <c r="HS800" s="16"/>
      <c r="HT800" s="16"/>
      <c r="HU800" s="16"/>
      <c r="HV800" s="17"/>
      <c r="HZ800" s="24"/>
      <c r="IA800" s="60"/>
      <c r="IB800" s="16"/>
      <c r="IC800" s="16"/>
      <c r="ID800" s="16"/>
      <c r="IE800" s="16"/>
      <c r="IF800" s="16"/>
      <c r="IG800" s="17"/>
      <c r="IK800" s="24"/>
      <c r="IL800" s="60"/>
      <c r="IM800" s="16"/>
      <c r="IN800" s="16"/>
      <c r="IO800" s="16"/>
      <c r="IP800" s="16"/>
      <c r="IQ800" s="16"/>
      <c r="IR800" s="17"/>
      <c r="IV800" s="24"/>
      <c r="IW800" s="60"/>
      <c r="IX800" s="16"/>
      <c r="IY800" s="16"/>
      <c r="IZ800" s="16"/>
      <c r="JA800" s="16"/>
      <c r="JB800" s="16"/>
      <c r="JC800" s="17"/>
      <c r="JG800" s="24"/>
      <c r="JH800" s="60"/>
      <c r="JI800" s="16"/>
      <c r="JJ800" s="16"/>
      <c r="JK800" s="16"/>
      <c r="JL800" s="16"/>
      <c r="JM800" s="16"/>
      <c r="JN800" s="17"/>
      <c r="JR800" s="24"/>
      <c r="JS800" s="60"/>
      <c r="JT800" s="16"/>
      <c r="JU800" s="16"/>
      <c r="JV800" s="16"/>
      <c r="JW800" s="16"/>
      <c r="JX800" s="16"/>
      <c r="JY800" s="17"/>
      <c r="KC800" s="24"/>
      <c r="KD800" s="60"/>
      <c r="KE800" s="16"/>
      <c r="KF800" s="16"/>
      <c r="KG800" s="16"/>
      <c r="KH800" s="16"/>
      <c r="KI800" s="16"/>
      <c r="KJ800" s="17"/>
      <c r="KN800" s="24"/>
      <c r="KO800" s="60"/>
      <c r="KP800" s="16"/>
      <c r="KQ800" s="16"/>
      <c r="KR800" s="16"/>
      <c r="KS800" s="16"/>
      <c r="KT800" s="16"/>
      <c r="KU800" s="17"/>
      <c r="KY800" s="24"/>
      <c r="KZ800" s="60"/>
      <c r="LA800" s="16"/>
      <c r="LB800" s="16"/>
      <c r="LC800" s="16"/>
      <c r="LD800" s="16"/>
      <c r="LE800" s="16"/>
      <c r="LF800" s="17"/>
      <c r="LJ800" s="24"/>
      <c r="LK800" s="60"/>
      <c r="LL800" s="16"/>
      <c r="LM800" s="16"/>
      <c r="LN800" s="16"/>
      <c r="LO800" s="16"/>
      <c r="LP800" s="16"/>
      <c r="LQ800" s="17"/>
    </row>
    <row r="801">
      <c r="C801" s="31"/>
      <c r="D801" s="61"/>
      <c r="E801" s="16"/>
      <c r="F801" s="16"/>
      <c r="G801" s="21"/>
      <c r="H801" s="16"/>
      <c r="I801" s="16"/>
      <c r="J801" s="17"/>
      <c r="N801" s="17"/>
      <c r="O801" s="61"/>
      <c r="P801" s="16"/>
      <c r="Q801" s="16"/>
      <c r="R801" s="16"/>
      <c r="S801" s="16"/>
      <c r="T801" s="16"/>
      <c r="U801" s="17"/>
      <c r="Y801" s="24"/>
      <c r="Z801" s="61"/>
      <c r="AA801" s="16"/>
      <c r="AB801" s="16"/>
      <c r="AC801" s="16"/>
      <c r="AD801" s="16"/>
      <c r="AE801" s="16"/>
      <c r="AF801" s="17"/>
      <c r="AJ801" s="24"/>
      <c r="AK801" s="61"/>
      <c r="AL801" s="16"/>
      <c r="AM801" s="16"/>
      <c r="AN801" s="16"/>
      <c r="AO801" s="16"/>
      <c r="AP801" s="16"/>
      <c r="AQ801" s="17"/>
      <c r="AU801" s="24"/>
      <c r="AV801" s="61"/>
      <c r="AW801" s="16"/>
      <c r="AX801" s="16"/>
      <c r="AY801" s="16"/>
      <c r="AZ801" s="16"/>
      <c r="BA801" s="16"/>
      <c r="BB801" s="17"/>
      <c r="BF801" s="24"/>
      <c r="BG801" s="61"/>
      <c r="BH801" s="16"/>
      <c r="BI801" s="16"/>
      <c r="BJ801" s="16"/>
      <c r="BK801" s="16"/>
      <c r="BL801" s="16"/>
      <c r="BM801" s="17"/>
      <c r="BQ801" s="24"/>
      <c r="BR801" s="61"/>
      <c r="BS801" s="16"/>
      <c r="BT801" s="16"/>
      <c r="BU801" s="16"/>
      <c r="BV801" s="16"/>
      <c r="BW801" s="16"/>
      <c r="BX801" s="17"/>
      <c r="CB801" s="24"/>
      <c r="CC801" s="61"/>
      <c r="CD801" s="16"/>
      <c r="CE801" s="16"/>
      <c r="CF801" s="16"/>
      <c r="CG801" s="16"/>
      <c r="CH801" s="16"/>
      <c r="CI801" s="17"/>
      <c r="CM801" s="24"/>
      <c r="CN801" s="61"/>
      <c r="CO801" s="16"/>
      <c r="CP801" s="16"/>
      <c r="CQ801" s="16"/>
      <c r="CR801" s="16"/>
      <c r="CS801" s="16"/>
      <c r="CT801" s="17"/>
      <c r="CX801" s="24"/>
      <c r="CY801" s="60"/>
      <c r="CZ801" s="16"/>
      <c r="DA801" s="16"/>
      <c r="DB801" s="16"/>
      <c r="DC801" s="16"/>
      <c r="DD801" s="16"/>
      <c r="DE801" s="17"/>
      <c r="DI801" s="24"/>
      <c r="DJ801" s="60"/>
      <c r="DK801" s="16"/>
      <c r="DL801" s="16"/>
      <c r="DM801" s="16"/>
      <c r="DN801" s="16"/>
      <c r="DO801" s="16"/>
      <c r="DP801" s="17"/>
      <c r="DT801" s="24"/>
      <c r="DU801" s="60"/>
      <c r="DV801" s="16"/>
      <c r="DW801" s="16"/>
      <c r="DX801" s="16"/>
      <c r="DY801" s="16"/>
      <c r="DZ801" s="16"/>
      <c r="EA801" s="17"/>
      <c r="EE801" s="24"/>
      <c r="EF801" s="60"/>
      <c r="EG801" s="16"/>
      <c r="EH801" s="16"/>
      <c r="EI801" s="16"/>
      <c r="EJ801" s="16"/>
      <c r="EK801" s="16"/>
      <c r="EL801" s="17"/>
      <c r="EP801" s="24"/>
      <c r="EQ801" s="60"/>
      <c r="ER801" s="16"/>
      <c r="ES801" s="16"/>
      <c r="ET801" s="16"/>
      <c r="EU801" s="16"/>
      <c r="EV801" s="16"/>
      <c r="EW801" s="17"/>
      <c r="FA801" s="24"/>
      <c r="FB801" s="60"/>
      <c r="FC801" s="16"/>
      <c r="FD801" s="16"/>
      <c r="FE801" s="16"/>
      <c r="FF801" s="16"/>
      <c r="FG801" s="16"/>
      <c r="FH801" s="17"/>
      <c r="FL801" s="24"/>
      <c r="FM801" s="60"/>
      <c r="FN801" s="16"/>
      <c r="FO801" s="16"/>
      <c r="FP801" s="16"/>
      <c r="FQ801" s="16"/>
      <c r="FR801" s="16"/>
      <c r="FS801" s="17"/>
      <c r="FW801" s="24"/>
      <c r="FX801" s="60"/>
      <c r="FY801" s="16"/>
      <c r="FZ801" s="16"/>
      <c r="GA801" s="16"/>
      <c r="GB801" s="16"/>
      <c r="GC801" s="16"/>
      <c r="GD801" s="17"/>
      <c r="GH801" s="24"/>
      <c r="GI801" s="60"/>
      <c r="GJ801" s="16"/>
      <c r="GK801" s="16"/>
      <c r="GL801" s="16"/>
      <c r="GM801" s="16"/>
      <c r="GN801" s="16"/>
      <c r="GO801" s="17"/>
      <c r="GS801" s="24"/>
      <c r="GT801" s="60"/>
      <c r="GU801" s="16"/>
      <c r="GV801" s="16"/>
      <c r="GW801" s="16"/>
      <c r="GX801" s="16"/>
      <c r="GY801" s="16"/>
      <c r="GZ801" s="17"/>
      <c r="HD801" s="24"/>
      <c r="HE801" s="60"/>
      <c r="HF801" s="16"/>
      <c r="HG801" s="16"/>
      <c r="HH801" s="16"/>
      <c r="HI801" s="16"/>
      <c r="HJ801" s="16"/>
      <c r="HK801" s="17"/>
      <c r="HO801" s="24"/>
      <c r="HP801" s="60"/>
      <c r="HQ801" s="16"/>
      <c r="HR801" s="16"/>
      <c r="HS801" s="16"/>
      <c r="HT801" s="16"/>
      <c r="HU801" s="16"/>
      <c r="HV801" s="17"/>
      <c r="HZ801" s="24"/>
      <c r="IA801" s="60"/>
      <c r="IB801" s="16"/>
      <c r="IC801" s="16"/>
      <c r="ID801" s="16"/>
      <c r="IE801" s="16"/>
      <c r="IF801" s="16"/>
      <c r="IG801" s="17"/>
      <c r="IK801" s="24"/>
      <c r="IL801" s="60"/>
      <c r="IM801" s="16"/>
      <c r="IN801" s="16"/>
      <c r="IO801" s="16"/>
      <c r="IP801" s="16"/>
      <c r="IQ801" s="16"/>
      <c r="IR801" s="17"/>
      <c r="IV801" s="24"/>
      <c r="IW801" s="60"/>
      <c r="IX801" s="16"/>
      <c r="IY801" s="16"/>
      <c r="IZ801" s="16"/>
      <c r="JA801" s="16"/>
      <c r="JB801" s="16"/>
      <c r="JC801" s="17"/>
      <c r="JG801" s="24"/>
      <c r="JH801" s="60"/>
      <c r="JI801" s="16"/>
      <c r="JJ801" s="16"/>
      <c r="JK801" s="16"/>
      <c r="JL801" s="16"/>
      <c r="JM801" s="16"/>
      <c r="JN801" s="17"/>
      <c r="JR801" s="24"/>
      <c r="JS801" s="60"/>
      <c r="JT801" s="16"/>
      <c r="JU801" s="16"/>
      <c r="JV801" s="16"/>
      <c r="JW801" s="16"/>
      <c r="JX801" s="16"/>
      <c r="JY801" s="17"/>
      <c r="KC801" s="24"/>
      <c r="KD801" s="60"/>
      <c r="KE801" s="16"/>
      <c r="KF801" s="16"/>
      <c r="KG801" s="16"/>
      <c r="KH801" s="16"/>
      <c r="KI801" s="16"/>
      <c r="KJ801" s="17"/>
      <c r="KN801" s="24"/>
      <c r="KO801" s="60"/>
      <c r="KP801" s="16"/>
      <c r="KQ801" s="16"/>
      <c r="KR801" s="16"/>
      <c r="KS801" s="16"/>
      <c r="KT801" s="16"/>
      <c r="KU801" s="17"/>
      <c r="KY801" s="24"/>
      <c r="KZ801" s="60"/>
      <c r="LA801" s="16"/>
      <c r="LB801" s="16"/>
      <c r="LC801" s="16"/>
      <c r="LD801" s="16"/>
      <c r="LE801" s="16"/>
      <c r="LF801" s="17"/>
      <c r="LJ801" s="24"/>
      <c r="LK801" s="60"/>
      <c r="LL801" s="16"/>
      <c r="LM801" s="16"/>
      <c r="LN801" s="16"/>
      <c r="LO801" s="16"/>
      <c r="LP801" s="16"/>
      <c r="LQ801" s="17"/>
    </row>
    <row r="802">
      <c r="C802" s="31"/>
      <c r="D802" s="61"/>
      <c r="E802" s="16"/>
      <c r="F802" s="16"/>
      <c r="G802" s="21"/>
      <c r="H802" s="16"/>
      <c r="I802" s="16"/>
      <c r="J802" s="17"/>
      <c r="N802" s="17"/>
      <c r="O802" s="61"/>
      <c r="P802" s="16"/>
      <c r="Q802" s="16"/>
      <c r="R802" s="16"/>
      <c r="S802" s="16"/>
      <c r="T802" s="16"/>
      <c r="U802" s="17"/>
      <c r="Y802" s="24"/>
      <c r="Z802" s="61"/>
      <c r="AA802" s="16"/>
      <c r="AB802" s="16"/>
      <c r="AC802" s="16"/>
      <c r="AD802" s="16"/>
      <c r="AE802" s="16"/>
      <c r="AF802" s="17"/>
      <c r="AJ802" s="24"/>
      <c r="AK802" s="61"/>
      <c r="AL802" s="16"/>
      <c r="AM802" s="16"/>
      <c r="AN802" s="16"/>
      <c r="AO802" s="16"/>
      <c r="AP802" s="16"/>
      <c r="AQ802" s="17"/>
      <c r="AU802" s="24"/>
      <c r="AV802" s="61"/>
      <c r="AW802" s="16"/>
      <c r="AX802" s="16"/>
      <c r="AY802" s="16"/>
      <c r="AZ802" s="16"/>
      <c r="BA802" s="16"/>
      <c r="BB802" s="17"/>
      <c r="BF802" s="24"/>
      <c r="BG802" s="61"/>
      <c r="BH802" s="16"/>
      <c r="BI802" s="16"/>
      <c r="BJ802" s="16"/>
      <c r="BK802" s="16"/>
      <c r="BL802" s="16"/>
      <c r="BM802" s="17"/>
      <c r="BQ802" s="24"/>
      <c r="BR802" s="61"/>
      <c r="BS802" s="16"/>
      <c r="BT802" s="16"/>
      <c r="BU802" s="16"/>
      <c r="BV802" s="16"/>
      <c r="BW802" s="16"/>
      <c r="BX802" s="17"/>
      <c r="CB802" s="24"/>
      <c r="CC802" s="61"/>
      <c r="CD802" s="16"/>
      <c r="CE802" s="16"/>
      <c r="CF802" s="16"/>
      <c r="CG802" s="16"/>
      <c r="CH802" s="16"/>
      <c r="CI802" s="17"/>
      <c r="CM802" s="24"/>
      <c r="CN802" s="61"/>
      <c r="CO802" s="16"/>
      <c r="CP802" s="16"/>
      <c r="CQ802" s="16"/>
      <c r="CR802" s="16"/>
      <c r="CS802" s="16"/>
      <c r="CT802" s="17"/>
      <c r="CX802" s="24"/>
      <c r="CY802" s="60"/>
      <c r="CZ802" s="16"/>
      <c r="DA802" s="16"/>
      <c r="DB802" s="16"/>
      <c r="DC802" s="16"/>
      <c r="DD802" s="16"/>
      <c r="DE802" s="17"/>
      <c r="DI802" s="24"/>
      <c r="DJ802" s="60"/>
      <c r="DK802" s="16"/>
      <c r="DL802" s="16"/>
      <c r="DM802" s="16"/>
      <c r="DN802" s="16"/>
      <c r="DO802" s="16"/>
      <c r="DP802" s="17"/>
      <c r="DT802" s="24"/>
      <c r="DU802" s="60"/>
      <c r="DV802" s="16"/>
      <c r="DW802" s="16"/>
      <c r="DX802" s="16"/>
      <c r="DY802" s="16"/>
      <c r="DZ802" s="16"/>
      <c r="EA802" s="17"/>
      <c r="EE802" s="24"/>
      <c r="EF802" s="60"/>
      <c r="EG802" s="16"/>
      <c r="EH802" s="16"/>
      <c r="EI802" s="16"/>
      <c r="EJ802" s="16"/>
      <c r="EK802" s="16"/>
      <c r="EL802" s="17"/>
      <c r="EP802" s="24"/>
      <c r="EQ802" s="60"/>
      <c r="ER802" s="16"/>
      <c r="ES802" s="16"/>
      <c r="ET802" s="16"/>
      <c r="EU802" s="16"/>
      <c r="EV802" s="16"/>
      <c r="EW802" s="17"/>
      <c r="FA802" s="24"/>
      <c r="FB802" s="60"/>
      <c r="FC802" s="16"/>
      <c r="FD802" s="16"/>
      <c r="FE802" s="16"/>
      <c r="FF802" s="16"/>
      <c r="FG802" s="16"/>
      <c r="FH802" s="17"/>
      <c r="FL802" s="24"/>
      <c r="FM802" s="60"/>
      <c r="FN802" s="16"/>
      <c r="FO802" s="16"/>
      <c r="FP802" s="16"/>
      <c r="FQ802" s="16"/>
      <c r="FR802" s="16"/>
      <c r="FS802" s="17"/>
      <c r="FW802" s="24"/>
      <c r="FX802" s="60"/>
      <c r="FY802" s="16"/>
      <c r="FZ802" s="16"/>
      <c r="GA802" s="16"/>
      <c r="GB802" s="16"/>
      <c r="GC802" s="16"/>
      <c r="GD802" s="17"/>
      <c r="GH802" s="24"/>
      <c r="GI802" s="60"/>
      <c r="GJ802" s="16"/>
      <c r="GK802" s="16"/>
      <c r="GL802" s="16"/>
      <c r="GM802" s="16"/>
      <c r="GN802" s="16"/>
      <c r="GO802" s="17"/>
      <c r="GS802" s="24"/>
      <c r="GT802" s="60"/>
      <c r="GU802" s="16"/>
      <c r="GV802" s="16"/>
      <c r="GW802" s="16"/>
      <c r="GX802" s="16"/>
      <c r="GY802" s="16"/>
      <c r="GZ802" s="17"/>
      <c r="HD802" s="24"/>
      <c r="HE802" s="60"/>
      <c r="HF802" s="16"/>
      <c r="HG802" s="16"/>
      <c r="HH802" s="16"/>
      <c r="HI802" s="16"/>
      <c r="HJ802" s="16"/>
      <c r="HK802" s="17"/>
      <c r="HO802" s="24"/>
      <c r="HP802" s="60"/>
      <c r="HQ802" s="16"/>
      <c r="HR802" s="16"/>
      <c r="HS802" s="16"/>
      <c r="HT802" s="16"/>
      <c r="HU802" s="16"/>
      <c r="HV802" s="17"/>
      <c r="HZ802" s="24"/>
      <c r="IA802" s="60"/>
      <c r="IB802" s="16"/>
      <c r="IC802" s="16"/>
      <c r="ID802" s="16"/>
      <c r="IE802" s="16"/>
      <c r="IF802" s="16"/>
      <c r="IG802" s="17"/>
      <c r="IK802" s="24"/>
      <c r="IL802" s="60"/>
      <c r="IM802" s="16"/>
      <c r="IN802" s="16"/>
      <c r="IO802" s="16"/>
      <c r="IP802" s="16"/>
      <c r="IQ802" s="16"/>
      <c r="IR802" s="17"/>
      <c r="IV802" s="24"/>
      <c r="IW802" s="60"/>
      <c r="IX802" s="16"/>
      <c r="IY802" s="16"/>
      <c r="IZ802" s="16"/>
      <c r="JA802" s="16"/>
      <c r="JB802" s="16"/>
      <c r="JC802" s="17"/>
      <c r="JG802" s="24"/>
      <c r="JH802" s="60"/>
      <c r="JI802" s="16"/>
      <c r="JJ802" s="16"/>
      <c r="JK802" s="16"/>
      <c r="JL802" s="16"/>
      <c r="JM802" s="16"/>
      <c r="JN802" s="17"/>
      <c r="JR802" s="24"/>
      <c r="JS802" s="60"/>
      <c r="JT802" s="16"/>
      <c r="JU802" s="16"/>
      <c r="JV802" s="16"/>
      <c r="JW802" s="16"/>
      <c r="JX802" s="16"/>
      <c r="JY802" s="17"/>
      <c r="KC802" s="24"/>
      <c r="KD802" s="60"/>
      <c r="KE802" s="16"/>
      <c r="KF802" s="16"/>
      <c r="KG802" s="16"/>
      <c r="KH802" s="16"/>
      <c r="KI802" s="16"/>
      <c r="KJ802" s="17"/>
      <c r="KN802" s="24"/>
      <c r="KO802" s="60"/>
      <c r="KP802" s="16"/>
      <c r="KQ802" s="16"/>
      <c r="KR802" s="16"/>
      <c r="KS802" s="16"/>
      <c r="KT802" s="16"/>
      <c r="KU802" s="17"/>
      <c r="KY802" s="24"/>
      <c r="KZ802" s="60"/>
      <c r="LA802" s="16"/>
      <c r="LB802" s="16"/>
      <c r="LC802" s="16"/>
      <c r="LD802" s="16"/>
      <c r="LE802" s="16"/>
      <c r="LF802" s="17"/>
      <c r="LJ802" s="24"/>
      <c r="LK802" s="60"/>
      <c r="LL802" s="16"/>
      <c r="LM802" s="16"/>
      <c r="LN802" s="16"/>
      <c r="LO802" s="16"/>
      <c r="LP802" s="16"/>
      <c r="LQ802" s="17"/>
    </row>
    <row r="803">
      <c r="C803" s="31"/>
      <c r="D803" s="61"/>
      <c r="E803" s="16"/>
      <c r="F803" s="16"/>
      <c r="G803" s="21"/>
      <c r="H803" s="16"/>
      <c r="I803" s="16"/>
      <c r="J803" s="17"/>
      <c r="N803" s="17"/>
      <c r="O803" s="61"/>
      <c r="P803" s="16"/>
      <c r="Q803" s="16"/>
      <c r="R803" s="16"/>
      <c r="S803" s="16"/>
      <c r="T803" s="16"/>
      <c r="U803" s="17"/>
      <c r="Y803" s="24"/>
      <c r="Z803" s="61"/>
      <c r="AA803" s="16"/>
      <c r="AB803" s="16"/>
      <c r="AC803" s="16"/>
      <c r="AD803" s="16"/>
      <c r="AE803" s="16"/>
      <c r="AF803" s="17"/>
      <c r="AJ803" s="24"/>
      <c r="AK803" s="61"/>
      <c r="AL803" s="16"/>
      <c r="AM803" s="16"/>
      <c r="AN803" s="16"/>
      <c r="AO803" s="16"/>
      <c r="AP803" s="16"/>
      <c r="AQ803" s="17"/>
      <c r="AU803" s="24"/>
      <c r="AV803" s="61"/>
      <c r="AW803" s="16"/>
      <c r="AX803" s="16"/>
      <c r="AY803" s="16"/>
      <c r="AZ803" s="16"/>
      <c r="BA803" s="16"/>
      <c r="BB803" s="17"/>
      <c r="BF803" s="24"/>
      <c r="BG803" s="61"/>
      <c r="BH803" s="16"/>
      <c r="BI803" s="16"/>
      <c r="BJ803" s="16"/>
      <c r="BK803" s="16"/>
      <c r="BL803" s="16"/>
      <c r="BM803" s="17"/>
      <c r="BQ803" s="24"/>
      <c r="BR803" s="61"/>
      <c r="BS803" s="16"/>
      <c r="BT803" s="16"/>
      <c r="BU803" s="16"/>
      <c r="BV803" s="16"/>
      <c r="BW803" s="16"/>
      <c r="BX803" s="17"/>
      <c r="CB803" s="24"/>
      <c r="CC803" s="61"/>
      <c r="CD803" s="16"/>
      <c r="CE803" s="16"/>
      <c r="CF803" s="16"/>
      <c r="CG803" s="16"/>
      <c r="CH803" s="16"/>
      <c r="CI803" s="17"/>
      <c r="CM803" s="24"/>
      <c r="CN803" s="61"/>
      <c r="CO803" s="16"/>
      <c r="CP803" s="16"/>
      <c r="CQ803" s="16"/>
      <c r="CR803" s="16"/>
      <c r="CS803" s="16"/>
      <c r="CT803" s="17"/>
      <c r="CX803" s="24"/>
      <c r="CY803" s="60"/>
      <c r="CZ803" s="16"/>
      <c r="DA803" s="16"/>
      <c r="DB803" s="16"/>
      <c r="DC803" s="16"/>
      <c r="DD803" s="16"/>
      <c r="DE803" s="17"/>
      <c r="DI803" s="24"/>
      <c r="DJ803" s="60"/>
      <c r="DK803" s="16"/>
      <c r="DL803" s="16"/>
      <c r="DM803" s="16"/>
      <c r="DN803" s="16"/>
      <c r="DO803" s="16"/>
      <c r="DP803" s="17"/>
      <c r="DT803" s="24"/>
      <c r="DU803" s="60"/>
      <c r="DV803" s="16"/>
      <c r="DW803" s="16"/>
      <c r="DX803" s="16"/>
      <c r="DY803" s="16"/>
      <c r="DZ803" s="16"/>
      <c r="EA803" s="17"/>
      <c r="EE803" s="24"/>
      <c r="EF803" s="60"/>
      <c r="EG803" s="16"/>
      <c r="EH803" s="16"/>
      <c r="EI803" s="16"/>
      <c r="EJ803" s="16"/>
      <c r="EK803" s="16"/>
      <c r="EL803" s="17"/>
      <c r="EP803" s="24"/>
      <c r="EQ803" s="60"/>
      <c r="ER803" s="16"/>
      <c r="ES803" s="16"/>
      <c r="ET803" s="16"/>
      <c r="EU803" s="16"/>
      <c r="EV803" s="16"/>
      <c r="EW803" s="17"/>
      <c r="FA803" s="24"/>
      <c r="FB803" s="60"/>
      <c r="FC803" s="16"/>
      <c r="FD803" s="16"/>
      <c r="FE803" s="16"/>
      <c r="FF803" s="16"/>
      <c r="FG803" s="16"/>
      <c r="FH803" s="17"/>
      <c r="FL803" s="24"/>
      <c r="FM803" s="60"/>
      <c r="FN803" s="16"/>
      <c r="FO803" s="16"/>
      <c r="FP803" s="16"/>
      <c r="FQ803" s="16"/>
      <c r="FR803" s="16"/>
      <c r="FS803" s="17"/>
      <c r="FW803" s="24"/>
      <c r="FX803" s="60"/>
      <c r="FY803" s="16"/>
      <c r="FZ803" s="16"/>
      <c r="GA803" s="16"/>
      <c r="GB803" s="16"/>
      <c r="GC803" s="16"/>
      <c r="GD803" s="17"/>
      <c r="GH803" s="24"/>
      <c r="GI803" s="60"/>
      <c r="GJ803" s="16"/>
      <c r="GK803" s="16"/>
      <c r="GL803" s="16"/>
      <c r="GM803" s="16"/>
      <c r="GN803" s="16"/>
      <c r="GO803" s="17"/>
      <c r="GS803" s="24"/>
      <c r="GT803" s="60"/>
      <c r="GU803" s="16"/>
      <c r="GV803" s="16"/>
      <c r="GW803" s="16"/>
      <c r="GX803" s="16"/>
      <c r="GY803" s="16"/>
      <c r="GZ803" s="17"/>
      <c r="HD803" s="24"/>
      <c r="HE803" s="60"/>
      <c r="HF803" s="16"/>
      <c r="HG803" s="16"/>
      <c r="HH803" s="16"/>
      <c r="HI803" s="16"/>
      <c r="HJ803" s="16"/>
      <c r="HK803" s="17"/>
      <c r="HO803" s="24"/>
      <c r="HP803" s="60"/>
      <c r="HQ803" s="16"/>
      <c r="HR803" s="16"/>
      <c r="HS803" s="16"/>
      <c r="HT803" s="16"/>
      <c r="HU803" s="16"/>
      <c r="HV803" s="17"/>
      <c r="HZ803" s="24"/>
      <c r="IA803" s="60"/>
      <c r="IB803" s="16"/>
      <c r="IC803" s="16"/>
      <c r="ID803" s="16"/>
      <c r="IE803" s="16"/>
      <c r="IF803" s="16"/>
      <c r="IG803" s="17"/>
      <c r="IK803" s="24"/>
      <c r="IL803" s="60"/>
      <c r="IM803" s="16"/>
      <c r="IN803" s="16"/>
      <c r="IO803" s="16"/>
      <c r="IP803" s="16"/>
      <c r="IQ803" s="16"/>
      <c r="IR803" s="17"/>
      <c r="IV803" s="24"/>
      <c r="IW803" s="60"/>
      <c r="IX803" s="16"/>
      <c r="IY803" s="16"/>
      <c r="IZ803" s="16"/>
      <c r="JA803" s="16"/>
      <c r="JB803" s="16"/>
      <c r="JC803" s="17"/>
      <c r="JG803" s="24"/>
      <c r="JH803" s="60"/>
      <c r="JI803" s="16"/>
      <c r="JJ803" s="16"/>
      <c r="JK803" s="16"/>
      <c r="JL803" s="16"/>
      <c r="JM803" s="16"/>
      <c r="JN803" s="17"/>
      <c r="JR803" s="24"/>
      <c r="JS803" s="60"/>
      <c r="JT803" s="16"/>
      <c r="JU803" s="16"/>
      <c r="JV803" s="16"/>
      <c r="JW803" s="16"/>
      <c r="JX803" s="16"/>
      <c r="JY803" s="17"/>
      <c r="KC803" s="24"/>
      <c r="KD803" s="60"/>
      <c r="KE803" s="16"/>
      <c r="KF803" s="16"/>
      <c r="KG803" s="16"/>
      <c r="KH803" s="16"/>
      <c r="KI803" s="16"/>
      <c r="KJ803" s="17"/>
      <c r="KN803" s="24"/>
      <c r="KO803" s="60"/>
      <c r="KP803" s="16"/>
      <c r="KQ803" s="16"/>
      <c r="KR803" s="16"/>
      <c r="KS803" s="16"/>
      <c r="KT803" s="16"/>
      <c r="KU803" s="17"/>
      <c r="KY803" s="24"/>
      <c r="KZ803" s="60"/>
      <c r="LA803" s="16"/>
      <c r="LB803" s="16"/>
      <c r="LC803" s="16"/>
      <c r="LD803" s="16"/>
      <c r="LE803" s="16"/>
      <c r="LF803" s="17"/>
      <c r="LJ803" s="24"/>
      <c r="LK803" s="60"/>
      <c r="LL803" s="16"/>
      <c r="LM803" s="16"/>
      <c r="LN803" s="16"/>
      <c r="LO803" s="16"/>
      <c r="LP803" s="16"/>
      <c r="LQ803" s="17"/>
    </row>
    <row r="804">
      <c r="C804" s="31"/>
      <c r="D804" s="61"/>
      <c r="E804" s="16"/>
      <c r="F804" s="16"/>
      <c r="G804" s="21"/>
      <c r="H804" s="16"/>
      <c r="I804" s="16"/>
      <c r="J804" s="17"/>
      <c r="N804" s="17"/>
      <c r="O804" s="61"/>
      <c r="P804" s="16"/>
      <c r="Q804" s="16"/>
      <c r="R804" s="16"/>
      <c r="S804" s="16"/>
      <c r="T804" s="16"/>
      <c r="U804" s="17"/>
      <c r="Y804" s="24"/>
      <c r="Z804" s="61"/>
      <c r="AA804" s="16"/>
      <c r="AB804" s="16"/>
      <c r="AC804" s="16"/>
      <c r="AD804" s="16"/>
      <c r="AE804" s="16"/>
      <c r="AF804" s="17"/>
      <c r="AJ804" s="24"/>
      <c r="AK804" s="61"/>
      <c r="AL804" s="16"/>
      <c r="AM804" s="16"/>
      <c r="AN804" s="16"/>
      <c r="AO804" s="16"/>
      <c r="AP804" s="16"/>
      <c r="AQ804" s="17"/>
      <c r="AU804" s="24"/>
      <c r="AV804" s="61"/>
      <c r="AW804" s="16"/>
      <c r="AX804" s="16"/>
      <c r="AY804" s="16"/>
      <c r="AZ804" s="16"/>
      <c r="BA804" s="16"/>
      <c r="BB804" s="17"/>
      <c r="BF804" s="24"/>
      <c r="BG804" s="61"/>
      <c r="BH804" s="16"/>
      <c r="BI804" s="16"/>
      <c r="BJ804" s="16"/>
      <c r="BK804" s="16"/>
      <c r="BL804" s="16"/>
      <c r="BM804" s="17"/>
      <c r="BQ804" s="24"/>
      <c r="BR804" s="61"/>
      <c r="BS804" s="16"/>
      <c r="BT804" s="16"/>
      <c r="BU804" s="16"/>
      <c r="BV804" s="16"/>
      <c r="BW804" s="16"/>
      <c r="BX804" s="17"/>
      <c r="CB804" s="24"/>
      <c r="CC804" s="61"/>
      <c r="CD804" s="16"/>
      <c r="CE804" s="16"/>
      <c r="CF804" s="16"/>
      <c r="CG804" s="16"/>
      <c r="CH804" s="16"/>
      <c r="CI804" s="17"/>
      <c r="CM804" s="24"/>
      <c r="CN804" s="61"/>
      <c r="CO804" s="16"/>
      <c r="CP804" s="16"/>
      <c r="CQ804" s="16"/>
      <c r="CR804" s="16"/>
      <c r="CS804" s="16"/>
      <c r="CT804" s="17"/>
      <c r="CX804" s="24"/>
      <c r="CY804" s="60"/>
      <c r="CZ804" s="16"/>
      <c r="DA804" s="16"/>
      <c r="DB804" s="16"/>
      <c r="DC804" s="16"/>
      <c r="DD804" s="16"/>
      <c r="DE804" s="17"/>
      <c r="DI804" s="24"/>
      <c r="DJ804" s="60"/>
      <c r="DK804" s="16"/>
      <c r="DL804" s="16"/>
      <c r="DM804" s="16"/>
      <c r="DN804" s="16"/>
      <c r="DO804" s="16"/>
      <c r="DP804" s="17"/>
      <c r="DT804" s="24"/>
      <c r="DU804" s="60"/>
      <c r="DV804" s="16"/>
      <c r="DW804" s="16"/>
      <c r="DX804" s="16"/>
      <c r="DY804" s="16"/>
      <c r="DZ804" s="16"/>
      <c r="EA804" s="17"/>
      <c r="EE804" s="24"/>
      <c r="EF804" s="60"/>
      <c r="EG804" s="16"/>
      <c r="EH804" s="16"/>
      <c r="EI804" s="16"/>
      <c r="EJ804" s="16"/>
      <c r="EK804" s="16"/>
      <c r="EL804" s="17"/>
      <c r="EP804" s="24"/>
      <c r="EQ804" s="60"/>
      <c r="ER804" s="16"/>
      <c r="ES804" s="16"/>
      <c r="ET804" s="16"/>
      <c r="EU804" s="16"/>
      <c r="EV804" s="16"/>
      <c r="EW804" s="17"/>
      <c r="FA804" s="24"/>
      <c r="FB804" s="60"/>
      <c r="FC804" s="16"/>
      <c r="FD804" s="16"/>
      <c r="FE804" s="16"/>
      <c r="FF804" s="16"/>
      <c r="FG804" s="16"/>
      <c r="FH804" s="17"/>
      <c r="FL804" s="24"/>
      <c r="FM804" s="60"/>
      <c r="FN804" s="16"/>
      <c r="FO804" s="16"/>
      <c r="FP804" s="16"/>
      <c r="FQ804" s="16"/>
      <c r="FR804" s="16"/>
      <c r="FS804" s="17"/>
      <c r="FW804" s="24"/>
      <c r="FX804" s="60"/>
      <c r="FY804" s="16"/>
      <c r="FZ804" s="16"/>
      <c r="GA804" s="16"/>
      <c r="GB804" s="16"/>
      <c r="GC804" s="16"/>
      <c r="GD804" s="17"/>
      <c r="GH804" s="24"/>
      <c r="GI804" s="60"/>
      <c r="GJ804" s="16"/>
      <c r="GK804" s="16"/>
      <c r="GL804" s="16"/>
      <c r="GM804" s="16"/>
      <c r="GN804" s="16"/>
      <c r="GO804" s="17"/>
      <c r="GS804" s="24"/>
      <c r="GT804" s="60"/>
      <c r="GU804" s="16"/>
      <c r="GV804" s="16"/>
      <c r="GW804" s="16"/>
      <c r="GX804" s="16"/>
      <c r="GY804" s="16"/>
      <c r="GZ804" s="17"/>
      <c r="HD804" s="24"/>
      <c r="HE804" s="60"/>
      <c r="HF804" s="16"/>
      <c r="HG804" s="16"/>
      <c r="HH804" s="16"/>
      <c r="HI804" s="16"/>
      <c r="HJ804" s="16"/>
      <c r="HK804" s="17"/>
      <c r="HO804" s="24"/>
      <c r="HP804" s="60"/>
      <c r="HQ804" s="16"/>
      <c r="HR804" s="16"/>
      <c r="HS804" s="16"/>
      <c r="HT804" s="16"/>
      <c r="HU804" s="16"/>
      <c r="HV804" s="17"/>
      <c r="HZ804" s="24"/>
      <c r="IA804" s="60"/>
      <c r="IB804" s="16"/>
      <c r="IC804" s="16"/>
      <c r="ID804" s="16"/>
      <c r="IE804" s="16"/>
      <c r="IF804" s="16"/>
      <c r="IG804" s="17"/>
      <c r="IK804" s="24"/>
      <c r="IL804" s="60"/>
      <c r="IM804" s="16"/>
      <c r="IN804" s="16"/>
      <c r="IO804" s="16"/>
      <c r="IP804" s="16"/>
      <c r="IQ804" s="16"/>
      <c r="IR804" s="17"/>
      <c r="IV804" s="24"/>
      <c r="IW804" s="60"/>
      <c r="IX804" s="16"/>
      <c r="IY804" s="16"/>
      <c r="IZ804" s="16"/>
      <c r="JA804" s="16"/>
      <c r="JB804" s="16"/>
      <c r="JC804" s="17"/>
      <c r="JG804" s="24"/>
      <c r="JH804" s="60"/>
      <c r="JI804" s="16"/>
      <c r="JJ804" s="16"/>
      <c r="JK804" s="16"/>
      <c r="JL804" s="16"/>
      <c r="JM804" s="16"/>
      <c r="JN804" s="17"/>
      <c r="JR804" s="24"/>
      <c r="JS804" s="60"/>
      <c r="JT804" s="16"/>
      <c r="JU804" s="16"/>
      <c r="JV804" s="16"/>
      <c r="JW804" s="16"/>
      <c r="JX804" s="16"/>
      <c r="JY804" s="17"/>
      <c r="KC804" s="24"/>
      <c r="KD804" s="60"/>
      <c r="KE804" s="16"/>
      <c r="KF804" s="16"/>
      <c r="KG804" s="16"/>
      <c r="KH804" s="16"/>
      <c r="KI804" s="16"/>
      <c r="KJ804" s="17"/>
      <c r="KN804" s="24"/>
      <c r="KO804" s="60"/>
      <c r="KP804" s="16"/>
      <c r="KQ804" s="16"/>
      <c r="KR804" s="16"/>
      <c r="KS804" s="16"/>
      <c r="KT804" s="16"/>
      <c r="KU804" s="17"/>
      <c r="KY804" s="24"/>
      <c r="KZ804" s="60"/>
      <c r="LA804" s="16"/>
      <c r="LB804" s="16"/>
      <c r="LC804" s="16"/>
      <c r="LD804" s="16"/>
      <c r="LE804" s="16"/>
      <c r="LF804" s="17"/>
      <c r="LJ804" s="24"/>
      <c r="LK804" s="60"/>
      <c r="LL804" s="16"/>
      <c r="LM804" s="16"/>
      <c r="LN804" s="16"/>
      <c r="LO804" s="16"/>
      <c r="LP804" s="16"/>
      <c r="LQ804" s="17"/>
    </row>
    <row r="805">
      <c r="C805" s="31"/>
      <c r="D805" s="61"/>
      <c r="E805" s="16"/>
      <c r="F805" s="16"/>
      <c r="G805" s="21"/>
      <c r="H805" s="16"/>
      <c r="I805" s="16"/>
      <c r="J805" s="17"/>
      <c r="N805" s="17"/>
      <c r="O805" s="61"/>
      <c r="P805" s="16"/>
      <c r="Q805" s="16"/>
      <c r="R805" s="16"/>
      <c r="S805" s="16"/>
      <c r="T805" s="16"/>
      <c r="U805" s="17"/>
      <c r="Y805" s="24"/>
      <c r="Z805" s="61"/>
      <c r="AA805" s="16"/>
      <c r="AB805" s="16"/>
      <c r="AC805" s="16"/>
      <c r="AD805" s="16"/>
      <c r="AE805" s="16"/>
      <c r="AF805" s="17"/>
      <c r="AJ805" s="24"/>
      <c r="AK805" s="61"/>
      <c r="AL805" s="16"/>
      <c r="AM805" s="16"/>
      <c r="AN805" s="16"/>
      <c r="AO805" s="16"/>
      <c r="AP805" s="16"/>
      <c r="AQ805" s="17"/>
      <c r="AU805" s="24"/>
      <c r="AV805" s="61"/>
      <c r="AW805" s="16"/>
      <c r="AX805" s="16"/>
      <c r="AY805" s="16"/>
      <c r="AZ805" s="16"/>
      <c r="BA805" s="16"/>
      <c r="BB805" s="17"/>
      <c r="BF805" s="24"/>
      <c r="BG805" s="61"/>
      <c r="BH805" s="16"/>
      <c r="BI805" s="16"/>
      <c r="BJ805" s="16"/>
      <c r="BK805" s="16"/>
      <c r="BL805" s="16"/>
      <c r="BM805" s="17"/>
      <c r="BQ805" s="24"/>
      <c r="BR805" s="61"/>
      <c r="BS805" s="16"/>
      <c r="BT805" s="16"/>
      <c r="BU805" s="16"/>
      <c r="BV805" s="16"/>
      <c r="BW805" s="16"/>
      <c r="BX805" s="17"/>
      <c r="CB805" s="24"/>
      <c r="CC805" s="61"/>
      <c r="CD805" s="16"/>
      <c r="CE805" s="16"/>
      <c r="CF805" s="16"/>
      <c r="CG805" s="16"/>
      <c r="CH805" s="16"/>
      <c r="CI805" s="17"/>
      <c r="CM805" s="24"/>
      <c r="CN805" s="61"/>
      <c r="CO805" s="16"/>
      <c r="CP805" s="16"/>
      <c r="CQ805" s="16"/>
      <c r="CR805" s="16"/>
      <c r="CS805" s="16"/>
      <c r="CT805" s="17"/>
      <c r="CX805" s="24"/>
      <c r="CY805" s="60"/>
      <c r="CZ805" s="16"/>
      <c r="DA805" s="16"/>
      <c r="DB805" s="16"/>
      <c r="DC805" s="16"/>
      <c r="DD805" s="16"/>
      <c r="DE805" s="17"/>
      <c r="DI805" s="24"/>
      <c r="DJ805" s="60"/>
      <c r="DK805" s="16"/>
      <c r="DL805" s="16"/>
      <c r="DM805" s="16"/>
      <c r="DN805" s="16"/>
      <c r="DO805" s="16"/>
      <c r="DP805" s="17"/>
      <c r="DT805" s="24"/>
      <c r="DU805" s="60"/>
      <c r="DV805" s="16"/>
      <c r="DW805" s="16"/>
      <c r="DX805" s="16"/>
      <c r="DY805" s="16"/>
      <c r="DZ805" s="16"/>
      <c r="EA805" s="17"/>
      <c r="EE805" s="24"/>
      <c r="EF805" s="60"/>
      <c r="EG805" s="16"/>
      <c r="EH805" s="16"/>
      <c r="EI805" s="16"/>
      <c r="EJ805" s="16"/>
      <c r="EK805" s="16"/>
      <c r="EL805" s="17"/>
      <c r="EP805" s="24"/>
      <c r="EQ805" s="60"/>
      <c r="ER805" s="16"/>
      <c r="ES805" s="16"/>
      <c r="ET805" s="16"/>
      <c r="EU805" s="16"/>
      <c r="EV805" s="16"/>
      <c r="EW805" s="17"/>
      <c r="FA805" s="24"/>
      <c r="FB805" s="60"/>
      <c r="FC805" s="16"/>
      <c r="FD805" s="16"/>
      <c r="FE805" s="16"/>
      <c r="FF805" s="16"/>
      <c r="FG805" s="16"/>
      <c r="FH805" s="17"/>
      <c r="FL805" s="24"/>
      <c r="FM805" s="60"/>
      <c r="FN805" s="16"/>
      <c r="FO805" s="16"/>
      <c r="FP805" s="16"/>
      <c r="FQ805" s="16"/>
      <c r="FR805" s="16"/>
      <c r="FS805" s="17"/>
      <c r="FW805" s="24"/>
      <c r="FX805" s="60"/>
      <c r="FY805" s="16"/>
      <c r="FZ805" s="16"/>
      <c r="GA805" s="16"/>
      <c r="GB805" s="16"/>
      <c r="GC805" s="16"/>
      <c r="GD805" s="17"/>
      <c r="GH805" s="24"/>
      <c r="GI805" s="60"/>
      <c r="GJ805" s="16"/>
      <c r="GK805" s="16"/>
      <c r="GL805" s="16"/>
      <c r="GM805" s="16"/>
      <c r="GN805" s="16"/>
      <c r="GO805" s="17"/>
      <c r="GS805" s="24"/>
      <c r="GT805" s="60"/>
      <c r="GU805" s="16"/>
      <c r="GV805" s="16"/>
      <c r="GW805" s="16"/>
      <c r="GX805" s="16"/>
      <c r="GY805" s="16"/>
      <c r="GZ805" s="17"/>
      <c r="HD805" s="24"/>
      <c r="HE805" s="60"/>
      <c r="HF805" s="16"/>
      <c r="HG805" s="16"/>
      <c r="HH805" s="16"/>
      <c r="HI805" s="16"/>
      <c r="HJ805" s="16"/>
      <c r="HK805" s="17"/>
      <c r="HO805" s="24"/>
      <c r="HP805" s="60"/>
      <c r="HQ805" s="16"/>
      <c r="HR805" s="16"/>
      <c r="HS805" s="16"/>
      <c r="HT805" s="16"/>
      <c r="HU805" s="16"/>
      <c r="HV805" s="17"/>
      <c r="HZ805" s="24"/>
      <c r="IA805" s="60"/>
      <c r="IB805" s="16"/>
      <c r="IC805" s="16"/>
      <c r="ID805" s="16"/>
      <c r="IE805" s="16"/>
      <c r="IF805" s="16"/>
      <c r="IG805" s="17"/>
      <c r="IK805" s="24"/>
      <c r="IL805" s="60"/>
      <c r="IM805" s="16"/>
      <c r="IN805" s="16"/>
      <c r="IO805" s="16"/>
      <c r="IP805" s="16"/>
      <c r="IQ805" s="16"/>
      <c r="IR805" s="17"/>
      <c r="IV805" s="24"/>
      <c r="IW805" s="60"/>
      <c r="IX805" s="16"/>
      <c r="IY805" s="16"/>
      <c r="IZ805" s="16"/>
      <c r="JA805" s="16"/>
      <c r="JB805" s="16"/>
      <c r="JC805" s="17"/>
      <c r="JG805" s="24"/>
      <c r="JH805" s="60"/>
      <c r="JI805" s="16"/>
      <c r="JJ805" s="16"/>
      <c r="JK805" s="16"/>
      <c r="JL805" s="16"/>
      <c r="JM805" s="16"/>
      <c r="JN805" s="17"/>
      <c r="JR805" s="24"/>
      <c r="JS805" s="60"/>
      <c r="JT805" s="16"/>
      <c r="JU805" s="16"/>
      <c r="JV805" s="16"/>
      <c r="JW805" s="16"/>
      <c r="JX805" s="16"/>
      <c r="JY805" s="17"/>
      <c r="KC805" s="24"/>
      <c r="KD805" s="60"/>
      <c r="KE805" s="16"/>
      <c r="KF805" s="16"/>
      <c r="KG805" s="16"/>
      <c r="KH805" s="16"/>
      <c r="KI805" s="16"/>
      <c r="KJ805" s="17"/>
      <c r="KN805" s="24"/>
      <c r="KO805" s="60"/>
      <c r="KP805" s="16"/>
      <c r="KQ805" s="16"/>
      <c r="KR805" s="16"/>
      <c r="KS805" s="16"/>
      <c r="KT805" s="16"/>
      <c r="KU805" s="17"/>
      <c r="KY805" s="24"/>
      <c r="KZ805" s="60"/>
      <c r="LA805" s="16"/>
      <c r="LB805" s="16"/>
      <c r="LC805" s="16"/>
      <c r="LD805" s="16"/>
      <c r="LE805" s="16"/>
      <c r="LF805" s="17"/>
      <c r="LJ805" s="24"/>
      <c r="LK805" s="60"/>
      <c r="LL805" s="16"/>
      <c r="LM805" s="16"/>
      <c r="LN805" s="16"/>
      <c r="LO805" s="16"/>
      <c r="LP805" s="16"/>
      <c r="LQ805" s="17"/>
    </row>
    <row r="806">
      <c r="C806" s="31"/>
      <c r="D806" s="61"/>
      <c r="E806" s="16"/>
      <c r="F806" s="16"/>
      <c r="G806" s="21"/>
      <c r="H806" s="16"/>
      <c r="I806" s="16"/>
      <c r="J806" s="17"/>
      <c r="N806" s="17"/>
      <c r="O806" s="61"/>
      <c r="P806" s="16"/>
      <c r="Q806" s="16"/>
      <c r="R806" s="16"/>
      <c r="S806" s="16"/>
      <c r="T806" s="16"/>
      <c r="U806" s="17"/>
      <c r="Y806" s="24"/>
      <c r="Z806" s="61"/>
      <c r="AA806" s="16"/>
      <c r="AB806" s="16"/>
      <c r="AC806" s="16"/>
      <c r="AD806" s="16"/>
      <c r="AE806" s="16"/>
      <c r="AF806" s="17"/>
      <c r="AJ806" s="24"/>
      <c r="AK806" s="61"/>
      <c r="AL806" s="16"/>
      <c r="AM806" s="16"/>
      <c r="AN806" s="16"/>
      <c r="AO806" s="16"/>
      <c r="AP806" s="16"/>
      <c r="AQ806" s="17"/>
      <c r="AU806" s="24"/>
      <c r="AV806" s="61"/>
      <c r="AW806" s="16"/>
      <c r="AX806" s="16"/>
      <c r="AY806" s="16"/>
      <c r="AZ806" s="16"/>
      <c r="BA806" s="16"/>
      <c r="BB806" s="17"/>
      <c r="BF806" s="24"/>
      <c r="BG806" s="61"/>
      <c r="BH806" s="16"/>
      <c r="BI806" s="16"/>
      <c r="BJ806" s="16"/>
      <c r="BK806" s="16"/>
      <c r="BL806" s="16"/>
      <c r="BM806" s="17"/>
      <c r="BQ806" s="24"/>
      <c r="BR806" s="61"/>
      <c r="BS806" s="16"/>
      <c r="BT806" s="16"/>
      <c r="BU806" s="16"/>
      <c r="BV806" s="16"/>
      <c r="BW806" s="16"/>
      <c r="BX806" s="17"/>
      <c r="CB806" s="24"/>
      <c r="CC806" s="61"/>
      <c r="CD806" s="16"/>
      <c r="CE806" s="16"/>
      <c r="CF806" s="16"/>
      <c r="CG806" s="16"/>
      <c r="CH806" s="16"/>
      <c r="CI806" s="17"/>
      <c r="CM806" s="24"/>
      <c r="CN806" s="61"/>
      <c r="CO806" s="16"/>
      <c r="CP806" s="16"/>
      <c r="CQ806" s="16"/>
      <c r="CR806" s="16"/>
      <c r="CS806" s="16"/>
      <c r="CT806" s="17"/>
      <c r="CX806" s="24"/>
      <c r="CY806" s="60"/>
      <c r="CZ806" s="16"/>
      <c r="DA806" s="16"/>
      <c r="DB806" s="16"/>
      <c r="DC806" s="16"/>
      <c r="DD806" s="16"/>
      <c r="DE806" s="17"/>
      <c r="DI806" s="24"/>
      <c r="DJ806" s="60"/>
      <c r="DK806" s="16"/>
      <c r="DL806" s="16"/>
      <c r="DM806" s="16"/>
      <c r="DN806" s="16"/>
      <c r="DO806" s="16"/>
      <c r="DP806" s="17"/>
      <c r="DT806" s="24"/>
      <c r="DU806" s="60"/>
      <c r="DV806" s="16"/>
      <c r="DW806" s="16"/>
      <c r="DX806" s="16"/>
      <c r="DY806" s="16"/>
      <c r="DZ806" s="16"/>
      <c r="EA806" s="17"/>
      <c r="EE806" s="24"/>
      <c r="EF806" s="60"/>
      <c r="EG806" s="16"/>
      <c r="EH806" s="16"/>
      <c r="EI806" s="16"/>
      <c r="EJ806" s="16"/>
      <c r="EK806" s="16"/>
      <c r="EL806" s="17"/>
      <c r="EP806" s="24"/>
      <c r="EQ806" s="60"/>
      <c r="ER806" s="16"/>
      <c r="ES806" s="16"/>
      <c r="ET806" s="16"/>
      <c r="EU806" s="16"/>
      <c r="EV806" s="16"/>
      <c r="EW806" s="17"/>
      <c r="FA806" s="24"/>
      <c r="FB806" s="60"/>
      <c r="FC806" s="16"/>
      <c r="FD806" s="16"/>
      <c r="FE806" s="16"/>
      <c r="FF806" s="16"/>
      <c r="FG806" s="16"/>
      <c r="FH806" s="17"/>
      <c r="FL806" s="24"/>
      <c r="FM806" s="60"/>
      <c r="FN806" s="16"/>
      <c r="FO806" s="16"/>
      <c r="FP806" s="16"/>
      <c r="FQ806" s="16"/>
      <c r="FR806" s="16"/>
      <c r="FS806" s="17"/>
      <c r="FW806" s="24"/>
      <c r="FX806" s="60"/>
      <c r="FY806" s="16"/>
      <c r="FZ806" s="16"/>
      <c r="GA806" s="16"/>
      <c r="GB806" s="16"/>
      <c r="GC806" s="16"/>
      <c r="GD806" s="17"/>
      <c r="GH806" s="24"/>
      <c r="GI806" s="60"/>
      <c r="GJ806" s="16"/>
      <c r="GK806" s="16"/>
      <c r="GL806" s="16"/>
      <c r="GM806" s="16"/>
      <c r="GN806" s="16"/>
      <c r="GO806" s="17"/>
      <c r="GS806" s="24"/>
      <c r="GT806" s="60"/>
      <c r="GU806" s="16"/>
      <c r="GV806" s="16"/>
      <c r="GW806" s="16"/>
      <c r="GX806" s="16"/>
      <c r="GY806" s="16"/>
      <c r="GZ806" s="17"/>
      <c r="HD806" s="24"/>
      <c r="HE806" s="60"/>
      <c r="HF806" s="16"/>
      <c r="HG806" s="16"/>
      <c r="HH806" s="16"/>
      <c r="HI806" s="16"/>
      <c r="HJ806" s="16"/>
      <c r="HK806" s="17"/>
      <c r="HO806" s="24"/>
      <c r="HP806" s="60"/>
      <c r="HQ806" s="16"/>
      <c r="HR806" s="16"/>
      <c r="HS806" s="16"/>
      <c r="HT806" s="16"/>
      <c r="HU806" s="16"/>
      <c r="HV806" s="17"/>
      <c r="HZ806" s="24"/>
      <c r="IA806" s="60"/>
      <c r="IB806" s="16"/>
      <c r="IC806" s="16"/>
      <c r="ID806" s="16"/>
      <c r="IE806" s="16"/>
      <c r="IF806" s="16"/>
      <c r="IG806" s="17"/>
      <c r="IK806" s="24"/>
      <c r="IL806" s="60"/>
      <c r="IM806" s="16"/>
      <c r="IN806" s="16"/>
      <c r="IO806" s="16"/>
      <c r="IP806" s="16"/>
      <c r="IQ806" s="16"/>
      <c r="IR806" s="17"/>
      <c r="IV806" s="24"/>
      <c r="IW806" s="60"/>
      <c r="IX806" s="16"/>
      <c r="IY806" s="16"/>
      <c r="IZ806" s="16"/>
      <c r="JA806" s="16"/>
      <c r="JB806" s="16"/>
      <c r="JC806" s="17"/>
      <c r="JG806" s="24"/>
      <c r="JH806" s="60"/>
      <c r="JI806" s="16"/>
      <c r="JJ806" s="16"/>
      <c r="JK806" s="16"/>
      <c r="JL806" s="16"/>
      <c r="JM806" s="16"/>
      <c r="JN806" s="17"/>
      <c r="JR806" s="24"/>
      <c r="JS806" s="60"/>
      <c r="JT806" s="16"/>
      <c r="JU806" s="16"/>
      <c r="JV806" s="16"/>
      <c r="JW806" s="16"/>
      <c r="JX806" s="16"/>
      <c r="JY806" s="17"/>
      <c r="KC806" s="24"/>
      <c r="KD806" s="60"/>
      <c r="KE806" s="16"/>
      <c r="KF806" s="16"/>
      <c r="KG806" s="16"/>
      <c r="KH806" s="16"/>
      <c r="KI806" s="16"/>
      <c r="KJ806" s="17"/>
      <c r="KN806" s="24"/>
      <c r="KO806" s="60"/>
      <c r="KP806" s="16"/>
      <c r="KQ806" s="16"/>
      <c r="KR806" s="16"/>
      <c r="KS806" s="16"/>
      <c r="KT806" s="16"/>
      <c r="KU806" s="17"/>
      <c r="KY806" s="24"/>
      <c r="KZ806" s="60"/>
      <c r="LA806" s="16"/>
      <c r="LB806" s="16"/>
      <c r="LC806" s="16"/>
      <c r="LD806" s="16"/>
      <c r="LE806" s="16"/>
      <c r="LF806" s="17"/>
      <c r="LJ806" s="24"/>
      <c r="LK806" s="60"/>
      <c r="LL806" s="16"/>
      <c r="LM806" s="16"/>
      <c r="LN806" s="16"/>
      <c r="LO806" s="16"/>
      <c r="LP806" s="16"/>
      <c r="LQ806" s="17"/>
    </row>
    <row r="807">
      <c r="C807" s="31"/>
      <c r="D807" s="61"/>
      <c r="E807" s="16"/>
      <c r="F807" s="16"/>
      <c r="G807" s="21"/>
      <c r="H807" s="16"/>
      <c r="I807" s="16"/>
      <c r="J807" s="17"/>
      <c r="N807" s="17"/>
      <c r="O807" s="61"/>
      <c r="P807" s="16"/>
      <c r="Q807" s="16"/>
      <c r="R807" s="16"/>
      <c r="S807" s="16"/>
      <c r="T807" s="16"/>
      <c r="U807" s="17"/>
      <c r="Y807" s="24"/>
      <c r="Z807" s="61"/>
      <c r="AA807" s="16"/>
      <c r="AB807" s="16"/>
      <c r="AC807" s="16"/>
      <c r="AD807" s="16"/>
      <c r="AE807" s="16"/>
      <c r="AF807" s="17"/>
      <c r="AJ807" s="24"/>
      <c r="AK807" s="61"/>
      <c r="AL807" s="16"/>
      <c r="AM807" s="16"/>
      <c r="AN807" s="16"/>
      <c r="AO807" s="16"/>
      <c r="AP807" s="16"/>
      <c r="AQ807" s="17"/>
      <c r="AU807" s="24"/>
      <c r="AV807" s="61"/>
      <c r="AW807" s="16"/>
      <c r="AX807" s="16"/>
      <c r="AY807" s="16"/>
      <c r="AZ807" s="16"/>
      <c r="BA807" s="16"/>
      <c r="BB807" s="17"/>
      <c r="BF807" s="24"/>
      <c r="BG807" s="61"/>
      <c r="BH807" s="16"/>
      <c r="BI807" s="16"/>
      <c r="BJ807" s="16"/>
      <c r="BK807" s="16"/>
      <c r="BL807" s="16"/>
      <c r="BM807" s="17"/>
      <c r="BQ807" s="24"/>
      <c r="BR807" s="61"/>
      <c r="BS807" s="16"/>
      <c r="BT807" s="16"/>
      <c r="BU807" s="16"/>
      <c r="BV807" s="16"/>
      <c r="BW807" s="16"/>
      <c r="BX807" s="17"/>
      <c r="CB807" s="24"/>
      <c r="CC807" s="61"/>
      <c r="CD807" s="16"/>
      <c r="CE807" s="16"/>
      <c r="CF807" s="16"/>
      <c r="CG807" s="16"/>
      <c r="CH807" s="16"/>
      <c r="CI807" s="17"/>
      <c r="CM807" s="24"/>
      <c r="CN807" s="61"/>
      <c r="CO807" s="16"/>
      <c r="CP807" s="16"/>
      <c r="CQ807" s="16"/>
      <c r="CR807" s="16"/>
      <c r="CS807" s="16"/>
      <c r="CT807" s="17"/>
      <c r="CX807" s="24"/>
      <c r="CY807" s="60"/>
      <c r="CZ807" s="16"/>
      <c r="DA807" s="16"/>
      <c r="DB807" s="16"/>
      <c r="DC807" s="16"/>
      <c r="DD807" s="16"/>
      <c r="DE807" s="17"/>
      <c r="DI807" s="24"/>
      <c r="DJ807" s="60"/>
      <c r="DK807" s="16"/>
      <c r="DL807" s="16"/>
      <c r="DM807" s="16"/>
      <c r="DN807" s="16"/>
      <c r="DO807" s="16"/>
      <c r="DP807" s="17"/>
      <c r="DT807" s="24"/>
      <c r="DU807" s="60"/>
      <c r="DV807" s="16"/>
      <c r="DW807" s="16"/>
      <c r="DX807" s="16"/>
      <c r="DY807" s="16"/>
      <c r="DZ807" s="16"/>
      <c r="EA807" s="17"/>
      <c r="EE807" s="24"/>
      <c r="EF807" s="60"/>
      <c r="EG807" s="16"/>
      <c r="EH807" s="16"/>
      <c r="EI807" s="16"/>
      <c r="EJ807" s="16"/>
      <c r="EK807" s="16"/>
      <c r="EL807" s="17"/>
      <c r="EP807" s="24"/>
      <c r="EQ807" s="60"/>
      <c r="ER807" s="16"/>
      <c r="ES807" s="16"/>
      <c r="ET807" s="16"/>
      <c r="EU807" s="16"/>
      <c r="EV807" s="16"/>
      <c r="EW807" s="17"/>
      <c r="FA807" s="24"/>
      <c r="FB807" s="60"/>
      <c r="FC807" s="16"/>
      <c r="FD807" s="16"/>
      <c r="FE807" s="16"/>
      <c r="FF807" s="16"/>
      <c r="FG807" s="16"/>
      <c r="FH807" s="17"/>
      <c r="FL807" s="24"/>
      <c r="FM807" s="60"/>
      <c r="FN807" s="16"/>
      <c r="FO807" s="16"/>
      <c r="FP807" s="16"/>
      <c r="FQ807" s="16"/>
      <c r="FR807" s="16"/>
      <c r="FS807" s="17"/>
      <c r="FW807" s="24"/>
      <c r="FX807" s="60"/>
      <c r="FY807" s="16"/>
      <c r="FZ807" s="16"/>
      <c r="GA807" s="16"/>
      <c r="GB807" s="16"/>
      <c r="GC807" s="16"/>
      <c r="GD807" s="17"/>
      <c r="GH807" s="24"/>
      <c r="GI807" s="60"/>
      <c r="GJ807" s="16"/>
      <c r="GK807" s="16"/>
      <c r="GL807" s="16"/>
      <c r="GM807" s="16"/>
      <c r="GN807" s="16"/>
      <c r="GO807" s="17"/>
      <c r="GS807" s="24"/>
      <c r="GT807" s="60"/>
      <c r="GU807" s="16"/>
      <c r="GV807" s="16"/>
      <c r="GW807" s="16"/>
      <c r="GX807" s="16"/>
      <c r="GY807" s="16"/>
      <c r="GZ807" s="17"/>
      <c r="HD807" s="24"/>
      <c r="HE807" s="60"/>
      <c r="HF807" s="16"/>
      <c r="HG807" s="16"/>
      <c r="HH807" s="16"/>
      <c r="HI807" s="16"/>
      <c r="HJ807" s="16"/>
      <c r="HK807" s="17"/>
      <c r="HO807" s="24"/>
      <c r="HP807" s="60"/>
      <c r="HQ807" s="16"/>
      <c r="HR807" s="16"/>
      <c r="HS807" s="16"/>
      <c r="HT807" s="16"/>
      <c r="HU807" s="16"/>
      <c r="HV807" s="17"/>
      <c r="HZ807" s="24"/>
      <c r="IA807" s="60"/>
      <c r="IB807" s="16"/>
      <c r="IC807" s="16"/>
      <c r="ID807" s="16"/>
      <c r="IE807" s="16"/>
      <c r="IF807" s="16"/>
      <c r="IG807" s="17"/>
      <c r="IK807" s="24"/>
      <c r="IL807" s="60"/>
      <c r="IM807" s="16"/>
      <c r="IN807" s="16"/>
      <c r="IO807" s="16"/>
      <c r="IP807" s="16"/>
      <c r="IQ807" s="16"/>
      <c r="IR807" s="17"/>
      <c r="IV807" s="24"/>
      <c r="IW807" s="60"/>
      <c r="IX807" s="16"/>
      <c r="IY807" s="16"/>
      <c r="IZ807" s="16"/>
      <c r="JA807" s="16"/>
      <c r="JB807" s="16"/>
      <c r="JC807" s="17"/>
      <c r="JG807" s="24"/>
      <c r="JH807" s="60"/>
      <c r="JI807" s="16"/>
      <c r="JJ807" s="16"/>
      <c r="JK807" s="16"/>
      <c r="JL807" s="16"/>
      <c r="JM807" s="16"/>
      <c r="JN807" s="17"/>
      <c r="JR807" s="24"/>
      <c r="JS807" s="60"/>
      <c r="JT807" s="16"/>
      <c r="JU807" s="16"/>
      <c r="JV807" s="16"/>
      <c r="JW807" s="16"/>
      <c r="JX807" s="16"/>
      <c r="JY807" s="17"/>
      <c r="KC807" s="24"/>
      <c r="KD807" s="60"/>
      <c r="KE807" s="16"/>
      <c r="KF807" s="16"/>
      <c r="KG807" s="16"/>
      <c r="KH807" s="16"/>
      <c r="KI807" s="16"/>
      <c r="KJ807" s="17"/>
      <c r="KN807" s="24"/>
      <c r="KO807" s="60"/>
      <c r="KP807" s="16"/>
      <c r="KQ807" s="16"/>
      <c r="KR807" s="16"/>
      <c r="KS807" s="16"/>
      <c r="KT807" s="16"/>
      <c r="KU807" s="17"/>
      <c r="KY807" s="24"/>
      <c r="KZ807" s="60"/>
      <c r="LA807" s="16"/>
      <c r="LB807" s="16"/>
      <c r="LC807" s="16"/>
      <c r="LD807" s="16"/>
      <c r="LE807" s="16"/>
      <c r="LF807" s="17"/>
      <c r="LJ807" s="24"/>
      <c r="LK807" s="60"/>
      <c r="LL807" s="16"/>
      <c r="LM807" s="16"/>
      <c r="LN807" s="16"/>
      <c r="LO807" s="16"/>
      <c r="LP807" s="16"/>
      <c r="LQ807" s="17"/>
    </row>
    <row r="808">
      <c r="C808" s="31"/>
      <c r="D808" s="61"/>
      <c r="E808" s="16"/>
      <c r="F808" s="16"/>
      <c r="G808" s="21"/>
      <c r="H808" s="16"/>
      <c r="I808" s="16"/>
      <c r="J808" s="17"/>
      <c r="N808" s="17"/>
      <c r="O808" s="61"/>
      <c r="P808" s="16"/>
      <c r="Q808" s="16"/>
      <c r="R808" s="16"/>
      <c r="S808" s="16"/>
      <c r="T808" s="16"/>
      <c r="U808" s="17"/>
      <c r="Y808" s="24"/>
      <c r="Z808" s="61"/>
      <c r="AA808" s="16"/>
      <c r="AB808" s="16"/>
      <c r="AC808" s="16"/>
      <c r="AD808" s="16"/>
      <c r="AE808" s="16"/>
      <c r="AF808" s="17"/>
      <c r="AJ808" s="24"/>
      <c r="AK808" s="61"/>
      <c r="AL808" s="16"/>
      <c r="AM808" s="16"/>
      <c r="AN808" s="16"/>
      <c r="AO808" s="16"/>
      <c r="AP808" s="16"/>
      <c r="AQ808" s="17"/>
      <c r="AU808" s="24"/>
      <c r="AV808" s="61"/>
      <c r="AW808" s="16"/>
      <c r="AX808" s="16"/>
      <c r="AY808" s="16"/>
      <c r="AZ808" s="16"/>
      <c r="BA808" s="16"/>
      <c r="BB808" s="17"/>
      <c r="BF808" s="24"/>
      <c r="BG808" s="61"/>
      <c r="BH808" s="16"/>
      <c r="BI808" s="16"/>
      <c r="BJ808" s="16"/>
      <c r="BK808" s="16"/>
      <c r="BL808" s="16"/>
      <c r="BM808" s="17"/>
      <c r="BQ808" s="24"/>
      <c r="BR808" s="61"/>
      <c r="BS808" s="16"/>
      <c r="BT808" s="16"/>
      <c r="BU808" s="16"/>
      <c r="BV808" s="16"/>
      <c r="BW808" s="16"/>
      <c r="BX808" s="17"/>
      <c r="CB808" s="24"/>
      <c r="CC808" s="61"/>
      <c r="CD808" s="16"/>
      <c r="CE808" s="16"/>
      <c r="CF808" s="16"/>
      <c r="CG808" s="16"/>
      <c r="CH808" s="16"/>
      <c r="CI808" s="17"/>
      <c r="CM808" s="24"/>
      <c r="CN808" s="61"/>
      <c r="CO808" s="16"/>
      <c r="CP808" s="16"/>
      <c r="CQ808" s="16"/>
      <c r="CR808" s="16"/>
      <c r="CS808" s="16"/>
      <c r="CT808" s="17"/>
      <c r="CX808" s="24"/>
      <c r="CY808" s="60"/>
      <c r="CZ808" s="16"/>
      <c r="DA808" s="16"/>
      <c r="DB808" s="16"/>
      <c r="DC808" s="16"/>
      <c r="DD808" s="16"/>
      <c r="DE808" s="17"/>
      <c r="DI808" s="24"/>
      <c r="DJ808" s="60"/>
      <c r="DK808" s="16"/>
      <c r="DL808" s="16"/>
      <c r="DM808" s="16"/>
      <c r="DN808" s="16"/>
      <c r="DO808" s="16"/>
      <c r="DP808" s="17"/>
      <c r="DT808" s="24"/>
      <c r="DU808" s="60"/>
      <c r="DV808" s="16"/>
      <c r="DW808" s="16"/>
      <c r="DX808" s="16"/>
      <c r="DY808" s="16"/>
      <c r="DZ808" s="16"/>
      <c r="EA808" s="17"/>
      <c r="EE808" s="24"/>
      <c r="EF808" s="60"/>
      <c r="EG808" s="16"/>
      <c r="EH808" s="16"/>
      <c r="EI808" s="16"/>
      <c r="EJ808" s="16"/>
      <c r="EK808" s="16"/>
      <c r="EL808" s="17"/>
      <c r="EP808" s="24"/>
      <c r="EQ808" s="60"/>
      <c r="ER808" s="16"/>
      <c r="ES808" s="16"/>
      <c r="ET808" s="16"/>
      <c r="EU808" s="16"/>
      <c r="EV808" s="16"/>
      <c r="EW808" s="17"/>
      <c r="FA808" s="24"/>
      <c r="FB808" s="60"/>
      <c r="FC808" s="16"/>
      <c r="FD808" s="16"/>
      <c r="FE808" s="16"/>
      <c r="FF808" s="16"/>
      <c r="FG808" s="16"/>
      <c r="FH808" s="17"/>
      <c r="FL808" s="24"/>
      <c r="FM808" s="60"/>
      <c r="FN808" s="16"/>
      <c r="FO808" s="16"/>
      <c r="FP808" s="16"/>
      <c r="FQ808" s="16"/>
      <c r="FR808" s="16"/>
      <c r="FS808" s="17"/>
      <c r="FW808" s="24"/>
      <c r="FX808" s="60"/>
      <c r="FY808" s="16"/>
      <c r="FZ808" s="16"/>
      <c r="GA808" s="16"/>
      <c r="GB808" s="16"/>
      <c r="GC808" s="16"/>
      <c r="GD808" s="17"/>
      <c r="GH808" s="24"/>
      <c r="GI808" s="60"/>
      <c r="GJ808" s="16"/>
      <c r="GK808" s="16"/>
      <c r="GL808" s="16"/>
      <c r="GM808" s="16"/>
      <c r="GN808" s="16"/>
      <c r="GO808" s="17"/>
      <c r="GS808" s="24"/>
      <c r="GT808" s="60"/>
      <c r="GU808" s="16"/>
      <c r="GV808" s="16"/>
      <c r="GW808" s="16"/>
      <c r="GX808" s="16"/>
      <c r="GY808" s="16"/>
      <c r="GZ808" s="17"/>
      <c r="HD808" s="24"/>
      <c r="HE808" s="60"/>
      <c r="HF808" s="16"/>
      <c r="HG808" s="16"/>
      <c r="HH808" s="16"/>
      <c r="HI808" s="16"/>
      <c r="HJ808" s="16"/>
      <c r="HK808" s="17"/>
      <c r="HO808" s="24"/>
      <c r="HP808" s="60"/>
      <c r="HQ808" s="16"/>
      <c r="HR808" s="16"/>
      <c r="HS808" s="16"/>
      <c r="HT808" s="16"/>
      <c r="HU808" s="16"/>
      <c r="HV808" s="17"/>
      <c r="HZ808" s="24"/>
      <c r="IA808" s="60"/>
      <c r="IB808" s="16"/>
      <c r="IC808" s="16"/>
      <c r="ID808" s="16"/>
      <c r="IE808" s="16"/>
      <c r="IF808" s="16"/>
      <c r="IG808" s="17"/>
      <c r="IK808" s="24"/>
      <c r="IL808" s="60"/>
      <c r="IM808" s="16"/>
      <c r="IN808" s="16"/>
      <c r="IO808" s="16"/>
      <c r="IP808" s="16"/>
      <c r="IQ808" s="16"/>
      <c r="IR808" s="17"/>
      <c r="IV808" s="24"/>
      <c r="IW808" s="60"/>
      <c r="IX808" s="16"/>
      <c r="IY808" s="16"/>
      <c r="IZ808" s="16"/>
      <c r="JA808" s="16"/>
      <c r="JB808" s="16"/>
      <c r="JC808" s="17"/>
      <c r="JG808" s="24"/>
      <c r="JH808" s="60"/>
      <c r="JI808" s="16"/>
      <c r="JJ808" s="16"/>
      <c r="JK808" s="16"/>
      <c r="JL808" s="16"/>
      <c r="JM808" s="16"/>
      <c r="JN808" s="17"/>
      <c r="JR808" s="24"/>
      <c r="JS808" s="60"/>
      <c r="JT808" s="16"/>
      <c r="JU808" s="16"/>
      <c r="JV808" s="16"/>
      <c r="JW808" s="16"/>
      <c r="JX808" s="16"/>
      <c r="JY808" s="17"/>
      <c r="KC808" s="24"/>
      <c r="KD808" s="60"/>
      <c r="KE808" s="16"/>
      <c r="KF808" s="16"/>
      <c r="KG808" s="16"/>
      <c r="KH808" s="16"/>
      <c r="KI808" s="16"/>
      <c r="KJ808" s="17"/>
      <c r="KN808" s="24"/>
      <c r="KO808" s="60"/>
      <c r="KP808" s="16"/>
      <c r="KQ808" s="16"/>
      <c r="KR808" s="16"/>
      <c r="KS808" s="16"/>
      <c r="KT808" s="16"/>
      <c r="KU808" s="17"/>
      <c r="KY808" s="24"/>
      <c r="KZ808" s="60"/>
      <c r="LA808" s="16"/>
      <c r="LB808" s="16"/>
      <c r="LC808" s="16"/>
      <c r="LD808" s="16"/>
      <c r="LE808" s="16"/>
      <c r="LF808" s="17"/>
      <c r="LJ808" s="24"/>
      <c r="LK808" s="60"/>
      <c r="LL808" s="16"/>
      <c r="LM808" s="16"/>
      <c r="LN808" s="16"/>
      <c r="LO808" s="16"/>
      <c r="LP808" s="16"/>
      <c r="LQ808" s="17"/>
    </row>
    <row r="809">
      <c r="C809" s="31"/>
      <c r="D809" s="61"/>
      <c r="E809" s="16"/>
      <c r="F809" s="16"/>
      <c r="G809" s="21"/>
      <c r="H809" s="16"/>
      <c r="I809" s="16"/>
      <c r="J809" s="17"/>
      <c r="N809" s="17"/>
      <c r="O809" s="61"/>
      <c r="P809" s="16"/>
      <c r="Q809" s="16"/>
      <c r="R809" s="16"/>
      <c r="S809" s="16"/>
      <c r="T809" s="16"/>
      <c r="U809" s="17"/>
      <c r="Y809" s="24"/>
      <c r="Z809" s="61"/>
      <c r="AA809" s="16"/>
      <c r="AB809" s="16"/>
      <c r="AC809" s="16"/>
      <c r="AD809" s="16"/>
      <c r="AE809" s="16"/>
      <c r="AF809" s="17"/>
      <c r="AJ809" s="24"/>
      <c r="AK809" s="61"/>
      <c r="AL809" s="16"/>
      <c r="AM809" s="16"/>
      <c r="AN809" s="16"/>
      <c r="AO809" s="16"/>
      <c r="AP809" s="16"/>
      <c r="AQ809" s="17"/>
      <c r="AU809" s="24"/>
      <c r="AV809" s="61"/>
      <c r="AW809" s="16"/>
      <c r="AX809" s="16"/>
      <c r="AY809" s="16"/>
      <c r="AZ809" s="16"/>
      <c r="BA809" s="16"/>
      <c r="BB809" s="17"/>
      <c r="BF809" s="24"/>
      <c r="BG809" s="61"/>
      <c r="BH809" s="16"/>
      <c r="BI809" s="16"/>
      <c r="BJ809" s="16"/>
      <c r="BK809" s="16"/>
      <c r="BL809" s="16"/>
      <c r="BM809" s="17"/>
      <c r="BQ809" s="24"/>
      <c r="BR809" s="61"/>
      <c r="BS809" s="16"/>
      <c r="BT809" s="16"/>
      <c r="BU809" s="16"/>
      <c r="BV809" s="16"/>
      <c r="BW809" s="16"/>
      <c r="BX809" s="17"/>
      <c r="CB809" s="24"/>
      <c r="CC809" s="61"/>
      <c r="CD809" s="16"/>
      <c r="CE809" s="16"/>
      <c r="CF809" s="16"/>
      <c r="CG809" s="16"/>
      <c r="CH809" s="16"/>
      <c r="CI809" s="17"/>
      <c r="CM809" s="24"/>
      <c r="CN809" s="61"/>
      <c r="CO809" s="16"/>
      <c r="CP809" s="16"/>
      <c r="CQ809" s="16"/>
      <c r="CR809" s="16"/>
      <c r="CS809" s="16"/>
      <c r="CT809" s="17"/>
      <c r="CX809" s="24"/>
      <c r="CY809" s="60"/>
      <c r="CZ809" s="16"/>
      <c r="DA809" s="16"/>
      <c r="DB809" s="16"/>
      <c r="DC809" s="16"/>
      <c r="DD809" s="16"/>
      <c r="DE809" s="17"/>
      <c r="DI809" s="24"/>
      <c r="DJ809" s="60"/>
      <c r="DK809" s="16"/>
      <c r="DL809" s="16"/>
      <c r="DM809" s="16"/>
      <c r="DN809" s="16"/>
      <c r="DO809" s="16"/>
      <c r="DP809" s="17"/>
      <c r="DT809" s="24"/>
      <c r="DU809" s="60"/>
      <c r="DV809" s="16"/>
      <c r="DW809" s="16"/>
      <c r="DX809" s="16"/>
      <c r="DY809" s="16"/>
      <c r="DZ809" s="16"/>
      <c r="EA809" s="17"/>
      <c r="EE809" s="24"/>
      <c r="EF809" s="60"/>
      <c r="EG809" s="16"/>
      <c r="EH809" s="16"/>
      <c r="EI809" s="16"/>
      <c r="EJ809" s="16"/>
      <c r="EK809" s="16"/>
      <c r="EL809" s="17"/>
      <c r="EP809" s="24"/>
      <c r="EQ809" s="60"/>
      <c r="ER809" s="16"/>
      <c r="ES809" s="16"/>
      <c r="ET809" s="16"/>
      <c r="EU809" s="16"/>
      <c r="EV809" s="16"/>
      <c r="EW809" s="17"/>
      <c r="FA809" s="24"/>
      <c r="FB809" s="60"/>
      <c r="FC809" s="16"/>
      <c r="FD809" s="16"/>
      <c r="FE809" s="16"/>
      <c r="FF809" s="16"/>
      <c r="FG809" s="16"/>
      <c r="FH809" s="17"/>
      <c r="FL809" s="24"/>
      <c r="FM809" s="60"/>
      <c r="FN809" s="16"/>
      <c r="FO809" s="16"/>
      <c r="FP809" s="16"/>
      <c r="FQ809" s="16"/>
      <c r="FR809" s="16"/>
      <c r="FS809" s="17"/>
      <c r="FW809" s="24"/>
      <c r="FX809" s="60"/>
      <c r="FY809" s="16"/>
      <c r="FZ809" s="16"/>
      <c r="GA809" s="16"/>
      <c r="GB809" s="16"/>
      <c r="GC809" s="16"/>
      <c r="GD809" s="17"/>
      <c r="GH809" s="24"/>
      <c r="GI809" s="60"/>
      <c r="GJ809" s="16"/>
      <c r="GK809" s="16"/>
      <c r="GL809" s="16"/>
      <c r="GM809" s="16"/>
      <c r="GN809" s="16"/>
      <c r="GO809" s="17"/>
      <c r="GS809" s="24"/>
      <c r="GT809" s="60"/>
      <c r="GU809" s="16"/>
      <c r="GV809" s="16"/>
      <c r="GW809" s="16"/>
      <c r="GX809" s="16"/>
      <c r="GY809" s="16"/>
      <c r="GZ809" s="17"/>
      <c r="HD809" s="24"/>
      <c r="HE809" s="60"/>
      <c r="HF809" s="16"/>
      <c r="HG809" s="16"/>
      <c r="HH809" s="16"/>
      <c r="HI809" s="16"/>
      <c r="HJ809" s="16"/>
      <c r="HK809" s="17"/>
      <c r="HO809" s="24"/>
      <c r="HP809" s="60"/>
      <c r="HQ809" s="16"/>
      <c r="HR809" s="16"/>
      <c r="HS809" s="16"/>
      <c r="HT809" s="16"/>
      <c r="HU809" s="16"/>
      <c r="HV809" s="17"/>
      <c r="HZ809" s="24"/>
      <c r="IA809" s="60"/>
      <c r="IB809" s="16"/>
      <c r="IC809" s="16"/>
      <c r="ID809" s="16"/>
      <c r="IE809" s="16"/>
      <c r="IF809" s="16"/>
      <c r="IG809" s="17"/>
      <c r="IK809" s="24"/>
      <c r="IL809" s="60"/>
      <c r="IM809" s="16"/>
      <c r="IN809" s="16"/>
      <c r="IO809" s="16"/>
      <c r="IP809" s="16"/>
      <c r="IQ809" s="16"/>
      <c r="IR809" s="17"/>
      <c r="IV809" s="24"/>
      <c r="IW809" s="60"/>
      <c r="IX809" s="16"/>
      <c r="IY809" s="16"/>
      <c r="IZ809" s="16"/>
      <c r="JA809" s="16"/>
      <c r="JB809" s="16"/>
      <c r="JC809" s="17"/>
      <c r="JG809" s="24"/>
      <c r="JH809" s="60"/>
      <c r="JI809" s="16"/>
      <c r="JJ809" s="16"/>
      <c r="JK809" s="16"/>
      <c r="JL809" s="16"/>
      <c r="JM809" s="16"/>
      <c r="JN809" s="17"/>
      <c r="JR809" s="24"/>
      <c r="JS809" s="60"/>
      <c r="JT809" s="16"/>
      <c r="JU809" s="16"/>
      <c r="JV809" s="16"/>
      <c r="JW809" s="16"/>
      <c r="JX809" s="16"/>
      <c r="JY809" s="17"/>
      <c r="KC809" s="24"/>
      <c r="KD809" s="60"/>
      <c r="KE809" s="16"/>
      <c r="KF809" s="16"/>
      <c r="KG809" s="16"/>
      <c r="KH809" s="16"/>
      <c r="KI809" s="16"/>
      <c r="KJ809" s="17"/>
      <c r="KN809" s="24"/>
      <c r="KO809" s="60"/>
      <c r="KP809" s="16"/>
      <c r="KQ809" s="16"/>
      <c r="KR809" s="16"/>
      <c r="KS809" s="16"/>
      <c r="KT809" s="16"/>
      <c r="KU809" s="17"/>
      <c r="KY809" s="24"/>
      <c r="KZ809" s="60"/>
      <c r="LA809" s="16"/>
      <c r="LB809" s="16"/>
      <c r="LC809" s="16"/>
      <c r="LD809" s="16"/>
      <c r="LE809" s="16"/>
      <c r="LF809" s="17"/>
      <c r="LJ809" s="24"/>
      <c r="LK809" s="60"/>
      <c r="LL809" s="16"/>
      <c r="LM809" s="16"/>
      <c r="LN809" s="16"/>
      <c r="LO809" s="16"/>
      <c r="LP809" s="16"/>
      <c r="LQ809" s="17"/>
    </row>
    <row r="810">
      <c r="C810" s="31"/>
      <c r="D810" s="61"/>
      <c r="E810" s="16"/>
      <c r="F810" s="16"/>
      <c r="G810" s="21"/>
      <c r="H810" s="16"/>
      <c r="I810" s="16"/>
      <c r="J810" s="17"/>
      <c r="N810" s="17"/>
      <c r="O810" s="61"/>
      <c r="P810" s="16"/>
      <c r="Q810" s="16"/>
      <c r="R810" s="16"/>
      <c r="S810" s="16"/>
      <c r="T810" s="16"/>
      <c r="U810" s="17"/>
      <c r="Y810" s="24"/>
      <c r="Z810" s="61"/>
      <c r="AA810" s="16"/>
      <c r="AB810" s="16"/>
      <c r="AC810" s="16"/>
      <c r="AD810" s="16"/>
      <c r="AE810" s="16"/>
      <c r="AF810" s="17"/>
      <c r="AJ810" s="24"/>
      <c r="AK810" s="61"/>
      <c r="AL810" s="16"/>
      <c r="AM810" s="16"/>
      <c r="AN810" s="16"/>
      <c r="AO810" s="16"/>
      <c r="AP810" s="16"/>
      <c r="AQ810" s="17"/>
      <c r="AU810" s="24"/>
      <c r="AV810" s="61"/>
      <c r="AW810" s="16"/>
      <c r="AX810" s="16"/>
      <c r="AY810" s="16"/>
      <c r="AZ810" s="16"/>
      <c r="BA810" s="16"/>
      <c r="BB810" s="17"/>
      <c r="BF810" s="24"/>
      <c r="BG810" s="61"/>
      <c r="BH810" s="16"/>
      <c r="BI810" s="16"/>
      <c r="BJ810" s="16"/>
      <c r="BK810" s="16"/>
      <c r="BL810" s="16"/>
      <c r="BM810" s="17"/>
      <c r="BQ810" s="24"/>
      <c r="BR810" s="61"/>
      <c r="BS810" s="16"/>
      <c r="BT810" s="16"/>
      <c r="BU810" s="16"/>
      <c r="BV810" s="16"/>
      <c r="BW810" s="16"/>
      <c r="BX810" s="17"/>
      <c r="CB810" s="24"/>
      <c r="CC810" s="61"/>
      <c r="CD810" s="16"/>
      <c r="CE810" s="16"/>
      <c r="CF810" s="16"/>
      <c r="CG810" s="16"/>
      <c r="CH810" s="16"/>
      <c r="CI810" s="17"/>
      <c r="CM810" s="24"/>
      <c r="CN810" s="61"/>
      <c r="CO810" s="16"/>
      <c r="CP810" s="16"/>
      <c r="CQ810" s="16"/>
      <c r="CR810" s="16"/>
      <c r="CS810" s="16"/>
      <c r="CT810" s="17"/>
      <c r="CX810" s="24"/>
      <c r="CY810" s="60"/>
      <c r="CZ810" s="16"/>
      <c r="DA810" s="16"/>
      <c r="DB810" s="16"/>
      <c r="DC810" s="16"/>
      <c r="DD810" s="16"/>
      <c r="DE810" s="17"/>
      <c r="DI810" s="24"/>
      <c r="DJ810" s="60"/>
      <c r="DK810" s="16"/>
      <c r="DL810" s="16"/>
      <c r="DM810" s="16"/>
      <c r="DN810" s="16"/>
      <c r="DO810" s="16"/>
      <c r="DP810" s="17"/>
      <c r="DT810" s="24"/>
      <c r="DU810" s="60"/>
      <c r="DV810" s="16"/>
      <c r="DW810" s="16"/>
      <c r="DX810" s="16"/>
      <c r="DY810" s="16"/>
      <c r="DZ810" s="16"/>
      <c r="EA810" s="17"/>
      <c r="EE810" s="24"/>
      <c r="EF810" s="60"/>
      <c r="EG810" s="16"/>
      <c r="EH810" s="16"/>
      <c r="EI810" s="16"/>
      <c r="EJ810" s="16"/>
      <c r="EK810" s="16"/>
      <c r="EL810" s="17"/>
      <c r="EP810" s="24"/>
      <c r="EQ810" s="60"/>
      <c r="ER810" s="16"/>
      <c r="ES810" s="16"/>
      <c r="ET810" s="16"/>
      <c r="EU810" s="16"/>
      <c r="EV810" s="16"/>
      <c r="EW810" s="17"/>
      <c r="FA810" s="24"/>
      <c r="FB810" s="60"/>
      <c r="FC810" s="16"/>
      <c r="FD810" s="16"/>
      <c r="FE810" s="16"/>
      <c r="FF810" s="16"/>
      <c r="FG810" s="16"/>
      <c r="FH810" s="17"/>
      <c r="FL810" s="24"/>
      <c r="FM810" s="60"/>
      <c r="FN810" s="16"/>
      <c r="FO810" s="16"/>
      <c r="FP810" s="16"/>
      <c r="FQ810" s="16"/>
      <c r="FR810" s="16"/>
      <c r="FS810" s="17"/>
      <c r="FW810" s="24"/>
      <c r="FX810" s="60"/>
      <c r="FY810" s="16"/>
      <c r="FZ810" s="16"/>
      <c r="GA810" s="16"/>
      <c r="GB810" s="16"/>
      <c r="GC810" s="16"/>
      <c r="GD810" s="17"/>
      <c r="GH810" s="24"/>
      <c r="GI810" s="60"/>
      <c r="GJ810" s="16"/>
      <c r="GK810" s="16"/>
      <c r="GL810" s="16"/>
      <c r="GM810" s="16"/>
      <c r="GN810" s="16"/>
      <c r="GO810" s="17"/>
      <c r="GS810" s="24"/>
      <c r="GT810" s="60"/>
      <c r="GU810" s="16"/>
      <c r="GV810" s="16"/>
      <c r="GW810" s="16"/>
      <c r="GX810" s="16"/>
      <c r="GY810" s="16"/>
      <c r="GZ810" s="17"/>
      <c r="HD810" s="24"/>
      <c r="HE810" s="60"/>
      <c r="HF810" s="16"/>
      <c r="HG810" s="16"/>
      <c r="HH810" s="16"/>
      <c r="HI810" s="16"/>
      <c r="HJ810" s="16"/>
      <c r="HK810" s="17"/>
      <c r="HO810" s="24"/>
      <c r="HP810" s="60"/>
      <c r="HQ810" s="16"/>
      <c r="HR810" s="16"/>
      <c r="HS810" s="16"/>
      <c r="HT810" s="16"/>
      <c r="HU810" s="16"/>
      <c r="HV810" s="17"/>
      <c r="HZ810" s="24"/>
      <c r="IA810" s="60"/>
      <c r="IB810" s="16"/>
      <c r="IC810" s="16"/>
      <c r="ID810" s="16"/>
      <c r="IE810" s="16"/>
      <c r="IF810" s="16"/>
      <c r="IG810" s="17"/>
      <c r="IK810" s="24"/>
      <c r="IL810" s="60"/>
      <c r="IM810" s="16"/>
      <c r="IN810" s="16"/>
      <c r="IO810" s="16"/>
      <c r="IP810" s="16"/>
      <c r="IQ810" s="16"/>
      <c r="IR810" s="17"/>
      <c r="IV810" s="24"/>
      <c r="IW810" s="60"/>
      <c r="IX810" s="16"/>
      <c r="IY810" s="16"/>
      <c r="IZ810" s="16"/>
      <c r="JA810" s="16"/>
      <c r="JB810" s="16"/>
      <c r="JC810" s="17"/>
      <c r="JG810" s="24"/>
      <c r="JH810" s="60"/>
      <c r="JI810" s="16"/>
      <c r="JJ810" s="16"/>
      <c r="JK810" s="16"/>
      <c r="JL810" s="16"/>
      <c r="JM810" s="16"/>
      <c r="JN810" s="17"/>
      <c r="JR810" s="24"/>
      <c r="JS810" s="60"/>
      <c r="JT810" s="16"/>
      <c r="JU810" s="16"/>
      <c r="JV810" s="16"/>
      <c r="JW810" s="16"/>
      <c r="JX810" s="16"/>
      <c r="JY810" s="17"/>
      <c r="KC810" s="24"/>
      <c r="KD810" s="60"/>
      <c r="KE810" s="16"/>
      <c r="KF810" s="16"/>
      <c r="KG810" s="16"/>
      <c r="KH810" s="16"/>
      <c r="KI810" s="16"/>
      <c r="KJ810" s="17"/>
      <c r="KN810" s="24"/>
      <c r="KO810" s="60"/>
      <c r="KP810" s="16"/>
      <c r="KQ810" s="16"/>
      <c r="KR810" s="16"/>
      <c r="KS810" s="16"/>
      <c r="KT810" s="16"/>
      <c r="KU810" s="17"/>
      <c r="KY810" s="24"/>
      <c r="KZ810" s="60"/>
      <c r="LA810" s="16"/>
      <c r="LB810" s="16"/>
      <c r="LC810" s="16"/>
      <c r="LD810" s="16"/>
      <c r="LE810" s="16"/>
      <c r="LF810" s="17"/>
      <c r="LJ810" s="24"/>
      <c r="LK810" s="60"/>
      <c r="LL810" s="16"/>
      <c r="LM810" s="16"/>
      <c r="LN810" s="16"/>
      <c r="LO810" s="16"/>
      <c r="LP810" s="16"/>
      <c r="LQ810" s="17"/>
    </row>
    <row r="811">
      <c r="C811" s="31"/>
      <c r="D811" s="61"/>
      <c r="E811" s="16"/>
      <c r="F811" s="16"/>
      <c r="G811" s="21"/>
      <c r="H811" s="16"/>
      <c r="I811" s="16"/>
      <c r="J811" s="17"/>
      <c r="N811" s="17"/>
      <c r="O811" s="61"/>
      <c r="P811" s="16"/>
      <c r="Q811" s="16"/>
      <c r="R811" s="16"/>
      <c r="S811" s="16"/>
      <c r="T811" s="16"/>
      <c r="U811" s="17"/>
      <c r="Y811" s="24"/>
      <c r="Z811" s="61"/>
      <c r="AA811" s="16"/>
      <c r="AB811" s="16"/>
      <c r="AC811" s="16"/>
      <c r="AD811" s="16"/>
      <c r="AE811" s="16"/>
      <c r="AF811" s="17"/>
      <c r="AJ811" s="24"/>
      <c r="AK811" s="61"/>
      <c r="AL811" s="16"/>
      <c r="AM811" s="16"/>
      <c r="AN811" s="16"/>
      <c r="AO811" s="16"/>
      <c r="AP811" s="16"/>
      <c r="AQ811" s="17"/>
      <c r="AU811" s="24"/>
      <c r="AV811" s="61"/>
      <c r="AW811" s="16"/>
      <c r="AX811" s="16"/>
      <c r="AY811" s="16"/>
      <c r="AZ811" s="16"/>
      <c r="BA811" s="16"/>
      <c r="BB811" s="17"/>
      <c r="BF811" s="24"/>
      <c r="BG811" s="61"/>
      <c r="BH811" s="16"/>
      <c r="BI811" s="16"/>
      <c r="BJ811" s="16"/>
      <c r="BK811" s="16"/>
      <c r="BL811" s="16"/>
      <c r="BM811" s="17"/>
      <c r="BQ811" s="24"/>
      <c r="BR811" s="61"/>
      <c r="BS811" s="16"/>
      <c r="BT811" s="16"/>
      <c r="BU811" s="16"/>
      <c r="BV811" s="16"/>
      <c r="BW811" s="16"/>
      <c r="BX811" s="17"/>
      <c r="CB811" s="24"/>
      <c r="CC811" s="61"/>
      <c r="CD811" s="16"/>
      <c r="CE811" s="16"/>
      <c r="CF811" s="16"/>
      <c r="CG811" s="16"/>
      <c r="CH811" s="16"/>
      <c r="CI811" s="17"/>
      <c r="CM811" s="24"/>
      <c r="CN811" s="61"/>
      <c r="CO811" s="16"/>
      <c r="CP811" s="16"/>
      <c r="CQ811" s="16"/>
      <c r="CR811" s="16"/>
      <c r="CS811" s="16"/>
      <c r="CT811" s="17"/>
      <c r="CX811" s="24"/>
      <c r="CY811" s="60"/>
      <c r="CZ811" s="16"/>
      <c r="DA811" s="16"/>
      <c r="DB811" s="16"/>
      <c r="DC811" s="16"/>
      <c r="DD811" s="16"/>
      <c r="DE811" s="17"/>
      <c r="DI811" s="24"/>
      <c r="DJ811" s="60"/>
      <c r="DK811" s="16"/>
      <c r="DL811" s="16"/>
      <c r="DM811" s="16"/>
      <c r="DN811" s="16"/>
      <c r="DO811" s="16"/>
      <c r="DP811" s="17"/>
      <c r="DT811" s="24"/>
      <c r="DU811" s="60"/>
      <c r="DV811" s="16"/>
      <c r="DW811" s="16"/>
      <c r="DX811" s="16"/>
      <c r="DY811" s="16"/>
      <c r="DZ811" s="16"/>
      <c r="EA811" s="17"/>
      <c r="EE811" s="24"/>
      <c r="EF811" s="60"/>
      <c r="EG811" s="16"/>
      <c r="EH811" s="16"/>
      <c r="EI811" s="16"/>
      <c r="EJ811" s="16"/>
      <c r="EK811" s="16"/>
      <c r="EL811" s="17"/>
      <c r="EP811" s="24"/>
      <c r="EQ811" s="60"/>
      <c r="ER811" s="16"/>
      <c r="ES811" s="16"/>
      <c r="ET811" s="16"/>
      <c r="EU811" s="16"/>
      <c r="EV811" s="16"/>
      <c r="EW811" s="17"/>
      <c r="FA811" s="24"/>
      <c r="FB811" s="60"/>
      <c r="FC811" s="16"/>
      <c r="FD811" s="16"/>
      <c r="FE811" s="16"/>
      <c r="FF811" s="16"/>
      <c r="FG811" s="16"/>
      <c r="FH811" s="17"/>
      <c r="FL811" s="24"/>
      <c r="FM811" s="60"/>
      <c r="FN811" s="16"/>
      <c r="FO811" s="16"/>
      <c r="FP811" s="16"/>
      <c r="FQ811" s="16"/>
      <c r="FR811" s="16"/>
      <c r="FS811" s="17"/>
      <c r="FW811" s="24"/>
      <c r="FX811" s="60"/>
      <c r="FY811" s="16"/>
      <c r="FZ811" s="16"/>
      <c r="GA811" s="16"/>
      <c r="GB811" s="16"/>
      <c r="GC811" s="16"/>
      <c r="GD811" s="17"/>
      <c r="GH811" s="24"/>
      <c r="GI811" s="60"/>
      <c r="GJ811" s="16"/>
      <c r="GK811" s="16"/>
      <c r="GL811" s="16"/>
      <c r="GM811" s="16"/>
      <c r="GN811" s="16"/>
      <c r="GO811" s="17"/>
      <c r="GS811" s="24"/>
      <c r="GT811" s="60"/>
      <c r="GU811" s="16"/>
      <c r="GV811" s="16"/>
      <c r="GW811" s="16"/>
      <c r="GX811" s="16"/>
      <c r="GY811" s="16"/>
      <c r="GZ811" s="17"/>
      <c r="HD811" s="24"/>
      <c r="HE811" s="60"/>
      <c r="HF811" s="16"/>
      <c r="HG811" s="16"/>
      <c r="HH811" s="16"/>
      <c r="HI811" s="16"/>
      <c r="HJ811" s="16"/>
      <c r="HK811" s="17"/>
      <c r="HO811" s="24"/>
      <c r="HP811" s="60"/>
      <c r="HQ811" s="16"/>
      <c r="HR811" s="16"/>
      <c r="HS811" s="16"/>
      <c r="HT811" s="16"/>
      <c r="HU811" s="16"/>
      <c r="HV811" s="17"/>
      <c r="HZ811" s="24"/>
      <c r="IA811" s="60"/>
      <c r="IB811" s="16"/>
      <c r="IC811" s="16"/>
      <c r="ID811" s="16"/>
      <c r="IE811" s="16"/>
      <c r="IF811" s="16"/>
      <c r="IG811" s="17"/>
      <c r="IK811" s="24"/>
      <c r="IL811" s="60"/>
      <c r="IM811" s="16"/>
      <c r="IN811" s="16"/>
      <c r="IO811" s="16"/>
      <c r="IP811" s="16"/>
      <c r="IQ811" s="16"/>
      <c r="IR811" s="17"/>
      <c r="IV811" s="24"/>
      <c r="IW811" s="60"/>
      <c r="IX811" s="16"/>
      <c r="IY811" s="16"/>
      <c r="IZ811" s="16"/>
      <c r="JA811" s="16"/>
      <c r="JB811" s="16"/>
      <c r="JC811" s="17"/>
      <c r="JG811" s="24"/>
      <c r="JH811" s="60"/>
      <c r="JI811" s="16"/>
      <c r="JJ811" s="16"/>
      <c r="JK811" s="16"/>
      <c r="JL811" s="16"/>
      <c r="JM811" s="16"/>
      <c r="JN811" s="17"/>
      <c r="JR811" s="24"/>
      <c r="JS811" s="60"/>
      <c r="JT811" s="16"/>
      <c r="JU811" s="16"/>
      <c r="JV811" s="16"/>
      <c r="JW811" s="16"/>
      <c r="JX811" s="16"/>
      <c r="JY811" s="17"/>
      <c r="KC811" s="24"/>
      <c r="KD811" s="60"/>
      <c r="KE811" s="16"/>
      <c r="KF811" s="16"/>
      <c r="KG811" s="16"/>
      <c r="KH811" s="16"/>
      <c r="KI811" s="16"/>
      <c r="KJ811" s="17"/>
      <c r="KN811" s="24"/>
      <c r="KO811" s="60"/>
      <c r="KP811" s="16"/>
      <c r="KQ811" s="16"/>
      <c r="KR811" s="16"/>
      <c r="KS811" s="16"/>
      <c r="KT811" s="16"/>
      <c r="KU811" s="17"/>
      <c r="KY811" s="24"/>
      <c r="KZ811" s="60"/>
      <c r="LA811" s="16"/>
      <c r="LB811" s="16"/>
      <c r="LC811" s="16"/>
      <c r="LD811" s="16"/>
      <c r="LE811" s="16"/>
      <c r="LF811" s="17"/>
      <c r="LJ811" s="24"/>
      <c r="LK811" s="60"/>
      <c r="LL811" s="16"/>
      <c r="LM811" s="16"/>
      <c r="LN811" s="16"/>
      <c r="LO811" s="16"/>
      <c r="LP811" s="16"/>
      <c r="LQ811" s="17"/>
    </row>
    <row r="812">
      <c r="C812" s="31"/>
      <c r="D812" s="61"/>
      <c r="E812" s="16"/>
      <c r="F812" s="16"/>
      <c r="G812" s="21"/>
      <c r="H812" s="16"/>
      <c r="I812" s="16"/>
      <c r="J812" s="17"/>
      <c r="N812" s="17"/>
      <c r="O812" s="61"/>
      <c r="P812" s="16"/>
      <c r="Q812" s="16"/>
      <c r="R812" s="16"/>
      <c r="S812" s="16"/>
      <c r="T812" s="16"/>
      <c r="U812" s="17"/>
      <c r="Y812" s="24"/>
      <c r="Z812" s="61"/>
      <c r="AA812" s="16"/>
      <c r="AB812" s="16"/>
      <c r="AC812" s="16"/>
      <c r="AD812" s="16"/>
      <c r="AE812" s="16"/>
      <c r="AF812" s="17"/>
      <c r="AJ812" s="24"/>
      <c r="AK812" s="61"/>
      <c r="AL812" s="16"/>
      <c r="AM812" s="16"/>
      <c r="AN812" s="16"/>
      <c r="AO812" s="16"/>
      <c r="AP812" s="16"/>
      <c r="AQ812" s="17"/>
      <c r="AU812" s="24"/>
      <c r="AV812" s="61"/>
      <c r="AW812" s="16"/>
      <c r="AX812" s="16"/>
      <c r="AY812" s="16"/>
      <c r="AZ812" s="16"/>
      <c r="BA812" s="16"/>
      <c r="BB812" s="17"/>
      <c r="BF812" s="24"/>
      <c r="BG812" s="61"/>
      <c r="BH812" s="16"/>
      <c r="BI812" s="16"/>
      <c r="BJ812" s="16"/>
      <c r="BK812" s="16"/>
      <c r="BL812" s="16"/>
      <c r="BM812" s="17"/>
      <c r="BQ812" s="24"/>
      <c r="BR812" s="61"/>
      <c r="BS812" s="16"/>
      <c r="BT812" s="16"/>
      <c r="BU812" s="16"/>
      <c r="BV812" s="16"/>
      <c r="BW812" s="16"/>
      <c r="BX812" s="17"/>
      <c r="CB812" s="24"/>
      <c r="CC812" s="61"/>
      <c r="CD812" s="16"/>
      <c r="CE812" s="16"/>
      <c r="CF812" s="16"/>
      <c r="CG812" s="16"/>
      <c r="CH812" s="16"/>
      <c r="CI812" s="17"/>
      <c r="CM812" s="24"/>
      <c r="CN812" s="61"/>
      <c r="CO812" s="16"/>
      <c r="CP812" s="16"/>
      <c r="CQ812" s="16"/>
      <c r="CR812" s="16"/>
      <c r="CS812" s="16"/>
      <c r="CT812" s="17"/>
      <c r="CX812" s="24"/>
      <c r="CY812" s="60"/>
      <c r="CZ812" s="16"/>
      <c r="DA812" s="16"/>
      <c r="DB812" s="16"/>
      <c r="DC812" s="16"/>
      <c r="DD812" s="16"/>
      <c r="DE812" s="17"/>
      <c r="DI812" s="24"/>
      <c r="DJ812" s="60"/>
      <c r="DK812" s="16"/>
      <c r="DL812" s="16"/>
      <c r="DM812" s="16"/>
      <c r="DN812" s="16"/>
      <c r="DO812" s="16"/>
      <c r="DP812" s="17"/>
      <c r="DT812" s="24"/>
      <c r="DU812" s="60"/>
      <c r="DV812" s="16"/>
      <c r="DW812" s="16"/>
      <c r="DX812" s="16"/>
      <c r="DY812" s="16"/>
      <c r="DZ812" s="16"/>
      <c r="EA812" s="17"/>
      <c r="EE812" s="24"/>
      <c r="EF812" s="60"/>
      <c r="EG812" s="16"/>
      <c r="EH812" s="16"/>
      <c r="EI812" s="16"/>
      <c r="EJ812" s="16"/>
      <c r="EK812" s="16"/>
      <c r="EL812" s="17"/>
      <c r="EP812" s="24"/>
      <c r="EQ812" s="60"/>
      <c r="ER812" s="16"/>
      <c r="ES812" s="16"/>
      <c r="ET812" s="16"/>
      <c r="EU812" s="16"/>
      <c r="EV812" s="16"/>
      <c r="EW812" s="17"/>
      <c r="FA812" s="24"/>
      <c r="FB812" s="60"/>
      <c r="FC812" s="16"/>
      <c r="FD812" s="16"/>
      <c r="FE812" s="16"/>
      <c r="FF812" s="16"/>
      <c r="FG812" s="16"/>
      <c r="FH812" s="17"/>
      <c r="FL812" s="24"/>
      <c r="FM812" s="60"/>
      <c r="FN812" s="16"/>
      <c r="FO812" s="16"/>
      <c r="FP812" s="16"/>
      <c r="FQ812" s="16"/>
      <c r="FR812" s="16"/>
      <c r="FS812" s="17"/>
      <c r="FW812" s="24"/>
      <c r="FX812" s="60"/>
      <c r="FY812" s="16"/>
      <c r="FZ812" s="16"/>
      <c r="GA812" s="16"/>
      <c r="GB812" s="16"/>
      <c r="GC812" s="16"/>
      <c r="GD812" s="17"/>
      <c r="GH812" s="24"/>
      <c r="GI812" s="60"/>
      <c r="GJ812" s="16"/>
      <c r="GK812" s="16"/>
      <c r="GL812" s="16"/>
      <c r="GM812" s="16"/>
      <c r="GN812" s="16"/>
      <c r="GO812" s="17"/>
      <c r="GS812" s="24"/>
      <c r="GT812" s="60"/>
      <c r="GU812" s="16"/>
      <c r="GV812" s="16"/>
      <c r="GW812" s="16"/>
      <c r="GX812" s="16"/>
      <c r="GY812" s="16"/>
      <c r="GZ812" s="17"/>
      <c r="HD812" s="24"/>
      <c r="HE812" s="60"/>
      <c r="HF812" s="16"/>
      <c r="HG812" s="16"/>
      <c r="HH812" s="16"/>
      <c r="HI812" s="16"/>
      <c r="HJ812" s="16"/>
      <c r="HK812" s="17"/>
      <c r="HO812" s="24"/>
      <c r="HP812" s="60"/>
      <c r="HQ812" s="16"/>
      <c r="HR812" s="16"/>
      <c r="HS812" s="16"/>
      <c r="HT812" s="16"/>
      <c r="HU812" s="16"/>
      <c r="HV812" s="17"/>
      <c r="HZ812" s="24"/>
      <c r="IA812" s="60"/>
      <c r="IB812" s="16"/>
      <c r="IC812" s="16"/>
      <c r="ID812" s="16"/>
      <c r="IE812" s="16"/>
      <c r="IF812" s="16"/>
      <c r="IG812" s="17"/>
      <c r="IK812" s="24"/>
      <c r="IL812" s="60"/>
      <c r="IM812" s="16"/>
      <c r="IN812" s="16"/>
      <c r="IO812" s="16"/>
      <c r="IP812" s="16"/>
      <c r="IQ812" s="16"/>
      <c r="IR812" s="17"/>
      <c r="IV812" s="24"/>
      <c r="IW812" s="60"/>
      <c r="IX812" s="16"/>
      <c r="IY812" s="16"/>
      <c r="IZ812" s="16"/>
      <c r="JA812" s="16"/>
      <c r="JB812" s="16"/>
      <c r="JC812" s="17"/>
      <c r="JG812" s="24"/>
      <c r="JH812" s="60"/>
      <c r="JI812" s="16"/>
      <c r="JJ812" s="16"/>
      <c r="JK812" s="16"/>
      <c r="JL812" s="16"/>
      <c r="JM812" s="16"/>
      <c r="JN812" s="17"/>
      <c r="JR812" s="24"/>
      <c r="JS812" s="60"/>
      <c r="JT812" s="16"/>
      <c r="JU812" s="16"/>
      <c r="JV812" s="16"/>
      <c r="JW812" s="16"/>
      <c r="JX812" s="16"/>
      <c r="JY812" s="17"/>
      <c r="KC812" s="24"/>
      <c r="KD812" s="60"/>
      <c r="KE812" s="16"/>
      <c r="KF812" s="16"/>
      <c r="KG812" s="16"/>
      <c r="KH812" s="16"/>
      <c r="KI812" s="16"/>
      <c r="KJ812" s="17"/>
      <c r="KN812" s="24"/>
      <c r="KO812" s="60"/>
      <c r="KP812" s="16"/>
      <c r="KQ812" s="16"/>
      <c r="KR812" s="16"/>
      <c r="KS812" s="16"/>
      <c r="KT812" s="16"/>
      <c r="KU812" s="17"/>
      <c r="KY812" s="24"/>
      <c r="KZ812" s="60"/>
      <c r="LA812" s="16"/>
      <c r="LB812" s="16"/>
      <c r="LC812" s="16"/>
      <c r="LD812" s="16"/>
      <c r="LE812" s="16"/>
      <c r="LF812" s="17"/>
      <c r="LJ812" s="24"/>
      <c r="LK812" s="60"/>
      <c r="LL812" s="16"/>
      <c r="LM812" s="16"/>
      <c r="LN812" s="16"/>
      <c r="LO812" s="16"/>
      <c r="LP812" s="16"/>
      <c r="LQ812" s="17"/>
    </row>
    <row r="813">
      <c r="C813" s="31"/>
      <c r="D813" s="61"/>
      <c r="E813" s="16"/>
      <c r="F813" s="16"/>
      <c r="G813" s="21"/>
      <c r="H813" s="16"/>
      <c r="I813" s="16"/>
      <c r="J813" s="17"/>
      <c r="N813" s="17"/>
      <c r="O813" s="61"/>
      <c r="P813" s="16"/>
      <c r="Q813" s="16"/>
      <c r="R813" s="16"/>
      <c r="S813" s="16"/>
      <c r="T813" s="16"/>
      <c r="U813" s="17"/>
      <c r="Y813" s="24"/>
      <c r="Z813" s="61"/>
      <c r="AA813" s="16"/>
      <c r="AB813" s="16"/>
      <c r="AC813" s="16"/>
      <c r="AD813" s="16"/>
      <c r="AE813" s="16"/>
      <c r="AF813" s="17"/>
      <c r="AJ813" s="24"/>
      <c r="AK813" s="61"/>
      <c r="AL813" s="16"/>
      <c r="AM813" s="16"/>
      <c r="AN813" s="16"/>
      <c r="AO813" s="16"/>
      <c r="AP813" s="16"/>
      <c r="AQ813" s="17"/>
      <c r="AU813" s="24"/>
      <c r="AV813" s="61"/>
      <c r="AW813" s="16"/>
      <c r="AX813" s="16"/>
      <c r="AY813" s="16"/>
      <c r="AZ813" s="16"/>
      <c r="BA813" s="16"/>
      <c r="BB813" s="17"/>
      <c r="BF813" s="24"/>
      <c r="BG813" s="61"/>
      <c r="BH813" s="16"/>
      <c r="BI813" s="16"/>
      <c r="BJ813" s="16"/>
      <c r="BK813" s="16"/>
      <c r="BL813" s="16"/>
      <c r="BM813" s="17"/>
      <c r="BQ813" s="24"/>
      <c r="BR813" s="61"/>
      <c r="BS813" s="16"/>
      <c r="BT813" s="16"/>
      <c r="BU813" s="16"/>
      <c r="BV813" s="16"/>
      <c r="BW813" s="16"/>
      <c r="BX813" s="17"/>
      <c r="CB813" s="24"/>
      <c r="CC813" s="61"/>
      <c r="CD813" s="16"/>
      <c r="CE813" s="16"/>
      <c r="CF813" s="16"/>
      <c r="CG813" s="16"/>
      <c r="CH813" s="16"/>
      <c r="CI813" s="17"/>
      <c r="CM813" s="24"/>
      <c r="CN813" s="61"/>
      <c r="CO813" s="16"/>
      <c r="CP813" s="16"/>
      <c r="CQ813" s="16"/>
      <c r="CR813" s="16"/>
      <c r="CS813" s="16"/>
      <c r="CT813" s="17"/>
      <c r="CX813" s="24"/>
      <c r="CY813" s="60"/>
      <c r="CZ813" s="16"/>
      <c r="DA813" s="16"/>
      <c r="DB813" s="16"/>
      <c r="DC813" s="16"/>
      <c r="DD813" s="16"/>
      <c r="DE813" s="17"/>
      <c r="DI813" s="24"/>
      <c r="DJ813" s="60"/>
      <c r="DK813" s="16"/>
      <c r="DL813" s="16"/>
      <c r="DM813" s="16"/>
      <c r="DN813" s="16"/>
      <c r="DO813" s="16"/>
      <c r="DP813" s="17"/>
      <c r="DT813" s="24"/>
      <c r="DU813" s="60"/>
      <c r="DV813" s="16"/>
      <c r="DW813" s="16"/>
      <c r="DX813" s="16"/>
      <c r="DY813" s="16"/>
      <c r="DZ813" s="16"/>
      <c r="EA813" s="17"/>
      <c r="EE813" s="24"/>
      <c r="EF813" s="60"/>
      <c r="EG813" s="16"/>
      <c r="EH813" s="16"/>
      <c r="EI813" s="16"/>
      <c r="EJ813" s="16"/>
      <c r="EK813" s="16"/>
      <c r="EL813" s="17"/>
      <c r="EP813" s="24"/>
      <c r="EQ813" s="60"/>
      <c r="ER813" s="16"/>
      <c r="ES813" s="16"/>
      <c r="ET813" s="16"/>
      <c r="EU813" s="16"/>
      <c r="EV813" s="16"/>
      <c r="EW813" s="17"/>
      <c r="FA813" s="24"/>
      <c r="FB813" s="60"/>
      <c r="FC813" s="16"/>
      <c r="FD813" s="16"/>
      <c r="FE813" s="16"/>
      <c r="FF813" s="16"/>
      <c r="FG813" s="16"/>
      <c r="FH813" s="17"/>
      <c r="FL813" s="24"/>
      <c r="FM813" s="60"/>
      <c r="FN813" s="16"/>
      <c r="FO813" s="16"/>
      <c r="FP813" s="16"/>
      <c r="FQ813" s="16"/>
      <c r="FR813" s="16"/>
      <c r="FS813" s="17"/>
      <c r="FW813" s="24"/>
      <c r="FX813" s="60"/>
      <c r="FY813" s="16"/>
      <c r="FZ813" s="16"/>
      <c r="GA813" s="16"/>
      <c r="GB813" s="16"/>
      <c r="GC813" s="16"/>
      <c r="GD813" s="17"/>
      <c r="GH813" s="24"/>
      <c r="GI813" s="60"/>
      <c r="GJ813" s="16"/>
      <c r="GK813" s="16"/>
      <c r="GL813" s="16"/>
      <c r="GM813" s="16"/>
      <c r="GN813" s="16"/>
      <c r="GO813" s="17"/>
      <c r="GS813" s="24"/>
      <c r="GT813" s="60"/>
      <c r="GU813" s="16"/>
      <c r="GV813" s="16"/>
      <c r="GW813" s="16"/>
      <c r="GX813" s="16"/>
      <c r="GY813" s="16"/>
      <c r="GZ813" s="17"/>
      <c r="HD813" s="24"/>
      <c r="HE813" s="60"/>
      <c r="HF813" s="16"/>
      <c r="HG813" s="16"/>
      <c r="HH813" s="16"/>
      <c r="HI813" s="16"/>
      <c r="HJ813" s="16"/>
      <c r="HK813" s="17"/>
      <c r="HO813" s="24"/>
      <c r="HP813" s="60"/>
      <c r="HQ813" s="16"/>
      <c r="HR813" s="16"/>
      <c r="HS813" s="16"/>
      <c r="HT813" s="16"/>
      <c r="HU813" s="16"/>
      <c r="HV813" s="17"/>
      <c r="HZ813" s="24"/>
      <c r="IA813" s="60"/>
      <c r="IB813" s="16"/>
      <c r="IC813" s="16"/>
      <c r="ID813" s="16"/>
      <c r="IE813" s="16"/>
      <c r="IF813" s="16"/>
      <c r="IG813" s="17"/>
      <c r="IK813" s="24"/>
      <c r="IL813" s="60"/>
      <c r="IM813" s="16"/>
      <c r="IN813" s="16"/>
      <c r="IO813" s="16"/>
      <c r="IP813" s="16"/>
      <c r="IQ813" s="16"/>
      <c r="IR813" s="17"/>
      <c r="IV813" s="24"/>
      <c r="IW813" s="60"/>
      <c r="IX813" s="16"/>
      <c r="IY813" s="16"/>
      <c r="IZ813" s="16"/>
      <c r="JA813" s="16"/>
      <c r="JB813" s="16"/>
      <c r="JC813" s="17"/>
      <c r="JG813" s="24"/>
      <c r="JH813" s="60"/>
      <c r="JI813" s="16"/>
      <c r="JJ813" s="16"/>
      <c r="JK813" s="16"/>
      <c r="JL813" s="16"/>
      <c r="JM813" s="16"/>
      <c r="JN813" s="17"/>
      <c r="JR813" s="24"/>
      <c r="JS813" s="60"/>
      <c r="JT813" s="16"/>
      <c r="JU813" s="16"/>
      <c r="JV813" s="16"/>
      <c r="JW813" s="16"/>
      <c r="JX813" s="16"/>
      <c r="JY813" s="17"/>
      <c r="KC813" s="24"/>
      <c r="KD813" s="60"/>
      <c r="KE813" s="16"/>
      <c r="KF813" s="16"/>
      <c r="KG813" s="16"/>
      <c r="KH813" s="16"/>
      <c r="KI813" s="16"/>
      <c r="KJ813" s="17"/>
      <c r="KN813" s="24"/>
      <c r="KO813" s="60"/>
      <c r="KP813" s="16"/>
      <c r="KQ813" s="16"/>
      <c r="KR813" s="16"/>
      <c r="KS813" s="16"/>
      <c r="KT813" s="16"/>
      <c r="KU813" s="17"/>
      <c r="KY813" s="24"/>
      <c r="KZ813" s="60"/>
      <c r="LA813" s="16"/>
      <c r="LB813" s="16"/>
      <c r="LC813" s="16"/>
      <c r="LD813" s="16"/>
      <c r="LE813" s="16"/>
      <c r="LF813" s="17"/>
      <c r="LJ813" s="24"/>
      <c r="LK813" s="60"/>
      <c r="LL813" s="16"/>
      <c r="LM813" s="16"/>
      <c r="LN813" s="16"/>
      <c r="LO813" s="16"/>
      <c r="LP813" s="16"/>
      <c r="LQ813" s="17"/>
    </row>
    <row r="814">
      <c r="C814" s="31"/>
      <c r="D814" s="61"/>
      <c r="E814" s="16"/>
      <c r="F814" s="16"/>
      <c r="G814" s="21"/>
      <c r="H814" s="16"/>
      <c r="I814" s="16"/>
      <c r="J814" s="17"/>
      <c r="N814" s="17"/>
      <c r="O814" s="61"/>
      <c r="P814" s="16"/>
      <c r="Q814" s="16"/>
      <c r="R814" s="16"/>
      <c r="S814" s="16"/>
      <c r="T814" s="16"/>
      <c r="U814" s="17"/>
      <c r="Y814" s="24"/>
      <c r="Z814" s="61"/>
      <c r="AA814" s="16"/>
      <c r="AB814" s="16"/>
      <c r="AC814" s="16"/>
      <c r="AD814" s="16"/>
      <c r="AE814" s="16"/>
      <c r="AF814" s="17"/>
      <c r="AJ814" s="24"/>
      <c r="AK814" s="61"/>
      <c r="AL814" s="16"/>
      <c r="AM814" s="16"/>
      <c r="AN814" s="16"/>
      <c r="AO814" s="16"/>
      <c r="AP814" s="16"/>
      <c r="AQ814" s="17"/>
      <c r="AU814" s="24"/>
      <c r="AV814" s="61"/>
      <c r="AW814" s="16"/>
      <c r="AX814" s="16"/>
      <c r="AY814" s="16"/>
      <c r="AZ814" s="16"/>
      <c r="BA814" s="16"/>
      <c r="BB814" s="17"/>
      <c r="BF814" s="24"/>
      <c r="BG814" s="61"/>
      <c r="BH814" s="16"/>
      <c r="BI814" s="16"/>
      <c r="BJ814" s="16"/>
      <c r="BK814" s="16"/>
      <c r="BL814" s="16"/>
      <c r="BM814" s="17"/>
      <c r="BQ814" s="24"/>
      <c r="BR814" s="61"/>
      <c r="BS814" s="16"/>
      <c r="BT814" s="16"/>
      <c r="BU814" s="16"/>
      <c r="BV814" s="16"/>
      <c r="BW814" s="16"/>
      <c r="BX814" s="17"/>
      <c r="CB814" s="24"/>
      <c r="CC814" s="61"/>
      <c r="CD814" s="16"/>
      <c r="CE814" s="16"/>
      <c r="CF814" s="16"/>
      <c r="CG814" s="16"/>
      <c r="CH814" s="16"/>
      <c r="CI814" s="17"/>
      <c r="CM814" s="24"/>
      <c r="CN814" s="61"/>
      <c r="CO814" s="16"/>
      <c r="CP814" s="16"/>
      <c r="CQ814" s="16"/>
      <c r="CR814" s="16"/>
      <c r="CS814" s="16"/>
      <c r="CT814" s="17"/>
      <c r="CX814" s="24"/>
      <c r="CY814" s="60"/>
      <c r="CZ814" s="16"/>
      <c r="DA814" s="16"/>
      <c r="DB814" s="16"/>
      <c r="DC814" s="16"/>
      <c r="DD814" s="16"/>
      <c r="DE814" s="17"/>
      <c r="DI814" s="24"/>
      <c r="DJ814" s="60"/>
      <c r="DK814" s="16"/>
      <c r="DL814" s="16"/>
      <c r="DM814" s="16"/>
      <c r="DN814" s="16"/>
      <c r="DO814" s="16"/>
      <c r="DP814" s="17"/>
      <c r="DT814" s="24"/>
      <c r="DU814" s="60"/>
      <c r="DV814" s="16"/>
      <c r="DW814" s="16"/>
      <c r="DX814" s="16"/>
      <c r="DY814" s="16"/>
      <c r="DZ814" s="16"/>
      <c r="EA814" s="17"/>
      <c r="EE814" s="24"/>
      <c r="EF814" s="60"/>
      <c r="EG814" s="16"/>
      <c r="EH814" s="16"/>
      <c r="EI814" s="16"/>
      <c r="EJ814" s="16"/>
      <c r="EK814" s="16"/>
      <c r="EL814" s="17"/>
      <c r="EP814" s="24"/>
      <c r="EQ814" s="60"/>
      <c r="ER814" s="16"/>
      <c r="ES814" s="16"/>
      <c r="ET814" s="16"/>
      <c r="EU814" s="16"/>
      <c r="EV814" s="16"/>
      <c r="EW814" s="17"/>
      <c r="FA814" s="24"/>
      <c r="FB814" s="60"/>
      <c r="FC814" s="16"/>
      <c r="FD814" s="16"/>
      <c r="FE814" s="16"/>
      <c r="FF814" s="16"/>
      <c r="FG814" s="16"/>
      <c r="FH814" s="17"/>
      <c r="FL814" s="24"/>
      <c r="FM814" s="60"/>
      <c r="FN814" s="16"/>
      <c r="FO814" s="16"/>
      <c r="FP814" s="16"/>
      <c r="FQ814" s="16"/>
      <c r="FR814" s="16"/>
      <c r="FS814" s="17"/>
      <c r="FW814" s="24"/>
      <c r="FX814" s="60"/>
      <c r="FY814" s="16"/>
      <c r="FZ814" s="16"/>
      <c r="GA814" s="16"/>
      <c r="GB814" s="16"/>
      <c r="GC814" s="16"/>
      <c r="GD814" s="17"/>
      <c r="GH814" s="24"/>
      <c r="GI814" s="60"/>
      <c r="GJ814" s="16"/>
      <c r="GK814" s="16"/>
      <c r="GL814" s="16"/>
      <c r="GM814" s="16"/>
      <c r="GN814" s="16"/>
      <c r="GO814" s="17"/>
      <c r="GS814" s="24"/>
      <c r="GT814" s="60"/>
      <c r="GU814" s="16"/>
      <c r="GV814" s="16"/>
      <c r="GW814" s="16"/>
      <c r="GX814" s="16"/>
      <c r="GY814" s="16"/>
      <c r="GZ814" s="17"/>
      <c r="HD814" s="24"/>
      <c r="HE814" s="60"/>
      <c r="HF814" s="16"/>
      <c r="HG814" s="16"/>
      <c r="HH814" s="16"/>
      <c r="HI814" s="16"/>
      <c r="HJ814" s="16"/>
      <c r="HK814" s="17"/>
      <c r="HO814" s="24"/>
      <c r="HP814" s="60"/>
      <c r="HQ814" s="16"/>
      <c r="HR814" s="16"/>
      <c r="HS814" s="16"/>
      <c r="HT814" s="16"/>
      <c r="HU814" s="16"/>
      <c r="HV814" s="17"/>
      <c r="HZ814" s="24"/>
      <c r="IA814" s="60"/>
      <c r="IB814" s="16"/>
      <c r="IC814" s="16"/>
      <c r="ID814" s="16"/>
      <c r="IE814" s="16"/>
      <c r="IF814" s="16"/>
      <c r="IG814" s="17"/>
      <c r="IK814" s="24"/>
      <c r="IL814" s="60"/>
      <c r="IM814" s="16"/>
      <c r="IN814" s="16"/>
      <c r="IO814" s="16"/>
      <c r="IP814" s="16"/>
      <c r="IQ814" s="16"/>
      <c r="IR814" s="17"/>
      <c r="IV814" s="24"/>
      <c r="IW814" s="60"/>
      <c r="IX814" s="16"/>
      <c r="IY814" s="16"/>
      <c r="IZ814" s="16"/>
      <c r="JA814" s="16"/>
      <c r="JB814" s="16"/>
      <c r="JC814" s="17"/>
      <c r="JG814" s="24"/>
      <c r="JH814" s="60"/>
      <c r="JI814" s="16"/>
      <c r="JJ814" s="16"/>
      <c r="JK814" s="16"/>
      <c r="JL814" s="16"/>
      <c r="JM814" s="16"/>
      <c r="JN814" s="17"/>
      <c r="JR814" s="24"/>
      <c r="JS814" s="60"/>
      <c r="JT814" s="16"/>
      <c r="JU814" s="16"/>
      <c r="JV814" s="16"/>
      <c r="JW814" s="16"/>
      <c r="JX814" s="16"/>
      <c r="JY814" s="17"/>
      <c r="KC814" s="24"/>
      <c r="KD814" s="60"/>
      <c r="KE814" s="16"/>
      <c r="KF814" s="16"/>
      <c r="KG814" s="16"/>
      <c r="KH814" s="16"/>
      <c r="KI814" s="16"/>
      <c r="KJ814" s="17"/>
      <c r="KN814" s="24"/>
      <c r="KO814" s="60"/>
      <c r="KP814" s="16"/>
      <c r="KQ814" s="16"/>
      <c r="KR814" s="16"/>
      <c r="KS814" s="16"/>
      <c r="KT814" s="16"/>
      <c r="KU814" s="17"/>
      <c r="KY814" s="24"/>
      <c r="KZ814" s="60"/>
      <c r="LA814" s="16"/>
      <c r="LB814" s="16"/>
      <c r="LC814" s="16"/>
      <c r="LD814" s="16"/>
      <c r="LE814" s="16"/>
      <c r="LF814" s="17"/>
      <c r="LJ814" s="24"/>
      <c r="LK814" s="60"/>
      <c r="LL814" s="16"/>
      <c r="LM814" s="16"/>
      <c r="LN814" s="16"/>
      <c r="LO814" s="16"/>
      <c r="LP814" s="16"/>
      <c r="LQ814" s="17"/>
    </row>
    <row r="815">
      <c r="C815" s="31"/>
      <c r="D815" s="61"/>
      <c r="E815" s="16"/>
      <c r="F815" s="16"/>
      <c r="G815" s="21"/>
      <c r="H815" s="16"/>
      <c r="I815" s="16"/>
      <c r="J815" s="17"/>
      <c r="N815" s="17"/>
      <c r="O815" s="61"/>
      <c r="P815" s="16"/>
      <c r="Q815" s="16"/>
      <c r="R815" s="16"/>
      <c r="S815" s="16"/>
      <c r="T815" s="16"/>
      <c r="U815" s="17"/>
      <c r="Y815" s="24"/>
      <c r="Z815" s="61"/>
      <c r="AA815" s="16"/>
      <c r="AB815" s="16"/>
      <c r="AC815" s="16"/>
      <c r="AD815" s="16"/>
      <c r="AE815" s="16"/>
      <c r="AF815" s="17"/>
      <c r="AJ815" s="24"/>
      <c r="AK815" s="61"/>
      <c r="AL815" s="16"/>
      <c r="AM815" s="16"/>
      <c r="AN815" s="16"/>
      <c r="AO815" s="16"/>
      <c r="AP815" s="16"/>
      <c r="AQ815" s="17"/>
      <c r="AU815" s="24"/>
      <c r="AV815" s="61"/>
      <c r="AW815" s="16"/>
      <c r="AX815" s="16"/>
      <c r="AY815" s="16"/>
      <c r="AZ815" s="16"/>
      <c r="BA815" s="16"/>
      <c r="BB815" s="17"/>
      <c r="BF815" s="24"/>
      <c r="BG815" s="61"/>
      <c r="BH815" s="16"/>
      <c r="BI815" s="16"/>
      <c r="BJ815" s="16"/>
      <c r="BK815" s="16"/>
      <c r="BL815" s="16"/>
      <c r="BM815" s="17"/>
      <c r="BQ815" s="24"/>
      <c r="BR815" s="61"/>
      <c r="BS815" s="16"/>
      <c r="BT815" s="16"/>
      <c r="BU815" s="16"/>
      <c r="BV815" s="16"/>
      <c r="BW815" s="16"/>
      <c r="BX815" s="17"/>
      <c r="CB815" s="24"/>
      <c r="CC815" s="61"/>
      <c r="CD815" s="16"/>
      <c r="CE815" s="16"/>
      <c r="CF815" s="16"/>
      <c r="CG815" s="16"/>
      <c r="CH815" s="16"/>
      <c r="CI815" s="17"/>
      <c r="CM815" s="24"/>
      <c r="CN815" s="61"/>
      <c r="CO815" s="16"/>
      <c r="CP815" s="16"/>
      <c r="CQ815" s="16"/>
      <c r="CR815" s="16"/>
      <c r="CS815" s="16"/>
      <c r="CT815" s="17"/>
      <c r="CX815" s="24"/>
      <c r="CY815" s="60"/>
      <c r="CZ815" s="16"/>
      <c r="DA815" s="16"/>
      <c r="DB815" s="16"/>
      <c r="DC815" s="16"/>
      <c r="DD815" s="16"/>
      <c r="DE815" s="17"/>
      <c r="DI815" s="24"/>
      <c r="DJ815" s="60"/>
      <c r="DK815" s="16"/>
      <c r="DL815" s="16"/>
      <c r="DM815" s="16"/>
      <c r="DN815" s="16"/>
      <c r="DO815" s="16"/>
      <c r="DP815" s="17"/>
      <c r="DT815" s="24"/>
      <c r="DU815" s="60"/>
      <c r="DV815" s="16"/>
      <c r="DW815" s="16"/>
      <c r="DX815" s="16"/>
      <c r="DY815" s="16"/>
      <c r="DZ815" s="16"/>
      <c r="EA815" s="17"/>
      <c r="EE815" s="24"/>
      <c r="EF815" s="60"/>
      <c r="EG815" s="16"/>
      <c r="EH815" s="16"/>
      <c r="EI815" s="16"/>
      <c r="EJ815" s="16"/>
      <c r="EK815" s="16"/>
      <c r="EL815" s="17"/>
      <c r="EP815" s="24"/>
      <c r="EQ815" s="60"/>
      <c r="ER815" s="16"/>
      <c r="ES815" s="16"/>
      <c r="ET815" s="16"/>
      <c r="EU815" s="16"/>
      <c r="EV815" s="16"/>
      <c r="EW815" s="17"/>
      <c r="FA815" s="24"/>
      <c r="FB815" s="60"/>
      <c r="FC815" s="16"/>
      <c r="FD815" s="16"/>
      <c r="FE815" s="16"/>
      <c r="FF815" s="16"/>
      <c r="FG815" s="16"/>
      <c r="FH815" s="17"/>
      <c r="FL815" s="24"/>
      <c r="FM815" s="60"/>
      <c r="FN815" s="16"/>
      <c r="FO815" s="16"/>
      <c r="FP815" s="16"/>
      <c r="FQ815" s="16"/>
      <c r="FR815" s="16"/>
      <c r="FS815" s="17"/>
      <c r="FW815" s="24"/>
      <c r="FX815" s="60"/>
      <c r="FY815" s="16"/>
      <c r="FZ815" s="16"/>
      <c r="GA815" s="16"/>
      <c r="GB815" s="16"/>
      <c r="GC815" s="16"/>
      <c r="GD815" s="17"/>
      <c r="GH815" s="24"/>
      <c r="GI815" s="60"/>
      <c r="GJ815" s="16"/>
      <c r="GK815" s="16"/>
      <c r="GL815" s="16"/>
      <c r="GM815" s="16"/>
      <c r="GN815" s="16"/>
      <c r="GO815" s="17"/>
      <c r="GS815" s="24"/>
      <c r="GT815" s="60"/>
      <c r="GU815" s="16"/>
      <c r="GV815" s="16"/>
      <c r="GW815" s="16"/>
      <c r="GX815" s="16"/>
      <c r="GY815" s="16"/>
      <c r="GZ815" s="17"/>
      <c r="HD815" s="24"/>
      <c r="HE815" s="60"/>
      <c r="HF815" s="16"/>
      <c r="HG815" s="16"/>
      <c r="HH815" s="16"/>
      <c r="HI815" s="16"/>
      <c r="HJ815" s="16"/>
      <c r="HK815" s="17"/>
      <c r="HO815" s="24"/>
      <c r="HP815" s="60"/>
      <c r="HQ815" s="16"/>
      <c r="HR815" s="16"/>
      <c r="HS815" s="16"/>
      <c r="HT815" s="16"/>
      <c r="HU815" s="16"/>
      <c r="HV815" s="17"/>
      <c r="HZ815" s="24"/>
      <c r="IA815" s="60"/>
      <c r="IB815" s="16"/>
      <c r="IC815" s="16"/>
      <c r="ID815" s="16"/>
      <c r="IE815" s="16"/>
      <c r="IF815" s="16"/>
      <c r="IG815" s="17"/>
      <c r="IK815" s="24"/>
      <c r="IL815" s="60"/>
      <c r="IM815" s="16"/>
      <c r="IN815" s="16"/>
      <c r="IO815" s="16"/>
      <c r="IP815" s="16"/>
      <c r="IQ815" s="16"/>
      <c r="IR815" s="17"/>
      <c r="IV815" s="24"/>
      <c r="IW815" s="60"/>
      <c r="IX815" s="16"/>
      <c r="IY815" s="16"/>
      <c r="IZ815" s="16"/>
      <c r="JA815" s="16"/>
      <c r="JB815" s="16"/>
      <c r="JC815" s="17"/>
      <c r="JG815" s="24"/>
      <c r="JH815" s="60"/>
      <c r="JI815" s="16"/>
      <c r="JJ815" s="16"/>
      <c r="JK815" s="16"/>
      <c r="JL815" s="16"/>
      <c r="JM815" s="16"/>
      <c r="JN815" s="17"/>
      <c r="JR815" s="24"/>
      <c r="JS815" s="60"/>
      <c r="JT815" s="16"/>
      <c r="JU815" s="16"/>
      <c r="JV815" s="16"/>
      <c r="JW815" s="16"/>
      <c r="JX815" s="16"/>
      <c r="JY815" s="17"/>
      <c r="KC815" s="24"/>
      <c r="KD815" s="60"/>
      <c r="KE815" s="16"/>
      <c r="KF815" s="16"/>
      <c r="KG815" s="16"/>
      <c r="KH815" s="16"/>
      <c r="KI815" s="16"/>
      <c r="KJ815" s="17"/>
      <c r="KN815" s="24"/>
      <c r="KO815" s="60"/>
      <c r="KP815" s="16"/>
      <c r="KQ815" s="16"/>
      <c r="KR815" s="16"/>
      <c r="KS815" s="16"/>
      <c r="KT815" s="16"/>
      <c r="KU815" s="17"/>
      <c r="KY815" s="24"/>
      <c r="KZ815" s="60"/>
      <c r="LA815" s="16"/>
      <c r="LB815" s="16"/>
      <c r="LC815" s="16"/>
      <c r="LD815" s="16"/>
      <c r="LE815" s="16"/>
      <c r="LF815" s="17"/>
      <c r="LJ815" s="24"/>
      <c r="LK815" s="60"/>
      <c r="LL815" s="16"/>
      <c r="LM815" s="16"/>
      <c r="LN815" s="16"/>
      <c r="LO815" s="16"/>
      <c r="LP815" s="16"/>
      <c r="LQ815" s="17"/>
    </row>
    <row r="816">
      <c r="C816" s="31"/>
      <c r="D816" s="61"/>
      <c r="E816" s="16"/>
      <c r="F816" s="16"/>
      <c r="G816" s="21"/>
      <c r="H816" s="16"/>
      <c r="I816" s="16"/>
      <c r="J816" s="17"/>
      <c r="N816" s="17"/>
      <c r="O816" s="61"/>
      <c r="P816" s="16"/>
      <c r="Q816" s="16"/>
      <c r="R816" s="16"/>
      <c r="S816" s="16"/>
      <c r="T816" s="16"/>
      <c r="U816" s="17"/>
      <c r="Y816" s="24"/>
      <c r="Z816" s="61"/>
      <c r="AA816" s="16"/>
      <c r="AB816" s="16"/>
      <c r="AC816" s="16"/>
      <c r="AD816" s="16"/>
      <c r="AE816" s="16"/>
      <c r="AF816" s="17"/>
      <c r="AJ816" s="24"/>
      <c r="AK816" s="61"/>
      <c r="AL816" s="16"/>
      <c r="AM816" s="16"/>
      <c r="AN816" s="16"/>
      <c r="AO816" s="16"/>
      <c r="AP816" s="16"/>
      <c r="AQ816" s="17"/>
      <c r="AU816" s="24"/>
      <c r="AV816" s="61"/>
      <c r="AW816" s="16"/>
      <c r="AX816" s="16"/>
      <c r="AY816" s="16"/>
      <c r="AZ816" s="16"/>
      <c r="BA816" s="16"/>
      <c r="BB816" s="17"/>
      <c r="BF816" s="24"/>
      <c r="BG816" s="61"/>
      <c r="BH816" s="16"/>
      <c r="BI816" s="16"/>
      <c r="BJ816" s="16"/>
      <c r="BK816" s="16"/>
      <c r="BL816" s="16"/>
      <c r="BM816" s="17"/>
      <c r="BQ816" s="24"/>
      <c r="BR816" s="61"/>
      <c r="BS816" s="16"/>
      <c r="BT816" s="16"/>
      <c r="BU816" s="16"/>
      <c r="BV816" s="16"/>
      <c r="BW816" s="16"/>
      <c r="BX816" s="17"/>
      <c r="CB816" s="24"/>
      <c r="CC816" s="61"/>
      <c r="CD816" s="16"/>
      <c r="CE816" s="16"/>
      <c r="CF816" s="16"/>
      <c r="CG816" s="16"/>
      <c r="CH816" s="16"/>
      <c r="CI816" s="17"/>
      <c r="CM816" s="24"/>
      <c r="CN816" s="61"/>
      <c r="CO816" s="16"/>
      <c r="CP816" s="16"/>
      <c r="CQ816" s="16"/>
      <c r="CR816" s="16"/>
      <c r="CS816" s="16"/>
      <c r="CT816" s="17"/>
      <c r="CX816" s="24"/>
      <c r="CY816" s="60"/>
      <c r="CZ816" s="16"/>
      <c r="DA816" s="16"/>
      <c r="DB816" s="16"/>
      <c r="DC816" s="16"/>
      <c r="DD816" s="16"/>
      <c r="DE816" s="17"/>
      <c r="DI816" s="24"/>
      <c r="DJ816" s="60"/>
      <c r="DK816" s="16"/>
      <c r="DL816" s="16"/>
      <c r="DM816" s="16"/>
      <c r="DN816" s="16"/>
      <c r="DO816" s="16"/>
      <c r="DP816" s="17"/>
      <c r="DT816" s="24"/>
      <c r="DU816" s="60"/>
      <c r="DV816" s="16"/>
      <c r="DW816" s="16"/>
      <c r="DX816" s="16"/>
      <c r="DY816" s="16"/>
      <c r="DZ816" s="16"/>
      <c r="EA816" s="17"/>
      <c r="EE816" s="24"/>
      <c r="EF816" s="60"/>
      <c r="EG816" s="16"/>
      <c r="EH816" s="16"/>
      <c r="EI816" s="16"/>
      <c r="EJ816" s="16"/>
      <c r="EK816" s="16"/>
      <c r="EL816" s="17"/>
      <c r="EP816" s="24"/>
      <c r="EQ816" s="60"/>
      <c r="ER816" s="16"/>
      <c r="ES816" s="16"/>
      <c r="ET816" s="16"/>
      <c r="EU816" s="16"/>
      <c r="EV816" s="16"/>
      <c r="EW816" s="17"/>
      <c r="FA816" s="24"/>
      <c r="FB816" s="60"/>
      <c r="FC816" s="16"/>
      <c r="FD816" s="16"/>
      <c r="FE816" s="16"/>
      <c r="FF816" s="16"/>
      <c r="FG816" s="16"/>
      <c r="FH816" s="17"/>
      <c r="FL816" s="24"/>
      <c r="FM816" s="60"/>
      <c r="FN816" s="16"/>
      <c r="FO816" s="16"/>
      <c r="FP816" s="16"/>
      <c r="FQ816" s="16"/>
      <c r="FR816" s="16"/>
      <c r="FS816" s="17"/>
      <c r="FW816" s="24"/>
      <c r="FX816" s="60"/>
      <c r="FY816" s="16"/>
      <c r="FZ816" s="16"/>
      <c r="GA816" s="16"/>
      <c r="GB816" s="16"/>
      <c r="GC816" s="16"/>
      <c r="GD816" s="17"/>
      <c r="GH816" s="24"/>
      <c r="GI816" s="60"/>
      <c r="GJ816" s="16"/>
      <c r="GK816" s="16"/>
      <c r="GL816" s="16"/>
      <c r="GM816" s="16"/>
      <c r="GN816" s="16"/>
      <c r="GO816" s="17"/>
      <c r="GS816" s="24"/>
      <c r="GT816" s="60"/>
      <c r="GU816" s="16"/>
      <c r="GV816" s="16"/>
      <c r="GW816" s="16"/>
      <c r="GX816" s="16"/>
      <c r="GY816" s="16"/>
      <c r="GZ816" s="17"/>
      <c r="HD816" s="24"/>
      <c r="HE816" s="60"/>
      <c r="HF816" s="16"/>
      <c r="HG816" s="16"/>
      <c r="HH816" s="16"/>
      <c r="HI816" s="16"/>
      <c r="HJ816" s="16"/>
      <c r="HK816" s="17"/>
      <c r="HO816" s="24"/>
      <c r="HP816" s="60"/>
      <c r="HQ816" s="16"/>
      <c r="HR816" s="16"/>
      <c r="HS816" s="16"/>
      <c r="HT816" s="16"/>
      <c r="HU816" s="16"/>
      <c r="HV816" s="17"/>
      <c r="HZ816" s="24"/>
      <c r="IA816" s="60"/>
      <c r="IB816" s="16"/>
      <c r="IC816" s="16"/>
      <c r="ID816" s="16"/>
      <c r="IE816" s="16"/>
      <c r="IF816" s="16"/>
      <c r="IG816" s="17"/>
      <c r="IK816" s="24"/>
      <c r="IL816" s="60"/>
      <c r="IM816" s="16"/>
      <c r="IN816" s="16"/>
      <c r="IO816" s="16"/>
      <c r="IP816" s="16"/>
      <c r="IQ816" s="16"/>
      <c r="IR816" s="17"/>
      <c r="IV816" s="24"/>
      <c r="IW816" s="60"/>
      <c r="IX816" s="16"/>
      <c r="IY816" s="16"/>
      <c r="IZ816" s="16"/>
      <c r="JA816" s="16"/>
      <c r="JB816" s="16"/>
      <c r="JC816" s="17"/>
      <c r="JG816" s="24"/>
      <c r="JH816" s="60"/>
      <c r="JI816" s="16"/>
      <c r="JJ816" s="16"/>
      <c r="JK816" s="16"/>
      <c r="JL816" s="16"/>
      <c r="JM816" s="16"/>
      <c r="JN816" s="17"/>
      <c r="JR816" s="24"/>
      <c r="JS816" s="60"/>
      <c r="JT816" s="16"/>
      <c r="JU816" s="16"/>
      <c r="JV816" s="16"/>
      <c r="JW816" s="16"/>
      <c r="JX816" s="16"/>
      <c r="JY816" s="17"/>
      <c r="KC816" s="24"/>
      <c r="KD816" s="60"/>
      <c r="KE816" s="16"/>
      <c r="KF816" s="16"/>
      <c r="KG816" s="16"/>
      <c r="KH816" s="16"/>
      <c r="KI816" s="16"/>
      <c r="KJ816" s="17"/>
      <c r="KN816" s="24"/>
      <c r="KO816" s="60"/>
      <c r="KP816" s="16"/>
      <c r="KQ816" s="16"/>
      <c r="KR816" s="16"/>
      <c r="KS816" s="16"/>
      <c r="KT816" s="16"/>
      <c r="KU816" s="17"/>
      <c r="KY816" s="24"/>
      <c r="KZ816" s="60"/>
      <c r="LA816" s="16"/>
      <c r="LB816" s="16"/>
      <c r="LC816" s="16"/>
      <c r="LD816" s="16"/>
      <c r="LE816" s="16"/>
      <c r="LF816" s="17"/>
      <c r="LJ816" s="24"/>
      <c r="LK816" s="60"/>
      <c r="LL816" s="16"/>
      <c r="LM816" s="16"/>
      <c r="LN816" s="16"/>
      <c r="LO816" s="16"/>
      <c r="LP816" s="16"/>
      <c r="LQ816" s="17"/>
    </row>
    <row r="817">
      <c r="C817" s="31"/>
      <c r="D817" s="61"/>
      <c r="E817" s="16"/>
      <c r="F817" s="16"/>
      <c r="G817" s="21"/>
      <c r="H817" s="16"/>
      <c r="I817" s="16"/>
      <c r="J817" s="17"/>
      <c r="N817" s="17"/>
      <c r="O817" s="61"/>
      <c r="P817" s="16"/>
      <c r="Q817" s="16"/>
      <c r="R817" s="16"/>
      <c r="S817" s="16"/>
      <c r="T817" s="16"/>
      <c r="U817" s="17"/>
      <c r="Y817" s="24"/>
      <c r="Z817" s="61"/>
      <c r="AA817" s="16"/>
      <c r="AB817" s="16"/>
      <c r="AC817" s="16"/>
      <c r="AD817" s="16"/>
      <c r="AE817" s="16"/>
      <c r="AF817" s="17"/>
      <c r="AJ817" s="24"/>
      <c r="AK817" s="61"/>
      <c r="AL817" s="16"/>
      <c r="AM817" s="16"/>
      <c r="AN817" s="16"/>
      <c r="AO817" s="16"/>
      <c r="AP817" s="16"/>
      <c r="AQ817" s="17"/>
      <c r="AU817" s="24"/>
      <c r="AV817" s="61"/>
      <c r="AW817" s="16"/>
      <c r="AX817" s="16"/>
      <c r="AY817" s="16"/>
      <c r="AZ817" s="16"/>
      <c r="BA817" s="16"/>
      <c r="BB817" s="17"/>
      <c r="BF817" s="24"/>
      <c r="BG817" s="61"/>
      <c r="BH817" s="16"/>
      <c r="BI817" s="16"/>
      <c r="BJ817" s="16"/>
      <c r="BK817" s="16"/>
      <c r="BL817" s="16"/>
      <c r="BM817" s="17"/>
      <c r="BQ817" s="24"/>
      <c r="BR817" s="61"/>
      <c r="BS817" s="16"/>
      <c r="BT817" s="16"/>
      <c r="BU817" s="16"/>
      <c r="BV817" s="16"/>
      <c r="BW817" s="16"/>
      <c r="BX817" s="17"/>
      <c r="CB817" s="24"/>
      <c r="CC817" s="61"/>
      <c r="CD817" s="16"/>
      <c r="CE817" s="16"/>
      <c r="CF817" s="16"/>
      <c r="CG817" s="16"/>
      <c r="CH817" s="16"/>
      <c r="CI817" s="17"/>
      <c r="CM817" s="24"/>
      <c r="CN817" s="61"/>
      <c r="CO817" s="16"/>
      <c r="CP817" s="16"/>
      <c r="CQ817" s="16"/>
      <c r="CR817" s="16"/>
      <c r="CS817" s="16"/>
      <c r="CT817" s="17"/>
      <c r="CX817" s="24"/>
      <c r="CY817" s="60"/>
      <c r="CZ817" s="16"/>
      <c r="DA817" s="16"/>
      <c r="DB817" s="16"/>
      <c r="DC817" s="16"/>
      <c r="DD817" s="16"/>
      <c r="DE817" s="17"/>
      <c r="DI817" s="24"/>
      <c r="DJ817" s="60"/>
      <c r="DK817" s="16"/>
      <c r="DL817" s="16"/>
      <c r="DM817" s="16"/>
      <c r="DN817" s="16"/>
      <c r="DO817" s="16"/>
      <c r="DP817" s="17"/>
      <c r="DT817" s="24"/>
      <c r="DU817" s="60"/>
      <c r="DV817" s="16"/>
      <c r="DW817" s="16"/>
      <c r="DX817" s="16"/>
      <c r="DY817" s="16"/>
      <c r="DZ817" s="16"/>
      <c r="EA817" s="17"/>
      <c r="EE817" s="24"/>
      <c r="EF817" s="60"/>
      <c r="EG817" s="16"/>
      <c r="EH817" s="16"/>
      <c r="EI817" s="16"/>
      <c r="EJ817" s="16"/>
      <c r="EK817" s="16"/>
      <c r="EL817" s="17"/>
      <c r="EP817" s="24"/>
      <c r="EQ817" s="60"/>
      <c r="ER817" s="16"/>
      <c r="ES817" s="16"/>
      <c r="ET817" s="16"/>
      <c r="EU817" s="16"/>
      <c r="EV817" s="16"/>
      <c r="EW817" s="17"/>
      <c r="FA817" s="24"/>
      <c r="FB817" s="60"/>
      <c r="FC817" s="16"/>
      <c r="FD817" s="16"/>
      <c r="FE817" s="16"/>
      <c r="FF817" s="16"/>
      <c r="FG817" s="16"/>
      <c r="FH817" s="17"/>
      <c r="FL817" s="24"/>
      <c r="FM817" s="60"/>
      <c r="FN817" s="16"/>
      <c r="FO817" s="16"/>
      <c r="FP817" s="16"/>
      <c r="FQ817" s="16"/>
      <c r="FR817" s="16"/>
      <c r="FS817" s="17"/>
      <c r="FW817" s="24"/>
      <c r="FX817" s="60"/>
      <c r="FY817" s="16"/>
      <c r="FZ817" s="16"/>
      <c r="GA817" s="16"/>
      <c r="GB817" s="16"/>
      <c r="GC817" s="16"/>
      <c r="GD817" s="17"/>
      <c r="GH817" s="24"/>
      <c r="GI817" s="60"/>
      <c r="GJ817" s="16"/>
      <c r="GK817" s="16"/>
      <c r="GL817" s="16"/>
      <c r="GM817" s="16"/>
      <c r="GN817" s="16"/>
      <c r="GO817" s="17"/>
      <c r="GS817" s="24"/>
      <c r="GT817" s="60"/>
      <c r="GU817" s="16"/>
      <c r="GV817" s="16"/>
      <c r="GW817" s="16"/>
      <c r="GX817" s="16"/>
      <c r="GY817" s="16"/>
      <c r="GZ817" s="17"/>
      <c r="HD817" s="24"/>
      <c r="HE817" s="60"/>
      <c r="HF817" s="16"/>
      <c r="HG817" s="16"/>
      <c r="HH817" s="16"/>
      <c r="HI817" s="16"/>
      <c r="HJ817" s="16"/>
      <c r="HK817" s="17"/>
      <c r="HO817" s="24"/>
      <c r="HP817" s="60"/>
      <c r="HQ817" s="16"/>
      <c r="HR817" s="16"/>
      <c r="HS817" s="16"/>
      <c r="HT817" s="16"/>
      <c r="HU817" s="16"/>
      <c r="HV817" s="17"/>
      <c r="HZ817" s="24"/>
      <c r="IA817" s="60"/>
      <c r="IB817" s="16"/>
      <c r="IC817" s="16"/>
      <c r="ID817" s="16"/>
      <c r="IE817" s="16"/>
      <c r="IF817" s="16"/>
      <c r="IG817" s="17"/>
      <c r="IK817" s="24"/>
      <c r="IL817" s="60"/>
      <c r="IM817" s="16"/>
      <c r="IN817" s="16"/>
      <c r="IO817" s="16"/>
      <c r="IP817" s="16"/>
      <c r="IQ817" s="16"/>
      <c r="IR817" s="17"/>
      <c r="IV817" s="24"/>
      <c r="IW817" s="60"/>
      <c r="IX817" s="16"/>
      <c r="IY817" s="16"/>
      <c r="IZ817" s="16"/>
      <c r="JA817" s="16"/>
      <c r="JB817" s="16"/>
      <c r="JC817" s="17"/>
      <c r="JG817" s="24"/>
      <c r="JH817" s="60"/>
      <c r="JI817" s="16"/>
      <c r="JJ817" s="16"/>
      <c r="JK817" s="16"/>
      <c r="JL817" s="16"/>
      <c r="JM817" s="16"/>
      <c r="JN817" s="17"/>
      <c r="JR817" s="24"/>
      <c r="JS817" s="60"/>
      <c r="JT817" s="16"/>
      <c r="JU817" s="16"/>
      <c r="JV817" s="16"/>
      <c r="JW817" s="16"/>
      <c r="JX817" s="16"/>
      <c r="JY817" s="17"/>
      <c r="KC817" s="24"/>
      <c r="KD817" s="60"/>
      <c r="KE817" s="16"/>
      <c r="KF817" s="16"/>
      <c r="KG817" s="16"/>
      <c r="KH817" s="16"/>
      <c r="KI817" s="16"/>
      <c r="KJ817" s="17"/>
      <c r="KN817" s="24"/>
      <c r="KO817" s="60"/>
      <c r="KP817" s="16"/>
      <c r="KQ817" s="16"/>
      <c r="KR817" s="16"/>
      <c r="KS817" s="16"/>
      <c r="KT817" s="16"/>
      <c r="KU817" s="17"/>
      <c r="KY817" s="24"/>
      <c r="KZ817" s="60"/>
      <c r="LA817" s="16"/>
      <c r="LB817" s="16"/>
      <c r="LC817" s="16"/>
      <c r="LD817" s="16"/>
      <c r="LE817" s="16"/>
      <c r="LF817" s="17"/>
      <c r="LJ817" s="24"/>
      <c r="LK817" s="60"/>
      <c r="LL817" s="16"/>
      <c r="LM817" s="16"/>
      <c r="LN817" s="16"/>
      <c r="LO817" s="16"/>
      <c r="LP817" s="16"/>
      <c r="LQ817" s="17"/>
    </row>
    <row r="818">
      <c r="C818" s="31"/>
      <c r="D818" s="61"/>
      <c r="E818" s="16"/>
      <c r="F818" s="16"/>
      <c r="G818" s="21"/>
      <c r="H818" s="16"/>
      <c r="I818" s="16"/>
      <c r="J818" s="17"/>
      <c r="N818" s="17"/>
      <c r="O818" s="61"/>
      <c r="P818" s="16"/>
      <c r="Q818" s="16"/>
      <c r="R818" s="16"/>
      <c r="S818" s="16"/>
      <c r="T818" s="16"/>
      <c r="U818" s="17"/>
      <c r="Y818" s="24"/>
      <c r="Z818" s="61"/>
      <c r="AA818" s="16"/>
      <c r="AB818" s="16"/>
      <c r="AC818" s="16"/>
      <c r="AD818" s="16"/>
      <c r="AE818" s="16"/>
      <c r="AF818" s="17"/>
      <c r="AJ818" s="24"/>
      <c r="AK818" s="61"/>
      <c r="AL818" s="16"/>
      <c r="AM818" s="16"/>
      <c r="AN818" s="16"/>
      <c r="AO818" s="16"/>
      <c r="AP818" s="16"/>
      <c r="AQ818" s="17"/>
      <c r="AU818" s="24"/>
      <c r="AV818" s="61"/>
      <c r="AW818" s="16"/>
      <c r="AX818" s="16"/>
      <c r="AY818" s="16"/>
      <c r="AZ818" s="16"/>
      <c r="BA818" s="16"/>
      <c r="BB818" s="17"/>
      <c r="BF818" s="24"/>
      <c r="BG818" s="61"/>
      <c r="BH818" s="16"/>
      <c r="BI818" s="16"/>
      <c r="BJ818" s="16"/>
      <c r="BK818" s="16"/>
      <c r="BL818" s="16"/>
      <c r="BM818" s="17"/>
      <c r="BQ818" s="24"/>
      <c r="BR818" s="61"/>
      <c r="BS818" s="16"/>
      <c r="BT818" s="16"/>
      <c r="BU818" s="16"/>
      <c r="BV818" s="16"/>
      <c r="BW818" s="16"/>
      <c r="BX818" s="17"/>
      <c r="CB818" s="24"/>
      <c r="CC818" s="61"/>
      <c r="CD818" s="16"/>
      <c r="CE818" s="16"/>
      <c r="CF818" s="16"/>
      <c r="CG818" s="16"/>
      <c r="CH818" s="16"/>
      <c r="CI818" s="17"/>
      <c r="CM818" s="24"/>
      <c r="CN818" s="61"/>
      <c r="CO818" s="16"/>
      <c r="CP818" s="16"/>
      <c r="CQ818" s="16"/>
      <c r="CR818" s="16"/>
      <c r="CS818" s="16"/>
      <c r="CT818" s="17"/>
      <c r="CX818" s="24"/>
      <c r="CY818" s="60"/>
      <c r="CZ818" s="16"/>
      <c r="DA818" s="16"/>
      <c r="DB818" s="16"/>
      <c r="DC818" s="16"/>
      <c r="DD818" s="16"/>
      <c r="DE818" s="17"/>
      <c r="DI818" s="24"/>
      <c r="DJ818" s="60"/>
      <c r="DK818" s="16"/>
      <c r="DL818" s="16"/>
      <c r="DM818" s="16"/>
      <c r="DN818" s="16"/>
      <c r="DO818" s="16"/>
      <c r="DP818" s="17"/>
      <c r="DT818" s="24"/>
      <c r="DU818" s="60"/>
      <c r="DV818" s="16"/>
      <c r="DW818" s="16"/>
      <c r="DX818" s="16"/>
      <c r="DY818" s="16"/>
      <c r="DZ818" s="16"/>
      <c r="EA818" s="17"/>
      <c r="EE818" s="24"/>
      <c r="EF818" s="60"/>
      <c r="EG818" s="16"/>
      <c r="EH818" s="16"/>
      <c r="EI818" s="16"/>
      <c r="EJ818" s="16"/>
      <c r="EK818" s="16"/>
      <c r="EL818" s="17"/>
      <c r="EP818" s="24"/>
      <c r="EQ818" s="60"/>
      <c r="ER818" s="16"/>
      <c r="ES818" s="16"/>
      <c r="ET818" s="16"/>
      <c r="EU818" s="16"/>
      <c r="EV818" s="16"/>
      <c r="EW818" s="17"/>
      <c r="FA818" s="24"/>
      <c r="FB818" s="60"/>
      <c r="FC818" s="16"/>
      <c r="FD818" s="16"/>
      <c r="FE818" s="16"/>
      <c r="FF818" s="16"/>
      <c r="FG818" s="16"/>
      <c r="FH818" s="17"/>
      <c r="FL818" s="24"/>
      <c r="FM818" s="60"/>
      <c r="FN818" s="16"/>
      <c r="FO818" s="16"/>
      <c r="FP818" s="16"/>
      <c r="FQ818" s="16"/>
      <c r="FR818" s="16"/>
      <c r="FS818" s="17"/>
      <c r="FW818" s="24"/>
      <c r="FX818" s="60"/>
      <c r="FY818" s="16"/>
      <c r="FZ818" s="16"/>
      <c r="GA818" s="16"/>
      <c r="GB818" s="16"/>
      <c r="GC818" s="16"/>
      <c r="GD818" s="17"/>
      <c r="GH818" s="24"/>
      <c r="GI818" s="60"/>
      <c r="GJ818" s="16"/>
      <c r="GK818" s="16"/>
      <c r="GL818" s="16"/>
      <c r="GM818" s="16"/>
      <c r="GN818" s="16"/>
      <c r="GO818" s="17"/>
      <c r="GS818" s="24"/>
      <c r="GT818" s="60"/>
      <c r="GU818" s="16"/>
      <c r="GV818" s="16"/>
      <c r="GW818" s="16"/>
      <c r="GX818" s="16"/>
      <c r="GY818" s="16"/>
      <c r="GZ818" s="17"/>
      <c r="HD818" s="24"/>
      <c r="HE818" s="60"/>
      <c r="HF818" s="16"/>
      <c r="HG818" s="16"/>
      <c r="HH818" s="16"/>
      <c r="HI818" s="16"/>
      <c r="HJ818" s="16"/>
      <c r="HK818" s="17"/>
      <c r="HO818" s="24"/>
      <c r="HP818" s="60"/>
      <c r="HQ818" s="16"/>
      <c r="HR818" s="16"/>
      <c r="HS818" s="16"/>
      <c r="HT818" s="16"/>
      <c r="HU818" s="16"/>
      <c r="HV818" s="17"/>
      <c r="HZ818" s="24"/>
      <c r="IA818" s="60"/>
      <c r="IB818" s="16"/>
      <c r="IC818" s="16"/>
      <c r="ID818" s="16"/>
      <c r="IE818" s="16"/>
      <c r="IF818" s="16"/>
      <c r="IG818" s="17"/>
      <c r="IK818" s="24"/>
      <c r="IL818" s="60"/>
      <c r="IM818" s="16"/>
      <c r="IN818" s="16"/>
      <c r="IO818" s="16"/>
      <c r="IP818" s="16"/>
      <c r="IQ818" s="16"/>
      <c r="IR818" s="17"/>
      <c r="IV818" s="24"/>
      <c r="IW818" s="60"/>
      <c r="IX818" s="16"/>
      <c r="IY818" s="16"/>
      <c r="IZ818" s="16"/>
      <c r="JA818" s="16"/>
      <c r="JB818" s="16"/>
      <c r="JC818" s="17"/>
      <c r="JG818" s="24"/>
      <c r="JH818" s="60"/>
      <c r="JI818" s="16"/>
      <c r="JJ818" s="16"/>
      <c r="JK818" s="16"/>
      <c r="JL818" s="16"/>
      <c r="JM818" s="16"/>
      <c r="JN818" s="17"/>
      <c r="JR818" s="24"/>
      <c r="JS818" s="60"/>
      <c r="JT818" s="16"/>
      <c r="JU818" s="16"/>
      <c r="JV818" s="16"/>
      <c r="JW818" s="16"/>
      <c r="JX818" s="16"/>
      <c r="JY818" s="17"/>
      <c r="KC818" s="24"/>
      <c r="KD818" s="60"/>
      <c r="KE818" s="16"/>
      <c r="KF818" s="16"/>
      <c r="KG818" s="16"/>
      <c r="KH818" s="16"/>
      <c r="KI818" s="16"/>
      <c r="KJ818" s="17"/>
      <c r="KN818" s="24"/>
      <c r="KO818" s="60"/>
      <c r="KP818" s="16"/>
      <c r="KQ818" s="16"/>
      <c r="KR818" s="16"/>
      <c r="KS818" s="16"/>
      <c r="KT818" s="16"/>
      <c r="KU818" s="17"/>
      <c r="KY818" s="24"/>
      <c r="KZ818" s="60"/>
      <c r="LA818" s="16"/>
      <c r="LB818" s="16"/>
      <c r="LC818" s="16"/>
      <c r="LD818" s="16"/>
      <c r="LE818" s="16"/>
      <c r="LF818" s="17"/>
      <c r="LJ818" s="24"/>
      <c r="LK818" s="60"/>
      <c r="LL818" s="16"/>
      <c r="LM818" s="16"/>
      <c r="LN818" s="16"/>
      <c r="LO818" s="16"/>
      <c r="LP818" s="16"/>
      <c r="LQ818" s="17"/>
    </row>
    <row r="819">
      <c r="C819" s="31"/>
      <c r="D819" s="61"/>
      <c r="E819" s="16"/>
      <c r="F819" s="16"/>
      <c r="G819" s="21"/>
      <c r="H819" s="16"/>
      <c r="I819" s="16"/>
      <c r="J819" s="17"/>
      <c r="N819" s="17"/>
      <c r="O819" s="61"/>
      <c r="P819" s="16"/>
      <c r="Q819" s="16"/>
      <c r="R819" s="16"/>
      <c r="S819" s="16"/>
      <c r="T819" s="16"/>
      <c r="U819" s="17"/>
      <c r="Y819" s="24"/>
      <c r="Z819" s="61"/>
      <c r="AA819" s="16"/>
      <c r="AB819" s="16"/>
      <c r="AC819" s="16"/>
      <c r="AD819" s="16"/>
      <c r="AE819" s="16"/>
      <c r="AF819" s="17"/>
      <c r="AJ819" s="24"/>
      <c r="AK819" s="61"/>
      <c r="AL819" s="16"/>
      <c r="AM819" s="16"/>
      <c r="AN819" s="16"/>
      <c r="AO819" s="16"/>
      <c r="AP819" s="16"/>
      <c r="AQ819" s="17"/>
      <c r="AU819" s="24"/>
      <c r="AV819" s="61"/>
      <c r="AW819" s="16"/>
      <c r="AX819" s="16"/>
      <c r="AY819" s="16"/>
      <c r="AZ819" s="16"/>
      <c r="BA819" s="16"/>
      <c r="BB819" s="17"/>
      <c r="BF819" s="24"/>
      <c r="BG819" s="61"/>
      <c r="BH819" s="16"/>
      <c r="BI819" s="16"/>
      <c r="BJ819" s="16"/>
      <c r="BK819" s="16"/>
      <c r="BL819" s="16"/>
      <c r="BM819" s="17"/>
      <c r="BQ819" s="24"/>
      <c r="BR819" s="61"/>
      <c r="BS819" s="16"/>
      <c r="BT819" s="16"/>
      <c r="BU819" s="16"/>
      <c r="BV819" s="16"/>
      <c r="BW819" s="16"/>
      <c r="BX819" s="17"/>
      <c r="CB819" s="24"/>
      <c r="CC819" s="61"/>
      <c r="CD819" s="16"/>
      <c r="CE819" s="16"/>
      <c r="CF819" s="16"/>
      <c r="CG819" s="16"/>
      <c r="CH819" s="16"/>
      <c r="CI819" s="17"/>
      <c r="CM819" s="24"/>
      <c r="CN819" s="61"/>
      <c r="CO819" s="16"/>
      <c r="CP819" s="16"/>
      <c r="CQ819" s="16"/>
      <c r="CR819" s="16"/>
      <c r="CS819" s="16"/>
      <c r="CT819" s="17"/>
      <c r="CX819" s="24"/>
      <c r="CY819" s="60"/>
      <c r="CZ819" s="16"/>
      <c r="DA819" s="16"/>
      <c r="DB819" s="16"/>
      <c r="DC819" s="16"/>
      <c r="DD819" s="16"/>
      <c r="DE819" s="17"/>
      <c r="DI819" s="24"/>
      <c r="DJ819" s="60"/>
      <c r="DK819" s="16"/>
      <c r="DL819" s="16"/>
      <c r="DM819" s="16"/>
      <c r="DN819" s="16"/>
      <c r="DO819" s="16"/>
      <c r="DP819" s="17"/>
      <c r="DT819" s="24"/>
      <c r="DU819" s="60"/>
      <c r="DV819" s="16"/>
      <c r="DW819" s="16"/>
      <c r="DX819" s="16"/>
      <c r="DY819" s="16"/>
      <c r="DZ819" s="16"/>
      <c r="EA819" s="17"/>
      <c r="EE819" s="24"/>
      <c r="EF819" s="60"/>
      <c r="EG819" s="16"/>
      <c r="EH819" s="16"/>
      <c r="EI819" s="16"/>
      <c r="EJ819" s="16"/>
      <c r="EK819" s="16"/>
      <c r="EL819" s="17"/>
      <c r="EP819" s="24"/>
      <c r="EQ819" s="60"/>
      <c r="ER819" s="16"/>
      <c r="ES819" s="16"/>
      <c r="ET819" s="16"/>
      <c r="EU819" s="16"/>
      <c r="EV819" s="16"/>
      <c r="EW819" s="17"/>
      <c r="FA819" s="24"/>
      <c r="FB819" s="60"/>
      <c r="FC819" s="16"/>
      <c r="FD819" s="16"/>
      <c r="FE819" s="16"/>
      <c r="FF819" s="16"/>
      <c r="FG819" s="16"/>
      <c r="FH819" s="17"/>
      <c r="FL819" s="24"/>
      <c r="FM819" s="60"/>
      <c r="FN819" s="16"/>
      <c r="FO819" s="16"/>
      <c r="FP819" s="16"/>
      <c r="FQ819" s="16"/>
      <c r="FR819" s="16"/>
      <c r="FS819" s="17"/>
      <c r="FW819" s="24"/>
      <c r="FX819" s="60"/>
      <c r="FY819" s="16"/>
      <c r="FZ819" s="16"/>
      <c r="GA819" s="16"/>
      <c r="GB819" s="16"/>
      <c r="GC819" s="16"/>
      <c r="GD819" s="17"/>
      <c r="GH819" s="24"/>
      <c r="GI819" s="60"/>
      <c r="GJ819" s="16"/>
      <c r="GK819" s="16"/>
      <c r="GL819" s="16"/>
      <c r="GM819" s="16"/>
      <c r="GN819" s="16"/>
      <c r="GO819" s="17"/>
      <c r="GS819" s="24"/>
      <c r="GT819" s="60"/>
      <c r="GU819" s="16"/>
      <c r="GV819" s="16"/>
      <c r="GW819" s="16"/>
      <c r="GX819" s="16"/>
      <c r="GY819" s="16"/>
      <c r="GZ819" s="17"/>
      <c r="HD819" s="24"/>
      <c r="HE819" s="60"/>
      <c r="HF819" s="16"/>
      <c r="HG819" s="16"/>
      <c r="HH819" s="16"/>
      <c r="HI819" s="16"/>
      <c r="HJ819" s="16"/>
      <c r="HK819" s="17"/>
      <c r="HO819" s="24"/>
      <c r="HP819" s="60"/>
      <c r="HQ819" s="16"/>
      <c r="HR819" s="16"/>
      <c r="HS819" s="16"/>
      <c r="HT819" s="16"/>
      <c r="HU819" s="16"/>
      <c r="HV819" s="17"/>
      <c r="HZ819" s="24"/>
      <c r="IA819" s="60"/>
      <c r="IB819" s="16"/>
      <c r="IC819" s="16"/>
      <c r="ID819" s="16"/>
      <c r="IE819" s="16"/>
      <c r="IF819" s="16"/>
      <c r="IG819" s="17"/>
      <c r="IK819" s="24"/>
      <c r="IL819" s="60"/>
      <c r="IM819" s="16"/>
      <c r="IN819" s="16"/>
      <c r="IO819" s="16"/>
      <c r="IP819" s="16"/>
      <c r="IQ819" s="16"/>
      <c r="IR819" s="17"/>
      <c r="IV819" s="24"/>
      <c r="IW819" s="60"/>
      <c r="IX819" s="16"/>
      <c r="IY819" s="16"/>
      <c r="IZ819" s="16"/>
      <c r="JA819" s="16"/>
      <c r="JB819" s="16"/>
      <c r="JC819" s="17"/>
      <c r="JG819" s="24"/>
      <c r="JH819" s="60"/>
      <c r="JI819" s="16"/>
      <c r="JJ819" s="16"/>
      <c r="JK819" s="16"/>
      <c r="JL819" s="16"/>
      <c r="JM819" s="16"/>
      <c r="JN819" s="17"/>
      <c r="JR819" s="24"/>
      <c r="JS819" s="60"/>
      <c r="JT819" s="16"/>
      <c r="JU819" s="16"/>
      <c r="JV819" s="16"/>
      <c r="JW819" s="16"/>
      <c r="JX819" s="16"/>
      <c r="JY819" s="17"/>
      <c r="KC819" s="24"/>
      <c r="KD819" s="60"/>
      <c r="KE819" s="16"/>
      <c r="KF819" s="16"/>
      <c r="KG819" s="16"/>
      <c r="KH819" s="16"/>
      <c r="KI819" s="16"/>
      <c r="KJ819" s="17"/>
      <c r="KN819" s="24"/>
      <c r="KO819" s="60"/>
      <c r="KP819" s="16"/>
      <c r="KQ819" s="16"/>
      <c r="KR819" s="16"/>
      <c r="KS819" s="16"/>
      <c r="KT819" s="16"/>
      <c r="KU819" s="17"/>
      <c r="KY819" s="24"/>
      <c r="KZ819" s="60"/>
      <c r="LA819" s="16"/>
      <c r="LB819" s="16"/>
      <c r="LC819" s="16"/>
      <c r="LD819" s="16"/>
      <c r="LE819" s="16"/>
      <c r="LF819" s="17"/>
      <c r="LJ819" s="24"/>
      <c r="LK819" s="60"/>
      <c r="LL819" s="16"/>
      <c r="LM819" s="16"/>
      <c r="LN819" s="16"/>
      <c r="LO819" s="16"/>
      <c r="LP819" s="16"/>
      <c r="LQ819" s="17"/>
    </row>
    <row r="820">
      <c r="C820" s="31"/>
      <c r="D820" s="61"/>
      <c r="E820" s="16"/>
      <c r="F820" s="16"/>
      <c r="G820" s="21"/>
      <c r="H820" s="16"/>
      <c r="I820" s="16"/>
      <c r="J820" s="17"/>
      <c r="N820" s="17"/>
      <c r="O820" s="61"/>
      <c r="P820" s="16"/>
      <c r="Q820" s="16"/>
      <c r="R820" s="16"/>
      <c r="S820" s="16"/>
      <c r="T820" s="16"/>
      <c r="U820" s="17"/>
      <c r="Y820" s="24"/>
      <c r="Z820" s="61"/>
      <c r="AA820" s="16"/>
      <c r="AB820" s="16"/>
      <c r="AC820" s="16"/>
      <c r="AD820" s="16"/>
      <c r="AE820" s="16"/>
      <c r="AF820" s="17"/>
      <c r="AJ820" s="24"/>
      <c r="AK820" s="61"/>
      <c r="AL820" s="16"/>
      <c r="AM820" s="16"/>
      <c r="AN820" s="16"/>
      <c r="AO820" s="16"/>
      <c r="AP820" s="16"/>
      <c r="AQ820" s="17"/>
      <c r="AU820" s="24"/>
      <c r="AV820" s="61"/>
      <c r="AW820" s="16"/>
      <c r="AX820" s="16"/>
      <c r="AY820" s="16"/>
      <c r="AZ820" s="16"/>
      <c r="BA820" s="16"/>
      <c r="BB820" s="17"/>
      <c r="BF820" s="24"/>
      <c r="BG820" s="61"/>
      <c r="BH820" s="16"/>
      <c r="BI820" s="16"/>
      <c r="BJ820" s="16"/>
      <c r="BK820" s="16"/>
      <c r="BL820" s="16"/>
      <c r="BM820" s="17"/>
      <c r="BQ820" s="24"/>
      <c r="BR820" s="61"/>
      <c r="BS820" s="16"/>
      <c r="BT820" s="16"/>
      <c r="BU820" s="16"/>
      <c r="BV820" s="16"/>
      <c r="BW820" s="16"/>
      <c r="BX820" s="17"/>
      <c r="CB820" s="24"/>
      <c r="CC820" s="61"/>
      <c r="CD820" s="16"/>
      <c r="CE820" s="16"/>
      <c r="CF820" s="16"/>
      <c r="CG820" s="16"/>
      <c r="CH820" s="16"/>
      <c r="CI820" s="17"/>
      <c r="CM820" s="24"/>
      <c r="CN820" s="61"/>
      <c r="CO820" s="16"/>
      <c r="CP820" s="16"/>
      <c r="CQ820" s="16"/>
      <c r="CR820" s="16"/>
      <c r="CS820" s="16"/>
      <c r="CT820" s="17"/>
      <c r="CX820" s="24"/>
      <c r="CY820" s="60"/>
      <c r="CZ820" s="16"/>
      <c r="DA820" s="16"/>
      <c r="DB820" s="16"/>
      <c r="DC820" s="16"/>
      <c r="DD820" s="16"/>
      <c r="DE820" s="17"/>
      <c r="DI820" s="24"/>
      <c r="DJ820" s="60"/>
      <c r="DK820" s="16"/>
      <c r="DL820" s="16"/>
      <c r="DM820" s="16"/>
      <c r="DN820" s="16"/>
      <c r="DO820" s="16"/>
      <c r="DP820" s="17"/>
      <c r="DT820" s="24"/>
      <c r="DU820" s="60"/>
      <c r="DV820" s="16"/>
      <c r="DW820" s="16"/>
      <c r="DX820" s="16"/>
      <c r="DY820" s="16"/>
      <c r="DZ820" s="16"/>
      <c r="EA820" s="17"/>
      <c r="EE820" s="24"/>
      <c r="EF820" s="60"/>
      <c r="EG820" s="16"/>
      <c r="EH820" s="16"/>
      <c r="EI820" s="16"/>
      <c r="EJ820" s="16"/>
      <c r="EK820" s="16"/>
      <c r="EL820" s="17"/>
      <c r="EP820" s="24"/>
      <c r="EQ820" s="60"/>
      <c r="ER820" s="16"/>
      <c r="ES820" s="16"/>
      <c r="ET820" s="16"/>
      <c r="EU820" s="16"/>
      <c r="EV820" s="16"/>
      <c r="EW820" s="17"/>
      <c r="FA820" s="24"/>
      <c r="FB820" s="60"/>
      <c r="FC820" s="16"/>
      <c r="FD820" s="16"/>
      <c r="FE820" s="16"/>
      <c r="FF820" s="16"/>
      <c r="FG820" s="16"/>
      <c r="FH820" s="17"/>
      <c r="FL820" s="24"/>
      <c r="FM820" s="60"/>
      <c r="FN820" s="16"/>
      <c r="FO820" s="16"/>
      <c r="FP820" s="16"/>
      <c r="FQ820" s="16"/>
      <c r="FR820" s="16"/>
      <c r="FS820" s="17"/>
      <c r="FW820" s="24"/>
      <c r="FX820" s="60"/>
      <c r="FY820" s="16"/>
      <c r="FZ820" s="16"/>
      <c r="GA820" s="16"/>
      <c r="GB820" s="16"/>
      <c r="GC820" s="16"/>
      <c r="GD820" s="17"/>
      <c r="GH820" s="24"/>
      <c r="GI820" s="60"/>
      <c r="GJ820" s="16"/>
      <c r="GK820" s="16"/>
      <c r="GL820" s="16"/>
      <c r="GM820" s="16"/>
      <c r="GN820" s="16"/>
      <c r="GO820" s="17"/>
      <c r="GS820" s="24"/>
      <c r="GT820" s="60"/>
      <c r="GU820" s="16"/>
      <c r="GV820" s="16"/>
      <c r="GW820" s="16"/>
      <c r="GX820" s="16"/>
      <c r="GY820" s="16"/>
      <c r="GZ820" s="17"/>
      <c r="HD820" s="24"/>
      <c r="HE820" s="60"/>
      <c r="HF820" s="16"/>
      <c r="HG820" s="16"/>
      <c r="HH820" s="16"/>
      <c r="HI820" s="16"/>
      <c r="HJ820" s="16"/>
      <c r="HK820" s="17"/>
      <c r="HO820" s="24"/>
      <c r="HP820" s="60"/>
      <c r="HQ820" s="16"/>
      <c r="HR820" s="16"/>
      <c r="HS820" s="16"/>
      <c r="HT820" s="16"/>
      <c r="HU820" s="16"/>
      <c r="HV820" s="17"/>
      <c r="HZ820" s="24"/>
      <c r="IA820" s="60"/>
      <c r="IB820" s="16"/>
      <c r="IC820" s="16"/>
      <c r="ID820" s="16"/>
      <c r="IE820" s="16"/>
      <c r="IF820" s="16"/>
      <c r="IG820" s="17"/>
      <c r="IK820" s="24"/>
      <c r="IL820" s="60"/>
      <c r="IM820" s="16"/>
      <c r="IN820" s="16"/>
      <c r="IO820" s="16"/>
      <c r="IP820" s="16"/>
      <c r="IQ820" s="16"/>
      <c r="IR820" s="17"/>
      <c r="IV820" s="24"/>
      <c r="IW820" s="60"/>
      <c r="IX820" s="16"/>
      <c r="IY820" s="16"/>
      <c r="IZ820" s="16"/>
      <c r="JA820" s="16"/>
      <c r="JB820" s="16"/>
      <c r="JC820" s="17"/>
      <c r="JG820" s="24"/>
      <c r="JH820" s="60"/>
      <c r="JI820" s="16"/>
      <c r="JJ820" s="16"/>
      <c r="JK820" s="16"/>
      <c r="JL820" s="16"/>
      <c r="JM820" s="16"/>
      <c r="JN820" s="17"/>
      <c r="JR820" s="24"/>
      <c r="JS820" s="60"/>
      <c r="JT820" s="16"/>
      <c r="JU820" s="16"/>
      <c r="JV820" s="16"/>
      <c r="JW820" s="16"/>
      <c r="JX820" s="16"/>
      <c r="JY820" s="17"/>
      <c r="KC820" s="24"/>
      <c r="KD820" s="60"/>
      <c r="KE820" s="16"/>
      <c r="KF820" s="16"/>
      <c r="KG820" s="16"/>
      <c r="KH820" s="16"/>
      <c r="KI820" s="16"/>
      <c r="KJ820" s="17"/>
      <c r="KN820" s="24"/>
      <c r="KO820" s="60"/>
      <c r="KP820" s="16"/>
      <c r="KQ820" s="16"/>
      <c r="KR820" s="16"/>
      <c r="KS820" s="16"/>
      <c r="KT820" s="16"/>
      <c r="KU820" s="17"/>
      <c r="KY820" s="24"/>
      <c r="KZ820" s="60"/>
      <c r="LA820" s="16"/>
      <c r="LB820" s="16"/>
      <c r="LC820" s="16"/>
      <c r="LD820" s="16"/>
      <c r="LE820" s="16"/>
      <c r="LF820" s="17"/>
      <c r="LJ820" s="24"/>
      <c r="LK820" s="60"/>
      <c r="LL820" s="16"/>
      <c r="LM820" s="16"/>
      <c r="LN820" s="16"/>
      <c r="LO820" s="16"/>
      <c r="LP820" s="16"/>
      <c r="LQ820" s="17"/>
    </row>
    <row r="821">
      <c r="C821" s="31"/>
      <c r="D821" s="61"/>
      <c r="E821" s="16"/>
      <c r="F821" s="16"/>
      <c r="G821" s="21"/>
      <c r="H821" s="16"/>
      <c r="I821" s="16"/>
      <c r="J821" s="17"/>
      <c r="N821" s="17"/>
      <c r="O821" s="61"/>
      <c r="P821" s="16"/>
      <c r="Q821" s="16"/>
      <c r="R821" s="16"/>
      <c r="S821" s="16"/>
      <c r="T821" s="16"/>
      <c r="U821" s="17"/>
      <c r="Y821" s="24"/>
      <c r="Z821" s="61"/>
      <c r="AA821" s="16"/>
      <c r="AB821" s="16"/>
      <c r="AC821" s="16"/>
      <c r="AD821" s="16"/>
      <c r="AE821" s="16"/>
      <c r="AF821" s="17"/>
      <c r="AJ821" s="24"/>
      <c r="AK821" s="61"/>
      <c r="AL821" s="16"/>
      <c r="AM821" s="16"/>
      <c r="AN821" s="16"/>
      <c r="AO821" s="16"/>
      <c r="AP821" s="16"/>
      <c r="AQ821" s="17"/>
      <c r="AU821" s="24"/>
      <c r="AV821" s="61"/>
      <c r="AW821" s="16"/>
      <c r="AX821" s="16"/>
      <c r="AY821" s="16"/>
      <c r="AZ821" s="16"/>
      <c r="BA821" s="16"/>
      <c r="BB821" s="17"/>
      <c r="BF821" s="24"/>
      <c r="BG821" s="61"/>
      <c r="BH821" s="16"/>
      <c r="BI821" s="16"/>
      <c r="BJ821" s="16"/>
      <c r="BK821" s="16"/>
      <c r="BL821" s="16"/>
      <c r="BM821" s="17"/>
      <c r="BQ821" s="24"/>
      <c r="BR821" s="61"/>
      <c r="BS821" s="16"/>
      <c r="BT821" s="16"/>
      <c r="BU821" s="16"/>
      <c r="BV821" s="16"/>
      <c r="BW821" s="16"/>
      <c r="BX821" s="17"/>
      <c r="CB821" s="24"/>
      <c r="CC821" s="61"/>
      <c r="CD821" s="16"/>
      <c r="CE821" s="16"/>
      <c r="CF821" s="16"/>
      <c r="CG821" s="16"/>
      <c r="CH821" s="16"/>
      <c r="CI821" s="17"/>
      <c r="CM821" s="24"/>
      <c r="CN821" s="61"/>
      <c r="CO821" s="16"/>
      <c r="CP821" s="16"/>
      <c r="CQ821" s="16"/>
      <c r="CR821" s="16"/>
      <c r="CS821" s="16"/>
      <c r="CT821" s="17"/>
      <c r="CX821" s="24"/>
      <c r="CY821" s="60"/>
      <c r="CZ821" s="16"/>
      <c r="DA821" s="16"/>
      <c r="DB821" s="16"/>
      <c r="DC821" s="16"/>
      <c r="DD821" s="16"/>
      <c r="DE821" s="17"/>
      <c r="DI821" s="24"/>
      <c r="DJ821" s="60"/>
      <c r="DK821" s="16"/>
      <c r="DL821" s="16"/>
      <c r="DM821" s="16"/>
      <c r="DN821" s="16"/>
      <c r="DO821" s="16"/>
      <c r="DP821" s="17"/>
      <c r="DT821" s="24"/>
      <c r="DU821" s="60"/>
      <c r="DV821" s="16"/>
      <c r="DW821" s="16"/>
      <c r="DX821" s="16"/>
      <c r="DY821" s="16"/>
      <c r="DZ821" s="16"/>
      <c r="EA821" s="17"/>
      <c r="EE821" s="24"/>
      <c r="EF821" s="60"/>
      <c r="EG821" s="16"/>
      <c r="EH821" s="16"/>
      <c r="EI821" s="16"/>
      <c r="EJ821" s="16"/>
      <c r="EK821" s="16"/>
      <c r="EL821" s="17"/>
      <c r="EP821" s="24"/>
      <c r="EQ821" s="60"/>
      <c r="ER821" s="16"/>
      <c r="ES821" s="16"/>
      <c r="ET821" s="16"/>
      <c r="EU821" s="16"/>
      <c r="EV821" s="16"/>
      <c r="EW821" s="17"/>
      <c r="FA821" s="24"/>
      <c r="FB821" s="60"/>
      <c r="FC821" s="16"/>
      <c r="FD821" s="16"/>
      <c r="FE821" s="16"/>
      <c r="FF821" s="16"/>
      <c r="FG821" s="16"/>
      <c r="FH821" s="17"/>
      <c r="FL821" s="24"/>
      <c r="FM821" s="60"/>
      <c r="FN821" s="16"/>
      <c r="FO821" s="16"/>
      <c r="FP821" s="16"/>
      <c r="FQ821" s="16"/>
      <c r="FR821" s="16"/>
      <c r="FS821" s="17"/>
      <c r="FW821" s="24"/>
      <c r="FX821" s="60"/>
      <c r="FY821" s="16"/>
      <c r="FZ821" s="16"/>
      <c r="GA821" s="16"/>
      <c r="GB821" s="16"/>
      <c r="GC821" s="16"/>
      <c r="GD821" s="17"/>
      <c r="GH821" s="24"/>
      <c r="GI821" s="60"/>
      <c r="GJ821" s="16"/>
      <c r="GK821" s="16"/>
      <c r="GL821" s="16"/>
      <c r="GM821" s="16"/>
      <c r="GN821" s="16"/>
      <c r="GO821" s="17"/>
      <c r="GS821" s="24"/>
      <c r="GT821" s="60"/>
      <c r="GU821" s="16"/>
      <c r="GV821" s="16"/>
      <c r="GW821" s="16"/>
      <c r="GX821" s="16"/>
      <c r="GY821" s="16"/>
      <c r="GZ821" s="17"/>
      <c r="HD821" s="24"/>
      <c r="HE821" s="60"/>
      <c r="HF821" s="16"/>
      <c r="HG821" s="16"/>
      <c r="HH821" s="16"/>
      <c r="HI821" s="16"/>
      <c r="HJ821" s="16"/>
      <c r="HK821" s="17"/>
      <c r="HO821" s="24"/>
      <c r="HP821" s="60"/>
      <c r="HQ821" s="16"/>
      <c r="HR821" s="16"/>
      <c r="HS821" s="16"/>
      <c r="HT821" s="16"/>
      <c r="HU821" s="16"/>
      <c r="HV821" s="17"/>
      <c r="HZ821" s="24"/>
      <c r="IA821" s="60"/>
      <c r="IB821" s="16"/>
      <c r="IC821" s="16"/>
      <c r="ID821" s="16"/>
      <c r="IE821" s="16"/>
      <c r="IF821" s="16"/>
      <c r="IG821" s="17"/>
      <c r="IK821" s="24"/>
      <c r="IL821" s="60"/>
      <c r="IM821" s="16"/>
      <c r="IN821" s="16"/>
      <c r="IO821" s="16"/>
      <c r="IP821" s="16"/>
      <c r="IQ821" s="16"/>
      <c r="IR821" s="17"/>
      <c r="IV821" s="24"/>
      <c r="IW821" s="60"/>
      <c r="IX821" s="16"/>
      <c r="IY821" s="16"/>
      <c r="IZ821" s="16"/>
      <c r="JA821" s="16"/>
      <c r="JB821" s="16"/>
      <c r="JC821" s="17"/>
      <c r="JG821" s="24"/>
      <c r="JH821" s="60"/>
      <c r="JI821" s="16"/>
      <c r="JJ821" s="16"/>
      <c r="JK821" s="16"/>
      <c r="JL821" s="16"/>
      <c r="JM821" s="16"/>
      <c r="JN821" s="17"/>
      <c r="JR821" s="24"/>
      <c r="JS821" s="60"/>
      <c r="JT821" s="16"/>
      <c r="JU821" s="16"/>
      <c r="JV821" s="16"/>
      <c r="JW821" s="16"/>
      <c r="JX821" s="16"/>
      <c r="JY821" s="17"/>
      <c r="KC821" s="24"/>
      <c r="KD821" s="60"/>
      <c r="KE821" s="16"/>
      <c r="KF821" s="16"/>
      <c r="KG821" s="16"/>
      <c r="KH821" s="16"/>
      <c r="KI821" s="16"/>
      <c r="KJ821" s="17"/>
      <c r="KN821" s="24"/>
      <c r="KO821" s="60"/>
      <c r="KP821" s="16"/>
      <c r="KQ821" s="16"/>
      <c r="KR821" s="16"/>
      <c r="KS821" s="16"/>
      <c r="KT821" s="16"/>
      <c r="KU821" s="17"/>
      <c r="KY821" s="24"/>
      <c r="KZ821" s="60"/>
      <c r="LA821" s="16"/>
      <c r="LB821" s="16"/>
      <c r="LC821" s="16"/>
      <c r="LD821" s="16"/>
      <c r="LE821" s="16"/>
      <c r="LF821" s="17"/>
      <c r="LJ821" s="24"/>
      <c r="LK821" s="60"/>
      <c r="LL821" s="16"/>
      <c r="LM821" s="16"/>
      <c r="LN821" s="16"/>
      <c r="LO821" s="16"/>
      <c r="LP821" s="16"/>
      <c r="LQ821" s="17"/>
    </row>
    <row r="822">
      <c r="C822" s="31"/>
      <c r="D822" s="61"/>
      <c r="E822" s="16"/>
      <c r="F822" s="16"/>
      <c r="G822" s="21"/>
      <c r="H822" s="16"/>
      <c r="I822" s="16"/>
      <c r="J822" s="17"/>
      <c r="N822" s="17"/>
      <c r="O822" s="61"/>
      <c r="P822" s="16"/>
      <c r="Q822" s="16"/>
      <c r="R822" s="16"/>
      <c r="S822" s="16"/>
      <c r="T822" s="16"/>
      <c r="U822" s="17"/>
      <c r="Y822" s="24"/>
      <c r="Z822" s="61"/>
      <c r="AA822" s="16"/>
      <c r="AB822" s="16"/>
      <c r="AC822" s="16"/>
      <c r="AD822" s="16"/>
      <c r="AE822" s="16"/>
      <c r="AF822" s="17"/>
      <c r="AJ822" s="24"/>
      <c r="AK822" s="61"/>
      <c r="AL822" s="16"/>
      <c r="AM822" s="16"/>
      <c r="AN822" s="16"/>
      <c r="AO822" s="16"/>
      <c r="AP822" s="16"/>
      <c r="AQ822" s="17"/>
      <c r="AU822" s="24"/>
      <c r="AV822" s="61"/>
      <c r="AW822" s="16"/>
      <c r="AX822" s="16"/>
      <c r="AY822" s="16"/>
      <c r="AZ822" s="16"/>
      <c r="BA822" s="16"/>
      <c r="BB822" s="17"/>
      <c r="BF822" s="24"/>
      <c r="BG822" s="61"/>
      <c r="BH822" s="16"/>
      <c r="BI822" s="16"/>
      <c r="BJ822" s="16"/>
      <c r="BK822" s="16"/>
      <c r="BL822" s="16"/>
      <c r="BM822" s="17"/>
      <c r="BQ822" s="24"/>
      <c r="BR822" s="61"/>
      <c r="BS822" s="16"/>
      <c r="BT822" s="16"/>
      <c r="BU822" s="16"/>
      <c r="BV822" s="16"/>
      <c r="BW822" s="16"/>
      <c r="BX822" s="17"/>
      <c r="CB822" s="24"/>
      <c r="CC822" s="61"/>
      <c r="CD822" s="16"/>
      <c r="CE822" s="16"/>
      <c r="CF822" s="16"/>
      <c r="CG822" s="16"/>
      <c r="CH822" s="16"/>
      <c r="CI822" s="17"/>
      <c r="CM822" s="24"/>
      <c r="CN822" s="61"/>
      <c r="CO822" s="16"/>
      <c r="CP822" s="16"/>
      <c r="CQ822" s="16"/>
      <c r="CR822" s="16"/>
      <c r="CS822" s="16"/>
      <c r="CT822" s="17"/>
      <c r="CX822" s="24"/>
      <c r="CY822" s="60"/>
      <c r="CZ822" s="16"/>
      <c r="DA822" s="16"/>
      <c r="DB822" s="16"/>
      <c r="DC822" s="16"/>
      <c r="DD822" s="16"/>
      <c r="DE822" s="17"/>
      <c r="DI822" s="24"/>
      <c r="DJ822" s="60"/>
      <c r="DK822" s="16"/>
      <c r="DL822" s="16"/>
      <c r="DM822" s="16"/>
      <c r="DN822" s="16"/>
      <c r="DO822" s="16"/>
      <c r="DP822" s="17"/>
      <c r="DT822" s="24"/>
      <c r="DU822" s="60"/>
      <c r="DV822" s="16"/>
      <c r="DW822" s="16"/>
      <c r="DX822" s="16"/>
      <c r="DY822" s="16"/>
      <c r="DZ822" s="16"/>
      <c r="EA822" s="17"/>
      <c r="EE822" s="24"/>
      <c r="EF822" s="60"/>
      <c r="EG822" s="16"/>
      <c r="EH822" s="16"/>
      <c r="EI822" s="16"/>
      <c r="EJ822" s="16"/>
      <c r="EK822" s="16"/>
      <c r="EL822" s="17"/>
      <c r="EP822" s="24"/>
      <c r="EQ822" s="60"/>
      <c r="ER822" s="16"/>
      <c r="ES822" s="16"/>
      <c r="ET822" s="16"/>
      <c r="EU822" s="16"/>
      <c r="EV822" s="16"/>
      <c r="EW822" s="17"/>
      <c r="FA822" s="24"/>
      <c r="FB822" s="60"/>
      <c r="FC822" s="16"/>
      <c r="FD822" s="16"/>
      <c r="FE822" s="16"/>
      <c r="FF822" s="16"/>
      <c r="FG822" s="16"/>
      <c r="FH822" s="17"/>
      <c r="FL822" s="24"/>
      <c r="FM822" s="60"/>
      <c r="FN822" s="16"/>
      <c r="FO822" s="16"/>
      <c r="FP822" s="16"/>
      <c r="FQ822" s="16"/>
      <c r="FR822" s="16"/>
      <c r="FS822" s="17"/>
      <c r="FW822" s="24"/>
      <c r="FX822" s="60"/>
      <c r="FY822" s="16"/>
      <c r="FZ822" s="16"/>
      <c r="GA822" s="16"/>
      <c r="GB822" s="16"/>
      <c r="GC822" s="16"/>
      <c r="GD822" s="17"/>
      <c r="GH822" s="24"/>
      <c r="GI822" s="60"/>
      <c r="GJ822" s="16"/>
      <c r="GK822" s="16"/>
      <c r="GL822" s="16"/>
      <c r="GM822" s="16"/>
      <c r="GN822" s="16"/>
      <c r="GO822" s="17"/>
      <c r="GS822" s="24"/>
      <c r="GT822" s="60"/>
      <c r="GU822" s="16"/>
      <c r="GV822" s="16"/>
      <c r="GW822" s="16"/>
      <c r="GX822" s="16"/>
      <c r="GY822" s="16"/>
      <c r="GZ822" s="17"/>
      <c r="HD822" s="24"/>
      <c r="HE822" s="60"/>
      <c r="HF822" s="16"/>
      <c r="HG822" s="16"/>
      <c r="HH822" s="16"/>
      <c r="HI822" s="16"/>
      <c r="HJ822" s="16"/>
      <c r="HK822" s="17"/>
      <c r="HO822" s="24"/>
      <c r="HP822" s="60"/>
      <c r="HQ822" s="16"/>
      <c r="HR822" s="16"/>
      <c r="HS822" s="16"/>
      <c r="HT822" s="16"/>
      <c r="HU822" s="16"/>
      <c r="HV822" s="17"/>
      <c r="HZ822" s="24"/>
      <c r="IA822" s="60"/>
      <c r="IB822" s="16"/>
      <c r="IC822" s="16"/>
      <c r="ID822" s="16"/>
      <c r="IE822" s="16"/>
      <c r="IF822" s="16"/>
      <c r="IG822" s="17"/>
      <c r="IK822" s="24"/>
      <c r="IL822" s="60"/>
      <c r="IM822" s="16"/>
      <c r="IN822" s="16"/>
      <c r="IO822" s="16"/>
      <c r="IP822" s="16"/>
      <c r="IQ822" s="16"/>
      <c r="IR822" s="17"/>
      <c r="IV822" s="24"/>
      <c r="IW822" s="60"/>
      <c r="IX822" s="16"/>
      <c r="IY822" s="16"/>
      <c r="IZ822" s="16"/>
      <c r="JA822" s="16"/>
      <c r="JB822" s="16"/>
      <c r="JC822" s="17"/>
      <c r="JG822" s="24"/>
      <c r="JH822" s="60"/>
      <c r="JI822" s="16"/>
      <c r="JJ822" s="16"/>
      <c r="JK822" s="16"/>
      <c r="JL822" s="16"/>
      <c r="JM822" s="16"/>
      <c r="JN822" s="17"/>
      <c r="JR822" s="24"/>
      <c r="JS822" s="60"/>
      <c r="JT822" s="16"/>
      <c r="JU822" s="16"/>
      <c r="JV822" s="16"/>
      <c r="JW822" s="16"/>
      <c r="JX822" s="16"/>
      <c r="JY822" s="17"/>
      <c r="KC822" s="24"/>
      <c r="KD822" s="60"/>
      <c r="KE822" s="16"/>
      <c r="KF822" s="16"/>
      <c r="KG822" s="16"/>
      <c r="KH822" s="16"/>
      <c r="KI822" s="16"/>
      <c r="KJ822" s="17"/>
      <c r="KN822" s="24"/>
      <c r="KO822" s="60"/>
      <c r="KP822" s="16"/>
      <c r="KQ822" s="16"/>
      <c r="KR822" s="16"/>
      <c r="KS822" s="16"/>
      <c r="KT822" s="16"/>
      <c r="KU822" s="17"/>
      <c r="KY822" s="24"/>
      <c r="KZ822" s="60"/>
      <c r="LA822" s="16"/>
      <c r="LB822" s="16"/>
      <c r="LC822" s="16"/>
      <c r="LD822" s="16"/>
      <c r="LE822" s="16"/>
      <c r="LF822" s="17"/>
      <c r="LJ822" s="24"/>
      <c r="LK822" s="60"/>
      <c r="LL822" s="16"/>
      <c r="LM822" s="16"/>
      <c r="LN822" s="16"/>
      <c r="LO822" s="16"/>
      <c r="LP822" s="16"/>
      <c r="LQ822" s="17"/>
    </row>
    <row r="823">
      <c r="C823" s="31"/>
      <c r="D823" s="61"/>
      <c r="E823" s="16"/>
      <c r="F823" s="16"/>
      <c r="G823" s="21"/>
      <c r="H823" s="16"/>
      <c r="I823" s="16"/>
      <c r="J823" s="17"/>
      <c r="N823" s="17"/>
      <c r="O823" s="61"/>
      <c r="P823" s="16"/>
      <c r="Q823" s="16"/>
      <c r="R823" s="16"/>
      <c r="S823" s="16"/>
      <c r="T823" s="16"/>
      <c r="U823" s="17"/>
      <c r="Y823" s="24"/>
      <c r="Z823" s="61"/>
      <c r="AA823" s="16"/>
      <c r="AB823" s="16"/>
      <c r="AC823" s="16"/>
      <c r="AD823" s="16"/>
      <c r="AE823" s="16"/>
      <c r="AF823" s="17"/>
      <c r="AJ823" s="24"/>
      <c r="AK823" s="61"/>
      <c r="AL823" s="16"/>
      <c r="AM823" s="16"/>
      <c r="AN823" s="16"/>
      <c r="AO823" s="16"/>
      <c r="AP823" s="16"/>
      <c r="AQ823" s="17"/>
      <c r="AU823" s="24"/>
      <c r="AV823" s="61"/>
      <c r="AW823" s="16"/>
      <c r="AX823" s="16"/>
      <c r="AY823" s="16"/>
      <c r="AZ823" s="16"/>
      <c r="BA823" s="16"/>
      <c r="BB823" s="17"/>
      <c r="BF823" s="24"/>
      <c r="BG823" s="61"/>
      <c r="BH823" s="16"/>
      <c r="BI823" s="16"/>
      <c r="BJ823" s="16"/>
      <c r="BK823" s="16"/>
      <c r="BL823" s="16"/>
      <c r="BM823" s="17"/>
      <c r="BQ823" s="24"/>
      <c r="BR823" s="61"/>
      <c r="BS823" s="16"/>
      <c r="BT823" s="16"/>
      <c r="BU823" s="16"/>
      <c r="BV823" s="16"/>
      <c r="BW823" s="16"/>
      <c r="BX823" s="17"/>
      <c r="CB823" s="24"/>
      <c r="CC823" s="61"/>
      <c r="CD823" s="16"/>
      <c r="CE823" s="16"/>
      <c r="CF823" s="16"/>
      <c r="CG823" s="16"/>
      <c r="CH823" s="16"/>
      <c r="CI823" s="17"/>
      <c r="CM823" s="24"/>
      <c r="CN823" s="61"/>
      <c r="CO823" s="16"/>
      <c r="CP823" s="16"/>
      <c r="CQ823" s="16"/>
      <c r="CR823" s="16"/>
      <c r="CS823" s="16"/>
      <c r="CT823" s="17"/>
      <c r="CX823" s="24"/>
      <c r="CY823" s="60"/>
      <c r="CZ823" s="16"/>
      <c r="DA823" s="16"/>
      <c r="DB823" s="16"/>
      <c r="DC823" s="16"/>
      <c r="DD823" s="16"/>
      <c r="DE823" s="17"/>
      <c r="DI823" s="24"/>
      <c r="DJ823" s="60"/>
      <c r="DK823" s="16"/>
      <c r="DL823" s="16"/>
      <c r="DM823" s="16"/>
      <c r="DN823" s="16"/>
      <c r="DO823" s="16"/>
      <c r="DP823" s="17"/>
      <c r="DT823" s="24"/>
      <c r="DU823" s="60"/>
      <c r="DV823" s="16"/>
      <c r="DW823" s="16"/>
      <c r="DX823" s="16"/>
      <c r="DY823" s="16"/>
      <c r="DZ823" s="16"/>
      <c r="EA823" s="17"/>
      <c r="EE823" s="24"/>
      <c r="EF823" s="60"/>
      <c r="EG823" s="16"/>
      <c r="EH823" s="16"/>
      <c r="EI823" s="16"/>
      <c r="EJ823" s="16"/>
      <c r="EK823" s="16"/>
      <c r="EL823" s="17"/>
      <c r="EP823" s="24"/>
      <c r="EQ823" s="60"/>
      <c r="ER823" s="16"/>
      <c r="ES823" s="16"/>
      <c r="ET823" s="16"/>
      <c r="EU823" s="16"/>
      <c r="EV823" s="16"/>
      <c r="EW823" s="17"/>
      <c r="FA823" s="24"/>
      <c r="FB823" s="60"/>
      <c r="FC823" s="16"/>
      <c r="FD823" s="16"/>
      <c r="FE823" s="16"/>
      <c r="FF823" s="16"/>
      <c r="FG823" s="16"/>
      <c r="FH823" s="17"/>
      <c r="FL823" s="24"/>
      <c r="FM823" s="60"/>
      <c r="FN823" s="16"/>
      <c r="FO823" s="16"/>
      <c r="FP823" s="16"/>
      <c r="FQ823" s="16"/>
      <c r="FR823" s="16"/>
      <c r="FS823" s="17"/>
      <c r="FW823" s="24"/>
      <c r="FX823" s="60"/>
      <c r="FY823" s="16"/>
      <c r="FZ823" s="16"/>
      <c r="GA823" s="16"/>
      <c r="GB823" s="16"/>
      <c r="GC823" s="16"/>
      <c r="GD823" s="17"/>
      <c r="GH823" s="24"/>
      <c r="GI823" s="60"/>
      <c r="GJ823" s="16"/>
      <c r="GK823" s="16"/>
      <c r="GL823" s="16"/>
      <c r="GM823" s="16"/>
      <c r="GN823" s="16"/>
      <c r="GO823" s="17"/>
      <c r="GS823" s="24"/>
      <c r="GT823" s="60"/>
      <c r="GU823" s="16"/>
      <c r="GV823" s="16"/>
      <c r="GW823" s="16"/>
      <c r="GX823" s="16"/>
      <c r="GY823" s="16"/>
      <c r="GZ823" s="17"/>
      <c r="HD823" s="24"/>
      <c r="HE823" s="60"/>
      <c r="HF823" s="16"/>
      <c r="HG823" s="16"/>
      <c r="HH823" s="16"/>
      <c r="HI823" s="16"/>
      <c r="HJ823" s="16"/>
      <c r="HK823" s="17"/>
      <c r="HO823" s="24"/>
      <c r="HP823" s="60"/>
      <c r="HQ823" s="16"/>
      <c r="HR823" s="16"/>
      <c r="HS823" s="16"/>
      <c r="HT823" s="16"/>
      <c r="HU823" s="16"/>
      <c r="HV823" s="17"/>
      <c r="HZ823" s="24"/>
      <c r="IA823" s="60"/>
      <c r="IB823" s="16"/>
      <c r="IC823" s="16"/>
      <c r="ID823" s="16"/>
      <c r="IE823" s="16"/>
      <c r="IF823" s="16"/>
      <c r="IG823" s="17"/>
      <c r="IK823" s="24"/>
      <c r="IL823" s="60"/>
      <c r="IM823" s="16"/>
      <c r="IN823" s="16"/>
      <c r="IO823" s="16"/>
      <c r="IP823" s="16"/>
      <c r="IQ823" s="16"/>
      <c r="IR823" s="17"/>
      <c r="IV823" s="24"/>
      <c r="IW823" s="60"/>
      <c r="IX823" s="16"/>
      <c r="IY823" s="16"/>
      <c r="IZ823" s="16"/>
      <c r="JA823" s="16"/>
      <c r="JB823" s="16"/>
      <c r="JC823" s="17"/>
      <c r="JG823" s="24"/>
      <c r="JH823" s="60"/>
      <c r="JI823" s="16"/>
      <c r="JJ823" s="16"/>
      <c r="JK823" s="16"/>
      <c r="JL823" s="16"/>
      <c r="JM823" s="16"/>
      <c r="JN823" s="17"/>
      <c r="JR823" s="24"/>
      <c r="JS823" s="60"/>
      <c r="JT823" s="16"/>
      <c r="JU823" s="16"/>
      <c r="JV823" s="16"/>
      <c r="JW823" s="16"/>
      <c r="JX823" s="16"/>
      <c r="JY823" s="17"/>
      <c r="KC823" s="24"/>
      <c r="KD823" s="60"/>
      <c r="KE823" s="16"/>
      <c r="KF823" s="16"/>
      <c r="KG823" s="16"/>
      <c r="KH823" s="16"/>
      <c r="KI823" s="16"/>
      <c r="KJ823" s="17"/>
      <c r="KN823" s="24"/>
      <c r="KO823" s="60"/>
      <c r="KP823" s="16"/>
      <c r="KQ823" s="16"/>
      <c r="KR823" s="16"/>
      <c r="KS823" s="16"/>
      <c r="KT823" s="16"/>
      <c r="KU823" s="17"/>
      <c r="KY823" s="24"/>
      <c r="KZ823" s="60"/>
      <c r="LA823" s="16"/>
      <c r="LB823" s="16"/>
      <c r="LC823" s="16"/>
      <c r="LD823" s="16"/>
      <c r="LE823" s="16"/>
      <c r="LF823" s="17"/>
      <c r="LJ823" s="24"/>
      <c r="LK823" s="60"/>
      <c r="LL823" s="16"/>
      <c r="LM823" s="16"/>
      <c r="LN823" s="16"/>
      <c r="LO823" s="16"/>
      <c r="LP823" s="16"/>
      <c r="LQ823" s="17"/>
    </row>
    <row r="824">
      <c r="C824" s="31"/>
      <c r="D824" s="61"/>
      <c r="E824" s="16"/>
      <c r="F824" s="16"/>
      <c r="G824" s="21"/>
      <c r="H824" s="16"/>
      <c r="I824" s="16"/>
      <c r="J824" s="17"/>
      <c r="N824" s="17"/>
      <c r="O824" s="61"/>
      <c r="P824" s="16"/>
      <c r="Q824" s="16"/>
      <c r="R824" s="16"/>
      <c r="S824" s="16"/>
      <c r="T824" s="16"/>
      <c r="U824" s="17"/>
      <c r="Y824" s="24"/>
      <c r="Z824" s="61"/>
      <c r="AA824" s="16"/>
      <c r="AB824" s="16"/>
      <c r="AC824" s="16"/>
      <c r="AD824" s="16"/>
      <c r="AE824" s="16"/>
      <c r="AF824" s="17"/>
      <c r="AJ824" s="24"/>
      <c r="AK824" s="61"/>
      <c r="AL824" s="16"/>
      <c r="AM824" s="16"/>
      <c r="AN824" s="16"/>
      <c r="AO824" s="16"/>
      <c r="AP824" s="16"/>
      <c r="AQ824" s="17"/>
      <c r="AU824" s="24"/>
      <c r="AV824" s="61"/>
      <c r="AW824" s="16"/>
      <c r="AX824" s="16"/>
      <c r="AY824" s="16"/>
      <c r="AZ824" s="16"/>
      <c r="BA824" s="16"/>
      <c r="BB824" s="17"/>
      <c r="BF824" s="24"/>
      <c r="BG824" s="61"/>
      <c r="BH824" s="16"/>
      <c r="BI824" s="16"/>
      <c r="BJ824" s="16"/>
      <c r="BK824" s="16"/>
      <c r="BL824" s="16"/>
      <c r="BM824" s="17"/>
      <c r="BQ824" s="24"/>
      <c r="BR824" s="61"/>
      <c r="BS824" s="16"/>
      <c r="BT824" s="16"/>
      <c r="BU824" s="16"/>
      <c r="BV824" s="16"/>
      <c r="BW824" s="16"/>
      <c r="BX824" s="17"/>
      <c r="CB824" s="24"/>
      <c r="CC824" s="61"/>
      <c r="CD824" s="16"/>
      <c r="CE824" s="16"/>
      <c r="CF824" s="16"/>
      <c r="CG824" s="16"/>
      <c r="CH824" s="16"/>
      <c r="CI824" s="17"/>
      <c r="CM824" s="24"/>
      <c r="CN824" s="61"/>
      <c r="CO824" s="16"/>
      <c r="CP824" s="16"/>
      <c r="CQ824" s="16"/>
      <c r="CR824" s="16"/>
      <c r="CS824" s="16"/>
      <c r="CT824" s="17"/>
      <c r="CX824" s="24"/>
      <c r="CY824" s="60"/>
      <c r="CZ824" s="16"/>
      <c r="DA824" s="16"/>
      <c r="DB824" s="16"/>
      <c r="DC824" s="16"/>
      <c r="DD824" s="16"/>
      <c r="DE824" s="17"/>
      <c r="DI824" s="24"/>
      <c r="DJ824" s="60"/>
      <c r="DK824" s="16"/>
      <c r="DL824" s="16"/>
      <c r="DM824" s="16"/>
      <c r="DN824" s="16"/>
      <c r="DO824" s="16"/>
      <c r="DP824" s="17"/>
      <c r="DT824" s="24"/>
      <c r="DU824" s="60"/>
      <c r="DV824" s="16"/>
      <c r="DW824" s="16"/>
      <c r="DX824" s="16"/>
      <c r="DY824" s="16"/>
      <c r="DZ824" s="16"/>
      <c r="EA824" s="17"/>
      <c r="EE824" s="24"/>
      <c r="EF824" s="60"/>
      <c r="EG824" s="16"/>
      <c r="EH824" s="16"/>
      <c r="EI824" s="16"/>
      <c r="EJ824" s="16"/>
      <c r="EK824" s="16"/>
      <c r="EL824" s="17"/>
      <c r="EP824" s="24"/>
      <c r="EQ824" s="60"/>
      <c r="ER824" s="16"/>
      <c r="ES824" s="16"/>
      <c r="ET824" s="16"/>
      <c r="EU824" s="16"/>
      <c r="EV824" s="16"/>
      <c r="EW824" s="17"/>
      <c r="FA824" s="24"/>
      <c r="FB824" s="60"/>
      <c r="FC824" s="16"/>
      <c r="FD824" s="16"/>
      <c r="FE824" s="16"/>
      <c r="FF824" s="16"/>
      <c r="FG824" s="16"/>
      <c r="FH824" s="17"/>
      <c r="FL824" s="24"/>
      <c r="FM824" s="60"/>
      <c r="FN824" s="16"/>
      <c r="FO824" s="16"/>
      <c r="FP824" s="16"/>
      <c r="FQ824" s="16"/>
      <c r="FR824" s="16"/>
      <c r="FS824" s="17"/>
      <c r="FW824" s="24"/>
      <c r="FX824" s="60"/>
      <c r="FY824" s="16"/>
      <c r="FZ824" s="16"/>
      <c r="GA824" s="16"/>
      <c r="GB824" s="16"/>
      <c r="GC824" s="16"/>
      <c r="GD824" s="17"/>
      <c r="GH824" s="24"/>
      <c r="GI824" s="60"/>
      <c r="GJ824" s="16"/>
      <c r="GK824" s="16"/>
      <c r="GL824" s="16"/>
      <c r="GM824" s="16"/>
      <c r="GN824" s="16"/>
      <c r="GO824" s="17"/>
      <c r="GS824" s="24"/>
      <c r="GT824" s="60"/>
      <c r="GU824" s="16"/>
      <c r="GV824" s="16"/>
      <c r="GW824" s="16"/>
      <c r="GX824" s="16"/>
      <c r="GY824" s="16"/>
      <c r="GZ824" s="17"/>
      <c r="HD824" s="24"/>
      <c r="HE824" s="60"/>
      <c r="HF824" s="16"/>
      <c r="HG824" s="16"/>
      <c r="HH824" s="16"/>
      <c r="HI824" s="16"/>
      <c r="HJ824" s="16"/>
      <c r="HK824" s="17"/>
      <c r="HO824" s="24"/>
      <c r="HP824" s="60"/>
      <c r="HQ824" s="16"/>
      <c r="HR824" s="16"/>
      <c r="HS824" s="16"/>
      <c r="HT824" s="16"/>
      <c r="HU824" s="16"/>
      <c r="HV824" s="17"/>
      <c r="HZ824" s="24"/>
      <c r="IA824" s="60"/>
      <c r="IB824" s="16"/>
      <c r="IC824" s="16"/>
      <c r="ID824" s="16"/>
      <c r="IE824" s="16"/>
      <c r="IF824" s="16"/>
      <c r="IG824" s="17"/>
      <c r="IK824" s="24"/>
      <c r="IL824" s="60"/>
      <c r="IM824" s="16"/>
      <c r="IN824" s="16"/>
      <c r="IO824" s="16"/>
      <c r="IP824" s="16"/>
      <c r="IQ824" s="16"/>
      <c r="IR824" s="17"/>
      <c r="IV824" s="24"/>
      <c r="IW824" s="60"/>
      <c r="IX824" s="16"/>
      <c r="IY824" s="16"/>
      <c r="IZ824" s="16"/>
      <c r="JA824" s="16"/>
      <c r="JB824" s="16"/>
      <c r="JC824" s="17"/>
      <c r="JG824" s="24"/>
      <c r="JH824" s="60"/>
      <c r="JI824" s="16"/>
      <c r="JJ824" s="16"/>
      <c r="JK824" s="16"/>
      <c r="JL824" s="16"/>
      <c r="JM824" s="16"/>
      <c r="JN824" s="17"/>
      <c r="JR824" s="24"/>
      <c r="JS824" s="60"/>
      <c r="JT824" s="16"/>
      <c r="JU824" s="16"/>
      <c r="JV824" s="16"/>
      <c r="JW824" s="16"/>
      <c r="JX824" s="16"/>
      <c r="JY824" s="17"/>
      <c r="KC824" s="24"/>
      <c r="KD824" s="60"/>
      <c r="KE824" s="16"/>
      <c r="KF824" s="16"/>
      <c r="KG824" s="16"/>
      <c r="KH824" s="16"/>
      <c r="KI824" s="16"/>
      <c r="KJ824" s="17"/>
      <c r="KN824" s="24"/>
      <c r="KO824" s="60"/>
      <c r="KP824" s="16"/>
      <c r="KQ824" s="16"/>
      <c r="KR824" s="16"/>
      <c r="KS824" s="16"/>
      <c r="KT824" s="16"/>
      <c r="KU824" s="17"/>
      <c r="KY824" s="24"/>
      <c r="KZ824" s="60"/>
      <c r="LA824" s="16"/>
      <c r="LB824" s="16"/>
      <c r="LC824" s="16"/>
      <c r="LD824" s="16"/>
      <c r="LE824" s="16"/>
      <c r="LF824" s="17"/>
      <c r="LJ824" s="24"/>
      <c r="LK824" s="60"/>
      <c r="LL824" s="16"/>
      <c r="LM824" s="16"/>
      <c r="LN824" s="16"/>
      <c r="LO824" s="16"/>
      <c r="LP824" s="16"/>
      <c r="LQ824" s="17"/>
    </row>
    <row r="825">
      <c r="C825" s="31"/>
      <c r="D825" s="61"/>
      <c r="E825" s="16"/>
      <c r="F825" s="16"/>
      <c r="G825" s="21"/>
      <c r="H825" s="16"/>
      <c r="I825" s="16"/>
      <c r="J825" s="17"/>
      <c r="N825" s="17"/>
      <c r="O825" s="61"/>
      <c r="P825" s="16"/>
      <c r="Q825" s="16"/>
      <c r="R825" s="16"/>
      <c r="S825" s="16"/>
      <c r="T825" s="16"/>
      <c r="U825" s="17"/>
      <c r="Y825" s="24"/>
      <c r="Z825" s="61"/>
      <c r="AA825" s="16"/>
      <c r="AB825" s="16"/>
      <c r="AC825" s="16"/>
      <c r="AD825" s="16"/>
      <c r="AE825" s="16"/>
      <c r="AF825" s="17"/>
      <c r="AJ825" s="24"/>
      <c r="AK825" s="61"/>
      <c r="AL825" s="16"/>
      <c r="AM825" s="16"/>
      <c r="AN825" s="16"/>
      <c r="AO825" s="16"/>
      <c r="AP825" s="16"/>
      <c r="AQ825" s="17"/>
      <c r="AU825" s="24"/>
      <c r="AV825" s="61"/>
      <c r="AW825" s="16"/>
      <c r="AX825" s="16"/>
      <c r="AY825" s="16"/>
      <c r="AZ825" s="16"/>
      <c r="BA825" s="16"/>
      <c r="BB825" s="17"/>
      <c r="BF825" s="24"/>
      <c r="BG825" s="61"/>
      <c r="BH825" s="16"/>
      <c r="BI825" s="16"/>
      <c r="BJ825" s="16"/>
      <c r="BK825" s="16"/>
      <c r="BL825" s="16"/>
      <c r="BM825" s="17"/>
      <c r="BQ825" s="24"/>
      <c r="BR825" s="61"/>
      <c r="BS825" s="16"/>
      <c r="BT825" s="16"/>
      <c r="BU825" s="16"/>
      <c r="BV825" s="16"/>
      <c r="BW825" s="16"/>
      <c r="BX825" s="17"/>
      <c r="CB825" s="24"/>
      <c r="CC825" s="61"/>
      <c r="CD825" s="16"/>
      <c r="CE825" s="16"/>
      <c r="CF825" s="16"/>
      <c r="CG825" s="16"/>
      <c r="CH825" s="16"/>
      <c r="CI825" s="17"/>
      <c r="CM825" s="24"/>
      <c r="CN825" s="61"/>
      <c r="CO825" s="16"/>
      <c r="CP825" s="16"/>
      <c r="CQ825" s="16"/>
      <c r="CR825" s="16"/>
      <c r="CS825" s="16"/>
      <c r="CT825" s="17"/>
      <c r="CX825" s="24"/>
      <c r="CY825" s="60"/>
      <c r="CZ825" s="16"/>
      <c r="DA825" s="16"/>
      <c r="DB825" s="16"/>
      <c r="DC825" s="16"/>
      <c r="DD825" s="16"/>
      <c r="DE825" s="17"/>
      <c r="DI825" s="24"/>
      <c r="DJ825" s="60"/>
      <c r="DK825" s="16"/>
      <c r="DL825" s="16"/>
      <c r="DM825" s="16"/>
      <c r="DN825" s="16"/>
      <c r="DO825" s="16"/>
      <c r="DP825" s="17"/>
      <c r="DT825" s="24"/>
      <c r="DU825" s="60"/>
      <c r="DV825" s="16"/>
      <c r="DW825" s="16"/>
      <c r="DX825" s="16"/>
      <c r="DY825" s="16"/>
      <c r="DZ825" s="16"/>
      <c r="EA825" s="17"/>
      <c r="EE825" s="24"/>
      <c r="EF825" s="60"/>
      <c r="EG825" s="16"/>
      <c r="EH825" s="16"/>
      <c r="EI825" s="16"/>
      <c r="EJ825" s="16"/>
      <c r="EK825" s="16"/>
      <c r="EL825" s="17"/>
      <c r="EP825" s="24"/>
      <c r="EQ825" s="60"/>
      <c r="ER825" s="16"/>
      <c r="ES825" s="16"/>
      <c r="ET825" s="16"/>
      <c r="EU825" s="16"/>
      <c r="EV825" s="16"/>
      <c r="EW825" s="17"/>
      <c r="FA825" s="24"/>
      <c r="FB825" s="60"/>
      <c r="FC825" s="16"/>
      <c r="FD825" s="16"/>
      <c r="FE825" s="16"/>
      <c r="FF825" s="16"/>
      <c r="FG825" s="16"/>
      <c r="FH825" s="17"/>
      <c r="FL825" s="24"/>
      <c r="FM825" s="60"/>
      <c r="FN825" s="16"/>
      <c r="FO825" s="16"/>
      <c r="FP825" s="16"/>
      <c r="FQ825" s="16"/>
      <c r="FR825" s="16"/>
      <c r="FS825" s="17"/>
      <c r="FW825" s="24"/>
      <c r="FX825" s="60"/>
      <c r="FY825" s="16"/>
      <c r="FZ825" s="16"/>
      <c r="GA825" s="16"/>
      <c r="GB825" s="16"/>
      <c r="GC825" s="16"/>
      <c r="GD825" s="17"/>
      <c r="GH825" s="24"/>
      <c r="GI825" s="60"/>
      <c r="GJ825" s="16"/>
      <c r="GK825" s="16"/>
      <c r="GL825" s="16"/>
      <c r="GM825" s="16"/>
      <c r="GN825" s="16"/>
      <c r="GO825" s="17"/>
      <c r="GS825" s="24"/>
      <c r="GT825" s="60"/>
      <c r="GU825" s="16"/>
      <c r="GV825" s="16"/>
      <c r="GW825" s="16"/>
      <c r="GX825" s="16"/>
      <c r="GY825" s="16"/>
      <c r="GZ825" s="17"/>
      <c r="HD825" s="24"/>
      <c r="HE825" s="60"/>
      <c r="HF825" s="16"/>
      <c r="HG825" s="16"/>
      <c r="HH825" s="16"/>
      <c r="HI825" s="16"/>
      <c r="HJ825" s="16"/>
      <c r="HK825" s="17"/>
      <c r="HO825" s="24"/>
      <c r="HP825" s="60"/>
      <c r="HQ825" s="16"/>
      <c r="HR825" s="16"/>
      <c r="HS825" s="16"/>
      <c r="HT825" s="16"/>
      <c r="HU825" s="16"/>
      <c r="HV825" s="17"/>
      <c r="HZ825" s="24"/>
      <c r="IA825" s="60"/>
      <c r="IB825" s="16"/>
      <c r="IC825" s="16"/>
      <c r="ID825" s="16"/>
      <c r="IE825" s="16"/>
      <c r="IF825" s="16"/>
      <c r="IG825" s="17"/>
      <c r="IK825" s="24"/>
      <c r="IL825" s="60"/>
      <c r="IM825" s="16"/>
      <c r="IN825" s="16"/>
      <c r="IO825" s="16"/>
      <c r="IP825" s="16"/>
      <c r="IQ825" s="16"/>
      <c r="IR825" s="17"/>
      <c r="IV825" s="24"/>
      <c r="IW825" s="60"/>
      <c r="IX825" s="16"/>
      <c r="IY825" s="16"/>
      <c r="IZ825" s="16"/>
      <c r="JA825" s="16"/>
      <c r="JB825" s="16"/>
      <c r="JC825" s="17"/>
      <c r="JG825" s="24"/>
      <c r="JH825" s="60"/>
      <c r="JI825" s="16"/>
      <c r="JJ825" s="16"/>
      <c r="JK825" s="16"/>
      <c r="JL825" s="16"/>
      <c r="JM825" s="16"/>
      <c r="JN825" s="17"/>
      <c r="JR825" s="24"/>
      <c r="JS825" s="60"/>
      <c r="JT825" s="16"/>
      <c r="JU825" s="16"/>
      <c r="JV825" s="16"/>
      <c r="JW825" s="16"/>
      <c r="JX825" s="16"/>
      <c r="JY825" s="17"/>
      <c r="KC825" s="24"/>
      <c r="KD825" s="60"/>
      <c r="KE825" s="16"/>
      <c r="KF825" s="16"/>
      <c r="KG825" s="16"/>
      <c r="KH825" s="16"/>
      <c r="KI825" s="16"/>
      <c r="KJ825" s="17"/>
      <c r="KN825" s="24"/>
      <c r="KO825" s="60"/>
      <c r="KP825" s="16"/>
      <c r="KQ825" s="16"/>
      <c r="KR825" s="16"/>
      <c r="KS825" s="16"/>
      <c r="KT825" s="16"/>
      <c r="KU825" s="17"/>
      <c r="KY825" s="24"/>
      <c r="KZ825" s="60"/>
      <c r="LA825" s="16"/>
      <c r="LB825" s="16"/>
      <c r="LC825" s="16"/>
      <c r="LD825" s="16"/>
      <c r="LE825" s="16"/>
      <c r="LF825" s="17"/>
      <c r="LJ825" s="24"/>
      <c r="LK825" s="60"/>
      <c r="LL825" s="16"/>
      <c r="LM825" s="16"/>
      <c r="LN825" s="16"/>
      <c r="LO825" s="16"/>
      <c r="LP825" s="16"/>
      <c r="LQ825" s="17"/>
    </row>
    <row r="826">
      <c r="C826" s="31"/>
      <c r="D826" s="61"/>
      <c r="E826" s="16"/>
      <c r="F826" s="16"/>
      <c r="G826" s="21"/>
      <c r="H826" s="16"/>
      <c r="I826" s="16"/>
      <c r="J826" s="17"/>
      <c r="N826" s="17"/>
      <c r="O826" s="61"/>
      <c r="P826" s="16"/>
      <c r="Q826" s="16"/>
      <c r="R826" s="16"/>
      <c r="S826" s="16"/>
      <c r="T826" s="16"/>
      <c r="U826" s="17"/>
      <c r="Y826" s="24"/>
      <c r="Z826" s="61"/>
      <c r="AA826" s="16"/>
      <c r="AB826" s="16"/>
      <c r="AC826" s="16"/>
      <c r="AD826" s="16"/>
      <c r="AE826" s="16"/>
      <c r="AF826" s="17"/>
      <c r="AJ826" s="24"/>
      <c r="AK826" s="61"/>
      <c r="AL826" s="16"/>
      <c r="AM826" s="16"/>
      <c r="AN826" s="16"/>
      <c r="AO826" s="16"/>
      <c r="AP826" s="16"/>
      <c r="AQ826" s="17"/>
      <c r="AU826" s="24"/>
      <c r="AV826" s="61"/>
      <c r="AW826" s="16"/>
      <c r="AX826" s="16"/>
      <c r="AY826" s="16"/>
      <c r="AZ826" s="16"/>
      <c r="BA826" s="16"/>
      <c r="BB826" s="17"/>
      <c r="BF826" s="24"/>
      <c r="BG826" s="61"/>
      <c r="BH826" s="16"/>
      <c r="BI826" s="16"/>
      <c r="BJ826" s="16"/>
      <c r="BK826" s="16"/>
      <c r="BL826" s="16"/>
      <c r="BM826" s="17"/>
      <c r="BQ826" s="24"/>
      <c r="BR826" s="61"/>
      <c r="BS826" s="16"/>
      <c r="BT826" s="16"/>
      <c r="BU826" s="16"/>
      <c r="BV826" s="16"/>
      <c r="BW826" s="16"/>
      <c r="BX826" s="17"/>
      <c r="CB826" s="24"/>
      <c r="CC826" s="61"/>
      <c r="CD826" s="16"/>
      <c r="CE826" s="16"/>
      <c r="CF826" s="16"/>
      <c r="CG826" s="16"/>
      <c r="CH826" s="16"/>
      <c r="CI826" s="17"/>
      <c r="CM826" s="24"/>
      <c r="CN826" s="61"/>
      <c r="CO826" s="16"/>
      <c r="CP826" s="16"/>
      <c r="CQ826" s="16"/>
      <c r="CR826" s="16"/>
      <c r="CS826" s="16"/>
      <c r="CT826" s="17"/>
      <c r="CX826" s="24"/>
      <c r="CY826" s="60"/>
      <c r="CZ826" s="16"/>
      <c r="DA826" s="16"/>
      <c r="DB826" s="16"/>
      <c r="DC826" s="16"/>
      <c r="DD826" s="16"/>
      <c r="DE826" s="17"/>
      <c r="DI826" s="24"/>
      <c r="DJ826" s="60"/>
      <c r="DK826" s="16"/>
      <c r="DL826" s="16"/>
      <c r="DM826" s="16"/>
      <c r="DN826" s="16"/>
      <c r="DO826" s="16"/>
      <c r="DP826" s="17"/>
      <c r="DT826" s="24"/>
      <c r="DU826" s="60"/>
      <c r="DV826" s="16"/>
      <c r="DW826" s="16"/>
      <c r="DX826" s="16"/>
      <c r="DY826" s="16"/>
      <c r="DZ826" s="16"/>
      <c r="EA826" s="17"/>
      <c r="EE826" s="24"/>
      <c r="EF826" s="60"/>
      <c r="EG826" s="16"/>
      <c r="EH826" s="16"/>
      <c r="EI826" s="16"/>
      <c r="EJ826" s="16"/>
      <c r="EK826" s="16"/>
      <c r="EL826" s="17"/>
      <c r="EP826" s="24"/>
      <c r="EQ826" s="60"/>
      <c r="ER826" s="16"/>
      <c r="ES826" s="16"/>
      <c r="ET826" s="16"/>
      <c r="EU826" s="16"/>
      <c r="EV826" s="16"/>
      <c r="EW826" s="17"/>
      <c r="FA826" s="24"/>
      <c r="FB826" s="60"/>
      <c r="FC826" s="16"/>
      <c r="FD826" s="16"/>
      <c r="FE826" s="16"/>
      <c r="FF826" s="16"/>
      <c r="FG826" s="16"/>
      <c r="FH826" s="17"/>
      <c r="FL826" s="24"/>
      <c r="FM826" s="60"/>
      <c r="FN826" s="16"/>
      <c r="FO826" s="16"/>
      <c r="FP826" s="16"/>
      <c r="FQ826" s="16"/>
      <c r="FR826" s="16"/>
      <c r="FS826" s="17"/>
      <c r="FW826" s="24"/>
      <c r="FX826" s="60"/>
      <c r="FY826" s="16"/>
      <c r="FZ826" s="16"/>
      <c r="GA826" s="16"/>
      <c r="GB826" s="16"/>
      <c r="GC826" s="16"/>
      <c r="GD826" s="17"/>
      <c r="GH826" s="24"/>
      <c r="GI826" s="60"/>
      <c r="GJ826" s="16"/>
      <c r="GK826" s="16"/>
      <c r="GL826" s="16"/>
      <c r="GM826" s="16"/>
      <c r="GN826" s="16"/>
      <c r="GO826" s="17"/>
      <c r="GS826" s="24"/>
      <c r="GT826" s="60"/>
      <c r="GU826" s="16"/>
      <c r="GV826" s="16"/>
      <c r="GW826" s="16"/>
      <c r="GX826" s="16"/>
      <c r="GY826" s="16"/>
      <c r="GZ826" s="17"/>
      <c r="HD826" s="24"/>
      <c r="HE826" s="60"/>
      <c r="HF826" s="16"/>
      <c r="HG826" s="16"/>
      <c r="HH826" s="16"/>
      <c r="HI826" s="16"/>
      <c r="HJ826" s="16"/>
      <c r="HK826" s="17"/>
      <c r="HO826" s="24"/>
      <c r="HP826" s="60"/>
      <c r="HQ826" s="16"/>
      <c r="HR826" s="16"/>
      <c r="HS826" s="16"/>
      <c r="HT826" s="16"/>
      <c r="HU826" s="16"/>
      <c r="HV826" s="17"/>
      <c r="HZ826" s="24"/>
      <c r="IA826" s="60"/>
      <c r="IB826" s="16"/>
      <c r="IC826" s="16"/>
      <c r="ID826" s="16"/>
      <c r="IE826" s="16"/>
      <c r="IF826" s="16"/>
      <c r="IG826" s="17"/>
      <c r="IK826" s="24"/>
      <c r="IL826" s="60"/>
      <c r="IM826" s="16"/>
      <c r="IN826" s="16"/>
      <c r="IO826" s="16"/>
      <c r="IP826" s="16"/>
      <c r="IQ826" s="16"/>
      <c r="IR826" s="17"/>
      <c r="IV826" s="24"/>
      <c r="IW826" s="60"/>
      <c r="IX826" s="16"/>
      <c r="IY826" s="16"/>
      <c r="IZ826" s="16"/>
      <c r="JA826" s="16"/>
      <c r="JB826" s="16"/>
      <c r="JC826" s="17"/>
      <c r="JG826" s="24"/>
      <c r="JH826" s="60"/>
      <c r="JI826" s="16"/>
      <c r="JJ826" s="16"/>
      <c r="JK826" s="16"/>
      <c r="JL826" s="16"/>
      <c r="JM826" s="16"/>
      <c r="JN826" s="17"/>
      <c r="JR826" s="24"/>
      <c r="JS826" s="60"/>
      <c r="JT826" s="16"/>
      <c r="JU826" s="16"/>
      <c r="JV826" s="16"/>
      <c r="JW826" s="16"/>
      <c r="JX826" s="16"/>
      <c r="JY826" s="17"/>
      <c r="KC826" s="24"/>
      <c r="KD826" s="60"/>
      <c r="KE826" s="16"/>
      <c r="KF826" s="16"/>
      <c r="KG826" s="16"/>
      <c r="KH826" s="16"/>
      <c r="KI826" s="16"/>
      <c r="KJ826" s="17"/>
      <c r="KN826" s="24"/>
      <c r="KO826" s="60"/>
      <c r="KP826" s="16"/>
      <c r="KQ826" s="16"/>
      <c r="KR826" s="16"/>
      <c r="KS826" s="16"/>
      <c r="KT826" s="16"/>
      <c r="KU826" s="17"/>
      <c r="KY826" s="24"/>
      <c r="KZ826" s="60"/>
      <c r="LA826" s="16"/>
      <c r="LB826" s="16"/>
      <c r="LC826" s="16"/>
      <c r="LD826" s="16"/>
      <c r="LE826" s="16"/>
      <c r="LF826" s="17"/>
      <c r="LJ826" s="24"/>
      <c r="LK826" s="60"/>
      <c r="LL826" s="16"/>
      <c r="LM826" s="16"/>
      <c r="LN826" s="16"/>
      <c r="LO826" s="16"/>
      <c r="LP826" s="16"/>
      <c r="LQ826" s="17"/>
    </row>
    <row r="827">
      <c r="C827" s="31"/>
      <c r="D827" s="61"/>
      <c r="E827" s="16"/>
      <c r="F827" s="16"/>
      <c r="G827" s="21"/>
      <c r="H827" s="16"/>
      <c r="I827" s="16"/>
      <c r="J827" s="17"/>
      <c r="N827" s="17"/>
      <c r="O827" s="61"/>
      <c r="P827" s="16"/>
      <c r="Q827" s="16"/>
      <c r="R827" s="16"/>
      <c r="S827" s="16"/>
      <c r="T827" s="16"/>
      <c r="U827" s="17"/>
      <c r="Y827" s="24"/>
      <c r="Z827" s="61"/>
      <c r="AA827" s="16"/>
      <c r="AB827" s="16"/>
      <c r="AC827" s="16"/>
      <c r="AD827" s="16"/>
      <c r="AE827" s="16"/>
      <c r="AF827" s="17"/>
      <c r="AJ827" s="24"/>
      <c r="AK827" s="61"/>
      <c r="AL827" s="16"/>
      <c r="AM827" s="16"/>
      <c r="AN827" s="16"/>
      <c r="AO827" s="16"/>
      <c r="AP827" s="16"/>
      <c r="AQ827" s="17"/>
      <c r="AU827" s="24"/>
      <c r="AV827" s="61"/>
      <c r="AW827" s="16"/>
      <c r="AX827" s="16"/>
      <c r="AY827" s="16"/>
      <c r="AZ827" s="16"/>
      <c r="BA827" s="16"/>
      <c r="BB827" s="17"/>
      <c r="BF827" s="24"/>
      <c r="BG827" s="61"/>
      <c r="BH827" s="16"/>
      <c r="BI827" s="16"/>
      <c r="BJ827" s="16"/>
      <c r="BK827" s="16"/>
      <c r="BL827" s="16"/>
      <c r="BM827" s="17"/>
      <c r="BQ827" s="24"/>
      <c r="BR827" s="61"/>
      <c r="BS827" s="16"/>
      <c r="BT827" s="16"/>
      <c r="BU827" s="16"/>
      <c r="BV827" s="16"/>
      <c r="BW827" s="16"/>
      <c r="BX827" s="17"/>
      <c r="CB827" s="24"/>
      <c r="CC827" s="61"/>
      <c r="CD827" s="16"/>
      <c r="CE827" s="16"/>
      <c r="CF827" s="16"/>
      <c r="CG827" s="16"/>
      <c r="CH827" s="16"/>
      <c r="CI827" s="17"/>
      <c r="CM827" s="24"/>
      <c r="CN827" s="61"/>
      <c r="CO827" s="16"/>
      <c r="CP827" s="16"/>
      <c r="CQ827" s="16"/>
      <c r="CR827" s="16"/>
      <c r="CS827" s="16"/>
      <c r="CT827" s="17"/>
      <c r="CX827" s="24"/>
      <c r="CY827" s="60"/>
      <c r="CZ827" s="16"/>
      <c r="DA827" s="16"/>
      <c r="DB827" s="16"/>
      <c r="DC827" s="16"/>
      <c r="DD827" s="16"/>
      <c r="DE827" s="17"/>
      <c r="DI827" s="24"/>
      <c r="DJ827" s="60"/>
      <c r="DK827" s="16"/>
      <c r="DL827" s="16"/>
      <c r="DM827" s="16"/>
      <c r="DN827" s="16"/>
      <c r="DO827" s="16"/>
      <c r="DP827" s="17"/>
      <c r="DT827" s="24"/>
      <c r="DU827" s="60"/>
      <c r="DV827" s="16"/>
      <c r="DW827" s="16"/>
      <c r="DX827" s="16"/>
      <c r="DY827" s="16"/>
      <c r="DZ827" s="16"/>
      <c r="EA827" s="17"/>
      <c r="EE827" s="24"/>
      <c r="EF827" s="60"/>
      <c r="EG827" s="16"/>
      <c r="EH827" s="16"/>
      <c r="EI827" s="16"/>
      <c r="EJ827" s="16"/>
      <c r="EK827" s="16"/>
      <c r="EL827" s="17"/>
      <c r="EP827" s="24"/>
      <c r="EQ827" s="60"/>
      <c r="ER827" s="16"/>
      <c r="ES827" s="16"/>
      <c r="ET827" s="16"/>
      <c r="EU827" s="16"/>
      <c r="EV827" s="16"/>
      <c r="EW827" s="17"/>
      <c r="FA827" s="24"/>
      <c r="FB827" s="60"/>
      <c r="FC827" s="16"/>
      <c r="FD827" s="16"/>
      <c r="FE827" s="16"/>
      <c r="FF827" s="16"/>
      <c r="FG827" s="16"/>
      <c r="FH827" s="17"/>
      <c r="FL827" s="24"/>
      <c r="FM827" s="60"/>
      <c r="FN827" s="16"/>
      <c r="FO827" s="16"/>
      <c r="FP827" s="16"/>
      <c r="FQ827" s="16"/>
      <c r="FR827" s="16"/>
      <c r="FS827" s="17"/>
      <c r="FW827" s="24"/>
      <c r="FX827" s="60"/>
      <c r="FY827" s="16"/>
      <c r="FZ827" s="16"/>
      <c r="GA827" s="16"/>
      <c r="GB827" s="16"/>
      <c r="GC827" s="16"/>
      <c r="GD827" s="17"/>
      <c r="GH827" s="24"/>
      <c r="GI827" s="60"/>
      <c r="GJ827" s="16"/>
      <c r="GK827" s="16"/>
      <c r="GL827" s="16"/>
      <c r="GM827" s="16"/>
      <c r="GN827" s="16"/>
      <c r="GO827" s="17"/>
      <c r="GS827" s="24"/>
      <c r="GT827" s="60"/>
      <c r="GU827" s="16"/>
      <c r="GV827" s="16"/>
      <c r="GW827" s="16"/>
      <c r="GX827" s="16"/>
      <c r="GY827" s="16"/>
      <c r="GZ827" s="17"/>
      <c r="HD827" s="24"/>
      <c r="HE827" s="60"/>
      <c r="HF827" s="16"/>
      <c r="HG827" s="16"/>
      <c r="HH827" s="16"/>
      <c r="HI827" s="16"/>
      <c r="HJ827" s="16"/>
      <c r="HK827" s="17"/>
      <c r="HO827" s="24"/>
      <c r="HP827" s="60"/>
      <c r="HQ827" s="16"/>
      <c r="HR827" s="16"/>
      <c r="HS827" s="16"/>
      <c r="HT827" s="16"/>
      <c r="HU827" s="16"/>
      <c r="HV827" s="17"/>
      <c r="HZ827" s="24"/>
      <c r="IA827" s="60"/>
      <c r="IB827" s="16"/>
      <c r="IC827" s="16"/>
      <c r="ID827" s="16"/>
      <c r="IE827" s="16"/>
      <c r="IF827" s="16"/>
      <c r="IG827" s="17"/>
      <c r="IK827" s="24"/>
      <c r="IL827" s="60"/>
      <c r="IM827" s="16"/>
      <c r="IN827" s="16"/>
      <c r="IO827" s="16"/>
      <c r="IP827" s="16"/>
      <c r="IQ827" s="16"/>
      <c r="IR827" s="17"/>
      <c r="IV827" s="24"/>
      <c r="IW827" s="60"/>
      <c r="IX827" s="16"/>
      <c r="IY827" s="16"/>
      <c r="IZ827" s="16"/>
      <c r="JA827" s="16"/>
      <c r="JB827" s="16"/>
      <c r="JC827" s="17"/>
      <c r="JG827" s="24"/>
      <c r="JH827" s="60"/>
      <c r="JI827" s="16"/>
      <c r="JJ827" s="16"/>
      <c r="JK827" s="16"/>
      <c r="JL827" s="16"/>
      <c r="JM827" s="16"/>
      <c r="JN827" s="17"/>
      <c r="JR827" s="24"/>
      <c r="JS827" s="60"/>
      <c r="JT827" s="16"/>
      <c r="JU827" s="16"/>
      <c r="JV827" s="16"/>
      <c r="JW827" s="16"/>
      <c r="JX827" s="16"/>
      <c r="JY827" s="17"/>
      <c r="KC827" s="24"/>
      <c r="KD827" s="60"/>
      <c r="KE827" s="16"/>
      <c r="KF827" s="16"/>
      <c r="KG827" s="16"/>
      <c r="KH827" s="16"/>
      <c r="KI827" s="16"/>
      <c r="KJ827" s="17"/>
      <c r="KN827" s="24"/>
      <c r="KO827" s="60"/>
      <c r="KP827" s="16"/>
      <c r="KQ827" s="16"/>
      <c r="KR827" s="16"/>
      <c r="KS827" s="16"/>
      <c r="KT827" s="16"/>
      <c r="KU827" s="17"/>
      <c r="KY827" s="24"/>
      <c r="KZ827" s="60"/>
      <c r="LA827" s="16"/>
      <c r="LB827" s="16"/>
      <c r="LC827" s="16"/>
      <c r="LD827" s="16"/>
      <c r="LE827" s="16"/>
      <c r="LF827" s="17"/>
      <c r="LJ827" s="24"/>
      <c r="LK827" s="60"/>
      <c r="LL827" s="16"/>
      <c r="LM827" s="16"/>
      <c r="LN827" s="16"/>
      <c r="LO827" s="16"/>
      <c r="LP827" s="16"/>
      <c r="LQ827" s="17"/>
    </row>
    <row r="828">
      <c r="C828" s="31"/>
      <c r="D828" s="61"/>
      <c r="E828" s="16"/>
      <c r="F828" s="16"/>
      <c r="G828" s="21"/>
      <c r="H828" s="16"/>
      <c r="I828" s="16"/>
      <c r="J828" s="17"/>
      <c r="N828" s="17"/>
      <c r="O828" s="61"/>
      <c r="P828" s="16"/>
      <c r="Q828" s="16"/>
      <c r="R828" s="16"/>
      <c r="S828" s="16"/>
      <c r="T828" s="16"/>
      <c r="U828" s="17"/>
      <c r="Y828" s="24"/>
      <c r="Z828" s="61"/>
      <c r="AA828" s="16"/>
      <c r="AB828" s="16"/>
      <c r="AC828" s="16"/>
      <c r="AD828" s="16"/>
      <c r="AE828" s="16"/>
      <c r="AF828" s="17"/>
      <c r="AJ828" s="24"/>
      <c r="AK828" s="61"/>
      <c r="AL828" s="16"/>
      <c r="AM828" s="16"/>
      <c r="AN828" s="16"/>
      <c r="AO828" s="16"/>
      <c r="AP828" s="16"/>
      <c r="AQ828" s="17"/>
      <c r="AU828" s="24"/>
      <c r="AV828" s="61"/>
      <c r="AW828" s="16"/>
      <c r="AX828" s="16"/>
      <c r="AY828" s="16"/>
      <c r="AZ828" s="16"/>
      <c r="BA828" s="16"/>
      <c r="BB828" s="17"/>
      <c r="BF828" s="24"/>
      <c r="BG828" s="61"/>
      <c r="BH828" s="16"/>
      <c r="BI828" s="16"/>
      <c r="BJ828" s="16"/>
      <c r="BK828" s="16"/>
      <c r="BL828" s="16"/>
      <c r="BM828" s="17"/>
      <c r="BQ828" s="24"/>
      <c r="BR828" s="61"/>
      <c r="BS828" s="16"/>
      <c r="BT828" s="16"/>
      <c r="BU828" s="16"/>
      <c r="BV828" s="16"/>
      <c r="BW828" s="16"/>
      <c r="BX828" s="17"/>
      <c r="CB828" s="24"/>
      <c r="CC828" s="61"/>
      <c r="CD828" s="16"/>
      <c r="CE828" s="16"/>
      <c r="CF828" s="16"/>
      <c r="CG828" s="16"/>
      <c r="CH828" s="16"/>
      <c r="CI828" s="17"/>
      <c r="CM828" s="24"/>
      <c r="CN828" s="61"/>
      <c r="CO828" s="16"/>
      <c r="CP828" s="16"/>
      <c r="CQ828" s="16"/>
      <c r="CR828" s="16"/>
      <c r="CS828" s="16"/>
      <c r="CT828" s="17"/>
      <c r="CX828" s="24"/>
      <c r="CY828" s="60"/>
      <c r="CZ828" s="16"/>
      <c r="DA828" s="16"/>
      <c r="DB828" s="16"/>
      <c r="DC828" s="16"/>
      <c r="DD828" s="16"/>
      <c r="DE828" s="17"/>
      <c r="DI828" s="24"/>
      <c r="DJ828" s="60"/>
      <c r="DK828" s="16"/>
      <c r="DL828" s="16"/>
      <c r="DM828" s="16"/>
      <c r="DN828" s="16"/>
      <c r="DO828" s="16"/>
      <c r="DP828" s="17"/>
      <c r="DT828" s="24"/>
      <c r="DU828" s="60"/>
      <c r="DV828" s="16"/>
      <c r="DW828" s="16"/>
      <c r="DX828" s="16"/>
      <c r="DY828" s="16"/>
      <c r="DZ828" s="16"/>
      <c r="EA828" s="17"/>
      <c r="EE828" s="24"/>
      <c r="EF828" s="60"/>
      <c r="EG828" s="16"/>
      <c r="EH828" s="16"/>
      <c r="EI828" s="16"/>
      <c r="EJ828" s="16"/>
      <c r="EK828" s="16"/>
      <c r="EL828" s="17"/>
      <c r="EP828" s="24"/>
      <c r="EQ828" s="60"/>
      <c r="ER828" s="16"/>
      <c r="ES828" s="16"/>
      <c r="ET828" s="16"/>
      <c r="EU828" s="16"/>
      <c r="EV828" s="16"/>
      <c r="EW828" s="17"/>
      <c r="FA828" s="24"/>
      <c r="FB828" s="60"/>
      <c r="FC828" s="16"/>
      <c r="FD828" s="16"/>
      <c r="FE828" s="16"/>
      <c r="FF828" s="16"/>
      <c r="FG828" s="16"/>
      <c r="FH828" s="17"/>
      <c r="FL828" s="24"/>
      <c r="FM828" s="60"/>
      <c r="FN828" s="16"/>
      <c r="FO828" s="16"/>
      <c r="FP828" s="16"/>
      <c r="FQ828" s="16"/>
      <c r="FR828" s="16"/>
      <c r="FS828" s="17"/>
      <c r="FW828" s="24"/>
      <c r="FX828" s="60"/>
      <c r="FY828" s="16"/>
      <c r="FZ828" s="16"/>
      <c r="GA828" s="16"/>
      <c r="GB828" s="16"/>
      <c r="GC828" s="16"/>
      <c r="GD828" s="17"/>
      <c r="GH828" s="24"/>
      <c r="GI828" s="60"/>
      <c r="GJ828" s="16"/>
      <c r="GK828" s="16"/>
      <c r="GL828" s="16"/>
      <c r="GM828" s="16"/>
      <c r="GN828" s="16"/>
      <c r="GO828" s="17"/>
      <c r="GS828" s="24"/>
      <c r="GT828" s="60"/>
      <c r="GU828" s="16"/>
      <c r="GV828" s="16"/>
      <c r="GW828" s="16"/>
      <c r="GX828" s="16"/>
      <c r="GY828" s="16"/>
      <c r="GZ828" s="17"/>
      <c r="HD828" s="24"/>
      <c r="HE828" s="60"/>
      <c r="HF828" s="16"/>
      <c r="HG828" s="16"/>
      <c r="HH828" s="16"/>
      <c r="HI828" s="16"/>
      <c r="HJ828" s="16"/>
      <c r="HK828" s="17"/>
      <c r="HO828" s="24"/>
      <c r="HP828" s="60"/>
      <c r="HQ828" s="16"/>
      <c r="HR828" s="16"/>
      <c r="HS828" s="16"/>
      <c r="HT828" s="16"/>
      <c r="HU828" s="16"/>
      <c r="HV828" s="17"/>
      <c r="HZ828" s="24"/>
      <c r="IA828" s="60"/>
      <c r="IB828" s="16"/>
      <c r="IC828" s="16"/>
      <c r="ID828" s="16"/>
      <c r="IE828" s="16"/>
      <c r="IF828" s="16"/>
      <c r="IG828" s="17"/>
      <c r="IK828" s="24"/>
      <c r="IL828" s="60"/>
      <c r="IM828" s="16"/>
      <c r="IN828" s="16"/>
      <c r="IO828" s="16"/>
      <c r="IP828" s="16"/>
      <c r="IQ828" s="16"/>
      <c r="IR828" s="17"/>
      <c r="IV828" s="24"/>
      <c r="IW828" s="60"/>
      <c r="IX828" s="16"/>
      <c r="IY828" s="16"/>
      <c r="IZ828" s="16"/>
      <c r="JA828" s="16"/>
      <c r="JB828" s="16"/>
      <c r="JC828" s="17"/>
      <c r="JG828" s="24"/>
      <c r="JH828" s="60"/>
      <c r="JI828" s="16"/>
      <c r="JJ828" s="16"/>
      <c r="JK828" s="16"/>
      <c r="JL828" s="16"/>
      <c r="JM828" s="16"/>
      <c r="JN828" s="17"/>
      <c r="JR828" s="24"/>
      <c r="JS828" s="60"/>
      <c r="JT828" s="16"/>
      <c r="JU828" s="16"/>
      <c r="JV828" s="16"/>
      <c r="JW828" s="16"/>
      <c r="JX828" s="16"/>
      <c r="JY828" s="17"/>
      <c r="KC828" s="24"/>
      <c r="KD828" s="60"/>
      <c r="KE828" s="16"/>
      <c r="KF828" s="16"/>
      <c r="KG828" s="16"/>
      <c r="KH828" s="16"/>
      <c r="KI828" s="16"/>
      <c r="KJ828" s="17"/>
      <c r="KN828" s="24"/>
      <c r="KO828" s="60"/>
      <c r="KP828" s="16"/>
      <c r="KQ828" s="16"/>
      <c r="KR828" s="16"/>
      <c r="KS828" s="16"/>
      <c r="KT828" s="16"/>
      <c r="KU828" s="17"/>
      <c r="KY828" s="24"/>
      <c r="KZ828" s="60"/>
      <c r="LA828" s="16"/>
      <c r="LB828" s="16"/>
      <c r="LC828" s="16"/>
      <c r="LD828" s="16"/>
      <c r="LE828" s="16"/>
      <c r="LF828" s="17"/>
      <c r="LJ828" s="24"/>
      <c r="LK828" s="60"/>
      <c r="LL828" s="16"/>
      <c r="LM828" s="16"/>
      <c r="LN828" s="16"/>
      <c r="LO828" s="16"/>
      <c r="LP828" s="16"/>
      <c r="LQ828" s="17"/>
    </row>
    <row r="829">
      <c r="C829" s="31"/>
      <c r="D829" s="61"/>
      <c r="E829" s="16"/>
      <c r="F829" s="16"/>
      <c r="G829" s="21"/>
      <c r="H829" s="16"/>
      <c r="I829" s="16"/>
      <c r="J829" s="17"/>
      <c r="N829" s="17"/>
      <c r="O829" s="61"/>
      <c r="P829" s="16"/>
      <c r="Q829" s="16"/>
      <c r="R829" s="16"/>
      <c r="S829" s="16"/>
      <c r="T829" s="16"/>
      <c r="U829" s="17"/>
      <c r="Y829" s="24"/>
      <c r="Z829" s="61"/>
      <c r="AA829" s="16"/>
      <c r="AB829" s="16"/>
      <c r="AC829" s="16"/>
      <c r="AD829" s="16"/>
      <c r="AE829" s="16"/>
      <c r="AF829" s="17"/>
      <c r="AJ829" s="24"/>
      <c r="AK829" s="61"/>
      <c r="AL829" s="16"/>
      <c r="AM829" s="16"/>
      <c r="AN829" s="16"/>
      <c r="AO829" s="16"/>
      <c r="AP829" s="16"/>
      <c r="AQ829" s="17"/>
      <c r="AU829" s="24"/>
      <c r="AV829" s="61"/>
      <c r="AW829" s="16"/>
      <c r="AX829" s="16"/>
      <c r="AY829" s="16"/>
      <c r="AZ829" s="16"/>
      <c r="BA829" s="16"/>
      <c r="BB829" s="17"/>
      <c r="BF829" s="24"/>
      <c r="BG829" s="61"/>
      <c r="BH829" s="16"/>
      <c r="BI829" s="16"/>
      <c r="BJ829" s="16"/>
      <c r="BK829" s="16"/>
      <c r="BL829" s="16"/>
      <c r="BM829" s="17"/>
      <c r="BQ829" s="24"/>
      <c r="BR829" s="61"/>
      <c r="BS829" s="16"/>
      <c r="BT829" s="16"/>
      <c r="BU829" s="16"/>
      <c r="BV829" s="16"/>
      <c r="BW829" s="16"/>
      <c r="BX829" s="17"/>
      <c r="CB829" s="24"/>
      <c r="CC829" s="61"/>
      <c r="CD829" s="16"/>
      <c r="CE829" s="16"/>
      <c r="CF829" s="16"/>
      <c r="CG829" s="16"/>
      <c r="CH829" s="16"/>
      <c r="CI829" s="17"/>
      <c r="CM829" s="24"/>
      <c r="CN829" s="61"/>
      <c r="CO829" s="16"/>
      <c r="CP829" s="16"/>
      <c r="CQ829" s="16"/>
      <c r="CR829" s="16"/>
      <c r="CS829" s="16"/>
      <c r="CT829" s="17"/>
      <c r="CX829" s="24"/>
      <c r="CY829" s="60"/>
      <c r="CZ829" s="16"/>
      <c r="DA829" s="16"/>
      <c r="DB829" s="16"/>
      <c r="DC829" s="16"/>
      <c r="DD829" s="16"/>
      <c r="DE829" s="17"/>
      <c r="DI829" s="24"/>
      <c r="DJ829" s="60"/>
      <c r="DK829" s="16"/>
      <c r="DL829" s="16"/>
      <c r="DM829" s="16"/>
      <c r="DN829" s="16"/>
      <c r="DO829" s="16"/>
      <c r="DP829" s="17"/>
      <c r="DT829" s="24"/>
      <c r="DU829" s="60"/>
      <c r="DV829" s="16"/>
      <c r="DW829" s="16"/>
      <c r="DX829" s="16"/>
      <c r="DY829" s="16"/>
      <c r="DZ829" s="16"/>
      <c r="EA829" s="17"/>
      <c r="EE829" s="24"/>
      <c r="EF829" s="60"/>
      <c r="EG829" s="16"/>
      <c r="EH829" s="16"/>
      <c r="EI829" s="16"/>
      <c r="EJ829" s="16"/>
      <c r="EK829" s="16"/>
      <c r="EL829" s="17"/>
      <c r="EP829" s="24"/>
      <c r="EQ829" s="60"/>
      <c r="ER829" s="16"/>
      <c r="ES829" s="16"/>
      <c r="ET829" s="16"/>
      <c r="EU829" s="16"/>
      <c r="EV829" s="16"/>
      <c r="EW829" s="17"/>
      <c r="FA829" s="24"/>
      <c r="FB829" s="60"/>
      <c r="FC829" s="16"/>
      <c r="FD829" s="16"/>
      <c r="FE829" s="16"/>
      <c r="FF829" s="16"/>
      <c r="FG829" s="16"/>
      <c r="FH829" s="17"/>
      <c r="FL829" s="24"/>
      <c r="FM829" s="60"/>
      <c r="FN829" s="16"/>
      <c r="FO829" s="16"/>
      <c r="FP829" s="16"/>
      <c r="FQ829" s="16"/>
      <c r="FR829" s="16"/>
      <c r="FS829" s="17"/>
      <c r="FW829" s="24"/>
      <c r="FX829" s="60"/>
      <c r="FY829" s="16"/>
      <c r="FZ829" s="16"/>
      <c r="GA829" s="16"/>
      <c r="GB829" s="16"/>
      <c r="GC829" s="16"/>
      <c r="GD829" s="17"/>
      <c r="GH829" s="24"/>
      <c r="GI829" s="60"/>
      <c r="GJ829" s="16"/>
      <c r="GK829" s="16"/>
      <c r="GL829" s="16"/>
      <c r="GM829" s="16"/>
      <c r="GN829" s="16"/>
      <c r="GO829" s="17"/>
      <c r="GS829" s="24"/>
      <c r="GT829" s="60"/>
      <c r="GU829" s="16"/>
      <c r="GV829" s="16"/>
      <c r="GW829" s="16"/>
      <c r="GX829" s="16"/>
      <c r="GY829" s="16"/>
      <c r="GZ829" s="17"/>
      <c r="HD829" s="24"/>
      <c r="HE829" s="60"/>
      <c r="HF829" s="16"/>
      <c r="HG829" s="16"/>
      <c r="HH829" s="16"/>
      <c r="HI829" s="16"/>
      <c r="HJ829" s="16"/>
      <c r="HK829" s="17"/>
      <c r="HO829" s="24"/>
      <c r="HP829" s="60"/>
      <c r="HQ829" s="16"/>
      <c r="HR829" s="16"/>
      <c r="HS829" s="16"/>
      <c r="HT829" s="16"/>
      <c r="HU829" s="16"/>
      <c r="HV829" s="17"/>
      <c r="HZ829" s="24"/>
      <c r="IA829" s="60"/>
      <c r="IB829" s="16"/>
      <c r="IC829" s="16"/>
      <c r="ID829" s="16"/>
      <c r="IE829" s="16"/>
      <c r="IF829" s="16"/>
      <c r="IG829" s="17"/>
      <c r="IK829" s="24"/>
      <c r="IL829" s="60"/>
      <c r="IM829" s="16"/>
      <c r="IN829" s="16"/>
      <c r="IO829" s="16"/>
      <c r="IP829" s="16"/>
      <c r="IQ829" s="16"/>
      <c r="IR829" s="17"/>
      <c r="IV829" s="24"/>
      <c r="IW829" s="60"/>
      <c r="IX829" s="16"/>
      <c r="IY829" s="16"/>
      <c r="IZ829" s="16"/>
      <c r="JA829" s="16"/>
      <c r="JB829" s="16"/>
      <c r="JC829" s="17"/>
      <c r="JG829" s="24"/>
      <c r="JH829" s="60"/>
      <c r="JI829" s="16"/>
      <c r="JJ829" s="16"/>
      <c r="JK829" s="16"/>
      <c r="JL829" s="16"/>
      <c r="JM829" s="16"/>
      <c r="JN829" s="17"/>
      <c r="JR829" s="24"/>
      <c r="JS829" s="60"/>
      <c r="JT829" s="16"/>
      <c r="JU829" s="16"/>
      <c r="JV829" s="16"/>
      <c r="JW829" s="16"/>
      <c r="JX829" s="16"/>
      <c r="JY829" s="17"/>
      <c r="KC829" s="24"/>
      <c r="KD829" s="60"/>
      <c r="KE829" s="16"/>
      <c r="KF829" s="16"/>
      <c r="KG829" s="16"/>
      <c r="KH829" s="16"/>
      <c r="KI829" s="16"/>
      <c r="KJ829" s="17"/>
      <c r="KN829" s="24"/>
      <c r="KO829" s="60"/>
      <c r="KP829" s="16"/>
      <c r="KQ829" s="16"/>
      <c r="KR829" s="16"/>
      <c r="KS829" s="16"/>
      <c r="KT829" s="16"/>
      <c r="KU829" s="17"/>
      <c r="KY829" s="24"/>
      <c r="KZ829" s="60"/>
      <c r="LA829" s="16"/>
      <c r="LB829" s="16"/>
      <c r="LC829" s="16"/>
      <c r="LD829" s="16"/>
      <c r="LE829" s="16"/>
      <c r="LF829" s="17"/>
      <c r="LJ829" s="24"/>
      <c r="LK829" s="60"/>
      <c r="LL829" s="16"/>
      <c r="LM829" s="16"/>
      <c r="LN829" s="16"/>
      <c r="LO829" s="16"/>
      <c r="LP829" s="16"/>
      <c r="LQ829" s="17"/>
    </row>
    <row r="830">
      <c r="C830" s="31"/>
      <c r="D830" s="61"/>
      <c r="E830" s="16"/>
      <c r="F830" s="16"/>
      <c r="G830" s="21"/>
      <c r="H830" s="16"/>
      <c r="I830" s="16"/>
      <c r="J830" s="17"/>
      <c r="N830" s="17"/>
      <c r="O830" s="61"/>
      <c r="P830" s="16"/>
      <c r="Q830" s="16"/>
      <c r="R830" s="16"/>
      <c r="S830" s="16"/>
      <c r="T830" s="16"/>
      <c r="U830" s="17"/>
      <c r="Y830" s="24"/>
      <c r="Z830" s="61"/>
      <c r="AA830" s="16"/>
      <c r="AB830" s="16"/>
      <c r="AC830" s="16"/>
      <c r="AD830" s="16"/>
      <c r="AE830" s="16"/>
      <c r="AF830" s="17"/>
      <c r="AJ830" s="24"/>
      <c r="AK830" s="61"/>
      <c r="AL830" s="16"/>
      <c r="AM830" s="16"/>
      <c r="AN830" s="16"/>
      <c r="AO830" s="16"/>
      <c r="AP830" s="16"/>
      <c r="AQ830" s="17"/>
      <c r="AU830" s="24"/>
      <c r="AV830" s="61"/>
      <c r="AW830" s="16"/>
      <c r="AX830" s="16"/>
      <c r="AY830" s="16"/>
      <c r="AZ830" s="16"/>
      <c r="BA830" s="16"/>
      <c r="BB830" s="17"/>
      <c r="BF830" s="24"/>
      <c r="BG830" s="61"/>
      <c r="BH830" s="16"/>
      <c r="BI830" s="16"/>
      <c r="BJ830" s="16"/>
      <c r="BK830" s="16"/>
      <c r="BL830" s="16"/>
      <c r="BM830" s="17"/>
      <c r="BQ830" s="24"/>
      <c r="BR830" s="61"/>
      <c r="BS830" s="16"/>
      <c r="BT830" s="16"/>
      <c r="BU830" s="16"/>
      <c r="BV830" s="16"/>
      <c r="BW830" s="16"/>
      <c r="BX830" s="17"/>
      <c r="CB830" s="24"/>
      <c r="CC830" s="61"/>
      <c r="CD830" s="16"/>
      <c r="CE830" s="16"/>
      <c r="CF830" s="16"/>
      <c r="CG830" s="16"/>
      <c r="CH830" s="16"/>
      <c r="CI830" s="17"/>
      <c r="CM830" s="24"/>
      <c r="CN830" s="61"/>
      <c r="CO830" s="16"/>
      <c r="CP830" s="16"/>
      <c r="CQ830" s="16"/>
      <c r="CR830" s="16"/>
      <c r="CS830" s="16"/>
      <c r="CT830" s="17"/>
      <c r="CX830" s="24"/>
      <c r="CY830" s="60"/>
      <c r="CZ830" s="16"/>
      <c r="DA830" s="16"/>
      <c r="DB830" s="16"/>
      <c r="DC830" s="16"/>
      <c r="DD830" s="16"/>
      <c r="DE830" s="17"/>
      <c r="DI830" s="24"/>
      <c r="DJ830" s="60"/>
      <c r="DK830" s="16"/>
      <c r="DL830" s="16"/>
      <c r="DM830" s="16"/>
      <c r="DN830" s="16"/>
      <c r="DO830" s="16"/>
      <c r="DP830" s="17"/>
      <c r="DT830" s="24"/>
      <c r="DU830" s="60"/>
      <c r="DV830" s="16"/>
      <c r="DW830" s="16"/>
      <c r="DX830" s="16"/>
      <c r="DY830" s="16"/>
      <c r="DZ830" s="16"/>
      <c r="EA830" s="17"/>
      <c r="EE830" s="24"/>
      <c r="EF830" s="60"/>
      <c r="EG830" s="16"/>
      <c r="EH830" s="16"/>
      <c r="EI830" s="16"/>
      <c r="EJ830" s="16"/>
      <c r="EK830" s="16"/>
      <c r="EL830" s="17"/>
      <c r="EP830" s="24"/>
      <c r="EQ830" s="60"/>
      <c r="ER830" s="16"/>
      <c r="ES830" s="16"/>
      <c r="ET830" s="16"/>
      <c r="EU830" s="16"/>
      <c r="EV830" s="16"/>
      <c r="EW830" s="17"/>
      <c r="FA830" s="24"/>
      <c r="FB830" s="60"/>
      <c r="FC830" s="16"/>
      <c r="FD830" s="16"/>
      <c r="FE830" s="16"/>
      <c r="FF830" s="16"/>
      <c r="FG830" s="16"/>
      <c r="FH830" s="17"/>
      <c r="FL830" s="24"/>
      <c r="FM830" s="60"/>
      <c r="FN830" s="16"/>
      <c r="FO830" s="16"/>
      <c r="FP830" s="16"/>
      <c r="FQ830" s="16"/>
      <c r="FR830" s="16"/>
      <c r="FS830" s="17"/>
      <c r="FW830" s="24"/>
      <c r="FX830" s="60"/>
      <c r="FY830" s="16"/>
      <c r="FZ830" s="16"/>
      <c r="GA830" s="16"/>
      <c r="GB830" s="16"/>
      <c r="GC830" s="16"/>
      <c r="GD830" s="17"/>
      <c r="GH830" s="24"/>
      <c r="GI830" s="60"/>
      <c r="GJ830" s="16"/>
      <c r="GK830" s="16"/>
      <c r="GL830" s="16"/>
      <c r="GM830" s="16"/>
      <c r="GN830" s="16"/>
      <c r="GO830" s="17"/>
      <c r="GS830" s="24"/>
      <c r="GT830" s="60"/>
      <c r="GU830" s="16"/>
      <c r="GV830" s="16"/>
      <c r="GW830" s="16"/>
      <c r="GX830" s="16"/>
      <c r="GY830" s="16"/>
      <c r="GZ830" s="17"/>
      <c r="HD830" s="24"/>
      <c r="HE830" s="60"/>
      <c r="HF830" s="16"/>
      <c r="HG830" s="16"/>
      <c r="HH830" s="16"/>
      <c r="HI830" s="16"/>
      <c r="HJ830" s="16"/>
      <c r="HK830" s="17"/>
      <c r="HO830" s="24"/>
      <c r="HP830" s="60"/>
      <c r="HQ830" s="16"/>
      <c r="HR830" s="16"/>
      <c r="HS830" s="16"/>
      <c r="HT830" s="16"/>
      <c r="HU830" s="16"/>
      <c r="HV830" s="17"/>
      <c r="HZ830" s="24"/>
      <c r="IA830" s="60"/>
      <c r="IB830" s="16"/>
      <c r="IC830" s="16"/>
      <c r="ID830" s="16"/>
      <c r="IE830" s="16"/>
      <c r="IF830" s="16"/>
      <c r="IG830" s="17"/>
      <c r="IK830" s="24"/>
      <c r="IL830" s="60"/>
      <c r="IM830" s="16"/>
      <c r="IN830" s="16"/>
      <c r="IO830" s="16"/>
      <c r="IP830" s="16"/>
      <c r="IQ830" s="16"/>
      <c r="IR830" s="17"/>
      <c r="IV830" s="24"/>
      <c r="IW830" s="60"/>
      <c r="IX830" s="16"/>
      <c r="IY830" s="16"/>
      <c r="IZ830" s="16"/>
      <c r="JA830" s="16"/>
      <c r="JB830" s="16"/>
      <c r="JC830" s="17"/>
      <c r="JG830" s="24"/>
      <c r="JH830" s="60"/>
      <c r="JI830" s="16"/>
      <c r="JJ830" s="16"/>
      <c r="JK830" s="16"/>
      <c r="JL830" s="16"/>
      <c r="JM830" s="16"/>
      <c r="JN830" s="17"/>
      <c r="JR830" s="24"/>
      <c r="JS830" s="60"/>
      <c r="JT830" s="16"/>
      <c r="JU830" s="16"/>
      <c r="JV830" s="16"/>
      <c r="JW830" s="16"/>
      <c r="JX830" s="16"/>
      <c r="JY830" s="17"/>
      <c r="KC830" s="24"/>
      <c r="KD830" s="60"/>
      <c r="KE830" s="16"/>
      <c r="KF830" s="16"/>
      <c r="KG830" s="16"/>
      <c r="KH830" s="16"/>
      <c r="KI830" s="16"/>
      <c r="KJ830" s="17"/>
      <c r="KN830" s="24"/>
      <c r="KO830" s="60"/>
      <c r="KP830" s="16"/>
      <c r="KQ830" s="16"/>
      <c r="KR830" s="16"/>
      <c r="KS830" s="16"/>
      <c r="KT830" s="16"/>
      <c r="KU830" s="17"/>
      <c r="KY830" s="24"/>
      <c r="KZ830" s="60"/>
      <c r="LA830" s="16"/>
      <c r="LB830" s="16"/>
      <c r="LC830" s="16"/>
      <c r="LD830" s="16"/>
      <c r="LE830" s="16"/>
      <c r="LF830" s="17"/>
      <c r="LJ830" s="24"/>
      <c r="LK830" s="60"/>
      <c r="LL830" s="16"/>
      <c r="LM830" s="16"/>
      <c r="LN830" s="16"/>
      <c r="LO830" s="16"/>
      <c r="LP830" s="16"/>
      <c r="LQ830" s="17"/>
    </row>
    <row r="831">
      <c r="C831" s="31"/>
      <c r="D831" s="61"/>
      <c r="E831" s="16"/>
      <c r="F831" s="16"/>
      <c r="G831" s="21"/>
      <c r="H831" s="16"/>
      <c r="I831" s="16"/>
      <c r="J831" s="17"/>
      <c r="N831" s="17"/>
      <c r="O831" s="61"/>
      <c r="P831" s="16"/>
      <c r="Q831" s="16"/>
      <c r="R831" s="16"/>
      <c r="S831" s="16"/>
      <c r="T831" s="16"/>
      <c r="U831" s="17"/>
      <c r="Y831" s="24"/>
      <c r="Z831" s="61"/>
      <c r="AA831" s="16"/>
      <c r="AB831" s="16"/>
      <c r="AC831" s="16"/>
      <c r="AD831" s="16"/>
      <c r="AE831" s="16"/>
      <c r="AF831" s="17"/>
      <c r="AJ831" s="24"/>
      <c r="AK831" s="61"/>
      <c r="AL831" s="16"/>
      <c r="AM831" s="16"/>
      <c r="AN831" s="16"/>
      <c r="AO831" s="16"/>
      <c r="AP831" s="16"/>
      <c r="AQ831" s="17"/>
      <c r="AU831" s="24"/>
      <c r="AV831" s="61"/>
      <c r="AW831" s="16"/>
      <c r="AX831" s="16"/>
      <c r="AY831" s="16"/>
      <c r="AZ831" s="16"/>
      <c r="BA831" s="16"/>
      <c r="BB831" s="17"/>
      <c r="BF831" s="24"/>
      <c r="BG831" s="61"/>
      <c r="BH831" s="16"/>
      <c r="BI831" s="16"/>
      <c r="BJ831" s="16"/>
      <c r="BK831" s="16"/>
      <c r="BL831" s="16"/>
      <c r="BM831" s="17"/>
      <c r="BQ831" s="24"/>
      <c r="BR831" s="61"/>
      <c r="BS831" s="16"/>
      <c r="BT831" s="16"/>
      <c r="BU831" s="16"/>
      <c r="BV831" s="16"/>
      <c r="BW831" s="16"/>
      <c r="BX831" s="17"/>
      <c r="CB831" s="24"/>
      <c r="CC831" s="61"/>
      <c r="CD831" s="16"/>
      <c r="CE831" s="16"/>
      <c r="CF831" s="16"/>
      <c r="CG831" s="16"/>
      <c r="CH831" s="16"/>
      <c r="CI831" s="17"/>
      <c r="CM831" s="24"/>
      <c r="CN831" s="61"/>
      <c r="CO831" s="16"/>
      <c r="CP831" s="16"/>
      <c r="CQ831" s="16"/>
      <c r="CR831" s="16"/>
      <c r="CS831" s="16"/>
      <c r="CT831" s="17"/>
      <c r="CX831" s="24"/>
      <c r="CY831" s="60"/>
      <c r="CZ831" s="16"/>
      <c r="DA831" s="16"/>
      <c r="DB831" s="16"/>
      <c r="DC831" s="16"/>
      <c r="DD831" s="16"/>
      <c r="DE831" s="17"/>
      <c r="DI831" s="24"/>
      <c r="DJ831" s="60"/>
      <c r="DK831" s="16"/>
      <c r="DL831" s="16"/>
      <c r="DM831" s="16"/>
      <c r="DN831" s="16"/>
      <c r="DO831" s="16"/>
      <c r="DP831" s="17"/>
      <c r="DT831" s="24"/>
      <c r="DU831" s="60"/>
      <c r="DV831" s="16"/>
      <c r="DW831" s="16"/>
      <c r="DX831" s="16"/>
      <c r="DY831" s="16"/>
      <c r="DZ831" s="16"/>
      <c r="EA831" s="17"/>
      <c r="EE831" s="24"/>
      <c r="EF831" s="60"/>
      <c r="EG831" s="16"/>
      <c r="EH831" s="16"/>
      <c r="EI831" s="16"/>
      <c r="EJ831" s="16"/>
      <c r="EK831" s="16"/>
      <c r="EL831" s="17"/>
      <c r="EP831" s="24"/>
      <c r="EQ831" s="60"/>
      <c r="ER831" s="16"/>
      <c r="ES831" s="16"/>
      <c r="ET831" s="16"/>
      <c r="EU831" s="16"/>
      <c r="EV831" s="16"/>
      <c r="EW831" s="17"/>
      <c r="FA831" s="24"/>
      <c r="FB831" s="60"/>
      <c r="FC831" s="16"/>
      <c r="FD831" s="16"/>
      <c r="FE831" s="16"/>
      <c r="FF831" s="16"/>
      <c r="FG831" s="16"/>
      <c r="FH831" s="17"/>
      <c r="FL831" s="24"/>
      <c r="FM831" s="60"/>
      <c r="FN831" s="16"/>
      <c r="FO831" s="16"/>
      <c r="FP831" s="16"/>
      <c r="FQ831" s="16"/>
      <c r="FR831" s="16"/>
      <c r="FS831" s="17"/>
      <c r="FW831" s="24"/>
      <c r="FX831" s="60"/>
      <c r="FY831" s="16"/>
      <c r="FZ831" s="16"/>
      <c r="GA831" s="16"/>
      <c r="GB831" s="16"/>
      <c r="GC831" s="16"/>
      <c r="GD831" s="17"/>
      <c r="GH831" s="24"/>
      <c r="GI831" s="60"/>
      <c r="GJ831" s="16"/>
      <c r="GK831" s="16"/>
      <c r="GL831" s="16"/>
      <c r="GM831" s="16"/>
      <c r="GN831" s="16"/>
      <c r="GO831" s="17"/>
      <c r="GS831" s="24"/>
      <c r="GT831" s="60"/>
      <c r="GU831" s="16"/>
      <c r="GV831" s="16"/>
      <c r="GW831" s="16"/>
      <c r="GX831" s="16"/>
      <c r="GY831" s="16"/>
      <c r="GZ831" s="17"/>
      <c r="HD831" s="24"/>
      <c r="HE831" s="60"/>
      <c r="HF831" s="16"/>
      <c r="HG831" s="16"/>
      <c r="HH831" s="16"/>
      <c r="HI831" s="16"/>
      <c r="HJ831" s="16"/>
      <c r="HK831" s="17"/>
      <c r="HO831" s="24"/>
      <c r="HP831" s="60"/>
      <c r="HQ831" s="16"/>
      <c r="HR831" s="16"/>
      <c r="HS831" s="16"/>
      <c r="HT831" s="16"/>
      <c r="HU831" s="16"/>
      <c r="HV831" s="17"/>
      <c r="HZ831" s="24"/>
      <c r="IA831" s="60"/>
      <c r="IB831" s="16"/>
      <c r="IC831" s="16"/>
      <c r="ID831" s="16"/>
      <c r="IE831" s="16"/>
      <c r="IF831" s="16"/>
      <c r="IG831" s="17"/>
      <c r="IK831" s="24"/>
      <c r="IL831" s="60"/>
      <c r="IM831" s="16"/>
      <c r="IN831" s="16"/>
      <c r="IO831" s="16"/>
      <c r="IP831" s="16"/>
      <c r="IQ831" s="16"/>
      <c r="IR831" s="17"/>
      <c r="IV831" s="24"/>
      <c r="IW831" s="60"/>
      <c r="IX831" s="16"/>
      <c r="IY831" s="16"/>
      <c r="IZ831" s="16"/>
      <c r="JA831" s="16"/>
      <c r="JB831" s="16"/>
      <c r="JC831" s="17"/>
      <c r="JG831" s="24"/>
      <c r="JH831" s="60"/>
      <c r="JI831" s="16"/>
      <c r="JJ831" s="16"/>
      <c r="JK831" s="16"/>
      <c r="JL831" s="16"/>
      <c r="JM831" s="16"/>
      <c r="JN831" s="17"/>
      <c r="JR831" s="24"/>
      <c r="JS831" s="60"/>
      <c r="JT831" s="16"/>
      <c r="JU831" s="16"/>
      <c r="JV831" s="16"/>
      <c r="JW831" s="16"/>
      <c r="JX831" s="16"/>
      <c r="JY831" s="17"/>
      <c r="KC831" s="24"/>
      <c r="KD831" s="60"/>
      <c r="KE831" s="16"/>
      <c r="KF831" s="16"/>
      <c r="KG831" s="16"/>
      <c r="KH831" s="16"/>
      <c r="KI831" s="16"/>
      <c r="KJ831" s="17"/>
      <c r="KN831" s="24"/>
      <c r="KO831" s="60"/>
      <c r="KP831" s="16"/>
      <c r="KQ831" s="16"/>
      <c r="KR831" s="16"/>
      <c r="KS831" s="16"/>
      <c r="KT831" s="16"/>
      <c r="KU831" s="17"/>
      <c r="KY831" s="24"/>
      <c r="KZ831" s="60"/>
      <c r="LA831" s="16"/>
      <c r="LB831" s="16"/>
      <c r="LC831" s="16"/>
      <c r="LD831" s="16"/>
      <c r="LE831" s="16"/>
      <c r="LF831" s="17"/>
      <c r="LJ831" s="24"/>
      <c r="LK831" s="60"/>
      <c r="LL831" s="16"/>
      <c r="LM831" s="16"/>
      <c r="LN831" s="16"/>
      <c r="LO831" s="16"/>
      <c r="LP831" s="16"/>
      <c r="LQ831" s="17"/>
    </row>
    <row r="832">
      <c r="C832" s="31"/>
      <c r="D832" s="61"/>
      <c r="E832" s="16"/>
      <c r="F832" s="16"/>
      <c r="G832" s="21"/>
      <c r="H832" s="16"/>
      <c r="I832" s="16"/>
      <c r="J832" s="17"/>
      <c r="N832" s="17"/>
      <c r="O832" s="61"/>
      <c r="P832" s="16"/>
      <c r="Q832" s="16"/>
      <c r="R832" s="16"/>
      <c r="S832" s="16"/>
      <c r="T832" s="16"/>
      <c r="U832" s="17"/>
      <c r="Y832" s="24"/>
      <c r="Z832" s="61"/>
      <c r="AA832" s="16"/>
      <c r="AB832" s="16"/>
      <c r="AC832" s="16"/>
      <c r="AD832" s="16"/>
      <c r="AE832" s="16"/>
      <c r="AF832" s="17"/>
      <c r="AJ832" s="24"/>
      <c r="AK832" s="61"/>
      <c r="AL832" s="16"/>
      <c r="AM832" s="16"/>
      <c r="AN832" s="16"/>
      <c r="AO832" s="16"/>
      <c r="AP832" s="16"/>
      <c r="AQ832" s="17"/>
      <c r="AU832" s="24"/>
      <c r="AV832" s="61"/>
      <c r="AW832" s="16"/>
      <c r="AX832" s="16"/>
      <c r="AY832" s="16"/>
      <c r="AZ832" s="16"/>
      <c r="BA832" s="16"/>
      <c r="BB832" s="17"/>
      <c r="BF832" s="24"/>
      <c r="BG832" s="61"/>
      <c r="BH832" s="16"/>
      <c r="BI832" s="16"/>
      <c r="BJ832" s="16"/>
      <c r="BK832" s="16"/>
      <c r="BL832" s="16"/>
      <c r="BM832" s="17"/>
      <c r="BQ832" s="24"/>
      <c r="BR832" s="61"/>
      <c r="BS832" s="16"/>
      <c r="BT832" s="16"/>
      <c r="BU832" s="16"/>
      <c r="BV832" s="16"/>
      <c r="BW832" s="16"/>
      <c r="BX832" s="17"/>
      <c r="CB832" s="24"/>
      <c r="CC832" s="61"/>
      <c r="CD832" s="16"/>
      <c r="CE832" s="16"/>
      <c r="CF832" s="16"/>
      <c r="CG832" s="16"/>
      <c r="CH832" s="16"/>
      <c r="CI832" s="17"/>
      <c r="CM832" s="24"/>
      <c r="CN832" s="61"/>
      <c r="CO832" s="16"/>
      <c r="CP832" s="16"/>
      <c r="CQ832" s="16"/>
      <c r="CR832" s="16"/>
      <c r="CS832" s="16"/>
      <c r="CT832" s="17"/>
      <c r="CX832" s="24"/>
      <c r="CY832" s="60"/>
      <c r="CZ832" s="16"/>
      <c r="DA832" s="16"/>
      <c r="DB832" s="16"/>
      <c r="DC832" s="16"/>
      <c r="DD832" s="16"/>
      <c r="DE832" s="17"/>
      <c r="DI832" s="24"/>
      <c r="DJ832" s="60"/>
      <c r="DK832" s="16"/>
      <c r="DL832" s="16"/>
      <c r="DM832" s="16"/>
      <c r="DN832" s="16"/>
      <c r="DO832" s="16"/>
      <c r="DP832" s="17"/>
      <c r="DT832" s="24"/>
      <c r="DU832" s="60"/>
      <c r="DV832" s="16"/>
      <c r="DW832" s="16"/>
      <c r="DX832" s="16"/>
      <c r="DY832" s="16"/>
      <c r="DZ832" s="16"/>
      <c r="EA832" s="17"/>
      <c r="EE832" s="24"/>
      <c r="EF832" s="60"/>
      <c r="EG832" s="16"/>
      <c r="EH832" s="16"/>
      <c r="EI832" s="16"/>
      <c r="EJ832" s="16"/>
      <c r="EK832" s="16"/>
      <c r="EL832" s="17"/>
      <c r="EP832" s="24"/>
      <c r="EQ832" s="60"/>
      <c r="ER832" s="16"/>
      <c r="ES832" s="16"/>
      <c r="ET832" s="16"/>
      <c r="EU832" s="16"/>
      <c r="EV832" s="16"/>
      <c r="EW832" s="17"/>
      <c r="FA832" s="24"/>
      <c r="FB832" s="60"/>
      <c r="FC832" s="16"/>
      <c r="FD832" s="16"/>
      <c r="FE832" s="16"/>
      <c r="FF832" s="16"/>
      <c r="FG832" s="16"/>
      <c r="FH832" s="17"/>
      <c r="FL832" s="24"/>
      <c r="FM832" s="60"/>
      <c r="FN832" s="16"/>
      <c r="FO832" s="16"/>
      <c r="FP832" s="16"/>
      <c r="FQ832" s="16"/>
      <c r="FR832" s="16"/>
      <c r="FS832" s="17"/>
      <c r="FW832" s="24"/>
      <c r="FX832" s="60"/>
      <c r="FY832" s="16"/>
      <c r="FZ832" s="16"/>
      <c r="GA832" s="16"/>
      <c r="GB832" s="16"/>
      <c r="GC832" s="16"/>
      <c r="GD832" s="17"/>
      <c r="GH832" s="24"/>
      <c r="GI832" s="60"/>
      <c r="GJ832" s="16"/>
      <c r="GK832" s="16"/>
      <c r="GL832" s="16"/>
      <c r="GM832" s="16"/>
      <c r="GN832" s="16"/>
      <c r="GO832" s="17"/>
      <c r="GS832" s="24"/>
      <c r="GT832" s="60"/>
      <c r="GU832" s="16"/>
      <c r="GV832" s="16"/>
      <c r="GW832" s="16"/>
      <c r="GX832" s="16"/>
      <c r="GY832" s="16"/>
      <c r="GZ832" s="17"/>
      <c r="HD832" s="24"/>
      <c r="HE832" s="60"/>
      <c r="HF832" s="16"/>
      <c r="HG832" s="16"/>
      <c r="HH832" s="16"/>
      <c r="HI832" s="16"/>
      <c r="HJ832" s="16"/>
      <c r="HK832" s="17"/>
      <c r="HO832" s="24"/>
      <c r="HP832" s="60"/>
      <c r="HQ832" s="16"/>
      <c r="HR832" s="16"/>
      <c r="HS832" s="16"/>
      <c r="HT832" s="16"/>
      <c r="HU832" s="16"/>
      <c r="HV832" s="17"/>
      <c r="HZ832" s="24"/>
      <c r="IA832" s="60"/>
      <c r="IB832" s="16"/>
      <c r="IC832" s="16"/>
      <c r="ID832" s="16"/>
      <c r="IE832" s="16"/>
      <c r="IF832" s="16"/>
      <c r="IG832" s="17"/>
      <c r="IK832" s="24"/>
      <c r="IL832" s="60"/>
      <c r="IM832" s="16"/>
      <c r="IN832" s="16"/>
      <c r="IO832" s="16"/>
      <c r="IP832" s="16"/>
      <c r="IQ832" s="16"/>
      <c r="IR832" s="17"/>
      <c r="IV832" s="24"/>
      <c r="IW832" s="60"/>
      <c r="IX832" s="16"/>
      <c r="IY832" s="16"/>
      <c r="IZ832" s="16"/>
      <c r="JA832" s="16"/>
      <c r="JB832" s="16"/>
      <c r="JC832" s="17"/>
      <c r="JG832" s="24"/>
      <c r="JH832" s="60"/>
      <c r="JI832" s="16"/>
      <c r="JJ832" s="16"/>
      <c r="JK832" s="16"/>
      <c r="JL832" s="16"/>
      <c r="JM832" s="16"/>
      <c r="JN832" s="17"/>
      <c r="JR832" s="24"/>
      <c r="JS832" s="60"/>
      <c r="JT832" s="16"/>
      <c r="JU832" s="16"/>
      <c r="JV832" s="16"/>
      <c r="JW832" s="16"/>
      <c r="JX832" s="16"/>
      <c r="JY832" s="17"/>
      <c r="KC832" s="24"/>
      <c r="KD832" s="60"/>
      <c r="KE832" s="16"/>
      <c r="KF832" s="16"/>
      <c r="KG832" s="16"/>
      <c r="KH832" s="16"/>
      <c r="KI832" s="16"/>
      <c r="KJ832" s="17"/>
      <c r="KN832" s="24"/>
      <c r="KO832" s="60"/>
      <c r="KP832" s="16"/>
      <c r="KQ832" s="16"/>
      <c r="KR832" s="16"/>
      <c r="KS832" s="16"/>
      <c r="KT832" s="16"/>
      <c r="KU832" s="17"/>
      <c r="KY832" s="24"/>
      <c r="KZ832" s="60"/>
      <c r="LA832" s="16"/>
      <c r="LB832" s="16"/>
      <c r="LC832" s="16"/>
      <c r="LD832" s="16"/>
      <c r="LE832" s="16"/>
      <c r="LF832" s="17"/>
      <c r="LJ832" s="24"/>
      <c r="LK832" s="60"/>
      <c r="LL832" s="16"/>
      <c r="LM832" s="16"/>
      <c r="LN832" s="16"/>
      <c r="LO832" s="16"/>
      <c r="LP832" s="16"/>
      <c r="LQ832" s="17"/>
    </row>
    <row r="833">
      <c r="C833" s="31"/>
      <c r="D833" s="61"/>
      <c r="E833" s="16"/>
      <c r="F833" s="16"/>
      <c r="G833" s="21"/>
      <c r="H833" s="16"/>
      <c r="I833" s="16"/>
      <c r="J833" s="17"/>
      <c r="N833" s="17"/>
      <c r="O833" s="61"/>
      <c r="P833" s="16"/>
      <c r="Q833" s="16"/>
      <c r="R833" s="16"/>
      <c r="S833" s="16"/>
      <c r="T833" s="16"/>
      <c r="U833" s="17"/>
      <c r="Y833" s="24"/>
      <c r="Z833" s="61"/>
      <c r="AA833" s="16"/>
      <c r="AB833" s="16"/>
      <c r="AC833" s="16"/>
      <c r="AD833" s="16"/>
      <c r="AE833" s="16"/>
      <c r="AF833" s="17"/>
      <c r="AJ833" s="24"/>
      <c r="AK833" s="61"/>
      <c r="AL833" s="16"/>
      <c r="AM833" s="16"/>
      <c r="AN833" s="16"/>
      <c r="AO833" s="16"/>
      <c r="AP833" s="16"/>
      <c r="AQ833" s="17"/>
      <c r="AU833" s="24"/>
      <c r="AV833" s="61"/>
      <c r="AW833" s="16"/>
      <c r="AX833" s="16"/>
      <c r="AY833" s="16"/>
      <c r="AZ833" s="16"/>
      <c r="BA833" s="16"/>
      <c r="BB833" s="17"/>
      <c r="BF833" s="24"/>
      <c r="BG833" s="61"/>
      <c r="BH833" s="16"/>
      <c r="BI833" s="16"/>
      <c r="BJ833" s="16"/>
      <c r="BK833" s="16"/>
      <c r="BL833" s="16"/>
      <c r="BM833" s="17"/>
      <c r="BQ833" s="24"/>
      <c r="BR833" s="61"/>
      <c r="BS833" s="16"/>
      <c r="BT833" s="16"/>
      <c r="BU833" s="16"/>
      <c r="BV833" s="16"/>
      <c r="BW833" s="16"/>
      <c r="BX833" s="17"/>
      <c r="CB833" s="24"/>
      <c r="CC833" s="61"/>
      <c r="CD833" s="16"/>
      <c r="CE833" s="16"/>
      <c r="CF833" s="16"/>
      <c r="CG833" s="16"/>
      <c r="CH833" s="16"/>
      <c r="CI833" s="17"/>
      <c r="CM833" s="24"/>
      <c r="CN833" s="61"/>
      <c r="CO833" s="16"/>
      <c r="CP833" s="16"/>
      <c r="CQ833" s="16"/>
      <c r="CR833" s="16"/>
      <c r="CS833" s="16"/>
      <c r="CT833" s="17"/>
      <c r="CX833" s="24"/>
      <c r="CY833" s="60"/>
      <c r="CZ833" s="16"/>
      <c r="DA833" s="16"/>
      <c r="DB833" s="16"/>
      <c r="DC833" s="16"/>
      <c r="DD833" s="16"/>
      <c r="DE833" s="17"/>
      <c r="DI833" s="24"/>
      <c r="DJ833" s="60"/>
      <c r="DK833" s="16"/>
      <c r="DL833" s="16"/>
      <c r="DM833" s="16"/>
      <c r="DN833" s="16"/>
      <c r="DO833" s="16"/>
      <c r="DP833" s="17"/>
      <c r="DT833" s="24"/>
      <c r="DU833" s="60"/>
      <c r="DV833" s="16"/>
      <c r="DW833" s="16"/>
      <c r="DX833" s="16"/>
      <c r="DY833" s="16"/>
      <c r="DZ833" s="16"/>
      <c r="EA833" s="17"/>
      <c r="EE833" s="24"/>
      <c r="EF833" s="60"/>
      <c r="EG833" s="16"/>
      <c r="EH833" s="16"/>
      <c r="EI833" s="16"/>
      <c r="EJ833" s="16"/>
      <c r="EK833" s="16"/>
      <c r="EL833" s="17"/>
      <c r="EP833" s="24"/>
      <c r="EQ833" s="60"/>
      <c r="ER833" s="16"/>
      <c r="ES833" s="16"/>
      <c r="ET833" s="16"/>
      <c r="EU833" s="16"/>
      <c r="EV833" s="16"/>
      <c r="EW833" s="17"/>
      <c r="FA833" s="24"/>
      <c r="FB833" s="60"/>
      <c r="FC833" s="16"/>
      <c r="FD833" s="16"/>
      <c r="FE833" s="16"/>
      <c r="FF833" s="16"/>
      <c r="FG833" s="16"/>
      <c r="FH833" s="17"/>
      <c r="FL833" s="24"/>
      <c r="FM833" s="60"/>
      <c r="FN833" s="16"/>
      <c r="FO833" s="16"/>
      <c r="FP833" s="16"/>
      <c r="FQ833" s="16"/>
      <c r="FR833" s="16"/>
      <c r="FS833" s="17"/>
      <c r="FW833" s="24"/>
      <c r="FX833" s="60"/>
      <c r="FY833" s="16"/>
      <c r="FZ833" s="16"/>
      <c r="GA833" s="16"/>
      <c r="GB833" s="16"/>
      <c r="GC833" s="16"/>
      <c r="GD833" s="17"/>
      <c r="GH833" s="24"/>
      <c r="GI833" s="60"/>
      <c r="GJ833" s="16"/>
      <c r="GK833" s="16"/>
      <c r="GL833" s="16"/>
      <c r="GM833" s="16"/>
      <c r="GN833" s="16"/>
      <c r="GO833" s="17"/>
      <c r="GS833" s="24"/>
      <c r="GT833" s="60"/>
      <c r="GU833" s="16"/>
      <c r="GV833" s="16"/>
      <c r="GW833" s="16"/>
      <c r="GX833" s="16"/>
      <c r="GY833" s="16"/>
      <c r="GZ833" s="17"/>
      <c r="HD833" s="24"/>
      <c r="HE833" s="60"/>
      <c r="HF833" s="16"/>
      <c r="HG833" s="16"/>
      <c r="HH833" s="16"/>
      <c r="HI833" s="16"/>
      <c r="HJ833" s="16"/>
      <c r="HK833" s="17"/>
      <c r="HO833" s="24"/>
      <c r="HP833" s="60"/>
      <c r="HQ833" s="16"/>
      <c r="HR833" s="16"/>
      <c r="HS833" s="16"/>
      <c r="HT833" s="16"/>
      <c r="HU833" s="16"/>
      <c r="HV833" s="17"/>
      <c r="HZ833" s="24"/>
      <c r="IA833" s="60"/>
      <c r="IB833" s="16"/>
      <c r="IC833" s="16"/>
      <c r="ID833" s="16"/>
      <c r="IE833" s="16"/>
      <c r="IF833" s="16"/>
      <c r="IG833" s="17"/>
      <c r="IK833" s="24"/>
      <c r="IL833" s="60"/>
      <c r="IM833" s="16"/>
      <c r="IN833" s="16"/>
      <c r="IO833" s="16"/>
      <c r="IP833" s="16"/>
      <c r="IQ833" s="16"/>
      <c r="IR833" s="17"/>
      <c r="IV833" s="24"/>
      <c r="IW833" s="60"/>
      <c r="IX833" s="16"/>
      <c r="IY833" s="16"/>
      <c r="IZ833" s="16"/>
      <c r="JA833" s="16"/>
      <c r="JB833" s="16"/>
      <c r="JC833" s="17"/>
      <c r="JG833" s="24"/>
      <c r="JH833" s="60"/>
      <c r="JI833" s="16"/>
      <c r="JJ833" s="16"/>
      <c r="JK833" s="16"/>
      <c r="JL833" s="16"/>
      <c r="JM833" s="16"/>
      <c r="JN833" s="17"/>
      <c r="JR833" s="24"/>
      <c r="JS833" s="60"/>
      <c r="JT833" s="16"/>
      <c r="JU833" s="16"/>
      <c r="JV833" s="16"/>
      <c r="JW833" s="16"/>
      <c r="JX833" s="16"/>
      <c r="JY833" s="17"/>
      <c r="KC833" s="24"/>
      <c r="KD833" s="60"/>
      <c r="KE833" s="16"/>
      <c r="KF833" s="16"/>
      <c r="KG833" s="16"/>
      <c r="KH833" s="16"/>
      <c r="KI833" s="16"/>
      <c r="KJ833" s="17"/>
      <c r="KN833" s="24"/>
      <c r="KO833" s="60"/>
      <c r="KP833" s="16"/>
      <c r="KQ833" s="16"/>
      <c r="KR833" s="16"/>
      <c r="KS833" s="16"/>
      <c r="KT833" s="16"/>
      <c r="KU833" s="17"/>
      <c r="KY833" s="24"/>
      <c r="KZ833" s="60"/>
      <c r="LA833" s="16"/>
      <c r="LB833" s="16"/>
      <c r="LC833" s="16"/>
      <c r="LD833" s="16"/>
      <c r="LE833" s="16"/>
      <c r="LF833" s="17"/>
      <c r="LJ833" s="24"/>
      <c r="LK833" s="60"/>
      <c r="LL833" s="16"/>
      <c r="LM833" s="16"/>
      <c r="LN833" s="16"/>
      <c r="LO833" s="16"/>
      <c r="LP833" s="16"/>
      <c r="LQ833" s="17"/>
    </row>
    <row r="834">
      <c r="C834" s="31"/>
      <c r="D834" s="61"/>
      <c r="E834" s="16"/>
      <c r="F834" s="16"/>
      <c r="G834" s="21"/>
      <c r="H834" s="16"/>
      <c r="I834" s="16"/>
      <c r="J834" s="17"/>
      <c r="N834" s="17"/>
      <c r="O834" s="61"/>
      <c r="P834" s="16"/>
      <c r="Q834" s="16"/>
      <c r="R834" s="16"/>
      <c r="S834" s="16"/>
      <c r="T834" s="16"/>
      <c r="U834" s="17"/>
      <c r="Y834" s="24"/>
      <c r="Z834" s="61"/>
      <c r="AA834" s="16"/>
      <c r="AB834" s="16"/>
      <c r="AC834" s="16"/>
      <c r="AD834" s="16"/>
      <c r="AE834" s="16"/>
      <c r="AF834" s="17"/>
      <c r="AJ834" s="24"/>
      <c r="AK834" s="61"/>
      <c r="AL834" s="16"/>
      <c r="AM834" s="16"/>
      <c r="AN834" s="16"/>
      <c r="AO834" s="16"/>
      <c r="AP834" s="16"/>
      <c r="AQ834" s="17"/>
      <c r="AU834" s="24"/>
      <c r="AV834" s="61"/>
      <c r="AW834" s="16"/>
      <c r="AX834" s="16"/>
      <c r="AY834" s="16"/>
      <c r="AZ834" s="16"/>
      <c r="BA834" s="16"/>
      <c r="BB834" s="17"/>
      <c r="BF834" s="24"/>
      <c r="BG834" s="61"/>
      <c r="BH834" s="16"/>
      <c r="BI834" s="16"/>
      <c r="BJ834" s="16"/>
      <c r="BK834" s="16"/>
      <c r="BL834" s="16"/>
      <c r="BM834" s="17"/>
      <c r="BQ834" s="24"/>
      <c r="BR834" s="61"/>
      <c r="BS834" s="16"/>
      <c r="BT834" s="16"/>
      <c r="BU834" s="16"/>
      <c r="BV834" s="16"/>
      <c r="BW834" s="16"/>
      <c r="BX834" s="17"/>
      <c r="CB834" s="24"/>
      <c r="CC834" s="61"/>
      <c r="CD834" s="16"/>
      <c r="CE834" s="16"/>
      <c r="CF834" s="16"/>
      <c r="CG834" s="16"/>
      <c r="CH834" s="16"/>
      <c r="CI834" s="17"/>
      <c r="CM834" s="24"/>
      <c r="CN834" s="61"/>
      <c r="CO834" s="16"/>
      <c r="CP834" s="16"/>
      <c r="CQ834" s="16"/>
      <c r="CR834" s="16"/>
      <c r="CS834" s="16"/>
      <c r="CT834" s="17"/>
      <c r="CX834" s="24"/>
      <c r="CY834" s="60"/>
      <c r="CZ834" s="16"/>
      <c r="DA834" s="16"/>
      <c r="DB834" s="16"/>
      <c r="DC834" s="16"/>
      <c r="DD834" s="16"/>
      <c r="DE834" s="17"/>
      <c r="DI834" s="24"/>
      <c r="DJ834" s="60"/>
      <c r="DK834" s="16"/>
      <c r="DL834" s="16"/>
      <c r="DM834" s="16"/>
      <c r="DN834" s="16"/>
      <c r="DO834" s="16"/>
      <c r="DP834" s="17"/>
      <c r="DT834" s="24"/>
      <c r="DU834" s="60"/>
      <c r="DV834" s="16"/>
      <c r="DW834" s="16"/>
      <c r="DX834" s="16"/>
      <c r="DY834" s="16"/>
      <c r="DZ834" s="16"/>
      <c r="EA834" s="17"/>
      <c r="EE834" s="24"/>
      <c r="EF834" s="60"/>
      <c r="EG834" s="16"/>
      <c r="EH834" s="16"/>
      <c r="EI834" s="16"/>
      <c r="EJ834" s="16"/>
      <c r="EK834" s="16"/>
      <c r="EL834" s="17"/>
      <c r="EP834" s="24"/>
      <c r="EQ834" s="60"/>
      <c r="ER834" s="16"/>
      <c r="ES834" s="16"/>
      <c r="ET834" s="16"/>
      <c r="EU834" s="16"/>
      <c r="EV834" s="16"/>
      <c r="EW834" s="17"/>
      <c r="FA834" s="24"/>
      <c r="FB834" s="60"/>
      <c r="FC834" s="16"/>
      <c r="FD834" s="16"/>
      <c r="FE834" s="16"/>
      <c r="FF834" s="16"/>
      <c r="FG834" s="16"/>
      <c r="FH834" s="17"/>
      <c r="FL834" s="24"/>
      <c r="FM834" s="60"/>
      <c r="FN834" s="16"/>
      <c r="FO834" s="16"/>
      <c r="FP834" s="16"/>
      <c r="FQ834" s="16"/>
      <c r="FR834" s="16"/>
      <c r="FS834" s="17"/>
      <c r="FW834" s="24"/>
      <c r="FX834" s="60"/>
      <c r="FY834" s="16"/>
      <c r="FZ834" s="16"/>
      <c r="GA834" s="16"/>
      <c r="GB834" s="16"/>
      <c r="GC834" s="16"/>
      <c r="GD834" s="17"/>
      <c r="GH834" s="24"/>
      <c r="GI834" s="60"/>
      <c r="GJ834" s="16"/>
      <c r="GK834" s="16"/>
      <c r="GL834" s="16"/>
      <c r="GM834" s="16"/>
      <c r="GN834" s="16"/>
      <c r="GO834" s="17"/>
      <c r="GS834" s="24"/>
      <c r="GT834" s="60"/>
      <c r="GU834" s="16"/>
      <c r="GV834" s="16"/>
      <c r="GW834" s="16"/>
      <c r="GX834" s="16"/>
      <c r="GY834" s="16"/>
      <c r="GZ834" s="17"/>
      <c r="HD834" s="24"/>
      <c r="HE834" s="60"/>
      <c r="HF834" s="16"/>
      <c r="HG834" s="16"/>
      <c r="HH834" s="16"/>
      <c r="HI834" s="16"/>
      <c r="HJ834" s="16"/>
      <c r="HK834" s="17"/>
      <c r="HO834" s="24"/>
      <c r="HP834" s="60"/>
      <c r="HQ834" s="16"/>
      <c r="HR834" s="16"/>
      <c r="HS834" s="16"/>
      <c r="HT834" s="16"/>
      <c r="HU834" s="16"/>
      <c r="HV834" s="17"/>
      <c r="HZ834" s="24"/>
      <c r="IA834" s="60"/>
      <c r="IB834" s="16"/>
      <c r="IC834" s="16"/>
      <c r="ID834" s="16"/>
      <c r="IE834" s="16"/>
      <c r="IF834" s="16"/>
      <c r="IG834" s="17"/>
      <c r="IK834" s="24"/>
      <c r="IL834" s="60"/>
      <c r="IM834" s="16"/>
      <c r="IN834" s="16"/>
      <c r="IO834" s="16"/>
      <c r="IP834" s="16"/>
      <c r="IQ834" s="16"/>
      <c r="IR834" s="17"/>
      <c r="IV834" s="24"/>
      <c r="IW834" s="60"/>
      <c r="IX834" s="16"/>
      <c r="IY834" s="16"/>
      <c r="IZ834" s="16"/>
      <c r="JA834" s="16"/>
      <c r="JB834" s="16"/>
      <c r="JC834" s="17"/>
      <c r="JG834" s="24"/>
      <c r="JH834" s="60"/>
      <c r="JI834" s="16"/>
      <c r="JJ834" s="16"/>
      <c r="JK834" s="16"/>
      <c r="JL834" s="16"/>
      <c r="JM834" s="16"/>
      <c r="JN834" s="17"/>
      <c r="JR834" s="24"/>
      <c r="JS834" s="60"/>
      <c r="JT834" s="16"/>
      <c r="JU834" s="16"/>
      <c r="JV834" s="16"/>
      <c r="JW834" s="16"/>
      <c r="JX834" s="16"/>
      <c r="JY834" s="17"/>
      <c r="KC834" s="24"/>
      <c r="KD834" s="60"/>
      <c r="KE834" s="16"/>
      <c r="KF834" s="16"/>
      <c r="KG834" s="16"/>
      <c r="KH834" s="16"/>
      <c r="KI834" s="16"/>
      <c r="KJ834" s="17"/>
      <c r="KN834" s="24"/>
      <c r="KO834" s="60"/>
      <c r="KP834" s="16"/>
      <c r="KQ834" s="16"/>
      <c r="KR834" s="16"/>
      <c r="KS834" s="16"/>
      <c r="KT834" s="16"/>
      <c r="KU834" s="17"/>
      <c r="KY834" s="24"/>
      <c r="KZ834" s="60"/>
      <c r="LA834" s="16"/>
      <c r="LB834" s="16"/>
      <c r="LC834" s="16"/>
      <c r="LD834" s="16"/>
      <c r="LE834" s="16"/>
      <c r="LF834" s="17"/>
      <c r="LJ834" s="24"/>
      <c r="LK834" s="60"/>
      <c r="LL834" s="16"/>
      <c r="LM834" s="16"/>
      <c r="LN834" s="16"/>
      <c r="LO834" s="16"/>
      <c r="LP834" s="16"/>
      <c r="LQ834" s="17"/>
    </row>
    <row r="835">
      <c r="C835" s="31"/>
      <c r="D835" s="61"/>
      <c r="E835" s="16"/>
      <c r="F835" s="16"/>
      <c r="G835" s="21"/>
      <c r="H835" s="16"/>
      <c r="I835" s="16"/>
      <c r="J835" s="17"/>
      <c r="N835" s="17"/>
      <c r="O835" s="61"/>
      <c r="P835" s="16"/>
      <c r="Q835" s="16"/>
      <c r="R835" s="16"/>
      <c r="S835" s="16"/>
      <c r="T835" s="16"/>
      <c r="U835" s="17"/>
      <c r="Y835" s="24"/>
      <c r="Z835" s="61"/>
      <c r="AA835" s="16"/>
      <c r="AB835" s="16"/>
      <c r="AC835" s="16"/>
      <c r="AD835" s="16"/>
      <c r="AE835" s="16"/>
      <c r="AF835" s="17"/>
      <c r="AJ835" s="24"/>
      <c r="AK835" s="61"/>
      <c r="AL835" s="16"/>
      <c r="AM835" s="16"/>
      <c r="AN835" s="16"/>
      <c r="AO835" s="16"/>
      <c r="AP835" s="16"/>
      <c r="AQ835" s="17"/>
      <c r="AU835" s="24"/>
      <c r="AV835" s="61"/>
      <c r="AW835" s="16"/>
      <c r="AX835" s="16"/>
      <c r="AY835" s="16"/>
      <c r="AZ835" s="16"/>
      <c r="BA835" s="16"/>
      <c r="BB835" s="17"/>
      <c r="BF835" s="24"/>
      <c r="BG835" s="61"/>
      <c r="BH835" s="16"/>
      <c r="BI835" s="16"/>
      <c r="BJ835" s="16"/>
      <c r="BK835" s="16"/>
      <c r="BL835" s="16"/>
      <c r="BM835" s="17"/>
      <c r="BQ835" s="24"/>
      <c r="BR835" s="61"/>
      <c r="BS835" s="16"/>
      <c r="BT835" s="16"/>
      <c r="BU835" s="16"/>
      <c r="BV835" s="16"/>
      <c r="BW835" s="16"/>
      <c r="BX835" s="17"/>
      <c r="CB835" s="24"/>
      <c r="CC835" s="61"/>
      <c r="CD835" s="16"/>
      <c r="CE835" s="16"/>
      <c r="CF835" s="16"/>
      <c r="CG835" s="16"/>
      <c r="CH835" s="16"/>
      <c r="CI835" s="17"/>
      <c r="CM835" s="24"/>
      <c r="CN835" s="61"/>
      <c r="CO835" s="16"/>
      <c r="CP835" s="16"/>
      <c r="CQ835" s="16"/>
      <c r="CR835" s="16"/>
      <c r="CS835" s="16"/>
      <c r="CT835" s="17"/>
      <c r="CX835" s="24"/>
      <c r="CY835" s="60"/>
      <c r="CZ835" s="16"/>
      <c r="DA835" s="16"/>
      <c r="DB835" s="16"/>
      <c r="DC835" s="16"/>
      <c r="DD835" s="16"/>
      <c r="DE835" s="17"/>
      <c r="DI835" s="24"/>
      <c r="DJ835" s="60"/>
      <c r="DK835" s="16"/>
      <c r="DL835" s="16"/>
      <c r="DM835" s="16"/>
      <c r="DN835" s="16"/>
      <c r="DO835" s="16"/>
      <c r="DP835" s="17"/>
      <c r="DT835" s="24"/>
      <c r="DU835" s="60"/>
      <c r="DV835" s="16"/>
      <c r="DW835" s="16"/>
      <c r="DX835" s="16"/>
      <c r="DY835" s="16"/>
      <c r="DZ835" s="16"/>
      <c r="EA835" s="17"/>
      <c r="EE835" s="24"/>
      <c r="EF835" s="60"/>
      <c r="EG835" s="16"/>
      <c r="EH835" s="16"/>
      <c r="EI835" s="16"/>
      <c r="EJ835" s="16"/>
      <c r="EK835" s="16"/>
      <c r="EL835" s="17"/>
      <c r="EP835" s="24"/>
      <c r="EQ835" s="60"/>
      <c r="ER835" s="16"/>
      <c r="ES835" s="16"/>
      <c r="ET835" s="16"/>
      <c r="EU835" s="16"/>
      <c r="EV835" s="16"/>
      <c r="EW835" s="17"/>
      <c r="FA835" s="24"/>
      <c r="FB835" s="60"/>
      <c r="FC835" s="16"/>
      <c r="FD835" s="16"/>
      <c r="FE835" s="16"/>
      <c r="FF835" s="16"/>
      <c r="FG835" s="16"/>
      <c r="FH835" s="17"/>
      <c r="FL835" s="24"/>
      <c r="FM835" s="60"/>
      <c r="FN835" s="16"/>
      <c r="FO835" s="16"/>
      <c r="FP835" s="16"/>
      <c r="FQ835" s="16"/>
      <c r="FR835" s="16"/>
      <c r="FS835" s="17"/>
      <c r="FW835" s="24"/>
      <c r="FX835" s="60"/>
      <c r="FY835" s="16"/>
      <c r="FZ835" s="16"/>
      <c r="GA835" s="16"/>
      <c r="GB835" s="16"/>
      <c r="GC835" s="16"/>
      <c r="GD835" s="17"/>
      <c r="GH835" s="24"/>
      <c r="GI835" s="60"/>
      <c r="GJ835" s="16"/>
      <c r="GK835" s="16"/>
      <c r="GL835" s="16"/>
      <c r="GM835" s="16"/>
      <c r="GN835" s="16"/>
      <c r="GO835" s="17"/>
      <c r="GS835" s="24"/>
      <c r="GT835" s="60"/>
      <c r="GU835" s="16"/>
      <c r="GV835" s="16"/>
      <c r="GW835" s="16"/>
      <c r="GX835" s="16"/>
      <c r="GY835" s="16"/>
      <c r="GZ835" s="17"/>
      <c r="HD835" s="24"/>
      <c r="HE835" s="60"/>
      <c r="HF835" s="16"/>
      <c r="HG835" s="16"/>
      <c r="HH835" s="16"/>
      <c r="HI835" s="16"/>
      <c r="HJ835" s="16"/>
      <c r="HK835" s="17"/>
      <c r="HO835" s="24"/>
      <c r="HP835" s="60"/>
      <c r="HQ835" s="16"/>
      <c r="HR835" s="16"/>
      <c r="HS835" s="16"/>
      <c r="HT835" s="16"/>
      <c r="HU835" s="16"/>
      <c r="HV835" s="17"/>
      <c r="HZ835" s="24"/>
      <c r="IA835" s="60"/>
      <c r="IB835" s="16"/>
      <c r="IC835" s="16"/>
      <c r="ID835" s="16"/>
      <c r="IE835" s="16"/>
      <c r="IF835" s="16"/>
      <c r="IG835" s="17"/>
      <c r="IK835" s="24"/>
      <c r="IL835" s="60"/>
      <c r="IM835" s="16"/>
      <c r="IN835" s="16"/>
      <c r="IO835" s="16"/>
      <c r="IP835" s="16"/>
      <c r="IQ835" s="16"/>
      <c r="IR835" s="17"/>
      <c r="IV835" s="24"/>
      <c r="IW835" s="60"/>
      <c r="IX835" s="16"/>
      <c r="IY835" s="16"/>
      <c r="IZ835" s="16"/>
      <c r="JA835" s="16"/>
      <c r="JB835" s="16"/>
      <c r="JC835" s="17"/>
      <c r="JG835" s="24"/>
      <c r="JH835" s="60"/>
      <c r="JI835" s="16"/>
      <c r="JJ835" s="16"/>
      <c r="JK835" s="16"/>
      <c r="JL835" s="16"/>
      <c r="JM835" s="16"/>
      <c r="JN835" s="17"/>
      <c r="JR835" s="24"/>
      <c r="JS835" s="60"/>
      <c r="JT835" s="16"/>
      <c r="JU835" s="16"/>
      <c r="JV835" s="16"/>
      <c r="JW835" s="16"/>
      <c r="JX835" s="16"/>
      <c r="JY835" s="17"/>
      <c r="KC835" s="24"/>
      <c r="KD835" s="60"/>
      <c r="KE835" s="16"/>
      <c r="KF835" s="16"/>
      <c r="KG835" s="16"/>
      <c r="KH835" s="16"/>
      <c r="KI835" s="16"/>
      <c r="KJ835" s="17"/>
      <c r="KN835" s="24"/>
      <c r="KO835" s="60"/>
      <c r="KP835" s="16"/>
      <c r="KQ835" s="16"/>
      <c r="KR835" s="16"/>
      <c r="KS835" s="16"/>
      <c r="KT835" s="16"/>
      <c r="KU835" s="17"/>
      <c r="KY835" s="24"/>
      <c r="KZ835" s="60"/>
      <c r="LA835" s="16"/>
      <c r="LB835" s="16"/>
      <c r="LC835" s="16"/>
      <c r="LD835" s="16"/>
      <c r="LE835" s="16"/>
      <c r="LF835" s="17"/>
      <c r="LJ835" s="24"/>
      <c r="LK835" s="60"/>
      <c r="LL835" s="16"/>
      <c r="LM835" s="16"/>
      <c r="LN835" s="16"/>
      <c r="LO835" s="16"/>
      <c r="LP835" s="16"/>
      <c r="LQ835" s="17"/>
    </row>
    <row r="836">
      <c r="C836" s="31"/>
      <c r="D836" s="61"/>
      <c r="E836" s="16"/>
      <c r="F836" s="16"/>
      <c r="G836" s="21"/>
      <c r="H836" s="16"/>
      <c r="I836" s="16"/>
      <c r="J836" s="17"/>
      <c r="N836" s="17"/>
      <c r="O836" s="61"/>
      <c r="P836" s="16"/>
      <c r="Q836" s="16"/>
      <c r="R836" s="16"/>
      <c r="S836" s="16"/>
      <c r="T836" s="16"/>
      <c r="U836" s="17"/>
      <c r="Y836" s="24"/>
      <c r="Z836" s="61"/>
      <c r="AA836" s="16"/>
      <c r="AB836" s="16"/>
      <c r="AC836" s="16"/>
      <c r="AD836" s="16"/>
      <c r="AE836" s="16"/>
      <c r="AF836" s="17"/>
      <c r="AJ836" s="24"/>
      <c r="AK836" s="61"/>
      <c r="AL836" s="16"/>
      <c r="AM836" s="16"/>
      <c r="AN836" s="16"/>
      <c r="AO836" s="16"/>
      <c r="AP836" s="16"/>
      <c r="AQ836" s="17"/>
      <c r="AU836" s="24"/>
      <c r="AV836" s="61"/>
      <c r="AW836" s="16"/>
      <c r="AX836" s="16"/>
      <c r="AY836" s="16"/>
      <c r="AZ836" s="16"/>
      <c r="BA836" s="16"/>
      <c r="BB836" s="17"/>
      <c r="BF836" s="24"/>
      <c r="BG836" s="61"/>
      <c r="BH836" s="16"/>
      <c r="BI836" s="16"/>
      <c r="BJ836" s="16"/>
      <c r="BK836" s="16"/>
      <c r="BL836" s="16"/>
      <c r="BM836" s="17"/>
      <c r="BQ836" s="24"/>
      <c r="BR836" s="61"/>
      <c r="BS836" s="16"/>
      <c r="BT836" s="16"/>
      <c r="BU836" s="16"/>
      <c r="BV836" s="16"/>
      <c r="BW836" s="16"/>
      <c r="BX836" s="17"/>
      <c r="CB836" s="24"/>
      <c r="CC836" s="61"/>
      <c r="CD836" s="16"/>
      <c r="CE836" s="16"/>
      <c r="CF836" s="16"/>
      <c r="CG836" s="16"/>
      <c r="CH836" s="16"/>
      <c r="CI836" s="17"/>
      <c r="CM836" s="24"/>
      <c r="CN836" s="61"/>
      <c r="CO836" s="16"/>
      <c r="CP836" s="16"/>
      <c r="CQ836" s="16"/>
      <c r="CR836" s="16"/>
      <c r="CS836" s="16"/>
      <c r="CT836" s="17"/>
      <c r="CX836" s="24"/>
      <c r="CY836" s="60"/>
      <c r="CZ836" s="16"/>
      <c r="DA836" s="16"/>
      <c r="DB836" s="16"/>
      <c r="DC836" s="16"/>
      <c r="DD836" s="16"/>
      <c r="DE836" s="17"/>
      <c r="DI836" s="24"/>
      <c r="DJ836" s="60"/>
      <c r="DK836" s="16"/>
      <c r="DL836" s="16"/>
      <c r="DM836" s="16"/>
      <c r="DN836" s="16"/>
      <c r="DO836" s="16"/>
      <c r="DP836" s="17"/>
      <c r="DT836" s="24"/>
      <c r="DU836" s="60"/>
      <c r="DV836" s="16"/>
      <c r="DW836" s="16"/>
      <c r="DX836" s="16"/>
      <c r="DY836" s="16"/>
      <c r="DZ836" s="16"/>
      <c r="EA836" s="17"/>
      <c r="EE836" s="24"/>
      <c r="EF836" s="60"/>
      <c r="EG836" s="16"/>
      <c r="EH836" s="16"/>
      <c r="EI836" s="16"/>
      <c r="EJ836" s="16"/>
      <c r="EK836" s="16"/>
      <c r="EL836" s="17"/>
      <c r="EP836" s="24"/>
      <c r="EQ836" s="60"/>
      <c r="ER836" s="16"/>
      <c r="ES836" s="16"/>
      <c r="ET836" s="16"/>
      <c r="EU836" s="16"/>
      <c r="EV836" s="16"/>
      <c r="EW836" s="17"/>
      <c r="FA836" s="24"/>
      <c r="FB836" s="60"/>
      <c r="FC836" s="16"/>
      <c r="FD836" s="16"/>
      <c r="FE836" s="16"/>
      <c r="FF836" s="16"/>
      <c r="FG836" s="16"/>
      <c r="FH836" s="17"/>
      <c r="FL836" s="24"/>
      <c r="FM836" s="60"/>
      <c r="FN836" s="16"/>
      <c r="FO836" s="16"/>
      <c r="FP836" s="16"/>
      <c r="FQ836" s="16"/>
      <c r="FR836" s="16"/>
      <c r="FS836" s="17"/>
      <c r="FW836" s="24"/>
      <c r="FX836" s="60"/>
      <c r="FY836" s="16"/>
      <c r="FZ836" s="16"/>
      <c r="GA836" s="16"/>
      <c r="GB836" s="16"/>
      <c r="GC836" s="16"/>
      <c r="GD836" s="17"/>
      <c r="GH836" s="24"/>
      <c r="GI836" s="60"/>
      <c r="GJ836" s="16"/>
      <c r="GK836" s="16"/>
      <c r="GL836" s="16"/>
      <c r="GM836" s="16"/>
      <c r="GN836" s="16"/>
      <c r="GO836" s="17"/>
      <c r="GS836" s="24"/>
      <c r="GT836" s="60"/>
      <c r="GU836" s="16"/>
      <c r="GV836" s="16"/>
      <c r="GW836" s="16"/>
      <c r="GX836" s="16"/>
      <c r="GY836" s="16"/>
      <c r="GZ836" s="17"/>
      <c r="HD836" s="24"/>
      <c r="HE836" s="60"/>
      <c r="HF836" s="16"/>
      <c r="HG836" s="16"/>
      <c r="HH836" s="16"/>
      <c r="HI836" s="16"/>
      <c r="HJ836" s="16"/>
      <c r="HK836" s="17"/>
      <c r="HO836" s="24"/>
      <c r="HP836" s="60"/>
      <c r="HQ836" s="16"/>
      <c r="HR836" s="16"/>
      <c r="HS836" s="16"/>
      <c r="HT836" s="16"/>
      <c r="HU836" s="16"/>
      <c r="HV836" s="17"/>
      <c r="HZ836" s="24"/>
      <c r="IA836" s="60"/>
      <c r="IB836" s="16"/>
      <c r="IC836" s="16"/>
      <c r="ID836" s="16"/>
      <c r="IE836" s="16"/>
      <c r="IF836" s="16"/>
      <c r="IG836" s="17"/>
      <c r="IK836" s="24"/>
      <c r="IL836" s="60"/>
      <c r="IM836" s="16"/>
      <c r="IN836" s="16"/>
      <c r="IO836" s="16"/>
      <c r="IP836" s="16"/>
      <c r="IQ836" s="16"/>
      <c r="IR836" s="17"/>
      <c r="IV836" s="24"/>
      <c r="IW836" s="60"/>
      <c r="IX836" s="16"/>
      <c r="IY836" s="16"/>
      <c r="IZ836" s="16"/>
      <c r="JA836" s="16"/>
      <c r="JB836" s="16"/>
      <c r="JC836" s="17"/>
      <c r="JG836" s="24"/>
      <c r="JH836" s="60"/>
      <c r="JI836" s="16"/>
      <c r="JJ836" s="16"/>
      <c r="JK836" s="16"/>
      <c r="JL836" s="16"/>
      <c r="JM836" s="16"/>
      <c r="JN836" s="17"/>
      <c r="JR836" s="24"/>
      <c r="JS836" s="60"/>
      <c r="JT836" s="16"/>
      <c r="JU836" s="16"/>
      <c r="JV836" s="16"/>
      <c r="JW836" s="16"/>
      <c r="JX836" s="16"/>
      <c r="JY836" s="17"/>
      <c r="KC836" s="24"/>
      <c r="KD836" s="60"/>
      <c r="KE836" s="16"/>
      <c r="KF836" s="16"/>
      <c r="KG836" s="16"/>
      <c r="KH836" s="16"/>
      <c r="KI836" s="16"/>
      <c r="KJ836" s="17"/>
      <c r="KN836" s="24"/>
      <c r="KO836" s="60"/>
      <c r="KP836" s="16"/>
      <c r="KQ836" s="16"/>
      <c r="KR836" s="16"/>
      <c r="KS836" s="16"/>
      <c r="KT836" s="16"/>
      <c r="KU836" s="17"/>
      <c r="KY836" s="24"/>
      <c r="KZ836" s="60"/>
      <c r="LA836" s="16"/>
      <c r="LB836" s="16"/>
      <c r="LC836" s="16"/>
      <c r="LD836" s="16"/>
      <c r="LE836" s="16"/>
      <c r="LF836" s="17"/>
      <c r="LJ836" s="24"/>
      <c r="LK836" s="60"/>
      <c r="LL836" s="16"/>
      <c r="LM836" s="16"/>
      <c r="LN836" s="16"/>
      <c r="LO836" s="16"/>
      <c r="LP836" s="16"/>
      <c r="LQ836" s="17"/>
    </row>
    <row r="837">
      <c r="C837" s="31"/>
      <c r="D837" s="61"/>
      <c r="E837" s="16"/>
      <c r="F837" s="16"/>
      <c r="G837" s="21"/>
      <c r="H837" s="16"/>
      <c r="I837" s="16"/>
      <c r="J837" s="17"/>
      <c r="N837" s="17"/>
      <c r="O837" s="61"/>
      <c r="P837" s="16"/>
      <c r="Q837" s="16"/>
      <c r="R837" s="16"/>
      <c r="S837" s="16"/>
      <c r="T837" s="16"/>
      <c r="U837" s="17"/>
      <c r="Y837" s="24"/>
      <c r="Z837" s="61"/>
      <c r="AA837" s="16"/>
      <c r="AB837" s="16"/>
      <c r="AC837" s="16"/>
      <c r="AD837" s="16"/>
      <c r="AE837" s="16"/>
      <c r="AF837" s="17"/>
      <c r="AJ837" s="24"/>
      <c r="AK837" s="61"/>
      <c r="AL837" s="16"/>
      <c r="AM837" s="16"/>
      <c r="AN837" s="16"/>
      <c r="AO837" s="16"/>
      <c r="AP837" s="16"/>
      <c r="AQ837" s="17"/>
      <c r="AU837" s="24"/>
      <c r="AV837" s="61"/>
      <c r="AW837" s="16"/>
      <c r="AX837" s="16"/>
      <c r="AY837" s="16"/>
      <c r="AZ837" s="16"/>
      <c r="BA837" s="16"/>
      <c r="BB837" s="17"/>
      <c r="BF837" s="24"/>
      <c r="BG837" s="61"/>
      <c r="BH837" s="16"/>
      <c r="BI837" s="16"/>
      <c r="BJ837" s="16"/>
      <c r="BK837" s="16"/>
      <c r="BL837" s="16"/>
      <c r="BM837" s="17"/>
      <c r="BQ837" s="24"/>
      <c r="BR837" s="61"/>
      <c r="BS837" s="16"/>
      <c r="BT837" s="16"/>
      <c r="BU837" s="16"/>
      <c r="BV837" s="16"/>
      <c r="BW837" s="16"/>
      <c r="BX837" s="17"/>
      <c r="CB837" s="24"/>
      <c r="CC837" s="61"/>
      <c r="CD837" s="16"/>
      <c r="CE837" s="16"/>
      <c r="CF837" s="16"/>
      <c r="CG837" s="16"/>
      <c r="CH837" s="16"/>
      <c r="CI837" s="17"/>
      <c r="CM837" s="24"/>
      <c r="CN837" s="61"/>
      <c r="CO837" s="16"/>
      <c r="CP837" s="16"/>
      <c r="CQ837" s="16"/>
      <c r="CR837" s="16"/>
      <c r="CS837" s="16"/>
      <c r="CT837" s="17"/>
      <c r="CX837" s="24"/>
      <c r="CY837" s="60"/>
      <c r="CZ837" s="16"/>
      <c r="DA837" s="16"/>
      <c r="DB837" s="16"/>
      <c r="DC837" s="16"/>
      <c r="DD837" s="16"/>
      <c r="DE837" s="17"/>
      <c r="DI837" s="24"/>
      <c r="DJ837" s="60"/>
      <c r="DK837" s="16"/>
      <c r="DL837" s="16"/>
      <c r="DM837" s="16"/>
      <c r="DN837" s="16"/>
      <c r="DO837" s="16"/>
      <c r="DP837" s="17"/>
      <c r="DT837" s="24"/>
      <c r="DU837" s="60"/>
      <c r="DV837" s="16"/>
      <c r="DW837" s="16"/>
      <c r="DX837" s="16"/>
      <c r="DY837" s="16"/>
      <c r="DZ837" s="16"/>
      <c r="EA837" s="17"/>
      <c r="EE837" s="24"/>
      <c r="EF837" s="60"/>
      <c r="EG837" s="16"/>
      <c r="EH837" s="16"/>
      <c r="EI837" s="16"/>
      <c r="EJ837" s="16"/>
      <c r="EK837" s="16"/>
      <c r="EL837" s="17"/>
      <c r="EP837" s="24"/>
      <c r="EQ837" s="60"/>
      <c r="ER837" s="16"/>
      <c r="ES837" s="16"/>
      <c r="ET837" s="16"/>
      <c r="EU837" s="16"/>
      <c r="EV837" s="16"/>
      <c r="EW837" s="17"/>
      <c r="FA837" s="24"/>
      <c r="FB837" s="60"/>
      <c r="FC837" s="16"/>
      <c r="FD837" s="16"/>
      <c r="FE837" s="16"/>
      <c r="FF837" s="16"/>
      <c r="FG837" s="16"/>
      <c r="FH837" s="17"/>
      <c r="FL837" s="24"/>
      <c r="FM837" s="60"/>
      <c r="FN837" s="16"/>
      <c r="FO837" s="16"/>
      <c r="FP837" s="16"/>
      <c r="FQ837" s="16"/>
      <c r="FR837" s="16"/>
      <c r="FS837" s="17"/>
      <c r="FW837" s="24"/>
      <c r="FX837" s="60"/>
      <c r="FY837" s="16"/>
      <c r="FZ837" s="16"/>
      <c r="GA837" s="16"/>
      <c r="GB837" s="16"/>
      <c r="GC837" s="16"/>
      <c r="GD837" s="17"/>
      <c r="GH837" s="24"/>
      <c r="GI837" s="60"/>
      <c r="GJ837" s="16"/>
      <c r="GK837" s="16"/>
      <c r="GL837" s="16"/>
      <c r="GM837" s="16"/>
      <c r="GN837" s="16"/>
      <c r="GO837" s="17"/>
      <c r="GS837" s="24"/>
      <c r="GT837" s="60"/>
      <c r="GU837" s="16"/>
      <c r="GV837" s="16"/>
      <c r="GW837" s="16"/>
      <c r="GX837" s="16"/>
      <c r="GY837" s="16"/>
      <c r="GZ837" s="17"/>
      <c r="HD837" s="24"/>
      <c r="HE837" s="60"/>
      <c r="HF837" s="16"/>
      <c r="HG837" s="16"/>
      <c r="HH837" s="16"/>
      <c r="HI837" s="16"/>
      <c r="HJ837" s="16"/>
      <c r="HK837" s="17"/>
      <c r="HO837" s="24"/>
      <c r="HP837" s="60"/>
      <c r="HQ837" s="16"/>
      <c r="HR837" s="16"/>
      <c r="HS837" s="16"/>
      <c r="HT837" s="16"/>
      <c r="HU837" s="16"/>
      <c r="HV837" s="17"/>
      <c r="HZ837" s="24"/>
      <c r="IA837" s="60"/>
      <c r="IB837" s="16"/>
      <c r="IC837" s="16"/>
      <c r="ID837" s="16"/>
      <c r="IE837" s="16"/>
      <c r="IF837" s="16"/>
      <c r="IG837" s="17"/>
      <c r="IK837" s="24"/>
      <c r="IL837" s="60"/>
      <c r="IM837" s="16"/>
      <c r="IN837" s="16"/>
      <c r="IO837" s="16"/>
      <c r="IP837" s="16"/>
      <c r="IQ837" s="16"/>
      <c r="IR837" s="17"/>
      <c r="IV837" s="24"/>
      <c r="IW837" s="60"/>
      <c r="IX837" s="16"/>
      <c r="IY837" s="16"/>
      <c r="IZ837" s="16"/>
      <c r="JA837" s="16"/>
      <c r="JB837" s="16"/>
      <c r="JC837" s="17"/>
      <c r="JG837" s="24"/>
      <c r="JH837" s="60"/>
      <c r="JI837" s="16"/>
      <c r="JJ837" s="16"/>
      <c r="JK837" s="16"/>
      <c r="JL837" s="16"/>
      <c r="JM837" s="16"/>
      <c r="JN837" s="17"/>
      <c r="JR837" s="24"/>
      <c r="JS837" s="60"/>
      <c r="JT837" s="16"/>
      <c r="JU837" s="16"/>
      <c r="JV837" s="16"/>
      <c r="JW837" s="16"/>
      <c r="JX837" s="16"/>
      <c r="JY837" s="17"/>
      <c r="KC837" s="24"/>
      <c r="KD837" s="60"/>
      <c r="KE837" s="16"/>
      <c r="KF837" s="16"/>
      <c r="KG837" s="16"/>
      <c r="KH837" s="16"/>
      <c r="KI837" s="16"/>
      <c r="KJ837" s="17"/>
      <c r="KN837" s="24"/>
      <c r="KO837" s="60"/>
      <c r="KP837" s="16"/>
      <c r="KQ837" s="16"/>
      <c r="KR837" s="16"/>
      <c r="KS837" s="16"/>
      <c r="KT837" s="16"/>
      <c r="KU837" s="17"/>
      <c r="KY837" s="24"/>
      <c r="KZ837" s="60"/>
      <c r="LA837" s="16"/>
      <c r="LB837" s="16"/>
      <c r="LC837" s="16"/>
      <c r="LD837" s="16"/>
      <c r="LE837" s="16"/>
      <c r="LF837" s="17"/>
      <c r="LJ837" s="24"/>
      <c r="LK837" s="60"/>
      <c r="LL837" s="16"/>
      <c r="LM837" s="16"/>
      <c r="LN837" s="16"/>
      <c r="LO837" s="16"/>
      <c r="LP837" s="16"/>
      <c r="LQ837" s="17"/>
    </row>
    <row r="838">
      <c r="C838" s="31"/>
      <c r="D838" s="61"/>
      <c r="E838" s="16"/>
      <c r="F838" s="16"/>
      <c r="G838" s="21"/>
      <c r="H838" s="16"/>
      <c r="I838" s="16"/>
      <c r="J838" s="17"/>
      <c r="N838" s="17"/>
      <c r="O838" s="61"/>
      <c r="P838" s="16"/>
      <c r="Q838" s="16"/>
      <c r="R838" s="16"/>
      <c r="S838" s="16"/>
      <c r="T838" s="16"/>
      <c r="U838" s="17"/>
      <c r="Y838" s="24"/>
      <c r="Z838" s="61"/>
      <c r="AA838" s="16"/>
      <c r="AB838" s="16"/>
      <c r="AC838" s="16"/>
      <c r="AD838" s="16"/>
      <c r="AE838" s="16"/>
      <c r="AF838" s="17"/>
      <c r="AJ838" s="24"/>
      <c r="AK838" s="61"/>
      <c r="AL838" s="16"/>
      <c r="AM838" s="16"/>
      <c r="AN838" s="16"/>
      <c r="AO838" s="16"/>
      <c r="AP838" s="16"/>
      <c r="AQ838" s="17"/>
      <c r="AU838" s="24"/>
      <c r="AV838" s="61"/>
      <c r="AW838" s="16"/>
      <c r="AX838" s="16"/>
      <c r="AY838" s="16"/>
      <c r="AZ838" s="16"/>
      <c r="BA838" s="16"/>
      <c r="BB838" s="17"/>
      <c r="BF838" s="24"/>
      <c r="BG838" s="61"/>
      <c r="BH838" s="16"/>
      <c r="BI838" s="16"/>
      <c r="BJ838" s="16"/>
      <c r="BK838" s="16"/>
      <c r="BL838" s="16"/>
      <c r="BM838" s="17"/>
      <c r="BQ838" s="24"/>
      <c r="BR838" s="61"/>
      <c r="BS838" s="16"/>
      <c r="BT838" s="16"/>
      <c r="BU838" s="16"/>
      <c r="BV838" s="16"/>
      <c r="BW838" s="16"/>
      <c r="BX838" s="17"/>
      <c r="CB838" s="24"/>
      <c r="CC838" s="61"/>
      <c r="CD838" s="16"/>
      <c r="CE838" s="16"/>
      <c r="CF838" s="16"/>
      <c r="CG838" s="16"/>
      <c r="CH838" s="16"/>
      <c r="CI838" s="17"/>
      <c r="CM838" s="24"/>
      <c r="CN838" s="61"/>
      <c r="CO838" s="16"/>
      <c r="CP838" s="16"/>
      <c r="CQ838" s="16"/>
      <c r="CR838" s="16"/>
      <c r="CS838" s="16"/>
      <c r="CT838" s="17"/>
      <c r="CX838" s="24"/>
      <c r="CY838" s="60"/>
      <c r="CZ838" s="16"/>
      <c r="DA838" s="16"/>
      <c r="DB838" s="16"/>
      <c r="DC838" s="16"/>
      <c r="DD838" s="16"/>
      <c r="DE838" s="17"/>
      <c r="DI838" s="24"/>
      <c r="DJ838" s="60"/>
      <c r="DK838" s="16"/>
      <c r="DL838" s="16"/>
      <c r="DM838" s="16"/>
      <c r="DN838" s="16"/>
      <c r="DO838" s="16"/>
      <c r="DP838" s="17"/>
      <c r="DT838" s="24"/>
      <c r="DU838" s="60"/>
      <c r="DV838" s="16"/>
      <c r="DW838" s="16"/>
      <c r="DX838" s="16"/>
      <c r="DY838" s="16"/>
      <c r="DZ838" s="16"/>
      <c r="EA838" s="17"/>
      <c r="EE838" s="24"/>
      <c r="EF838" s="60"/>
      <c r="EG838" s="16"/>
      <c r="EH838" s="16"/>
      <c r="EI838" s="16"/>
      <c r="EJ838" s="16"/>
      <c r="EK838" s="16"/>
      <c r="EL838" s="17"/>
      <c r="EP838" s="24"/>
      <c r="EQ838" s="60"/>
      <c r="ER838" s="16"/>
      <c r="ES838" s="16"/>
      <c r="ET838" s="16"/>
      <c r="EU838" s="16"/>
      <c r="EV838" s="16"/>
      <c r="EW838" s="17"/>
      <c r="FA838" s="24"/>
      <c r="FB838" s="60"/>
      <c r="FC838" s="16"/>
      <c r="FD838" s="16"/>
      <c r="FE838" s="16"/>
      <c r="FF838" s="16"/>
      <c r="FG838" s="16"/>
      <c r="FH838" s="17"/>
      <c r="FL838" s="24"/>
      <c r="FM838" s="60"/>
      <c r="FN838" s="16"/>
      <c r="FO838" s="16"/>
      <c r="FP838" s="16"/>
      <c r="FQ838" s="16"/>
      <c r="FR838" s="16"/>
      <c r="FS838" s="17"/>
      <c r="FW838" s="24"/>
      <c r="FX838" s="60"/>
      <c r="FY838" s="16"/>
      <c r="FZ838" s="16"/>
      <c r="GA838" s="16"/>
      <c r="GB838" s="16"/>
      <c r="GC838" s="16"/>
      <c r="GD838" s="17"/>
      <c r="GH838" s="24"/>
      <c r="GI838" s="60"/>
      <c r="GJ838" s="16"/>
      <c r="GK838" s="16"/>
      <c r="GL838" s="16"/>
      <c r="GM838" s="16"/>
      <c r="GN838" s="16"/>
      <c r="GO838" s="17"/>
      <c r="GS838" s="24"/>
      <c r="GT838" s="60"/>
      <c r="GU838" s="16"/>
      <c r="GV838" s="16"/>
      <c r="GW838" s="16"/>
      <c r="GX838" s="16"/>
      <c r="GY838" s="16"/>
      <c r="GZ838" s="17"/>
      <c r="HD838" s="24"/>
      <c r="HE838" s="60"/>
      <c r="HF838" s="16"/>
      <c r="HG838" s="16"/>
      <c r="HH838" s="16"/>
      <c r="HI838" s="16"/>
      <c r="HJ838" s="16"/>
      <c r="HK838" s="17"/>
      <c r="HO838" s="24"/>
      <c r="HP838" s="60"/>
      <c r="HQ838" s="16"/>
      <c r="HR838" s="16"/>
      <c r="HS838" s="16"/>
      <c r="HT838" s="16"/>
      <c r="HU838" s="16"/>
      <c r="HV838" s="17"/>
      <c r="HZ838" s="24"/>
      <c r="IA838" s="60"/>
      <c r="IB838" s="16"/>
      <c r="IC838" s="16"/>
      <c r="ID838" s="16"/>
      <c r="IE838" s="16"/>
      <c r="IF838" s="16"/>
      <c r="IG838" s="17"/>
      <c r="IK838" s="24"/>
      <c r="IL838" s="60"/>
      <c r="IM838" s="16"/>
      <c r="IN838" s="16"/>
      <c r="IO838" s="16"/>
      <c r="IP838" s="16"/>
      <c r="IQ838" s="16"/>
      <c r="IR838" s="17"/>
      <c r="IV838" s="24"/>
      <c r="IW838" s="60"/>
      <c r="IX838" s="16"/>
      <c r="IY838" s="16"/>
      <c r="IZ838" s="16"/>
      <c r="JA838" s="16"/>
      <c r="JB838" s="16"/>
      <c r="JC838" s="17"/>
      <c r="JG838" s="24"/>
      <c r="JH838" s="60"/>
      <c r="JI838" s="16"/>
      <c r="JJ838" s="16"/>
      <c r="JK838" s="16"/>
      <c r="JL838" s="16"/>
      <c r="JM838" s="16"/>
      <c r="JN838" s="17"/>
      <c r="JR838" s="24"/>
      <c r="JS838" s="60"/>
      <c r="JT838" s="16"/>
      <c r="JU838" s="16"/>
      <c r="JV838" s="16"/>
      <c r="JW838" s="16"/>
      <c r="JX838" s="16"/>
      <c r="JY838" s="17"/>
      <c r="KC838" s="24"/>
      <c r="KD838" s="60"/>
      <c r="KE838" s="16"/>
      <c r="KF838" s="16"/>
      <c r="KG838" s="16"/>
      <c r="KH838" s="16"/>
      <c r="KI838" s="16"/>
      <c r="KJ838" s="17"/>
      <c r="KN838" s="24"/>
      <c r="KO838" s="60"/>
      <c r="KP838" s="16"/>
      <c r="KQ838" s="16"/>
      <c r="KR838" s="16"/>
      <c r="KS838" s="16"/>
      <c r="KT838" s="16"/>
      <c r="KU838" s="17"/>
      <c r="KY838" s="24"/>
      <c r="KZ838" s="60"/>
      <c r="LA838" s="16"/>
      <c r="LB838" s="16"/>
      <c r="LC838" s="16"/>
      <c r="LD838" s="16"/>
      <c r="LE838" s="16"/>
      <c r="LF838" s="17"/>
      <c r="LJ838" s="24"/>
      <c r="LK838" s="60"/>
      <c r="LL838" s="16"/>
      <c r="LM838" s="16"/>
      <c r="LN838" s="16"/>
      <c r="LO838" s="16"/>
      <c r="LP838" s="16"/>
      <c r="LQ838" s="17"/>
    </row>
    <row r="839">
      <c r="C839" s="31"/>
      <c r="D839" s="61"/>
      <c r="E839" s="16"/>
      <c r="F839" s="16"/>
      <c r="G839" s="21"/>
      <c r="H839" s="16"/>
      <c r="I839" s="16"/>
      <c r="J839" s="17"/>
      <c r="N839" s="17"/>
      <c r="O839" s="61"/>
      <c r="P839" s="16"/>
      <c r="Q839" s="16"/>
      <c r="R839" s="16"/>
      <c r="S839" s="16"/>
      <c r="T839" s="16"/>
      <c r="U839" s="17"/>
      <c r="Y839" s="24"/>
      <c r="Z839" s="61"/>
      <c r="AA839" s="16"/>
      <c r="AB839" s="16"/>
      <c r="AC839" s="16"/>
      <c r="AD839" s="16"/>
      <c r="AE839" s="16"/>
      <c r="AF839" s="17"/>
      <c r="AJ839" s="24"/>
      <c r="AK839" s="61"/>
      <c r="AL839" s="16"/>
      <c r="AM839" s="16"/>
      <c r="AN839" s="16"/>
      <c r="AO839" s="16"/>
      <c r="AP839" s="16"/>
      <c r="AQ839" s="17"/>
      <c r="AU839" s="24"/>
      <c r="AV839" s="61"/>
      <c r="AW839" s="16"/>
      <c r="AX839" s="16"/>
      <c r="AY839" s="16"/>
      <c r="AZ839" s="16"/>
      <c r="BA839" s="16"/>
      <c r="BB839" s="17"/>
      <c r="BF839" s="24"/>
      <c r="BG839" s="61"/>
      <c r="BH839" s="16"/>
      <c r="BI839" s="16"/>
      <c r="BJ839" s="16"/>
      <c r="BK839" s="16"/>
      <c r="BL839" s="16"/>
      <c r="BM839" s="17"/>
      <c r="BQ839" s="24"/>
      <c r="BR839" s="61"/>
      <c r="BS839" s="16"/>
      <c r="BT839" s="16"/>
      <c r="BU839" s="16"/>
      <c r="BV839" s="16"/>
      <c r="BW839" s="16"/>
      <c r="BX839" s="17"/>
      <c r="CB839" s="24"/>
      <c r="CC839" s="61"/>
      <c r="CD839" s="16"/>
      <c r="CE839" s="16"/>
      <c r="CF839" s="16"/>
      <c r="CG839" s="16"/>
      <c r="CH839" s="16"/>
      <c r="CI839" s="17"/>
      <c r="CM839" s="24"/>
      <c r="CN839" s="61"/>
      <c r="CO839" s="16"/>
      <c r="CP839" s="16"/>
      <c r="CQ839" s="16"/>
      <c r="CR839" s="16"/>
      <c r="CS839" s="16"/>
      <c r="CT839" s="17"/>
      <c r="CX839" s="24"/>
      <c r="CY839" s="60"/>
      <c r="CZ839" s="16"/>
      <c r="DA839" s="16"/>
      <c r="DB839" s="16"/>
      <c r="DC839" s="16"/>
      <c r="DD839" s="16"/>
      <c r="DE839" s="17"/>
      <c r="DI839" s="24"/>
      <c r="DJ839" s="60"/>
      <c r="DK839" s="16"/>
      <c r="DL839" s="16"/>
      <c r="DM839" s="16"/>
      <c r="DN839" s="16"/>
      <c r="DO839" s="16"/>
      <c r="DP839" s="17"/>
      <c r="DT839" s="24"/>
      <c r="DU839" s="60"/>
      <c r="DV839" s="16"/>
      <c r="DW839" s="16"/>
      <c r="DX839" s="16"/>
      <c r="DY839" s="16"/>
      <c r="DZ839" s="16"/>
      <c r="EA839" s="17"/>
      <c r="EE839" s="24"/>
      <c r="EF839" s="60"/>
      <c r="EG839" s="16"/>
      <c r="EH839" s="16"/>
      <c r="EI839" s="16"/>
      <c r="EJ839" s="16"/>
      <c r="EK839" s="16"/>
      <c r="EL839" s="17"/>
      <c r="EP839" s="24"/>
      <c r="EQ839" s="60"/>
      <c r="ER839" s="16"/>
      <c r="ES839" s="16"/>
      <c r="ET839" s="16"/>
      <c r="EU839" s="16"/>
      <c r="EV839" s="16"/>
      <c r="EW839" s="17"/>
      <c r="FA839" s="24"/>
      <c r="FB839" s="60"/>
      <c r="FC839" s="16"/>
      <c r="FD839" s="16"/>
      <c r="FE839" s="16"/>
      <c r="FF839" s="16"/>
      <c r="FG839" s="16"/>
      <c r="FH839" s="17"/>
      <c r="FL839" s="24"/>
      <c r="FM839" s="60"/>
      <c r="FN839" s="16"/>
      <c r="FO839" s="16"/>
      <c r="FP839" s="16"/>
      <c r="FQ839" s="16"/>
      <c r="FR839" s="16"/>
      <c r="FS839" s="17"/>
      <c r="FW839" s="24"/>
      <c r="FX839" s="60"/>
      <c r="FY839" s="16"/>
      <c r="FZ839" s="16"/>
      <c r="GA839" s="16"/>
      <c r="GB839" s="16"/>
      <c r="GC839" s="16"/>
      <c r="GD839" s="17"/>
      <c r="GH839" s="24"/>
      <c r="GI839" s="60"/>
      <c r="GJ839" s="16"/>
      <c r="GK839" s="16"/>
      <c r="GL839" s="16"/>
      <c r="GM839" s="16"/>
      <c r="GN839" s="16"/>
      <c r="GO839" s="17"/>
      <c r="GS839" s="24"/>
      <c r="GT839" s="60"/>
      <c r="GU839" s="16"/>
      <c r="GV839" s="16"/>
      <c r="GW839" s="16"/>
      <c r="GX839" s="16"/>
      <c r="GY839" s="16"/>
      <c r="GZ839" s="17"/>
      <c r="HD839" s="24"/>
      <c r="HE839" s="60"/>
      <c r="HF839" s="16"/>
      <c r="HG839" s="16"/>
      <c r="HH839" s="16"/>
      <c r="HI839" s="16"/>
      <c r="HJ839" s="16"/>
      <c r="HK839" s="17"/>
      <c r="HO839" s="24"/>
      <c r="HP839" s="60"/>
      <c r="HQ839" s="16"/>
      <c r="HR839" s="16"/>
      <c r="HS839" s="16"/>
      <c r="HT839" s="16"/>
      <c r="HU839" s="16"/>
      <c r="HV839" s="17"/>
      <c r="HZ839" s="24"/>
      <c r="IA839" s="60"/>
      <c r="IB839" s="16"/>
      <c r="IC839" s="16"/>
      <c r="ID839" s="16"/>
      <c r="IE839" s="16"/>
      <c r="IF839" s="16"/>
      <c r="IG839" s="17"/>
      <c r="IK839" s="24"/>
      <c r="IL839" s="60"/>
      <c r="IM839" s="16"/>
      <c r="IN839" s="16"/>
      <c r="IO839" s="16"/>
      <c r="IP839" s="16"/>
      <c r="IQ839" s="16"/>
      <c r="IR839" s="17"/>
      <c r="IV839" s="24"/>
      <c r="IW839" s="60"/>
      <c r="IX839" s="16"/>
      <c r="IY839" s="16"/>
      <c r="IZ839" s="16"/>
      <c r="JA839" s="16"/>
      <c r="JB839" s="16"/>
      <c r="JC839" s="17"/>
      <c r="JG839" s="24"/>
      <c r="JH839" s="60"/>
      <c r="JI839" s="16"/>
      <c r="JJ839" s="16"/>
      <c r="JK839" s="16"/>
      <c r="JL839" s="16"/>
      <c r="JM839" s="16"/>
      <c r="JN839" s="17"/>
      <c r="JR839" s="24"/>
      <c r="JS839" s="60"/>
      <c r="JT839" s="16"/>
      <c r="JU839" s="16"/>
      <c r="JV839" s="16"/>
      <c r="JW839" s="16"/>
      <c r="JX839" s="16"/>
      <c r="JY839" s="17"/>
      <c r="KC839" s="24"/>
      <c r="KD839" s="60"/>
      <c r="KE839" s="16"/>
      <c r="KF839" s="16"/>
      <c r="KG839" s="16"/>
      <c r="KH839" s="16"/>
      <c r="KI839" s="16"/>
      <c r="KJ839" s="17"/>
      <c r="KN839" s="24"/>
      <c r="KO839" s="60"/>
      <c r="KP839" s="16"/>
      <c r="KQ839" s="16"/>
      <c r="KR839" s="16"/>
      <c r="KS839" s="16"/>
      <c r="KT839" s="16"/>
      <c r="KU839" s="17"/>
      <c r="KY839" s="24"/>
      <c r="KZ839" s="60"/>
      <c r="LA839" s="16"/>
      <c r="LB839" s="16"/>
      <c r="LC839" s="16"/>
      <c r="LD839" s="16"/>
      <c r="LE839" s="16"/>
      <c r="LF839" s="17"/>
      <c r="LJ839" s="24"/>
      <c r="LK839" s="60"/>
      <c r="LL839" s="16"/>
      <c r="LM839" s="16"/>
      <c r="LN839" s="16"/>
      <c r="LO839" s="16"/>
      <c r="LP839" s="16"/>
      <c r="LQ839" s="17"/>
    </row>
    <row r="840">
      <c r="C840" s="31"/>
      <c r="D840" s="61"/>
      <c r="E840" s="16"/>
      <c r="F840" s="16"/>
      <c r="G840" s="21"/>
      <c r="H840" s="16"/>
      <c r="I840" s="16"/>
      <c r="J840" s="17"/>
      <c r="N840" s="17"/>
      <c r="O840" s="61"/>
      <c r="P840" s="16"/>
      <c r="Q840" s="16"/>
      <c r="R840" s="16"/>
      <c r="S840" s="16"/>
      <c r="T840" s="16"/>
      <c r="U840" s="17"/>
      <c r="Y840" s="24"/>
      <c r="Z840" s="61"/>
      <c r="AA840" s="16"/>
      <c r="AB840" s="16"/>
      <c r="AC840" s="16"/>
      <c r="AD840" s="16"/>
      <c r="AE840" s="16"/>
      <c r="AF840" s="17"/>
      <c r="AJ840" s="24"/>
      <c r="AK840" s="61"/>
      <c r="AL840" s="16"/>
      <c r="AM840" s="16"/>
      <c r="AN840" s="16"/>
      <c r="AO840" s="16"/>
      <c r="AP840" s="16"/>
      <c r="AQ840" s="17"/>
      <c r="AU840" s="24"/>
      <c r="AV840" s="61"/>
      <c r="AW840" s="16"/>
      <c r="AX840" s="16"/>
      <c r="AY840" s="16"/>
      <c r="AZ840" s="16"/>
      <c r="BA840" s="16"/>
      <c r="BB840" s="17"/>
      <c r="BF840" s="24"/>
      <c r="BG840" s="61"/>
      <c r="BH840" s="16"/>
      <c r="BI840" s="16"/>
      <c r="BJ840" s="16"/>
      <c r="BK840" s="16"/>
      <c r="BL840" s="16"/>
      <c r="BM840" s="17"/>
      <c r="BQ840" s="24"/>
      <c r="BR840" s="61"/>
      <c r="BS840" s="16"/>
      <c r="BT840" s="16"/>
      <c r="BU840" s="16"/>
      <c r="BV840" s="16"/>
      <c r="BW840" s="16"/>
      <c r="BX840" s="17"/>
      <c r="CB840" s="24"/>
      <c r="CC840" s="61"/>
      <c r="CD840" s="16"/>
      <c r="CE840" s="16"/>
      <c r="CF840" s="16"/>
      <c r="CG840" s="16"/>
      <c r="CH840" s="16"/>
      <c r="CI840" s="17"/>
      <c r="CM840" s="24"/>
      <c r="CN840" s="61"/>
      <c r="CO840" s="16"/>
      <c r="CP840" s="16"/>
      <c r="CQ840" s="16"/>
      <c r="CR840" s="16"/>
      <c r="CS840" s="16"/>
      <c r="CT840" s="17"/>
      <c r="CX840" s="24"/>
      <c r="CY840" s="60"/>
      <c r="CZ840" s="16"/>
      <c r="DA840" s="16"/>
      <c r="DB840" s="16"/>
      <c r="DC840" s="16"/>
      <c r="DD840" s="16"/>
      <c r="DE840" s="17"/>
      <c r="DI840" s="24"/>
      <c r="DJ840" s="60"/>
      <c r="DK840" s="16"/>
      <c r="DL840" s="16"/>
      <c r="DM840" s="16"/>
      <c r="DN840" s="16"/>
      <c r="DO840" s="16"/>
      <c r="DP840" s="17"/>
      <c r="DT840" s="24"/>
      <c r="DU840" s="60"/>
      <c r="DV840" s="16"/>
      <c r="DW840" s="16"/>
      <c r="DX840" s="16"/>
      <c r="DY840" s="16"/>
      <c r="DZ840" s="16"/>
      <c r="EA840" s="17"/>
      <c r="EE840" s="24"/>
      <c r="EF840" s="60"/>
      <c r="EG840" s="16"/>
      <c r="EH840" s="16"/>
      <c r="EI840" s="16"/>
      <c r="EJ840" s="16"/>
      <c r="EK840" s="16"/>
      <c r="EL840" s="17"/>
      <c r="EP840" s="24"/>
      <c r="EQ840" s="60"/>
      <c r="ER840" s="16"/>
      <c r="ES840" s="16"/>
      <c r="ET840" s="16"/>
      <c r="EU840" s="16"/>
      <c r="EV840" s="16"/>
      <c r="EW840" s="17"/>
      <c r="FA840" s="24"/>
      <c r="FB840" s="60"/>
      <c r="FC840" s="16"/>
      <c r="FD840" s="16"/>
      <c r="FE840" s="16"/>
      <c r="FF840" s="16"/>
      <c r="FG840" s="16"/>
      <c r="FH840" s="17"/>
      <c r="FL840" s="24"/>
      <c r="FM840" s="60"/>
      <c r="FN840" s="16"/>
      <c r="FO840" s="16"/>
      <c r="FP840" s="16"/>
      <c r="FQ840" s="16"/>
      <c r="FR840" s="16"/>
      <c r="FS840" s="17"/>
      <c r="FW840" s="24"/>
      <c r="FX840" s="60"/>
      <c r="FY840" s="16"/>
      <c r="FZ840" s="16"/>
      <c r="GA840" s="16"/>
      <c r="GB840" s="16"/>
      <c r="GC840" s="16"/>
      <c r="GD840" s="17"/>
      <c r="GH840" s="24"/>
      <c r="GI840" s="60"/>
      <c r="GJ840" s="16"/>
      <c r="GK840" s="16"/>
      <c r="GL840" s="16"/>
      <c r="GM840" s="16"/>
      <c r="GN840" s="16"/>
      <c r="GO840" s="17"/>
      <c r="GS840" s="24"/>
      <c r="GT840" s="60"/>
      <c r="GU840" s="16"/>
      <c r="GV840" s="16"/>
      <c r="GW840" s="16"/>
      <c r="GX840" s="16"/>
      <c r="GY840" s="16"/>
      <c r="GZ840" s="17"/>
      <c r="HD840" s="24"/>
      <c r="HE840" s="60"/>
      <c r="HF840" s="16"/>
      <c r="HG840" s="16"/>
      <c r="HH840" s="16"/>
      <c r="HI840" s="16"/>
      <c r="HJ840" s="16"/>
      <c r="HK840" s="17"/>
      <c r="HO840" s="24"/>
      <c r="HP840" s="60"/>
      <c r="HQ840" s="16"/>
      <c r="HR840" s="16"/>
      <c r="HS840" s="16"/>
      <c r="HT840" s="16"/>
      <c r="HU840" s="16"/>
      <c r="HV840" s="17"/>
      <c r="HZ840" s="24"/>
      <c r="IA840" s="60"/>
      <c r="IB840" s="16"/>
      <c r="IC840" s="16"/>
      <c r="ID840" s="16"/>
      <c r="IE840" s="16"/>
      <c r="IF840" s="16"/>
      <c r="IG840" s="17"/>
      <c r="IK840" s="24"/>
      <c r="IL840" s="60"/>
      <c r="IM840" s="16"/>
      <c r="IN840" s="16"/>
      <c r="IO840" s="16"/>
      <c r="IP840" s="16"/>
      <c r="IQ840" s="16"/>
      <c r="IR840" s="17"/>
      <c r="IV840" s="24"/>
      <c r="IW840" s="60"/>
      <c r="IX840" s="16"/>
      <c r="IY840" s="16"/>
      <c r="IZ840" s="16"/>
      <c r="JA840" s="16"/>
      <c r="JB840" s="16"/>
      <c r="JC840" s="17"/>
      <c r="JG840" s="24"/>
      <c r="JH840" s="60"/>
      <c r="JI840" s="16"/>
      <c r="JJ840" s="16"/>
      <c r="JK840" s="16"/>
      <c r="JL840" s="16"/>
      <c r="JM840" s="16"/>
      <c r="JN840" s="17"/>
      <c r="JR840" s="24"/>
      <c r="JS840" s="60"/>
      <c r="JT840" s="16"/>
      <c r="JU840" s="16"/>
      <c r="JV840" s="16"/>
      <c r="JW840" s="16"/>
      <c r="JX840" s="16"/>
      <c r="JY840" s="17"/>
      <c r="KC840" s="24"/>
      <c r="KD840" s="60"/>
      <c r="KE840" s="16"/>
      <c r="KF840" s="16"/>
      <c r="KG840" s="16"/>
      <c r="KH840" s="16"/>
      <c r="KI840" s="16"/>
      <c r="KJ840" s="17"/>
      <c r="KN840" s="24"/>
      <c r="KO840" s="60"/>
      <c r="KP840" s="16"/>
      <c r="KQ840" s="16"/>
      <c r="KR840" s="16"/>
      <c r="KS840" s="16"/>
      <c r="KT840" s="16"/>
      <c r="KU840" s="17"/>
      <c r="KY840" s="24"/>
      <c r="KZ840" s="60"/>
      <c r="LA840" s="16"/>
      <c r="LB840" s="16"/>
      <c r="LC840" s="16"/>
      <c r="LD840" s="16"/>
      <c r="LE840" s="16"/>
      <c r="LF840" s="17"/>
      <c r="LJ840" s="24"/>
      <c r="LK840" s="60"/>
      <c r="LL840" s="16"/>
      <c r="LM840" s="16"/>
      <c r="LN840" s="16"/>
      <c r="LO840" s="16"/>
      <c r="LP840" s="16"/>
      <c r="LQ840" s="17"/>
    </row>
    <row r="841">
      <c r="C841" s="31"/>
      <c r="D841" s="61"/>
      <c r="E841" s="16"/>
      <c r="F841" s="16"/>
      <c r="G841" s="21"/>
      <c r="H841" s="16"/>
      <c r="I841" s="16"/>
      <c r="J841" s="17"/>
      <c r="N841" s="17"/>
      <c r="O841" s="61"/>
      <c r="P841" s="16"/>
      <c r="Q841" s="16"/>
      <c r="R841" s="16"/>
      <c r="S841" s="16"/>
      <c r="T841" s="16"/>
      <c r="U841" s="17"/>
      <c r="Y841" s="24"/>
      <c r="Z841" s="61"/>
      <c r="AA841" s="16"/>
      <c r="AB841" s="16"/>
      <c r="AC841" s="16"/>
      <c r="AD841" s="16"/>
      <c r="AE841" s="16"/>
      <c r="AF841" s="17"/>
      <c r="AJ841" s="24"/>
      <c r="AK841" s="61"/>
      <c r="AL841" s="16"/>
      <c r="AM841" s="16"/>
      <c r="AN841" s="16"/>
      <c r="AO841" s="16"/>
      <c r="AP841" s="16"/>
      <c r="AQ841" s="17"/>
      <c r="AU841" s="24"/>
      <c r="AV841" s="61"/>
      <c r="AW841" s="16"/>
      <c r="AX841" s="16"/>
      <c r="AY841" s="16"/>
      <c r="AZ841" s="16"/>
      <c r="BA841" s="16"/>
      <c r="BB841" s="17"/>
      <c r="BF841" s="24"/>
      <c r="BG841" s="61"/>
      <c r="BH841" s="16"/>
      <c r="BI841" s="16"/>
      <c r="BJ841" s="16"/>
      <c r="BK841" s="16"/>
      <c r="BL841" s="16"/>
      <c r="BM841" s="17"/>
      <c r="BQ841" s="24"/>
      <c r="BR841" s="61"/>
      <c r="BS841" s="16"/>
      <c r="BT841" s="16"/>
      <c r="BU841" s="16"/>
      <c r="BV841" s="16"/>
      <c r="BW841" s="16"/>
      <c r="BX841" s="17"/>
      <c r="CB841" s="24"/>
      <c r="CC841" s="61"/>
      <c r="CD841" s="16"/>
      <c r="CE841" s="16"/>
      <c r="CF841" s="16"/>
      <c r="CG841" s="16"/>
      <c r="CH841" s="16"/>
      <c r="CI841" s="17"/>
      <c r="CM841" s="24"/>
      <c r="CN841" s="61"/>
      <c r="CO841" s="16"/>
      <c r="CP841" s="16"/>
      <c r="CQ841" s="16"/>
      <c r="CR841" s="16"/>
      <c r="CS841" s="16"/>
      <c r="CT841" s="17"/>
      <c r="CX841" s="24"/>
      <c r="CY841" s="60"/>
      <c r="CZ841" s="16"/>
      <c r="DA841" s="16"/>
      <c r="DB841" s="16"/>
      <c r="DC841" s="16"/>
      <c r="DD841" s="16"/>
      <c r="DE841" s="17"/>
      <c r="DI841" s="24"/>
      <c r="DJ841" s="60"/>
      <c r="DK841" s="16"/>
      <c r="DL841" s="16"/>
      <c r="DM841" s="16"/>
      <c r="DN841" s="16"/>
      <c r="DO841" s="16"/>
      <c r="DP841" s="17"/>
      <c r="DT841" s="24"/>
      <c r="DU841" s="60"/>
      <c r="DV841" s="16"/>
      <c r="DW841" s="16"/>
      <c r="DX841" s="16"/>
      <c r="DY841" s="16"/>
      <c r="DZ841" s="16"/>
      <c r="EA841" s="17"/>
      <c r="EE841" s="24"/>
      <c r="EF841" s="60"/>
      <c r="EG841" s="16"/>
      <c r="EH841" s="16"/>
      <c r="EI841" s="16"/>
      <c r="EJ841" s="16"/>
      <c r="EK841" s="16"/>
      <c r="EL841" s="17"/>
      <c r="EP841" s="24"/>
      <c r="EQ841" s="60"/>
      <c r="ER841" s="16"/>
      <c r="ES841" s="16"/>
      <c r="ET841" s="16"/>
      <c r="EU841" s="16"/>
      <c r="EV841" s="16"/>
      <c r="EW841" s="17"/>
      <c r="FA841" s="24"/>
      <c r="FB841" s="60"/>
      <c r="FC841" s="16"/>
      <c r="FD841" s="16"/>
      <c r="FE841" s="16"/>
      <c r="FF841" s="16"/>
      <c r="FG841" s="16"/>
      <c r="FH841" s="17"/>
      <c r="FL841" s="24"/>
      <c r="FM841" s="60"/>
      <c r="FN841" s="16"/>
      <c r="FO841" s="16"/>
      <c r="FP841" s="16"/>
      <c r="FQ841" s="16"/>
      <c r="FR841" s="16"/>
      <c r="FS841" s="17"/>
      <c r="FW841" s="24"/>
      <c r="FX841" s="60"/>
      <c r="FY841" s="16"/>
      <c r="FZ841" s="16"/>
      <c r="GA841" s="16"/>
      <c r="GB841" s="16"/>
      <c r="GC841" s="16"/>
      <c r="GD841" s="17"/>
      <c r="GH841" s="24"/>
      <c r="GI841" s="60"/>
      <c r="GJ841" s="16"/>
      <c r="GK841" s="16"/>
      <c r="GL841" s="16"/>
      <c r="GM841" s="16"/>
      <c r="GN841" s="16"/>
      <c r="GO841" s="17"/>
      <c r="GS841" s="24"/>
      <c r="GT841" s="60"/>
      <c r="GU841" s="16"/>
      <c r="GV841" s="16"/>
      <c r="GW841" s="16"/>
      <c r="GX841" s="16"/>
      <c r="GY841" s="16"/>
      <c r="GZ841" s="17"/>
      <c r="HD841" s="24"/>
      <c r="HE841" s="60"/>
      <c r="HF841" s="16"/>
      <c r="HG841" s="16"/>
      <c r="HH841" s="16"/>
      <c r="HI841" s="16"/>
      <c r="HJ841" s="16"/>
      <c r="HK841" s="17"/>
      <c r="HO841" s="24"/>
      <c r="HP841" s="60"/>
      <c r="HQ841" s="16"/>
      <c r="HR841" s="16"/>
      <c r="HS841" s="16"/>
      <c r="HT841" s="16"/>
      <c r="HU841" s="16"/>
      <c r="HV841" s="17"/>
      <c r="HZ841" s="24"/>
      <c r="IA841" s="60"/>
      <c r="IB841" s="16"/>
      <c r="IC841" s="16"/>
      <c r="ID841" s="16"/>
      <c r="IE841" s="16"/>
      <c r="IF841" s="16"/>
      <c r="IG841" s="17"/>
      <c r="IK841" s="24"/>
      <c r="IL841" s="60"/>
      <c r="IM841" s="16"/>
      <c r="IN841" s="16"/>
      <c r="IO841" s="16"/>
      <c r="IP841" s="16"/>
      <c r="IQ841" s="16"/>
      <c r="IR841" s="17"/>
      <c r="IV841" s="24"/>
      <c r="IW841" s="60"/>
      <c r="IX841" s="16"/>
      <c r="IY841" s="16"/>
      <c r="IZ841" s="16"/>
      <c r="JA841" s="16"/>
      <c r="JB841" s="16"/>
      <c r="JC841" s="17"/>
      <c r="JG841" s="24"/>
      <c r="JH841" s="60"/>
      <c r="JI841" s="16"/>
      <c r="JJ841" s="16"/>
      <c r="JK841" s="16"/>
      <c r="JL841" s="16"/>
      <c r="JM841" s="16"/>
      <c r="JN841" s="17"/>
      <c r="JR841" s="24"/>
      <c r="JS841" s="60"/>
      <c r="JT841" s="16"/>
      <c r="JU841" s="16"/>
      <c r="JV841" s="16"/>
      <c r="JW841" s="16"/>
      <c r="JX841" s="16"/>
      <c r="JY841" s="17"/>
      <c r="KC841" s="24"/>
      <c r="KD841" s="60"/>
      <c r="KE841" s="16"/>
      <c r="KF841" s="16"/>
      <c r="KG841" s="16"/>
      <c r="KH841" s="16"/>
      <c r="KI841" s="16"/>
      <c r="KJ841" s="17"/>
      <c r="KN841" s="24"/>
      <c r="KO841" s="60"/>
      <c r="KP841" s="16"/>
      <c r="KQ841" s="16"/>
      <c r="KR841" s="16"/>
      <c r="KS841" s="16"/>
      <c r="KT841" s="16"/>
      <c r="KU841" s="17"/>
      <c r="KY841" s="24"/>
      <c r="KZ841" s="60"/>
      <c r="LA841" s="16"/>
      <c r="LB841" s="16"/>
      <c r="LC841" s="16"/>
      <c r="LD841" s="16"/>
      <c r="LE841" s="16"/>
      <c r="LF841" s="17"/>
      <c r="LJ841" s="24"/>
      <c r="LK841" s="60"/>
      <c r="LL841" s="16"/>
      <c r="LM841" s="16"/>
      <c r="LN841" s="16"/>
      <c r="LO841" s="16"/>
      <c r="LP841" s="16"/>
      <c r="LQ841" s="17"/>
    </row>
    <row r="842">
      <c r="C842" s="31"/>
      <c r="D842" s="61"/>
      <c r="E842" s="16"/>
      <c r="F842" s="16"/>
      <c r="G842" s="21"/>
      <c r="H842" s="16"/>
      <c r="I842" s="16"/>
      <c r="J842" s="17"/>
      <c r="N842" s="17"/>
      <c r="O842" s="61"/>
      <c r="P842" s="16"/>
      <c r="Q842" s="16"/>
      <c r="R842" s="16"/>
      <c r="S842" s="16"/>
      <c r="T842" s="16"/>
      <c r="U842" s="17"/>
      <c r="Y842" s="24"/>
      <c r="Z842" s="61"/>
      <c r="AA842" s="16"/>
      <c r="AB842" s="16"/>
      <c r="AC842" s="16"/>
      <c r="AD842" s="16"/>
      <c r="AE842" s="16"/>
      <c r="AF842" s="17"/>
      <c r="AJ842" s="24"/>
      <c r="AK842" s="61"/>
      <c r="AL842" s="16"/>
      <c r="AM842" s="16"/>
      <c r="AN842" s="16"/>
      <c r="AO842" s="16"/>
      <c r="AP842" s="16"/>
      <c r="AQ842" s="17"/>
      <c r="AU842" s="24"/>
      <c r="AV842" s="61"/>
      <c r="AW842" s="16"/>
      <c r="AX842" s="16"/>
      <c r="AY842" s="16"/>
      <c r="AZ842" s="16"/>
      <c r="BA842" s="16"/>
      <c r="BB842" s="17"/>
      <c r="BF842" s="24"/>
      <c r="BG842" s="61"/>
      <c r="BH842" s="16"/>
      <c r="BI842" s="16"/>
      <c r="BJ842" s="16"/>
      <c r="BK842" s="16"/>
      <c r="BL842" s="16"/>
      <c r="BM842" s="17"/>
      <c r="BQ842" s="24"/>
      <c r="BR842" s="61"/>
      <c r="BS842" s="16"/>
      <c r="BT842" s="16"/>
      <c r="BU842" s="16"/>
      <c r="BV842" s="16"/>
      <c r="BW842" s="16"/>
      <c r="BX842" s="17"/>
      <c r="CB842" s="24"/>
      <c r="CC842" s="61"/>
      <c r="CD842" s="16"/>
      <c r="CE842" s="16"/>
      <c r="CF842" s="16"/>
      <c r="CG842" s="16"/>
      <c r="CH842" s="16"/>
      <c r="CI842" s="17"/>
      <c r="CM842" s="24"/>
      <c r="CN842" s="61"/>
      <c r="CO842" s="16"/>
      <c r="CP842" s="16"/>
      <c r="CQ842" s="16"/>
      <c r="CR842" s="16"/>
      <c r="CS842" s="16"/>
      <c r="CT842" s="17"/>
      <c r="CX842" s="24"/>
      <c r="CY842" s="60"/>
      <c r="CZ842" s="16"/>
      <c r="DA842" s="16"/>
      <c r="DB842" s="16"/>
      <c r="DC842" s="16"/>
      <c r="DD842" s="16"/>
      <c r="DE842" s="17"/>
      <c r="DI842" s="24"/>
      <c r="DJ842" s="60"/>
      <c r="DK842" s="16"/>
      <c r="DL842" s="16"/>
      <c r="DM842" s="16"/>
      <c r="DN842" s="16"/>
      <c r="DO842" s="16"/>
      <c r="DP842" s="17"/>
      <c r="DT842" s="24"/>
      <c r="DU842" s="60"/>
      <c r="DV842" s="16"/>
      <c r="DW842" s="16"/>
      <c r="DX842" s="16"/>
      <c r="DY842" s="16"/>
      <c r="DZ842" s="16"/>
      <c r="EA842" s="17"/>
      <c r="EE842" s="24"/>
      <c r="EF842" s="60"/>
      <c r="EG842" s="16"/>
      <c r="EH842" s="16"/>
      <c r="EI842" s="16"/>
      <c r="EJ842" s="16"/>
      <c r="EK842" s="16"/>
      <c r="EL842" s="17"/>
      <c r="EP842" s="24"/>
      <c r="EQ842" s="60"/>
      <c r="ER842" s="16"/>
      <c r="ES842" s="16"/>
      <c r="ET842" s="16"/>
      <c r="EU842" s="16"/>
      <c r="EV842" s="16"/>
      <c r="EW842" s="17"/>
      <c r="FA842" s="24"/>
      <c r="FB842" s="60"/>
      <c r="FC842" s="16"/>
      <c r="FD842" s="16"/>
      <c r="FE842" s="16"/>
      <c r="FF842" s="16"/>
      <c r="FG842" s="16"/>
      <c r="FH842" s="17"/>
      <c r="FL842" s="24"/>
      <c r="FM842" s="60"/>
      <c r="FN842" s="16"/>
      <c r="FO842" s="16"/>
      <c r="FP842" s="16"/>
      <c r="FQ842" s="16"/>
      <c r="FR842" s="16"/>
      <c r="FS842" s="17"/>
      <c r="FW842" s="24"/>
      <c r="FX842" s="60"/>
      <c r="FY842" s="16"/>
      <c r="FZ842" s="16"/>
      <c r="GA842" s="16"/>
      <c r="GB842" s="16"/>
      <c r="GC842" s="16"/>
      <c r="GD842" s="17"/>
      <c r="GH842" s="24"/>
      <c r="GI842" s="60"/>
      <c r="GJ842" s="16"/>
      <c r="GK842" s="16"/>
      <c r="GL842" s="16"/>
      <c r="GM842" s="16"/>
      <c r="GN842" s="16"/>
      <c r="GO842" s="17"/>
      <c r="GS842" s="24"/>
      <c r="GT842" s="60"/>
      <c r="GU842" s="16"/>
      <c r="GV842" s="16"/>
      <c r="GW842" s="16"/>
      <c r="GX842" s="16"/>
      <c r="GY842" s="16"/>
      <c r="GZ842" s="17"/>
      <c r="HD842" s="24"/>
      <c r="HE842" s="60"/>
      <c r="HF842" s="16"/>
      <c r="HG842" s="16"/>
      <c r="HH842" s="16"/>
      <c r="HI842" s="16"/>
      <c r="HJ842" s="16"/>
      <c r="HK842" s="17"/>
      <c r="HO842" s="24"/>
      <c r="HP842" s="60"/>
      <c r="HQ842" s="16"/>
      <c r="HR842" s="16"/>
      <c r="HS842" s="16"/>
      <c r="HT842" s="16"/>
      <c r="HU842" s="16"/>
      <c r="HV842" s="17"/>
      <c r="HZ842" s="24"/>
      <c r="IA842" s="60"/>
      <c r="IB842" s="16"/>
      <c r="IC842" s="16"/>
      <c r="ID842" s="16"/>
      <c r="IE842" s="16"/>
      <c r="IF842" s="16"/>
      <c r="IG842" s="17"/>
      <c r="IK842" s="24"/>
      <c r="IL842" s="60"/>
      <c r="IM842" s="16"/>
      <c r="IN842" s="16"/>
      <c r="IO842" s="16"/>
      <c r="IP842" s="16"/>
      <c r="IQ842" s="16"/>
      <c r="IR842" s="17"/>
      <c r="IV842" s="24"/>
      <c r="IW842" s="60"/>
      <c r="IX842" s="16"/>
      <c r="IY842" s="16"/>
      <c r="IZ842" s="16"/>
      <c r="JA842" s="16"/>
      <c r="JB842" s="16"/>
      <c r="JC842" s="17"/>
      <c r="JG842" s="24"/>
      <c r="JH842" s="60"/>
      <c r="JI842" s="16"/>
      <c r="JJ842" s="16"/>
      <c r="JK842" s="16"/>
      <c r="JL842" s="16"/>
      <c r="JM842" s="16"/>
      <c r="JN842" s="17"/>
      <c r="JR842" s="24"/>
      <c r="JS842" s="60"/>
      <c r="JT842" s="16"/>
      <c r="JU842" s="16"/>
      <c r="JV842" s="16"/>
      <c r="JW842" s="16"/>
      <c r="JX842" s="16"/>
      <c r="JY842" s="17"/>
      <c r="KC842" s="24"/>
      <c r="KD842" s="60"/>
      <c r="KE842" s="16"/>
      <c r="KF842" s="16"/>
      <c r="KG842" s="16"/>
      <c r="KH842" s="16"/>
      <c r="KI842" s="16"/>
      <c r="KJ842" s="17"/>
      <c r="KN842" s="24"/>
      <c r="KO842" s="60"/>
      <c r="KP842" s="16"/>
      <c r="KQ842" s="16"/>
      <c r="KR842" s="16"/>
      <c r="KS842" s="16"/>
      <c r="KT842" s="16"/>
      <c r="KU842" s="17"/>
      <c r="KY842" s="24"/>
      <c r="KZ842" s="60"/>
      <c r="LA842" s="16"/>
      <c r="LB842" s="16"/>
      <c r="LC842" s="16"/>
      <c r="LD842" s="16"/>
      <c r="LE842" s="16"/>
      <c r="LF842" s="17"/>
      <c r="LJ842" s="24"/>
      <c r="LK842" s="60"/>
      <c r="LL842" s="16"/>
      <c r="LM842" s="16"/>
      <c r="LN842" s="16"/>
      <c r="LO842" s="16"/>
      <c r="LP842" s="16"/>
      <c r="LQ842" s="17"/>
    </row>
    <row r="843">
      <c r="C843" s="31"/>
      <c r="D843" s="61"/>
      <c r="E843" s="16"/>
      <c r="F843" s="16"/>
      <c r="G843" s="21"/>
      <c r="H843" s="16"/>
      <c r="I843" s="16"/>
      <c r="J843" s="17"/>
      <c r="N843" s="17"/>
      <c r="O843" s="61"/>
      <c r="P843" s="16"/>
      <c r="Q843" s="16"/>
      <c r="R843" s="16"/>
      <c r="S843" s="16"/>
      <c r="T843" s="16"/>
      <c r="U843" s="17"/>
      <c r="Y843" s="24"/>
      <c r="Z843" s="61"/>
      <c r="AA843" s="16"/>
      <c r="AB843" s="16"/>
      <c r="AC843" s="16"/>
      <c r="AD843" s="16"/>
      <c r="AE843" s="16"/>
      <c r="AF843" s="17"/>
      <c r="AJ843" s="24"/>
      <c r="AK843" s="61"/>
      <c r="AL843" s="16"/>
      <c r="AM843" s="16"/>
      <c r="AN843" s="16"/>
      <c r="AO843" s="16"/>
      <c r="AP843" s="16"/>
      <c r="AQ843" s="17"/>
      <c r="AU843" s="24"/>
      <c r="AV843" s="61"/>
      <c r="AW843" s="16"/>
      <c r="AX843" s="16"/>
      <c r="AY843" s="16"/>
      <c r="AZ843" s="16"/>
      <c r="BA843" s="16"/>
      <c r="BB843" s="17"/>
      <c r="BF843" s="24"/>
      <c r="BG843" s="61"/>
      <c r="BH843" s="16"/>
      <c r="BI843" s="16"/>
      <c r="BJ843" s="16"/>
      <c r="BK843" s="16"/>
      <c r="BL843" s="16"/>
      <c r="BM843" s="17"/>
      <c r="BQ843" s="24"/>
      <c r="BR843" s="61"/>
      <c r="BS843" s="16"/>
      <c r="BT843" s="16"/>
      <c r="BU843" s="16"/>
      <c r="BV843" s="16"/>
      <c r="BW843" s="16"/>
      <c r="BX843" s="17"/>
      <c r="CB843" s="24"/>
      <c r="CC843" s="61"/>
      <c r="CD843" s="16"/>
      <c r="CE843" s="16"/>
      <c r="CF843" s="16"/>
      <c r="CG843" s="16"/>
      <c r="CH843" s="16"/>
      <c r="CI843" s="17"/>
      <c r="CM843" s="24"/>
      <c r="CN843" s="61"/>
      <c r="CO843" s="16"/>
      <c r="CP843" s="16"/>
      <c r="CQ843" s="16"/>
      <c r="CR843" s="16"/>
      <c r="CS843" s="16"/>
      <c r="CT843" s="17"/>
      <c r="CX843" s="24"/>
      <c r="CY843" s="60"/>
      <c r="CZ843" s="16"/>
      <c r="DA843" s="16"/>
      <c r="DB843" s="16"/>
      <c r="DC843" s="16"/>
      <c r="DD843" s="16"/>
      <c r="DE843" s="17"/>
      <c r="DI843" s="24"/>
      <c r="DJ843" s="60"/>
      <c r="DK843" s="16"/>
      <c r="DL843" s="16"/>
      <c r="DM843" s="16"/>
      <c r="DN843" s="16"/>
      <c r="DO843" s="16"/>
      <c r="DP843" s="17"/>
      <c r="DT843" s="24"/>
      <c r="DU843" s="60"/>
      <c r="DV843" s="16"/>
      <c r="DW843" s="16"/>
      <c r="DX843" s="16"/>
      <c r="DY843" s="16"/>
      <c r="DZ843" s="16"/>
      <c r="EA843" s="17"/>
      <c r="EE843" s="24"/>
      <c r="EF843" s="60"/>
      <c r="EG843" s="16"/>
      <c r="EH843" s="16"/>
      <c r="EI843" s="16"/>
      <c r="EJ843" s="16"/>
      <c r="EK843" s="16"/>
      <c r="EL843" s="17"/>
      <c r="EP843" s="24"/>
      <c r="EQ843" s="60"/>
      <c r="ER843" s="16"/>
      <c r="ES843" s="16"/>
      <c r="ET843" s="16"/>
      <c r="EU843" s="16"/>
      <c r="EV843" s="16"/>
      <c r="EW843" s="17"/>
      <c r="FA843" s="24"/>
      <c r="FB843" s="60"/>
      <c r="FC843" s="16"/>
      <c r="FD843" s="16"/>
      <c r="FE843" s="16"/>
      <c r="FF843" s="16"/>
      <c r="FG843" s="16"/>
      <c r="FH843" s="17"/>
      <c r="FL843" s="24"/>
      <c r="FM843" s="60"/>
      <c r="FN843" s="16"/>
      <c r="FO843" s="16"/>
      <c r="FP843" s="16"/>
      <c r="FQ843" s="16"/>
      <c r="FR843" s="16"/>
      <c r="FS843" s="17"/>
      <c r="FW843" s="24"/>
      <c r="FX843" s="60"/>
      <c r="FY843" s="16"/>
      <c r="FZ843" s="16"/>
      <c r="GA843" s="16"/>
      <c r="GB843" s="16"/>
      <c r="GC843" s="16"/>
      <c r="GD843" s="17"/>
      <c r="GH843" s="24"/>
      <c r="GI843" s="60"/>
      <c r="GJ843" s="16"/>
      <c r="GK843" s="16"/>
      <c r="GL843" s="16"/>
      <c r="GM843" s="16"/>
      <c r="GN843" s="16"/>
      <c r="GO843" s="17"/>
      <c r="GS843" s="24"/>
      <c r="GT843" s="60"/>
      <c r="GU843" s="16"/>
      <c r="GV843" s="16"/>
      <c r="GW843" s="16"/>
      <c r="GX843" s="16"/>
      <c r="GY843" s="16"/>
      <c r="GZ843" s="17"/>
      <c r="HD843" s="24"/>
      <c r="HE843" s="60"/>
      <c r="HF843" s="16"/>
      <c r="HG843" s="16"/>
      <c r="HH843" s="16"/>
      <c r="HI843" s="16"/>
      <c r="HJ843" s="16"/>
      <c r="HK843" s="17"/>
      <c r="HO843" s="24"/>
      <c r="HP843" s="60"/>
      <c r="HQ843" s="16"/>
      <c r="HR843" s="16"/>
      <c r="HS843" s="16"/>
      <c r="HT843" s="16"/>
      <c r="HU843" s="16"/>
      <c r="HV843" s="17"/>
      <c r="HZ843" s="24"/>
      <c r="IA843" s="60"/>
      <c r="IB843" s="16"/>
      <c r="IC843" s="16"/>
      <c r="ID843" s="16"/>
      <c r="IE843" s="16"/>
      <c r="IF843" s="16"/>
      <c r="IG843" s="17"/>
      <c r="IK843" s="24"/>
      <c r="IL843" s="60"/>
      <c r="IM843" s="16"/>
      <c r="IN843" s="16"/>
      <c r="IO843" s="16"/>
      <c r="IP843" s="16"/>
      <c r="IQ843" s="16"/>
      <c r="IR843" s="17"/>
      <c r="IV843" s="24"/>
      <c r="IW843" s="60"/>
      <c r="IX843" s="16"/>
      <c r="IY843" s="16"/>
      <c r="IZ843" s="16"/>
      <c r="JA843" s="16"/>
      <c r="JB843" s="16"/>
      <c r="JC843" s="17"/>
      <c r="JG843" s="24"/>
      <c r="JH843" s="60"/>
      <c r="JI843" s="16"/>
      <c r="JJ843" s="16"/>
      <c r="JK843" s="16"/>
      <c r="JL843" s="16"/>
      <c r="JM843" s="16"/>
      <c r="JN843" s="17"/>
      <c r="JR843" s="24"/>
      <c r="JS843" s="60"/>
      <c r="JT843" s="16"/>
      <c r="JU843" s="16"/>
      <c r="JV843" s="16"/>
      <c r="JW843" s="16"/>
      <c r="JX843" s="16"/>
      <c r="JY843" s="17"/>
      <c r="KC843" s="24"/>
      <c r="KD843" s="60"/>
      <c r="KE843" s="16"/>
      <c r="KF843" s="16"/>
      <c r="KG843" s="16"/>
      <c r="KH843" s="16"/>
      <c r="KI843" s="16"/>
      <c r="KJ843" s="17"/>
      <c r="KN843" s="24"/>
      <c r="KO843" s="60"/>
      <c r="KP843" s="16"/>
      <c r="KQ843" s="16"/>
      <c r="KR843" s="16"/>
      <c r="KS843" s="16"/>
      <c r="KT843" s="16"/>
      <c r="KU843" s="17"/>
      <c r="KY843" s="24"/>
      <c r="KZ843" s="60"/>
      <c r="LA843" s="16"/>
      <c r="LB843" s="16"/>
      <c r="LC843" s="16"/>
      <c r="LD843" s="16"/>
      <c r="LE843" s="16"/>
      <c r="LF843" s="17"/>
      <c r="LJ843" s="24"/>
      <c r="LK843" s="60"/>
      <c r="LL843" s="16"/>
      <c r="LM843" s="16"/>
      <c r="LN843" s="16"/>
      <c r="LO843" s="16"/>
      <c r="LP843" s="16"/>
      <c r="LQ843" s="17"/>
    </row>
    <row r="844">
      <c r="C844" s="31"/>
      <c r="D844" s="61"/>
      <c r="E844" s="16"/>
      <c r="F844" s="16"/>
      <c r="G844" s="21"/>
      <c r="H844" s="16"/>
      <c r="I844" s="16"/>
      <c r="J844" s="17"/>
      <c r="N844" s="17"/>
      <c r="O844" s="61"/>
      <c r="P844" s="16"/>
      <c r="Q844" s="16"/>
      <c r="R844" s="16"/>
      <c r="S844" s="16"/>
      <c r="T844" s="16"/>
      <c r="U844" s="17"/>
      <c r="Y844" s="24"/>
      <c r="Z844" s="61"/>
      <c r="AA844" s="16"/>
      <c r="AB844" s="16"/>
      <c r="AC844" s="16"/>
      <c r="AD844" s="16"/>
      <c r="AE844" s="16"/>
      <c r="AF844" s="17"/>
      <c r="AJ844" s="24"/>
      <c r="AK844" s="61"/>
      <c r="AL844" s="16"/>
      <c r="AM844" s="16"/>
      <c r="AN844" s="16"/>
      <c r="AO844" s="16"/>
      <c r="AP844" s="16"/>
      <c r="AQ844" s="17"/>
      <c r="AU844" s="24"/>
      <c r="AV844" s="61"/>
      <c r="AW844" s="16"/>
      <c r="AX844" s="16"/>
      <c r="AY844" s="16"/>
      <c r="AZ844" s="16"/>
      <c r="BA844" s="16"/>
      <c r="BB844" s="17"/>
      <c r="BF844" s="24"/>
      <c r="BG844" s="61"/>
      <c r="BH844" s="16"/>
      <c r="BI844" s="16"/>
      <c r="BJ844" s="16"/>
      <c r="BK844" s="16"/>
      <c r="BL844" s="16"/>
      <c r="BM844" s="17"/>
      <c r="BQ844" s="24"/>
      <c r="BR844" s="61"/>
      <c r="BS844" s="16"/>
      <c r="BT844" s="16"/>
      <c r="BU844" s="16"/>
      <c r="BV844" s="16"/>
      <c r="BW844" s="16"/>
      <c r="BX844" s="17"/>
      <c r="CB844" s="24"/>
      <c r="CC844" s="61"/>
      <c r="CD844" s="16"/>
      <c r="CE844" s="16"/>
      <c r="CF844" s="16"/>
      <c r="CG844" s="16"/>
      <c r="CH844" s="16"/>
      <c r="CI844" s="17"/>
      <c r="CM844" s="24"/>
      <c r="CN844" s="61"/>
      <c r="CO844" s="16"/>
      <c r="CP844" s="16"/>
      <c r="CQ844" s="16"/>
      <c r="CR844" s="16"/>
      <c r="CS844" s="16"/>
      <c r="CT844" s="17"/>
      <c r="CX844" s="24"/>
      <c r="CY844" s="60"/>
      <c r="CZ844" s="16"/>
      <c r="DA844" s="16"/>
      <c r="DB844" s="16"/>
      <c r="DC844" s="16"/>
      <c r="DD844" s="16"/>
      <c r="DE844" s="17"/>
      <c r="DI844" s="24"/>
      <c r="DJ844" s="60"/>
      <c r="DK844" s="16"/>
      <c r="DL844" s="16"/>
      <c r="DM844" s="16"/>
      <c r="DN844" s="16"/>
      <c r="DO844" s="16"/>
      <c r="DP844" s="17"/>
      <c r="DT844" s="24"/>
      <c r="DU844" s="60"/>
      <c r="DV844" s="16"/>
      <c r="DW844" s="16"/>
      <c r="DX844" s="16"/>
      <c r="DY844" s="16"/>
      <c r="DZ844" s="16"/>
      <c r="EA844" s="17"/>
      <c r="EE844" s="24"/>
      <c r="EF844" s="60"/>
      <c r="EG844" s="16"/>
      <c r="EH844" s="16"/>
      <c r="EI844" s="16"/>
      <c r="EJ844" s="16"/>
      <c r="EK844" s="16"/>
      <c r="EL844" s="17"/>
      <c r="EP844" s="24"/>
      <c r="EQ844" s="60"/>
      <c r="ER844" s="16"/>
      <c r="ES844" s="16"/>
      <c r="ET844" s="16"/>
      <c r="EU844" s="16"/>
      <c r="EV844" s="16"/>
      <c r="EW844" s="17"/>
      <c r="FA844" s="24"/>
      <c r="FB844" s="60"/>
      <c r="FC844" s="16"/>
      <c r="FD844" s="16"/>
      <c r="FE844" s="16"/>
      <c r="FF844" s="16"/>
      <c r="FG844" s="16"/>
      <c r="FH844" s="17"/>
      <c r="FL844" s="24"/>
      <c r="FM844" s="60"/>
      <c r="FN844" s="16"/>
      <c r="FO844" s="16"/>
      <c r="FP844" s="16"/>
      <c r="FQ844" s="16"/>
      <c r="FR844" s="16"/>
      <c r="FS844" s="17"/>
      <c r="FW844" s="24"/>
      <c r="FX844" s="60"/>
      <c r="FY844" s="16"/>
      <c r="FZ844" s="16"/>
      <c r="GA844" s="16"/>
      <c r="GB844" s="16"/>
      <c r="GC844" s="16"/>
      <c r="GD844" s="17"/>
      <c r="GH844" s="24"/>
      <c r="GI844" s="60"/>
      <c r="GJ844" s="16"/>
      <c r="GK844" s="16"/>
      <c r="GL844" s="16"/>
      <c r="GM844" s="16"/>
      <c r="GN844" s="16"/>
      <c r="GO844" s="17"/>
      <c r="GS844" s="24"/>
      <c r="GT844" s="60"/>
      <c r="GU844" s="16"/>
      <c r="GV844" s="16"/>
      <c r="GW844" s="16"/>
      <c r="GX844" s="16"/>
      <c r="GY844" s="16"/>
      <c r="GZ844" s="17"/>
      <c r="HD844" s="24"/>
      <c r="HE844" s="60"/>
      <c r="HF844" s="16"/>
      <c r="HG844" s="16"/>
      <c r="HH844" s="16"/>
      <c r="HI844" s="16"/>
      <c r="HJ844" s="16"/>
      <c r="HK844" s="17"/>
      <c r="HO844" s="24"/>
      <c r="HP844" s="60"/>
      <c r="HQ844" s="16"/>
      <c r="HR844" s="16"/>
      <c r="HS844" s="16"/>
      <c r="HT844" s="16"/>
      <c r="HU844" s="16"/>
      <c r="HV844" s="17"/>
      <c r="HZ844" s="24"/>
      <c r="IA844" s="60"/>
      <c r="IB844" s="16"/>
      <c r="IC844" s="16"/>
      <c r="ID844" s="16"/>
      <c r="IE844" s="16"/>
      <c r="IF844" s="16"/>
      <c r="IG844" s="17"/>
      <c r="IK844" s="24"/>
      <c r="IL844" s="60"/>
      <c r="IM844" s="16"/>
      <c r="IN844" s="16"/>
      <c r="IO844" s="16"/>
      <c r="IP844" s="16"/>
      <c r="IQ844" s="16"/>
      <c r="IR844" s="17"/>
      <c r="IV844" s="24"/>
      <c r="IW844" s="60"/>
      <c r="IX844" s="16"/>
      <c r="IY844" s="16"/>
      <c r="IZ844" s="16"/>
      <c r="JA844" s="16"/>
      <c r="JB844" s="16"/>
      <c r="JC844" s="17"/>
      <c r="JG844" s="24"/>
      <c r="JH844" s="60"/>
      <c r="JI844" s="16"/>
      <c r="JJ844" s="16"/>
      <c r="JK844" s="16"/>
      <c r="JL844" s="16"/>
      <c r="JM844" s="16"/>
      <c r="JN844" s="17"/>
      <c r="JR844" s="24"/>
      <c r="JS844" s="60"/>
      <c r="JT844" s="16"/>
      <c r="JU844" s="16"/>
      <c r="JV844" s="16"/>
      <c r="JW844" s="16"/>
      <c r="JX844" s="16"/>
      <c r="JY844" s="17"/>
      <c r="KC844" s="24"/>
      <c r="KD844" s="60"/>
      <c r="KE844" s="16"/>
      <c r="KF844" s="16"/>
      <c r="KG844" s="16"/>
      <c r="KH844" s="16"/>
      <c r="KI844" s="16"/>
      <c r="KJ844" s="17"/>
      <c r="KN844" s="24"/>
      <c r="KO844" s="60"/>
      <c r="KP844" s="16"/>
      <c r="KQ844" s="16"/>
      <c r="KR844" s="16"/>
      <c r="KS844" s="16"/>
      <c r="KT844" s="16"/>
      <c r="KU844" s="17"/>
      <c r="KY844" s="24"/>
      <c r="KZ844" s="60"/>
      <c r="LA844" s="16"/>
      <c r="LB844" s="16"/>
      <c r="LC844" s="16"/>
      <c r="LD844" s="16"/>
      <c r="LE844" s="16"/>
      <c r="LF844" s="17"/>
      <c r="LJ844" s="24"/>
      <c r="LK844" s="60"/>
      <c r="LL844" s="16"/>
      <c r="LM844" s="16"/>
      <c r="LN844" s="16"/>
      <c r="LO844" s="16"/>
      <c r="LP844" s="16"/>
      <c r="LQ844" s="17"/>
    </row>
    <row r="845">
      <c r="C845" s="31"/>
      <c r="D845" s="61"/>
      <c r="E845" s="16"/>
      <c r="F845" s="16"/>
      <c r="G845" s="21"/>
      <c r="H845" s="16"/>
      <c r="I845" s="16"/>
      <c r="J845" s="17"/>
      <c r="N845" s="17"/>
      <c r="O845" s="61"/>
      <c r="P845" s="16"/>
      <c r="Q845" s="16"/>
      <c r="R845" s="16"/>
      <c r="S845" s="16"/>
      <c r="T845" s="16"/>
      <c r="U845" s="17"/>
      <c r="Y845" s="24"/>
      <c r="Z845" s="61"/>
      <c r="AA845" s="16"/>
      <c r="AB845" s="16"/>
      <c r="AC845" s="16"/>
      <c r="AD845" s="16"/>
      <c r="AE845" s="16"/>
      <c r="AF845" s="17"/>
      <c r="AJ845" s="24"/>
      <c r="AK845" s="61"/>
      <c r="AL845" s="16"/>
      <c r="AM845" s="16"/>
      <c r="AN845" s="16"/>
      <c r="AO845" s="16"/>
      <c r="AP845" s="16"/>
      <c r="AQ845" s="17"/>
      <c r="AU845" s="24"/>
      <c r="AV845" s="61"/>
      <c r="AW845" s="16"/>
      <c r="AX845" s="16"/>
      <c r="AY845" s="16"/>
      <c r="AZ845" s="16"/>
      <c r="BA845" s="16"/>
      <c r="BB845" s="17"/>
      <c r="BF845" s="24"/>
      <c r="BG845" s="61"/>
      <c r="BH845" s="16"/>
      <c r="BI845" s="16"/>
      <c r="BJ845" s="16"/>
      <c r="BK845" s="16"/>
      <c r="BL845" s="16"/>
      <c r="BM845" s="17"/>
      <c r="BQ845" s="24"/>
      <c r="BR845" s="61"/>
      <c r="BS845" s="16"/>
      <c r="BT845" s="16"/>
      <c r="BU845" s="16"/>
      <c r="BV845" s="16"/>
      <c r="BW845" s="16"/>
      <c r="BX845" s="17"/>
      <c r="CB845" s="24"/>
      <c r="CC845" s="61"/>
      <c r="CD845" s="16"/>
      <c r="CE845" s="16"/>
      <c r="CF845" s="16"/>
      <c r="CG845" s="16"/>
      <c r="CH845" s="16"/>
      <c r="CI845" s="17"/>
      <c r="CM845" s="24"/>
      <c r="CN845" s="61"/>
      <c r="CO845" s="16"/>
      <c r="CP845" s="16"/>
      <c r="CQ845" s="16"/>
      <c r="CR845" s="16"/>
      <c r="CS845" s="16"/>
      <c r="CT845" s="17"/>
      <c r="CX845" s="24"/>
      <c r="CY845" s="60"/>
      <c r="CZ845" s="16"/>
      <c r="DA845" s="16"/>
      <c r="DB845" s="16"/>
      <c r="DC845" s="16"/>
      <c r="DD845" s="16"/>
      <c r="DE845" s="17"/>
      <c r="DI845" s="24"/>
      <c r="DJ845" s="60"/>
      <c r="DK845" s="16"/>
      <c r="DL845" s="16"/>
      <c r="DM845" s="16"/>
      <c r="DN845" s="16"/>
      <c r="DO845" s="16"/>
      <c r="DP845" s="17"/>
      <c r="DT845" s="24"/>
      <c r="DU845" s="60"/>
      <c r="DV845" s="16"/>
      <c r="DW845" s="16"/>
      <c r="DX845" s="16"/>
      <c r="DY845" s="16"/>
      <c r="DZ845" s="16"/>
      <c r="EA845" s="17"/>
      <c r="EE845" s="24"/>
      <c r="EF845" s="60"/>
      <c r="EG845" s="16"/>
      <c r="EH845" s="16"/>
      <c r="EI845" s="16"/>
      <c r="EJ845" s="16"/>
      <c r="EK845" s="16"/>
      <c r="EL845" s="17"/>
      <c r="EP845" s="24"/>
      <c r="EQ845" s="60"/>
      <c r="ER845" s="16"/>
      <c r="ES845" s="16"/>
      <c r="ET845" s="16"/>
      <c r="EU845" s="16"/>
      <c r="EV845" s="16"/>
      <c r="EW845" s="17"/>
      <c r="FA845" s="24"/>
      <c r="FB845" s="60"/>
      <c r="FC845" s="16"/>
      <c r="FD845" s="16"/>
      <c r="FE845" s="16"/>
      <c r="FF845" s="16"/>
      <c r="FG845" s="16"/>
      <c r="FH845" s="17"/>
      <c r="FL845" s="24"/>
      <c r="FM845" s="60"/>
      <c r="FN845" s="16"/>
      <c r="FO845" s="16"/>
      <c r="FP845" s="16"/>
      <c r="FQ845" s="16"/>
      <c r="FR845" s="16"/>
      <c r="FS845" s="17"/>
      <c r="FW845" s="24"/>
      <c r="FX845" s="60"/>
      <c r="FY845" s="16"/>
      <c r="FZ845" s="16"/>
      <c r="GA845" s="16"/>
      <c r="GB845" s="16"/>
      <c r="GC845" s="16"/>
      <c r="GD845" s="17"/>
      <c r="GH845" s="24"/>
      <c r="GI845" s="60"/>
      <c r="GJ845" s="16"/>
      <c r="GK845" s="16"/>
      <c r="GL845" s="16"/>
      <c r="GM845" s="16"/>
      <c r="GN845" s="16"/>
      <c r="GO845" s="17"/>
      <c r="GS845" s="24"/>
      <c r="GT845" s="60"/>
      <c r="GU845" s="16"/>
      <c r="GV845" s="16"/>
      <c r="GW845" s="16"/>
      <c r="GX845" s="16"/>
      <c r="GY845" s="16"/>
      <c r="GZ845" s="17"/>
      <c r="HD845" s="24"/>
      <c r="HE845" s="60"/>
      <c r="HF845" s="16"/>
      <c r="HG845" s="16"/>
      <c r="HH845" s="16"/>
      <c r="HI845" s="16"/>
      <c r="HJ845" s="16"/>
      <c r="HK845" s="17"/>
      <c r="HO845" s="24"/>
      <c r="HP845" s="60"/>
      <c r="HQ845" s="16"/>
      <c r="HR845" s="16"/>
      <c r="HS845" s="16"/>
      <c r="HT845" s="16"/>
      <c r="HU845" s="16"/>
      <c r="HV845" s="17"/>
      <c r="HZ845" s="24"/>
      <c r="IA845" s="60"/>
      <c r="IB845" s="16"/>
      <c r="IC845" s="16"/>
      <c r="ID845" s="16"/>
      <c r="IE845" s="16"/>
      <c r="IF845" s="16"/>
      <c r="IG845" s="17"/>
      <c r="IK845" s="24"/>
      <c r="IL845" s="60"/>
      <c r="IM845" s="16"/>
      <c r="IN845" s="16"/>
      <c r="IO845" s="16"/>
      <c r="IP845" s="16"/>
      <c r="IQ845" s="16"/>
      <c r="IR845" s="17"/>
      <c r="IV845" s="24"/>
      <c r="IW845" s="60"/>
      <c r="IX845" s="16"/>
      <c r="IY845" s="16"/>
      <c r="IZ845" s="16"/>
      <c r="JA845" s="16"/>
      <c r="JB845" s="16"/>
      <c r="JC845" s="17"/>
      <c r="JG845" s="24"/>
      <c r="JH845" s="60"/>
      <c r="JI845" s="16"/>
      <c r="JJ845" s="16"/>
      <c r="JK845" s="16"/>
      <c r="JL845" s="16"/>
      <c r="JM845" s="16"/>
      <c r="JN845" s="17"/>
      <c r="JR845" s="24"/>
      <c r="JS845" s="60"/>
      <c r="JT845" s="16"/>
      <c r="JU845" s="16"/>
      <c r="JV845" s="16"/>
      <c r="JW845" s="16"/>
      <c r="JX845" s="16"/>
      <c r="JY845" s="17"/>
      <c r="KC845" s="24"/>
      <c r="KD845" s="60"/>
      <c r="KE845" s="16"/>
      <c r="KF845" s="16"/>
      <c r="KG845" s="16"/>
      <c r="KH845" s="16"/>
      <c r="KI845" s="16"/>
      <c r="KJ845" s="17"/>
      <c r="KN845" s="24"/>
      <c r="KO845" s="60"/>
      <c r="KP845" s="16"/>
      <c r="KQ845" s="16"/>
      <c r="KR845" s="16"/>
      <c r="KS845" s="16"/>
      <c r="KT845" s="16"/>
      <c r="KU845" s="17"/>
      <c r="KY845" s="24"/>
      <c r="KZ845" s="60"/>
      <c r="LA845" s="16"/>
      <c r="LB845" s="16"/>
      <c r="LC845" s="16"/>
      <c r="LD845" s="16"/>
      <c r="LE845" s="16"/>
      <c r="LF845" s="17"/>
      <c r="LJ845" s="24"/>
      <c r="LK845" s="60"/>
      <c r="LL845" s="16"/>
      <c r="LM845" s="16"/>
      <c r="LN845" s="16"/>
      <c r="LO845" s="16"/>
      <c r="LP845" s="16"/>
      <c r="LQ845" s="17"/>
    </row>
    <row r="846">
      <c r="C846" s="31"/>
      <c r="D846" s="61"/>
      <c r="E846" s="16"/>
      <c r="F846" s="16"/>
      <c r="G846" s="21"/>
      <c r="H846" s="16"/>
      <c r="I846" s="16"/>
      <c r="J846" s="17"/>
      <c r="N846" s="17"/>
      <c r="O846" s="61"/>
      <c r="P846" s="16"/>
      <c r="Q846" s="16"/>
      <c r="R846" s="16"/>
      <c r="S846" s="16"/>
      <c r="T846" s="16"/>
      <c r="U846" s="17"/>
      <c r="Y846" s="24"/>
      <c r="Z846" s="61"/>
      <c r="AA846" s="16"/>
      <c r="AB846" s="16"/>
      <c r="AC846" s="16"/>
      <c r="AD846" s="16"/>
      <c r="AE846" s="16"/>
      <c r="AF846" s="17"/>
      <c r="AJ846" s="24"/>
      <c r="AK846" s="61"/>
      <c r="AL846" s="16"/>
      <c r="AM846" s="16"/>
      <c r="AN846" s="16"/>
      <c r="AO846" s="16"/>
      <c r="AP846" s="16"/>
      <c r="AQ846" s="17"/>
      <c r="AU846" s="24"/>
      <c r="AV846" s="61"/>
      <c r="AW846" s="16"/>
      <c r="AX846" s="16"/>
      <c r="AY846" s="16"/>
      <c r="AZ846" s="16"/>
      <c r="BA846" s="16"/>
      <c r="BB846" s="17"/>
      <c r="BF846" s="24"/>
      <c r="BG846" s="61"/>
      <c r="BH846" s="16"/>
      <c r="BI846" s="16"/>
      <c r="BJ846" s="16"/>
      <c r="BK846" s="16"/>
      <c r="BL846" s="16"/>
      <c r="BM846" s="17"/>
      <c r="BQ846" s="24"/>
      <c r="BR846" s="61"/>
      <c r="BS846" s="16"/>
      <c r="BT846" s="16"/>
      <c r="BU846" s="16"/>
      <c r="BV846" s="16"/>
      <c r="BW846" s="16"/>
      <c r="BX846" s="17"/>
      <c r="CB846" s="24"/>
      <c r="CC846" s="61"/>
      <c r="CD846" s="16"/>
      <c r="CE846" s="16"/>
      <c r="CF846" s="16"/>
      <c r="CG846" s="16"/>
      <c r="CH846" s="16"/>
      <c r="CI846" s="17"/>
      <c r="CM846" s="24"/>
      <c r="CN846" s="61"/>
      <c r="CO846" s="16"/>
      <c r="CP846" s="16"/>
      <c r="CQ846" s="16"/>
      <c r="CR846" s="16"/>
      <c r="CS846" s="16"/>
      <c r="CT846" s="17"/>
      <c r="CX846" s="24"/>
      <c r="CY846" s="60"/>
      <c r="CZ846" s="16"/>
      <c r="DA846" s="16"/>
      <c r="DB846" s="16"/>
      <c r="DC846" s="16"/>
      <c r="DD846" s="16"/>
      <c r="DE846" s="17"/>
      <c r="DI846" s="24"/>
      <c r="DJ846" s="60"/>
      <c r="DK846" s="16"/>
      <c r="DL846" s="16"/>
      <c r="DM846" s="16"/>
      <c r="DN846" s="16"/>
      <c r="DO846" s="16"/>
      <c r="DP846" s="17"/>
      <c r="DT846" s="24"/>
      <c r="DU846" s="60"/>
      <c r="DV846" s="16"/>
      <c r="DW846" s="16"/>
      <c r="DX846" s="16"/>
      <c r="DY846" s="16"/>
      <c r="DZ846" s="16"/>
      <c r="EA846" s="17"/>
      <c r="EE846" s="24"/>
      <c r="EF846" s="60"/>
      <c r="EG846" s="16"/>
      <c r="EH846" s="16"/>
      <c r="EI846" s="16"/>
      <c r="EJ846" s="16"/>
      <c r="EK846" s="16"/>
      <c r="EL846" s="17"/>
      <c r="EP846" s="24"/>
      <c r="EQ846" s="60"/>
      <c r="ER846" s="16"/>
      <c r="ES846" s="16"/>
      <c r="ET846" s="16"/>
      <c r="EU846" s="16"/>
      <c r="EV846" s="16"/>
      <c r="EW846" s="17"/>
      <c r="FA846" s="24"/>
      <c r="FB846" s="60"/>
      <c r="FC846" s="16"/>
      <c r="FD846" s="16"/>
      <c r="FE846" s="16"/>
      <c r="FF846" s="16"/>
      <c r="FG846" s="16"/>
      <c r="FH846" s="17"/>
      <c r="FL846" s="24"/>
      <c r="FM846" s="60"/>
      <c r="FN846" s="16"/>
      <c r="FO846" s="16"/>
      <c r="FP846" s="16"/>
      <c r="FQ846" s="16"/>
      <c r="FR846" s="16"/>
      <c r="FS846" s="17"/>
      <c r="FW846" s="24"/>
      <c r="FX846" s="60"/>
      <c r="FY846" s="16"/>
      <c r="FZ846" s="16"/>
      <c r="GA846" s="16"/>
      <c r="GB846" s="16"/>
      <c r="GC846" s="16"/>
      <c r="GD846" s="17"/>
      <c r="GH846" s="24"/>
      <c r="GI846" s="60"/>
      <c r="GJ846" s="16"/>
      <c r="GK846" s="16"/>
      <c r="GL846" s="16"/>
      <c r="GM846" s="16"/>
      <c r="GN846" s="16"/>
      <c r="GO846" s="17"/>
      <c r="GS846" s="24"/>
      <c r="GT846" s="60"/>
      <c r="GU846" s="16"/>
      <c r="GV846" s="16"/>
      <c r="GW846" s="16"/>
      <c r="GX846" s="16"/>
      <c r="GY846" s="16"/>
      <c r="GZ846" s="17"/>
      <c r="HD846" s="24"/>
      <c r="HE846" s="60"/>
      <c r="HF846" s="16"/>
      <c r="HG846" s="16"/>
      <c r="HH846" s="16"/>
      <c r="HI846" s="16"/>
      <c r="HJ846" s="16"/>
      <c r="HK846" s="17"/>
      <c r="HO846" s="24"/>
      <c r="HP846" s="60"/>
      <c r="HQ846" s="16"/>
      <c r="HR846" s="16"/>
      <c r="HS846" s="16"/>
      <c r="HT846" s="16"/>
      <c r="HU846" s="16"/>
      <c r="HV846" s="17"/>
      <c r="HZ846" s="24"/>
      <c r="IA846" s="60"/>
      <c r="IB846" s="16"/>
      <c r="IC846" s="16"/>
      <c r="ID846" s="16"/>
      <c r="IE846" s="16"/>
      <c r="IF846" s="16"/>
      <c r="IG846" s="17"/>
      <c r="IK846" s="24"/>
      <c r="IL846" s="60"/>
      <c r="IM846" s="16"/>
      <c r="IN846" s="16"/>
      <c r="IO846" s="16"/>
      <c r="IP846" s="16"/>
      <c r="IQ846" s="16"/>
      <c r="IR846" s="17"/>
      <c r="IV846" s="24"/>
      <c r="IW846" s="60"/>
      <c r="IX846" s="16"/>
      <c r="IY846" s="16"/>
      <c r="IZ846" s="16"/>
      <c r="JA846" s="16"/>
      <c r="JB846" s="16"/>
      <c r="JC846" s="17"/>
      <c r="JG846" s="24"/>
      <c r="JH846" s="60"/>
      <c r="JI846" s="16"/>
      <c r="JJ846" s="16"/>
      <c r="JK846" s="16"/>
      <c r="JL846" s="16"/>
      <c r="JM846" s="16"/>
      <c r="JN846" s="17"/>
      <c r="JR846" s="24"/>
      <c r="JS846" s="60"/>
      <c r="JT846" s="16"/>
      <c r="JU846" s="16"/>
      <c r="JV846" s="16"/>
      <c r="JW846" s="16"/>
      <c r="JX846" s="16"/>
      <c r="JY846" s="17"/>
      <c r="KC846" s="24"/>
      <c r="KD846" s="60"/>
      <c r="KE846" s="16"/>
      <c r="KF846" s="16"/>
      <c r="KG846" s="16"/>
      <c r="KH846" s="16"/>
      <c r="KI846" s="16"/>
      <c r="KJ846" s="17"/>
      <c r="KN846" s="24"/>
      <c r="KO846" s="60"/>
      <c r="KP846" s="16"/>
      <c r="KQ846" s="16"/>
      <c r="KR846" s="16"/>
      <c r="KS846" s="16"/>
      <c r="KT846" s="16"/>
      <c r="KU846" s="17"/>
      <c r="KY846" s="24"/>
      <c r="KZ846" s="60"/>
      <c r="LA846" s="16"/>
      <c r="LB846" s="16"/>
      <c r="LC846" s="16"/>
      <c r="LD846" s="16"/>
      <c r="LE846" s="16"/>
      <c r="LF846" s="17"/>
      <c r="LJ846" s="24"/>
      <c r="LK846" s="60"/>
      <c r="LL846" s="16"/>
      <c r="LM846" s="16"/>
      <c r="LN846" s="16"/>
      <c r="LO846" s="16"/>
      <c r="LP846" s="16"/>
      <c r="LQ846" s="17"/>
    </row>
    <row r="847">
      <c r="C847" s="31"/>
      <c r="D847" s="61"/>
      <c r="E847" s="16"/>
      <c r="F847" s="16"/>
      <c r="G847" s="21"/>
      <c r="H847" s="16"/>
      <c r="I847" s="16"/>
      <c r="J847" s="17"/>
      <c r="N847" s="17"/>
      <c r="O847" s="61"/>
      <c r="P847" s="16"/>
      <c r="Q847" s="16"/>
      <c r="R847" s="16"/>
      <c r="S847" s="16"/>
      <c r="T847" s="16"/>
      <c r="U847" s="17"/>
      <c r="Y847" s="24"/>
      <c r="Z847" s="61"/>
      <c r="AA847" s="16"/>
      <c r="AB847" s="16"/>
      <c r="AC847" s="16"/>
      <c r="AD847" s="16"/>
      <c r="AE847" s="16"/>
      <c r="AF847" s="17"/>
      <c r="AJ847" s="24"/>
      <c r="AK847" s="61"/>
      <c r="AL847" s="16"/>
      <c r="AM847" s="16"/>
      <c r="AN847" s="16"/>
      <c r="AO847" s="16"/>
      <c r="AP847" s="16"/>
      <c r="AQ847" s="17"/>
      <c r="AU847" s="24"/>
      <c r="AV847" s="61"/>
      <c r="AW847" s="16"/>
      <c r="AX847" s="16"/>
      <c r="AY847" s="16"/>
      <c r="AZ847" s="16"/>
      <c r="BA847" s="16"/>
      <c r="BB847" s="17"/>
      <c r="BF847" s="24"/>
      <c r="BG847" s="61"/>
      <c r="BH847" s="16"/>
      <c r="BI847" s="16"/>
      <c r="BJ847" s="16"/>
      <c r="BK847" s="16"/>
      <c r="BL847" s="16"/>
      <c r="BM847" s="17"/>
      <c r="BQ847" s="24"/>
      <c r="BR847" s="61"/>
      <c r="BS847" s="16"/>
      <c r="BT847" s="16"/>
      <c r="BU847" s="16"/>
      <c r="BV847" s="16"/>
      <c r="BW847" s="16"/>
      <c r="BX847" s="17"/>
      <c r="CB847" s="24"/>
      <c r="CC847" s="61"/>
      <c r="CD847" s="16"/>
      <c r="CE847" s="16"/>
      <c r="CF847" s="16"/>
      <c r="CG847" s="16"/>
      <c r="CH847" s="16"/>
      <c r="CI847" s="17"/>
      <c r="CM847" s="24"/>
      <c r="CN847" s="61"/>
      <c r="CO847" s="16"/>
      <c r="CP847" s="16"/>
      <c r="CQ847" s="16"/>
      <c r="CR847" s="16"/>
      <c r="CS847" s="16"/>
      <c r="CT847" s="17"/>
      <c r="CX847" s="24"/>
      <c r="CY847" s="60"/>
      <c r="CZ847" s="16"/>
      <c r="DA847" s="16"/>
      <c r="DB847" s="16"/>
      <c r="DC847" s="16"/>
      <c r="DD847" s="16"/>
      <c r="DE847" s="17"/>
      <c r="DI847" s="24"/>
      <c r="DJ847" s="60"/>
      <c r="DK847" s="16"/>
      <c r="DL847" s="16"/>
      <c r="DM847" s="16"/>
      <c r="DN847" s="16"/>
      <c r="DO847" s="16"/>
      <c r="DP847" s="17"/>
      <c r="DT847" s="24"/>
      <c r="DU847" s="60"/>
      <c r="DV847" s="16"/>
      <c r="DW847" s="16"/>
      <c r="DX847" s="16"/>
      <c r="DY847" s="16"/>
      <c r="DZ847" s="16"/>
      <c r="EA847" s="17"/>
      <c r="EE847" s="24"/>
      <c r="EF847" s="60"/>
      <c r="EG847" s="16"/>
      <c r="EH847" s="16"/>
      <c r="EI847" s="16"/>
      <c r="EJ847" s="16"/>
      <c r="EK847" s="16"/>
      <c r="EL847" s="17"/>
      <c r="EP847" s="24"/>
      <c r="EQ847" s="60"/>
      <c r="ER847" s="16"/>
      <c r="ES847" s="16"/>
      <c r="ET847" s="16"/>
      <c r="EU847" s="16"/>
      <c r="EV847" s="16"/>
      <c r="EW847" s="17"/>
      <c r="FA847" s="24"/>
      <c r="FB847" s="60"/>
      <c r="FC847" s="16"/>
      <c r="FD847" s="16"/>
      <c r="FE847" s="16"/>
      <c r="FF847" s="16"/>
      <c r="FG847" s="16"/>
      <c r="FH847" s="17"/>
      <c r="FL847" s="24"/>
      <c r="FM847" s="60"/>
      <c r="FN847" s="16"/>
      <c r="FO847" s="16"/>
      <c r="FP847" s="16"/>
      <c r="FQ847" s="16"/>
      <c r="FR847" s="16"/>
      <c r="FS847" s="17"/>
      <c r="FW847" s="24"/>
      <c r="FX847" s="60"/>
      <c r="FY847" s="16"/>
      <c r="FZ847" s="16"/>
      <c r="GA847" s="16"/>
      <c r="GB847" s="16"/>
      <c r="GC847" s="16"/>
      <c r="GD847" s="17"/>
      <c r="GH847" s="24"/>
      <c r="GI847" s="60"/>
      <c r="GJ847" s="16"/>
      <c r="GK847" s="16"/>
      <c r="GL847" s="16"/>
      <c r="GM847" s="16"/>
      <c r="GN847" s="16"/>
      <c r="GO847" s="17"/>
      <c r="GS847" s="24"/>
      <c r="GT847" s="60"/>
      <c r="GU847" s="16"/>
      <c r="GV847" s="16"/>
      <c r="GW847" s="16"/>
      <c r="GX847" s="16"/>
      <c r="GY847" s="16"/>
      <c r="GZ847" s="17"/>
      <c r="HD847" s="24"/>
      <c r="HE847" s="60"/>
      <c r="HF847" s="16"/>
      <c r="HG847" s="16"/>
      <c r="HH847" s="16"/>
      <c r="HI847" s="16"/>
      <c r="HJ847" s="16"/>
      <c r="HK847" s="17"/>
      <c r="HO847" s="24"/>
      <c r="HP847" s="60"/>
      <c r="HQ847" s="16"/>
      <c r="HR847" s="16"/>
      <c r="HS847" s="16"/>
      <c r="HT847" s="16"/>
      <c r="HU847" s="16"/>
      <c r="HV847" s="17"/>
      <c r="HZ847" s="24"/>
      <c r="IA847" s="60"/>
      <c r="IB847" s="16"/>
      <c r="IC847" s="16"/>
      <c r="ID847" s="16"/>
      <c r="IE847" s="16"/>
      <c r="IF847" s="16"/>
      <c r="IG847" s="17"/>
      <c r="IK847" s="24"/>
      <c r="IL847" s="60"/>
      <c r="IM847" s="16"/>
      <c r="IN847" s="16"/>
      <c r="IO847" s="16"/>
      <c r="IP847" s="16"/>
      <c r="IQ847" s="16"/>
      <c r="IR847" s="17"/>
      <c r="IV847" s="24"/>
      <c r="IW847" s="60"/>
      <c r="IX847" s="16"/>
      <c r="IY847" s="16"/>
      <c r="IZ847" s="16"/>
      <c r="JA847" s="16"/>
      <c r="JB847" s="16"/>
      <c r="JC847" s="17"/>
      <c r="JG847" s="24"/>
      <c r="JH847" s="60"/>
      <c r="JI847" s="16"/>
      <c r="JJ847" s="16"/>
      <c r="JK847" s="16"/>
      <c r="JL847" s="16"/>
      <c r="JM847" s="16"/>
      <c r="JN847" s="17"/>
      <c r="JR847" s="24"/>
      <c r="JS847" s="60"/>
      <c r="JT847" s="16"/>
      <c r="JU847" s="16"/>
      <c r="JV847" s="16"/>
      <c r="JW847" s="16"/>
      <c r="JX847" s="16"/>
      <c r="JY847" s="17"/>
      <c r="KC847" s="24"/>
      <c r="KD847" s="60"/>
      <c r="KE847" s="16"/>
      <c r="KF847" s="16"/>
      <c r="KG847" s="16"/>
      <c r="KH847" s="16"/>
      <c r="KI847" s="16"/>
      <c r="KJ847" s="17"/>
      <c r="KN847" s="24"/>
      <c r="KO847" s="60"/>
      <c r="KP847" s="16"/>
      <c r="KQ847" s="16"/>
      <c r="KR847" s="16"/>
      <c r="KS847" s="16"/>
      <c r="KT847" s="16"/>
      <c r="KU847" s="17"/>
      <c r="KY847" s="24"/>
      <c r="KZ847" s="60"/>
      <c r="LA847" s="16"/>
      <c r="LB847" s="16"/>
      <c r="LC847" s="16"/>
      <c r="LD847" s="16"/>
      <c r="LE847" s="16"/>
      <c r="LF847" s="17"/>
      <c r="LJ847" s="24"/>
      <c r="LK847" s="60"/>
      <c r="LL847" s="16"/>
      <c r="LM847" s="16"/>
      <c r="LN847" s="16"/>
      <c r="LO847" s="16"/>
      <c r="LP847" s="16"/>
      <c r="LQ847" s="17"/>
    </row>
    <row r="848">
      <c r="C848" s="31"/>
      <c r="D848" s="61"/>
      <c r="E848" s="16"/>
      <c r="F848" s="16"/>
      <c r="G848" s="21"/>
      <c r="H848" s="16"/>
      <c r="I848" s="16"/>
      <c r="J848" s="17"/>
      <c r="N848" s="17"/>
      <c r="O848" s="61"/>
      <c r="P848" s="16"/>
      <c r="Q848" s="16"/>
      <c r="R848" s="16"/>
      <c r="S848" s="16"/>
      <c r="T848" s="16"/>
      <c r="U848" s="17"/>
      <c r="Y848" s="24"/>
      <c r="Z848" s="61"/>
      <c r="AA848" s="16"/>
      <c r="AB848" s="16"/>
      <c r="AC848" s="16"/>
      <c r="AD848" s="16"/>
      <c r="AE848" s="16"/>
      <c r="AF848" s="17"/>
      <c r="AJ848" s="24"/>
      <c r="AK848" s="61"/>
      <c r="AL848" s="16"/>
      <c r="AM848" s="16"/>
      <c r="AN848" s="16"/>
      <c r="AO848" s="16"/>
      <c r="AP848" s="16"/>
      <c r="AQ848" s="17"/>
      <c r="AU848" s="24"/>
      <c r="AV848" s="61"/>
      <c r="AW848" s="16"/>
      <c r="AX848" s="16"/>
      <c r="AY848" s="16"/>
      <c r="AZ848" s="16"/>
      <c r="BA848" s="16"/>
      <c r="BB848" s="17"/>
      <c r="BF848" s="24"/>
      <c r="BG848" s="61"/>
      <c r="BH848" s="16"/>
      <c r="BI848" s="16"/>
      <c r="BJ848" s="16"/>
      <c r="BK848" s="16"/>
      <c r="BL848" s="16"/>
      <c r="BM848" s="17"/>
      <c r="BQ848" s="24"/>
      <c r="BR848" s="61"/>
      <c r="BS848" s="16"/>
      <c r="BT848" s="16"/>
      <c r="BU848" s="16"/>
      <c r="BV848" s="16"/>
      <c r="BW848" s="16"/>
      <c r="BX848" s="17"/>
      <c r="CB848" s="24"/>
      <c r="CC848" s="61"/>
      <c r="CD848" s="16"/>
      <c r="CE848" s="16"/>
      <c r="CF848" s="16"/>
      <c r="CG848" s="16"/>
      <c r="CH848" s="16"/>
      <c r="CI848" s="17"/>
      <c r="CM848" s="24"/>
      <c r="CN848" s="61"/>
      <c r="CO848" s="16"/>
      <c r="CP848" s="16"/>
      <c r="CQ848" s="16"/>
      <c r="CR848" s="16"/>
      <c r="CS848" s="16"/>
      <c r="CT848" s="17"/>
      <c r="CX848" s="24"/>
      <c r="CY848" s="60"/>
      <c r="CZ848" s="16"/>
      <c r="DA848" s="16"/>
      <c r="DB848" s="16"/>
      <c r="DC848" s="16"/>
      <c r="DD848" s="16"/>
      <c r="DE848" s="17"/>
      <c r="DI848" s="24"/>
      <c r="DJ848" s="60"/>
      <c r="DK848" s="16"/>
      <c r="DL848" s="16"/>
      <c r="DM848" s="16"/>
      <c r="DN848" s="16"/>
      <c r="DO848" s="16"/>
      <c r="DP848" s="17"/>
      <c r="DT848" s="24"/>
      <c r="DU848" s="60"/>
      <c r="DV848" s="16"/>
      <c r="DW848" s="16"/>
      <c r="DX848" s="16"/>
      <c r="DY848" s="16"/>
      <c r="DZ848" s="16"/>
      <c r="EA848" s="17"/>
      <c r="EE848" s="24"/>
      <c r="EF848" s="60"/>
      <c r="EG848" s="16"/>
      <c r="EH848" s="16"/>
      <c r="EI848" s="16"/>
      <c r="EJ848" s="16"/>
      <c r="EK848" s="16"/>
      <c r="EL848" s="17"/>
      <c r="EP848" s="24"/>
      <c r="EQ848" s="60"/>
      <c r="ER848" s="16"/>
      <c r="ES848" s="16"/>
      <c r="ET848" s="16"/>
      <c r="EU848" s="16"/>
      <c r="EV848" s="16"/>
      <c r="EW848" s="17"/>
      <c r="FA848" s="24"/>
      <c r="FB848" s="60"/>
      <c r="FC848" s="16"/>
      <c r="FD848" s="16"/>
      <c r="FE848" s="16"/>
      <c r="FF848" s="16"/>
      <c r="FG848" s="16"/>
      <c r="FH848" s="17"/>
      <c r="FL848" s="24"/>
      <c r="FM848" s="60"/>
      <c r="FN848" s="16"/>
      <c r="FO848" s="16"/>
      <c r="FP848" s="16"/>
      <c r="FQ848" s="16"/>
      <c r="FR848" s="16"/>
      <c r="FS848" s="17"/>
      <c r="FW848" s="24"/>
      <c r="FX848" s="60"/>
      <c r="FY848" s="16"/>
      <c r="FZ848" s="16"/>
      <c r="GA848" s="16"/>
      <c r="GB848" s="16"/>
      <c r="GC848" s="16"/>
      <c r="GD848" s="17"/>
      <c r="GH848" s="24"/>
      <c r="GI848" s="60"/>
      <c r="GJ848" s="16"/>
      <c r="GK848" s="16"/>
      <c r="GL848" s="16"/>
      <c r="GM848" s="16"/>
      <c r="GN848" s="16"/>
      <c r="GO848" s="17"/>
      <c r="GS848" s="24"/>
      <c r="GT848" s="60"/>
      <c r="GU848" s="16"/>
      <c r="GV848" s="16"/>
      <c r="GW848" s="16"/>
      <c r="GX848" s="16"/>
      <c r="GY848" s="16"/>
      <c r="GZ848" s="17"/>
      <c r="HD848" s="24"/>
      <c r="HE848" s="60"/>
      <c r="HF848" s="16"/>
      <c r="HG848" s="16"/>
      <c r="HH848" s="16"/>
      <c r="HI848" s="16"/>
      <c r="HJ848" s="16"/>
      <c r="HK848" s="17"/>
      <c r="HO848" s="24"/>
      <c r="HP848" s="60"/>
      <c r="HQ848" s="16"/>
      <c r="HR848" s="16"/>
      <c r="HS848" s="16"/>
      <c r="HT848" s="16"/>
      <c r="HU848" s="16"/>
      <c r="HV848" s="17"/>
      <c r="HZ848" s="24"/>
      <c r="IA848" s="60"/>
      <c r="IB848" s="16"/>
      <c r="IC848" s="16"/>
      <c r="ID848" s="16"/>
      <c r="IE848" s="16"/>
      <c r="IF848" s="16"/>
      <c r="IG848" s="17"/>
      <c r="IK848" s="24"/>
      <c r="IL848" s="60"/>
      <c r="IM848" s="16"/>
      <c r="IN848" s="16"/>
      <c r="IO848" s="16"/>
      <c r="IP848" s="16"/>
      <c r="IQ848" s="16"/>
      <c r="IR848" s="17"/>
      <c r="IV848" s="24"/>
      <c r="IW848" s="60"/>
      <c r="IX848" s="16"/>
      <c r="IY848" s="16"/>
      <c r="IZ848" s="16"/>
      <c r="JA848" s="16"/>
      <c r="JB848" s="16"/>
      <c r="JC848" s="17"/>
      <c r="JG848" s="24"/>
      <c r="JH848" s="60"/>
      <c r="JI848" s="16"/>
      <c r="JJ848" s="16"/>
      <c r="JK848" s="16"/>
      <c r="JL848" s="16"/>
      <c r="JM848" s="16"/>
      <c r="JN848" s="17"/>
      <c r="JR848" s="24"/>
      <c r="JS848" s="60"/>
      <c r="JT848" s="16"/>
      <c r="JU848" s="16"/>
      <c r="JV848" s="16"/>
      <c r="JW848" s="16"/>
      <c r="JX848" s="16"/>
      <c r="JY848" s="17"/>
      <c r="KC848" s="24"/>
      <c r="KD848" s="60"/>
      <c r="KE848" s="16"/>
      <c r="KF848" s="16"/>
      <c r="KG848" s="16"/>
      <c r="KH848" s="16"/>
      <c r="KI848" s="16"/>
      <c r="KJ848" s="17"/>
      <c r="KN848" s="24"/>
      <c r="KO848" s="60"/>
      <c r="KP848" s="16"/>
      <c r="KQ848" s="16"/>
      <c r="KR848" s="16"/>
      <c r="KS848" s="16"/>
      <c r="KT848" s="16"/>
      <c r="KU848" s="17"/>
      <c r="KY848" s="24"/>
      <c r="KZ848" s="60"/>
      <c r="LA848" s="16"/>
      <c r="LB848" s="16"/>
      <c r="LC848" s="16"/>
      <c r="LD848" s="16"/>
      <c r="LE848" s="16"/>
      <c r="LF848" s="17"/>
      <c r="LJ848" s="24"/>
      <c r="LK848" s="60"/>
      <c r="LL848" s="16"/>
      <c r="LM848" s="16"/>
      <c r="LN848" s="16"/>
      <c r="LO848" s="16"/>
      <c r="LP848" s="16"/>
      <c r="LQ848" s="17"/>
    </row>
    <row r="849">
      <c r="C849" s="31"/>
      <c r="D849" s="61"/>
      <c r="E849" s="16"/>
      <c r="F849" s="16"/>
      <c r="G849" s="21"/>
      <c r="H849" s="16"/>
      <c r="I849" s="16"/>
      <c r="J849" s="17"/>
      <c r="N849" s="17"/>
      <c r="O849" s="61"/>
      <c r="P849" s="16"/>
      <c r="Q849" s="16"/>
      <c r="R849" s="16"/>
      <c r="S849" s="16"/>
      <c r="T849" s="16"/>
      <c r="U849" s="17"/>
      <c r="Y849" s="24"/>
      <c r="Z849" s="61"/>
      <c r="AA849" s="16"/>
      <c r="AB849" s="16"/>
      <c r="AC849" s="16"/>
      <c r="AD849" s="16"/>
      <c r="AE849" s="16"/>
      <c r="AF849" s="17"/>
      <c r="AJ849" s="24"/>
      <c r="AK849" s="61"/>
      <c r="AL849" s="16"/>
      <c r="AM849" s="16"/>
      <c r="AN849" s="16"/>
      <c r="AO849" s="16"/>
      <c r="AP849" s="16"/>
      <c r="AQ849" s="17"/>
      <c r="AU849" s="24"/>
      <c r="AV849" s="61"/>
      <c r="AW849" s="16"/>
      <c r="AX849" s="16"/>
      <c r="AY849" s="16"/>
      <c r="AZ849" s="16"/>
      <c r="BA849" s="16"/>
      <c r="BB849" s="17"/>
      <c r="BF849" s="24"/>
      <c r="BG849" s="61"/>
      <c r="BH849" s="16"/>
      <c r="BI849" s="16"/>
      <c r="BJ849" s="16"/>
      <c r="BK849" s="16"/>
      <c r="BL849" s="16"/>
      <c r="BM849" s="17"/>
      <c r="BQ849" s="24"/>
      <c r="BR849" s="61"/>
      <c r="BS849" s="16"/>
      <c r="BT849" s="16"/>
      <c r="BU849" s="16"/>
      <c r="BV849" s="16"/>
      <c r="BW849" s="16"/>
      <c r="BX849" s="17"/>
      <c r="CB849" s="24"/>
      <c r="CC849" s="61"/>
      <c r="CD849" s="16"/>
      <c r="CE849" s="16"/>
      <c r="CF849" s="16"/>
      <c r="CG849" s="16"/>
      <c r="CH849" s="16"/>
      <c r="CI849" s="17"/>
      <c r="CM849" s="24"/>
      <c r="CN849" s="61"/>
      <c r="CO849" s="16"/>
      <c r="CP849" s="16"/>
      <c r="CQ849" s="16"/>
      <c r="CR849" s="16"/>
      <c r="CS849" s="16"/>
      <c r="CT849" s="17"/>
      <c r="CX849" s="24"/>
      <c r="CY849" s="60"/>
      <c r="CZ849" s="16"/>
      <c r="DA849" s="16"/>
      <c r="DB849" s="16"/>
      <c r="DC849" s="16"/>
      <c r="DD849" s="16"/>
      <c r="DE849" s="17"/>
      <c r="DI849" s="24"/>
      <c r="DJ849" s="60"/>
      <c r="DK849" s="16"/>
      <c r="DL849" s="16"/>
      <c r="DM849" s="16"/>
      <c r="DN849" s="16"/>
      <c r="DO849" s="16"/>
      <c r="DP849" s="17"/>
      <c r="DT849" s="24"/>
      <c r="DU849" s="60"/>
      <c r="DV849" s="16"/>
      <c r="DW849" s="16"/>
      <c r="DX849" s="16"/>
      <c r="DY849" s="16"/>
      <c r="DZ849" s="16"/>
      <c r="EA849" s="17"/>
      <c r="EE849" s="24"/>
      <c r="EF849" s="60"/>
      <c r="EG849" s="16"/>
      <c r="EH849" s="16"/>
      <c r="EI849" s="16"/>
      <c r="EJ849" s="16"/>
      <c r="EK849" s="16"/>
      <c r="EL849" s="17"/>
      <c r="EP849" s="24"/>
      <c r="EQ849" s="60"/>
      <c r="ER849" s="16"/>
      <c r="ES849" s="16"/>
      <c r="ET849" s="16"/>
      <c r="EU849" s="16"/>
      <c r="EV849" s="16"/>
      <c r="EW849" s="17"/>
      <c r="FA849" s="24"/>
      <c r="FB849" s="60"/>
      <c r="FC849" s="16"/>
      <c r="FD849" s="16"/>
      <c r="FE849" s="16"/>
      <c r="FF849" s="16"/>
      <c r="FG849" s="16"/>
      <c r="FH849" s="17"/>
      <c r="FL849" s="24"/>
      <c r="FM849" s="60"/>
      <c r="FN849" s="16"/>
      <c r="FO849" s="16"/>
      <c r="FP849" s="16"/>
      <c r="FQ849" s="16"/>
      <c r="FR849" s="16"/>
      <c r="FS849" s="17"/>
      <c r="FW849" s="24"/>
      <c r="FX849" s="60"/>
      <c r="FY849" s="16"/>
      <c r="FZ849" s="16"/>
      <c r="GA849" s="16"/>
      <c r="GB849" s="16"/>
      <c r="GC849" s="16"/>
      <c r="GD849" s="17"/>
      <c r="GH849" s="24"/>
      <c r="GI849" s="60"/>
      <c r="GJ849" s="16"/>
      <c r="GK849" s="16"/>
      <c r="GL849" s="16"/>
      <c r="GM849" s="16"/>
      <c r="GN849" s="16"/>
      <c r="GO849" s="17"/>
      <c r="GS849" s="24"/>
      <c r="GT849" s="60"/>
      <c r="GU849" s="16"/>
      <c r="GV849" s="16"/>
      <c r="GW849" s="16"/>
      <c r="GX849" s="16"/>
      <c r="GY849" s="16"/>
      <c r="GZ849" s="17"/>
      <c r="HD849" s="24"/>
      <c r="HE849" s="60"/>
      <c r="HF849" s="16"/>
      <c r="HG849" s="16"/>
      <c r="HH849" s="16"/>
      <c r="HI849" s="16"/>
      <c r="HJ849" s="16"/>
      <c r="HK849" s="17"/>
      <c r="HO849" s="24"/>
      <c r="HP849" s="60"/>
      <c r="HQ849" s="16"/>
      <c r="HR849" s="16"/>
      <c r="HS849" s="16"/>
      <c r="HT849" s="16"/>
      <c r="HU849" s="16"/>
      <c r="HV849" s="17"/>
      <c r="HZ849" s="24"/>
      <c r="IA849" s="60"/>
      <c r="IB849" s="16"/>
      <c r="IC849" s="16"/>
      <c r="ID849" s="16"/>
      <c r="IE849" s="16"/>
      <c r="IF849" s="16"/>
      <c r="IG849" s="17"/>
      <c r="IK849" s="24"/>
      <c r="IL849" s="60"/>
      <c r="IM849" s="16"/>
      <c r="IN849" s="16"/>
      <c r="IO849" s="16"/>
      <c r="IP849" s="16"/>
      <c r="IQ849" s="16"/>
      <c r="IR849" s="17"/>
      <c r="IV849" s="24"/>
      <c r="IW849" s="60"/>
      <c r="IX849" s="16"/>
      <c r="IY849" s="16"/>
      <c r="IZ849" s="16"/>
      <c r="JA849" s="16"/>
      <c r="JB849" s="16"/>
      <c r="JC849" s="17"/>
      <c r="JG849" s="24"/>
      <c r="JH849" s="60"/>
      <c r="JI849" s="16"/>
      <c r="JJ849" s="16"/>
      <c r="JK849" s="16"/>
      <c r="JL849" s="16"/>
      <c r="JM849" s="16"/>
      <c r="JN849" s="17"/>
      <c r="JR849" s="24"/>
      <c r="JS849" s="60"/>
      <c r="JT849" s="16"/>
      <c r="JU849" s="16"/>
      <c r="JV849" s="16"/>
      <c r="JW849" s="16"/>
      <c r="JX849" s="16"/>
      <c r="JY849" s="17"/>
      <c r="KC849" s="24"/>
      <c r="KD849" s="60"/>
      <c r="KE849" s="16"/>
      <c r="KF849" s="16"/>
      <c r="KG849" s="16"/>
      <c r="KH849" s="16"/>
      <c r="KI849" s="16"/>
      <c r="KJ849" s="17"/>
      <c r="KN849" s="24"/>
      <c r="KO849" s="60"/>
      <c r="KP849" s="16"/>
      <c r="KQ849" s="16"/>
      <c r="KR849" s="16"/>
      <c r="KS849" s="16"/>
      <c r="KT849" s="16"/>
      <c r="KU849" s="17"/>
      <c r="KY849" s="24"/>
      <c r="KZ849" s="60"/>
      <c r="LA849" s="16"/>
      <c r="LB849" s="16"/>
      <c r="LC849" s="16"/>
      <c r="LD849" s="16"/>
      <c r="LE849" s="16"/>
      <c r="LF849" s="17"/>
      <c r="LJ849" s="24"/>
      <c r="LK849" s="60"/>
      <c r="LL849" s="16"/>
      <c r="LM849" s="16"/>
      <c r="LN849" s="16"/>
      <c r="LO849" s="16"/>
      <c r="LP849" s="16"/>
      <c r="LQ849" s="17"/>
    </row>
    <row r="850">
      <c r="C850" s="31"/>
      <c r="D850" s="61"/>
      <c r="E850" s="16"/>
      <c r="F850" s="16"/>
      <c r="G850" s="21"/>
      <c r="H850" s="16"/>
      <c r="I850" s="16"/>
      <c r="J850" s="17"/>
      <c r="N850" s="17"/>
      <c r="O850" s="61"/>
      <c r="P850" s="16"/>
      <c r="Q850" s="16"/>
      <c r="R850" s="16"/>
      <c r="S850" s="16"/>
      <c r="T850" s="16"/>
      <c r="U850" s="17"/>
      <c r="Y850" s="24"/>
      <c r="Z850" s="61"/>
      <c r="AA850" s="16"/>
      <c r="AB850" s="16"/>
      <c r="AC850" s="16"/>
      <c r="AD850" s="16"/>
      <c r="AE850" s="16"/>
      <c r="AF850" s="17"/>
      <c r="AJ850" s="24"/>
      <c r="AK850" s="61"/>
      <c r="AL850" s="16"/>
      <c r="AM850" s="16"/>
      <c r="AN850" s="16"/>
      <c r="AO850" s="16"/>
      <c r="AP850" s="16"/>
      <c r="AQ850" s="17"/>
      <c r="AU850" s="24"/>
      <c r="AV850" s="61"/>
      <c r="AW850" s="16"/>
      <c r="AX850" s="16"/>
      <c r="AY850" s="16"/>
      <c r="AZ850" s="16"/>
      <c r="BA850" s="16"/>
      <c r="BB850" s="17"/>
      <c r="BF850" s="24"/>
      <c r="BG850" s="61"/>
      <c r="BH850" s="16"/>
      <c r="BI850" s="16"/>
      <c r="BJ850" s="16"/>
      <c r="BK850" s="16"/>
      <c r="BL850" s="16"/>
      <c r="BM850" s="17"/>
      <c r="BQ850" s="24"/>
      <c r="BR850" s="61"/>
      <c r="BS850" s="16"/>
      <c r="BT850" s="16"/>
      <c r="BU850" s="16"/>
      <c r="BV850" s="16"/>
      <c r="BW850" s="16"/>
      <c r="BX850" s="17"/>
      <c r="CB850" s="24"/>
      <c r="CC850" s="61"/>
      <c r="CD850" s="16"/>
      <c r="CE850" s="16"/>
      <c r="CF850" s="16"/>
      <c r="CG850" s="16"/>
      <c r="CH850" s="16"/>
      <c r="CI850" s="17"/>
      <c r="CM850" s="24"/>
      <c r="CN850" s="61"/>
      <c r="CO850" s="16"/>
      <c r="CP850" s="16"/>
      <c r="CQ850" s="16"/>
      <c r="CR850" s="16"/>
      <c r="CS850" s="16"/>
      <c r="CT850" s="17"/>
      <c r="CX850" s="24"/>
      <c r="CY850" s="60"/>
      <c r="CZ850" s="16"/>
      <c r="DA850" s="16"/>
      <c r="DB850" s="16"/>
      <c r="DC850" s="16"/>
      <c r="DD850" s="16"/>
      <c r="DE850" s="17"/>
      <c r="DI850" s="24"/>
      <c r="DJ850" s="60"/>
      <c r="DK850" s="16"/>
      <c r="DL850" s="16"/>
      <c r="DM850" s="16"/>
      <c r="DN850" s="16"/>
      <c r="DO850" s="16"/>
      <c r="DP850" s="17"/>
      <c r="DT850" s="24"/>
      <c r="DU850" s="60"/>
      <c r="DV850" s="16"/>
      <c r="DW850" s="16"/>
      <c r="DX850" s="16"/>
      <c r="DY850" s="16"/>
      <c r="DZ850" s="16"/>
      <c r="EA850" s="17"/>
      <c r="EE850" s="24"/>
      <c r="EF850" s="60"/>
      <c r="EG850" s="16"/>
      <c r="EH850" s="16"/>
      <c r="EI850" s="16"/>
      <c r="EJ850" s="16"/>
      <c r="EK850" s="16"/>
      <c r="EL850" s="17"/>
      <c r="EP850" s="24"/>
      <c r="EQ850" s="60"/>
      <c r="ER850" s="16"/>
      <c r="ES850" s="16"/>
      <c r="ET850" s="16"/>
      <c r="EU850" s="16"/>
      <c r="EV850" s="16"/>
      <c r="EW850" s="17"/>
      <c r="FA850" s="24"/>
      <c r="FB850" s="60"/>
      <c r="FC850" s="16"/>
      <c r="FD850" s="16"/>
      <c r="FE850" s="16"/>
      <c r="FF850" s="16"/>
      <c r="FG850" s="16"/>
      <c r="FH850" s="17"/>
      <c r="FL850" s="24"/>
      <c r="FM850" s="60"/>
      <c r="FN850" s="16"/>
      <c r="FO850" s="16"/>
      <c r="FP850" s="16"/>
      <c r="FQ850" s="16"/>
      <c r="FR850" s="16"/>
      <c r="FS850" s="17"/>
      <c r="FW850" s="24"/>
      <c r="FX850" s="60"/>
      <c r="FY850" s="16"/>
      <c r="FZ850" s="16"/>
      <c r="GA850" s="16"/>
      <c r="GB850" s="16"/>
      <c r="GC850" s="16"/>
      <c r="GD850" s="17"/>
      <c r="GH850" s="24"/>
      <c r="GI850" s="60"/>
      <c r="GJ850" s="16"/>
      <c r="GK850" s="16"/>
      <c r="GL850" s="16"/>
      <c r="GM850" s="16"/>
      <c r="GN850" s="16"/>
      <c r="GO850" s="17"/>
      <c r="GS850" s="24"/>
      <c r="GT850" s="60"/>
      <c r="GU850" s="16"/>
      <c r="GV850" s="16"/>
      <c r="GW850" s="16"/>
      <c r="GX850" s="16"/>
      <c r="GY850" s="16"/>
      <c r="GZ850" s="17"/>
      <c r="HD850" s="24"/>
      <c r="HE850" s="60"/>
      <c r="HF850" s="16"/>
      <c r="HG850" s="16"/>
      <c r="HH850" s="16"/>
      <c r="HI850" s="16"/>
      <c r="HJ850" s="16"/>
      <c r="HK850" s="17"/>
      <c r="HO850" s="24"/>
      <c r="HP850" s="60"/>
      <c r="HQ850" s="16"/>
      <c r="HR850" s="16"/>
      <c r="HS850" s="16"/>
      <c r="HT850" s="16"/>
      <c r="HU850" s="16"/>
      <c r="HV850" s="17"/>
      <c r="HZ850" s="24"/>
      <c r="IA850" s="60"/>
      <c r="IB850" s="16"/>
      <c r="IC850" s="16"/>
      <c r="ID850" s="16"/>
      <c r="IE850" s="16"/>
      <c r="IF850" s="16"/>
      <c r="IG850" s="17"/>
      <c r="IK850" s="24"/>
      <c r="IL850" s="60"/>
      <c r="IM850" s="16"/>
      <c r="IN850" s="16"/>
      <c r="IO850" s="16"/>
      <c r="IP850" s="16"/>
      <c r="IQ850" s="16"/>
      <c r="IR850" s="17"/>
      <c r="IV850" s="24"/>
      <c r="IW850" s="60"/>
      <c r="IX850" s="16"/>
      <c r="IY850" s="16"/>
      <c r="IZ850" s="16"/>
      <c r="JA850" s="16"/>
      <c r="JB850" s="16"/>
      <c r="JC850" s="17"/>
      <c r="JG850" s="24"/>
      <c r="JH850" s="60"/>
      <c r="JI850" s="16"/>
      <c r="JJ850" s="16"/>
      <c r="JK850" s="16"/>
      <c r="JL850" s="16"/>
      <c r="JM850" s="16"/>
      <c r="JN850" s="17"/>
      <c r="JR850" s="24"/>
      <c r="JS850" s="60"/>
      <c r="JT850" s="16"/>
      <c r="JU850" s="16"/>
      <c r="JV850" s="16"/>
      <c r="JW850" s="16"/>
      <c r="JX850" s="16"/>
      <c r="JY850" s="17"/>
      <c r="KC850" s="24"/>
      <c r="KD850" s="60"/>
      <c r="KE850" s="16"/>
      <c r="KF850" s="16"/>
      <c r="KG850" s="16"/>
      <c r="KH850" s="16"/>
      <c r="KI850" s="16"/>
      <c r="KJ850" s="17"/>
      <c r="KN850" s="24"/>
      <c r="KO850" s="60"/>
      <c r="KP850" s="16"/>
      <c r="KQ850" s="16"/>
      <c r="KR850" s="16"/>
      <c r="KS850" s="16"/>
      <c r="KT850" s="16"/>
      <c r="KU850" s="17"/>
      <c r="KY850" s="24"/>
      <c r="KZ850" s="60"/>
      <c r="LA850" s="16"/>
      <c r="LB850" s="16"/>
      <c r="LC850" s="16"/>
      <c r="LD850" s="16"/>
      <c r="LE850" s="16"/>
      <c r="LF850" s="17"/>
      <c r="LJ850" s="24"/>
      <c r="LK850" s="60"/>
      <c r="LL850" s="16"/>
      <c r="LM850" s="16"/>
      <c r="LN850" s="16"/>
      <c r="LO850" s="16"/>
      <c r="LP850" s="16"/>
      <c r="LQ850" s="17"/>
    </row>
    <row r="851">
      <c r="C851" s="31"/>
      <c r="D851" s="61"/>
      <c r="E851" s="16"/>
      <c r="F851" s="16"/>
      <c r="G851" s="21"/>
      <c r="H851" s="16"/>
      <c r="I851" s="16"/>
      <c r="J851" s="17"/>
      <c r="N851" s="17"/>
      <c r="O851" s="61"/>
      <c r="P851" s="16"/>
      <c r="Q851" s="16"/>
      <c r="R851" s="16"/>
      <c r="S851" s="16"/>
      <c r="T851" s="16"/>
      <c r="U851" s="17"/>
      <c r="Y851" s="24"/>
      <c r="Z851" s="61"/>
      <c r="AA851" s="16"/>
      <c r="AB851" s="16"/>
      <c r="AC851" s="16"/>
      <c r="AD851" s="16"/>
      <c r="AE851" s="16"/>
      <c r="AF851" s="17"/>
      <c r="AJ851" s="24"/>
      <c r="AK851" s="61"/>
      <c r="AL851" s="16"/>
      <c r="AM851" s="16"/>
      <c r="AN851" s="16"/>
      <c r="AO851" s="16"/>
      <c r="AP851" s="16"/>
      <c r="AQ851" s="17"/>
      <c r="AU851" s="24"/>
      <c r="AV851" s="61"/>
      <c r="AW851" s="16"/>
      <c r="AX851" s="16"/>
      <c r="AY851" s="16"/>
      <c r="AZ851" s="16"/>
      <c r="BA851" s="16"/>
      <c r="BB851" s="17"/>
      <c r="BF851" s="24"/>
      <c r="BG851" s="61"/>
      <c r="BH851" s="16"/>
      <c r="BI851" s="16"/>
      <c r="BJ851" s="16"/>
      <c r="BK851" s="16"/>
      <c r="BL851" s="16"/>
      <c r="BM851" s="17"/>
      <c r="BQ851" s="24"/>
      <c r="BR851" s="61"/>
      <c r="BS851" s="16"/>
      <c r="BT851" s="16"/>
      <c r="BU851" s="16"/>
      <c r="BV851" s="16"/>
      <c r="BW851" s="16"/>
      <c r="BX851" s="17"/>
      <c r="CB851" s="24"/>
      <c r="CC851" s="61"/>
      <c r="CD851" s="16"/>
      <c r="CE851" s="16"/>
      <c r="CF851" s="16"/>
      <c r="CG851" s="16"/>
      <c r="CH851" s="16"/>
      <c r="CI851" s="17"/>
      <c r="CM851" s="24"/>
      <c r="CN851" s="61"/>
      <c r="CO851" s="16"/>
      <c r="CP851" s="16"/>
      <c r="CQ851" s="16"/>
      <c r="CR851" s="16"/>
      <c r="CS851" s="16"/>
      <c r="CT851" s="17"/>
      <c r="CX851" s="24"/>
      <c r="CY851" s="60"/>
      <c r="CZ851" s="16"/>
      <c r="DA851" s="16"/>
      <c r="DB851" s="16"/>
      <c r="DC851" s="16"/>
      <c r="DD851" s="16"/>
      <c r="DE851" s="17"/>
      <c r="DI851" s="24"/>
      <c r="DJ851" s="60"/>
      <c r="DK851" s="16"/>
      <c r="DL851" s="16"/>
      <c r="DM851" s="16"/>
      <c r="DN851" s="16"/>
      <c r="DO851" s="16"/>
      <c r="DP851" s="17"/>
      <c r="DT851" s="24"/>
      <c r="DU851" s="60"/>
      <c r="DV851" s="16"/>
      <c r="DW851" s="16"/>
      <c r="DX851" s="16"/>
      <c r="DY851" s="16"/>
      <c r="DZ851" s="16"/>
      <c r="EA851" s="17"/>
      <c r="EE851" s="24"/>
      <c r="EF851" s="60"/>
      <c r="EG851" s="16"/>
      <c r="EH851" s="16"/>
      <c r="EI851" s="16"/>
      <c r="EJ851" s="16"/>
      <c r="EK851" s="16"/>
      <c r="EL851" s="17"/>
      <c r="EP851" s="24"/>
      <c r="EQ851" s="60"/>
      <c r="ER851" s="16"/>
      <c r="ES851" s="16"/>
      <c r="ET851" s="16"/>
      <c r="EU851" s="16"/>
      <c r="EV851" s="16"/>
      <c r="EW851" s="17"/>
      <c r="FA851" s="24"/>
      <c r="FB851" s="60"/>
      <c r="FC851" s="16"/>
      <c r="FD851" s="16"/>
      <c r="FE851" s="16"/>
      <c r="FF851" s="16"/>
      <c r="FG851" s="16"/>
      <c r="FH851" s="17"/>
      <c r="FL851" s="24"/>
      <c r="FM851" s="60"/>
      <c r="FN851" s="16"/>
      <c r="FO851" s="16"/>
      <c r="FP851" s="16"/>
      <c r="FQ851" s="16"/>
      <c r="FR851" s="16"/>
      <c r="FS851" s="17"/>
      <c r="FW851" s="24"/>
      <c r="FX851" s="60"/>
      <c r="FY851" s="16"/>
      <c r="FZ851" s="16"/>
      <c r="GA851" s="16"/>
      <c r="GB851" s="16"/>
      <c r="GC851" s="16"/>
      <c r="GD851" s="17"/>
      <c r="GH851" s="24"/>
      <c r="GI851" s="60"/>
      <c r="GJ851" s="16"/>
      <c r="GK851" s="16"/>
      <c r="GL851" s="16"/>
      <c r="GM851" s="16"/>
      <c r="GN851" s="16"/>
      <c r="GO851" s="17"/>
      <c r="GS851" s="24"/>
      <c r="GT851" s="60"/>
      <c r="GU851" s="16"/>
      <c r="GV851" s="16"/>
      <c r="GW851" s="16"/>
      <c r="GX851" s="16"/>
      <c r="GY851" s="16"/>
      <c r="GZ851" s="17"/>
      <c r="HD851" s="24"/>
      <c r="HE851" s="60"/>
      <c r="HF851" s="16"/>
      <c r="HG851" s="16"/>
      <c r="HH851" s="16"/>
      <c r="HI851" s="16"/>
      <c r="HJ851" s="16"/>
      <c r="HK851" s="17"/>
      <c r="HO851" s="24"/>
      <c r="HP851" s="60"/>
      <c r="HQ851" s="16"/>
      <c r="HR851" s="16"/>
      <c r="HS851" s="16"/>
      <c r="HT851" s="16"/>
      <c r="HU851" s="16"/>
      <c r="HV851" s="17"/>
      <c r="HZ851" s="24"/>
      <c r="IA851" s="60"/>
      <c r="IB851" s="16"/>
      <c r="IC851" s="16"/>
      <c r="ID851" s="16"/>
      <c r="IE851" s="16"/>
      <c r="IF851" s="16"/>
      <c r="IG851" s="17"/>
      <c r="IK851" s="24"/>
      <c r="IL851" s="60"/>
      <c r="IM851" s="16"/>
      <c r="IN851" s="16"/>
      <c r="IO851" s="16"/>
      <c r="IP851" s="16"/>
      <c r="IQ851" s="16"/>
      <c r="IR851" s="17"/>
      <c r="IV851" s="24"/>
      <c r="IW851" s="60"/>
      <c r="IX851" s="16"/>
      <c r="IY851" s="16"/>
      <c r="IZ851" s="16"/>
      <c r="JA851" s="16"/>
      <c r="JB851" s="16"/>
      <c r="JC851" s="17"/>
      <c r="JG851" s="24"/>
      <c r="JH851" s="60"/>
      <c r="JI851" s="16"/>
      <c r="JJ851" s="16"/>
      <c r="JK851" s="16"/>
      <c r="JL851" s="16"/>
      <c r="JM851" s="16"/>
      <c r="JN851" s="17"/>
      <c r="JR851" s="24"/>
      <c r="JS851" s="60"/>
      <c r="JT851" s="16"/>
      <c r="JU851" s="16"/>
      <c r="JV851" s="16"/>
      <c r="JW851" s="16"/>
      <c r="JX851" s="16"/>
      <c r="JY851" s="17"/>
      <c r="KC851" s="24"/>
      <c r="KD851" s="60"/>
      <c r="KE851" s="16"/>
      <c r="KF851" s="16"/>
      <c r="KG851" s="16"/>
      <c r="KH851" s="16"/>
      <c r="KI851" s="16"/>
      <c r="KJ851" s="17"/>
      <c r="KN851" s="24"/>
      <c r="KO851" s="60"/>
      <c r="KP851" s="16"/>
      <c r="KQ851" s="16"/>
      <c r="KR851" s="16"/>
      <c r="KS851" s="16"/>
      <c r="KT851" s="16"/>
      <c r="KU851" s="17"/>
      <c r="KY851" s="24"/>
      <c r="KZ851" s="60"/>
      <c r="LA851" s="16"/>
      <c r="LB851" s="16"/>
      <c r="LC851" s="16"/>
      <c r="LD851" s="16"/>
      <c r="LE851" s="16"/>
      <c r="LF851" s="17"/>
      <c r="LJ851" s="24"/>
      <c r="LK851" s="60"/>
      <c r="LL851" s="16"/>
      <c r="LM851" s="16"/>
      <c r="LN851" s="16"/>
      <c r="LO851" s="16"/>
      <c r="LP851" s="16"/>
      <c r="LQ851" s="17"/>
    </row>
    <row r="852">
      <c r="C852" s="31"/>
      <c r="D852" s="61"/>
      <c r="E852" s="16"/>
      <c r="F852" s="16"/>
      <c r="G852" s="21"/>
      <c r="H852" s="16"/>
      <c r="I852" s="16"/>
      <c r="J852" s="17"/>
      <c r="N852" s="17"/>
      <c r="O852" s="61"/>
      <c r="P852" s="16"/>
      <c r="Q852" s="16"/>
      <c r="R852" s="16"/>
      <c r="S852" s="16"/>
      <c r="T852" s="16"/>
      <c r="U852" s="17"/>
      <c r="Y852" s="24"/>
      <c r="Z852" s="61"/>
      <c r="AA852" s="16"/>
      <c r="AB852" s="16"/>
      <c r="AC852" s="16"/>
      <c r="AD852" s="16"/>
      <c r="AE852" s="16"/>
      <c r="AF852" s="17"/>
      <c r="AJ852" s="24"/>
      <c r="AK852" s="61"/>
      <c r="AL852" s="16"/>
      <c r="AM852" s="16"/>
      <c r="AN852" s="16"/>
      <c r="AO852" s="16"/>
      <c r="AP852" s="16"/>
      <c r="AQ852" s="17"/>
      <c r="AU852" s="24"/>
      <c r="AV852" s="61"/>
      <c r="AW852" s="16"/>
      <c r="AX852" s="16"/>
      <c r="AY852" s="16"/>
      <c r="AZ852" s="16"/>
      <c r="BA852" s="16"/>
      <c r="BB852" s="17"/>
      <c r="BF852" s="24"/>
      <c r="BG852" s="61"/>
      <c r="BH852" s="16"/>
      <c r="BI852" s="16"/>
      <c r="BJ852" s="16"/>
      <c r="BK852" s="16"/>
      <c r="BL852" s="16"/>
      <c r="BM852" s="17"/>
      <c r="BQ852" s="24"/>
      <c r="BR852" s="61"/>
      <c r="BS852" s="16"/>
      <c r="BT852" s="16"/>
      <c r="BU852" s="16"/>
      <c r="BV852" s="16"/>
      <c r="BW852" s="16"/>
      <c r="BX852" s="17"/>
      <c r="CB852" s="24"/>
      <c r="CC852" s="61"/>
      <c r="CD852" s="16"/>
      <c r="CE852" s="16"/>
      <c r="CF852" s="16"/>
      <c r="CG852" s="16"/>
      <c r="CH852" s="16"/>
      <c r="CI852" s="17"/>
      <c r="CM852" s="24"/>
      <c r="CN852" s="61"/>
      <c r="CO852" s="16"/>
      <c r="CP852" s="16"/>
      <c r="CQ852" s="16"/>
      <c r="CR852" s="16"/>
      <c r="CS852" s="16"/>
      <c r="CT852" s="17"/>
      <c r="CX852" s="24"/>
      <c r="CY852" s="60"/>
      <c r="CZ852" s="16"/>
      <c r="DA852" s="16"/>
      <c r="DB852" s="16"/>
      <c r="DC852" s="16"/>
      <c r="DD852" s="16"/>
      <c r="DE852" s="17"/>
      <c r="DI852" s="24"/>
      <c r="DJ852" s="60"/>
      <c r="DK852" s="16"/>
      <c r="DL852" s="16"/>
      <c r="DM852" s="16"/>
      <c r="DN852" s="16"/>
      <c r="DO852" s="16"/>
      <c r="DP852" s="17"/>
      <c r="DT852" s="24"/>
      <c r="DU852" s="60"/>
      <c r="DV852" s="16"/>
      <c r="DW852" s="16"/>
      <c r="DX852" s="16"/>
      <c r="DY852" s="16"/>
      <c r="DZ852" s="16"/>
      <c r="EA852" s="17"/>
      <c r="EE852" s="24"/>
      <c r="EF852" s="60"/>
      <c r="EG852" s="16"/>
      <c r="EH852" s="16"/>
      <c r="EI852" s="16"/>
      <c r="EJ852" s="16"/>
      <c r="EK852" s="16"/>
      <c r="EL852" s="17"/>
      <c r="EP852" s="24"/>
      <c r="EQ852" s="60"/>
      <c r="ER852" s="16"/>
      <c r="ES852" s="16"/>
      <c r="ET852" s="16"/>
      <c r="EU852" s="16"/>
      <c r="EV852" s="16"/>
      <c r="EW852" s="17"/>
      <c r="FA852" s="24"/>
      <c r="FB852" s="60"/>
      <c r="FC852" s="16"/>
      <c r="FD852" s="16"/>
      <c r="FE852" s="16"/>
      <c r="FF852" s="16"/>
      <c r="FG852" s="16"/>
      <c r="FH852" s="17"/>
      <c r="FL852" s="24"/>
      <c r="FM852" s="60"/>
      <c r="FN852" s="16"/>
      <c r="FO852" s="16"/>
      <c r="FP852" s="16"/>
      <c r="FQ852" s="16"/>
      <c r="FR852" s="16"/>
      <c r="FS852" s="17"/>
      <c r="FW852" s="24"/>
      <c r="FX852" s="60"/>
      <c r="FY852" s="16"/>
      <c r="FZ852" s="16"/>
      <c r="GA852" s="16"/>
      <c r="GB852" s="16"/>
      <c r="GC852" s="16"/>
      <c r="GD852" s="17"/>
      <c r="GH852" s="24"/>
      <c r="GI852" s="60"/>
      <c r="GJ852" s="16"/>
      <c r="GK852" s="16"/>
      <c r="GL852" s="16"/>
      <c r="GM852" s="16"/>
      <c r="GN852" s="16"/>
      <c r="GO852" s="17"/>
      <c r="GS852" s="24"/>
      <c r="GT852" s="60"/>
      <c r="GU852" s="16"/>
      <c r="GV852" s="16"/>
      <c r="GW852" s="16"/>
      <c r="GX852" s="16"/>
      <c r="GY852" s="16"/>
      <c r="GZ852" s="17"/>
      <c r="HD852" s="24"/>
      <c r="HE852" s="60"/>
      <c r="HF852" s="16"/>
      <c r="HG852" s="16"/>
      <c r="HH852" s="16"/>
      <c r="HI852" s="16"/>
      <c r="HJ852" s="16"/>
      <c r="HK852" s="17"/>
      <c r="HO852" s="24"/>
      <c r="HP852" s="60"/>
      <c r="HQ852" s="16"/>
      <c r="HR852" s="16"/>
      <c r="HS852" s="16"/>
      <c r="HT852" s="16"/>
      <c r="HU852" s="16"/>
      <c r="HV852" s="17"/>
      <c r="HZ852" s="24"/>
      <c r="IA852" s="60"/>
      <c r="IB852" s="16"/>
      <c r="IC852" s="16"/>
      <c r="ID852" s="16"/>
      <c r="IE852" s="16"/>
      <c r="IF852" s="16"/>
      <c r="IG852" s="17"/>
      <c r="IK852" s="24"/>
      <c r="IL852" s="60"/>
      <c r="IM852" s="16"/>
      <c r="IN852" s="16"/>
      <c r="IO852" s="16"/>
      <c r="IP852" s="16"/>
      <c r="IQ852" s="16"/>
      <c r="IR852" s="17"/>
      <c r="IV852" s="24"/>
      <c r="IW852" s="60"/>
      <c r="IX852" s="16"/>
      <c r="IY852" s="16"/>
      <c r="IZ852" s="16"/>
      <c r="JA852" s="16"/>
      <c r="JB852" s="16"/>
      <c r="JC852" s="17"/>
      <c r="JG852" s="24"/>
      <c r="JH852" s="60"/>
      <c r="JI852" s="16"/>
      <c r="JJ852" s="16"/>
      <c r="JK852" s="16"/>
      <c r="JL852" s="16"/>
      <c r="JM852" s="16"/>
      <c r="JN852" s="17"/>
      <c r="JR852" s="24"/>
      <c r="JS852" s="60"/>
      <c r="JT852" s="16"/>
      <c r="JU852" s="16"/>
      <c r="JV852" s="16"/>
      <c r="JW852" s="16"/>
      <c r="JX852" s="16"/>
      <c r="JY852" s="17"/>
      <c r="KC852" s="24"/>
      <c r="KD852" s="60"/>
      <c r="KE852" s="16"/>
      <c r="KF852" s="16"/>
      <c r="KG852" s="16"/>
      <c r="KH852" s="16"/>
      <c r="KI852" s="16"/>
      <c r="KJ852" s="17"/>
      <c r="KN852" s="24"/>
      <c r="KO852" s="60"/>
      <c r="KP852" s="16"/>
      <c r="KQ852" s="16"/>
      <c r="KR852" s="16"/>
      <c r="KS852" s="16"/>
      <c r="KT852" s="16"/>
      <c r="KU852" s="17"/>
      <c r="KY852" s="24"/>
      <c r="KZ852" s="60"/>
      <c r="LA852" s="16"/>
      <c r="LB852" s="16"/>
      <c r="LC852" s="16"/>
      <c r="LD852" s="16"/>
      <c r="LE852" s="16"/>
      <c r="LF852" s="17"/>
      <c r="LJ852" s="24"/>
      <c r="LK852" s="60"/>
      <c r="LL852" s="16"/>
      <c r="LM852" s="16"/>
      <c r="LN852" s="16"/>
      <c r="LO852" s="16"/>
      <c r="LP852" s="16"/>
      <c r="LQ852" s="17"/>
    </row>
    <row r="853">
      <c r="C853" s="31"/>
      <c r="D853" s="61"/>
      <c r="E853" s="16"/>
      <c r="F853" s="16"/>
      <c r="G853" s="21"/>
      <c r="H853" s="16"/>
      <c r="I853" s="16"/>
      <c r="J853" s="17"/>
      <c r="N853" s="17"/>
      <c r="O853" s="61"/>
      <c r="P853" s="16"/>
      <c r="Q853" s="16"/>
      <c r="R853" s="16"/>
      <c r="S853" s="16"/>
      <c r="T853" s="16"/>
      <c r="U853" s="17"/>
      <c r="Y853" s="24"/>
      <c r="Z853" s="61"/>
      <c r="AA853" s="16"/>
      <c r="AB853" s="16"/>
      <c r="AC853" s="16"/>
      <c r="AD853" s="16"/>
      <c r="AE853" s="16"/>
      <c r="AF853" s="17"/>
      <c r="AJ853" s="24"/>
      <c r="AK853" s="61"/>
      <c r="AL853" s="16"/>
      <c r="AM853" s="16"/>
      <c r="AN853" s="16"/>
      <c r="AO853" s="16"/>
      <c r="AP853" s="16"/>
      <c r="AQ853" s="17"/>
      <c r="AU853" s="24"/>
      <c r="AV853" s="61"/>
      <c r="AW853" s="16"/>
      <c r="AX853" s="16"/>
      <c r="AY853" s="16"/>
      <c r="AZ853" s="16"/>
      <c r="BA853" s="16"/>
      <c r="BB853" s="17"/>
      <c r="BF853" s="24"/>
      <c r="BG853" s="61"/>
      <c r="BH853" s="16"/>
      <c r="BI853" s="16"/>
      <c r="BJ853" s="16"/>
      <c r="BK853" s="16"/>
      <c r="BL853" s="16"/>
      <c r="BM853" s="17"/>
      <c r="BQ853" s="24"/>
      <c r="BR853" s="61"/>
      <c r="BS853" s="16"/>
      <c r="BT853" s="16"/>
      <c r="BU853" s="16"/>
      <c r="BV853" s="16"/>
      <c r="BW853" s="16"/>
      <c r="BX853" s="17"/>
      <c r="CB853" s="24"/>
      <c r="CC853" s="61"/>
      <c r="CD853" s="16"/>
      <c r="CE853" s="16"/>
      <c r="CF853" s="16"/>
      <c r="CG853" s="16"/>
      <c r="CH853" s="16"/>
      <c r="CI853" s="17"/>
      <c r="CM853" s="24"/>
      <c r="CN853" s="61"/>
      <c r="CO853" s="16"/>
      <c r="CP853" s="16"/>
      <c r="CQ853" s="16"/>
      <c r="CR853" s="16"/>
      <c r="CS853" s="16"/>
      <c r="CT853" s="17"/>
      <c r="CX853" s="24"/>
      <c r="CY853" s="60"/>
      <c r="CZ853" s="16"/>
      <c r="DA853" s="16"/>
      <c r="DB853" s="16"/>
      <c r="DC853" s="16"/>
      <c r="DD853" s="16"/>
      <c r="DE853" s="17"/>
      <c r="DI853" s="24"/>
      <c r="DJ853" s="60"/>
      <c r="DK853" s="16"/>
      <c r="DL853" s="16"/>
      <c r="DM853" s="16"/>
      <c r="DN853" s="16"/>
      <c r="DO853" s="16"/>
      <c r="DP853" s="17"/>
      <c r="DT853" s="24"/>
      <c r="DU853" s="60"/>
      <c r="DV853" s="16"/>
      <c r="DW853" s="16"/>
      <c r="DX853" s="16"/>
      <c r="DY853" s="16"/>
      <c r="DZ853" s="16"/>
      <c r="EA853" s="17"/>
      <c r="EE853" s="24"/>
      <c r="EF853" s="60"/>
      <c r="EG853" s="16"/>
      <c r="EH853" s="16"/>
      <c r="EI853" s="16"/>
      <c r="EJ853" s="16"/>
      <c r="EK853" s="16"/>
      <c r="EL853" s="17"/>
      <c r="EP853" s="24"/>
      <c r="EQ853" s="60"/>
      <c r="ER853" s="16"/>
      <c r="ES853" s="16"/>
      <c r="ET853" s="16"/>
      <c r="EU853" s="16"/>
      <c r="EV853" s="16"/>
      <c r="EW853" s="17"/>
      <c r="FA853" s="24"/>
      <c r="FB853" s="60"/>
      <c r="FC853" s="16"/>
      <c r="FD853" s="16"/>
      <c r="FE853" s="16"/>
      <c r="FF853" s="16"/>
      <c r="FG853" s="16"/>
      <c r="FH853" s="17"/>
      <c r="FL853" s="24"/>
      <c r="FM853" s="60"/>
      <c r="FN853" s="16"/>
      <c r="FO853" s="16"/>
      <c r="FP853" s="16"/>
      <c r="FQ853" s="16"/>
      <c r="FR853" s="16"/>
      <c r="FS853" s="17"/>
      <c r="FW853" s="24"/>
      <c r="FX853" s="60"/>
      <c r="FY853" s="16"/>
      <c r="FZ853" s="16"/>
      <c r="GA853" s="16"/>
      <c r="GB853" s="16"/>
      <c r="GC853" s="16"/>
      <c r="GD853" s="17"/>
      <c r="GH853" s="24"/>
      <c r="GI853" s="60"/>
      <c r="GJ853" s="16"/>
      <c r="GK853" s="16"/>
      <c r="GL853" s="16"/>
      <c r="GM853" s="16"/>
      <c r="GN853" s="16"/>
      <c r="GO853" s="17"/>
      <c r="GS853" s="24"/>
      <c r="GT853" s="60"/>
      <c r="GU853" s="16"/>
      <c r="GV853" s="16"/>
      <c r="GW853" s="16"/>
      <c r="GX853" s="16"/>
      <c r="GY853" s="16"/>
      <c r="GZ853" s="17"/>
      <c r="HD853" s="24"/>
      <c r="HE853" s="60"/>
      <c r="HF853" s="16"/>
      <c r="HG853" s="16"/>
      <c r="HH853" s="16"/>
      <c r="HI853" s="16"/>
      <c r="HJ853" s="16"/>
      <c r="HK853" s="17"/>
      <c r="HO853" s="24"/>
      <c r="HP853" s="60"/>
      <c r="HQ853" s="16"/>
      <c r="HR853" s="16"/>
      <c r="HS853" s="16"/>
      <c r="HT853" s="16"/>
      <c r="HU853" s="16"/>
      <c r="HV853" s="17"/>
      <c r="HZ853" s="24"/>
      <c r="IA853" s="60"/>
      <c r="IB853" s="16"/>
      <c r="IC853" s="16"/>
      <c r="ID853" s="16"/>
      <c r="IE853" s="16"/>
      <c r="IF853" s="16"/>
      <c r="IG853" s="17"/>
      <c r="IK853" s="24"/>
      <c r="IL853" s="60"/>
      <c r="IM853" s="16"/>
      <c r="IN853" s="16"/>
      <c r="IO853" s="16"/>
      <c r="IP853" s="16"/>
      <c r="IQ853" s="16"/>
      <c r="IR853" s="17"/>
      <c r="IV853" s="24"/>
      <c r="IW853" s="60"/>
      <c r="IX853" s="16"/>
      <c r="IY853" s="16"/>
      <c r="IZ853" s="16"/>
      <c r="JA853" s="16"/>
      <c r="JB853" s="16"/>
      <c r="JC853" s="17"/>
      <c r="JG853" s="24"/>
      <c r="JH853" s="60"/>
      <c r="JI853" s="16"/>
      <c r="JJ853" s="16"/>
      <c r="JK853" s="16"/>
      <c r="JL853" s="16"/>
      <c r="JM853" s="16"/>
      <c r="JN853" s="17"/>
      <c r="JR853" s="24"/>
      <c r="JS853" s="60"/>
      <c r="JT853" s="16"/>
      <c r="JU853" s="16"/>
      <c r="JV853" s="16"/>
      <c r="JW853" s="16"/>
      <c r="JX853" s="16"/>
      <c r="JY853" s="17"/>
      <c r="KC853" s="24"/>
      <c r="KD853" s="60"/>
      <c r="KE853" s="16"/>
      <c r="KF853" s="16"/>
      <c r="KG853" s="16"/>
      <c r="KH853" s="16"/>
      <c r="KI853" s="16"/>
      <c r="KJ853" s="17"/>
      <c r="KN853" s="24"/>
      <c r="KO853" s="60"/>
      <c r="KP853" s="16"/>
      <c r="KQ853" s="16"/>
      <c r="KR853" s="16"/>
      <c r="KS853" s="16"/>
      <c r="KT853" s="16"/>
      <c r="KU853" s="17"/>
      <c r="KY853" s="24"/>
      <c r="KZ853" s="60"/>
      <c r="LA853" s="16"/>
      <c r="LB853" s="16"/>
      <c r="LC853" s="16"/>
      <c r="LD853" s="16"/>
      <c r="LE853" s="16"/>
      <c r="LF853" s="17"/>
      <c r="LJ853" s="24"/>
      <c r="LK853" s="60"/>
      <c r="LL853" s="16"/>
      <c r="LM853" s="16"/>
      <c r="LN853" s="16"/>
      <c r="LO853" s="16"/>
      <c r="LP853" s="16"/>
      <c r="LQ853" s="17"/>
    </row>
    <row r="854">
      <c r="C854" s="31"/>
      <c r="D854" s="61"/>
      <c r="E854" s="16"/>
      <c r="F854" s="16"/>
      <c r="G854" s="21"/>
      <c r="H854" s="16"/>
      <c r="I854" s="16"/>
      <c r="J854" s="17"/>
      <c r="N854" s="17"/>
      <c r="O854" s="61"/>
      <c r="P854" s="16"/>
      <c r="Q854" s="16"/>
      <c r="R854" s="16"/>
      <c r="S854" s="16"/>
      <c r="T854" s="16"/>
      <c r="U854" s="17"/>
      <c r="Y854" s="24"/>
      <c r="Z854" s="61"/>
      <c r="AA854" s="16"/>
      <c r="AB854" s="16"/>
      <c r="AC854" s="16"/>
      <c r="AD854" s="16"/>
      <c r="AE854" s="16"/>
      <c r="AF854" s="17"/>
      <c r="AJ854" s="24"/>
      <c r="AK854" s="61"/>
      <c r="AL854" s="16"/>
      <c r="AM854" s="16"/>
      <c r="AN854" s="16"/>
      <c r="AO854" s="16"/>
      <c r="AP854" s="16"/>
      <c r="AQ854" s="17"/>
      <c r="AU854" s="24"/>
      <c r="AV854" s="61"/>
      <c r="AW854" s="16"/>
      <c r="AX854" s="16"/>
      <c r="AY854" s="16"/>
      <c r="AZ854" s="16"/>
      <c r="BA854" s="16"/>
      <c r="BB854" s="17"/>
      <c r="BF854" s="24"/>
      <c r="BG854" s="61"/>
      <c r="BH854" s="16"/>
      <c r="BI854" s="16"/>
      <c r="BJ854" s="16"/>
      <c r="BK854" s="16"/>
      <c r="BL854" s="16"/>
      <c r="BM854" s="17"/>
      <c r="BQ854" s="24"/>
      <c r="BR854" s="61"/>
      <c r="BS854" s="16"/>
      <c r="BT854" s="16"/>
      <c r="BU854" s="16"/>
      <c r="BV854" s="16"/>
      <c r="BW854" s="16"/>
      <c r="BX854" s="17"/>
      <c r="CB854" s="24"/>
      <c r="CC854" s="61"/>
      <c r="CD854" s="16"/>
      <c r="CE854" s="16"/>
      <c r="CF854" s="16"/>
      <c r="CG854" s="16"/>
      <c r="CH854" s="16"/>
      <c r="CI854" s="17"/>
      <c r="CM854" s="24"/>
      <c r="CN854" s="61"/>
      <c r="CO854" s="16"/>
      <c r="CP854" s="16"/>
      <c r="CQ854" s="16"/>
      <c r="CR854" s="16"/>
      <c r="CS854" s="16"/>
      <c r="CT854" s="17"/>
      <c r="CX854" s="24"/>
      <c r="CY854" s="60"/>
      <c r="CZ854" s="16"/>
      <c r="DA854" s="16"/>
      <c r="DB854" s="16"/>
      <c r="DC854" s="16"/>
      <c r="DD854" s="16"/>
      <c r="DE854" s="17"/>
      <c r="DI854" s="24"/>
      <c r="DJ854" s="60"/>
      <c r="DK854" s="16"/>
      <c r="DL854" s="16"/>
      <c r="DM854" s="16"/>
      <c r="DN854" s="16"/>
      <c r="DO854" s="16"/>
      <c r="DP854" s="17"/>
      <c r="DT854" s="24"/>
      <c r="DU854" s="60"/>
      <c r="DV854" s="16"/>
      <c r="DW854" s="16"/>
      <c r="DX854" s="16"/>
      <c r="DY854" s="16"/>
      <c r="DZ854" s="16"/>
      <c r="EA854" s="17"/>
      <c r="EE854" s="24"/>
      <c r="EF854" s="60"/>
      <c r="EG854" s="16"/>
      <c r="EH854" s="16"/>
      <c r="EI854" s="16"/>
      <c r="EJ854" s="16"/>
      <c r="EK854" s="16"/>
      <c r="EL854" s="17"/>
      <c r="EP854" s="24"/>
      <c r="EQ854" s="60"/>
      <c r="ER854" s="16"/>
      <c r="ES854" s="16"/>
      <c r="ET854" s="16"/>
      <c r="EU854" s="16"/>
      <c r="EV854" s="16"/>
      <c r="EW854" s="17"/>
      <c r="FA854" s="24"/>
      <c r="FB854" s="60"/>
      <c r="FC854" s="16"/>
      <c r="FD854" s="16"/>
      <c r="FE854" s="16"/>
      <c r="FF854" s="16"/>
      <c r="FG854" s="16"/>
      <c r="FH854" s="17"/>
      <c r="FL854" s="24"/>
      <c r="FM854" s="60"/>
      <c r="FN854" s="16"/>
      <c r="FO854" s="16"/>
      <c r="FP854" s="16"/>
      <c r="FQ854" s="16"/>
      <c r="FR854" s="16"/>
      <c r="FS854" s="17"/>
      <c r="FW854" s="24"/>
      <c r="FX854" s="60"/>
      <c r="FY854" s="16"/>
      <c r="FZ854" s="16"/>
      <c r="GA854" s="16"/>
      <c r="GB854" s="16"/>
      <c r="GC854" s="16"/>
      <c r="GD854" s="17"/>
      <c r="GH854" s="24"/>
      <c r="GI854" s="60"/>
      <c r="GJ854" s="16"/>
      <c r="GK854" s="16"/>
      <c r="GL854" s="16"/>
      <c r="GM854" s="16"/>
      <c r="GN854" s="16"/>
      <c r="GO854" s="17"/>
      <c r="GS854" s="24"/>
      <c r="GT854" s="60"/>
      <c r="GU854" s="16"/>
      <c r="GV854" s="16"/>
      <c r="GW854" s="16"/>
      <c r="GX854" s="16"/>
      <c r="GY854" s="16"/>
      <c r="GZ854" s="17"/>
      <c r="HD854" s="24"/>
      <c r="HE854" s="60"/>
      <c r="HF854" s="16"/>
      <c r="HG854" s="16"/>
      <c r="HH854" s="16"/>
      <c r="HI854" s="16"/>
      <c r="HJ854" s="16"/>
      <c r="HK854" s="17"/>
      <c r="HO854" s="24"/>
      <c r="HP854" s="60"/>
      <c r="HQ854" s="16"/>
      <c r="HR854" s="16"/>
      <c r="HS854" s="16"/>
      <c r="HT854" s="16"/>
      <c r="HU854" s="16"/>
      <c r="HV854" s="17"/>
      <c r="HZ854" s="24"/>
      <c r="IA854" s="60"/>
      <c r="IB854" s="16"/>
      <c r="IC854" s="16"/>
      <c r="ID854" s="16"/>
      <c r="IE854" s="16"/>
      <c r="IF854" s="16"/>
      <c r="IG854" s="17"/>
      <c r="IK854" s="24"/>
      <c r="IL854" s="60"/>
      <c r="IM854" s="16"/>
      <c r="IN854" s="16"/>
      <c r="IO854" s="16"/>
      <c r="IP854" s="16"/>
      <c r="IQ854" s="16"/>
      <c r="IR854" s="17"/>
      <c r="IV854" s="24"/>
      <c r="IW854" s="60"/>
      <c r="IX854" s="16"/>
      <c r="IY854" s="16"/>
      <c r="IZ854" s="16"/>
      <c r="JA854" s="16"/>
      <c r="JB854" s="16"/>
      <c r="JC854" s="17"/>
      <c r="JG854" s="24"/>
      <c r="JH854" s="60"/>
      <c r="JI854" s="16"/>
      <c r="JJ854" s="16"/>
      <c r="JK854" s="16"/>
      <c r="JL854" s="16"/>
      <c r="JM854" s="16"/>
      <c r="JN854" s="17"/>
      <c r="JR854" s="24"/>
      <c r="JS854" s="60"/>
      <c r="JT854" s="16"/>
      <c r="JU854" s="16"/>
      <c r="JV854" s="16"/>
      <c r="JW854" s="16"/>
      <c r="JX854" s="16"/>
      <c r="JY854" s="17"/>
      <c r="KC854" s="24"/>
      <c r="KD854" s="60"/>
      <c r="KE854" s="16"/>
      <c r="KF854" s="16"/>
      <c r="KG854" s="16"/>
      <c r="KH854" s="16"/>
      <c r="KI854" s="16"/>
      <c r="KJ854" s="17"/>
      <c r="KN854" s="24"/>
      <c r="KO854" s="60"/>
      <c r="KP854" s="16"/>
      <c r="KQ854" s="16"/>
      <c r="KR854" s="16"/>
      <c r="KS854" s="16"/>
      <c r="KT854" s="16"/>
      <c r="KU854" s="17"/>
      <c r="KY854" s="24"/>
      <c r="KZ854" s="60"/>
      <c r="LA854" s="16"/>
      <c r="LB854" s="16"/>
      <c r="LC854" s="16"/>
      <c r="LD854" s="16"/>
      <c r="LE854" s="16"/>
      <c r="LF854" s="17"/>
      <c r="LJ854" s="24"/>
      <c r="LK854" s="60"/>
      <c r="LL854" s="16"/>
      <c r="LM854" s="16"/>
      <c r="LN854" s="16"/>
      <c r="LO854" s="16"/>
      <c r="LP854" s="16"/>
      <c r="LQ854" s="17"/>
    </row>
    <row r="855">
      <c r="C855" s="31"/>
      <c r="D855" s="61"/>
      <c r="E855" s="16"/>
      <c r="F855" s="16"/>
      <c r="G855" s="21"/>
      <c r="H855" s="16"/>
      <c r="I855" s="16"/>
      <c r="J855" s="17"/>
      <c r="N855" s="17"/>
      <c r="O855" s="61"/>
      <c r="P855" s="16"/>
      <c r="Q855" s="16"/>
      <c r="R855" s="16"/>
      <c r="S855" s="16"/>
      <c r="T855" s="16"/>
      <c r="U855" s="17"/>
      <c r="Y855" s="24"/>
      <c r="Z855" s="61"/>
      <c r="AA855" s="16"/>
      <c r="AB855" s="16"/>
      <c r="AC855" s="16"/>
      <c r="AD855" s="16"/>
      <c r="AE855" s="16"/>
      <c r="AF855" s="17"/>
      <c r="AJ855" s="24"/>
      <c r="AK855" s="61"/>
      <c r="AL855" s="16"/>
      <c r="AM855" s="16"/>
      <c r="AN855" s="16"/>
      <c r="AO855" s="16"/>
      <c r="AP855" s="16"/>
      <c r="AQ855" s="17"/>
      <c r="AU855" s="24"/>
      <c r="AV855" s="61"/>
      <c r="AW855" s="16"/>
      <c r="AX855" s="16"/>
      <c r="AY855" s="16"/>
      <c r="AZ855" s="16"/>
      <c r="BA855" s="16"/>
      <c r="BB855" s="17"/>
      <c r="BF855" s="24"/>
      <c r="BG855" s="61"/>
      <c r="BH855" s="16"/>
      <c r="BI855" s="16"/>
      <c r="BJ855" s="16"/>
      <c r="BK855" s="16"/>
      <c r="BL855" s="16"/>
      <c r="BM855" s="17"/>
      <c r="BQ855" s="24"/>
      <c r="BR855" s="61"/>
      <c r="BS855" s="16"/>
      <c r="BT855" s="16"/>
      <c r="BU855" s="16"/>
      <c r="BV855" s="16"/>
      <c r="BW855" s="16"/>
      <c r="BX855" s="17"/>
      <c r="CB855" s="24"/>
      <c r="CC855" s="61"/>
      <c r="CD855" s="16"/>
      <c r="CE855" s="16"/>
      <c r="CF855" s="16"/>
      <c r="CG855" s="16"/>
      <c r="CH855" s="16"/>
      <c r="CI855" s="17"/>
      <c r="CM855" s="24"/>
      <c r="CN855" s="61"/>
      <c r="CO855" s="16"/>
      <c r="CP855" s="16"/>
      <c r="CQ855" s="16"/>
      <c r="CR855" s="16"/>
      <c r="CS855" s="16"/>
      <c r="CT855" s="17"/>
      <c r="CX855" s="24"/>
      <c r="CY855" s="60"/>
      <c r="CZ855" s="16"/>
      <c r="DA855" s="16"/>
      <c r="DB855" s="16"/>
      <c r="DC855" s="16"/>
      <c r="DD855" s="16"/>
      <c r="DE855" s="17"/>
      <c r="DI855" s="24"/>
      <c r="DJ855" s="60"/>
      <c r="DK855" s="16"/>
      <c r="DL855" s="16"/>
      <c r="DM855" s="16"/>
      <c r="DN855" s="16"/>
      <c r="DO855" s="16"/>
      <c r="DP855" s="17"/>
      <c r="DT855" s="24"/>
      <c r="DU855" s="60"/>
      <c r="DV855" s="16"/>
      <c r="DW855" s="16"/>
      <c r="DX855" s="16"/>
      <c r="DY855" s="16"/>
      <c r="DZ855" s="16"/>
      <c r="EA855" s="17"/>
      <c r="EE855" s="24"/>
      <c r="EF855" s="60"/>
      <c r="EG855" s="16"/>
      <c r="EH855" s="16"/>
      <c r="EI855" s="16"/>
      <c r="EJ855" s="16"/>
      <c r="EK855" s="16"/>
      <c r="EL855" s="17"/>
      <c r="EP855" s="24"/>
      <c r="EQ855" s="60"/>
      <c r="ER855" s="16"/>
      <c r="ES855" s="16"/>
      <c r="ET855" s="16"/>
      <c r="EU855" s="16"/>
      <c r="EV855" s="16"/>
      <c r="EW855" s="17"/>
      <c r="FA855" s="24"/>
      <c r="FB855" s="60"/>
      <c r="FC855" s="16"/>
      <c r="FD855" s="16"/>
      <c r="FE855" s="16"/>
      <c r="FF855" s="16"/>
      <c r="FG855" s="16"/>
      <c r="FH855" s="17"/>
      <c r="FL855" s="24"/>
      <c r="FM855" s="60"/>
      <c r="FN855" s="16"/>
      <c r="FO855" s="16"/>
      <c r="FP855" s="16"/>
      <c r="FQ855" s="16"/>
      <c r="FR855" s="16"/>
      <c r="FS855" s="17"/>
      <c r="FW855" s="24"/>
      <c r="FX855" s="60"/>
      <c r="FY855" s="16"/>
      <c r="FZ855" s="16"/>
      <c r="GA855" s="16"/>
      <c r="GB855" s="16"/>
      <c r="GC855" s="16"/>
      <c r="GD855" s="17"/>
      <c r="GH855" s="24"/>
      <c r="GI855" s="60"/>
      <c r="GJ855" s="16"/>
      <c r="GK855" s="16"/>
      <c r="GL855" s="16"/>
      <c r="GM855" s="16"/>
      <c r="GN855" s="16"/>
      <c r="GO855" s="17"/>
      <c r="GS855" s="24"/>
      <c r="GT855" s="60"/>
      <c r="GU855" s="16"/>
      <c r="GV855" s="16"/>
      <c r="GW855" s="16"/>
      <c r="GX855" s="16"/>
      <c r="GY855" s="16"/>
      <c r="GZ855" s="17"/>
      <c r="HD855" s="24"/>
      <c r="HE855" s="60"/>
      <c r="HF855" s="16"/>
      <c r="HG855" s="16"/>
      <c r="HH855" s="16"/>
      <c r="HI855" s="16"/>
      <c r="HJ855" s="16"/>
      <c r="HK855" s="17"/>
      <c r="HO855" s="24"/>
      <c r="HP855" s="60"/>
      <c r="HQ855" s="16"/>
      <c r="HR855" s="16"/>
      <c r="HS855" s="16"/>
      <c r="HT855" s="16"/>
      <c r="HU855" s="16"/>
      <c r="HV855" s="17"/>
      <c r="HZ855" s="24"/>
      <c r="IA855" s="60"/>
      <c r="IB855" s="16"/>
      <c r="IC855" s="16"/>
      <c r="ID855" s="16"/>
      <c r="IE855" s="16"/>
      <c r="IF855" s="16"/>
      <c r="IG855" s="17"/>
      <c r="IK855" s="24"/>
      <c r="IL855" s="60"/>
      <c r="IM855" s="16"/>
      <c r="IN855" s="16"/>
      <c r="IO855" s="16"/>
      <c r="IP855" s="16"/>
      <c r="IQ855" s="16"/>
      <c r="IR855" s="17"/>
      <c r="IV855" s="24"/>
      <c r="IW855" s="60"/>
      <c r="IX855" s="16"/>
      <c r="IY855" s="16"/>
      <c r="IZ855" s="16"/>
      <c r="JA855" s="16"/>
      <c r="JB855" s="16"/>
      <c r="JC855" s="17"/>
      <c r="JG855" s="24"/>
      <c r="JH855" s="60"/>
      <c r="JI855" s="16"/>
      <c r="JJ855" s="16"/>
      <c r="JK855" s="16"/>
      <c r="JL855" s="16"/>
      <c r="JM855" s="16"/>
      <c r="JN855" s="17"/>
      <c r="JR855" s="24"/>
      <c r="JS855" s="60"/>
      <c r="JT855" s="16"/>
      <c r="JU855" s="16"/>
      <c r="JV855" s="16"/>
      <c r="JW855" s="16"/>
      <c r="JX855" s="16"/>
      <c r="JY855" s="17"/>
      <c r="KC855" s="24"/>
      <c r="KD855" s="60"/>
      <c r="KE855" s="16"/>
      <c r="KF855" s="16"/>
      <c r="KG855" s="16"/>
      <c r="KH855" s="16"/>
      <c r="KI855" s="16"/>
      <c r="KJ855" s="17"/>
      <c r="KN855" s="24"/>
      <c r="KO855" s="60"/>
      <c r="KP855" s="16"/>
      <c r="KQ855" s="16"/>
      <c r="KR855" s="16"/>
      <c r="KS855" s="16"/>
      <c r="KT855" s="16"/>
      <c r="KU855" s="17"/>
      <c r="KY855" s="24"/>
      <c r="KZ855" s="60"/>
      <c r="LA855" s="16"/>
      <c r="LB855" s="16"/>
      <c r="LC855" s="16"/>
      <c r="LD855" s="16"/>
      <c r="LE855" s="16"/>
      <c r="LF855" s="17"/>
      <c r="LJ855" s="24"/>
      <c r="LK855" s="60"/>
      <c r="LL855" s="16"/>
      <c r="LM855" s="16"/>
      <c r="LN855" s="16"/>
      <c r="LO855" s="16"/>
      <c r="LP855" s="16"/>
      <c r="LQ855" s="17"/>
    </row>
    <row r="856">
      <c r="C856" s="31"/>
      <c r="D856" s="61"/>
      <c r="E856" s="16"/>
      <c r="F856" s="16"/>
      <c r="G856" s="21"/>
      <c r="H856" s="16"/>
      <c r="I856" s="16"/>
      <c r="J856" s="17"/>
      <c r="N856" s="17"/>
      <c r="O856" s="61"/>
      <c r="P856" s="16"/>
      <c r="Q856" s="16"/>
      <c r="R856" s="16"/>
      <c r="S856" s="16"/>
      <c r="T856" s="16"/>
      <c r="U856" s="17"/>
      <c r="Y856" s="24"/>
      <c r="Z856" s="61"/>
      <c r="AA856" s="16"/>
      <c r="AB856" s="16"/>
      <c r="AC856" s="16"/>
      <c r="AD856" s="16"/>
      <c r="AE856" s="16"/>
      <c r="AF856" s="17"/>
      <c r="AJ856" s="24"/>
      <c r="AK856" s="61"/>
      <c r="AL856" s="16"/>
      <c r="AM856" s="16"/>
      <c r="AN856" s="16"/>
      <c r="AO856" s="16"/>
      <c r="AP856" s="16"/>
      <c r="AQ856" s="17"/>
      <c r="AU856" s="24"/>
      <c r="AV856" s="61"/>
      <c r="AW856" s="16"/>
      <c r="AX856" s="16"/>
      <c r="AY856" s="16"/>
      <c r="AZ856" s="16"/>
      <c r="BA856" s="16"/>
      <c r="BB856" s="17"/>
      <c r="BF856" s="24"/>
      <c r="BG856" s="61"/>
      <c r="BH856" s="16"/>
      <c r="BI856" s="16"/>
      <c r="BJ856" s="16"/>
      <c r="BK856" s="16"/>
      <c r="BL856" s="16"/>
      <c r="BM856" s="17"/>
      <c r="BQ856" s="24"/>
      <c r="BR856" s="61"/>
      <c r="BS856" s="16"/>
      <c r="BT856" s="16"/>
      <c r="BU856" s="16"/>
      <c r="BV856" s="16"/>
      <c r="BW856" s="16"/>
      <c r="BX856" s="17"/>
      <c r="CB856" s="24"/>
      <c r="CC856" s="61"/>
      <c r="CD856" s="16"/>
      <c r="CE856" s="16"/>
      <c r="CF856" s="16"/>
      <c r="CG856" s="16"/>
      <c r="CH856" s="16"/>
      <c r="CI856" s="17"/>
      <c r="CM856" s="24"/>
      <c r="CN856" s="61"/>
      <c r="CO856" s="16"/>
      <c r="CP856" s="16"/>
      <c r="CQ856" s="16"/>
      <c r="CR856" s="16"/>
      <c r="CS856" s="16"/>
      <c r="CT856" s="17"/>
      <c r="CX856" s="24"/>
      <c r="CY856" s="60"/>
      <c r="CZ856" s="16"/>
      <c r="DA856" s="16"/>
      <c r="DB856" s="16"/>
      <c r="DC856" s="16"/>
      <c r="DD856" s="16"/>
      <c r="DE856" s="17"/>
      <c r="DI856" s="24"/>
      <c r="DJ856" s="60"/>
      <c r="DK856" s="16"/>
      <c r="DL856" s="16"/>
      <c r="DM856" s="16"/>
      <c r="DN856" s="16"/>
      <c r="DO856" s="16"/>
      <c r="DP856" s="17"/>
      <c r="DT856" s="24"/>
      <c r="DU856" s="60"/>
      <c r="DV856" s="16"/>
      <c r="DW856" s="16"/>
      <c r="DX856" s="16"/>
      <c r="DY856" s="16"/>
      <c r="DZ856" s="16"/>
      <c r="EA856" s="17"/>
      <c r="EE856" s="24"/>
      <c r="EF856" s="60"/>
      <c r="EG856" s="16"/>
      <c r="EH856" s="16"/>
      <c r="EI856" s="16"/>
      <c r="EJ856" s="16"/>
      <c r="EK856" s="16"/>
      <c r="EL856" s="17"/>
      <c r="EP856" s="24"/>
      <c r="EQ856" s="60"/>
      <c r="ER856" s="16"/>
      <c r="ES856" s="16"/>
      <c r="ET856" s="16"/>
      <c r="EU856" s="16"/>
      <c r="EV856" s="16"/>
      <c r="EW856" s="17"/>
      <c r="FA856" s="24"/>
      <c r="FB856" s="60"/>
      <c r="FC856" s="16"/>
      <c r="FD856" s="16"/>
      <c r="FE856" s="16"/>
      <c r="FF856" s="16"/>
      <c r="FG856" s="16"/>
      <c r="FH856" s="17"/>
      <c r="FL856" s="24"/>
      <c r="FM856" s="60"/>
      <c r="FN856" s="16"/>
      <c r="FO856" s="16"/>
      <c r="FP856" s="16"/>
      <c r="FQ856" s="16"/>
      <c r="FR856" s="16"/>
      <c r="FS856" s="17"/>
      <c r="FW856" s="24"/>
      <c r="FX856" s="60"/>
      <c r="FY856" s="16"/>
      <c r="FZ856" s="16"/>
      <c r="GA856" s="16"/>
      <c r="GB856" s="16"/>
      <c r="GC856" s="16"/>
      <c r="GD856" s="17"/>
      <c r="GH856" s="24"/>
      <c r="GI856" s="60"/>
      <c r="GJ856" s="16"/>
      <c r="GK856" s="16"/>
      <c r="GL856" s="16"/>
      <c r="GM856" s="16"/>
      <c r="GN856" s="16"/>
      <c r="GO856" s="17"/>
      <c r="GS856" s="24"/>
      <c r="GT856" s="60"/>
      <c r="GU856" s="16"/>
      <c r="GV856" s="16"/>
      <c r="GW856" s="16"/>
      <c r="GX856" s="16"/>
      <c r="GY856" s="16"/>
      <c r="GZ856" s="17"/>
      <c r="HD856" s="24"/>
      <c r="HE856" s="60"/>
      <c r="HF856" s="16"/>
      <c r="HG856" s="16"/>
      <c r="HH856" s="16"/>
      <c r="HI856" s="16"/>
      <c r="HJ856" s="16"/>
      <c r="HK856" s="17"/>
      <c r="HO856" s="24"/>
      <c r="HP856" s="60"/>
      <c r="HQ856" s="16"/>
      <c r="HR856" s="16"/>
      <c r="HS856" s="16"/>
      <c r="HT856" s="16"/>
      <c r="HU856" s="16"/>
      <c r="HV856" s="17"/>
      <c r="HZ856" s="24"/>
      <c r="IA856" s="60"/>
      <c r="IB856" s="16"/>
      <c r="IC856" s="16"/>
      <c r="ID856" s="16"/>
      <c r="IE856" s="16"/>
      <c r="IF856" s="16"/>
      <c r="IG856" s="17"/>
      <c r="IK856" s="24"/>
      <c r="IL856" s="60"/>
      <c r="IM856" s="16"/>
      <c r="IN856" s="16"/>
      <c r="IO856" s="16"/>
      <c r="IP856" s="16"/>
      <c r="IQ856" s="16"/>
      <c r="IR856" s="17"/>
      <c r="IV856" s="24"/>
      <c r="IW856" s="60"/>
      <c r="IX856" s="16"/>
      <c r="IY856" s="16"/>
      <c r="IZ856" s="16"/>
      <c r="JA856" s="16"/>
      <c r="JB856" s="16"/>
      <c r="JC856" s="17"/>
      <c r="JG856" s="24"/>
      <c r="JH856" s="60"/>
      <c r="JI856" s="16"/>
      <c r="JJ856" s="16"/>
      <c r="JK856" s="16"/>
      <c r="JL856" s="16"/>
      <c r="JM856" s="16"/>
      <c r="JN856" s="17"/>
      <c r="JR856" s="24"/>
      <c r="JS856" s="60"/>
      <c r="JT856" s="16"/>
      <c r="JU856" s="16"/>
      <c r="JV856" s="16"/>
      <c r="JW856" s="16"/>
      <c r="JX856" s="16"/>
      <c r="JY856" s="17"/>
      <c r="KC856" s="24"/>
      <c r="KD856" s="60"/>
      <c r="KE856" s="16"/>
      <c r="KF856" s="16"/>
      <c r="KG856" s="16"/>
      <c r="KH856" s="16"/>
      <c r="KI856" s="16"/>
      <c r="KJ856" s="17"/>
      <c r="KN856" s="24"/>
      <c r="KO856" s="60"/>
      <c r="KP856" s="16"/>
      <c r="KQ856" s="16"/>
      <c r="KR856" s="16"/>
      <c r="KS856" s="16"/>
      <c r="KT856" s="16"/>
      <c r="KU856" s="17"/>
      <c r="KY856" s="24"/>
      <c r="KZ856" s="60"/>
      <c r="LA856" s="16"/>
      <c r="LB856" s="16"/>
      <c r="LC856" s="16"/>
      <c r="LD856" s="16"/>
      <c r="LE856" s="16"/>
      <c r="LF856" s="17"/>
      <c r="LJ856" s="24"/>
      <c r="LK856" s="60"/>
      <c r="LL856" s="16"/>
      <c r="LM856" s="16"/>
      <c r="LN856" s="16"/>
      <c r="LO856" s="16"/>
      <c r="LP856" s="16"/>
      <c r="LQ856" s="17"/>
    </row>
    <row r="857">
      <c r="C857" s="31"/>
      <c r="D857" s="61"/>
      <c r="E857" s="16"/>
      <c r="F857" s="16"/>
      <c r="G857" s="21"/>
      <c r="H857" s="16"/>
      <c r="I857" s="16"/>
      <c r="J857" s="17"/>
      <c r="N857" s="17"/>
      <c r="O857" s="61"/>
      <c r="P857" s="16"/>
      <c r="Q857" s="16"/>
      <c r="R857" s="16"/>
      <c r="S857" s="16"/>
      <c r="T857" s="16"/>
      <c r="U857" s="17"/>
      <c r="Y857" s="24"/>
      <c r="Z857" s="61"/>
      <c r="AA857" s="16"/>
      <c r="AB857" s="16"/>
      <c r="AC857" s="16"/>
      <c r="AD857" s="16"/>
      <c r="AE857" s="16"/>
      <c r="AF857" s="17"/>
      <c r="AJ857" s="24"/>
      <c r="AK857" s="61"/>
      <c r="AL857" s="16"/>
      <c r="AM857" s="16"/>
      <c r="AN857" s="16"/>
      <c r="AO857" s="16"/>
      <c r="AP857" s="16"/>
      <c r="AQ857" s="17"/>
      <c r="AU857" s="24"/>
      <c r="AV857" s="61"/>
      <c r="AW857" s="16"/>
      <c r="AX857" s="16"/>
      <c r="AY857" s="16"/>
      <c r="AZ857" s="16"/>
      <c r="BA857" s="16"/>
      <c r="BB857" s="17"/>
      <c r="BF857" s="24"/>
      <c r="BG857" s="61"/>
      <c r="BH857" s="16"/>
      <c r="BI857" s="16"/>
      <c r="BJ857" s="16"/>
      <c r="BK857" s="16"/>
      <c r="BL857" s="16"/>
      <c r="BM857" s="17"/>
      <c r="BQ857" s="24"/>
      <c r="BR857" s="61"/>
      <c r="BS857" s="16"/>
      <c r="BT857" s="16"/>
      <c r="BU857" s="16"/>
      <c r="BV857" s="16"/>
      <c r="BW857" s="16"/>
      <c r="BX857" s="17"/>
      <c r="CB857" s="24"/>
      <c r="CC857" s="61"/>
      <c r="CD857" s="16"/>
      <c r="CE857" s="16"/>
      <c r="CF857" s="16"/>
      <c r="CG857" s="16"/>
      <c r="CH857" s="16"/>
      <c r="CI857" s="17"/>
      <c r="CM857" s="24"/>
      <c r="CN857" s="61"/>
      <c r="CO857" s="16"/>
      <c r="CP857" s="16"/>
      <c r="CQ857" s="16"/>
      <c r="CR857" s="16"/>
      <c r="CS857" s="16"/>
      <c r="CT857" s="17"/>
      <c r="CX857" s="24"/>
      <c r="CY857" s="60"/>
      <c r="CZ857" s="16"/>
      <c r="DA857" s="16"/>
      <c r="DB857" s="16"/>
      <c r="DC857" s="16"/>
      <c r="DD857" s="16"/>
      <c r="DE857" s="17"/>
      <c r="DI857" s="24"/>
      <c r="DJ857" s="60"/>
      <c r="DK857" s="16"/>
      <c r="DL857" s="16"/>
      <c r="DM857" s="16"/>
      <c r="DN857" s="16"/>
      <c r="DO857" s="16"/>
      <c r="DP857" s="17"/>
      <c r="DT857" s="24"/>
      <c r="DU857" s="60"/>
      <c r="DV857" s="16"/>
      <c r="DW857" s="16"/>
      <c r="DX857" s="16"/>
      <c r="DY857" s="16"/>
      <c r="DZ857" s="16"/>
      <c r="EA857" s="17"/>
      <c r="EE857" s="24"/>
      <c r="EF857" s="60"/>
      <c r="EG857" s="16"/>
      <c r="EH857" s="16"/>
      <c r="EI857" s="16"/>
      <c r="EJ857" s="16"/>
      <c r="EK857" s="16"/>
      <c r="EL857" s="17"/>
      <c r="EP857" s="24"/>
      <c r="EQ857" s="60"/>
      <c r="ER857" s="16"/>
      <c r="ES857" s="16"/>
      <c r="ET857" s="16"/>
      <c r="EU857" s="16"/>
      <c r="EV857" s="16"/>
      <c r="EW857" s="17"/>
      <c r="FA857" s="24"/>
      <c r="FB857" s="60"/>
      <c r="FC857" s="16"/>
      <c r="FD857" s="16"/>
      <c r="FE857" s="16"/>
      <c r="FF857" s="16"/>
      <c r="FG857" s="16"/>
      <c r="FH857" s="17"/>
      <c r="FL857" s="24"/>
      <c r="FM857" s="60"/>
      <c r="FN857" s="16"/>
      <c r="FO857" s="16"/>
      <c r="FP857" s="16"/>
      <c r="FQ857" s="16"/>
      <c r="FR857" s="16"/>
      <c r="FS857" s="17"/>
      <c r="FW857" s="24"/>
      <c r="FX857" s="60"/>
      <c r="FY857" s="16"/>
      <c r="FZ857" s="16"/>
      <c r="GA857" s="16"/>
      <c r="GB857" s="16"/>
      <c r="GC857" s="16"/>
      <c r="GD857" s="17"/>
      <c r="GH857" s="24"/>
      <c r="GI857" s="60"/>
      <c r="GJ857" s="16"/>
      <c r="GK857" s="16"/>
      <c r="GL857" s="16"/>
      <c r="GM857" s="16"/>
      <c r="GN857" s="16"/>
      <c r="GO857" s="17"/>
      <c r="GS857" s="24"/>
      <c r="GT857" s="60"/>
      <c r="GU857" s="16"/>
      <c r="GV857" s="16"/>
      <c r="GW857" s="16"/>
      <c r="GX857" s="16"/>
      <c r="GY857" s="16"/>
      <c r="GZ857" s="17"/>
      <c r="HD857" s="24"/>
      <c r="HE857" s="60"/>
      <c r="HF857" s="16"/>
      <c r="HG857" s="16"/>
      <c r="HH857" s="16"/>
      <c r="HI857" s="16"/>
      <c r="HJ857" s="16"/>
      <c r="HK857" s="17"/>
      <c r="HO857" s="24"/>
      <c r="HP857" s="60"/>
      <c r="HQ857" s="16"/>
      <c r="HR857" s="16"/>
      <c r="HS857" s="16"/>
      <c r="HT857" s="16"/>
      <c r="HU857" s="16"/>
      <c r="HV857" s="17"/>
      <c r="HZ857" s="24"/>
      <c r="IA857" s="60"/>
      <c r="IB857" s="16"/>
      <c r="IC857" s="16"/>
      <c r="ID857" s="16"/>
      <c r="IE857" s="16"/>
      <c r="IF857" s="16"/>
      <c r="IG857" s="17"/>
      <c r="IK857" s="24"/>
      <c r="IL857" s="60"/>
      <c r="IM857" s="16"/>
      <c r="IN857" s="16"/>
      <c r="IO857" s="16"/>
      <c r="IP857" s="16"/>
      <c r="IQ857" s="16"/>
      <c r="IR857" s="17"/>
      <c r="IV857" s="24"/>
      <c r="IW857" s="60"/>
      <c r="IX857" s="16"/>
      <c r="IY857" s="16"/>
      <c r="IZ857" s="16"/>
      <c r="JA857" s="16"/>
      <c r="JB857" s="16"/>
      <c r="JC857" s="17"/>
      <c r="JG857" s="24"/>
      <c r="JH857" s="60"/>
      <c r="JI857" s="16"/>
      <c r="JJ857" s="16"/>
      <c r="JK857" s="16"/>
      <c r="JL857" s="16"/>
      <c r="JM857" s="16"/>
      <c r="JN857" s="17"/>
      <c r="JR857" s="24"/>
      <c r="JS857" s="60"/>
      <c r="JT857" s="16"/>
      <c r="JU857" s="16"/>
      <c r="JV857" s="16"/>
      <c r="JW857" s="16"/>
      <c r="JX857" s="16"/>
      <c r="JY857" s="17"/>
      <c r="KC857" s="24"/>
      <c r="KD857" s="60"/>
      <c r="KE857" s="16"/>
      <c r="KF857" s="16"/>
      <c r="KG857" s="16"/>
      <c r="KH857" s="16"/>
      <c r="KI857" s="16"/>
      <c r="KJ857" s="17"/>
      <c r="KN857" s="24"/>
      <c r="KO857" s="60"/>
      <c r="KP857" s="16"/>
      <c r="KQ857" s="16"/>
      <c r="KR857" s="16"/>
      <c r="KS857" s="16"/>
      <c r="KT857" s="16"/>
      <c r="KU857" s="17"/>
      <c r="KY857" s="24"/>
      <c r="KZ857" s="60"/>
      <c r="LA857" s="16"/>
      <c r="LB857" s="16"/>
      <c r="LC857" s="16"/>
      <c r="LD857" s="16"/>
      <c r="LE857" s="16"/>
      <c r="LF857" s="17"/>
      <c r="LJ857" s="24"/>
      <c r="LK857" s="60"/>
      <c r="LL857" s="16"/>
      <c r="LM857" s="16"/>
      <c r="LN857" s="16"/>
      <c r="LO857" s="16"/>
      <c r="LP857" s="16"/>
      <c r="LQ857" s="17"/>
    </row>
    <row r="858">
      <c r="C858" s="31"/>
      <c r="D858" s="61"/>
      <c r="E858" s="16"/>
      <c r="F858" s="16"/>
      <c r="G858" s="21"/>
      <c r="H858" s="16"/>
      <c r="I858" s="16"/>
      <c r="J858" s="17"/>
      <c r="N858" s="17"/>
      <c r="O858" s="61"/>
      <c r="P858" s="16"/>
      <c r="Q858" s="16"/>
      <c r="R858" s="16"/>
      <c r="S858" s="16"/>
      <c r="T858" s="16"/>
      <c r="U858" s="17"/>
      <c r="Y858" s="24"/>
      <c r="Z858" s="61"/>
      <c r="AA858" s="16"/>
      <c r="AB858" s="16"/>
      <c r="AC858" s="16"/>
      <c r="AD858" s="16"/>
      <c r="AE858" s="16"/>
      <c r="AF858" s="17"/>
      <c r="AJ858" s="24"/>
      <c r="AK858" s="61"/>
      <c r="AL858" s="16"/>
      <c r="AM858" s="16"/>
      <c r="AN858" s="16"/>
      <c r="AO858" s="16"/>
      <c r="AP858" s="16"/>
      <c r="AQ858" s="17"/>
      <c r="AU858" s="24"/>
      <c r="AV858" s="61"/>
      <c r="AW858" s="16"/>
      <c r="AX858" s="16"/>
      <c r="AY858" s="16"/>
      <c r="AZ858" s="16"/>
      <c r="BA858" s="16"/>
      <c r="BB858" s="17"/>
      <c r="BF858" s="24"/>
      <c r="BG858" s="61"/>
      <c r="BH858" s="16"/>
      <c r="BI858" s="16"/>
      <c r="BJ858" s="16"/>
      <c r="BK858" s="16"/>
      <c r="BL858" s="16"/>
      <c r="BM858" s="17"/>
      <c r="BQ858" s="24"/>
      <c r="BR858" s="61"/>
      <c r="BS858" s="16"/>
      <c r="BT858" s="16"/>
      <c r="BU858" s="16"/>
      <c r="BV858" s="16"/>
      <c r="BW858" s="16"/>
      <c r="BX858" s="17"/>
      <c r="CB858" s="24"/>
      <c r="CC858" s="61"/>
      <c r="CD858" s="16"/>
      <c r="CE858" s="16"/>
      <c r="CF858" s="16"/>
      <c r="CG858" s="16"/>
      <c r="CH858" s="16"/>
      <c r="CI858" s="17"/>
      <c r="CM858" s="24"/>
      <c r="CN858" s="61"/>
      <c r="CO858" s="16"/>
      <c r="CP858" s="16"/>
      <c r="CQ858" s="16"/>
      <c r="CR858" s="16"/>
      <c r="CS858" s="16"/>
      <c r="CT858" s="17"/>
      <c r="CX858" s="24"/>
      <c r="CY858" s="60"/>
      <c r="CZ858" s="16"/>
      <c r="DA858" s="16"/>
      <c r="DB858" s="16"/>
      <c r="DC858" s="16"/>
      <c r="DD858" s="16"/>
      <c r="DE858" s="17"/>
      <c r="DI858" s="24"/>
      <c r="DJ858" s="60"/>
      <c r="DK858" s="16"/>
      <c r="DL858" s="16"/>
      <c r="DM858" s="16"/>
      <c r="DN858" s="16"/>
      <c r="DO858" s="16"/>
      <c r="DP858" s="17"/>
      <c r="DT858" s="24"/>
      <c r="DU858" s="60"/>
      <c r="DV858" s="16"/>
      <c r="DW858" s="16"/>
      <c r="DX858" s="16"/>
      <c r="DY858" s="16"/>
      <c r="DZ858" s="16"/>
      <c r="EA858" s="17"/>
      <c r="EE858" s="24"/>
      <c r="EF858" s="60"/>
      <c r="EG858" s="16"/>
      <c r="EH858" s="16"/>
      <c r="EI858" s="16"/>
      <c r="EJ858" s="16"/>
      <c r="EK858" s="16"/>
      <c r="EL858" s="17"/>
      <c r="EP858" s="24"/>
      <c r="EQ858" s="60"/>
      <c r="ER858" s="16"/>
      <c r="ES858" s="16"/>
      <c r="ET858" s="16"/>
      <c r="EU858" s="16"/>
      <c r="EV858" s="16"/>
      <c r="EW858" s="17"/>
      <c r="FA858" s="24"/>
      <c r="FB858" s="60"/>
      <c r="FC858" s="16"/>
      <c r="FD858" s="16"/>
      <c r="FE858" s="16"/>
      <c r="FF858" s="16"/>
      <c r="FG858" s="16"/>
      <c r="FH858" s="17"/>
      <c r="FL858" s="24"/>
      <c r="FM858" s="60"/>
      <c r="FN858" s="16"/>
      <c r="FO858" s="16"/>
      <c r="FP858" s="16"/>
      <c r="FQ858" s="16"/>
      <c r="FR858" s="16"/>
      <c r="FS858" s="17"/>
      <c r="FW858" s="24"/>
      <c r="FX858" s="60"/>
      <c r="FY858" s="16"/>
      <c r="FZ858" s="16"/>
      <c r="GA858" s="16"/>
      <c r="GB858" s="16"/>
      <c r="GC858" s="16"/>
      <c r="GD858" s="17"/>
      <c r="GH858" s="24"/>
      <c r="GI858" s="60"/>
      <c r="GJ858" s="16"/>
      <c r="GK858" s="16"/>
      <c r="GL858" s="16"/>
      <c r="GM858" s="16"/>
      <c r="GN858" s="16"/>
      <c r="GO858" s="17"/>
      <c r="GS858" s="24"/>
      <c r="GT858" s="60"/>
      <c r="GU858" s="16"/>
      <c r="GV858" s="16"/>
      <c r="GW858" s="16"/>
      <c r="GX858" s="16"/>
      <c r="GY858" s="16"/>
      <c r="GZ858" s="17"/>
      <c r="HD858" s="24"/>
      <c r="HE858" s="60"/>
      <c r="HF858" s="16"/>
      <c r="HG858" s="16"/>
      <c r="HH858" s="16"/>
      <c r="HI858" s="16"/>
      <c r="HJ858" s="16"/>
      <c r="HK858" s="17"/>
      <c r="HO858" s="24"/>
      <c r="HP858" s="60"/>
      <c r="HQ858" s="16"/>
      <c r="HR858" s="16"/>
      <c r="HS858" s="16"/>
      <c r="HT858" s="16"/>
      <c r="HU858" s="16"/>
      <c r="HV858" s="17"/>
      <c r="HZ858" s="24"/>
      <c r="IA858" s="60"/>
      <c r="IB858" s="16"/>
      <c r="IC858" s="16"/>
      <c r="ID858" s="16"/>
      <c r="IE858" s="16"/>
      <c r="IF858" s="16"/>
      <c r="IG858" s="17"/>
      <c r="IK858" s="24"/>
      <c r="IL858" s="60"/>
      <c r="IM858" s="16"/>
      <c r="IN858" s="16"/>
      <c r="IO858" s="16"/>
      <c r="IP858" s="16"/>
      <c r="IQ858" s="16"/>
      <c r="IR858" s="17"/>
      <c r="IV858" s="24"/>
      <c r="IW858" s="60"/>
      <c r="IX858" s="16"/>
      <c r="IY858" s="16"/>
      <c r="IZ858" s="16"/>
      <c r="JA858" s="16"/>
      <c r="JB858" s="16"/>
      <c r="JC858" s="17"/>
      <c r="JG858" s="24"/>
      <c r="JH858" s="60"/>
      <c r="JI858" s="16"/>
      <c r="JJ858" s="16"/>
      <c r="JK858" s="16"/>
      <c r="JL858" s="16"/>
      <c r="JM858" s="16"/>
      <c r="JN858" s="17"/>
      <c r="JR858" s="24"/>
      <c r="JS858" s="60"/>
      <c r="JT858" s="16"/>
      <c r="JU858" s="16"/>
      <c r="JV858" s="16"/>
      <c r="JW858" s="16"/>
      <c r="JX858" s="16"/>
      <c r="JY858" s="17"/>
      <c r="KC858" s="24"/>
      <c r="KD858" s="60"/>
      <c r="KE858" s="16"/>
      <c r="KF858" s="16"/>
      <c r="KG858" s="16"/>
      <c r="KH858" s="16"/>
      <c r="KI858" s="16"/>
      <c r="KJ858" s="17"/>
      <c r="KN858" s="24"/>
      <c r="KO858" s="60"/>
      <c r="KP858" s="16"/>
      <c r="KQ858" s="16"/>
      <c r="KR858" s="16"/>
      <c r="KS858" s="16"/>
      <c r="KT858" s="16"/>
      <c r="KU858" s="17"/>
      <c r="KY858" s="24"/>
      <c r="KZ858" s="60"/>
      <c r="LA858" s="16"/>
      <c r="LB858" s="16"/>
      <c r="LC858" s="16"/>
      <c r="LD858" s="16"/>
      <c r="LE858" s="16"/>
      <c r="LF858" s="17"/>
      <c r="LJ858" s="24"/>
      <c r="LK858" s="60"/>
      <c r="LL858" s="16"/>
      <c r="LM858" s="16"/>
      <c r="LN858" s="16"/>
      <c r="LO858" s="16"/>
      <c r="LP858" s="16"/>
      <c r="LQ858" s="17"/>
    </row>
    <row r="859">
      <c r="C859" s="31"/>
      <c r="D859" s="61"/>
      <c r="E859" s="16"/>
      <c r="F859" s="16"/>
      <c r="G859" s="21"/>
      <c r="H859" s="16"/>
      <c r="I859" s="16"/>
      <c r="J859" s="17"/>
      <c r="N859" s="17"/>
      <c r="O859" s="61"/>
      <c r="P859" s="16"/>
      <c r="Q859" s="16"/>
      <c r="R859" s="16"/>
      <c r="S859" s="16"/>
      <c r="T859" s="16"/>
      <c r="U859" s="17"/>
      <c r="Y859" s="24"/>
      <c r="Z859" s="61"/>
      <c r="AA859" s="16"/>
      <c r="AB859" s="16"/>
      <c r="AC859" s="16"/>
      <c r="AD859" s="16"/>
      <c r="AE859" s="16"/>
      <c r="AF859" s="17"/>
      <c r="AJ859" s="24"/>
      <c r="AK859" s="61"/>
      <c r="AL859" s="16"/>
      <c r="AM859" s="16"/>
      <c r="AN859" s="16"/>
      <c r="AO859" s="16"/>
      <c r="AP859" s="16"/>
      <c r="AQ859" s="17"/>
      <c r="AU859" s="24"/>
      <c r="AV859" s="61"/>
      <c r="AW859" s="16"/>
      <c r="AX859" s="16"/>
      <c r="AY859" s="16"/>
      <c r="AZ859" s="16"/>
      <c r="BA859" s="16"/>
      <c r="BB859" s="17"/>
      <c r="BF859" s="24"/>
      <c r="BG859" s="61"/>
      <c r="BH859" s="16"/>
      <c r="BI859" s="16"/>
      <c r="BJ859" s="16"/>
      <c r="BK859" s="16"/>
      <c r="BL859" s="16"/>
      <c r="BM859" s="17"/>
      <c r="BQ859" s="24"/>
      <c r="BR859" s="61"/>
      <c r="BS859" s="16"/>
      <c r="BT859" s="16"/>
      <c r="BU859" s="16"/>
      <c r="BV859" s="16"/>
      <c r="BW859" s="16"/>
      <c r="BX859" s="17"/>
      <c r="CB859" s="24"/>
      <c r="CC859" s="61"/>
      <c r="CD859" s="16"/>
      <c r="CE859" s="16"/>
      <c r="CF859" s="16"/>
      <c r="CG859" s="16"/>
      <c r="CH859" s="16"/>
      <c r="CI859" s="17"/>
      <c r="CM859" s="24"/>
      <c r="CN859" s="61"/>
      <c r="CO859" s="16"/>
      <c r="CP859" s="16"/>
      <c r="CQ859" s="16"/>
      <c r="CR859" s="16"/>
      <c r="CS859" s="16"/>
      <c r="CT859" s="17"/>
      <c r="CX859" s="24"/>
      <c r="CY859" s="60"/>
      <c r="CZ859" s="16"/>
      <c r="DA859" s="16"/>
      <c r="DB859" s="16"/>
      <c r="DC859" s="16"/>
      <c r="DD859" s="16"/>
      <c r="DE859" s="17"/>
      <c r="DI859" s="24"/>
      <c r="DJ859" s="60"/>
      <c r="DK859" s="16"/>
      <c r="DL859" s="16"/>
      <c r="DM859" s="16"/>
      <c r="DN859" s="16"/>
      <c r="DO859" s="16"/>
      <c r="DP859" s="17"/>
      <c r="DT859" s="24"/>
      <c r="DU859" s="60"/>
      <c r="DV859" s="16"/>
      <c r="DW859" s="16"/>
      <c r="DX859" s="16"/>
      <c r="DY859" s="16"/>
      <c r="DZ859" s="16"/>
      <c r="EA859" s="17"/>
      <c r="EE859" s="24"/>
      <c r="EF859" s="60"/>
      <c r="EG859" s="16"/>
      <c r="EH859" s="16"/>
      <c r="EI859" s="16"/>
      <c r="EJ859" s="16"/>
      <c r="EK859" s="16"/>
      <c r="EL859" s="17"/>
      <c r="EP859" s="24"/>
      <c r="EQ859" s="60"/>
      <c r="ER859" s="16"/>
      <c r="ES859" s="16"/>
      <c r="ET859" s="16"/>
      <c r="EU859" s="16"/>
      <c r="EV859" s="16"/>
      <c r="EW859" s="17"/>
      <c r="FA859" s="24"/>
      <c r="FB859" s="60"/>
      <c r="FC859" s="16"/>
      <c r="FD859" s="16"/>
      <c r="FE859" s="16"/>
      <c r="FF859" s="16"/>
      <c r="FG859" s="16"/>
      <c r="FH859" s="17"/>
      <c r="FL859" s="24"/>
      <c r="FM859" s="60"/>
      <c r="FN859" s="16"/>
      <c r="FO859" s="16"/>
      <c r="FP859" s="16"/>
      <c r="FQ859" s="16"/>
      <c r="FR859" s="16"/>
      <c r="FS859" s="17"/>
      <c r="FW859" s="24"/>
      <c r="FX859" s="60"/>
      <c r="FY859" s="16"/>
      <c r="FZ859" s="16"/>
      <c r="GA859" s="16"/>
      <c r="GB859" s="16"/>
      <c r="GC859" s="16"/>
      <c r="GD859" s="17"/>
      <c r="GH859" s="24"/>
      <c r="GI859" s="60"/>
      <c r="GJ859" s="16"/>
      <c r="GK859" s="16"/>
      <c r="GL859" s="16"/>
      <c r="GM859" s="16"/>
      <c r="GN859" s="16"/>
      <c r="GO859" s="17"/>
      <c r="GS859" s="24"/>
      <c r="GT859" s="60"/>
      <c r="GU859" s="16"/>
      <c r="GV859" s="16"/>
      <c r="GW859" s="16"/>
      <c r="GX859" s="16"/>
      <c r="GY859" s="16"/>
      <c r="GZ859" s="17"/>
      <c r="HD859" s="24"/>
      <c r="HE859" s="60"/>
      <c r="HF859" s="16"/>
      <c r="HG859" s="16"/>
      <c r="HH859" s="16"/>
      <c r="HI859" s="16"/>
      <c r="HJ859" s="16"/>
      <c r="HK859" s="17"/>
      <c r="HO859" s="24"/>
      <c r="HP859" s="60"/>
      <c r="HQ859" s="16"/>
      <c r="HR859" s="16"/>
      <c r="HS859" s="16"/>
      <c r="HT859" s="16"/>
      <c r="HU859" s="16"/>
      <c r="HV859" s="17"/>
      <c r="HZ859" s="24"/>
      <c r="IA859" s="60"/>
      <c r="IB859" s="16"/>
      <c r="IC859" s="16"/>
      <c r="ID859" s="16"/>
      <c r="IE859" s="16"/>
      <c r="IF859" s="16"/>
      <c r="IG859" s="17"/>
      <c r="IK859" s="24"/>
      <c r="IL859" s="60"/>
      <c r="IM859" s="16"/>
      <c r="IN859" s="16"/>
      <c r="IO859" s="16"/>
      <c r="IP859" s="16"/>
      <c r="IQ859" s="16"/>
      <c r="IR859" s="17"/>
      <c r="IV859" s="24"/>
      <c r="IW859" s="60"/>
      <c r="IX859" s="16"/>
      <c r="IY859" s="16"/>
      <c r="IZ859" s="16"/>
      <c r="JA859" s="16"/>
      <c r="JB859" s="16"/>
      <c r="JC859" s="17"/>
      <c r="JG859" s="24"/>
      <c r="JH859" s="60"/>
      <c r="JI859" s="16"/>
      <c r="JJ859" s="16"/>
      <c r="JK859" s="16"/>
      <c r="JL859" s="16"/>
      <c r="JM859" s="16"/>
      <c r="JN859" s="17"/>
      <c r="JR859" s="24"/>
      <c r="JS859" s="60"/>
      <c r="JT859" s="16"/>
      <c r="JU859" s="16"/>
      <c r="JV859" s="16"/>
      <c r="JW859" s="16"/>
      <c r="JX859" s="16"/>
      <c r="JY859" s="17"/>
      <c r="KC859" s="24"/>
      <c r="KD859" s="60"/>
      <c r="KE859" s="16"/>
      <c r="KF859" s="16"/>
      <c r="KG859" s="16"/>
      <c r="KH859" s="16"/>
      <c r="KI859" s="16"/>
      <c r="KJ859" s="17"/>
      <c r="KN859" s="24"/>
      <c r="KO859" s="60"/>
      <c r="KP859" s="16"/>
      <c r="KQ859" s="16"/>
      <c r="KR859" s="16"/>
      <c r="KS859" s="16"/>
      <c r="KT859" s="16"/>
      <c r="KU859" s="17"/>
      <c r="KY859" s="24"/>
      <c r="KZ859" s="60"/>
      <c r="LA859" s="16"/>
      <c r="LB859" s="16"/>
      <c r="LC859" s="16"/>
      <c r="LD859" s="16"/>
      <c r="LE859" s="16"/>
      <c r="LF859" s="17"/>
      <c r="LJ859" s="24"/>
      <c r="LK859" s="60"/>
      <c r="LL859" s="16"/>
      <c r="LM859" s="16"/>
      <c r="LN859" s="16"/>
      <c r="LO859" s="16"/>
      <c r="LP859" s="16"/>
      <c r="LQ859" s="17"/>
    </row>
    <row r="860">
      <c r="C860" s="31"/>
      <c r="D860" s="61"/>
      <c r="E860" s="16"/>
      <c r="F860" s="16"/>
      <c r="G860" s="21"/>
      <c r="H860" s="16"/>
      <c r="I860" s="16"/>
      <c r="J860" s="17"/>
      <c r="N860" s="17"/>
      <c r="O860" s="61"/>
      <c r="P860" s="16"/>
      <c r="Q860" s="16"/>
      <c r="R860" s="16"/>
      <c r="S860" s="16"/>
      <c r="T860" s="16"/>
      <c r="U860" s="17"/>
      <c r="Y860" s="24"/>
      <c r="Z860" s="61"/>
      <c r="AA860" s="16"/>
      <c r="AB860" s="16"/>
      <c r="AC860" s="16"/>
      <c r="AD860" s="16"/>
      <c r="AE860" s="16"/>
      <c r="AF860" s="17"/>
      <c r="AJ860" s="24"/>
      <c r="AK860" s="61"/>
      <c r="AL860" s="16"/>
      <c r="AM860" s="16"/>
      <c r="AN860" s="16"/>
      <c r="AO860" s="16"/>
      <c r="AP860" s="16"/>
      <c r="AQ860" s="17"/>
      <c r="AU860" s="24"/>
      <c r="AV860" s="61"/>
      <c r="AW860" s="16"/>
      <c r="AX860" s="16"/>
      <c r="AY860" s="16"/>
      <c r="AZ860" s="16"/>
      <c r="BA860" s="16"/>
      <c r="BB860" s="17"/>
      <c r="BF860" s="24"/>
      <c r="BG860" s="61"/>
      <c r="BH860" s="16"/>
      <c r="BI860" s="16"/>
      <c r="BJ860" s="16"/>
      <c r="BK860" s="16"/>
      <c r="BL860" s="16"/>
      <c r="BM860" s="17"/>
      <c r="BQ860" s="24"/>
      <c r="BR860" s="61"/>
      <c r="BS860" s="16"/>
      <c r="BT860" s="16"/>
      <c r="BU860" s="16"/>
      <c r="BV860" s="16"/>
      <c r="BW860" s="16"/>
      <c r="BX860" s="17"/>
      <c r="CB860" s="24"/>
      <c r="CC860" s="61"/>
      <c r="CD860" s="16"/>
      <c r="CE860" s="16"/>
      <c r="CF860" s="16"/>
      <c r="CG860" s="16"/>
      <c r="CH860" s="16"/>
      <c r="CI860" s="17"/>
      <c r="CM860" s="24"/>
      <c r="CN860" s="61"/>
      <c r="CO860" s="16"/>
      <c r="CP860" s="16"/>
      <c r="CQ860" s="16"/>
      <c r="CR860" s="16"/>
      <c r="CS860" s="16"/>
      <c r="CT860" s="17"/>
      <c r="CX860" s="24"/>
      <c r="CY860" s="60"/>
      <c r="CZ860" s="16"/>
      <c r="DA860" s="16"/>
      <c r="DB860" s="16"/>
      <c r="DC860" s="16"/>
      <c r="DD860" s="16"/>
      <c r="DE860" s="17"/>
      <c r="DI860" s="24"/>
      <c r="DJ860" s="60"/>
      <c r="DK860" s="16"/>
      <c r="DL860" s="16"/>
      <c r="DM860" s="16"/>
      <c r="DN860" s="16"/>
      <c r="DO860" s="16"/>
      <c r="DP860" s="17"/>
      <c r="DT860" s="24"/>
      <c r="DU860" s="60"/>
      <c r="DV860" s="16"/>
      <c r="DW860" s="16"/>
      <c r="DX860" s="16"/>
      <c r="DY860" s="16"/>
      <c r="DZ860" s="16"/>
      <c r="EA860" s="17"/>
      <c r="EE860" s="24"/>
      <c r="EF860" s="60"/>
      <c r="EG860" s="16"/>
      <c r="EH860" s="16"/>
      <c r="EI860" s="16"/>
      <c r="EJ860" s="16"/>
      <c r="EK860" s="16"/>
      <c r="EL860" s="17"/>
      <c r="EP860" s="24"/>
      <c r="EQ860" s="60"/>
      <c r="ER860" s="16"/>
      <c r="ES860" s="16"/>
      <c r="ET860" s="16"/>
      <c r="EU860" s="16"/>
      <c r="EV860" s="16"/>
      <c r="EW860" s="17"/>
      <c r="FA860" s="24"/>
      <c r="FB860" s="60"/>
      <c r="FC860" s="16"/>
      <c r="FD860" s="16"/>
      <c r="FE860" s="16"/>
      <c r="FF860" s="16"/>
      <c r="FG860" s="16"/>
      <c r="FH860" s="17"/>
      <c r="FL860" s="24"/>
      <c r="FM860" s="60"/>
      <c r="FN860" s="16"/>
      <c r="FO860" s="16"/>
      <c r="FP860" s="16"/>
      <c r="FQ860" s="16"/>
      <c r="FR860" s="16"/>
      <c r="FS860" s="17"/>
      <c r="FW860" s="24"/>
      <c r="FX860" s="60"/>
      <c r="FY860" s="16"/>
      <c r="FZ860" s="16"/>
      <c r="GA860" s="16"/>
      <c r="GB860" s="16"/>
      <c r="GC860" s="16"/>
      <c r="GD860" s="17"/>
      <c r="GH860" s="24"/>
      <c r="GI860" s="60"/>
      <c r="GJ860" s="16"/>
      <c r="GK860" s="16"/>
      <c r="GL860" s="16"/>
      <c r="GM860" s="16"/>
      <c r="GN860" s="16"/>
      <c r="GO860" s="17"/>
      <c r="GS860" s="24"/>
      <c r="GT860" s="60"/>
      <c r="GU860" s="16"/>
      <c r="GV860" s="16"/>
      <c r="GW860" s="16"/>
      <c r="GX860" s="16"/>
      <c r="GY860" s="16"/>
      <c r="GZ860" s="17"/>
      <c r="HD860" s="24"/>
      <c r="HE860" s="60"/>
      <c r="HF860" s="16"/>
      <c r="HG860" s="16"/>
      <c r="HH860" s="16"/>
      <c r="HI860" s="16"/>
      <c r="HJ860" s="16"/>
      <c r="HK860" s="17"/>
      <c r="HO860" s="24"/>
      <c r="HP860" s="60"/>
      <c r="HQ860" s="16"/>
      <c r="HR860" s="16"/>
      <c r="HS860" s="16"/>
      <c r="HT860" s="16"/>
      <c r="HU860" s="16"/>
      <c r="HV860" s="17"/>
      <c r="HZ860" s="24"/>
      <c r="IA860" s="60"/>
      <c r="IB860" s="16"/>
      <c r="IC860" s="16"/>
      <c r="ID860" s="16"/>
      <c r="IE860" s="16"/>
      <c r="IF860" s="16"/>
      <c r="IG860" s="17"/>
      <c r="IK860" s="24"/>
      <c r="IL860" s="60"/>
      <c r="IM860" s="16"/>
      <c r="IN860" s="16"/>
      <c r="IO860" s="16"/>
      <c r="IP860" s="16"/>
      <c r="IQ860" s="16"/>
      <c r="IR860" s="17"/>
      <c r="IV860" s="24"/>
      <c r="IW860" s="60"/>
      <c r="IX860" s="16"/>
      <c r="IY860" s="16"/>
      <c r="IZ860" s="16"/>
      <c r="JA860" s="16"/>
      <c r="JB860" s="16"/>
      <c r="JC860" s="17"/>
      <c r="JG860" s="24"/>
      <c r="JH860" s="60"/>
      <c r="JI860" s="16"/>
      <c r="JJ860" s="16"/>
      <c r="JK860" s="16"/>
      <c r="JL860" s="16"/>
      <c r="JM860" s="16"/>
      <c r="JN860" s="17"/>
      <c r="JR860" s="24"/>
      <c r="JS860" s="60"/>
      <c r="JT860" s="16"/>
      <c r="JU860" s="16"/>
      <c r="JV860" s="16"/>
      <c r="JW860" s="16"/>
      <c r="JX860" s="16"/>
      <c r="JY860" s="17"/>
      <c r="KC860" s="24"/>
      <c r="KD860" s="60"/>
      <c r="KE860" s="16"/>
      <c r="KF860" s="16"/>
      <c r="KG860" s="16"/>
      <c r="KH860" s="16"/>
      <c r="KI860" s="16"/>
      <c r="KJ860" s="17"/>
      <c r="KN860" s="24"/>
      <c r="KO860" s="60"/>
      <c r="KP860" s="16"/>
      <c r="KQ860" s="16"/>
      <c r="KR860" s="16"/>
      <c r="KS860" s="16"/>
      <c r="KT860" s="16"/>
      <c r="KU860" s="17"/>
      <c r="KY860" s="24"/>
      <c r="KZ860" s="60"/>
      <c r="LA860" s="16"/>
      <c r="LB860" s="16"/>
      <c r="LC860" s="16"/>
      <c r="LD860" s="16"/>
      <c r="LE860" s="16"/>
      <c r="LF860" s="17"/>
      <c r="LJ860" s="24"/>
      <c r="LK860" s="60"/>
      <c r="LL860" s="16"/>
      <c r="LM860" s="16"/>
      <c r="LN860" s="16"/>
      <c r="LO860" s="16"/>
      <c r="LP860" s="16"/>
      <c r="LQ860" s="17"/>
    </row>
    <row r="861">
      <c r="C861" s="31"/>
      <c r="D861" s="61"/>
      <c r="E861" s="16"/>
      <c r="F861" s="16"/>
      <c r="G861" s="21"/>
      <c r="H861" s="16"/>
      <c r="I861" s="16"/>
      <c r="J861" s="17"/>
      <c r="N861" s="17"/>
      <c r="O861" s="61"/>
      <c r="P861" s="16"/>
      <c r="Q861" s="16"/>
      <c r="R861" s="16"/>
      <c r="S861" s="16"/>
      <c r="T861" s="16"/>
      <c r="U861" s="17"/>
      <c r="Y861" s="24"/>
      <c r="Z861" s="61"/>
      <c r="AA861" s="16"/>
      <c r="AB861" s="16"/>
      <c r="AC861" s="16"/>
      <c r="AD861" s="16"/>
      <c r="AE861" s="16"/>
      <c r="AF861" s="17"/>
      <c r="AJ861" s="24"/>
      <c r="AK861" s="61"/>
      <c r="AL861" s="16"/>
      <c r="AM861" s="16"/>
      <c r="AN861" s="16"/>
      <c r="AO861" s="16"/>
      <c r="AP861" s="16"/>
      <c r="AQ861" s="17"/>
      <c r="AU861" s="24"/>
      <c r="AV861" s="61"/>
      <c r="AW861" s="16"/>
      <c r="AX861" s="16"/>
      <c r="AY861" s="16"/>
      <c r="AZ861" s="16"/>
      <c r="BA861" s="16"/>
      <c r="BB861" s="17"/>
      <c r="BF861" s="24"/>
      <c r="BG861" s="61"/>
      <c r="BH861" s="16"/>
      <c r="BI861" s="16"/>
      <c r="BJ861" s="16"/>
      <c r="BK861" s="16"/>
      <c r="BL861" s="16"/>
      <c r="BM861" s="17"/>
      <c r="BQ861" s="24"/>
      <c r="BR861" s="61"/>
      <c r="BS861" s="16"/>
      <c r="BT861" s="16"/>
      <c r="BU861" s="16"/>
      <c r="BV861" s="16"/>
      <c r="BW861" s="16"/>
      <c r="BX861" s="17"/>
      <c r="CB861" s="24"/>
      <c r="CC861" s="61"/>
      <c r="CD861" s="16"/>
      <c r="CE861" s="16"/>
      <c r="CF861" s="16"/>
      <c r="CG861" s="16"/>
      <c r="CH861" s="16"/>
      <c r="CI861" s="17"/>
      <c r="CM861" s="24"/>
      <c r="CN861" s="61"/>
      <c r="CO861" s="16"/>
      <c r="CP861" s="16"/>
      <c r="CQ861" s="16"/>
      <c r="CR861" s="16"/>
      <c r="CS861" s="16"/>
      <c r="CT861" s="17"/>
      <c r="CX861" s="24"/>
      <c r="CY861" s="60"/>
      <c r="CZ861" s="16"/>
      <c r="DA861" s="16"/>
      <c r="DB861" s="16"/>
      <c r="DC861" s="16"/>
      <c r="DD861" s="16"/>
      <c r="DE861" s="17"/>
      <c r="DI861" s="24"/>
      <c r="DJ861" s="60"/>
      <c r="DK861" s="16"/>
      <c r="DL861" s="16"/>
      <c r="DM861" s="16"/>
      <c r="DN861" s="16"/>
      <c r="DO861" s="16"/>
      <c r="DP861" s="17"/>
      <c r="DT861" s="24"/>
      <c r="DU861" s="60"/>
      <c r="DV861" s="16"/>
      <c r="DW861" s="16"/>
      <c r="DX861" s="16"/>
      <c r="DY861" s="16"/>
      <c r="DZ861" s="16"/>
      <c r="EA861" s="17"/>
      <c r="EE861" s="24"/>
      <c r="EF861" s="60"/>
      <c r="EG861" s="16"/>
      <c r="EH861" s="16"/>
      <c r="EI861" s="16"/>
      <c r="EJ861" s="16"/>
      <c r="EK861" s="16"/>
      <c r="EL861" s="17"/>
      <c r="EP861" s="24"/>
      <c r="EQ861" s="60"/>
      <c r="ER861" s="16"/>
      <c r="ES861" s="16"/>
      <c r="ET861" s="16"/>
      <c r="EU861" s="16"/>
      <c r="EV861" s="16"/>
      <c r="EW861" s="17"/>
      <c r="FA861" s="24"/>
      <c r="FB861" s="60"/>
      <c r="FC861" s="16"/>
      <c r="FD861" s="16"/>
      <c r="FE861" s="16"/>
      <c r="FF861" s="16"/>
      <c r="FG861" s="16"/>
      <c r="FH861" s="17"/>
      <c r="FL861" s="24"/>
      <c r="FM861" s="60"/>
      <c r="FN861" s="16"/>
      <c r="FO861" s="16"/>
      <c r="FP861" s="16"/>
      <c r="FQ861" s="16"/>
      <c r="FR861" s="16"/>
      <c r="FS861" s="17"/>
      <c r="FW861" s="24"/>
      <c r="FX861" s="60"/>
      <c r="FY861" s="16"/>
      <c r="FZ861" s="16"/>
      <c r="GA861" s="16"/>
      <c r="GB861" s="16"/>
      <c r="GC861" s="16"/>
      <c r="GD861" s="17"/>
      <c r="GH861" s="24"/>
      <c r="GI861" s="60"/>
      <c r="GJ861" s="16"/>
      <c r="GK861" s="16"/>
      <c r="GL861" s="16"/>
      <c r="GM861" s="16"/>
      <c r="GN861" s="16"/>
      <c r="GO861" s="17"/>
      <c r="GS861" s="24"/>
      <c r="GT861" s="60"/>
      <c r="GU861" s="16"/>
      <c r="GV861" s="16"/>
      <c r="GW861" s="16"/>
      <c r="GX861" s="16"/>
      <c r="GY861" s="16"/>
      <c r="GZ861" s="17"/>
      <c r="HD861" s="24"/>
      <c r="HE861" s="60"/>
      <c r="HF861" s="16"/>
      <c r="HG861" s="16"/>
      <c r="HH861" s="16"/>
      <c r="HI861" s="16"/>
      <c r="HJ861" s="16"/>
      <c r="HK861" s="17"/>
      <c r="HO861" s="24"/>
      <c r="HP861" s="60"/>
      <c r="HQ861" s="16"/>
      <c r="HR861" s="16"/>
      <c r="HS861" s="16"/>
      <c r="HT861" s="16"/>
      <c r="HU861" s="16"/>
      <c r="HV861" s="17"/>
      <c r="HZ861" s="24"/>
      <c r="IA861" s="60"/>
      <c r="IB861" s="16"/>
      <c r="IC861" s="16"/>
      <c r="ID861" s="16"/>
      <c r="IE861" s="16"/>
      <c r="IF861" s="16"/>
      <c r="IG861" s="17"/>
      <c r="IK861" s="24"/>
      <c r="IL861" s="60"/>
      <c r="IM861" s="16"/>
      <c r="IN861" s="16"/>
      <c r="IO861" s="16"/>
      <c r="IP861" s="16"/>
      <c r="IQ861" s="16"/>
      <c r="IR861" s="17"/>
      <c r="IV861" s="24"/>
      <c r="IW861" s="60"/>
      <c r="IX861" s="16"/>
      <c r="IY861" s="16"/>
      <c r="IZ861" s="16"/>
      <c r="JA861" s="16"/>
      <c r="JB861" s="16"/>
      <c r="JC861" s="17"/>
      <c r="JG861" s="24"/>
      <c r="JH861" s="60"/>
      <c r="JI861" s="16"/>
      <c r="JJ861" s="16"/>
      <c r="JK861" s="16"/>
      <c r="JL861" s="16"/>
      <c r="JM861" s="16"/>
      <c r="JN861" s="17"/>
      <c r="JR861" s="24"/>
      <c r="JS861" s="60"/>
      <c r="JT861" s="16"/>
      <c r="JU861" s="16"/>
      <c r="JV861" s="16"/>
      <c r="JW861" s="16"/>
      <c r="JX861" s="16"/>
      <c r="JY861" s="17"/>
      <c r="KC861" s="24"/>
      <c r="KD861" s="60"/>
      <c r="KE861" s="16"/>
      <c r="KF861" s="16"/>
      <c r="KG861" s="16"/>
      <c r="KH861" s="16"/>
      <c r="KI861" s="16"/>
      <c r="KJ861" s="17"/>
      <c r="KN861" s="24"/>
      <c r="KO861" s="60"/>
      <c r="KP861" s="16"/>
      <c r="KQ861" s="16"/>
      <c r="KR861" s="16"/>
      <c r="KS861" s="16"/>
      <c r="KT861" s="16"/>
      <c r="KU861" s="17"/>
      <c r="KY861" s="24"/>
      <c r="KZ861" s="60"/>
      <c r="LA861" s="16"/>
      <c r="LB861" s="16"/>
      <c r="LC861" s="16"/>
      <c r="LD861" s="16"/>
      <c r="LE861" s="16"/>
      <c r="LF861" s="17"/>
      <c r="LJ861" s="24"/>
      <c r="LK861" s="60"/>
      <c r="LL861" s="16"/>
      <c r="LM861" s="16"/>
      <c r="LN861" s="16"/>
      <c r="LO861" s="16"/>
      <c r="LP861" s="16"/>
      <c r="LQ861" s="17"/>
    </row>
    <row r="862">
      <c r="C862" s="31"/>
      <c r="D862" s="61"/>
      <c r="E862" s="16"/>
      <c r="F862" s="16"/>
      <c r="G862" s="21"/>
      <c r="H862" s="16"/>
      <c r="I862" s="16"/>
      <c r="J862" s="17"/>
      <c r="N862" s="17"/>
      <c r="O862" s="61"/>
      <c r="P862" s="16"/>
      <c r="Q862" s="16"/>
      <c r="R862" s="16"/>
      <c r="S862" s="16"/>
      <c r="T862" s="16"/>
      <c r="U862" s="17"/>
      <c r="Y862" s="24"/>
      <c r="Z862" s="61"/>
      <c r="AA862" s="16"/>
      <c r="AB862" s="16"/>
      <c r="AC862" s="16"/>
      <c r="AD862" s="16"/>
      <c r="AE862" s="16"/>
      <c r="AF862" s="17"/>
      <c r="AJ862" s="24"/>
      <c r="AK862" s="61"/>
      <c r="AL862" s="16"/>
      <c r="AM862" s="16"/>
      <c r="AN862" s="16"/>
      <c r="AO862" s="16"/>
      <c r="AP862" s="16"/>
      <c r="AQ862" s="17"/>
      <c r="AU862" s="24"/>
      <c r="AV862" s="61"/>
      <c r="AW862" s="16"/>
      <c r="AX862" s="16"/>
      <c r="AY862" s="16"/>
      <c r="AZ862" s="16"/>
      <c r="BA862" s="16"/>
      <c r="BB862" s="17"/>
      <c r="BF862" s="24"/>
      <c r="BG862" s="61"/>
      <c r="BH862" s="16"/>
      <c r="BI862" s="16"/>
      <c r="BJ862" s="16"/>
      <c r="BK862" s="16"/>
      <c r="BL862" s="16"/>
      <c r="BM862" s="17"/>
      <c r="BQ862" s="24"/>
      <c r="BR862" s="61"/>
      <c r="BS862" s="16"/>
      <c r="BT862" s="16"/>
      <c r="BU862" s="16"/>
      <c r="BV862" s="16"/>
      <c r="BW862" s="16"/>
      <c r="BX862" s="17"/>
      <c r="CB862" s="24"/>
      <c r="CC862" s="61"/>
      <c r="CD862" s="16"/>
      <c r="CE862" s="16"/>
      <c r="CF862" s="16"/>
      <c r="CG862" s="16"/>
      <c r="CH862" s="16"/>
      <c r="CI862" s="17"/>
      <c r="CM862" s="24"/>
      <c r="CN862" s="61"/>
      <c r="CO862" s="16"/>
      <c r="CP862" s="16"/>
      <c r="CQ862" s="16"/>
      <c r="CR862" s="16"/>
      <c r="CS862" s="16"/>
      <c r="CT862" s="17"/>
      <c r="CX862" s="24"/>
      <c r="CY862" s="60"/>
      <c r="CZ862" s="16"/>
      <c r="DA862" s="16"/>
      <c r="DB862" s="16"/>
      <c r="DC862" s="16"/>
      <c r="DD862" s="16"/>
      <c r="DE862" s="17"/>
      <c r="DI862" s="24"/>
      <c r="DJ862" s="60"/>
      <c r="DK862" s="16"/>
      <c r="DL862" s="16"/>
      <c r="DM862" s="16"/>
      <c r="DN862" s="16"/>
      <c r="DO862" s="16"/>
      <c r="DP862" s="17"/>
      <c r="DT862" s="24"/>
      <c r="DU862" s="60"/>
      <c r="DV862" s="16"/>
      <c r="DW862" s="16"/>
      <c r="DX862" s="16"/>
      <c r="DY862" s="16"/>
      <c r="DZ862" s="16"/>
      <c r="EA862" s="17"/>
      <c r="EE862" s="24"/>
      <c r="EF862" s="60"/>
      <c r="EG862" s="16"/>
      <c r="EH862" s="16"/>
      <c r="EI862" s="16"/>
      <c r="EJ862" s="16"/>
      <c r="EK862" s="16"/>
      <c r="EL862" s="17"/>
      <c r="EP862" s="24"/>
      <c r="EQ862" s="60"/>
      <c r="ER862" s="16"/>
      <c r="ES862" s="16"/>
      <c r="ET862" s="16"/>
      <c r="EU862" s="16"/>
      <c r="EV862" s="16"/>
      <c r="EW862" s="17"/>
      <c r="FA862" s="24"/>
      <c r="FB862" s="60"/>
      <c r="FC862" s="16"/>
      <c r="FD862" s="16"/>
      <c r="FE862" s="16"/>
      <c r="FF862" s="16"/>
      <c r="FG862" s="16"/>
      <c r="FH862" s="17"/>
      <c r="FL862" s="24"/>
      <c r="FM862" s="60"/>
      <c r="FN862" s="16"/>
      <c r="FO862" s="16"/>
      <c r="FP862" s="16"/>
      <c r="FQ862" s="16"/>
      <c r="FR862" s="16"/>
      <c r="FS862" s="17"/>
      <c r="FW862" s="24"/>
      <c r="FX862" s="60"/>
      <c r="FY862" s="16"/>
      <c r="FZ862" s="16"/>
      <c r="GA862" s="16"/>
      <c r="GB862" s="16"/>
      <c r="GC862" s="16"/>
      <c r="GD862" s="17"/>
      <c r="GH862" s="24"/>
      <c r="GI862" s="60"/>
      <c r="GJ862" s="16"/>
      <c r="GK862" s="16"/>
      <c r="GL862" s="16"/>
      <c r="GM862" s="16"/>
      <c r="GN862" s="16"/>
      <c r="GO862" s="17"/>
      <c r="GS862" s="24"/>
      <c r="GT862" s="60"/>
      <c r="GU862" s="16"/>
      <c r="GV862" s="16"/>
      <c r="GW862" s="16"/>
      <c r="GX862" s="16"/>
      <c r="GY862" s="16"/>
      <c r="GZ862" s="17"/>
      <c r="HD862" s="24"/>
      <c r="HE862" s="60"/>
      <c r="HF862" s="16"/>
      <c r="HG862" s="16"/>
      <c r="HH862" s="16"/>
      <c r="HI862" s="16"/>
      <c r="HJ862" s="16"/>
      <c r="HK862" s="17"/>
      <c r="HO862" s="24"/>
      <c r="HP862" s="60"/>
      <c r="HQ862" s="16"/>
      <c r="HR862" s="16"/>
      <c r="HS862" s="16"/>
      <c r="HT862" s="16"/>
      <c r="HU862" s="16"/>
      <c r="HV862" s="17"/>
      <c r="HZ862" s="24"/>
      <c r="IA862" s="60"/>
      <c r="IB862" s="16"/>
      <c r="IC862" s="16"/>
      <c r="ID862" s="16"/>
      <c r="IE862" s="16"/>
      <c r="IF862" s="16"/>
      <c r="IG862" s="17"/>
      <c r="IK862" s="24"/>
      <c r="IL862" s="60"/>
      <c r="IM862" s="16"/>
      <c r="IN862" s="16"/>
      <c r="IO862" s="16"/>
      <c r="IP862" s="16"/>
      <c r="IQ862" s="16"/>
      <c r="IR862" s="17"/>
      <c r="IV862" s="24"/>
      <c r="IW862" s="60"/>
      <c r="IX862" s="16"/>
      <c r="IY862" s="16"/>
      <c r="IZ862" s="16"/>
      <c r="JA862" s="16"/>
      <c r="JB862" s="16"/>
      <c r="JC862" s="17"/>
      <c r="JG862" s="24"/>
      <c r="JH862" s="60"/>
      <c r="JI862" s="16"/>
      <c r="JJ862" s="16"/>
      <c r="JK862" s="16"/>
      <c r="JL862" s="16"/>
      <c r="JM862" s="16"/>
      <c r="JN862" s="17"/>
      <c r="JR862" s="24"/>
      <c r="JS862" s="60"/>
      <c r="JT862" s="16"/>
      <c r="JU862" s="16"/>
      <c r="JV862" s="16"/>
      <c r="JW862" s="16"/>
      <c r="JX862" s="16"/>
      <c r="JY862" s="17"/>
      <c r="KC862" s="24"/>
      <c r="KD862" s="60"/>
      <c r="KE862" s="16"/>
      <c r="KF862" s="16"/>
      <c r="KG862" s="16"/>
      <c r="KH862" s="16"/>
      <c r="KI862" s="16"/>
      <c r="KJ862" s="17"/>
      <c r="KN862" s="24"/>
      <c r="KO862" s="60"/>
      <c r="KP862" s="16"/>
      <c r="KQ862" s="16"/>
      <c r="KR862" s="16"/>
      <c r="KS862" s="16"/>
      <c r="KT862" s="16"/>
      <c r="KU862" s="17"/>
      <c r="KY862" s="24"/>
      <c r="KZ862" s="60"/>
      <c r="LA862" s="16"/>
      <c r="LB862" s="16"/>
      <c r="LC862" s="16"/>
      <c r="LD862" s="16"/>
      <c r="LE862" s="16"/>
      <c r="LF862" s="17"/>
      <c r="LJ862" s="24"/>
      <c r="LK862" s="60"/>
      <c r="LL862" s="16"/>
      <c r="LM862" s="16"/>
      <c r="LN862" s="16"/>
      <c r="LO862" s="16"/>
      <c r="LP862" s="16"/>
      <c r="LQ862" s="17"/>
    </row>
    <row r="863">
      <c r="C863" s="31"/>
      <c r="D863" s="61"/>
      <c r="E863" s="16"/>
      <c r="F863" s="16"/>
      <c r="G863" s="21"/>
      <c r="H863" s="16"/>
      <c r="I863" s="16"/>
      <c r="J863" s="17"/>
      <c r="N863" s="17"/>
      <c r="O863" s="61"/>
      <c r="P863" s="16"/>
      <c r="Q863" s="16"/>
      <c r="R863" s="16"/>
      <c r="S863" s="16"/>
      <c r="T863" s="16"/>
      <c r="U863" s="17"/>
      <c r="Y863" s="24"/>
      <c r="Z863" s="61"/>
      <c r="AA863" s="16"/>
      <c r="AB863" s="16"/>
      <c r="AC863" s="16"/>
      <c r="AD863" s="16"/>
      <c r="AE863" s="16"/>
      <c r="AF863" s="17"/>
      <c r="AJ863" s="24"/>
      <c r="AK863" s="61"/>
      <c r="AL863" s="16"/>
      <c r="AM863" s="16"/>
      <c r="AN863" s="16"/>
      <c r="AO863" s="16"/>
      <c r="AP863" s="16"/>
      <c r="AQ863" s="17"/>
      <c r="AU863" s="24"/>
      <c r="AV863" s="61"/>
      <c r="AW863" s="16"/>
      <c r="AX863" s="16"/>
      <c r="AY863" s="16"/>
      <c r="AZ863" s="16"/>
      <c r="BA863" s="16"/>
      <c r="BB863" s="17"/>
      <c r="BF863" s="24"/>
      <c r="BG863" s="61"/>
      <c r="BH863" s="16"/>
      <c r="BI863" s="16"/>
      <c r="BJ863" s="16"/>
      <c r="BK863" s="16"/>
      <c r="BL863" s="16"/>
      <c r="BM863" s="17"/>
      <c r="BQ863" s="24"/>
      <c r="BR863" s="61"/>
      <c r="BS863" s="16"/>
      <c r="BT863" s="16"/>
      <c r="BU863" s="16"/>
      <c r="BV863" s="16"/>
      <c r="BW863" s="16"/>
      <c r="BX863" s="17"/>
      <c r="CB863" s="24"/>
      <c r="CC863" s="61"/>
      <c r="CD863" s="16"/>
      <c r="CE863" s="16"/>
      <c r="CF863" s="16"/>
      <c r="CG863" s="16"/>
      <c r="CH863" s="16"/>
      <c r="CI863" s="17"/>
      <c r="CM863" s="24"/>
      <c r="CN863" s="61"/>
      <c r="CO863" s="16"/>
      <c r="CP863" s="16"/>
      <c r="CQ863" s="16"/>
      <c r="CR863" s="16"/>
      <c r="CS863" s="16"/>
      <c r="CT863" s="17"/>
      <c r="CX863" s="24"/>
      <c r="CY863" s="60"/>
      <c r="CZ863" s="16"/>
      <c r="DA863" s="16"/>
      <c r="DB863" s="16"/>
      <c r="DC863" s="16"/>
      <c r="DD863" s="16"/>
      <c r="DE863" s="17"/>
      <c r="DI863" s="24"/>
      <c r="DJ863" s="60"/>
      <c r="DK863" s="16"/>
      <c r="DL863" s="16"/>
      <c r="DM863" s="16"/>
      <c r="DN863" s="16"/>
      <c r="DO863" s="16"/>
      <c r="DP863" s="17"/>
      <c r="DT863" s="24"/>
      <c r="DU863" s="60"/>
      <c r="DV863" s="16"/>
      <c r="DW863" s="16"/>
      <c r="DX863" s="16"/>
      <c r="DY863" s="16"/>
      <c r="DZ863" s="16"/>
      <c r="EA863" s="17"/>
      <c r="EE863" s="24"/>
      <c r="EF863" s="60"/>
      <c r="EG863" s="16"/>
      <c r="EH863" s="16"/>
      <c r="EI863" s="16"/>
      <c r="EJ863" s="16"/>
      <c r="EK863" s="16"/>
      <c r="EL863" s="17"/>
      <c r="EP863" s="24"/>
      <c r="EQ863" s="60"/>
      <c r="ER863" s="16"/>
      <c r="ES863" s="16"/>
      <c r="ET863" s="16"/>
      <c r="EU863" s="16"/>
      <c r="EV863" s="16"/>
      <c r="EW863" s="17"/>
      <c r="FA863" s="24"/>
      <c r="FB863" s="60"/>
      <c r="FC863" s="16"/>
      <c r="FD863" s="16"/>
      <c r="FE863" s="16"/>
      <c r="FF863" s="16"/>
      <c r="FG863" s="16"/>
      <c r="FH863" s="17"/>
      <c r="FL863" s="24"/>
      <c r="FM863" s="60"/>
      <c r="FN863" s="16"/>
      <c r="FO863" s="16"/>
      <c r="FP863" s="16"/>
      <c r="FQ863" s="16"/>
      <c r="FR863" s="16"/>
      <c r="FS863" s="17"/>
      <c r="FW863" s="24"/>
      <c r="FX863" s="60"/>
      <c r="FY863" s="16"/>
      <c r="FZ863" s="16"/>
      <c r="GA863" s="16"/>
      <c r="GB863" s="16"/>
      <c r="GC863" s="16"/>
      <c r="GD863" s="17"/>
      <c r="GH863" s="24"/>
      <c r="GI863" s="60"/>
      <c r="GJ863" s="16"/>
      <c r="GK863" s="16"/>
      <c r="GL863" s="16"/>
      <c r="GM863" s="16"/>
      <c r="GN863" s="16"/>
      <c r="GO863" s="17"/>
      <c r="GS863" s="24"/>
      <c r="GT863" s="60"/>
      <c r="GU863" s="16"/>
      <c r="GV863" s="16"/>
      <c r="GW863" s="16"/>
      <c r="GX863" s="16"/>
      <c r="GY863" s="16"/>
      <c r="GZ863" s="17"/>
      <c r="HD863" s="24"/>
      <c r="HE863" s="60"/>
      <c r="HF863" s="16"/>
      <c r="HG863" s="16"/>
      <c r="HH863" s="16"/>
      <c r="HI863" s="16"/>
      <c r="HJ863" s="16"/>
      <c r="HK863" s="17"/>
      <c r="HO863" s="24"/>
      <c r="HP863" s="60"/>
      <c r="HQ863" s="16"/>
      <c r="HR863" s="16"/>
      <c r="HS863" s="16"/>
      <c r="HT863" s="16"/>
      <c r="HU863" s="16"/>
      <c r="HV863" s="17"/>
      <c r="HZ863" s="24"/>
      <c r="IA863" s="60"/>
      <c r="IB863" s="16"/>
      <c r="IC863" s="16"/>
      <c r="ID863" s="16"/>
      <c r="IE863" s="16"/>
      <c r="IF863" s="16"/>
      <c r="IG863" s="17"/>
      <c r="IK863" s="24"/>
      <c r="IL863" s="60"/>
      <c r="IM863" s="16"/>
      <c r="IN863" s="16"/>
      <c r="IO863" s="16"/>
      <c r="IP863" s="16"/>
      <c r="IQ863" s="16"/>
      <c r="IR863" s="17"/>
      <c r="IV863" s="24"/>
      <c r="IW863" s="60"/>
      <c r="IX863" s="16"/>
      <c r="IY863" s="16"/>
      <c r="IZ863" s="16"/>
      <c r="JA863" s="16"/>
      <c r="JB863" s="16"/>
      <c r="JC863" s="17"/>
      <c r="JG863" s="24"/>
      <c r="JH863" s="60"/>
      <c r="JI863" s="16"/>
      <c r="JJ863" s="16"/>
      <c r="JK863" s="16"/>
      <c r="JL863" s="16"/>
      <c r="JM863" s="16"/>
      <c r="JN863" s="17"/>
      <c r="JR863" s="24"/>
      <c r="JS863" s="60"/>
      <c r="JT863" s="16"/>
      <c r="JU863" s="16"/>
      <c r="JV863" s="16"/>
      <c r="JW863" s="16"/>
      <c r="JX863" s="16"/>
      <c r="JY863" s="17"/>
      <c r="KC863" s="24"/>
      <c r="KD863" s="60"/>
      <c r="KE863" s="16"/>
      <c r="KF863" s="16"/>
      <c r="KG863" s="16"/>
      <c r="KH863" s="16"/>
      <c r="KI863" s="16"/>
      <c r="KJ863" s="17"/>
      <c r="KN863" s="24"/>
      <c r="KO863" s="60"/>
      <c r="KP863" s="16"/>
      <c r="KQ863" s="16"/>
      <c r="KR863" s="16"/>
      <c r="KS863" s="16"/>
      <c r="KT863" s="16"/>
      <c r="KU863" s="17"/>
      <c r="KY863" s="24"/>
      <c r="KZ863" s="60"/>
      <c r="LA863" s="16"/>
      <c r="LB863" s="16"/>
      <c r="LC863" s="16"/>
      <c r="LD863" s="16"/>
      <c r="LE863" s="16"/>
      <c r="LF863" s="17"/>
      <c r="LJ863" s="24"/>
      <c r="LK863" s="60"/>
      <c r="LL863" s="16"/>
      <c r="LM863" s="16"/>
      <c r="LN863" s="16"/>
      <c r="LO863" s="16"/>
      <c r="LP863" s="16"/>
      <c r="LQ863" s="17"/>
    </row>
    <row r="864">
      <c r="C864" s="31"/>
      <c r="D864" s="61"/>
      <c r="E864" s="16"/>
      <c r="F864" s="16"/>
      <c r="G864" s="21"/>
      <c r="H864" s="16"/>
      <c r="I864" s="16"/>
      <c r="J864" s="17"/>
      <c r="N864" s="17"/>
      <c r="O864" s="61"/>
      <c r="P864" s="16"/>
      <c r="Q864" s="16"/>
      <c r="R864" s="16"/>
      <c r="S864" s="16"/>
      <c r="T864" s="16"/>
      <c r="U864" s="17"/>
      <c r="Y864" s="24"/>
      <c r="Z864" s="61"/>
      <c r="AA864" s="16"/>
      <c r="AB864" s="16"/>
      <c r="AC864" s="16"/>
      <c r="AD864" s="16"/>
      <c r="AE864" s="16"/>
      <c r="AF864" s="17"/>
      <c r="AJ864" s="24"/>
      <c r="AK864" s="61"/>
      <c r="AL864" s="16"/>
      <c r="AM864" s="16"/>
      <c r="AN864" s="16"/>
      <c r="AO864" s="16"/>
      <c r="AP864" s="16"/>
      <c r="AQ864" s="17"/>
      <c r="AU864" s="24"/>
      <c r="AV864" s="61"/>
      <c r="AW864" s="16"/>
      <c r="AX864" s="16"/>
      <c r="AY864" s="16"/>
      <c r="AZ864" s="16"/>
      <c r="BA864" s="16"/>
      <c r="BB864" s="17"/>
      <c r="BF864" s="24"/>
      <c r="BG864" s="61"/>
      <c r="BH864" s="16"/>
      <c r="BI864" s="16"/>
      <c r="BJ864" s="16"/>
      <c r="BK864" s="16"/>
      <c r="BL864" s="16"/>
      <c r="BM864" s="17"/>
      <c r="BQ864" s="24"/>
      <c r="BR864" s="61"/>
      <c r="BS864" s="16"/>
      <c r="BT864" s="16"/>
      <c r="BU864" s="16"/>
      <c r="BV864" s="16"/>
      <c r="BW864" s="16"/>
      <c r="BX864" s="17"/>
      <c r="CB864" s="24"/>
      <c r="CC864" s="61"/>
      <c r="CD864" s="16"/>
      <c r="CE864" s="16"/>
      <c r="CF864" s="16"/>
      <c r="CG864" s="16"/>
      <c r="CH864" s="16"/>
      <c r="CI864" s="17"/>
      <c r="CM864" s="24"/>
      <c r="CN864" s="61"/>
      <c r="CO864" s="16"/>
      <c r="CP864" s="16"/>
      <c r="CQ864" s="16"/>
      <c r="CR864" s="16"/>
      <c r="CS864" s="16"/>
      <c r="CT864" s="17"/>
      <c r="CX864" s="24"/>
      <c r="CY864" s="60"/>
      <c r="CZ864" s="16"/>
      <c r="DA864" s="16"/>
      <c r="DB864" s="16"/>
      <c r="DC864" s="16"/>
      <c r="DD864" s="16"/>
      <c r="DE864" s="17"/>
      <c r="DI864" s="24"/>
      <c r="DJ864" s="60"/>
      <c r="DK864" s="16"/>
      <c r="DL864" s="16"/>
      <c r="DM864" s="16"/>
      <c r="DN864" s="16"/>
      <c r="DO864" s="16"/>
      <c r="DP864" s="17"/>
      <c r="DT864" s="24"/>
      <c r="DU864" s="60"/>
      <c r="DV864" s="16"/>
      <c r="DW864" s="16"/>
      <c r="DX864" s="16"/>
      <c r="DY864" s="16"/>
      <c r="DZ864" s="16"/>
      <c r="EA864" s="17"/>
      <c r="EE864" s="24"/>
      <c r="EF864" s="60"/>
      <c r="EG864" s="16"/>
      <c r="EH864" s="16"/>
      <c r="EI864" s="16"/>
      <c r="EJ864" s="16"/>
      <c r="EK864" s="16"/>
      <c r="EL864" s="17"/>
      <c r="EP864" s="24"/>
      <c r="EQ864" s="60"/>
      <c r="ER864" s="16"/>
      <c r="ES864" s="16"/>
      <c r="ET864" s="16"/>
      <c r="EU864" s="16"/>
      <c r="EV864" s="16"/>
      <c r="EW864" s="17"/>
      <c r="FA864" s="24"/>
      <c r="FB864" s="60"/>
      <c r="FC864" s="16"/>
      <c r="FD864" s="16"/>
      <c r="FE864" s="16"/>
      <c r="FF864" s="16"/>
      <c r="FG864" s="16"/>
      <c r="FH864" s="17"/>
      <c r="FL864" s="24"/>
      <c r="FM864" s="60"/>
      <c r="FN864" s="16"/>
      <c r="FO864" s="16"/>
      <c r="FP864" s="16"/>
      <c r="FQ864" s="16"/>
      <c r="FR864" s="16"/>
      <c r="FS864" s="17"/>
      <c r="FW864" s="24"/>
      <c r="FX864" s="60"/>
      <c r="FY864" s="16"/>
      <c r="FZ864" s="16"/>
      <c r="GA864" s="16"/>
      <c r="GB864" s="16"/>
      <c r="GC864" s="16"/>
      <c r="GD864" s="17"/>
      <c r="GH864" s="24"/>
      <c r="GI864" s="60"/>
      <c r="GJ864" s="16"/>
      <c r="GK864" s="16"/>
      <c r="GL864" s="16"/>
      <c r="GM864" s="16"/>
      <c r="GN864" s="16"/>
      <c r="GO864" s="17"/>
      <c r="GS864" s="24"/>
      <c r="GT864" s="60"/>
      <c r="GU864" s="16"/>
      <c r="GV864" s="16"/>
      <c r="GW864" s="16"/>
      <c r="GX864" s="16"/>
      <c r="GY864" s="16"/>
      <c r="GZ864" s="17"/>
      <c r="HD864" s="24"/>
      <c r="HE864" s="60"/>
      <c r="HF864" s="16"/>
      <c r="HG864" s="16"/>
      <c r="HH864" s="16"/>
      <c r="HI864" s="16"/>
      <c r="HJ864" s="16"/>
      <c r="HK864" s="17"/>
      <c r="HO864" s="24"/>
      <c r="HP864" s="60"/>
      <c r="HQ864" s="16"/>
      <c r="HR864" s="16"/>
      <c r="HS864" s="16"/>
      <c r="HT864" s="16"/>
      <c r="HU864" s="16"/>
      <c r="HV864" s="17"/>
      <c r="HZ864" s="24"/>
      <c r="IA864" s="60"/>
      <c r="IB864" s="16"/>
      <c r="IC864" s="16"/>
      <c r="ID864" s="16"/>
      <c r="IE864" s="16"/>
      <c r="IF864" s="16"/>
      <c r="IG864" s="17"/>
      <c r="IK864" s="24"/>
      <c r="IL864" s="60"/>
      <c r="IM864" s="16"/>
      <c r="IN864" s="16"/>
      <c r="IO864" s="16"/>
      <c r="IP864" s="16"/>
      <c r="IQ864" s="16"/>
      <c r="IR864" s="17"/>
      <c r="IV864" s="24"/>
      <c r="IW864" s="60"/>
      <c r="IX864" s="16"/>
      <c r="IY864" s="16"/>
      <c r="IZ864" s="16"/>
      <c r="JA864" s="16"/>
      <c r="JB864" s="16"/>
      <c r="JC864" s="17"/>
      <c r="JG864" s="24"/>
      <c r="JH864" s="60"/>
      <c r="JI864" s="16"/>
      <c r="JJ864" s="16"/>
      <c r="JK864" s="16"/>
      <c r="JL864" s="16"/>
      <c r="JM864" s="16"/>
      <c r="JN864" s="17"/>
      <c r="JR864" s="24"/>
      <c r="JS864" s="60"/>
      <c r="JT864" s="16"/>
      <c r="JU864" s="16"/>
      <c r="JV864" s="16"/>
      <c r="JW864" s="16"/>
      <c r="JX864" s="16"/>
      <c r="JY864" s="17"/>
      <c r="KC864" s="24"/>
      <c r="KD864" s="60"/>
      <c r="KE864" s="16"/>
      <c r="KF864" s="16"/>
      <c r="KG864" s="16"/>
      <c r="KH864" s="16"/>
      <c r="KI864" s="16"/>
      <c r="KJ864" s="17"/>
      <c r="KN864" s="24"/>
      <c r="KO864" s="60"/>
      <c r="KP864" s="16"/>
      <c r="KQ864" s="16"/>
      <c r="KR864" s="16"/>
      <c r="KS864" s="16"/>
      <c r="KT864" s="16"/>
      <c r="KU864" s="17"/>
      <c r="KY864" s="24"/>
      <c r="KZ864" s="60"/>
      <c r="LA864" s="16"/>
      <c r="LB864" s="16"/>
      <c r="LC864" s="16"/>
      <c r="LD864" s="16"/>
      <c r="LE864" s="16"/>
      <c r="LF864" s="17"/>
      <c r="LJ864" s="24"/>
      <c r="LK864" s="60"/>
      <c r="LL864" s="16"/>
      <c r="LM864" s="16"/>
      <c r="LN864" s="16"/>
      <c r="LO864" s="16"/>
      <c r="LP864" s="16"/>
      <c r="LQ864" s="17"/>
    </row>
    <row r="865">
      <c r="C865" s="31"/>
      <c r="D865" s="61"/>
      <c r="E865" s="16"/>
      <c r="F865" s="16"/>
      <c r="G865" s="21"/>
      <c r="H865" s="16"/>
      <c r="I865" s="16"/>
      <c r="J865" s="17"/>
      <c r="N865" s="17"/>
      <c r="O865" s="61"/>
      <c r="P865" s="16"/>
      <c r="Q865" s="16"/>
      <c r="R865" s="16"/>
      <c r="S865" s="16"/>
      <c r="T865" s="16"/>
      <c r="U865" s="17"/>
      <c r="Y865" s="24"/>
      <c r="Z865" s="61"/>
      <c r="AA865" s="16"/>
      <c r="AB865" s="16"/>
      <c r="AC865" s="16"/>
      <c r="AD865" s="16"/>
      <c r="AE865" s="16"/>
      <c r="AF865" s="17"/>
      <c r="AJ865" s="24"/>
      <c r="AK865" s="61"/>
      <c r="AL865" s="16"/>
      <c r="AM865" s="16"/>
      <c r="AN865" s="16"/>
      <c r="AO865" s="16"/>
      <c r="AP865" s="16"/>
      <c r="AQ865" s="17"/>
      <c r="AU865" s="24"/>
      <c r="AV865" s="61"/>
      <c r="AW865" s="16"/>
      <c r="AX865" s="16"/>
      <c r="AY865" s="16"/>
      <c r="AZ865" s="16"/>
      <c r="BA865" s="16"/>
      <c r="BB865" s="17"/>
      <c r="BF865" s="24"/>
      <c r="BG865" s="61"/>
      <c r="BH865" s="16"/>
      <c r="BI865" s="16"/>
      <c r="BJ865" s="16"/>
      <c r="BK865" s="16"/>
      <c r="BL865" s="16"/>
      <c r="BM865" s="17"/>
      <c r="BQ865" s="24"/>
      <c r="BR865" s="61"/>
      <c r="BS865" s="16"/>
      <c r="BT865" s="16"/>
      <c r="BU865" s="16"/>
      <c r="BV865" s="16"/>
      <c r="BW865" s="16"/>
      <c r="BX865" s="17"/>
      <c r="CB865" s="24"/>
      <c r="CC865" s="61"/>
      <c r="CD865" s="16"/>
      <c r="CE865" s="16"/>
      <c r="CF865" s="16"/>
      <c r="CG865" s="16"/>
      <c r="CH865" s="16"/>
      <c r="CI865" s="17"/>
      <c r="CM865" s="24"/>
      <c r="CN865" s="61"/>
      <c r="CO865" s="16"/>
      <c r="CP865" s="16"/>
      <c r="CQ865" s="16"/>
      <c r="CR865" s="16"/>
      <c r="CS865" s="16"/>
      <c r="CT865" s="17"/>
      <c r="CX865" s="24"/>
      <c r="CY865" s="60"/>
      <c r="CZ865" s="16"/>
      <c r="DA865" s="16"/>
      <c r="DB865" s="16"/>
      <c r="DC865" s="16"/>
      <c r="DD865" s="16"/>
      <c r="DE865" s="17"/>
      <c r="DI865" s="24"/>
      <c r="DJ865" s="60"/>
      <c r="DK865" s="16"/>
      <c r="DL865" s="16"/>
      <c r="DM865" s="16"/>
      <c r="DN865" s="16"/>
      <c r="DO865" s="16"/>
      <c r="DP865" s="17"/>
      <c r="DT865" s="24"/>
      <c r="DU865" s="60"/>
      <c r="DV865" s="16"/>
      <c r="DW865" s="16"/>
      <c r="DX865" s="16"/>
      <c r="DY865" s="16"/>
      <c r="DZ865" s="16"/>
      <c r="EA865" s="17"/>
      <c r="EE865" s="24"/>
      <c r="EF865" s="60"/>
      <c r="EG865" s="16"/>
      <c r="EH865" s="16"/>
      <c r="EI865" s="16"/>
      <c r="EJ865" s="16"/>
      <c r="EK865" s="16"/>
      <c r="EL865" s="17"/>
      <c r="EP865" s="24"/>
      <c r="EQ865" s="60"/>
      <c r="ER865" s="16"/>
      <c r="ES865" s="16"/>
      <c r="ET865" s="16"/>
      <c r="EU865" s="16"/>
      <c r="EV865" s="16"/>
      <c r="EW865" s="17"/>
      <c r="FA865" s="24"/>
      <c r="FB865" s="60"/>
      <c r="FC865" s="16"/>
      <c r="FD865" s="16"/>
      <c r="FE865" s="16"/>
      <c r="FF865" s="16"/>
      <c r="FG865" s="16"/>
      <c r="FH865" s="17"/>
      <c r="FL865" s="24"/>
      <c r="FM865" s="60"/>
      <c r="FN865" s="16"/>
      <c r="FO865" s="16"/>
      <c r="FP865" s="16"/>
      <c r="FQ865" s="16"/>
      <c r="FR865" s="16"/>
      <c r="FS865" s="17"/>
      <c r="FW865" s="24"/>
      <c r="FX865" s="60"/>
      <c r="FY865" s="16"/>
      <c r="FZ865" s="16"/>
      <c r="GA865" s="16"/>
      <c r="GB865" s="16"/>
      <c r="GC865" s="16"/>
      <c r="GD865" s="17"/>
      <c r="GH865" s="24"/>
      <c r="GI865" s="60"/>
      <c r="GJ865" s="16"/>
      <c r="GK865" s="16"/>
      <c r="GL865" s="16"/>
      <c r="GM865" s="16"/>
      <c r="GN865" s="16"/>
      <c r="GO865" s="17"/>
      <c r="GS865" s="24"/>
      <c r="GT865" s="60"/>
      <c r="GU865" s="16"/>
      <c r="GV865" s="16"/>
      <c r="GW865" s="16"/>
      <c r="GX865" s="16"/>
      <c r="GY865" s="16"/>
      <c r="GZ865" s="17"/>
      <c r="HD865" s="24"/>
      <c r="HE865" s="60"/>
      <c r="HF865" s="16"/>
      <c r="HG865" s="16"/>
      <c r="HH865" s="16"/>
      <c r="HI865" s="16"/>
      <c r="HJ865" s="16"/>
      <c r="HK865" s="17"/>
      <c r="HO865" s="24"/>
      <c r="HP865" s="60"/>
      <c r="HQ865" s="16"/>
      <c r="HR865" s="16"/>
      <c r="HS865" s="16"/>
      <c r="HT865" s="16"/>
      <c r="HU865" s="16"/>
      <c r="HV865" s="17"/>
      <c r="HZ865" s="24"/>
      <c r="IA865" s="60"/>
      <c r="IB865" s="16"/>
      <c r="IC865" s="16"/>
      <c r="ID865" s="16"/>
      <c r="IE865" s="16"/>
      <c r="IF865" s="16"/>
      <c r="IG865" s="17"/>
      <c r="IK865" s="24"/>
      <c r="IL865" s="60"/>
      <c r="IM865" s="16"/>
      <c r="IN865" s="16"/>
      <c r="IO865" s="16"/>
      <c r="IP865" s="16"/>
      <c r="IQ865" s="16"/>
      <c r="IR865" s="17"/>
      <c r="IV865" s="24"/>
      <c r="IW865" s="60"/>
      <c r="IX865" s="16"/>
      <c r="IY865" s="16"/>
      <c r="IZ865" s="16"/>
      <c r="JA865" s="16"/>
      <c r="JB865" s="16"/>
      <c r="JC865" s="17"/>
      <c r="JG865" s="24"/>
      <c r="JH865" s="60"/>
      <c r="JI865" s="16"/>
      <c r="JJ865" s="16"/>
      <c r="JK865" s="16"/>
      <c r="JL865" s="16"/>
      <c r="JM865" s="16"/>
      <c r="JN865" s="17"/>
      <c r="JR865" s="24"/>
      <c r="JS865" s="60"/>
      <c r="JT865" s="16"/>
      <c r="JU865" s="16"/>
      <c r="JV865" s="16"/>
      <c r="JW865" s="16"/>
      <c r="JX865" s="16"/>
      <c r="JY865" s="17"/>
      <c r="KC865" s="24"/>
      <c r="KD865" s="60"/>
      <c r="KE865" s="16"/>
      <c r="KF865" s="16"/>
      <c r="KG865" s="16"/>
      <c r="KH865" s="16"/>
      <c r="KI865" s="16"/>
      <c r="KJ865" s="17"/>
      <c r="KN865" s="24"/>
      <c r="KO865" s="60"/>
      <c r="KP865" s="16"/>
      <c r="KQ865" s="16"/>
      <c r="KR865" s="16"/>
      <c r="KS865" s="16"/>
      <c r="KT865" s="16"/>
      <c r="KU865" s="17"/>
      <c r="KY865" s="24"/>
      <c r="KZ865" s="60"/>
      <c r="LA865" s="16"/>
      <c r="LB865" s="16"/>
      <c r="LC865" s="16"/>
      <c r="LD865" s="16"/>
      <c r="LE865" s="16"/>
      <c r="LF865" s="17"/>
      <c r="LJ865" s="24"/>
      <c r="LK865" s="60"/>
      <c r="LL865" s="16"/>
      <c r="LM865" s="16"/>
      <c r="LN865" s="16"/>
      <c r="LO865" s="16"/>
      <c r="LP865" s="16"/>
      <c r="LQ865" s="17"/>
    </row>
    <row r="866">
      <c r="C866" s="31"/>
      <c r="D866" s="61"/>
      <c r="E866" s="16"/>
      <c r="F866" s="16"/>
      <c r="G866" s="21"/>
      <c r="H866" s="16"/>
      <c r="I866" s="16"/>
      <c r="J866" s="17"/>
      <c r="N866" s="17"/>
      <c r="O866" s="61"/>
      <c r="P866" s="16"/>
      <c r="Q866" s="16"/>
      <c r="R866" s="16"/>
      <c r="S866" s="16"/>
      <c r="T866" s="16"/>
      <c r="U866" s="17"/>
      <c r="Y866" s="24"/>
      <c r="Z866" s="61"/>
      <c r="AA866" s="16"/>
      <c r="AB866" s="16"/>
      <c r="AC866" s="16"/>
      <c r="AD866" s="16"/>
      <c r="AE866" s="16"/>
      <c r="AF866" s="17"/>
      <c r="AJ866" s="24"/>
      <c r="AK866" s="61"/>
      <c r="AL866" s="16"/>
      <c r="AM866" s="16"/>
      <c r="AN866" s="16"/>
      <c r="AO866" s="16"/>
      <c r="AP866" s="16"/>
      <c r="AQ866" s="17"/>
      <c r="AU866" s="24"/>
      <c r="AV866" s="61"/>
      <c r="AW866" s="16"/>
      <c r="AX866" s="16"/>
      <c r="AY866" s="16"/>
      <c r="AZ866" s="16"/>
      <c r="BA866" s="16"/>
      <c r="BB866" s="17"/>
      <c r="BF866" s="24"/>
      <c r="BG866" s="61"/>
      <c r="BH866" s="16"/>
      <c r="BI866" s="16"/>
      <c r="BJ866" s="16"/>
      <c r="BK866" s="16"/>
      <c r="BL866" s="16"/>
      <c r="BM866" s="17"/>
      <c r="BQ866" s="24"/>
      <c r="BR866" s="61"/>
      <c r="BS866" s="16"/>
      <c r="BT866" s="16"/>
      <c r="BU866" s="16"/>
      <c r="BV866" s="16"/>
      <c r="BW866" s="16"/>
      <c r="BX866" s="17"/>
      <c r="CB866" s="24"/>
      <c r="CC866" s="61"/>
      <c r="CD866" s="16"/>
      <c r="CE866" s="16"/>
      <c r="CF866" s="16"/>
      <c r="CG866" s="16"/>
      <c r="CH866" s="16"/>
      <c r="CI866" s="17"/>
      <c r="CM866" s="24"/>
      <c r="CN866" s="61"/>
      <c r="CO866" s="16"/>
      <c r="CP866" s="16"/>
      <c r="CQ866" s="16"/>
      <c r="CR866" s="16"/>
      <c r="CS866" s="16"/>
      <c r="CT866" s="17"/>
      <c r="CX866" s="24"/>
      <c r="CY866" s="60"/>
      <c r="CZ866" s="16"/>
      <c r="DA866" s="16"/>
      <c r="DB866" s="16"/>
      <c r="DC866" s="16"/>
      <c r="DD866" s="16"/>
      <c r="DE866" s="17"/>
      <c r="DI866" s="24"/>
      <c r="DJ866" s="60"/>
      <c r="DK866" s="16"/>
      <c r="DL866" s="16"/>
      <c r="DM866" s="16"/>
      <c r="DN866" s="16"/>
      <c r="DO866" s="16"/>
      <c r="DP866" s="17"/>
      <c r="DT866" s="24"/>
      <c r="DU866" s="60"/>
      <c r="DV866" s="16"/>
      <c r="DW866" s="16"/>
      <c r="DX866" s="16"/>
      <c r="DY866" s="16"/>
      <c r="DZ866" s="16"/>
      <c r="EA866" s="17"/>
      <c r="EE866" s="24"/>
      <c r="EF866" s="60"/>
      <c r="EG866" s="16"/>
      <c r="EH866" s="16"/>
      <c r="EI866" s="16"/>
      <c r="EJ866" s="16"/>
      <c r="EK866" s="16"/>
      <c r="EL866" s="17"/>
      <c r="EP866" s="24"/>
      <c r="EQ866" s="60"/>
      <c r="ER866" s="16"/>
      <c r="ES866" s="16"/>
      <c r="ET866" s="16"/>
      <c r="EU866" s="16"/>
      <c r="EV866" s="16"/>
      <c r="EW866" s="17"/>
      <c r="FA866" s="24"/>
      <c r="FB866" s="60"/>
      <c r="FC866" s="16"/>
      <c r="FD866" s="16"/>
      <c r="FE866" s="16"/>
      <c r="FF866" s="16"/>
      <c r="FG866" s="16"/>
      <c r="FH866" s="17"/>
      <c r="FL866" s="24"/>
      <c r="FM866" s="60"/>
      <c r="FN866" s="16"/>
      <c r="FO866" s="16"/>
      <c r="FP866" s="16"/>
      <c r="FQ866" s="16"/>
      <c r="FR866" s="16"/>
      <c r="FS866" s="17"/>
      <c r="FW866" s="24"/>
      <c r="FX866" s="60"/>
      <c r="FY866" s="16"/>
      <c r="FZ866" s="16"/>
      <c r="GA866" s="16"/>
      <c r="GB866" s="16"/>
      <c r="GC866" s="16"/>
      <c r="GD866" s="17"/>
      <c r="GH866" s="24"/>
      <c r="GI866" s="60"/>
      <c r="GJ866" s="16"/>
      <c r="GK866" s="16"/>
      <c r="GL866" s="16"/>
      <c r="GM866" s="16"/>
      <c r="GN866" s="16"/>
      <c r="GO866" s="17"/>
      <c r="GS866" s="24"/>
      <c r="GT866" s="60"/>
      <c r="GU866" s="16"/>
      <c r="GV866" s="16"/>
      <c r="GW866" s="16"/>
      <c r="GX866" s="16"/>
      <c r="GY866" s="16"/>
      <c r="GZ866" s="17"/>
      <c r="HD866" s="24"/>
      <c r="HE866" s="60"/>
      <c r="HF866" s="16"/>
      <c r="HG866" s="16"/>
      <c r="HH866" s="16"/>
      <c r="HI866" s="16"/>
      <c r="HJ866" s="16"/>
      <c r="HK866" s="17"/>
      <c r="HO866" s="24"/>
      <c r="HP866" s="60"/>
      <c r="HQ866" s="16"/>
      <c r="HR866" s="16"/>
      <c r="HS866" s="16"/>
      <c r="HT866" s="16"/>
      <c r="HU866" s="16"/>
      <c r="HV866" s="17"/>
      <c r="HZ866" s="24"/>
      <c r="IA866" s="60"/>
      <c r="IB866" s="16"/>
      <c r="IC866" s="16"/>
      <c r="ID866" s="16"/>
      <c r="IE866" s="16"/>
      <c r="IF866" s="16"/>
      <c r="IG866" s="17"/>
      <c r="IK866" s="24"/>
      <c r="IL866" s="60"/>
      <c r="IM866" s="16"/>
      <c r="IN866" s="16"/>
      <c r="IO866" s="16"/>
      <c r="IP866" s="16"/>
      <c r="IQ866" s="16"/>
      <c r="IR866" s="17"/>
      <c r="IV866" s="24"/>
      <c r="IW866" s="60"/>
      <c r="IX866" s="16"/>
      <c r="IY866" s="16"/>
      <c r="IZ866" s="16"/>
      <c r="JA866" s="16"/>
      <c r="JB866" s="16"/>
      <c r="JC866" s="17"/>
      <c r="JG866" s="24"/>
      <c r="JH866" s="60"/>
      <c r="JI866" s="16"/>
      <c r="JJ866" s="16"/>
      <c r="JK866" s="16"/>
      <c r="JL866" s="16"/>
      <c r="JM866" s="16"/>
      <c r="JN866" s="17"/>
      <c r="JR866" s="24"/>
      <c r="JS866" s="60"/>
      <c r="JT866" s="16"/>
      <c r="JU866" s="16"/>
      <c r="JV866" s="16"/>
      <c r="JW866" s="16"/>
      <c r="JX866" s="16"/>
      <c r="JY866" s="17"/>
      <c r="KC866" s="24"/>
      <c r="KD866" s="60"/>
      <c r="KE866" s="16"/>
      <c r="KF866" s="16"/>
      <c r="KG866" s="16"/>
      <c r="KH866" s="16"/>
      <c r="KI866" s="16"/>
      <c r="KJ866" s="17"/>
      <c r="KN866" s="24"/>
      <c r="KO866" s="60"/>
      <c r="KP866" s="16"/>
      <c r="KQ866" s="16"/>
      <c r="KR866" s="16"/>
      <c r="KS866" s="16"/>
      <c r="KT866" s="16"/>
      <c r="KU866" s="17"/>
      <c r="KY866" s="24"/>
      <c r="KZ866" s="60"/>
      <c r="LA866" s="16"/>
      <c r="LB866" s="16"/>
      <c r="LC866" s="16"/>
      <c r="LD866" s="16"/>
      <c r="LE866" s="16"/>
      <c r="LF866" s="17"/>
      <c r="LJ866" s="24"/>
      <c r="LK866" s="60"/>
      <c r="LL866" s="16"/>
      <c r="LM866" s="16"/>
      <c r="LN866" s="16"/>
      <c r="LO866" s="16"/>
      <c r="LP866" s="16"/>
      <c r="LQ866" s="17"/>
    </row>
    <row r="867">
      <c r="C867" s="31"/>
      <c r="D867" s="61"/>
      <c r="E867" s="16"/>
      <c r="F867" s="16"/>
      <c r="G867" s="21"/>
      <c r="H867" s="16"/>
      <c r="I867" s="16"/>
      <c r="J867" s="17"/>
      <c r="N867" s="17"/>
      <c r="O867" s="61"/>
      <c r="P867" s="16"/>
      <c r="Q867" s="16"/>
      <c r="R867" s="16"/>
      <c r="S867" s="16"/>
      <c r="T867" s="16"/>
      <c r="U867" s="17"/>
      <c r="Y867" s="24"/>
      <c r="Z867" s="61"/>
      <c r="AA867" s="16"/>
      <c r="AB867" s="16"/>
      <c r="AC867" s="16"/>
      <c r="AD867" s="16"/>
      <c r="AE867" s="16"/>
      <c r="AF867" s="17"/>
      <c r="AJ867" s="24"/>
      <c r="AK867" s="61"/>
      <c r="AL867" s="16"/>
      <c r="AM867" s="16"/>
      <c r="AN867" s="16"/>
      <c r="AO867" s="16"/>
      <c r="AP867" s="16"/>
      <c r="AQ867" s="17"/>
      <c r="AU867" s="24"/>
      <c r="AV867" s="61"/>
      <c r="AW867" s="16"/>
      <c r="AX867" s="16"/>
      <c r="AY867" s="16"/>
      <c r="AZ867" s="16"/>
      <c r="BA867" s="16"/>
      <c r="BB867" s="17"/>
      <c r="BF867" s="24"/>
      <c r="BG867" s="61"/>
      <c r="BH867" s="16"/>
      <c r="BI867" s="16"/>
      <c r="BJ867" s="16"/>
      <c r="BK867" s="16"/>
      <c r="BL867" s="16"/>
      <c r="BM867" s="17"/>
      <c r="BQ867" s="24"/>
      <c r="BR867" s="61"/>
      <c r="BS867" s="16"/>
      <c r="BT867" s="16"/>
      <c r="BU867" s="16"/>
      <c r="BV867" s="16"/>
      <c r="BW867" s="16"/>
      <c r="BX867" s="17"/>
      <c r="CB867" s="24"/>
      <c r="CC867" s="61"/>
      <c r="CD867" s="16"/>
      <c r="CE867" s="16"/>
      <c r="CF867" s="16"/>
      <c r="CG867" s="16"/>
      <c r="CH867" s="16"/>
      <c r="CI867" s="17"/>
      <c r="CM867" s="24"/>
      <c r="CN867" s="61"/>
      <c r="CO867" s="16"/>
      <c r="CP867" s="16"/>
      <c r="CQ867" s="16"/>
      <c r="CR867" s="16"/>
      <c r="CS867" s="16"/>
      <c r="CT867" s="17"/>
      <c r="CX867" s="24"/>
      <c r="CY867" s="60"/>
      <c r="CZ867" s="16"/>
      <c r="DA867" s="16"/>
      <c r="DB867" s="16"/>
      <c r="DC867" s="16"/>
      <c r="DD867" s="16"/>
      <c r="DE867" s="17"/>
      <c r="DI867" s="24"/>
      <c r="DJ867" s="60"/>
      <c r="DK867" s="16"/>
      <c r="DL867" s="16"/>
      <c r="DM867" s="16"/>
      <c r="DN867" s="16"/>
      <c r="DO867" s="16"/>
      <c r="DP867" s="17"/>
      <c r="DT867" s="24"/>
      <c r="DU867" s="60"/>
      <c r="DV867" s="16"/>
      <c r="DW867" s="16"/>
      <c r="DX867" s="16"/>
      <c r="DY867" s="16"/>
      <c r="DZ867" s="16"/>
      <c r="EA867" s="17"/>
      <c r="EE867" s="24"/>
      <c r="EF867" s="60"/>
      <c r="EG867" s="16"/>
      <c r="EH867" s="16"/>
      <c r="EI867" s="16"/>
      <c r="EJ867" s="16"/>
      <c r="EK867" s="16"/>
      <c r="EL867" s="17"/>
      <c r="EP867" s="24"/>
      <c r="EQ867" s="60"/>
      <c r="ER867" s="16"/>
      <c r="ES867" s="16"/>
      <c r="ET867" s="16"/>
      <c r="EU867" s="16"/>
      <c r="EV867" s="16"/>
      <c r="EW867" s="17"/>
      <c r="FA867" s="24"/>
      <c r="FB867" s="60"/>
      <c r="FC867" s="16"/>
      <c r="FD867" s="16"/>
      <c r="FE867" s="16"/>
      <c r="FF867" s="16"/>
      <c r="FG867" s="16"/>
      <c r="FH867" s="17"/>
      <c r="FL867" s="24"/>
      <c r="FM867" s="60"/>
      <c r="FN867" s="16"/>
      <c r="FO867" s="16"/>
      <c r="FP867" s="16"/>
      <c r="FQ867" s="16"/>
      <c r="FR867" s="16"/>
      <c r="FS867" s="17"/>
      <c r="FW867" s="24"/>
      <c r="FX867" s="60"/>
      <c r="FY867" s="16"/>
      <c r="FZ867" s="16"/>
      <c r="GA867" s="16"/>
      <c r="GB867" s="16"/>
      <c r="GC867" s="16"/>
      <c r="GD867" s="17"/>
      <c r="GH867" s="24"/>
      <c r="GI867" s="60"/>
      <c r="GJ867" s="16"/>
      <c r="GK867" s="16"/>
      <c r="GL867" s="16"/>
      <c r="GM867" s="16"/>
      <c r="GN867" s="16"/>
      <c r="GO867" s="17"/>
      <c r="GS867" s="24"/>
      <c r="GT867" s="60"/>
      <c r="GU867" s="16"/>
      <c r="GV867" s="16"/>
      <c r="GW867" s="16"/>
      <c r="GX867" s="16"/>
      <c r="GY867" s="16"/>
      <c r="GZ867" s="17"/>
      <c r="HD867" s="24"/>
      <c r="HE867" s="60"/>
      <c r="HF867" s="16"/>
      <c r="HG867" s="16"/>
      <c r="HH867" s="16"/>
      <c r="HI867" s="16"/>
      <c r="HJ867" s="16"/>
      <c r="HK867" s="17"/>
      <c r="HO867" s="24"/>
      <c r="HP867" s="60"/>
      <c r="HQ867" s="16"/>
      <c r="HR867" s="16"/>
      <c r="HS867" s="16"/>
      <c r="HT867" s="16"/>
      <c r="HU867" s="16"/>
      <c r="HV867" s="17"/>
      <c r="HZ867" s="24"/>
      <c r="IA867" s="60"/>
      <c r="IB867" s="16"/>
      <c r="IC867" s="16"/>
      <c r="ID867" s="16"/>
      <c r="IE867" s="16"/>
      <c r="IF867" s="16"/>
      <c r="IG867" s="17"/>
      <c r="IK867" s="24"/>
      <c r="IL867" s="60"/>
      <c r="IM867" s="16"/>
      <c r="IN867" s="16"/>
      <c r="IO867" s="16"/>
      <c r="IP867" s="16"/>
      <c r="IQ867" s="16"/>
      <c r="IR867" s="17"/>
      <c r="IV867" s="24"/>
      <c r="IW867" s="60"/>
      <c r="IX867" s="16"/>
      <c r="IY867" s="16"/>
      <c r="IZ867" s="16"/>
      <c r="JA867" s="16"/>
      <c r="JB867" s="16"/>
      <c r="JC867" s="17"/>
      <c r="JG867" s="24"/>
      <c r="JH867" s="60"/>
      <c r="JI867" s="16"/>
      <c r="JJ867" s="16"/>
      <c r="JK867" s="16"/>
      <c r="JL867" s="16"/>
      <c r="JM867" s="16"/>
      <c r="JN867" s="17"/>
      <c r="JR867" s="24"/>
      <c r="JS867" s="60"/>
      <c r="JT867" s="16"/>
      <c r="JU867" s="16"/>
      <c r="JV867" s="16"/>
      <c r="JW867" s="16"/>
      <c r="JX867" s="16"/>
      <c r="JY867" s="17"/>
      <c r="KC867" s="24"/>
      <c r="KD867" s="60"/>
      <c r="KE867" s="16"/>
      <c r="KF867" s="16"/>
      <c r="KG867" s="16"/>
      <c r="KH867" s="16"/>
      <c r="KI867" s="16"/>
      <c r="KJ867" s="17"/>
      <c r="KN867" s="24"/>
      <c r="KO867" s="60"/>
      <c r="KP867" s="16"/>
      <c r="KQ867" s="16"/>
      <c r="KR867" s="16"/>
      <c r="KS867" s="16"/>
      <c r="KT867" s="16"/>
      <c r="KU867" s="17"/>
      <c r="KY867" s="24"/>
      <c r="KZ867" s="60"/>
      <c r="LA867" s="16"/>
      <c r="LB867" s="16"/>
      <c r="LC867" s="16"/>
      <c r="LD867" s="16"/>
      <c r="LE867" s="16"/>
      <c r="LF867" s="17"/>
      <c r="LJ867" s="24"/>
      <c r="LK867" s="60"/>
      <c r="LL867" s="16"/>
      <c r="LM867" s="16"/>
      <c r="LN867" s="16"/>
      <c r="LO867" s="16"/>
      <c r="LP867" s="16"/>
      <c r="LQ867" s="17"/>
    </row>
    <row r="868">
      <c r="C868" s="31"/>
      <c r="D868" s="61"/>
      <c r="E868" s="16"/>
      <c r="F868" s="16"/>
      <c r="G868" s="21"/>
      <c r="H868" s="16"/>
      <c r="I868" s="16"/>
      <c r="J868" s="17"/>
      <c r="N868" s="17"/>
      <c r="O868" s="61"/>
      <c r="P868" s="16"/>
      <c r="Q868" s="16"/>
      <c r="R868" s="16"/>
      <c r="S868" s="16"/>
      <c r="T868" s="16"/>
      <c r="U868" s="17"/>
      <c r="Y868" s="24"/>
      <c r="Z868" s="61"/>
      <c r="AA868" s="16"/>
      <c r="AB868" s="16"/>
      <c r="AC868" s="16"/>
      <c r="AD868" s="16"/>
      <c r="AE868" s="16"/>
      <c r="AF868" s="17"/>
      <c r="AJ868" s="24"/>
      <c r="AK868" s="61"/>
      <c r="AL868" s="16"/>
      <c r="AM868" s="16"/>
      <c r="AN868" s="16"/>
      <c r="AO868" s="16"/>
      <c r="AP868" s="16"/>
      <c r="AQ868" s="17"/>
      <c r="AU868" s="24"/>
      <c r="AV868" s="61"/>
      <c r="AW868" s="16"/>
      <c r="AX868" s="16"/>
      <c r="AY868" s="16"/>
      <c r="AZ868" s="16"/>
      <c r="BA868" s="16"/>
      <c r="BB868" s="17"/>
      <c r="BF868" s="24"/>
      <c r="BG868" s="61"/>
      <c r="BH868" s="16"/>
      <c r="BI868" s="16"/>
      <c r="BJ868" s="16"/>
      <c r="BK868" s="16"/>
      <c r="BL868" s="16"/>
      <c r="BM868" s="17"/>
      <c r="BQ868" s="24"/>
      <c r="BR868" s="61"/>
      <c r="BS868" s="16"/>
      <c r="BT868" s="16"/>
      <c r="BU868" s="16"/>
      <c r="BV868" s="16"/>
      <c r="BW868" s="16"/>
      <c r="BX868" s="17"/>
      <c r="CB868" s="24"/>
      <c r="CC868" s="61"/>
      <c r="CD868" s="16"/>
      <c r="CE868" s="16"/>
      <c r="CF868" s="16"/>
      <c r="CG868" s="16"/>
      <c r="CH868" s="16"/>
      <c r="CI868" s="17"/>
      <c r="CM868" s="24"/>
      <c r="CN868" s="61"/>
      <c r="CO868" s="16"/>
      <c r="CP868" s="16"/>
      <c r="CQ868" s="16"/>
      <c r="CR868" s="16"/>
      <c r="CS868" s="16"/>
      <c r="CT868" s="17"/>
      <c r="CX868" s="24"/>
      <c r="CY868" s="60"/>
      <c r="CZ868" s="16"/>
      <c r="DA868" s="16"/>
      <c r="DB868" s="16"/>
      <c r="DC868" s="16"/>
      <c r="DD868" s="16"/>
      <c r="DE868" s="17"/>
      <c r="DI868" s="24"/>
      <c r="DJ868" s="60"/>
      <c r="DK868" s="16"/>
      <c r="DL868" s="16"/>
      <c r="DM868" s="16"/>
      <c r="DN868" s="16"/>
      <c r="DO868" s="16"/>
      <c r="DP868" s="17"/>
      <c r="DT868" s="24"/>
      <c r="DU868" s="60"/>
      <c r="DV868" s="16"/>
      <c r="DW868" s="16"/>
      <c r="DX868" s="16"/>
      <c r="DY868" s="16"/>
      <c r="DZ868" s="16"/>
      <c r="EA868" s="17"/>
      <c r="EE868" s="24"/>
      <c r="EF868" s="60"/>
      <c r="EG868" s="16"/>
      <c r="EH868" s="16"/>
      <c r="EI868" s="16"/>
      <c r="EJ868" s="16"/>
      <c r="EK868" s="16"/>
      <c r="EL868" s="17"/>
      <c r="EP868" s="24"/>
      <c r="EQ868" s="60"/>
      <c r="ER868" s="16"/>
      <c r="ES868" s="16"/>
      <c r="ET868" s="16"/>
      <c r="EU868" s="16"/>
      <c r="EV868" s="16"/>
      <c r="EW868" s="17"/>
      <c r="FA868" s="24"/>
      <c r="FB868" s="60"/>
      <c r="FC868" s="16"/>
      <c r="FD868" s="16"/>
      <c r="FE868" s="16"/>
      <c r="FF868" s="16"/>
      <c r="FG868" s="16"/>
      <c r="FH868" s="17"/>
      <c r="FL868" s="24"/>
      <c r="FM868" s="60"/>
      <c r="FN868" s="16"/>
      <c r="FO868" s="16"/>
      <c r="FP868" s="16"/>
      <c r="FQ868" s="16"/>
      <c r="FR868" s="16"/>
      <c r="FS868" s="17"/>
      <c r="FW868" s="24"/>
      <c r="FX868" s="60"/>
      <c r="FY868" s="16"/>
      <c r="FZ868" s="16"/>
      <c r="GA868" s="16"/>
      <c r="GB868" s="16"/>
      <c r="GC868" s="16"/>
      <c r="GD868" s="17"/>
      <c r="GH868" s="24"/>
      <c r="GI868" s="60"/>
      <c r="GJ868" s="16"/>
      <c r="GK868" s="16"/>
      <c r="GL868" s="16"/>
      <c r="GM868" s="16"/>
      <c r="GN868" s="16"/>
      <c r="GO868" s="17"/>
      <c r="GS868" s="24"/>
      <c r="GT868" s="60"/>
      <c r="GU868" s="16"/>
      <c r="GV868" s="16"/>
      <c r="GW868" s="16"/>
      <c r="GX868" s="16"/>
      <c r="GY868" s="16"/>
      <c r="GZ868" s="17"/>
      <c r="HD868" s="24"/>
      <c r="HE868" s="60"/>
      <c r="HF868" s="16"/>
      <c r="HG868" s="16"/>
      <c r="HH868" s="16"/>
      <c r="HI868" s="16"/>
      <c r="HJ868" s="16"/>
      <c r="HK868" s="17"/>
      <c r="HO868" s="24"/>
      <c r="HP868" s="60"/>
      <c r="HQ868" s="16"/>
      <c r="HR868" s="16"/>
      <c r="HS868" s="16"/>
      <c r="HT868" s="16"/>
      <c r="HU868" s="16"/>
      <c r="HV868" s="17"/>
      <c r="HZ868" s="24"/>
      <c r="IA868" s="60"/>
      <c r="IB868" s="16"/>
      <c r="IC868" s="16"/>
      <c r="ID868" s="16"/>
      <c r="IE868" s="16"/>
      <c r="IF868" s="16"/>
      <c r="IG868" s="17"/>
      <c r="IK868" s="24"/>
      <c r="IL868" s="60"/>
      <c r="IM868" s="16"/>
      <c r="IN868" s="16"/>
      <c r="IO868" s="16"/>
      <c r="IP868" s="16"/>
      <c r="IQ868" s="16"/>
      <c r="IR868" s="17"/>
      <c r="IV868" s="24"/>
      <c r="IW868" s="60"/>
      <c r="IX868" s="16"/>
      <c r="IY868" s="16"/>
      <c r="IZ868" s="16"/>
      <c r="JA868" s="16"/>
      <c r="JB868" s="16"/>
      <c r="JC868" s="17"/>
      <c r="JG868" s="24"/>
      <c r="JH868" s="60"/>
      <c r="JI868" s="16"/>
      <c r="JJ868" s="16"/>
      <c r="JK868" s="16"/>
      <c r="JL868" s="16"/>
      <c r="JM868" s="16"/>
      <c r="JN868" s="17"/>
      <c r="JR868" s="24"/>
      <c r="JS868" s="60"/>
      <c r="JT868" s="16"/>
      <c r="JU868" s="16"/>
      <c r="JV868" s="16"/>
      <c r="JW868" s="16"/>
      <c r="JX868" s="16"/>
      <c r="JY868" s="17"/>
      <c r="KC868" s="24"/>
      <c r="KD868" s="60"/>
      <c r="KE868" s="16"/>
      <c r="KF868" s="16"/>
      <c r="KG868" s="16"/>
      <c r="KH868" s="16"/>
      <c r="KI868" s="16"/>
      <c r="KJ868" s="17"/>
      <c r="KN868" s="24"/>
      <c r="KO868" s="60"/>
      <c r="KP868" s="16"/>
      <c r="KQ868" s="16"/>
      <c r="KR868" s="16"/>
      <c r="KS868" s="16"/>
      <c r="KT868" s="16"/>
      <c r="KU868" s="17"/>
      <c r="KY868" s="24"/>
      <c r="KZ868" s="60"/>
      <c r="LA868" s="16"/>
      <c r="LB868" s="16"/>
      <c r="LC868" s="16"/>
      <c r="LD868" s="16"/>
      <c r="LE868" s="16"/>
      <c r="LF868" s="17"/>
      <c r="LJ868" s="24"/>
      <c r="LK868" s="60"/>
      <c r="LL868" s="16"/>
      <c r="LM868" s="16"/>
      <c r="LN868" s="16"/>
      <c r="LO868" s="16"/>
      <c r="LP868" s="16"/>
      <c r="LQ868" s="17"/>
    </row>
    <row r="869">
      <c r="C869" s="31"/>
      <c r="D869" s="61"/>
      <c r="E869" s="16"/>
      <c r="F869" s="16"/>
      <c r="G869" s="21"/>
      <c r="H869" s="16"/>
      <c r="I869" s="16"/>
      <c r="J869" s="17"/>
      <c r="N869" s="17"/>
      <c r="O869" s="61"/>
      <c r="P869" s="16"/>
      <c r="Q869" s="16"/>
      <c r="R869" s="16"/>
      <c r="S869" s="16"/>
      <c r="T869" s="16"/>
      <c r="U869" s="17"/>
      <c r="Y869" s="24"/>
      <c r="Z869" s="61"/>
      <c r="AA869" s="16"/>
      <c r="AB869" s="16"/>
      <c r="AC869" s="16"/>
      <c r="AD869" s="16"/>
      <c r="AE869" s="16"/>
      <c r="AF869" s="17"/>
      <c r="AJ869" s="24"/>
      <c r="AK869" s="61"/>
      <c r="AL869" s="16"/>
      <c r="AM869" s="16"/>
      <c r="AN869" s="16"/>
      <c r="AO869" s="16"/>
      <c r="AP869" s="16"/>
      <c r="AQ869" s="17"/>
      <c r="AU869" s="24"/>
      <c r="AV869" s="61"/>
      <c r="AW869" s="16"/>
      <c r="AX869" s="16"/>
      <c r="AY869" s="16"/>
      <c r="AZ869" s="16"/>
      <c r="BA869" s="16"/>
      <c r="BB869" s="17"/>
      <c r="BF869" s="24"/>
      <c r="BG869" s="61"/>
      <c r="BH869" s="16"/>
      <c r="BI869" s="16"/>
      <c r="BJ869" s="16"/>
      <c r="BK869" s="16"/>
      <c r="BL869" s="16"/>
      <c r="BM869" s="17"/>
      <c r="BQ869" s="24"/>
      <c r="BR869" s="61"/>
      <c r="BS869" s="16"/>
      <c r="BT869" s="16"/>
      <c r="BU869" s="16"/>
      <c r="BV869" s="16"/>
      <c r="BW869" s="16"/>
      <c r="BX869" s="17"/>
      <c r="CB869" s="24"/>
      <c r="CC869" s="61"/>
      <c r="CD869" s="16"/>
      <c r="CE869" s="16"/>
      <c r="CF869" s="16"/>
      <c r="CG869" s="16"/>
      <c r="CH869" s="16"/>
      <c r="CI869" s="17"/>
      <c r="CM869" s="24"/>
      <c r="CN869" s="61"/>
      <c r="CO869" s="16"/>
      <c r="CP869" s="16"/>
      <c r="CQ869" s="16"/>
      <c r="CR869" s="16"/>
      <c r="CS869" s="16"/>
      <c r="CT869" s="17"/>
      <c r="CX869" s="24"/>
      <c r="CY869" s="60"/>
      <c r="CZ869" s="16"/>
      <c r="DA869" s="16"/>
      <c r="DB869" s="16"/>
      <c r="DC869" s="16"/>
      <c r="DD869" s="16"/>
      <c r="DE869" s="17"/>
      <c r="DI869" s="24"/>
      <c r="DJ869" s="60"/>
      <c r="DK869" s="16"/>
      <c r="DL869" s="16"/>
      <c r="DM869" s="16"/>
      <c r="DN869" s="16"/>
      <c r="DO869" s="16"/>
      <c r="DP869" s="17"/>
      <c r="DT869" s="24"/>
      <c r="DU869" s="60"/>
      <c r="DV869" s="16"/>
      <c r="DW869" s="16"/>
      <c r="DX869" s="16"/>
      <c r="DY869" s="16"/>
      <c r="DZ869" s="16"/>
      <c r="EA869" s="17"/>
      <c r="EE869" s="24"/>
      <c r="EF869" s="60"/>
      <c r="EG869" s="16"/>
      <c r="EH869" s="16"/>
      <c r="EI869" s="16"/>
      <c r="EJ869" s="16"/>
      <c r="EK869" s="16"/>
      <c r="EL869" s="17"/>
      <c r="EP869" s="24"/>
      <c r="EQ869" s="60"/>
      <c r="ER869" s="16"/>
      <c r="ES869" s="16"/>
      <c r="ET869" s="16"/>
      <c r="EU869" s="16"/>
      <c r="EV869" s="16"/>
      <c r="EW869" s="17"/>
      <c r="FA869" s="24"/>
      <c r="FB869" s="60"/>
      <c r="FC869" s="16"/>
      <c r="FD869" s="16"/>
      <c r="FE869" s="16"/>
      <c r="FF869" s="16"/>
      <c r="FG869" s="16"/>
      <c r="FH869" s="17"/>
      <c r="FL869" s="24"/>
      <c r="FM869" s="60"/>
      <c r="FN869" s="16"/>
      <c r="FO869" s="16"/>
      <c r="FP869" s="16"/>
      <c r="FQ869" s="16"/>
      <c r="FR869" s="16"/>
      <c r="FS869" s="17"/>
      <c r="FW869" s="24"/>
      <c r="FX869" s="60"/>
      <c r="FY869" s="16"/>
      <c r="FZ869" s="16"/>
      <c r="GA869" s="16"/>
      <c r="GB869" s="16"/>
      <c r="GC869" s="16"/>
      <c r="GD869" s="17"/>
      <c r="GH869" s="24"/>
      <c r="GI869" s="60"/>
      <c r="GJ869" s="16"/>
      <c r="GK869" s="16"/>
      <c r="GL869" s="16"/>
      <c r="GM869" s="16"/>
      <c r="GN869" s="16"/>
      <c r="GO869" s="17"/>
      <c r="GS869" s="24"/>
      <c r="GT869" s="60"/>
      <c r="GU869" s="16"/>
      <c r="GV869" s="16"/>
      <c r="GW869" s="16"/>
      <c r="GX869" s="16"/>
      <c r="GY869" s="16"/>
      <c r="GZ869" s="17"/>
      <c r="HD869" s="24"/>
      <c r="HE869" s="60"/>
      <c r="HF869" s="16"/>
      <c r="HG869" s="16"/>
      <c r="HH869" s="16"/>
      <c r="HI869" s="16"/>
      <c r="HJ869" s="16"/>
      <c r="HK869" s="17"/>
      <c r="HO869" s="24"/>
      <c r="HP869" s="60"/>
      <c r="HQ869" s="16"/>
      <c r="HR869" s="16"/>
      <c r="HS869" s="16"/>
      <c r="HT869" s="16"/>
      <c r="HU869" s="16"/>
      <c r="HV869" s="17"/>
      <c r="HZ869" s="24"/>
      <c r="IA869" s="60"/>
      <c r="IB869" s="16"/>
      <c r="IC869" s="16"/>
      <c r="ID869" s="16"/>
      <c r="IE869" s="16"/>
      <c r="IF869" s="16"/>
      <c r="IG869" s="17"/>
      <c r="IK869" s="24"/>
      <c r="IL869" s="60"/>
      <c r="IM869" s="16"/>
      <c r="IN869" s="16"/>
      <c r="IO869" s="16"/>
      <c r="IP869" s="16"/>
      <c r="IQ869" s="16"/>
      <c r="IR869" s="17"/>
      <c r="IV869" s="24"/>
      <c r="IW869" s="60"/>
      <c r="IX869" s="16"/>
      <c r="IY869" s="16"/>
      <c r="IZ869" s="16"/>
      <c r="JA869" s="16"/>
      <c r="JB869" s="16"/>
      <c r="JC869" s="17"/>
      <c r="JG869" s="24"/>
      <c r="JH869" s="60"/>
      <c r="JI869" s="16"/>
      <c r="JJ869" s="16"/>
      <c r="JK869" s="16"/>
      <c r="JL869" s="16"/>
      <c r="JM869" s="16"/>
      <c r="JN869" s="17"/>
      <c r="JR869" s="24"/>
      <c r="JS869" s="60"/>
      <c r="JT869" s="16"/>
      <c r="JU869" s="16"/>
      <c r="JV869" s="16"/>
      <c r="JW869" s="16"/>
      <c r="JX869" s="16"/>
      <c r="JY869" s="17"/>
      <c r="KC869" s="24"/>
      <c r="KD869" s="60"/>
      <c r="KE869" s="16"/>
      <c r="KF869" s="16"/>
      <c r="KG869" s="16"/>
      <c r="KH869" s="16"/>
      <c r="KI869" s="16"/>
      <c r="KJ869" s="17"/>
      <c r="KN869" s="24"/>
      <c r="KO869" s="60"/>
      <c r="KP869" s="16"/>
      <c r="KQ869" s="16"/>
      <c r="KR869" s="16"/>
      <c r="KS869" s="16"/>
      <c r="KT869" s="16"/>
      <c r="KU869" s="17"/>
      <c r="KY869" s="24"/>
      <c r="KZ869" s="60"/>
      <c r="LA869" s="16"/>
      <c r="LB869" s="16"/>
      <c r="LC869" s="16"/>
      <c r="LD869" s="16"/>
      <c r="LE869" s="16"/>
      <c r="LF869" s="17"/>
      <c r="LJ869" s="24"/>
      <c r="LK869" s="60"/>
      <c r="LL869" s="16"/>
      <c r="LM869" s="16"/>
      <c r="LN869" s="16"/>
      <c r="LO869" s="16"/>
      <c r="LP869" s="16"/>
      <c r="LQ869" s="17"/>
    </row>
    <row r="870">
      <c r="C870" s="31"/>
      <c r="D870" s="61"/>
      <c r="E870" s="16"/>
      <c r="F870" s="16"/>
      <c r="G870" s="21"/>
      <c r="H870" s="16"/>
      <c r="I870" s="16"/>
      <c r="J870" s="17"/>
      <c r="N870" s="17"/>
      <c r="O870" s="61"/>
      <c r="P870" s="16"/>
      <c r="Q870" s="16"/>
      <c r="R870" s="16"/>
      <c r="S870" s="16"/>
      <c r="T870" s="16"/>
      <c r="U870" s="17"/>
      <c r="Y870" s="24"/>
      <c r="Z870" s="61"/>
      <c r="AA870" s="16"/>
      <c r="AB870" s="16"/>
      <c r="AC870" s="16"/>
      <c r="AD870" s="16"/>
      <c r="AE870" s="16"/>
      <c r="AF870" s="17"/>
      <c r="AJ870" s="24"/>
      <c r="AK870" s="61"/>
      <c r="AL870" s="16"/>
      <c r="AM870" s="16"/>
      <c r="AN870" s="16"/>
      <c r="AO870" s="16"/>
      <c r="AP870" s="16"/>
      <c r="AQ870" s="17"/>
      <c r="AU870" s="24"/>
      <c r="AV870" s="61"/>
      <c r="AW870" s="16"/>
      <c r="AX870" s="16"/>
      <c r="AY870" s="16"/>
      <c r="AZ870" s="16"/>
      <c r="BA870" s="16"/>
      <c r="BB870" s="17"/>
      <c r="BF870" s="24"/>
      <c r="BG870" s="61"/>
      <c r="BH870" s="16"/>
      <c r="BI870" s="16"/>
      <c r="BJ870" s="16"/>
      <c r="BK870" s="16"/>
      <c r="BL870" s="16"/>
      <c r="BM870" s="17"/>
      <c r="BQ870" s="24"/>
      <c r="BR870" s="61"/>
      <c r="BS870" s="16"/>
      <c r="BT870" s="16"/>
      <c r="BU870" s="16"/>
      <c r="BV870" s="16"/>
      <c r="BW870" s="16"/>
      <c r="BX870" s="17"/>
      <c r="CB870" s="24"/>
      <c r="CC870" s="61"/>
      <c r="CD870" s="16"/>
      <c r="CE870" s="16"/>
      <c r="CF870" s="16"/>
      <c r="CG870" s="16"/>
      <c r="CH870" s="16"/>
      <c r="CI870" s="17"/>
      <c r="CM870" s="24"/>
      <c r="CN870" s="61"/>
      <c r="CO870" s="16"/>
      <c r="CP870" s="16"/>
      <c r="CQ870" s="16"/>
      <c r="CR870" s="16"/>
      <c r="CS870" s="16"/>
      <c r="CT870" s="17"/>
      <c r="CX870" s="24"/>
      <c r="CY870" s="60"/>
      <c r="CZ870" s="16"/>
      <c r="DA870" s="16"/>
      <c r="DB870" s="16"/>
      <c r="DC870" s="16"/>
      <c r="DD870" s="16"/>
      <c r="DE870" s="17"/>
      <c r="DI870" s="24"/>
      <c r="DJ870" s="60"/>
      <c r="DK870" s="16"/>
      <c r="DL870" s="16"/>
      <c r="DM870" s="16"/>
      <c r="DN870" s="16"/>
      <c r="DO870" s="16"/>
      <c r="DP870" s="17"/>
      <c r="DT870" s="24"/>
      <c r="DU870" s="60"/>
      <c r="DV870" s="16"/>
      <c r="DW870" s="16"/>
      <c r="DX870" s="16"/>
      <c r="DY870" s="16"/>
      <c r="DZ870" s="16"/>
      <c r="EA870" s="17"/>
      <c r="EE870" s="24"/>
      <c r="EF870" s="60"/>
      <c r="EG870" s="16"/>
      <c r="EH870" s="16"/>
      <c r="EI870" s="16"/>
      <c r="EJ870" s="16"/>
      <c r="EK870" s="16"/>
      <c r="EL870" s="17"/>
      <c r="EP870" s="24"/>
      <c r="EQ870" s="60"/>
      <c r="ER870" s="16"/>
      <c r="ES870" s="16"/>
      <c r="ET870" s="16"/>
      <c r="EU870" s="16"/>
      <c r="EV870" s="16"/>
      <c r="EW870" s="17"/>
      <c r="FA870" s="24"/>
      <c r="FB870" s="60"/>
      <c r="FC870" s="16"/>
      <c r="FD870" s="16"/>
      <c r="FE870" s="16"/>
      <c r="FF870" s="16"/>
      <c r="FG870" s="16"/>
      <c r="FH870" s="17"/>
      <c r="FL870" s="24"/>
      <c r="FM870" s="60"/>
      <c r="FN870" s="16"/>
      <c r="FO870" s="16"/>
      <c r="FP870" s="16"/>
      <c r="FQ870" s="16"/>
      <c r="FR870" s="16"/>
      <c r="FS870" s="17"/>
      <c r="FW870" s="24"/>
      <c r="FX870" s="60"/>
      <c r="FY870" s="16"/>
      <c r="FZ870" s="16"/>
      <c r="GA870" s="16"/>
      <c r="GB870" s="16"/>
      <c r="GC870" s="16"/>
      <c r="GD870" s="17"/>
      <c r="GH870" s="24"/>
      <c r="GI870" s="60"/>
      <c r="GJ870" s="16"/>
      <c r="GK870" s="16"/>
      <c r="GL870" s="16"/>
      <c r="GM870" s="16"/>
      <c r="GN870" s="16"/>
      <c r="GO870" s="17"/>
      <c r="GS870" s="24"/>
      <c r="GT870" s="60"/>
      <c r="GU870" s="16"/>
      <c r="GV870" s="16"/>
      <c r="GW870" s="16"/>
      <c r="GX870" s="16"/>
      <c r="GY870" s="16"/>
      <c r="GZ870" s="17"/>
      <c r="HD870" s="24"/>
      <c r="HE870" s="60"/>
      <c r="HF870" s="16"/>
      <c r="HG870" s="16"/>
      <c r="HH870" s="16"/>
      <c r="HI870" s="16"/>
      <c r="HJ870" s="16"/>
      <c r="HK870" s="17"/>
      <c r="HO870" s="24"/>
      <c r="HP870" s="60"/>
      <c r="HQ870" s="16"/>
      <c r="HR870" s="16"/>
      <c r="HS870" s="16"/>
      <c r="HT870" s="16"/>
      <c r="HU870" s="16"/>
      <c r="HV870" s="17"/>
      <c r="HZ870" s="24"/>
      <c r="IA870" s="60"/>
      <c r="IB870" s="16"/>
      <c r="IC870" s="16"/>
      <c r="ID870" s="16"/>
      <c r="IE870" s="16"/>
      <c r="IF870" s="16"/>
      <c r="IG870" s="17"/>
      <c r="IK870" s="24"/>
      <c r="IL870" s="60"/>
      <c r="IM870" s="16"/>
      <c r="IN870" s="16"/>
      <c r="IO870" s="16"/>
      <c r="IP870" s="16"/>
      <c r="IQ870" s="16"/>
      <c r="IR870" s="17"/>
      <c r="IV870" s="24"/>
      <c r="IW870" s="60"/>
      <c r="IX870" s="16"/>
      <c r="IY870" s="16"/>
      <c r="IZ870" s="16"/>
      <c r="JA870" s="16"/>
      <c r="JB870" s="16"/>
      <c r="JC870" s="17"/>
      <c r="JG870" s="24"/>
      <c r="JH870" s="60"/>
      <c r="JI870" s="16"/>
      <c r="JJ870" s="16"/>
      <c r="JK870" s="16"/>
      <c r="JL870" s="16"/>
      <c r="JM870" s="16"/>
      <c r="JN870" s="17"/>
      <c r="JR870" s="24"/>
      <c r="JS870" s="60"/>
      <c r="JT870" s="16"/>
      <c r="JU870" s="16"/>
      <c r="JV870" s="16"/>
      <c r="JW870" s="16"/>
      <c r="JX870" s="16"/>
      <c r="JY870" s="17"/>
      <c r="KC870" s="24"/>
      <c r="KD870" s="60"/>
      <c r="KE870" s="16"/>
      <c r="KF870" s="16"/>
      <c r="KG870" s="16"/>
      <c r="KH870" s="16"/>
      <c r="KI870" s="16"/>
      <c r="KJ870" s="17"/>
      <c r="KN870" s="24"/>
      <c r="KO870" s="60"/>
      <c r="KP870" s="16"/>
      <c r="KQ870" s="16"/>
      <c r="KR870" s="16"/>
      <c r="KS870" s="16"/>
      <c r="KT870" s="16"/>
      <c r="KU870" s="17"/>
      <c r="KY870" s="24"/>
      <c r="KZ870" s="60"/>
      <c r="LA870" s="16"/>
      <c r="LB870" s="16"/>
      <c r="LC870" s="16"/>
      <c r="LD870" s="16"/>
      <c r="LE870" s="16"/>
      <c r="LF870" s="17"/>
      <c r="LJ870" s="24"/>
      <c r="LK870" s="60"/>
      <c r="LL870" s="16"/>
      <c r="LM870" s="16"/>
      <c r="LN870" s="16"/>
      <c r="LO870" s="16"/>
      <c r="LP870" s="16"/>
      <c r="LQ870" s="17"/>
    </row>
    <row r="871">
      <c r="C871" s="31"/>
      <c r="D871" s="61"/>
      <c r="E871" s="16"/>
      <c r="F871" s="16"/>
      <c r="G871" s="21"/>
      <c r="H871" s="16"/>
      <c r="I871" s="16"/>
      <c r="J871" s="17"/>
      <c r="N871" s="17"/>
      <c r="O871" s="61"/>
      <c r="P871" s="16"/>
      <c r="Q871" s="16"/>
      <c r="R871" s="16"/>
      <c r="S871" s="16"/>
      <c r="T871" s="16"/>
      <c r="U871" s="17"/>
      <c r="Y871" s="24"/>
      <c r="Z871" s="61"/>
      <c r="AA871" s="16"/>
      <c r="AB871" s="16"/>
      <c r="AC871" s="16"/>
      <c r="AD871" s="16"/>
      <c r="AE871" s="16"/>
      <c r="AF871" s="17"/>
      <c r="AJ871" s="24"/>
      <c r="AK871" s="61"/>
      <c r="AL871" s="16"/>
      <c r="AM871" s="16"/>
      <c r="AN871" s="16"/>
      <c r="AO871" s="16"/>
      <c r="AP871" s="16"/>
      <c r="AQ871" s="17"/>
      <c r="AU871" s="24"/>
      <c r="AV871" s="61"/>
      <c r="AW871" s="16"/>
      <c r="AX871" s="16"/>
      <c r="AY871" s="16"/>
      <c r="AZ871" s="16"/>
      <c r="BA871" s="16"/>
      <c r="BB871" s="17"/>
      <c r="BF871" s="24"/>
      <c r="BG871" s="61"/>
      <c r="BH871" s="16"/>
      <c r="BI871" s="16"/>
      <c r="BJ871" s="16"/>
      <c r="BK871" s="16"/>
      <c r="BL871" s="16"/>
      <c r="BM871" s="17"/>
      <c r="BQ871" s="24"/>
      <c r="BR871" s="61"/>
      <c r="BS871" s="16"/>
      <c r="BT871" s="16"/>
      <c r="BU871" s="16"/>
      <c r="BV871" s="16"/>
      <c r="BW871" s="16"/>
      <c r="BX871" s="17"/>
      <c r="CB871" s="24"/>
      <c r="CC871" s="61"/>
      <c r="CD871" s="16"/>
      <c r="CE871" s="16"/>
      <c r="CF871" s="16"/>
      <c r="CG871" s="16"/>
      <c r="CH871" s="16"/>
      <c r="CI871" s="17"/>
      <c r="CM871" s="24"/>
      <c r="CN871" s="61"/>
      <c r="CO871" s="16"/>
      <c r="CP871" s="16"/>
      <c r="CQ871" s="16"/>
      <c r="CR871" s="16"/>
      <c r="CS871" s="16"/>
      <c r="CT871" s="17"/>
      <c r="CX871" s="24"/>
      <c r="CY871" s="60"/>
      <c r="CZ871" s="16"/>
      <c r="DA871" s="16"/>
      <c r="DB871" s="16"/>
      <c r="DC871" s="16"/>
      <c r="DD871" s="16"/>
      <c r="DE871" s="17"/>
      <c r="DI871" s="24"/>
      <c r="DJ871" s="60"/>
      <c r="DK871" s="16"/>
      <c r="DL871" s="16"/>
      <c r="DM871" s="16"/>
      <c r="DN871" s="16"/>
      <c r="DO871" s="16"/>
      <c r="DP871" s="17"/>
      <c r="DT871" s="24"/>
      <c r="DU871" s="60"/>
      <c r="DV871" s="16"/>
      <c r="DW871" s="16"/>
      <c r="DX871" s="16"/>
      <c r="DY871" s="16"/>
      <c r="DZ871" s="16"/>
      <c r="EA871" s="17"/>
      <c r="EE871" s="24"/>
      <c r="EF871" s="60"/>
      <c r="EG871" s="16"/>
      <c r="EH871" s="16"/>
      <c r="EI871" s="16"/>
      <c r="EJ871" s="16"/>
      <c r="EK871" s="16"/>
      <c r="EL871" s="17"/>
      <c r="EP871" s="24"/>
      <c r="EQ871" s="60"/>
      <c r="ER871" s="16"/>
      <c r="ES871" s="16"/>
      <c r="ET871" s="16"/>
      <c r="EU871" s="16"/>
      <c r="EV871" s="16"/>
      <c r="EW871" s="17"/>
      <c r="FA871" s="24"/>
      <c r="FB871" s="60"/>
      <c r="FC871" s="16"/>
      <c r="FD871" s="16"/>
      <c r="FE871" s="16"/>
      <c r="FF871" s="16"/>
      <c r="FG871" s="16"/>
      <c r="FH871" s="17"/>
      <c r="FL871" s="24"/>
      <c r="FM871" s="60"/>
      <c r="FN871" s="16"/>
      <c r="FO871" s="16"/>
      <c r="FP871" s="16"/>
      <c r="FQ871" s="16"/>
      <c r="FR871" s="16"/>
      <c r="FS871" s="17"/>
      <c r="FW871" s="24"/>
      <c r="FX871" s="60"/>
      <c r="FY871" s="16"/>
      <c r="FZ871" s="16"/>
      <c r="GA871" s="16"/>
      <c r="GB871" s="16"/>
      <c r="GC871" s="16"/>
      <c r="GD871" s="17"/>
      <c r="GH871" s="24"/>
      <c r="GI871" s="60"/>
      <c r="GJ871" s="16"/>
      <c r="GK871" s="16"/>
      <c r="GL871" s="16"/>
      <c r="GM871" s="16"/>
      <c r="GN871" s="16"/>
      <c r="GO871" s="17"/>
      <c r="GS871" s="24"/>
      <c r="GT871" s="60"/>
      <c r="GU871" s="16"/>
      <c r="GV871" s="16"/>
      <c r="GW871" s="16"/>
      <c r="GX871" s="16"/>
      <c r="GY871" s="16"/>
      <c r="GZ871" s="17"/>
      <c r="HD871" s="24"/>
      <c r="HE871" s="60"/>
      <c r="HF871" s="16"/>
      <c r="HG871" s="16"/>
      <c r="HH871" s="16"/>
      <c r="HI871" s="16"/>
      <c r="HJ871" s="16"/>
      <c r="HK871" s="17"/>
      <c r="HO871" s="24"/>
      <c r="HP871" s="60"/>
      <c r="HQ871" s="16"/>
      <c r="HR871" s="16"/>
      <c r="HS871" s="16"/>
      <c r="HT871" s="16"/>
      <c r="HU871" s="16"/>
      <c r="HV871" s="17"/>
      <c r="HZ871" s="24"/>
      <c r="IA871" s="60"/>
      <c r="IB871" s="16"/>
      <c r="IC871" s="16"/>
      <c r="ID871" s="16"/>
      <c r="IE871" s="16"/>
      <c r="IF871" s="16"/>
      <c r="IG871" s="17"/>
      <c r="IK871" s="24"/>
      <c r="IL871" s="60"/>
      <c r="IM871" s="16"/>
      <c r="IN871" s="16"/>
      <c r="IO871" s="16"/>
      <c r="IP871" s="16"/>
      <c r="IQ871" s="16"/>
      <c r="IR871" s="17"/>
      <c r="IV871" s="24"/>
      <c r="IW871" s="60"/>
      <c r="IX871" s="16"/>
      <c r="IY871" s="16"/>
      <c r="IZ871" s="16"/>
      <c r="JA871" s="16"/>
      <c r="JB871" s="16"/>
      <c r="JC871" s="17"/>
      <c r="JG871" s="24"/>
      <c r="JH871" s="60"/>
      <c r="JI871" s="16"/>
      <c r="JJ871" s="16"/>
      <c r="JK871" s="16"/>
      <c r="JL871" s="16"/>
      <c r="JM871" s="16"/>
      <c r="JN871" s="17"/>
      <c r="JR871" s="24"/>
      <c r="JS871" s="60"/>
      <c r="JT871" s="16"/>
      <c r="JU871" s="16"/>
      <c r="JV871" s="16"/>
      <c r="JW871" s="16"/>
      <c r="JX871" s="16"/>
      <c r="JY871" s="17"/>
      <c r="KC871" s="24"/>
      <c r="KD871" s="60"/>
      <c r="KE871" s="16"/>
      <c r="KF871" s="16"/>
      <c r="KG871" s="16"/>
      <c r="KH871" s="16"/>
      <c r="KI871" s="16"/>
      <c r="KJ871" s="17"/>
      <c r="KN871" s="24"/>
      <c r="KO871" s="60"/>
      <c r="KP871" s="16"/>
      <c r="KQ871" s="16"/>
      <c r="KR871" s="16"/>
      <c r="KS871" s="16"/>
      <c r="KT871" s="16"/>
      <c r="KU871" s="17"/>
      <c r="KY871" s="24"/>
      <c r="KZ871" s="60"/>
      <c r="LA871" s="16"/>
      <c r="LB871" s="16"/>
      <c r="LC871" s="16"/>
      <c r="LD871" s="16"/>
      <c r="LE871" s="16"/>
      <c r="LF871" s="17"/>
      <c r="LJ871" s="24"/>
      <c r="LK871" s="60"/>
      <c r="LL871" s="16"/>
      <c r="LM871" s="16"/>
      <c r="LN871" s="16"/>
      <c r="LO871" s="16"/>
      <c r="LP871" s="16"/>
      <c r="LQ871" s="17"/>
    </row>
    <row r="872">
      <c r="C872" s="31"/>
      <c r="D872" s="61"/>
      <c r="E872" s="16"/>
      <c r="F872" s="16"/>
      <c r="G872" s="21"/>
      <c r="H872" s="16"/>
      <c r="I872" s="16"/>
      <c r="J872" s="17"/>
      <c r="N872" s="17"/>
      <c r="O872" s="61"/>
      <c r="P872" s="16"/>
      <c r="Q872" s="16"/>
      <c r="R872" s="16"/>
      <c r="S872" s="16"/>
      <c r="T872" s="16"/>
      <c r="U872" s="17"/>
      <c r="Y872" s="24"/>
      <c r="Z872" s="61"/>
      <c r="AA872" s="16"/>
      <c r="AB872" s="16"/>
      <c r="AC872" s="16"/>
      <c r="AD872" s="16"/>
      <c r="AE872" s="16"/>
      <c r="AF872" s="17"/>
      <c r="AJ872" s="24"/>
      <c r="AK872" s="61"/>
      <c r="AL872" s="16"/>
      <c r="AM872" s="16"/>
      <c r="AN872" s="16"/>
      <c r="AO872" s="16"/>
      <c r="AP872" s="16"/>
      <c r="AQ872" s="17"/>
      <c r="AU872" s="24"/>
      <c r="AV872" s="61"/>
      <c r="AW872" s="16"/>
      <c r="AX872" s="16"/>
      <c r="AY872" s="16"/>
      <c r="AZ872" s="16"/>
      <c r="BA872" s="16"/>
      <c r="BB872" s="17"/>
      <c r="BF872" s="24"/>
      <c r="BG872" s="61"/>
      <c r="BH872" s="16"/>
      <c r="BI872" s="16"/>
      <c r="BJ872" s="16"/>
      <c r="BK872" s="16"/>
      <c r="BL872" s="16"/>
      <c r="BM872" s="17"/>
      <c r="BQ872" s="24"/>
      <c r="BR872" s="61"/>
      <c r="BS872" s="16"/>
      <c r="BT872" s="16"/>
      <c r="BU872" s="16"/>
      <c r="BV872" s="16"/>
      <c r="BW872" s="16"/>
      <c r="BX872" s="17"/>
      <c r="CB872" s="24"/>
      <c r="CC872" s="61"/>
      <c r="CD872" s="16"/>
      <c r="CE872" s="16"/>
      <c r="CF872" s="16"/>
      <c r="CG872" s="16"/>
      <c r="CH872" s="16"/>
      <c r="CI872" s="17"/>
      <c r="CM872" s="24"/>
      <c r="CN872" s="61"/>
      <c r="CO872" s="16"/>
      <c r="CP872" s="16"/>
      <c r="CQ872" s="16"/>
      <c r="CR872" s="16"/>
      <c r="CS872" s="16"/>
      <c r="CT872" s="17"/>
      <c r="CX872" s="24"/>
      <c r="CY872" s="60"/>
      <c r="CZ872" s="16"/>
      <c r="DA872" s="16"/>
      <c r="DB872" s="16"/>
      <c r="DC872" s="16"/>
      <c r="DD872" s="16"/>
      <c r="DE872" s="17"/>
      <c r="DI872" s="24"/>
      <c r="DJ872" s="60"/>
      <c r="DK872" s="16"/>
      <c r="DL872" s="16"/>
      <c r="DM872" s="16"/>
      <c r="DN872" s="16"/>
      <c r="DO872" s="16"/>
      <c r="DP872" s="17"/>
      <c r="DT872" s="24"/>
      <c r="DU872" s="60"/>
      <c r="DV872" s="16"/>
      <c r="DW872" s="16"/>
      <c r="DX872" s="16"/>
      <c r="DY872" s="16"/>
      <c r="DZ872" s="16"/>
      <c r="EA872" s="17"/>
      <c r="EE872" s="24"/>
      <c r="EF872" s="60"/>
      <c r="EG872" s="16"/>
      <c r="EH872" s="16"/>
      <c r="EI872" s="16"/>
      <c r="EJ872" s="16"/>
      <c r="EK872" s="16"/>
      <c r="EL872" s="17"/>
      <c r="EP872" s="24"/>
      <c r="EQ872" s="60"/>
      <c r="ER872" s="16"/>
      <c r="ES872" s="16"/>
      <c r="ET872" s="16"/>
      <c r="EU872" s="16"/>
      <c r="EV872" s="16"/>
      <c r="EW872" s="17"/>
      <c r="FA872" s="24"/>
      <c r="FB872" s="60"/>
      <c r="FC872" s="16"/>
      <c r="FD872" s="16"/>
      <c r="FE872" s="16"/>
      <c r="FF872" s="16"/>
      <c r="FG872" s="16"/>
      <c r="FH872" s="17"/>
      <c r="FL872" s="24"/>
      <c r="FM872" s="60"/>
      <c r="FN872" s="16"/>
      <c r="FO872" s="16"/>
      <c r="FP872" s="16"/>
      <c r="FQ872" s="16"/>
      <c r="FR872" s="16"/>
      <c r="FS872" s="17"/>
      <c r="FW872" s="24"/>
      <c r="FX872" s="60"/>
      <c r="FY872" s="16"/>
      <c r="FZ872" s="16"/>
      <c r="GA872" s="16"/>
      <c r="GB872" s="16"/>
      <c r="GC872" s="16"/>
      <c r="GD872" s="17"/>
      <c r="GH872" s="24"/>
      <c r="GI872" s="60"/>
      <c r="GJ872" s="16"/>
      <c r="GK872" s="16"/>
      <c r="GL872" s="16"/>
      <c r="GM872" s="16"/>
      <c r="GN872" s="16"/>
      <c r="GO872" s="17"/>
      <c r="GS872" s="24"/>
      <c r="GT872" s="60"/>
      <c r="GU872" s="16"/>
      <c r="GV872" s="16"/>
      <c r="GW872" s="16"/>
      <c r="GX872" s="16"/>
      <c r="GY872" s="16"/>
      <c r="GZ872" s="17"/>
      <c r="HD872" s="24"/>
      <c r="HE872" s="60"/>
      <c r="HF872" s="16"/>
      <c r="HG872" s="16"/>
      <c r="HH872" s="16"/>
      <c r="HI872" s="16"/>
      <c r="HJ872" s="16"/>
      <c r="HK872" s="17"/>
      <c r="HO872" s="24"/>
      <c r="HP872" s="60"/>
      <c r="HQ872" s="16"/>
      <c r="HR872" s="16"/>
      <c r="HS872" s="16"/>
      <c r="HT872" s="16"/>
      <c r="HU872" s="16"/>
      <c r="HV872" s="17"/>
      <c r="HZ872" s="24"/>
      <c r="IA872" s="60"/>
      <c r="IB872" s="16"/>
      <c r="IC872" s="16"/>
      <c r="ID872" s="16"/>
      <c r="IE872" s="16"/>
      <c r="IF872" s="16"/>
      <c r="IG872" s="17"/>
      <c r="IK872" s="24"/>
      <c r="IL872" s="60"/>
      <c r="IM872" s="16"/>
      <c r="IN872" s="16"/>
      <c r="IO872" s="16"/>
      <c r="IP872" s="16"/>
      <c r="IQ872" s="16"/>
      <c r="IR872" s="17"/>
      <c r="IV872" s="24"/>
      <c r="IW872" s="60"/>
      <c r="IX872" s="16"/>
      <c r="IY872" s="16"/>
      <c r="IZ872" s="16"/>
      <c r="JA872" s="16"/>
      <c r="JB872" s="16"/>
      <c r="JC872" s="17"/>
      <c r="JG872" s="24"/>
      <c r="JH872" s="60"/>
      <c r="JI872" s="16"/>
      <c r="JJ872" s="16"/>
      <c r="JK872" s="16"/>
      <c r="JL872" s="16"/>
      <c r="JM872" s="16"/>
      <c r="JN872" s="17"/>
      <c r="JR872" s="24"/>
      <c r="JS872" s="60"/>
      <c r="JT872" s="16"/>
      <c r="JU872" s="16"/>
      <c r="JV872" s="16"/>
      <c r="JW872" s="16"/>
      <c r="JX872" s="16"/>
      <c r="JY872" s="17"/>
      <c r="KC872" s="24"/>
      <c r="KD872" s="60"/>
      <c r="KE872" s="16"/>
      <c r="KF872" s="16"/>
      <c r="KG872" s="16"/>
      <c r="KH872" s="16"/>
      <c r="KI872" s="16"/>
      <c r="KJ872" s="17"/>
      <c r="KN872" s="24"/>
      <c r="KO872" s="60"/>
      <c r="KP872" s="16"/>
      <c r="KQ872" s="16"/>
      <c r="KR872" s="16"/>
      <c r="KS872" s="16"/>
      <c r="KT872" s="16"/>
      <c r="KU872" s="17"/>
      <c r="KY872" s="24"/>
      <c r="KZ872" s="60"/>
      <c r="LA872" s="16"/>
      <c r="LB872" s="16"/>
      <c r="LC872" s="16"/>
      <c r="LD872" s="16"/>
      <c r="LE872" s="16"/>
      <c r="LF872" s="17"/>
      <c r="LJ872" s="24"/>
      <c r="LK872" s="60"/>
      <c r="LL872" s="16"/>
      <c r="LM872" s="16"/>
      <c r="LN872" s="16"/>
      <c r="LO872" s="16"/>
      <c r="LP872" s="16"/>
      <c r="LQ872" s="17"/>
    </row>
    <row r="873">
      <c r="C873" s="31"/>
      <c r="D873" s="61"/>
      <c r="E873" s="16"/>
      <c r="F873" s="16"/>
      <c r="G873" s="21"/>
      <c r="H873" s="16"/>
      <c r="I873" s="16"/>
      <c r="J873" s="17"/>
      <c r="N873" s="17"/>
      <c r="O873" s="61"/>
      <c r="P873" s="16"/>
      <c r="Q873" s="16"/>
      <c r="R873" s="16"/>
      <c r="S873" s="16"/>
      <c r="T873" s="16"/>
      <c r="U873" s="17"/>
      <c r="Y873" s="24"/>
      <c r="Z873" s="61"/>
      <c r="AA873" s="16"/>
      <c r="AB873" s="16"/>
      <c r="AC873" s="16"/>
      <c r="AD873" s="16"/>
      <c r="AE873" s="16"/>
      <c r="AF873" s="17"/>
      <c r="AJ873" s="24"/>
      <c r="AK873" s="61"/>
      <c r="AL873" s="16"/>
      <c r="AM873" s="16"/>
      <c r="AN873" s="16"/>
      <c r="AO873" s="16"/>
      <c r="AP873" s="16"/>
      <c r="AQ873" s="17"/>
      <c r="AU873" s="24"/>
      <c r="AV873" s="61"/>
      <c r="AW873" s="16"/>
      <c r="AX873" s="16"/>
      <c r="AY873" s="16"/>
      <c r="AZ873" s="16"/>
      <c r="BA873" s="16"/>
      <c r="BB873" s="17"/>
      <c r="BF873" s="24"/>
      <c r="BG873" s="61"/>
      <c r="BH873" s="16"/>
      <c r="BI873" s="16"/>
      <c r="BJ873" s="16"/>
      <c r="BK873" s="16"/>
      <c r="BL873" s="16"/>
      <c r="BM873" s="17"/>
      <c r="BQ873" s="24"/>
      <c r="BR873" s="61"/>
      <c r="BS873" s="16"/>
      <c r="BT873" s="16"/>
      <c r="BU873" s="16"/>
      <c r="BV873" s="16"/>
      <c r="BW873" s="16"/>
      <c r="BX873" s="17"/>
      <c r="CB873" s="24"/>
      <c r="CC873" s="61"/>
      <c r="CD873" s="16"/>
      <c r="CE873" s="16"/>
      <c r="CF873" s="16"/>
      <c r="CG873" s="16"/>
      <c r="CH873" s="16"/>
      <c r="CI873" s="17"/>
      <c r="CM873" s="24"/>
      <c r="CN873" s="61"/>
      <c r="CO873" s="16"/>
      <c r="CP873" s="16"/>
      <c r="CQ873" s="16"/>
      <c r="CR873" s="16"/>
      <c r="CS873" s="16"/>
      <c r="CT873" s="17"/>
      <c r="CX873" s="24"/>
      <c r="CY873" s="60"/>
      <c r="CZ873" s="16"/>
      <c r="DA873" s="16"/>
      <c r="DB873" s="16"/>
      <c r="DC873" s="16"/>
      <c r="DD873" s="16"/>
      <c r="DE873" s="17"/>
      <c r="DI873" s="24"/>
      <c r="DJ873" s="60"/>
      <c r="DK873" s="16"/>
      <c r="DL873" s="16"/>
      <c r="DM873" s="16"/>
      <c r="DN873" s="16"/>
      <c r="DO873" s="16"/>
      <c r="DP873" s="17"/>
      <c r="DT873" s="24"/>
      <c r="DU873" s="60"/>
      <c r="DV873" s="16"/>
      <c r="DW873" s="16"/>
      <c r="DX873" s="16"/>
      <c r="DY873" s="16"/>
      <c r="DZ873" s="16"/>
      <c r="EA873" s="17"/>
      <c r="EE873" s="24"/>
      <c r="EF873" s="60"/>
      <c r="EG873" s="16"/>
      <c r="EH873" s="16"/>
      <c r="EI873" s="16"/>
      <c r="EJ873" s="16"/>
      <c r="EK873" s="16"/>
      <c r="EL873" s="17"/>
      <c r="EP873" s="24"/>
      <c r="EQ873" s="60"/>
      <c r="ER873" s="16"/>
      <c r="ES873" s="16"/>
      <c r="ET873" s="16"/>
      <c r="EU873" s="16"/>
      <c r="EV873" s="16"/>
      <c r="EW873" s="17"/>
      <c r="FA873" s="24"/>
      <c r="FB873" s="60"/>
      <c r="FC873" s="16"/>
      <c r="FD873" s="16"/>
      <c r="FE873" s="16"/>
      <c r="FF873" s="16"/>
      <c r="FG873" s="16"/>
      <c r="FH873" s="17"/>
      <c r="FL873" s="24"/>
      <c r="FM873" s="60"/>
      <c r="FN873" s="16"/>
      <c r="FO873" s="16"/>
      <c r="FP873" s="16"/>
      <c r="FQ873" s="16"/>
      <c r="FR873" s="16"/>
      <c r="FS873" s="17"/>
      <c r="FW873" s="24"/>
      <c r="FX873" s="60"/>
      <c r="FY873" s="16"/>
      <c r="FZ873" s="16"/>
      <c r="GA873" s="16"/>
      <c r="GB873" s="16"/>
      <c r="GC873" s="16"/>
      <c r="GD873" s="17"/>
      <c r="GH873" s="24"/>
      <c r="GI873" s="60"/>
      <c r="GJ873" s="16"/>
      <c r="GK873" s="16"/>
      <c r="GL873" s="16"/>
      <c r="GM873" s="16"/>
      <c r="GN873" s="16"/>
      <c r="GO873" s="17"/>
      <c r="GS873" s="24"/>
      <c r="GT873" s="60"/>
      <c r="GU873" s="16"/>
      <c r="GV873" s="16"/>
      <c r="GW873" s="16"/>
      <c r="GX873" s="16"/>
      <c r="GY873" s="16"/>
      <c r="GZ873" s="17"/>
      <c r="HD873" s="24"/>
      <c r="HE873" s="60"/>
      <c r="HF873" s="16"/>
      <c r="HG873" s="16"/>
      <c r="HH873" s="16"/>
      <c r="HI873" s="16"/>
      <c r="HJ873" s="16"/>
      <c r="HK873" s="17"/>
      <c r="HO873" s="24"/>
      <c r="HP873" s="60"/>
      <c r="HQ873" s="16"/>
      <c r="HR873" s="16"/>
      <c r="HS873" s="16"/>
      <c r="HT873" s="16"/>
      <c r="HU873" s="16"/>
      <c r="HV873" s="17"/>
      <c r="HZ873" s="24"/>
      <c r="IA873" s="60"/>
      <c r="IB873" s="16"/>
      <c r="IC873" s="16"/>
      <c r="ID873" s="16"/>
      <c r="IE873" s="16"/>
      <c r="IF873" s="16"/>
      <c r="IG873" s="17"/>
      <c r="IK873" s="24"/>
      <c r="IL873" s="60"/>
      <c r="IM873" s="16"/>
      <c r="IN873" s="16"/>
      <c r="IO873" s="16"/>
      <c r="IP873" s="16"/>
      <c r="IQ873" s="16"/>
      <c r="IR873" s="17"/>
      <c r="IV873" s="24"/>
      <c r="IW873" s="60"/>
      <c r="IX873" s="16"/>
      <c r="IY873" s="16"/>
      <c r="IZ873" s="16"/>
      <c r="JA873" s="16"/>
      <c r="JB873" s="16"/>
      <c r="JC873" s="17"/>
      <c r="JG873" s="24"/>
      <c r="JH873" s="60"/>
      <c r="JI873" s="16"/>
      <c r="JJ873" s="16"/>
      <c r="JK873" s="16"/>
      <c r="JL873" s="16"/>
      <c r="JM873" s="16"/>
      <c r="JN873" s="17"/>
      <c r="JR873" s="24"/>
      <c r="JS873" s="60"/>
      <c r="JT873" s="16"/>
      <c r="JU873" s="16"/>
      <c r="JV873" s="16"/>
      <c r="JW873" s="16"/>
      <c r="JX873" s="16"/>
      <c r="JY873" s="17"/>
      <c r="KC873" s="24"/>
      <c r="KD873" s="60"/>
      <c r="KE873" s="16"/>
      <c r="KF873" s="16"/>
      <c r="KG873" s="16"/>
      <c r="KH873" s="16"/>
      <c r="KI873" s="16"/>
      <c r="KJ873" s="17"/>
      <c r="KN873" s="24"/>
      <c r="KO873" s="60"/>
      <c r="KP873" s="16"/>
      <c r="KQ873" s="16"/>
      <c r="KR873" s="16"/>
      <c r="KS873" s="16"/>
      <c r="KT873" s="16"/>
      <c r="KU873" s="17"/>
      <c r="KY873" s="24"/>
      <c r="KZ873" s="60"/>
      <c r="LA873" s="16"/>
      <c r="LB873" s="16"/>
      <c r="LC873" s="16"/>
      <c r="LD873" s="16"/>
      <c r="LE873" s="16"/>
      <c r="LF873" s="17"/>
      <c r="LJ873" s="24"/>
      <c r="LK873" s="60"/>
      <c r="LL873" s="16"/>
      <c r="LM873" s="16"/>
      <c r="LN873" s="16"/>
      <c r="LO873" s="16"/>
      <c r="LP873" s="16"/>
      <c r="LQ873" s="17"/>
    </row>
    <row r="874">
      <c r="C874" s="31"/>
      <c r="D874" s="61"/>
      <c r="E874" s="16"/>
      <c r="F874" s="16"/>
      <c r="G874" s="21"/>
      <c r="H874" s="16"/>
      <c r="I874" s="16"/>
      <c r="J874" s="17"/>
      <c r="N874" s="17"/>
      <c r="O874" s="61"/>
      <c r="P874" s="16"/>
      <c r="Q874" s="16"/>
      <c r="R874" s="16"/>
      <c r="S874" s="16"/>
      <c r="T874" s="16"/>
      <c r="U874" s="17"/>
      <c r="Y874" s="24"/>
      <c r="Z874" s="61"/>
      <c r="AA874" s="16"/>
      <c r="AB874" s="16"/>
      <c r="AC874" s="16"/>
      <c r="AD874" s="16"/>
      <c r="AE874" s="16"/>
      <c r="AF874" s="17"/>
      <c r="AJ874" s="24"/>
      <c r="AK874" s="61"/>
      <c r="AL874" s="16"/>
      <c r="AM874" s="16"/>
      <c r="AN874" s="16"/>
      <c r="AO874" s="16"/>
      <c r="AP874" s="16"/>
      <c r="AQ874" s="17"/>
      <c r="AU874" s="24"/>
      <c r="AV874" s="61"/>
      <c r="AW874" s="16"/>
      <c r="AX874" s="16"/>
      <c r="AY874" s="16"/>
      <c r="AZ874" s="16"/>
      <c r="BA874" s="16"/>
      <c r="BB874" s="17"/>
      <c r="BF874" s="24"/>
      <c r="BG874" s="61"/>
      <c r="BH874" s="16"/>
      <c r="BI874" s="16"/>
      <c r="BJ874" s="16"/>
      <c r="BK874" s="16"/>
      <c r="BL874" s="16"/>
      <c r="BM874" s="17"/>
      <c r="BQ874" s="24"/>
      <c r="BR874" s="61"/>
      <c r="BS874" s="16"/>
      <c r="BT874" s="16"/>
      <c r="BU874" s="16"/>
      <c r="BV874" s="16"/>
      <c r="BW874" s="16"/>
      <c r="BX874" s="17"/>
      <c r="CB874" s="24"/>
      <c r="CC874" s="61"/>
      <c r="CD874" s="16"/>
      <c r="CE874" s="16"/>
      <c r="CF874" s="16"/>
      <c r="CG874" s="16"/>
      <c r="CH874" s="16"/>
      <c r="CI874" s="17"/>
      <c r="CM874" s="24"/>
      <c r="CN874" s="61"/>
      <c r="CO874" s="16"/>
      <c r="CP874" s="16"/>
      <c r="CQ874" s="16"/>
      <c r="CR874" s="16"/>
      <c r="CS874" s="16"/>
      <c r="CT874" s="17"/>
      <c r="CX874" s="24"/>
      <c r="CY874" s="60"/>
      <c r="CZ874" s="16"/>
      <c r="DA874" s="16"/>
      <c r="DB874" s="16"/>
      <c r="DC874" s="16"/>
      <c r="DD874" s="16"/>
      <c r="DE874" s="17"/>
      <c r="DI874" s="24"/>
      <c r="DJ874" s="60"/>
      <c r="DK874" s="16"/>
      <c r="DL874" s="16"/>
      <c r="DM874" s="16"/>
      <c r="DN874" s="16"/>
      <c r="DO874" s="16"/>
      <c r="DP874" s="17"/>
      <c r="DT874" s="24"/>
      <c r="DU874" s="60"/>
      <c r="DV874" s="16"/>
      <c r="DW874" s="16"/>
      <c r="DX874" s="16"/>
      <c r="DY874" s="16"/>
      <c r="DZ874" s="16"/>
      <c r="EA874" s="17"/>
      <c r="EE874" s="24"/>
      <c r="EF874" s="60"/>
      <c r="EG874" s="16"/>
      <c r="EH874" s="16"/>
      <c r="EI874" s="16"/>
      <c r="EJ874" s="16"/>
      <c r="EK874" s="16"/>
      <c r="EL874" s="17"/>
      <c r="EP874" s="24"/>
      <c r="EQ874" s="60"/>
      <c r="ER874" s="16"/>
      <c r="ES874" s="16"/>
      <c r="ET874" s="16"/>
      <c r="EU874" s="16"/>
      <c r="EV874" s="16"/>
      <c r="EW874" s="17"/>
      <c r="FA874" s="24"/>
      <c r="FB874" s="60"/>
      <c r="FC874" s="16"/>
      <c r="FD874" s="16"/>
      <c r="FE874" s="16"/>
      <c r="FF874" s="16"/>
      <c r="FG874" s="16"/>
      <c r="FH874" s="17"/>
      <c r="FL874" s="24"/>
      <c r="FM874" s="60"/>
      <c r="FN874" s="16"/>
      <c r="FO874" s="16"/>
      <c r="FP874" s="16"/>
      <c r="FQ874" s="16"/>
      <c r="FR874" s="16"/>
      <c r="FS874" s="17"/>
      <c r="FW874" s="24"/>
      <c r="FX874" s="60"/>
      <c r="FY874" s="16"/>
      <c r="FZ874" s="16"/>
      <c r="GA874" s="16"/>
      <c r="GB874" s="16"/>
      <c r="GC874" s="16"/>
      <c r="GD874" s="17"/>
      <c r="GH874" s="24"/>
      <c r="GI874" s="60"/>
      <c r="GJ874" s="16"/>
      <c r="GK874" s="16"/>
      <c r="GL874" s="16"/>
      <c r="GM874" s="16"/>
      <c r="GN874" s="16"/>
      <c r="GO874" s="17"/>
      <c r="GS874" s="24"/>
      <c r="GT874" s="60"/>
      <c r="GU874" s="16"/>
      <c r="GV874" s="16"/>
      <c r="GW874" s="16"/>
      <c r="GX874" s="16"/>
      <c r="GY874" s="16"/>
      <c r="GZ874" s="17"/>
      <c r="HD874" s="24"/>
      <c r="HE874" s="60"/>
      <c r="HF874" s="16"/>
      <c r="HG874" s="16"/>
      <c r="HH874" s="16"/>
      <c r="HI874" s="16"/>
      <c r="HJ874" s="16"/>
      <c r="HK874" s="17"/>
      <c r="HO874" s="24"/>
      <c r="HP874" s="60"/>
      <c r="HQ874" s="16"/>
      <c r="HR874" s="16"/>
      <c r="HS874" s="16"/>
      <c r="HT874" s="16"/>
      <c r="HU874" s="16"/>
      <c r="HV874" s="17"/>
      <c r="HZ874" s="24"/>
      <c r="IA874" s="60"/>
      <c r="IB874" s="16"/>
      <c r="IC874" s="16"/>
      <c r="ID874" s="16"/>
      <c r="IE874" s="16"/>
      <c r="IF874" s="16"/>
      <c r="IG874" s="17"/>
      <c r="IK874" s="24"/>
      <c r="IL874" s="60"/>
      <c r="IM874" s="16"/>
      <c r="IN874" s="16"/>
      <c r="IO874" s="16"/>
      <c r="IP874" s="16"/>
      <c r="IQ874" s="16"/>
      <c r="IR874" s="17"/>
      <c r="IV874" s="24"/>
      <c r="IW874" s="60"/>
      <c r="IX874" s="16"/>
      <c r="IY874" s="16"/>
      <c r="IZ874" s="16"/>
      <c r="JA874" s="16"/>
      <c r="JB874" s="16"/>
      <c r="JC874" s="17"/>
      <c r="JG874" s="24"/>
      <c r="JH874" s="60"/>
      <c r="JI874" s="16"/>
      <c r="JJ874" s="16"/>
      <c r="JK874" s="16"/>
      <c r="JL874" s="16"/>
      <c r="JM874" s="16"/>
      <c r="JN874" s="17"/>
      <c r="JR874" s="24"/>
      <c r="JS874" s="60"/>
      <c r="JT874" s="16"/>
      <c r="JU874" s="16"/>
      <c r="JV874" s="16"/>
      <c r="JW874" s="16"/>
      <c r="JX874" s="16"/>
      <c r="JY874" s="17"/>
      <c r="KC874" s="24"/>
      <c r="KD874" s="60"/>
      <c r="KE874" s="16"/>
      <c r="KF874" s="16"/>
      <c r="KG874" s="16"/>
      <c r="KH874" s="16"/>
      <c r="KI874" s="16"/>
      <c r="KJ874" s="17"/>
      <c r="KN874" s="24"/>
      <c r="KO874" s="60"/>
      <c r="KP874" s="16"/>
      <c r="KQ874" s="16"/>
      <c r="KR874" s="16"/>
      <c r="KS874" s="16"/>
      <c r="KT874" s="16"/>
      <c r="KU874" s="17"/>
      <c r="KY874" s="24"/>
      <c r="KZ874" s="60"/>
      <c r="LA874" s="16"/>
      <c r="LB874" s="16"/>
      <c r="LC874" s="16"/>
      <c r="LD874" s="16"/>
      <c r="LE874" s="16"/>
      <c r="LF874" s="17"/>
      <c r="LJ874" s="24"/>
      <c r="LK874" s="60"/>
      <c r="LL874" s="16"/>
      <c r="LM874" s="16"/>
      <c r="LN874" s="16"/>
      <c r="LO874" s="16"/>
      <c r="LP874" s="16"/>
      <c r="LQ874" s="17"/>
    </row>
    <row r="875">
      <c r="C875" s="31"/>
      <c r="D875" s="61"/>
      <c r="E875" s="16"/>
      <c r="F875" s="16"/>
      <c r="G875" s="21"/>
      <c r="H875" s="16"/>
      <c r="I875" s="16"/>
      <c r="J875" s="17"/>
      <c r="N875" s="17"/>
      <c r="O875" s="61"/>
      <c r="P875" s="16"/>
      <c r="Q875" s="16"/>
      <c r="R875" s="16"/>
      <c r="S875" s="16"/>
      <c r="T875" s="16"/>
      <c r="U875" s="17"/>
      <c r="Y875" s="24"/>
      <c r="Z875" s="61"/>
      <c r="AA875" s="16"/>
      <c r="AB875" s="16"/>
      <c r="AC875" s="16"/>
      <c r="AD875" s="16"/>
      <c r="AE875" s="16"/>
      <c r="AF875" s="17"/>
      <c r="AJ875" s="24"/>
      <c r="AK875" s="61"/>
      <c r="AL875" s="16"/>
      <c r="AM875" s="16"/>
      <c r="AN875" s="16"/>
      <c r="AO875" s="16"/>
      <c r="AP875" s="16"/>
      <c r="AQ875" s="17"/>
      <c r="AU875" s="24"/>
      <c r="AV875" s="61"/>
      <c r="AW875" s="16"/>
      <c r="AX875" s="16"/>
      <c r="AY875" s="16"/>
      <c r="AZ875" s="16"/>
      <c r="BA875" s="16"/>
      <c r="BB875" s="17"/>
      <c r="BF875" s="24"/>
      <c r="BG875" s="61"/>
      <c r="BH875" s="16"/>
      <c r="BI875" s="16"/>
      <c r="BJ875" s="16"/>
      <c r="BK875" s="16"/>
      <c r="BL875" s="16"/>
      <c r="BM875" s="17"/>
      <c r="BQ875" s="24"/>
      <c r="BR875" s="61"/>
      <c r="BS875" s="16"/>
      <c r="BT875" s="16"/>
      <c r="BU875" s="16"/>
      <c r="BV875" s="16"/>
      <c r="BW875" s="16"/>
      <c r="BX875" s="17"/>
      <c r="CB875" s="24"/>
      <c r="CC875" s="61"/>
      <c r="CD875" s="16"/>
      <c r="CE875" s="16"/>
      <c r="CF875" s="16"/>
      <c r="CG875" s="16"/>
      <c r="CH875" s="16"/>
      <c r="CI875" s="17"/>
      <c r="CM875" s="24"/>
      <c r="CN875" s="61"/>
      <c r="CO875" s="16"/>
      <c r="CP875" s="16"/>
      <c r="CQ875" s="16"/>
      <c r="CR875" s="16"/>
      <c r="CS875" s="16"/>
      <c r="CT875" s="17"/>
      <c r="CX875" s="24"/>
      <c r="CY875" s="60"/>
      <c r="CZ875" s="16"/>
      <c r="DA875" s="16"/>
      <c r="DB875" s="16"/>
      <c r="DC875" s="16"/>
      <c r="DD875" s="16"/>
      <c r="DE875" s="17"/>
      <c r="DI875" s="24"/>
      <c r="DJ875" s="60"/>
      <c r="DK875" s="16"/>
      <c r="DL875" s="16"/>
      <c r="DM875" s="16"/>
      <c r="DN875" s="16"/>
      <c r="DO875" s="16"/>
      <c r="DP875" s="17"/>
      <c r="DT875" s="24"/>
      <c r="DU875" s="60"/>
      <c r="DV875" s="16"/>
      <c r="DW875" s="16"/>
      <c r="DX875" s="16"/>
      <c r="DY875" s="16"/>
      <c r="DZ875" s="16"/>
      <c r="EA875" s="17"/>
      <c r="EE875" s="24"/>
      <c r="EF875" s="60"/>
      <c r="EG875" s="16"/>
      <c r="EH875" s="16"/>
      <c r="EI875" s="16"/>
      <c r="EJ875" s="16"/>
      <c r="EK875" s="16"/>
      <c r="EL875" s="17"/>
      <c r="EP875" s="24"/>
      <c r="EQ875" s="60"/>
      <c r="ER875" s="16"/>
      <c r="ES875" s="16"/>
      <c r="ET875" s="16"/>
      <c r="EU875" s="16"/>
      <c r="EV875" s="16"/>
      <c r="EW875" s="17"/>
      <c r="FA875" s="24"/>
      <c r="FB875" s="60"/>
      <c r="FC875" s="16"/>
      <c r="FD875" s="16"/>
      <c r="FE875" s="16"/>
      <c r="FF875" s="16"/>
      <c r="FG875" s="16"/>
      <c r="FH875" s="17"/>
      <c r="FL875" s="24"/>
      <c r="FM875" s="60"/>
      <c r="FN875" s="16"/>
      <c r="FO875" s="16"/>
      <c r="FP875" s="16"/>
      <c r="FQ875" s="16"/>
      <c r="FR875" s="16"/>
      <c r="FS875" s="17"/>
      <c r="FW875" s="24"/>
      <c r="FX875" s="60"/>
      <c r="FY875" s="16"/>
      <c r="FZ875" s="16"/>
      <c r="GA875" s="16"/>
      <c r="GB875" s="16"/>
      <c r="GC875" s="16"/>
      <c r="GD875" s="17"/>
      <c r="GH875" s="24"/>
      <c r="GI875" s="60"/>
      <c r="GJ875" s="16"/>
      <c r="GK875" s="16"/>
      <c r="GL875" s="16"/>
      <c r="GM875" s="16"/>
      <c r="GN875" s="16"/>
      <c r="GO875" s="17"/>
      <c r="GS875" s="24"/>
      <c r="GT875" s="60"/>
      <c r="GU875" s="16"/>
      <c r="GV875" s="16"/>
      <c r="GW875" s="16"/>
      <c r="GX875" s="16"/>
      <c r="GY875" s="16"/>
      <c r="GZ875" s="17"/>
      <c r="HD875" s="24"/>
      <c r="HE875" s="60"/>
      <c r="HF875" s="16"/>
      <c r="HG875" s="16"/>
      <c r="HH875" s="16"/>
      <c r="HI875" s="16"/>
      <c r="HJ875" s="16"/>
      <c r="HK875" s="17"/>
      <c r="HO875" s="24"/>
      <c r="HP875" s="60"/>
      <c r="HQ875" s="16"/>
      <c r="HR875" s="16"/>
      <c r="HS875" s="16"/>
      <c r="HT875" s="16"/>
      <c r="HU875" s="16"/>
      <c r="HV875" s="17"/>
      <c r="HZ875" s="24"/>
      <c r="IA875" s="60"/>
      <c r="IB875" s="16"/>
      <c r="IC875" s="16"/>
      <c r="ID875" s="16"/>
      <c r="IE875" s="16"/>
      <c r="IF875" s="16"/>
      <c r="IG875" s="17"/>
      <c r="IK875" s="24"/>
      <c r="IL875" s="60"/>
      <c r="IM875" s="16"/>
      <c r="IN875" s="16"/>
      <c r="IO875" s="16"/>
      <c r="IP875" s="16"/>
      <c r="IQ875" s="16"/>
      <c r="IR875" s="17"/>
      <c r="IV875" s="24"/>
      <c r="IW875" s="60"/>
      <c r="IX875" s="16"/>
      <c r="IY875" s="16"/>
      <c r="IZ875" s="16"/>
      <c r="JA875" s="16"/>
      <c r="JB875" s="16"/>
      <c r="JC875" s="17"/>
      <c r="JG875" s="24"/>
      <c r="JH875" s="60"/>
      <c r="JI875" s="16"/>
      <c r="JJ875" s="16"/>
      <c r="JK875" s="16"/>
      <c r="JL875" s="16"/>
      <c r="JM875" s="16"/>
      <c r="JN875" s="17"/>
      <c r="JR875" s="24"/>
      <c r="JS875" s="60"/>
      <c r="JT875" s="16"/>
      <c r="JU875" s="16"/>
      <c r="JV875" s="16"/>
      <c r="JW875" s="16"/>
      <c r="JX875" s="16"/>
      <c r="JY875" s="17"/>
      <c r="KC875" s="24"/>
      <c r="KD875" s="60"/>
      <c r="KE875" s="16"/>
      <c r="KF875" s="16"/>
      <c r="KG875" s="16"/>
      <c r="KH875" s="16"/>
      <c r="KI875" s="16"/>
      <c r="KJ875" s="17"/>
      <c r="KN875" s="24"/>
      <c r="KO875" s="60"/>
      <c r="KP875" s="16"/>
      <c r="KQ875" s="16"/>
      <c r="KR875" s="16"/>
      <c r="KS875" s="16"/>
      <c r="KT875" s="16"/>
      <c r="KU875" s="17"/>
      <c r="KY875" s="24"/>
      <c r="KZ875" s="60"/>
      <c r="LA875" s="16"/>
      <c r="LB875" s="16"/>
      <c r="LC875" s="16"/>
      <c r="LD875" s="16"/>
      <c r="LE875" s="16"/>
      <c r="LF875" s="17"/>
      <c r="LJ875" s="24"/>
      <c r="LK875" s="60"/>
      <c r="LL875" s="16"/>
      <c r="LM875" s="16"/>
      <c r="LN875" s="16"/>
      <c r="LO875" s="16"/>
      <c r="LP875" s="16"/>
      <c r="LQ875" s="17"/>
    </row>
    <row r="876">
      <c r="C876" s="31"/>
      <c r="D876" s="61"/>
      <c r="E876" s="16"/>
      <c r="F876" s="16"/>
      <c r="G876" s="21"/>
      <c r="H876" s="16"/>
      <c r="I876" s="16"/>
      <c r="J876" s="17"/>
      <c r="N876" s="17"/>
      <c r="O876" s="61"/>
      <c r="P876" s="16"/>
      <c r="Q876" s="16"/>
      <c r="R876" s="16"/>
      <c r="S876" s="16"/>
      <c r="T876" s="16"/>
      <c r="U876" s="17"/>
      <c r="Y876" s="24"/>
      <c r="Z876" s="61"/>
      <c r="AA876" s="16"/>
      <c r="AB876" s="16"/>
      <c r="AC876" s="16"/>
      <c r="AD876" s="16"/>
      <c r="AE876" s="16"/>
      <c r="AF876" s="17"/>
      <c r="AJ876" s="24"/>
      <c r="AK876" s="61"/>
      <c r="AL876" s="16"/>
      <c r="AM876" s="16"/>
      <c r="AN876" s="16"/>
      <c r="AO876" s="16"/>
      <c r="AP876" s="16"/>
      <c r="AQ876" s="17"/>
      <c r="AU876" s="24"/>
      <c r="AV876" s="61"/>
      <c r="AW876" s="16"/>
      <c r="AX876" s="16"/>
      <c r="AY876" s="16"/>
      <c r="AZ876" s="16"/>
      <c r="BA876" s="16"/>
      <c r="BB876" s="17"/>
      <c r="BF876" s="24"/>
      <c r="BG876" s="61"/>
      <c r="BH876" s="16"/>
      <c r="BI876" s="16"/>
      <c r="BJ876" s="16"/>
      <c r="BK876" s="16"/>
      <c r="BL876" s="16"/>
      <c r="BM876" s="17"/>
      <c r="BQ876" s="24"/>
      <c r="BR876" s="61"/>
      <c r="BS876" s="16"/>
      <c r="BT876" s="16"/>
      <c r="BU876" s="16"/>
      <c r="BV876" s="16"/>
      <c r="BW876" s="16"/>
      <c r="BX876" s="17"/>
      <c r="CB876" s="24"/>
      <c r="CC876" s="61"/>
      <c r="CD876" s="16"/>
      <c r="CE876" s="16"/>
      <c r="CF876" s="16"/>
      <c r="CG876" s="16"/>
      <c r="CH876" s="16"/>
      <c r="CI876" s="17"/>
      <c r="CM876" s="24"/>
      <c r="CN876" s="61"/>
      <c r="CO876" s="16"/>
      <c r="CP876" s="16"/>
      <c r="CQ876" s="16"/>
      <c r="CR876" s="16"/>
      <c r="CS876" s="16"/>
      <c r="CT876" s="17"/>
      <c r="CX876" s="24"/>
      <c r="CY876" s="60"/>
      <c r="CZ876" s="16"/>
      <c r="DA876" s="16"/>
      <c r="DB876" s="16"/>
      <c r="DC876" s="16"/>
      <c r="DD876" s="16"/>
      <c r="DE876" s="17"/>
      <c r="DI876" s="24"/>
      <c r="DJ876" s="60"/>
      <c r="DK876" s="16"/>
      <c r="DL876" s="16"/>
      <c r="DM876" s="16"/>
      <c r="DN876" s="16"/>
      <c r="DO876" s="16"/>
      <c r="DP876" s="17"/>
      <c r="DT876" s="24"/>
      <c r="DU876" s="60"/>
      <c r="DV876" s="16"/>
      <c r="DW876" s="16"/>
      <c r="DX876" s="16"/>
      <c r="DY876" s="16"/>
      <c r="DZ876" s="16"/>
      <c r="EA876" s="17"/>
      <c r="EE876" s="24"/>
      <c r="EF876" s="60"/>
      <c r="EG876" s="16"/>
      <c r="EH876" s="16"/>
      <c r="EI876" s="16"/>
      <c r="EJ876" s="16"/>
      <c r="EK876" s="16"/>
      <c r="EL876" s="17"/>
      <c r="EP876" s="24"/>
      <c r="EQ876" s="60"/>
      <c r="ER876" s="16"/>
      <c r="ES876" s="16"/>
      <c r="ET876" s="16"/>
      <c r="EU876" s="16"/>
      <c r="EV876" s="16"/>
      <c r="EW876" s="17"/>
      <c r="FA876" s="24"/>
      <c r="FB876" s="60"/>
      <c r="FC876" s="16"/>
      <c r="FD876" s="16"/>
      <c r="FE876" s="16"/>
      <c r="FF876" s="16"/>
      <c r="FG876" s="16"/>
      <c r="FH876" s="17"/>
      <c r="FL876" s="24"/>
      <c r="FM876" s="60"/>
      <c r="FN876" s="16"/>
      <c r="FO876" s="16"/>
      <c r="FP876" s="16"/>
      <c r="FQ876" s="16"/>
      <c r="FR876" s="16"/>
      <c r="FS876" s="17"/>
      <c r="FW876" s="24"/>
      <c r="FX876" s="60"/>
      <c r="FY876" s="16"/>
      <c r="FZ876" s="16"/>
      <c r="GA876" s="16"/>
      <c r="GB876" s="16"/>
      <c r="GC876" s="16"/>
      <c r="GD876" s="17"/>
      <c r="GH876" s="24"/>
      <c r="GI876" s="60"/>
      <c r="GJ876" s="16"/>
      <c r="GK876" s="16"/>
      <c r="GL876" s="16"/>
      <c r="GM876" s="16"/>
      <c r="GN876" s="16"/>
      <c r="GO876" s="17"/>
      <c r="GS876" s="24"/>
      <c r="GT876" s="60"/>
      <c r="GU876" s="16"/>
      <c r="GV876" s="16"/>
      <c r="GW876" s="16"/>
      <c r="GX876" s="16"/>
      <c r="GY876" s="16"/>
      <c r="GZ876" s="17"/>
      <c r="HD876" s="24"/>
      <c r="HE876" s="60"/>
      <c r="HF876" s="16"/>
      <c r="HG876" s="16"/>
      <c r="HH876" s="16"/>
      <c r="HI876" s="16"/>
      <c r="HJ876" s="16"/>
      <c r="HK876" s="17"/>
      <c r="HO876" s="24"/>
      <c r="HP876" s="60"/>
      <c r="HQ876" s="16"/>
      <c r="HR876" s="16"/>
      <c r="HS876" s="16"/>
      <c r="HT876" s="16"/>
      <c r="HU876" s="16"/>
      <c r="HV876" s="17"/>
      <c r="HZ876" s="24"/>
      <c r="IA876" s="60"/>
      <c r="IB876" s="16"/>
      <c r="IC876" s="16"/>
      <c r="ID876" s="16"/>
      <c r="IE876" s="16"/>
      <c r="IF876" s="16"/>
      <c r="IG876" s="17"/>
      <c r="IK876" s="24"/>
      <c r="IL876" s="60"/>
      <c r="IM876" s="16"/>
      <c r="IN876" s="16"/>
      <c r="IO876" s="16"/>
      <c r="IP876" s="16"/>
      <c r="IQ876" s="16"/>
      <c r="IR876" s="17"/>
      <c r="IV876" s="24"/>
      <c r="IW876" s="60"/>
      <c r="IX876" s="16"/>
      <c r="IY876" s="16"/>
      <c r="IZ876" s="16"/>
      <c r="JA876" s="16"/>
      <c r="JB876" s="16"/>
      <c r="JC876" s="17"/>
      <c r="JG876" s="24"/>
      <c r="JH876" s="60"/>
      <c r="JI876" s="16"/>
      <c r="JJ876" s="16"/>
      <c r="JK876" s="16"/>
      <c r="JL876" s="16"/>
      <c r="JM876" s="16"/>
      <c r="JN876" s="17"/>
      <c r="JR876" s="24"/>
      <c r="JS876" s="60"/>
      <c r="JT876" s="16"/>
      <c r="JU876" s="16"/>
      <c r="JV876" s="16"/>
      <c r="JW876" s="16"/>
      <c r="JX876" s="16"/>
      <c r="JY876" s="17"/>
      <c r="KC876" s="24"/>
      <c r="KD876" s="60"/>
      <c r="KE876" s="16"/>
      <c r="KF876" s="16"/>
      <c r="KG876" s="16"/>
      <c r="KH876" s="16"/>
      <c r="KI876" s="16"/>
      <c r="KJ876" s="17"/>
      <c r="KN876" s="24"/>
      <c r="KO876" s="60"/>
      <c r="KP876" s="16"/>
      <c r="KQ876" s="16"/>
      <c r="KR876" s="16"/>
      <c r="KS876" s="16"/>
      <c r="KT876" s="16"/>
      <c r="KU876" s="17"/>
      <c r="KY876" s="24"/>
      <c r="KZ876" s="60"/>
      <c r="LA876" s="16"/>
      <c r="LB876" s="16"/>
      <c r="LC876" s="16"/>
      <c r="LD876" s="16"/>
      <c r="LE876" s="16"/>
      <c r="LF876" s="17"/>
      <c r="LJ876" s="24"/>
      <c r="LK876" s="60"/>
      <c r="LL876" s="16"/>
      <c r="LM876" s="16"/>
      <c r="LN876" s="16"/>
      <c r="LO876" s="16"/>
      <c r="LP876" s="16"/>
      <c r="LQ876" s="17"/>
    </row>
    <row r="877">
      <c r="C877" s="31"/>
      <c r="D877" s="61"/>
      <c r="E877" s="16"/>
      <c r="F877" s="16"/>
      <c r="G877" s="21"/>
      <c r="H877" s="16"/>
      <c r="I877" s="16"/>
      <c r="J877" s="17"/>
      <c r="N877" s="17"/>
      <c r="O877" s="61"/>
      <c r="P877" s="16"/>
      <c r="Q877" s="16"/>
      <c r="R877" s="16"/>
      <c r="S877" s="16"/>
      <c r="T877" s="16"/>
      <c r="U877" s="17"/>
      <c r="Y877" s="24"/>
      <c r="Z877" s="61"/>
      <c r="AA877" s="16"/>
      <c r="AB877" s="16"/>
      <c r="AC877" s="16"/>
      <c r="AD877" s="16"/>
      <c r="AE877" s="16"/>
      <c r="AF877" s="17"/>
      <c r="AJ877" s="24"/>
      <c r="AK877" s="61"/>
      <c r="AL877" s="16"/>
      <c r="AM877" s="16"/>
      <c r="AN877" s="16"/>
      <c r="AO877" s="16"/>
      <c r="AP877" s="16"/>
      <c r="AQ877" s="17"/>
      <c r="AU877" s="24"/>
      <c r="AV877" s="61"/>
      <c r="AW877" s="16"/>
      <c r="AX877" s="16"/>
      <c r="AY877" s="16"/>
      <c r="AZ877" s="16"/>
      <c r="BA877" s="16"/>
      <c r="BB877" s="17"/>
      <c r="BF877" s="24"/>
      <c r="BG877" s="61"/>
      <c r="BH877" s="16"/>
      <c r="BI877" s="16"/>
      <c r="BJ877" s="16"/>
      <c r="BK877" s="16"/>
      <c r="BL877" s="16"/>
      <c r="BM877" s="17"/>
      <c r="BQ877" s="24"/>
      <c r="BR877" s="61"/>
      <c r="BS877" s="16"/>
      <c r="BT877" s="16"/>
      <c r="BU877" s="16"/>
      <c r="BV877" s="16"/>
      <c r="BW877" s="16"/>
      <c r="BX877" s="17"/>
      <c r="CB877" s="24"/>
      <c r="CC877" s="61"/>
      <c r="CD877" s="16"/>
      <c r="CE877" s="16"/>
      <c r="CF877" s="16"/>
      <c r="CG877" s="16"/>
      <c r="CH877" s="16"/>
      <c r="CI877" s="17"/>
      <c r="CM877" s="24"/>
      <c r="CN877" s="61"/>
      <c r="CO877" s="16"/>
      <c r="CP877" s="16"/>
      <c r="CQ877" s="16"/>
      <c r="CR877" s="16"/>
      <c r="CS877" s="16"/>
      <c r="CT877" s="17"/>
      <c r="CX877" s="24"/>
      <c r="CY877" s="60"/>
      <c r="CZ877" s="16"/>
      <c r="DA877" s="16"/>
      <c r="DB877" s="16"/>
      <c r="DC877" s="16"/>
      <c r="DD877" s="16"/>
      <c r="DE877" s="17"/>
      <c r="DI877" s="24"/>
      <c r="DJ877" s="60"/>
      <c r="DK877" s="16"/>
      <c r="DL877" s="16"/>
      <c r="DM877" s="16"/>
      <c r="DN877" s="16"/>
      <c r="DO877" s="16"/>
      <c r="DP877" s="17"/>
      <c r="DT877" s="24"/>
      <c r="DU877" s="60"/>
      <c r="DV877" s="16"/>
      <c r="DW877" s="16"/>
      <c r="DX877" s="16"/>
      <c r="DY877" s="16"/>
      <c r="DZ877" s="16"/>
      <c r="EA877" s="17"/>
      <c r="EE877" s="24"/>
      <c r="EF877" s="60"/>
      <c r="EG877" s="16"/>
      <c r="EH877" s="16"/>
      <c r="EI877" s="16"/>
      <c r="EJ877" s="16"/>
      <c r="EK877" s="16"/>
      <c r="EL877" s="17"/>
      <c r="EP877" s="24"/>
      <c r="EQ877" s="60"/>
      <c r="ER877" s="16"/>
      <c r="ES877" s="16"/>
      <c r="ET877" s="16"/>
      <c r="EU877" s="16"/>
      <c r="EV877" s="16"/>
      <c r="EW877" s="17"/>
      <c r="FA877" s="24"/>
      <c r="FB877" s="60"/>
      <c r="FC877" s="16"/>
      <c r="FD877" s="16"/>
      <c r="FE877" s="16"/>
      <c r="FF877" s="16"/>
      <c r="FG877" s="16"/>
      <c r="FH877" s="17"/>
      <c r="FL877" s="24"/>
      <c r="FM877" s="60"/>
      <c r="FN877" s="16"/>
      <c r="FO877" s="16"/>
      <c r="FP877" s="16"/>
      <c r="FQ877" s="16"/>
      <c r="FR877" s="16"/>
      <c r="FS877" s="17"/>
      <c r="FW877" s="24"/>
      <c r="FX877" s="60"/>
      <c r="FY877" s="16"/>
      <c r="FZ877" s="16"/>
      <c r="GA877" s="16"/>
      <c r="GB877" s="16"/>
      <c r="GC877" s="16"/>
      <c r="GD877" s="17"/>
      <c r="GH877" s="24"/>
      <c r="GI877" s="60"/>
      <c r="GJ877" s="16"/>
      <c r="GK877" s="16"/>
      <c r="GL877" s="16"/>
      <c r="GM877" s="16"/>
      <c r="GN877" s="16"/>
      <c r="GO877" s="17"/>
      <c r="GS877" s="24"/>
      <c r="GT877" s="60"/>
      <c r="GU877" s="16"/>
      <c r="GV877" s="16"/>
      <c r="GW877" s="16"/>
      <c r="GX877" s="16"/>
      <c r="GY877" s="16"/>
      <c r="GZ877" s="17"/>
      <c r="HD877" s="24"/>
      <c r="HE877" s="60"/>
      <c r="HF877" s="16"/>
      <c r="HG877" s="16"/>
      <c r="HH877" s="16"/>
      <c r="HI877" s="16"/>
      <c r="HJ877" s="16"/>
      <c r="HK877" s="17"/>
      <c r="HO877" s="24"/>
      <c r="HP877" s="60"/>
      <c r="HQ877" s="16"/>
      <c r="HR877" s="16"/>
      <c r="HS877" s="16"/>
      <c r="HT877" s="16"/>
      <c r="HU877" s="16"/>
      <c r="HV877" s="17"/>
      <c r="HZ877" s="24"/>
      <c r="IA877" s="60"/>
      <c r="IB877" s="16"/>
      <c r="IC877" s="16"/>
      <c r="ID877" s="16"/>
      <c r="IE877" s="16"/>
      <c r="IF877" s="16"/>
      <c r="IG877" s="17"/>
      <c r="IK877" s="24"/>
      <c r="IL877" s="60"/>
      <c r="IM877" s="16"/>
      <c r="IN877" s="16"/>
      <c r="IO877" s="16"/>
      <c r="IP877" s="16"/>
      <c r="IQ877" s="16"/>
      <c r="IR877" s="17"/>
      <c r="IV877" s="24"/>
      <c r="IW877" s="60"/>
      <c r="IX877" s="16"/>
      <c r="IY877" s="16"/>
      <c r="IZ877" s="16"/>
      <c r="JA877" s="16"/>
      <c r="JB877" s="16"/>
      <c r="JC877" s="17"/>
      <c r="JG877" s="24"/>
      <c r="JH877" s="60"/>
      <c r="JI877" s="16"/>
      <c r="JJ877" s="16"/>
      <c r="JK877" s="16"/>
      <c r="JL877" s="16"/>
      <c r="JM877" s="16"/>
      <c r="JN877" s="17"/>
      <c r="JR877" s="24"/>
      <c r="JS877" s="60"/>
      <c r="JT877" s="16"/>
      <c r="JU877" s="16"/>
      <c r="JV877" s="16"/>
      <c r="JW877" s="16"/>
      <c r="JX877" s="16"/>
      <c r="JY877" s="17"/>
      <c r="KC877" s="24"/>
      <c r="KD877" s="60"/>
      <c r="KE877" s="16"/>
      <c r="KF877" s="16"/>
      <c r="KG877" s="16"/>
      <c r="KH877" s="16"/>
      <c r="KI877" s="16"/>
      <c r="KJ877" s="17"/>
      <c r="KN877" s="24"/>
      <c r="KO877" s="60"/>
      <c r="KP877" s="16"/>
      <c r="KQ877" s="16"/>
      <c r="KR877" s="16"/>
      <c r="KS877" s="16"/>
      <c r="KT877" s="16"/>
      <c r="KU877" s="17"/>
      <c r="KY877" s="24"/>
      <c r="KZ877" s="60"/>
      <c r="LA877" s="16"/>
      <c r="LB877" s="16"/>
      <c r="LC877" s="16"/>
      <c r="LD877" s="16"/>
      <c r="LE877" s="16"/>
      <c r="LF877" s="17"/>
      <c r="LJ877" s="24"/>
      <c r="LK877" s="60"/>
      <c r="LL877" s="16"/>
      <c r="LM877" s="16"/>
      <c r="LN877" s="16"/>
      <c r="LO877" s="16"/>
      <c r="LP877" s="16"/>
      <c r="LQ877" s="17"/>
    </row>
    <row r="878">
      <c r="C878" s="31"/>
      <c r="D878" s="61"/>
      <c r="E878" s="16"/>
      <c r="F878" s="16"/>
      <c r="G878" s="21"/>
      <c r="H878" s="16"/>
      <c r="I878" s="16"/>
      <c r="J878" s="17"/>
      <c r="N878" s="17"/>
      <c r="O878" s="61"/>
      <c r="P878" s="16"/>
      <c r="Q878" s="16"/>
      <c r="R878" s="16"/>
      <c r="S878" s="16"/>
      <c r="T878" s="16"/>
      <c r="U878" s="17"/>
      <c r="Y878" s="24"/>
      <c r="Z878" s="61"/>
      <c r="AA878" s="16"/>
      <c r="AB878" s="16"/>
      <c r="AC878" s="16"/>
      <c r="AD878" s="16"/>
      <c r="AE878" s="16"/>
      <c r="AF878" s="17"/>
      <c r="AJ878" s="24"/>
      <c r="AK878" s="61"/>
      <c r="AL878" s="16"/>
      <c r="AM878" s="16"/>
      <c r="AN878" s="16"/>
      <c r="AO878" s="16"/>
      <c r="AP878" s="16"/>
      <c r="AQ878" s="17"/>
      <c r="AU878" s="24"/>
      <c r="AV878" s="61"/>
      <c r="AW878" s="16"/>
      <c r="AX878" s="16"/>
      <c r="AY878" s="16"/>
      <c r="AZ878" s="16"/>
      <c r="BA878" s="16"/>
      <c r="BB878" s="17"/>
      <c r="BF878" s="24"/>
      <c r="BG878" s="61"/>
      <c r="BH878" s="16"/>
      <c r="BI878" s="16"/>
      <c r="BJ878" s="16"/>
      <c r="BK878" s="16"/>
      <c r="BL878" s="16"/>
      <c r="BM878" s="17"/>
      <c r="BQ878" s="24"/>
      <c r="BR878" s="61"/>
      <c r="BS878" s="16"/>
      <c r="BT878" s="16"/>
      <c r="BU878" s="16"/>
      <c r="BV878" s="16"/>
      <c r="BW878" s="16"/>
      <c r="BX878" s="17"/>
      <c r="CB878" s="24"/>
      <c r="CC878" s="61"/>
      <c r="CD878" s="16"/>
      <c r="CE878" s="16"/>
      <c r="CF878" s="16"/>
      <c r="CG878" s="16"/>
      <c r="CH878" s="16"/>
      <c r="CI878" s="17"/>
      <c r="CM878" s="24"/>
      <c r="CN878" s="61"/>
      <c r="CO878" s="16"/>
      <c r="CP878" s="16"/>
      <c r="CQ878" s="16"/>
      <c r="CR878" s="16"/>
      <c r="CS878" s="16"/>
      <c r="CT878" s="17"/>
      <c r="CX878" s="24"/>
      <c r="CY878" s="60"/>
      <c r="CZ878" s="16"/>
      <c r="DA878" s="16"/>
      <c r="DB878" s="16"/>
      <c r="DC878" s="16"/>
      <c r="DD878" s="16"/>
      <c r="DE878" s="17"/>
      <c r="DI878" s="24"/>
      <c r="DJ878" s="60"/>
      <c r="DK878" s="16"/>
      <c r="DL878" s="16"/>
      <c r="DM878" s="16"/>
      <c r="DN878" s="16"/>
      <c r="DO878" s="16"/>
      <c r="DP878" s="17"/>
      <c r="DT878" s="24"/>
      <c r="DU878" s="60"/>
      <c r="DV878" s="16"/>
      <c r="DW878" s="16"/>
      <c r="DX878" s="16"/>
      <c r="DY878" s="16"/>
      <c r="DZ878" s="16"/>
      <c r="EA878" s="17"/>
      <c r="EE878" s="24"/>
      <c r="EF878" s="60"/>
      <c r="EG878" s="16"/>
      <c r="EH878" s="16"/>
      <c r="EI878" s="16"/>
      <c r="EJ878" s="16"/>
      <c r="EK878" s="16"/>
      <c r="EL878" s="17"/>
      <c r="EP878" s="24"/>
      <c r="EQ878" s="60"/>
      <c r="ER878" s="16"/>
      <c r="ES878" s="16"/>
      <c r="ET878" s="16"/>
      <c r="EU878" s="16"/>
      <c r="EV878" s="16"/>
      <c r="EW878" s="17"/>
      <c r="FA878" s="24"/>
      <c r="FB878" s="60"/>
      <c r="FC878" s="16"/>
      <c r="FD878" s="16"/>
      <c r="FE878" s="16"/>
      <c r="FF878" s="16"/>
      <c r="FG878" s="16"/>
      <c r="FH878" s="17"/>
      <c r="FL878" s="24"/>
      <c r="FM878" s="60"/>
      <c r="FN878" s="16"/>
      <c r="FO878" s="16"/>
      <c r="FP878" s="16"/>
      <c r="FQ878" s="16"/>
      <c r="FR878" s="16"/>
      <c r="FS878" s="17"/>
      <c r="FW878" s="24"/>
      <c r="FX878" s="60"/>
      <c r="FY878" s="16"/>
      <c r="FZ878" s="16"/>
      <c r="GA878" s="16"/>
      <c r="GB878" s="16"/>
      <c r="GC878" s="16"/>
      <c r="GD878" s="17"/>
      <c r="GH878" s="24"/>
      <c r="GI878" s="60"/>
      <c r="GJ878" s="16"/>
      <c r="GK878" s="16"/>
      <c r="GL878" s="16"/>
      <c r="GM878" s="16"/>
      <c r="GN878" s="16"/>
      <c r="GO878" s="17"/>
      <c r="GS878" s="24"/>
      <c r="GT878" s="60"/>
      <c r="GU878" s="16"/>
      <c r="GV878" s="16"/>
      <c r="GW878" s="16"/>
      <c r="GX878" s="16"/>
      <c r="GY878" s="16"/>
      <c r="GZ878" s="17"/>
      <c r="HD878" s="24"/>
      <c r="HE878" s="60"/>
      <c r="HF878" s="16"/>
      <c r="HG878" s="16"/>
      <c r="HH878" s="16"/>
      <c r="HI878" s="16"/>
      <c r="HJ878" s="16"/>
      <c r="HK878" s="17"/>
      <c r="HO878" s="24"/>
      <c r="HP878" s="60"/>
      <c r="HQ878" s="16"/>
      <c r="HR878" s="16"/>
      <c r="HS878" s="16"/>
      <c r="HT878" s="16"/>
      <c r="HU878" s="16"/>
      <c r="HV878" s="17"/>
      <c r="HZ878" s="24"/>
      <c r="IA878" s="60"/>
      <c r="IB878" s="16"/>
      <c r="IC878" s="16"/>
      <c r="ID878" s="16"/>
      <c r="IE878" s="16"/>
      <c r="IF878" s="16"/>
      <c r="IG878" s="17"/>
      <c r="IK878" s="24"/>
      <c r="IL878" s="60"/>
      <c r="IM878" s="16"/>
      <c r="IN878" s="16"/>
      <c r="IO878" s="16"/>
      <c r="IP878" s="16"/>
      <c r="IQ878" s="16"/>
      <c r="IR878" s="17"/>
      <c r="IV878" s="24"/>
      <c r="IW878" s="60"/>
      <c r="IX878" s="16"/>
      <c r="IY878" s="16"/>
      <c r="IZ878" s="16"/>
      <c r="JA878" s="16"/>
      <c r="JB878" s="16"/>
      <c r="JC878" s="17"/>
      <c r="JG878" s="24"/>
      <c r="JH878" s="60"/>
      <c r="JI878" s="16"/>
      <c r="JJ878" s="16"/>
      <c r="JK878" s="16"/>
      <c r="JL878" s="16"/>
      <c r="JM878" s="16"/>
      <c r="JN878" s="17"/>
      <c r="JR878" s="24"/>
      <c r="JS878" s="60"/>
      <c r="JT878" s="16"/>
      <c r="JU878" s="16"/>
      <c r="JV878" s="16"/>
      <c r="JW878" s="16"/>
      <c r="JX878" s="16"/>
      <c r="JY878" s="17"/>
      <c r="KC878" s="24"/>
      <c r="KD878" s="60"/>
      <c r="KE878" s="16"/>
      <c r="KF878" s="16"/>
      <c r="KG878" s="16"/>
      <c r="KH878" s="16"/>
      <c r="KI878" s="16"/>
      <c r="KJ878" s="17"/>
      <c r="KN878" s="24"/>
      <c r="KO878" s="60"/>
      <c r="KP878" s="16"/>
      <c r="KQ878" s="16"/>
      <c r="KR878" s="16"/>
      <c r="KS878" s="16"/>
      <c r="KT878" s="16"/>
      <c r="KU878" s="17"/>
      <c r="KY878" s="24"/>
      <c r="KZ878" s="60"/>
      <c r="LA878" s="16"/>
      <c r="LB878" s="16"/>
      <c r="LC878" s="16"/>
      <c r="LD878" s="16"/>
      <c r="LE878" s="16"/>
      <c r="LF878" s="17"/>
      <c r="LJ878" s="24"/>
      <c r="LK878" s="60"/>
      <c r="LL878" s="16"/>
      <c r="LM878" s="16"/>
      <c r="LN878" s="16"/>
      <c r="LO878" s="16"/>
      <c r="LP878" s="16"/>
      <c r="LQ878" s="17"/>
    </row>
    <row r="879">
      <c r="C879" s="31"/>
      <c r="D879" s="61"/>
      <c r="E879" s="16"/>
      <c r="F879" s="16"/>
      <c r="G879" s="21"/>
      <c r="H879" s="16"/>
      <c r="I879" s="16"/>
      <c r="J879" s="17"/>
      <c r="N879" s="17"/>
      <c r="O879" s="61"/>
      <c r="P879" s="16"/>
      <c r="Q879" s="16"/>
      <c r="R879" s="16"/>
      <c r="S879" s="16"/>
      <c r="T879" s="16"/>
      <c r="U879" s="17"/>
      <c r="Y879" s="24"/>
      <c r="Z879" s="61"/>
      <c r="AA879" s="16"/>
      <c r="AB879" s="16"/>
      <c r="AC879" s="16"/>
      <c r="AD879" s="16"/>
      <c r="AE879" s="16"/>
      <c r="AF879" s="17"/>
      <c r="AJ879" s="24"/>
      <c r="AK879" s="61"/>
      <c r="AL879" s="16"/>
      <c r="AM879" s="16"/>
      <c r="AN879" s="16"/>
      <c r="AO879" s="16"/>
      <c r="AP879" s="16"/>
      <c r="AQ879" s="17"/>
      <c r="AU879" s="24"/>
      <c r="AV879" s="61"/>
      <c r="AW879" s="16"/>
      <c r="AX879" s="16"/>
      <c r="AY879" s="16"/>
      <c r="AZ879" s="16"/>
      <c r="BA879" s="16"/>
      <c r="BB879" s="17"/>
      <c r="BF879" s="24"/>
      <c r="BG879" s="61"/>
      <c r="BH879" s="16"/>
      <c r="BI879" s="16"/>
      <c r="BJ879" s="16"/>
      <c r="BK879" s="16"/>
      <c r="BL879" s="16"/>
      <c r="BM879" s="17"/>
      <c r="BQ879" s="24"/>
      <c r="BR879" s="61"/>
      <c r="BS879" s="16"/>
      <c r="BT879" s="16"/>
      <c r="BU879" s="16"/>
      <c r="BV879" s="16"/>
      <c r="BW879" s="16"/>
      <c r="BX879" s="17"/>
      <c r="CB879" s="24"/>
      <c r="CC879" s="61"/>
      <c r="CD879" s="16"/>
      <c r="CE879" s="16"/>
      <c r="CF879" s="16"/>
      <c r="CG879" s="16"/>
      <c r="CH879" s="16"/>
      <c r="CI879" s="17"/>
      <c r="CM879" s="24"/>
      <c r="CN879" s="61"/>
      <c r="CO879" s="16"/>
      <c r="CP879" s="16"/>
      <c r="CQ879" s="16"/>
      <c r="CR879" s="16"/>
      <c r="CS879" s="16"/>
      <c r="CT879" s="17"/>
      <c r="CX879" s="24"/>
      <c r="CY879" s="60"/>
      <c r="CZ879" s="16"/>
      <c r="DA879" s="16"/>
      <c r="DB879" s="16"/>
      <c r="DC879" s="16"/>
      <c r="DD879" s="16"/>
      <c r="DE879" s="17"/>
      <c r="DI879" s="24"/>
      <c r="DJ879" s="60"/>
      <c r="DK879" s="16"/>
      <c r="DL879" s="16"/>
      <c r="DM879" s="16"/>
      <c r="DN879" s="16"/>
      <c r="DO879" s="16"/>
      <c r="DP879" s="17"/>
      <c r="DT879" s="24"/>
      <c r="DU879" s="60"/>
      <c r="DV879" s="16"/>
      <c r="DW879" s="16"/>
      <c r="DX879" s="16"/>
      <c r="DY879" s="16"/>
      <c r="DZ879" s="16"/>
      <c r="EA879" s="17"/>
      <c r="EE879" s="24"/>
      <c r="EF879" s="60"/>
      <c r="EG879" s="16"/>
      <c r="EH879" s="16"/>
      <c r="EI879" s="16"/>
      <c r="EJ879" s="16"/>
      <c r="EK879" s="16"/>
      <c r="EL879" s="17"/>
      <c r="EP879" s="24"/>
      <c r="EQ879" s="60"/>
      <c r="ER879" s="16"/>
      <c r="ES879" s="16"/>
      <c r="ET879" s="16"/>
      <c r="EU879" s="16"/>
      <c r="EV879" s="16"/>
      <c r="EW879" s="17"/>
      <c r="FA879" s="24"/>
      <c r="FB879" s="60"/>
      <c r="FC879" s="16"/>
      <c r="FD879" s="16"/>
      <c r="FE879" s="16"/>
      <c r="FF879" s="16"/>
      <c r="FG879" s="16"/>
      <c r="FH879" s="17"/>
      <c r="FL879" s="24"/>
      <c r="FM879" s="60"/>
      <c r="FN879" s="16"/>
      <c r="FO879" s="16"/>
      <c r="FP879" s="16"/>
      <c r="FQ879" s="16"/>
      <c r="FR879" s="16"/>
      <c r="FS879" s="17"/>
      <c r="FW879" s="24"/>
      <c r="FX879" s="60"/>
      <c r="FY879" s="16"/>
      <c r="FZ879" s="16"/>
      <c r="GA879" s="16"/>
      <c r="GB879" s="16"/>
      <c r="GC879" s="16"/>
      <c r="GD879" s="17"/>
      <c r="GH879" s="24"/>
      <c r="GI879" s="60"/>
      <c r="GJ879" s="16"/>
      <c r="GK879" s="16"/>
      <c r="GL879" s="16"/>
      <c r="GM879" s="16"/>
      <c r="GN879" s="16"/>
      <c r="GO879" s="17"/>
      <c r="GS879" s="24"/>
      <c r="GT879" s="60"/>
      <c r="GU879" s="16"/>
      <c r="GV879" s="16"/>
      <c r="GW879" s="16"/>
      <c r="GX879" s="16"/>
      <c r="GY879" s="16"/>
      <c r="GZ879" s="17"/>
      <c r="HD879" s="24"/>
      <c r="HE879" s="60"/>
      <c r="HF879" s="16"/>
      <c r="HG879" s="16"/>
      <c r="HH879" s="16"/>
      <c r="HI879" s="16"/>
      <c r="HJ879" s="16"/>
      <c r="HK879" s="17"/>
      <c r="HO879" s="24"/>
      <c r="HP879" s="60"/>
      <c r="HQ879" s="16"/>
      <c r="HR879" s="16"/>
      <c r="HS879" s="16"/>
      <c r="HT879" s="16"/>
      <c r="HU879" s="16"/>
      <c r="HV879" s="17"/>
      <c r="HZ879" s="24"/>
      <c r="IA879" s="60"/>
      <c r="IB879" s="16"/>
      <c r="IC879" s="16"/>
      <c r="ID879" s="16"/>
      <c r="IE879" s="16"/>
      <c r="IF879" s="16"/>
      <c r="IG879" s="17"/>
      <c r="IK879" s="24"/>
      <c r="IL879" s="60"/>
      <c r="IM879" s="16"/>
      <c r="IN879" s="16"/>
      <c r="IO879" s="16"/>
      <c r="IP879" s="16"/>
      <c r="IQ879" s="16"/>
      <c r="IR879" s="17"/>
      <c r="IV879" s="24"/>
      <c r="IW879" s="60"/>
      <c r="IX879" s="16"/>
      <c r="IY879" s="16"/>
      <c r="IZ879" s="16"/>
      <c r="JA879" s="16"/>
      <c r="JB879" s="16"/>
      <c r="JC879" s="17"/>
      <c r="JG879" s="24"/>
      <c r="JH879" s="60"/>
      <c r="JI879" s="16"/>
      <c r="JJ879" s="16"/>
      <c r="JK879" s="16"/>
      <c r="JL879" s="16"/>
      <c r="JM879" s="16"/>
      <c r="JN879" s="17"/>
      <c r="JR879" s="24"/>
      <c r="JS879" s="60"/>
      <c r="JT879" s="16"/>
      <c r="JU879" s="16"/>
      <c r="JV879" s="16"/>
      <c r="JW879" s="16"/>
      <c r="JX879" s="16"/>
      <c r="JY879" s="17"/>
      <c r="KC879" s="24"/>
      <c r="KD879" s="60"/>
      <c r="KE879" s="16"/>
      <c r="KF879" s="16"/>
      <c r="KG879" s="16"/>
      <c r="KH879" s="16"/>
      <c r="KI879" s="16"/>
      <c r="KJ879" s="17"/>
      <c r="KN879" s="24"/>
      <c r="KO879" s="60"/>
      <c r="KP879" s="16"/>
      <c r="KQ879" s="16"/>
      <c r="KR879" s="16"/>
      <c r="KS879" s="16"/>
      <c r="KT879" s="16"/>
      <c r="KU879" s="17"/>
      <c r="KY879" s="24"/>
      <c r="KZ879" s="60"/>
      <c r="LA879" s="16"/>
      <c r="LB879" s="16"/>
      <c r="LC879" s="16"/>
      <c r="LD879" s="16"/>
      <c r="LE879" s="16"/>
      <c r="LF879" s="17"/>
      <c r="LJ879" s="24"/>
      <c r="LK879" s="60"/>
      <c r="LL879" s="16"/>
      <c r="LM879" s="16"/>
      <c r="LN879" s="16"/>
      <c r="LO879" s="16"/>
      <c r="LP879" s="16"/>
      <c r="LQ879" s="17"/>
    </row>
    <row r="880">
      <c r="C880" s="31"/>
      <c r="D880" s="61"/>
      <c r="E880" s="16"/>
      <c r="F880" s="16"/>
      <c r="G880" s="21"/>
      <c r="H880" s="16"/>
      <c r="I880" s="16"/>
      <c r="J880" s="17"/>
      <c r="N880" s="17"/>
      <c r="O880" s="61"/>
      <c r="P880" s="16"/>
      <c r="Q880" s="16"/>
      <c r="R880" s="16"/>
      <c r="S880" s="16"/>
      <c r="T880" s="16"/>
      <c r="U880" s="17"/>
      <c r="Y880" s="24"/>
      <c r="Z880" s="61"/>
      <c r="AA880" s="16"/>
      <c r="AB880" s="16"/>
      <c r="AC880" s="16"/>
      <c r="AD880" s="16"/>
      <c r="AE880" s="16"/>
      <c r="AF880" s="17"/>
      <c r="AJ880" s="24"/>
      <c r="AK880" s="61"/>
      <c r="AL880" s="16"/>
      <c r="AM880" s="16"/>
      <c r="AN880" s="16"/>
      <c r="AO880" s="16"/>
      <c r="AP880" s="16"/>
      <c r="AQ880" s="17"/>
      <c r="AU880" s="24"/>
      <c r="AV880" s="61"/>
      <c r="AW880" s="16"/>
      <c r="AX880" s="16"/>
      <c r="AY880" s="16"/>
      <c r="AZ880" s="16"/>
      <c r="BA880" s="16"/>
      <c r="BB880" s="17"/>
      <c r="BF880" s="24"/>
      <c r="BG880" s="61"/>
      <c r="BH880" s="16"/>
      <c r="BI880" s="16"/>
      <c r="BJ880" s="16"/>
      <c r="BK880" s="16"/>
      <c r="BL880" s="16"/>
      <c r="BM880" s="17"/>
      <c r="BQ880" s="24"/>
      <c r="BR880" s="61"/>
      <c r="BS880" s="16"/>
      <c r="BT880" s="16"/>
      <c r="BU880" s="16"/>
      <c r="BV880" s="16"/>
      <c r="BW880" s="16"/>
      <c r="BX880" s="17"/>
      <c r="CB880" s="24"/>
      <c r="CC880" s="61"/>
      <c r="CD880" s="16"/>
      <c r="CE880" s="16"/>
      <c r="CF880" s="16"/>
      <c r="CG880" s="16"/>
      <c r="CH880" s="16"/>
      <c r="CI880" s="17"/>
      <c r="CM880" s="24"/>
      <c r="CN880" s="61"/>
      <c r="CO880" s="16"/>
      <c r="CP880" s="16"/>
      <c r="CQ880" s="16"/>
      <c r="CR880" s="16"/>
      <c r="CS880" s="16"/>
      <c r="CT880" s="17"/>
      <c r="CX880" s="24"/>
      <c r="CY880" s="60"/>
      <c r="CZ880" s="16"/>
      <c r="DA880" s="16"/>
      <c r="DB880" s="16"/>
      <c r="DC880" s="16"/>
      <c r="DD880" s="16"/>
      <c r="DE880" s="17"/>
      <c r="DI880" s="24"/>
      <c r="DJ880" s="60"/>
      <c r="DK880" s="16"/>
      <c r="DL880" s="16"/>
      <c r="DM880" s="16"/>
      <c r="DN880" s="16"/>
      <c r="DO880" s="16"/>
      <c r="DP880" s="17"/>
      <c r="DT880" s="24"/>
      <c r="DU880" s="60"/>
      <c r="DV880" s="16"/>
      <c r="DW880" s="16"/>
      <c r="DX880" s="16"/>
      <c r="DY880" s="16"/>
      <c r="DZ880" s="16"/>
      <c r="EA880" s="17"/>
      <c r="EE880" s="24"/>
      <c r="EF880" s="60"/>
      <c r="EG880" s="16"/>
      <c r="EH880" s="16"/>
      <c r="EI880" s="16"/>
      <c r="EJ880" s="16"/>
      <c r="EK880" s="16"/>
      <c r="EL880" s="17"/>
      <c r="EP880" s="24"/>
      <c r="EQ880" s="60"/>
      <c r="ER880" s="16"/>
      <c r="ES880" s="16"/>
      <c r="ET880" s="16"/>
      <c r="EU880" s="16"/>
      <c r="EV880" s="16"/>
      <c r="EW880" s="17"/>
      <c r="FA880" s="24"/>
      <c r="FB880" s="60"/>
      <c r="FC880" s="16"/>
      <c r="FD880" s="16"/>
      <c r="FE880" s="16"/>
      <c r="FF880" s="16"/>
      <c r="FG880" s="16"/>
      <c r="FH880" s="17"/>
      <c r="FL880" s="24"/>
      <c r="FM880" s="60"/>
      <c r="FN880" s="16"/>
      <c r="FO880" s="16"/>
      <c r="FP880" s="16"/>
      <c r="FQ880" s="16"/>
      <c r="FR880" s="16"/>
      <c r="FS880" s="17"/>
      <c r="FW880" s="24"/>
      <c r="FX880" s="60"/>
      <c r="FY880" s="16"/>
      <c r="FZ880" s="16"/>
      <c r="GA880" s="16"/>
      <c r="GB880" s="16"/>
      <c r="GC880" s="16"/>
      <c r="GD880" s="17"/>
      <c r="GH880" s="24"/>
      <c r="GI880" s="60"/>
      <c r="GJ880" s="16"/>
      <c r="GK880" s="16"/>
      <c r="GL880" s="16"/>
      <c r="GM880" s="16"/>
      <c r="GN880" s="16"/>
      <c r="GO880" s="17"/>
      <c r="GS880" s="24"/>
      <c r="GT880" s="60"/>
      <c r="GU880" s="16"/>
      <c r="GV880" s="16"/>
      <c r="GW880" s="16"/>
      <c r="GX880" s="16"/>
      <c r="GY880" s="16"/>
      <c r="GZ880" s="17"/>
      <c r="HD880" s="24"/>
      <c r="HE880" s="60"/>
      <c r="HF880" s="16"/>
      <c r="HG880" s="16"/>
      <c r="HH880" s="16"/>
      <c r="HI880" s="16"/>
      <c r="HJ880" s="16"/>
      <c r="HK880" s="17"/>
      <c r="HO880" s="24"/>
      <c r="HP880" s="60"/>
      <c r="HQ880" s="16"/>
      <c r="HR880" s="16"/>
      <c r="HS880" s="16"/>
      <c r="HT880" s="16"/>
      <c r="HU880" s="16"/>
      <c r="HV880" s="17"/>
      <c r="HZ880" s="24"/>
      <c r="IA880" s="60"/>
      <c r="IB880" s="16"/>
      <c r="IC880" s="16"/>
      <c r="ID880" s="16"/>
      <c r="IE880" s="16"/>
      <c r="IF880" s="16"/>
      <c r="IG880" s="17"/>
      <c r="IK880" s="24"/>
      <c r="IL880" s="60"/>
      <c r="IM880" s="16"/>
      <c r="IN880" s="16"/>
      <c r="IO880" s="16"/>
      <c r="IP880" s="16"/>
      <c r="IQ880" s="16"/>
      <c r="IR880" s="17"/>
      <c r="IV880" s="24"/>
      <c r="IW880" s="60"/>
      <c r="IX880" s="16"/>
      <c r="IY880" s="16"/>
      <c r="IZ880" s="16"/>
      <c r="JA880" s="16"/>
      <c r="JB880" s="16"/>
      <c r="JC880" s="17"/>
      <c r="JG880" s="24"/>
      <c r="JH880" s="60"/>
      <c r="JI880" s="16"/>
      <c r="JJ880" s="16"/>
      <c r="JK880" s="16"/>
      <c r="JL880" s="16"/>
      <c r="JM880" s="16"/>
      <c r="JN880" s="17"/>
      <c r="JR880" s="24"/>
      <c r="JS880" s="60"/>
      <c r="JT880" s="16"/>
      <c r="JU880" s="16"/>
      <c r="JV880" s="16"/>
      <c r="JW880" s="16"/>
      <c r="JX880" s="16"/>
      <c r="JY880" s="17"/>
      <c r="KC880" s="24"/>
      <c r="KD880" s="60"/>
      <c r="KE880" s="16"/>
      <c r="KF880" s="16"/>
      <c r="KG880" s="16"/>
      <c r="KH880" s="16"/>
      <c r="KI880" s="16"/>
      <c r="KJ880" s="17"/>
      <c r="KN880" s="24"/>
      <c r="KO880" s="60"/>
      <c r="KP880" s="16"/>
      <c r="KQ880" s="16"/>
      <c r="KR880" s="16"/>
      <c r="KS880" s="16"/>
      <c r="KT880" s="16"/>
      <c r="KU880" s="17"/>
      <c r="KY880" s="24"/>
      <c r="KZ880" s="60"/>
      <c r="LA880" s="16"/>
      <c r="LB880" s="16"/>
      <c r="LC880" s="16"/>
      <c r="LD880" s="16"/>
      <c r="LE880" s="16"/>
      <c r="LF880" s="17"/>
      <c r="LJ880" s="24"/>
      <c r="LK880" s="60"/>
      <c r="LL880" s="16"/>
      <c r="LM880" s="16"/>
      <c r="LN880" s="16"/>
      <c r="LO880" s="16"/>
      <c r="LP880" s="16"/>
      <c r="LQ880" s="17"/>
    </row>
    <row r="881">
      <c r="C881" s="31"/>
      <c r="D881" s="61"/>
      <c r="E881" s="16"/>
      <c r="F881" s="16"/>
      <c r="G881" s="21"/>
      <c r="H881" s="16"/>
      <c r="I881" s="16"/>
      <c r="J881" s="17"/>
      <c r="N881" s="17"/>
      <c r="O881" s="61"/>
      <c r="P881" s="16"/>
      <c r="Q881" s="16"/>
      <c r="R881" s="16"/>
      <c r="S881" s="16"/>
      <c r="T881" s="16"/>
      <c r="U881" s="17"/>
      <c r="Y881" s="24"/>
      <c r="Z881" s="61"/>
      <c r="AA881" s="16"/>
      <c r="AB881" s="16"/>
      <c r="AC881" s="16"/>
      <c r="AD881" s="16"/>
      <c r="AE881" s="16"/>
      <c r="AF881" s="17"/>
      <c r="AJ881" s="24"/>
      <c r="AK881" s="61"/>
      <c r="AL881" s="16"/>
      <c r="AM881" s="16"/>
      <c r="AN881" s="16"/>
      <c r="AO881" s="16"/>
      <c r="AP881" s="16"/>
      <c r="AQ881" s="17"/>
      <c r="AU881" s="24"/>
      <c r="AV881" s="61"/>
      <c r="AW881" s="16"/>
      <c r="AX881" s="16"/>
      <c r="AY881" s="16"/>
      <c r="AZ881" s="16"/>
      <c r="BA881" s="16"/>
      <c r="BB881" s="17"/>
      <c r="BF881" s="24"/>
      <c r="BG881" s="61"/>
      <c r="BH881" s="16"/>
      <c r="BI881" s="16"/>
      <c r="BJ881" s="16"/>
      <c r="BK881" s="16"/>
      <c r="BL881" s="16"/>
      <c r="BM881" s="17"/>
      <c r="BQ881" s="24"/>
      <c r="BR881" s="61"/>
      <c r="BS881" s="16"/>
      <c r="BT881" s="16"/>
      <c r="BU881" s="16"/>
      <c r="BV881" s="16"/>
      <c r="BW881" s="16"/>
      <c r="BX881" s="17"/>
      <c r="CB881" s="24"/>
      <c r="CC881" s="61"/>
      <c r="CD881" s="16"/>
      <c r="CE881" s="16"/>
      <c r="CF881" s="16"/>
      <c r="CG881" s="16"/>
      <c r="CH881" s="16"/>
      <c r="CI881" s="17"/>
      <c r="CM881" s="24"/>
      <c r="CN881" s="61"/>
      <c r="CO881" s="16"/>
      <c r="CP881" s="16"/>
      <c r="CQ881" s="16"/>
      <c r="CR881" s="16"/>
      <c r="CS881" s="16"/>
      <c r="CT881" s="17"/>
      <c r="CX881" s="24"/>
      <c r="CY881" s="60"/>
      <c r="CZ881" s="16"/>
      <c r="DA881" s="16"/>
      <c r="DB881" s="16"/>
      <c r="DC881" s="16"/>
      <c r="DD881" s="16"/>
      <c r="DE881" s="17"/>
      <c r="DI881" s="24"/>
      <c r="DJ881" s="60"/>
      <c r="DK881" s="16"/>
      <c r="DL881" s="16"/>
      <c r="DM881" s="16"/>
      <c r="DN881" s="16"/>
      <c r="DO881" s="16"/>
      <c r="DP881" s="17"/>
      <c r="DT881" s="24"/>
      <c r="DU881" s="60"/>
      <c r="DV881" s="16"/>
      <c r="DW881" s="16"/>
      <c r="DX881" s="16"/>
      <c r="DY881" s="16"/>
      <c r="DZ881" s="16"/>
      <c r="EA881" s="17"/>
      <c r="EE881" s="24"/>
      <c r="EF881" s="60"/>
      <c r="EG881" s="16"/>
      <c r="EH881" s="16"/>
      <c r="EI881" s="16"/>
      <c r="EJ881" s="16"/>
      <c r="EK881" s="16"/>
      <c r="EL881" s="17"/>
      <c r="EP881" s="24"/>
      <c r="EQ881" s="60"/>
      <c r="ER881" s="16"/>
      <c r="ES881" s="16"/>
      <c r="ET881" s="16"/>
      <c r="EU881" s="16"/>
      <c r="EV881" s="16"/>
      <c r="EW881" s="17"/>
      <c r="FA881" s="24"/>
      <c r="FB881" s="60"/>
      <c r="FC881" s="16"/>
      <c r="FD881" s="16"/>
      <c r="FE881" s="16"/>
      <c r="FF881" s="16"/>
      <c r="FG881" s="16"/>
      <c r="FH881" s="17"/>
      <c r="FL881" s="24"/>
      <c r="FM881" s="60"/>
      <c r="FN881" s="16"/>
      <c r="FO881" s="16"/>
      <c r="FP881" s="16"/>
      <c r="FQ881" s="16"/>
      <c r="FR881" s="16"/>
      <c r="FS881" s="17"/>
      <c r="FW881" s="24"/>
      <c r="FX881" s="60"/>
      <c r="FY881" s="16"/>
      <c r="FZ881" s="16"/>
      <c r="GA881" s="16"/>
      <c r="GB881" s="16"/>
      <c r="GC881" s="16"/>
      <c r="GD881" s="17"/>
      <c r="GH881" s="24"/>
      <c r="GI881" s="60"/>
      <c r="GJ881" s="16"/>
      <c r="GK881" s="16"/>
      <c r="GL881" s="16"/>
      <c r="GM881" s="16"/>
      <c r="GN881" s="16"/>
      <c r="GO881" s="17"/>
      <c r="GS881" s="24"/>
      <c r="GT881" s="60"/>
      <c r="GU881" s="16"/>
      <c r="GV881" s="16"/>
      <c r="GW881" s="16"/>
      <c r="GX881" s="16"/>
      <c r="GY881" s="16"/>
      <c r="GZ881" s="17"/>
      <c r="HD881" s="24"/>
      <c r="HE881" s="60"/>
      <c r="HF881" s="16"/>
      <c r="HG881" s="16"/>
      <c r="HH881" s="16"/>
      <c r="HI881" s="16"/>
      <c r="HJ881" s="16"/>
      <c r="HK881" s="17"/>
      <c r="HO881" s="24"/>
      <c r="HP881" s="60"/>
      <c r="HQ881" s="16"/>
      <c r="HR881" s="16"/>
      <c r="HS881" s="16"/>
      <c r="HT881" s="16"/>
      <c r="HU881" s="16"/>
      <c r="HV881" s="17"/>
      <c r="HZ881" s="24"/>
      <c r="IA881" s="60"/>
      <c r="IB881" s="16"/>
      <c r="IC881" s="16"/>
      <c r="ID881" s="16"/>
      <c r="IE881" s="16"/>
      <c r="IF881" s="16"/>
      <c r="IG881" s="17"/>
      <c r="IK881" s="24"/>
      <c r="IL881" s="60"/>
      <c r="IM881" s="16"/>
      <c r="IN881" s="16"/>
      <c r="IO881" s="16"/>
      <c r="IP881" s="16"/>
      <c r="IQ881" s="16"/>
      <c r="IR881" s="17"/>
      <c r="IV881" s="24"/>
      <c r="IW881" s="60"/>
      <c r="IX881" s="16"/>
      <c r="IY881" s="16"/>
      <c r="IZ881" s="16"/>
      <c r="JA881" s="16"/>
      <c r="JB881" s="16"/>
      <c r="JC881" s="17"/>
      <c r="JG881" s="24"/>
      <c r="JH881" s="60"/>
      <c r="JI881" s="16"/>
      <c r="JJ881" s="16"/>
      <c r="JK881" s="16"/>
      <c r="JL881" s="16"/>
      <c r="JM881" s="16"/>
      <c r="JN881" s="17"/>
      <c r="JR881" s="24"/>
      <c r="JS881" s="60"/>
      <c r="JT881" s="16"/>
      <c r="JU881" s="16"/>
      <c r="JV881" s="16"/>
      <c r="JW881" s="16"/>
      <c r="JX881" s="16"/>
      <c r="JY881" s="17"/>
      <c r="KC881" s="24"/>
      <c r="KD881" s="60"/>
      <c r="KE881" s="16"/>
      <c r="KF881" s="16"/>
      <c r="KG881" s="16"/>
      <c r="KH881" s="16"/>
      <c r="KI881" s="16"/>
      <c r="KJ881" s="17"/>
      <c r="KN881" s="24"/>
      <c r="KO881" s="60"/>
      <c r="KP881" s="16"/>
      <c r="KQ881" s="16"/>
      <c r="KR881" s="16"/>
      <c r="KS881" s="16"/>
      <c r="KT881" s="16"/>
      <c r="KU881" s="17"/>
      <c r="KY881" s="24"/>
      <c r="KZ881" s="60"/>
      <c r="LA881" s="16"/>
      <c r="LB881" s="16"/>
      <c r="LC881" s="16"/>
      <c r="LD881" s="16"/>
      <c r="LE881" s="16"/>
      <c r="LF881" s="17"/>
      <c r="LJ881" s="24"/>
      <c r="LK881" s="60"/>
      <c r="LL881" s="16"/>
      <c r="LM881" s="16"/>
      <c r="LN881" s="16"/>
      <c r="LO881" s="16"/>
      <c r="LP881" s="16"/>
      <c r="LQ881" s="17"/>
    </row>
    <row r="882">
      <c r="C882" s="31"/>
      <c r="D882" s="61"/>
      <c r="E882" s="16"/>
      <c r="F882" s="16"/>
      <c r="G882" s="21"/>
      <c r="H882" s="16"/>
      <c r="I882" s="16"/>
      <c r="J882" s="17"/>
      <c r="N882" s="17"/>
      <c r="O882" s="61"/>
      <c r="P882" s="16"/>
      <c r="Q882" s="16"/>
      <c r="R882" s="16"/>
      <c r="S882" s="16"/>
      <c r="T882" s="16"/>
      <c r="U882" s="17"/>
      <c r="Y882" s="24"/>
      <c r="Z882" s="61"/>
      <c r="AA882" s="16"/>
      <c r="AB882" s="16"/>
      <c r="AC882" s="16"/>
      <c r="AD882" s="16"/>
      <c r="AE882" s="16"/>
      <c r="AF882" s="17"/>
      <c r="AJ882" s="24"/>
      <c r="AK882" s="61"/>
      <c r="AL882" s="16"/>
      <c r="AM882" s="16"/>
      <c r="AN882" s="16"/>
      <c r="AO882" s="16"/>
      <c r="AP882" s="16"/>
      <c r="AQ882" s="17"/>
      <c r="AU882" s="24"/>
      <c r="AV882" s="61"/>
      <c r="AW882" s="16"/>
      <c r="AX882" s="16"/>
      <c r="AY882" s="16"/>
      <c r="AZ882" s="16"/>
      <c r="BA882" s="16"/>
      <c r="BB882" s="17"/>
      <c r="BF882" s="24"/>
      <c r="BG882" s="61"/>
      <c r="BH882" s="16"/>
      <c r="BI882" s="16"/>
      <c r="BJ882" s="16"/>
      <c r="BK882" s="16"/>
      <c r="BL882" s="16"/>
      <c r="BM882" s="17"/>
      <c r="BQ882" s="24"/>
      <c r="BR882" s="61"/>
      <c r="BS882" s="16"/>
      <c r="BT882" s="16"/>
      <c r="BU882" s="16"/>
      <c r="BV882" s="16"/>
      <c r="BW882" s="16"/>
      <c r="BX882" s="17"/>
      <c r="CB882" s="24"/>
      <c r="CC882" s="61"/>
      <c r="CD882" s="16"/>
      <c r="CE882" s="16"/>
      <c r="CF882" s="16"/>
      <c r="CG882" s="16"/>
      <c r="CH882" s="16"/>
      <c r="CI882" s="17"/>
      <c r="CM882" s="24"/>
      <c r="CN882" s="61"/>
      <c r="CO882" s="16"/>
      <c r="CP882" s="16"/>
      <c r="CQ882" s="16"/>
      <c r="CR882" s="16"/>
      <c r="CS882" s="16"/>
      <c r="CT882" s="17"/>
      <c r="CX882" s="24"/>
      <c r="CY882" s="60"/>
      <c r="CZ882" s="16"/>
      <c r="DA882" s="16"/>
      <c r="DB882" s="16"/>
      <c r="DC882" s="16"/>
      <c r="DD882" s="16"/>
      <c r="DE882" s="17"/>
      <c r="DI882" s="24"/>
      <c r="DJ882" s="60"/>
      <c r="DK882" s="16"/>
      <c r="DL882" s="16"/>
      <c r="DM882" s="16"/>
      <c r="DN882" s="16"/>
      <c r="DO882" s="16"/>
      <c r="DP882" s="17"/>
      <c r="DT882" s="24"/>
      <c r="DU882" s="60"/>
      <c r="DV882" s="16"/>
      <c r="DW882" s="16"/>
      <c r="DX882" s="16"/>
      <c r="DY882" s="16"/>
      <c r="DZ882" s="16"/>
      <c r="EA882" s="17"/>
      <c r="EE882" s="24"/>
      <c r="EF882" s="60"/>
      <c r="EG882" s="16"/>
      <c r="EH882" s="16"/>
      <c r="EI882" s="16"/>
      <c r="EJ882" s="16"/>
      <c r="EK882" s="16"/>
      <c r="EL882" s="17"/>
      <c r="EP882" s="24"/>
      <c r="EQ882" s="60"/>
      <c r="ER882" s="16"/>
      <c r="ES882" s="16"/>
      <c r="ET882" s="16"/>
      <c r="EU882" s="16"/>
      <c r="EV882" s="16"/>
      <c r="EW882" s="17"/>
      <c r="FA882" s="24"/>
      <c r="FB882" s="60"/>
      <c r="FC882" s="16"/>
      <c r="FD882" s="16"/>
      <c r="FE882" s="16"/>
      <c r="FF882" s="16"/>
      <c r="FG882" s="16"/>
      <c r="FH882" s="17"/>
      <c r="FL882" s="24"/>
      <c r="FM882" s="60"/>
      <c r="FN882" s="16"/>
      <c r="FO882" s="16"/>
      <c r="FP882" s="16"/>
      <c r="FQ882" s="16"/>
      <c r="FR882" s="16"/>
      <c r="FS882" s="17"/>
      <c r="FW882" s="24"/>
      <c r="FX882" s="60"/>
      <c r="FY882" s="16"/>
      <c r="FZ882" s="16"/>
      <c r="GA882" s="16"/>
      <c r="GB882" s="16"/>
      <c r="GC882" s="16"/>
      <c r="GD882" s="17"/>
      <c r="GH882" s="24"/>
      <c r="GI882" s="60"/>
      <c r="GJ882" s="16"/>
      <c r="GK882" s="16"/>
      <c r="GL882" s="16"/>
      <c r="GM882" s="16"/>
      <c r="GN882" s="16"/>
      <c r="GO882" s="17"/>
      <c r="GS882" s="24"/>
      <c r="GT882" s="60"/>
      <c r="GU882" s="16"/>
      <c r="GV882" s="16"/>
      <c r="GW882" s="16"/>
      <c r="GX882" s="16"/>
      <c r="GY882" s="16"/>
      <c r="GZ882" s="17"/>
      <c r="HD882" s="24"/>
      <c r="HE882" s="60"/>
      <c r="HF882" s="16"/>
      <c r="HG882" s="16"/>
      <c r="HH882" s="16"/>
      <c r="HI882" s="16"/>
      <c r="HJ882" s="16"/>
      <c r="HK882" s="17"/>
      <c r="HO882" s="24"/>
      <c r="HP882" s="60"/>
      <c r="HQ882" s="16"/>
      <c r="HR882" s="16"/>
      <c r="HS882" s="16"/>
      <c r="HT882" s="16"/>
      <c r="HU882" s="16"/>
      <c r="HV882" s="17"/>
      <c r="HZ882" s="24"/>
      <c r="IA882" s="60"/>
      <c r="IB882" s="16"/>
      <c r="IC882" s="16"/>
      <c r="ID882" s="16"/>
      <c r="IE882" s="16"/>
      <c r="IF882" s="16"/>
      <c r="IG882" s="17"/>
      <c r="IK882" s="24"/>
      <c r="IL882" s="60"/>
      <c r="IM882" s="16"/>
      <c r="IN882" s="16"/>
      <c r="IO882" s="16"/>
      <c r="IP882" s="16"/>
      <c r="IQ882" s="16"/>
      <c r="IR882" s="17"/>
      <c r="IV882" s="24"/>
      <c r="IW882" s="60"/>
      <c r="IX882" s="16"/>
      <c r="IY882" s="16"/>
      <c r="IZ882" s="16"/>
      <c r="JA882" s="16"/>
      <c r="JB882" s="16"/>
      <c r="JC882" s="17"/>
      <c r="JG882" s="24"/>
      <c r="JH882" s="60"/>
      <c r="JI882" s="16"/>
      <c r="JJ882" s="16"/>
      <c r="JK882" s="16"/>
      <c r="JL882" s="16"/>
      <c r="JM882" s="16"/>
      <c r="JN882" s="17"/>
      <c r="JR882" s="24"/>
      <c r="JS882" s="60"/>
      <c r="JT882" s="16"/>
      <c r="JU882" s="16"/>
      <c r="JV882" s="16"/>
      <c r="JW882" s="16"/>
      <c r="JX882" s="16"/>
      <c r="JY882" s="17"/>
      <c r="KC882" s="24"/>
      <c r="KD882" s="60"/>
      <c r="KE882" s="16"/>
      <c r="KF882" s="16"/>
      <c r="KG882" s="16"/>
      <c r="KH882" s="16"/>
      <c r="KI882" s="16"/>
      <c r="KJ882" s="17"/>
      <c r="KN882" s="24"/>
      <c r="KO882" s="60"/>
      <c r="KP882" s="16"/>
      <c r="KQ882" s="16"/>
      <c r="KR882" s="16"/>
      <c r="KS882" s="16"/>
      <c r="KT882" s="16"/>
      <c r="KU882" s="17"/>
      <c r="KY882" s="24"/>
      <c r="KZ882" s="60"/>
      <c r="LA882" s="16"/>
      <c r="LB882" s="16"/>
      <c r="LC882" s="16"/>
      <c r="LD882" s="16"/>
      <c r="LE882" s="16"/>
      <c r="LF882" s="17"/>
      <c r="LJ882" s="24"/>
      <c r="LK882" s="60"/>
      <c r="LL882" s="16"/>
      <c r="LM882" s="16"/>
      <c r="LN882" s="16"/>
      <c r="LO882" s="16"/>
      <c r="LP882" s="16"/>
      <c r="LQ882" s="17"/>
    </row>
    <row r="883">
      <c r="C883" s="31"/>
      <c r="D883" s="61"/>
      <c r="E883" s="16"/>
      <c r="F883" s="16"/>
      <c r="G883" s="21"/>
      <c r="H883" s="16"/>
      <c r="I883" s="16"/>
      <c r="J883" s="17"/>
      <c r="N883" s="17"/>
      <c r="O883" s="61"/>
      <c r="P883" s="16"/>
      <c r="Q883" s="16"/>
      <c r="R883" s="16"/>
      <c r="S883" s="16"/>
      <c r="T883" s="16"/>
      <c r="U883" s="17"/>
      <c r="Y883" s="24"/>
      <c r="Z883" s="61"/>
      <c r="AA883" s="16"/>
      <c r="AB883" s="16"/>
      <c r="AC883" s="16"/>
      <c r="AD883" s="16"/>
      <c r="AE883" s="16"/>
      <c r="AF883" s="17"/>
      <c r="AJ883" s="24"/>
      <c r="AK883" s="61"/>
      <c r="AL883" s="16"/>
      <c r="AM883" s="16"/>
      <c r="AN883" s="16"/>
      <c r="AO883" s="16"/>
      <c r="AP883" s="16"/>
      <c r="AQ883" s="17"/>
      <c r="AU883" s="24"/>
      <c r="AV883" s="61"/>
      <c r="AW883" s="16"/>
      <c r="AX883" s="16"/>
      <c r="AY883" s="16"/>
      <c r="AZ883" s="16"/>
      <c r="BA883" s="16"/>
      <c r="BB883" s="17"/>
      <c r="BF883" s="24"/>
      <c r="BG883" s="61"/>
      <c r="BH883" s="16"/>
      <c r="BI883" s="16"/>
      <c r="BJ883" s="16"/>
      <c r="BK883" s="16"/>
      <c r="BL883" s="16"/>
      <c r="BM883" s="17"/>
      <c r="BQ883" s="24"/>
      <c r="BR883" s="61"/>
      <c r="BS883" s="16"/>
      <c r="BT883" s="16"/>
      <c r="BU883" s="16"/>
      <c r="BV883" s="16"/>
      <c r="BW883" s="16"/>
      <c r="BX883" s="17"/>
      <c r="CB883" s="24"/>
      <c r="CC883" s="61"/>
      <c r="CD883" s="16"/>
      <c r="CE883" s="16"/>
      <c r="CF883" s="16"/>
      <c r="CG883" s="16"/>
      <c r="CH883" s="16"/>
      <c r="CI883" s="17"/>
      <c r="CM883" s="24"/>
      <c r="CN883" s="61"/>
      <c r="CO883" s="16"/>
      <c r="CP883" s="16"/>
      <c r="CQ883" s="16"/>
      <c r="CR883" s="16"/>
      <c r="CS883" s="16"/>
      <c r="CT883" s="17"/>
      <c r="CX883" s="24"/>
      <c r="CY883" s="60"/>
      <c r="CZ883" s="16"/>
      <c r="DA883" s="16"/>
      <c r="DB883" s="16"/>
      <c r="DC883" s="16"/>
      <c r="DD883" s="16"/>
      <c r="DE883" s="17"/>
      <c r="DI883" s="24"/>
      <c r="DJ883" s="60"/>
      <c r="DK883" s="16"/>
      <c r="DL883" s="16"/>
      <c r="DM883" s="16"/>
      <c r="DN883" s="16"/>
      <c r="DO883" s="16"/>
      <c r="DP883" s="17"/>
      <c r="DT883" s="24"/>
      <c r="DU883" s="60"/>
      <c r="DV883" s="16"/>
      <c r="DW883" s="16"/>
      <c r="DX883" s="16"/>
      <c r="DY883" s="16"/>
      <c r="DZ883" s="16"/>
      <c r="EA883" s="17"/>
      <c r="EE883" s="24"/>
      <c r="EF883" s="60"/>
      <c r="EG883" s="16"/>
      <c r="EH883" s="16"/>
      <c r="EI883" s="16"/>
      <c r="EJ883" s="16"/>
      <c r="EK883" s="16"/>
      <c r="EL883" s="17"/>
      <c r="EP883" s="24"/>
      <c r="EQ883" s="60"/>
      <c r="ER883" s="16"/>
      <c r="ES883" s="16"/>
      <c r="ET883" s="16"/>
      <c r="EU883" s="16"/>
      <c r="EV883" s="16"/>
      <c r="EW883" s="17"/>
      <c r="FA883" s="24"/>
      <c r="FB883" s="60"/>
      <c r="FC883" s="16"/>
      <c r="FD883" s="16"/>
      <c r="FE883" s="16"/>
      <c r="FF883" s="16"/>
      <c r="FG883" s="16"/>
      <c r="FH883" s="17"/>
      <c r="FL883" s="24"/>
      <c r="FM883" s="60"/>
      <c r="FN883" s="16"/>
      <c r="FO883" s="16"/>
      <c r="FP883" s="16"/>
      <c r="FQ883" s="16"/>
      <c r="FR883" s="16"/>
      <c r="FS883" s="17"/>
      <c r="FW883" s="24"/>
      <c r="FX883" s="60"/>
      <c r="FY883" s="16"/>
      <c r="FZ883" s="16"/>
      <c r="GA883" s="16"/>
      <c r="GB883" s="16"/>
      <c r="GC883" s="16"/>
      <c r="GD883" s="17"/>
      <c r="GH883" s="24"/>
      <c r="GI883" s="60"/>
      <c r="GJ883" s="16"/>
      <c r="GK883" s="16"/>
      <c r="GL883" s="16"/>
      <c r="GM883" s="16"/>
      <c r="GN883" s="16"/>
      <c r="GO883" s="17"/>
      <c r="GS883" s="24"/>
      <c r="GT883" s="60"/>
      <c r="GU883" s="16"/>
      <c r="GV883" s="16"/>
      <c r="GW883" s="16"/>
      <c r="GX883" s="16"/>
      <c r="GY883" s="16"/>
      <c r="GZ883" s="17"/>
      <c r="HD883" s="24"/>
      <c r="HE883" s="60"/>
      <c r="HF883" s="16"/>
      <c r="HG883" s="16"/>
      <c r="HH883" s="16"/>
      <c r="HI883" s="16"/>
      <c r="HJ883" s="16"/>
      <c r="HK883" s="17"/>
      <c r="HO883" s="24"/>
      <c r="HP883" s="60"/>
      <c r="HQ883" s="16"/>
      <c r="HR883" s="16"/>
      <c r="HS883" s="16"/>
      <c r="HT883" s="16"/>
      <c r="HU883" s="16"/>
      <c r="HV883" s="17"/>
      <c r="HZ883" s="24"/>
      <c r="IA883" s="60"/>
      <c r="IB883" s="16"/>
      <c r="IC883" s="16"/>
      <c r="ID883" s="16"/>
      <c r="IE883" s="16"/>
      <c r="IF883" s="16"/>
      <c r="IG883" s="17"/>
      <c r="IK883" s="24"/>
      <c r="IL883" s="60"/>
      <c r="IM883" s="16"/>
      <c r="IN883" s="16"/>
      <c r="IO883" s="16"/>
      <c r="IP883" s="16"/>
      <c r="IQ883" s="16"/>
      <c r="IR883" s="17"/>
      <c r="IV883" s="24"/>
      <c r="IW883" s="60"/>
      <c r="IX883" s="16"/>
      <c r="IY883" s="16"/>
      <c r="IZ883" s="16"/>
      <c r="JA883" s="16"/>
      <c r="JB883" s="16"/>
      <c r="JC883" s="17"/>
      <c r="JG883" s="24"/>
      <c r="JH883" s="60"/>
      <c r="JI883" s="16"/>
      <c r="JJ883" s="16"/>
      <c r="JK883" s="16"/>
      <c r="JL883" s="16"/>
      <c r="JM883" s="16"/>
      <c r="JN883" s="17"/>
      <c r="JR883" s="24"/>
      <c r="JS883" s="60"/>
      <c r="JT883" s="16"/>
      <c r="JU883" s="16"/>
      <c r="JV883" s="16"/>
      <c r="JW883" s="16"/>
      <c r="JX883" s="16"/>
      <c r="JY883" s="17"/>
      <c r="KC883" s="24"/>
      <c r="KD883" s="60"/>
      <c r="KE883" s="16"/>
      <c r="KF883" s="16"/>
      <c r="KG883" s="16"/>
      <c r="KH883" s="16"/>
      <c r="KI883" s="16"/>
      <c r="KJ883" s="17"/>
      <c r="KN883" s="24"/>
      <c r="KO883" s="60"/>
      <c r="KP883" s="16"/>
      <c r="KQ883" s="16"/>
      <c r="KR883" s="16"/>
      <c r="KS883" s="16"/>
      <c r="KT883" s="16"/>
      <c r="KU883" s="17"/>
      <c r="KY883" s="24"/>
      <c r="KZ883" s="60"/>
      <c r="LA883" s="16"/>
      <c r="LB883" s="16"/>
      <c r="LC883" s="16"/>
      <c r="LD883" s="16"/>
      <c r="LE883" s="16"/>
      <c r="LF883" s="17"/>
      <c r="LJ883" s="24"/>
      <c r="LK883" s="60"/>
      <c r="LL883" s="16"/>
      <c r="LM883" s="16"/>
      <c r="LN883" s="16"/>
      <c r="LO883" s="16"/>
      <c r="LP883" s="16"/>
      <c r="LQ883" s="17"/>
    </row>
    <row r="884">
      <c r="C884" s="31"/>
      <c r="D884" s="61"/>
      <c r="E884" s="16"/>
      <c r="F884" s="16"/>
      <c r="G884" s="21"/>
      <c r="H884" s="16"/>
      <c r="I884" s="16"/>
      <c r="J884" s="17"/>
      <c r="N884" s="17"/>
      <c r="O884" s="61"/>
      <c r="P884" s="16"/>
      <c r="Q884" s="16"/>
      <c r="R884" s="16"/>
      <c r="S884" s="16"/>
      <c r="T884" s="16"/>
      <c r="U884" s="17"/>
      <c r="Y884" s="24"/>
      <c r="Z884" s="61"/>
      <c r="AA884" s="16"/>
      <c r="AB884" s="16"/>
      <c r="AC884" s="16"/>
      <c r="AD884" s="16"/>
      <c r="AE884" s="16"/>
      <c r="AF884" s="17"/>
      <c r="AJ884" s="24"/>
      <c r="AK884" s="61"/>
      <c r="AL884" s="16"/>
      <c r="AM884" s="16"/>
      <c r="AN884" s="16"/>
      <c r="AO884" s="16"/>
      <c r="AP884" s="16"/>
      <c r="AQ884" s="17"/>
      <c r="AU884" s="24"/>
      <c r="AV884" s="61"/>
      <c r="AW884" s="16"/>
      <c r="AX884" s="16"/>
      <c r="AY884" s="16"/>
      <c r="AZ884" s="16"/>
      <c r="BA884" s="16"/>
      <c r="BB884" s="17"/>
      <c r="BF884" s="24"/>
      <c r="BG884" s="61"/>
      <c r="BH884" s="16"/>
      <c r="BI884" s="16"/>
      <c r="BJ884" s="16"/>
      <c r="BK884" s="16"/>
      <c r="BL884" s="16"/>
      <c r="BM884" s="17"/>
      <c r="BQ884" s="24"/>
      <c r="BR884" s="61"/>
      <c r="BS884" s="16"/>
      <c r="BT884" s="16"/>
      <c r="BU884" s="16"/>
      <c r="BV884" s="16"/>
      <c r="BW884" s="16"/>
      <c r="BX884" s="17"/>
      <c r="CB884" s="24"/>
      <c r="CC884" s="61"/>
      <c r="CD884" s="16"/>
      <c r="CE884" s="16"/>
      <c r="CF884" s="16"/>
      <c r="CG884" s="16"/>
      <c r="CH884" s="16"/>
      <c r="CI884" s="17"/>
      <c r="CM884" s="24"/>
      <c r="CN884" s="61"/>
      <c r="CO884" s="16"/>
      <c r="CP884" s="16"/>
      <c r="CQ884" s="16"/>
      <c r="CR884" s="16"/>
      <c r="CS884" s="16"/>
      <c r="CT884" s="17"/>
      <c r="CX884" s="24"/>
      <c r="CY884" s="60"/>
      <c r="CZ884" s="16"/>
      <c r="DA884" s="16"/>
      <c r="DB884" s="16"/>
      <c r="DC884" s="16"/>
      <c r="DD884" s="16"/>
      <c r="DE884" s="17"/>
      <c r="DI884" s="24"/>
      <c r="DJ884" s="60"/>
      <c r="DK884" s="16"/>
      <c r="DL884" s="16"/>
      <c r="DM884" s="16"/>
      <c r="DN884" s="16"/>
      <c r="DO884" s="16"/>
      <c r="DP884" s="17"/>
      <c r="DT884" s="24"/>
      <c r="DU884" s="60"/>
      <c r="DV884" s="16"/>
      <c r="DW884" s="16"/>
      <c r="DX884" s="16"/>
      <c r="DY884" s="16"/>
      <c r="DZ884" s="16"/>
      <c r="EA884" s="17"/>
      <c r="EE884" s="24"/>
      <c r="EF884" s="60"/>
      <c r="EG884" s="16"/>
      <c r="EH884" s="16"/>
      <c r="EI884" s="16"/>
      <c r="EJ884" s="16"/>
      <c r="EK884" s="16"/>
      <c r="EL884" s="17"/>
      <c r="EP884" s="24"/>
      <c r="EQ884" s="60"/>
      <c r="ER884" s="16"/>
      <c r="ES884" s="16"/>
      <c r="ET884" s="16"/>
      <c r="EU884" s="16"/>
      <c r="EV884" s="16"/>
      <c r="EW884" s="17"/>
      <c r="FA884" s="24"/>
      <c r="FB884" s="60"/>
      <c r="FC884" s="16"/>
      <c r="FD884" s="16"/>
      <c r="FE884" s="16"/>
      <c r="FF884" s="16"/>
      <c r="FG884" s="16"/>
      <c r="FH884" s="17"/>
      <c r="FL884" s="24"/>
      <c r="FM884" s="60"/>
      <c r="FN884" s="16"/>
      <c r="FO884" s="16"/>
      <c r="FP884" s="16"/>
      <c r="FQ884" s="16"/>
      <c r="FR884" s="16"/>
      <c r="FS884" s="17"/>
      <c r="FW884" s="24"/>
      <c r="FX884" s="60"/>
      <c r="FY884" s="16"/>
      <c r="FZ884" s="16"/>
      <c r="GA884" s="16"/>
      <c r="GB884" s="16"/>
      <c r="GC884" s="16"/>
      <c r="GD884" s="17"/>
      <c r="GH884" s="24"/>
      <c r="GI884" s="60"/>
      <c r="GJ884" s="16"/>
      <c r="GK884" s="16"/>
      <c r="GL884" s="16"/>
      <c r="GM884" s="16"/>
      <c r="GN884" s="16"/>
      <c r="GO884" s="17"/>
      <c r="GS884" s="24"/>
      <c r="GT884" s="60"/>
      <c r="GU884" s="16"/>
      <c r="GV884" s="16"/>
      <c r="GW884" s="16"/>
      <c r="GX884" s="16"/>
      <c r="GY884" s="16"/>
      <c r="GZ884" s="17"/>
      <c r="HD884" s="24"/>
      <c r="HE884" s="60"/>
      <c r="HF884" s="16"/>
      <c r="HG884" s="16"/>
      <c r="HH884" s="16"/>
      <c r="HI884" s="16"/>
      <c r="HJ884" s="16"/>
      <c r="HK884" s="17"/>
      <c r="HO884" s="24"/>
      <c r="HP884" s="60"/>
      <c r="HQ884" s="16"/>
      <c r="HR884" s="16"/>
      <c r="HS884" s="16"/>
      <c r="HT884" s="16"/>
      <c r="HU884" s="16"/>
      <c r="HV884" s="17"/>
      <c r="HZ884" s="24"/>
      <c r="IA884" s="60"/>
      <c r="IB884" s="16"/>
      <c r="IC884" s="16"/>
      <c r="ID884" s="16"/>
      <c r="IE884" s="16"/>
      <c r="IF884" s="16"/>
      <c r="IG884" s="17"/>
      <c r="IK884" s="24"/>
      <c r="IL884" s="60"/>
      <c r="IM884" s="16"/>
      <c r="IN884" s="16"/>
      <c r="IO884" s="16"/>
      <c r="IP884" s="16"/>
      <c r="IQ884" s="16"/>
      <c r="IR884" s="17"/>
      <c r="IV884" s="24"/>
      <c r="IW884" s="60"/>
      <c r="IX884" s="16"/>
      <c r="IY884" s="16"/>
      <c r="IZ884" s="16"/>
      <c r="JA884" s="16"/>
      <c r="JB884" s="16"/>
      <c r="JC884" s="17"/>
      <c r="JG884" s="24"/>
      <c r="JH884" s="60"/>
      <c r="JI884" s="16"/>
      <c r="JJ884" s="16"/>
      <c r="JK884" s="16"/>
      <c r="JL884" s="16"/>
      <c r="JM884" s="16"/>
      <c r="JN884" s="17"/>
      <c r="JR884" s="24"/>
      <c r="JS884" s="60"/>
      <c r="JT884" s="16"/>
      <c r="JU884" s="16"/>
      <c r="JV884" s="16"/>
      <c r="JW884" s="16"/>
      <c r="JX884" s="16"/>
      <c r="JY884" s="17"/>
      <c r="KC884" s="24"/>
      <c r="KD884" s="60"/>
      <c r="KE884" s="16"/>
      <c r="KF884" s="16"/>
      <c r="KG884" s="16"/>
      <c r="KH884" s="16"/>
      <c r="KI884" s="16"/>
      <c r="KJ884" s="17"/>
      <c r="KN884" s="24"/>
      <c r="KO884" s="60"/>
      <c r="KP884" s="16"/>
      <c r="KQ884" s="16"/>
      <c r="KR884" s="16"/>
      <c r="KS884" s="16"/>
      <c r="KT884" s="16"/>
      <c r="KU884" s="17"/>
      <c r="KY884" s="24"/>
      <c r="KZ884" s="60"/>
      <c r="LA884" s="16"/>
      <c r="LB884" s="16"/>
      <c r="LC884" s="16"/>
      <c r="LD884" s="16"/>
      <c r="LE884" s="16"/>
      <c r="LF884" s="17"/>
      <c r="LJ884" s="24"/>
      <c r="LK884" s="60"/>
      <c r="LL884" s="16"/>
      <c r="LM884" s="16"/>
      <c r="LN884" s="16"/>
      <c r="LO884" s="16"/>
      <c r="LP884" s="16"/>
      <c r="LQ884" s="17"/>
    </row>
    <row r="885">
      <c r="C885" s="31"/>
      <c r="D885" s="61"/>
      <c r="E885" s="16"/>
      <c r="F885" s="16"/>
      <c r="G885" s="21"/>
      <c r="H885" s="16"/>
      <c r="I885" s="16"/>
      <c r="J885" s="17"/>
      <c r="N885" s="17"/>
      <c r="O885" s="61"/>
      <c r="P885" s="16"/>
      <c r="Q885" s="16"/>
      <c r="R885" s="16"/>
      <c r="S885" s="16"/>
      <c r="T885" s="16"/>
      <c r="U885" s="17"/>
      <c r="Y885" s="24"/>
      <c r="Z885" s="61"/>
      <c r="AA885" s="16"/>
      <c r="AB885" s="16"/>
      <c r="AC885" s="16"/>
      <c r="AD885" s="16"/>
      <c r="AE885" s="16"/>
      <c r="AF885" s="17"/>
      <c r="AJ885" s="24"/>
      <c r="AK885" s="61"/>
      <c r="AL885" s="16"/>
      <c r="AM885" s="16"/>
      <c r="AN885" s="16"/>
      <c r="AO885" s="16"/>
      <c r="AP885" s="16"/>
      <c r="AQ885" s="17"/>
      <c r="AU885" s="24"/>
      <c r="AV885" s="61"/>
      <c r="AW885" s="16"/>
      <c r="AX885" s="16"/>
      <c r="AY885" s="16"/>
      <c r="AZ885" s="16"/>
      <c r="BA885" s="16"/>
      <c r="BB885" s="17"/>
      <c r="BF885" s="24"/>
      <c r="BG885" s="61"/>
      <c r="BH885" s="16"/>
      <c r="BI885" s="16"/>
      <c r="BJ885" s="16"/>
      <c r="BK885" s="16"/>
      <c r="BL885" s="16"/>
      <c r="BM885" s="17"/>
      <c r="BQ885" s="24"/>
      <c r="BR885" s="61"/>
      <c r="BS885" s="16"/>
      <c r="BT885" s="16"/>
      <c r="BU885" s="16"/>
      <c r="BV885" s="16"/>
      <c r="BW885" s="16"/>
      <c r="BX885" s="17"/>
      <c r="CB885" s="24"/>
      <c r="CC885" s="61"/>
      <c r="CD885" s="16"/>
      <c r="CE885" s="16"/>
      <c r="CF885" s="16"/>
      <c r="CG885" s="16"/>
      <c r="CH885" s="16"/>
      <c r="CI885" s="17"/>
      <c r="CM885" s="24"/>
      <c r="CN885" s="61"/>
      <c r="CO885" s="16"/>
      <c r="CP885" s="16"/>
      <c r="CQ885" s="16"/>
      <c r="CR885" s="16"/>
      <c r="CS885" s="16"/>
      <c r="CT885" s="17"/>
      <c r="CX885" s="24"/>
      <c r="CY885" s="60"/>
      <c r="CZ885" s="16"/>
      <c r="DA885" s="16"/>
      <c r="DB885" s="16"/>
      <c r="DC885" s="16"/>
      <c r="DD885" s="16"/>
      <c r="DE885" s="17"/>
      <c r="DI885" s="24"/>
      <c r="DJ885" s="60"/>
      <c r="DK885" s="16"/>
      <c r="DL885" s="16"/>
      <c r="DM885" s="16"/>
      <c r="DN885" s="16"/>
      <c r="DO885" s="16"/>
      <c r="DP885" s="17"/>
      <c r="DT885" s="24"/>
      <c r="DU885" s="60"/>
      <c r="DV885" s="16"/>
      <c r="DW885" s="16"/>
      <c r="DX885" s="16"/>
      <c r="DY885" s="16"/>
      <c r="DZ885" s="16"/>
      <c r="EA885" s="17"/>
      <c r="EE885" s="24"/>
      <c r="EF885" s="60"/>
      <c r="EG885" s="16"/>
      <c r="EH885" s="16"/>
      <c r="EI885" s="16"/>
      <c r="EJ885" s="16"/>
      <c r="EK885" s="16"/>
      <c r="EL885" s="17"/>
      <c r="EP885" s="24"/>
      <c r="EQ885" s="60"/>
      <c r="ER885" s="16"/>
      <c r="ES885" s="16"/>
      <c r="ET885" s="16"/>
      <c r="EU885" s="16"/>
      <c r="EV885" s="16"/>
      <c r="EW885" s="17"/>
      <c r="FA885" s="24"/>
      <c r="FB885" s="60"/>
      <c r="FC885" s="16"/>
      <c r="FD885" s="16"/>
      <c r="FE885" s="16"/>
      <c r="FF885" s="16"/>
      <c r="FG885" s="16"/>
      <c r="FH885" s="17"/>
      <c r="FL885" s="24"/>
      <c r="FM885" s="60"/>
      <c r="FN885" s="16"/>
      <c r="FO885" s="16"/>
      <c r="FP885" s="16"/>
      <c r="FQ885" s="16"/>
      <c r="FR885" s="16"/>
      <c r="FS885" s="17"/>
      <c r="FW885" s="24"/>
      <c r="FX885" s="60"/>
      <c r="FY885" s="16"/>
      <c r="FZ885" s="16"/>
      <c r="GA885" s="16"/>
      <c r="GB885" s="16"/>
      <c r="GC885" s="16"/>
      <c r="GD885" s="17"/>
      <c r="GH885" s="24"/>
      <c r="GI885" s="60"/>
      <c r="GJ885" s="16"/>
      <c r="GK885" s="16"/>
      <c r="GL885" s="16"/>
      <c r="GM885" s="16"/>
      <c r="GN885" s="16"/>
      <c r="GO885" s="17"/>
      <c r="GS885" s="24"/>
      <c r="GT885" s="60"/>
      <c r="GU885" s="16"/>
      <c r="GV885" s="16"/>
      <c r="GW885" s="16"/>
      <c r="GX885" s="16"/>
      <c r="GY885" s="16"/>
      <c r="GZ885" s="17"/>
      <c r="HD885" s="24"/>
      <c r="HE885" s="60"/>
      <c r="HF885" s="16"/>
      <c r="HG885" s="16"/>
      <c r="HH885" s="16"/>
      <c r="HI885" s="16"/>
      <c r="HJ885" s="16"/>
      <c r="HK885" s="17"/>
      <c r="HO885" s="24"/>
      <c r="HP885" s="60"/>
      <c r="HQ885" s="16"/>
      <c r="HR885" s="16"/>
      <c r="HS885" s="16"/>
      <c r="HT885" s="16"/>
      <c r="HU885" s="16"/>
      <c r="HV885" s="17"/>
      <c r="HZ885" s="24"/>
      <c r="IA885" s="60"/>
      <c r="IB885" s="16"/>
      <c r="IC885" s="16"/>
      <c r="ID885" s="16"/>
      <c r="IE885" s="16"/>
      <c r="IF885" s="16"/>
      <c r="IG885" s="17"/>
      <c r="IK885" s="24"/>
      <c r="IL885" s="60"/>
      <c r="IM885" s="16"/>
      <c r="IN885" s="16"/>
      <c r="IO885" s="16"/>
      <c r="IP885" s="16"/>
      <c r="IQ885" s="16"/>
      <c r="IR885" s="17"/>
      <c r="IV885" s="24"/>
      <c r="IW885" s="60"/>
      <c r="IX885" s="16"/>
      <c r="IY885" s="16"/>
      <c r="IZ885" s="16"/>
      <c r="JA885" s="16"/>
      <c r="JB885" s="16"/>
      <c r="JC885" s="17"/>
      <c r="JG885" s="24"/>
      <c r="JH885" s="60"/>
      <c r="JI885" s="16"/>
      <c r="JJ885" s="16"/>
      <c r="JK885" s="16"/>
      <c r="JL885" s="16"/>
      <c r="JM885" s="16"/>
      <c r="JN885" s="17"/>
      <c r="JR885" s="24"/>
      <c r="JS885" s="60"/>
      <c r="JT885" s="16"/>
      <c r="JU885" s="16"/>
      <c r="JV885" s="16"/>
      <c r="JW885" s="16"/>
      <c r="JX885" s="16"/>
      <c r="JY885" s="17"/>
      <c r="KC885" s="24"/>
      <c r="KD885" s="60"/>
      <c r="KE885" s="16"/>
      <c r="KF885" s="16"/>
      <c r="KG885" s="16"/>
      <c r="KH885" s="16"/>
      <c r="KI885" s="16"/>
      <c r="KJ885" s="17"/>
      <c r="KN885" s="24"/>
      <c r="KO885" s="60"/>
      <c r="KP885" s="16"/>
      <c r="KQ885" s="16"/>
      <c r="KR885" s="16"/>
      <c r="KS885" s="16"/>
      <c r="KT885" s="16"/>
      <c r="KU885" s="17"/>
      <c r="KY885" s="24"/>
      <c r="KZ885" s="60"/>
      <c r="LA885" s="16"/>
      <c r="LB885" s="16"/>
      <c r="LC885" s="16"/>
      <c r="LD885" s="16"/>
      <c r="LE885" s="16"/>
      <c r="LF885" s="17"/>
      <c r="LJ885" s="24"/>
      <c r="LK885" s="60"/>
      <c r="LL885" s="16"/>
      <c r="LM885" s="16"/>
      <c r="LN885" s="16"/>
      <c r="LO885" s="16"/>
      <c r="LP885" s="16"/>
      <c r="LQ885" s="17"/>
    </row>
    <row r="886">
      <c r="C886" s="31"/>
      <c r="D886" s="61"/>
      <c r="E886" s="16"/>
      <c r="F886" s="16"/>
      <c r="G886" s="21"/>
      <c r="H886" s="16"/>
      <c r="I886" s="16"/>
      <c r="J886" s="17"/>
      <c r="N886" s="17"/>
      <c r="O886" s="61"/>
      <c r="P886" s="16"/>
      <c r="Q886" s="16"/>
      <c r="R886" s="16"/>
      <c r="S886" s="16"/>
      <c r="T886" s="16"/>
      <c r="U886" s="17"/>
      <c r="Y886" s="24"/>
      <c r="Z886" s="61"/>
      <c r="AA886" s="16"/>
      <c r="AB886" s="16"/>
      <c r="AC886" s="16"/>
      <c r="AD886" s="16"/>
      <c r="AE886" s="16"/>
      <c r="AF886" s="17"/>
      <c r="AJ886" s="24"/>
      <c r="AK886" s="61"/>
      <c r="AL886" s="16"/>
      <c r="AM886" s="16"/>
      <c r="AN886" s="16"/>
      <c r="AO886" s="16"/>
      <c r="AP886" s="16"/>
      <c r="AQ886" s="17"/>
      <c r="AU886" s="24"/>
      <c r="AV886" s="61"/>
      <c r="AW886" s="16"/>
      <c r="AX886" s="16"/>
      <c r="AY886" s="16"/>
      <c r="AZ886" s="16"/>
      <c r="BA886" s="16"/>
      <c r="BB886" s="17"/>
      <c r="BF886" s="24"/>
      <c r="BG886" s="61"/>
      <c r="BH886" s="16"/>
      <c r="BI886" s="16"/>
      <c r="BJ886" s="16"/>
      <c r="BK886" s="16"/>
      <c r="BL886" s="16"/>
      <c r="BM886" s="17"/>
      <c r="BQ886" s="24"/>
      <c r="BR886" s="61"/>
      <c r="BS886" s="16"/>
      <c r="BT886" s="16"/>
      <c r="BU886" s="16"/>
      <c r="BV886" s="16"/>
      <c r="BW886" s="16"/>
      <c r="BX886" s="17"/>
      <c r="CB886" s="24"/>
      <c r="CC886" s="61"/>
      <c r="CD886" s="16"/>
      <c r="CE886" s="16"/>
      <c r="CF886" s="16"/>
      <c r="CG886" s="16"/>
      <c r="CH886" s="16"/>
      <c r="CI886" s="17"/>
      <c r="CM886" s="24"/>
      <c r="CN886" s="61"/>
      <c r="CO886" s="16"/>
      <c r="CP886" s="16"/>
      <c r="CQ886" s="16"/>
      <c r="CR886" s="16"/>
      <c r="CS886" s="16"/>
      <c r="CT886" s="17"/>
      <c r="CX886" s="24"/>
      <c r="CY886" s="60"/>
      <c r="CZ886" s="16"/>
      <c r="DA886" s="16"/>
      <c r="DB886" s="16"/>
      <c r="DC886" s="16"/>
      <c r="DD886" s="16"/>
      <c r="DE886" s="17"/>
      <c r="DI886" s="24"/>
      <c r="DJ886" s="60"/>
      <c r="DK886" s="16"/>
      <c r="DL886" s="16"/>
      <c r="DM886" s="16"/>
      <c r="DN886" s="16"/>
      <c r="DO886" s="16"/>
      <c r="DP886" s="17"/>
      <c r="DT886" s="24"/>
      <c r="DU886" s="60"/>
      <c r="DV886" s="16"/>
      <c r="DW886" s="16"/>
      <c r="DX886" s="16"/>
      <c r="DY886" s="16"/>
      <c r="DZ886" s="16"/>
      <c r="EA886" s="17"/>
      <c r="EE886" s="24"/>
      <c r="EF886" s="60"/>
      <c r="EG886" s="16"/>
      <c r="EH886" s="16"/>
      <c r="EI886" s="16"/>
      <c r="EJ886" s="16"/>
      <c r="EK886" s="16"/>
      <c r="EL886" s="17"/>
      <c r="EP886" s="24"/>
      <c r="EQ886" s="60"/>
      <c r="ER886" s="16"/>
      <c r="ES886" s="16"/>
      <c r="ET886" s="16"/>
      <c r="EU886" s="16"/>
      <c r="EV886" s="16"/>
      <c r="EW886" s="17"/>
      <c r="FA886" s="24"/>
      <c r="FB886" s="60"/>
      <c r="FC886" s="16"/>
      <c r="FD886" s="16"/>
      <c r="FE886" s="16"/>
      <c r="FF886" s="16"/>
      <c r="FG886" s="16"/>
      <c r="FH886" s="17"/>
      <c r="FL886" s="24"/>
      <c r="FM886" s="60"/>
      <c r="FN886" s="16"/>
      <c r="FO886" s="16"/>
      <c r="FP886" s="16"/>
      <c r="FQ886" s="16"/>
      <c r="FR886" s="16"/>
      <c r="FS886" s="17"/>
      <c r="FW886" s="24"/>
      <c r="FX886" s="60"/>
      <c r="FY886" s="16"/>
      <c r="FZ886" s="16"/>
      <c r="GA886" s="16"/>
      <c r="GB886" s="16"/>
      <c r="GC886" s="16"/>
      <c r="GD886" s="17"/>
      <c r="GH886" s="24"/>
      <c r="GI886" s="60"/>
      <c r="GJ886" s="16"/>
      <c r="GK886" s="16"/>
      <c r="GL886" s="16"/>
      <c r="GM886" s="16"/>
      <c r="GN886" s="16"/>
      <c r="GO886" s="17"/>
      <c r="GS886" s="24"/>
      <c r="GT886" s="60"/>
      <c r="GU886" s="16"/>
      <c r="GV886" s="16"/>
      <c r="GW886" s="16"/>
      <c r="GX886" s="16"/>
      <c r="GY886" s="16"/>
      <c r="GZ886" s="17"/>
      <c r="HD886" s="24"/>
      <c r="HE886" s="60"/>
      <c r="HF886" s="16"/>
      <c r="HG886" s="16"/>
      <c r="HH886" s="16"/>
      <c r="HI886" s="16"/>
      <c r="HJ886" s="16"/>
      <c r="HK886" s="17"/>
      <c r="HO886" s="24"/>
      <c r="HP886" s="60"/>
      <c r="HQ886" s="16"/>
      <c r="HR886" s="16"/>
      <c r="HS886" s="16"/>
      <c r="HT886" s="16"/>
      <c r="HU886" s="16"/>
      <c r="HV886" s="17"/>
      <c r="HZ886" s="24"/>
      <c r="IA886" s="60"/>
      <c r="IB886" s="16"/>
      <c r="IC886" s="16"/>
      <c r="ID886" s="16"/>
      <c r="IE886" s="16"/>
      <c r="IF886" s="16"/>
      <c r="IG886" s="17"/>
      <c r="IK886" s="24"/>
      <c r="IL886" s="60"/>
      <c r="IM886" s="16"/>
      <c r="IN886" s="16"/>
      <c r="IO886" s="16"/>
      <c r="IP886" s="16"/>
      <c r="IQ886" s="16"/>
      <c r="IR886" s="17"/>
      <c r="IV886" s="24"/>
      <c r="IW886" s="60"/>
      <c r="IX886" s="16"/>
      <c r="IY886" s="16"/>
      <c r="IZ886" s="16"/>
      <c r="JA886" s="16"/>
      <c r="JB886" s="16"/>
      <c r="JC886" s="17"/>
      <c r="JG886" s="24"/>
      <c r="JH886" s="60"/>
      <c r="JI886" s="16"/>
      <c r="JJ886" s="16"/>
      <c r="JK886" s="16"/>
      <c r="JL886" s="16"/>
      <c r="JM886" s="16"/>
      <c r="JN886" s="17"/>
      <c r="JR886" s="24"/>
      <c r="JS886" s="60"/>
      <c r="JT886" s="16"/>
      <c r="JU886" s="16"/>
      <c r="JV886" s="16"/>
      <c r="JW886" s="16"/>
      <c r="JX886" s="16"/>
      <c r="JY886" s="17"/>
      <c r="KC886" s="24"/>
      <c r="KD886" s="60"/>
      <c r="KE886" s="16"/>
      <c r="KF886" s="16"/>
      <c r="KG886" s="16"/>
      <c r="KH886" s="16"/>
      <c r="KI886" s="16"/>
      <c r="KJ886" s="17"/>
      <c r="KN886" s="24"/>
      <c r="KO886" s="60"/>
      <c r="KP886" s="16"/>
      <c r="KQ886" s="16"/>
      <c r="KR886" s="16"/>
      <c r="KS886" s="16"/>
      <c r="KT886" s="16"/>
      <c r="KU886" s="17"/>
      <c r="KY886" s="24"/>
      <c r="KZ886" s="60"/>
      <c r="LA886" s="16"/>
      <c r="LB886" s="16"/>
      <c r="LC886" s="16"/>
      <c r="LD886" s="16"/>
      <c r="LE886" s="16"/>
      <c r="LF886" s="17"/>
      <c r="LJ886" s="24"/>
      <c r="LK886" s="60"/>
      <c r="LL886" s="16"/>
      <c r="LM886" s="16"/>
      <c r="LN886" s="16"/>
      <c r="LO886" s="16"/>
      <c r="LP886" s="16"/>
      <c r="LQ886" s="17"/>
    </row>
    <row r="887">
      <c r="C887" s="31"/>
      <c r="D887" s="61"/>
      <c r="E887" s="16"/>
      <c r="F887" s="16"/>
      <c r="G887" s="21"/>
      <c r="H887" s="16"/>
      <c r="I887" s="16"/>
      <c r="J887" s="17"/>
      <c r="N887" s="17"/>
      <c r="O887" s="61"/>
      <c r="P887" s="16"/>
      <c r="Q887" s="16"/>
      <c r="R887" s="16"/>
      <c r="S887" s="16"/>
      <c r="T887" s="16"/>
      <c r="U887" s="17"/>
      <c r="Y887" s="24"/>
      <c r="Z887" s="61"/>
      <c r="AA887" s="16"/>
      <c r="AB887" s="16"/>
      <c r="AC887" s="16"/>
      <c r="AD887" s="16"/>
      <c r="AE887" s="16"/>
      <c r="AF887" s="17"/>
      <c r="AJ887" s="24"/>
      <c r="AK887" s="61"/>
      <c r="AL887" s="16"/>
      <c r="AM887" s="16"/>
      <c r="AN887" s="16"/>
      <c r="AO887" s="16"/>
      <c r="AP887" s="16"/>
      <c r="AQ887" s="17"/>
      <c r="AU887" s="24"/>
      <c r="AV887" s="61"/>
      <c r="AW887" s="16"/>
      <c r="AX887" s="16"/>
      <c r="AY887" s="16"/>
      <c r="AZ887" s="16"/>
      <c r="BA887" s="16"/>
      <c r="BB887" s="17"/>
      <c r="BF887" s="24"/>
      <c r="BG887" s="61"/>
      <c r="BH887" s="16"/>
      <c r="BI887" s="16"/>
      <c r="BJ887" s="16"/>
      <c r="BK887" s="16"/>
      <c r="BL887" s="16"/>
      <c r="BM887" s="17"/>
      <c r="BQ887" s="24"/>
      <c r="BR887" s="61"/>
      <c r="BS887" s="16"/>
      <c r="BT887" s="16"/>
      <c r="BU887" s="16"/>
      <c r="BV887" s="16"/>
      <c r="BW887" s="16"/>
      <c r="BX887" s="17"/>
      <c r="CB887" s="24"/>
      <c r="CC887" s="61"/>
      <c r="CD887" s="16"/>
      <c r="CE887" s="16"/>
      <c r="CF887" s="16"/>
      <c r="CG887" s="16"/>
      <c r="CH887" s="16"/>
      <c r="CI887" s="17"/>
      <c r="CM887" s="24"/>
      <c r="CN887" s="61"/>
      <c r="CO887" s="16"/>
      <c r="CP887" s="16"/>
      <c r="CQ887" s="16"/>
      <c r="CR887" s="16"/>
      <c r="CS887" s="16"/>
      <c r="CT887" s="17"/>
      <c r="CX887" s="24"/>
      <c r="CY887" s="60"/>
      <c r="CZ887" s="16"/>
      <c r="DA887" s="16"/>
      <c r="DB887" s="16"/>
      <c r="DC887" s="16"/>
      <c r="DD887" s="16"/>
      <c r="DE887" s="17"/>
      <c r="DI887" s="24"/>
      <c r="DJ887" s="60"/>
      <c r="DK887" s="16"/>
      <c r="DL887" s="16"/>
      <c r="DM887" s="16"/>
      <c r="DN887" s="16"/>
      <c r="DO887" s="16"/>
      <c r="DP887" s="17"/>
      <c r="DT887" s="24"/>
      <c r="DU887" s="60"/>
      <c r="DV887" s="16"/>
      <c r="DW887" s="16"/>
      <c r="DX887" s="16"/>
      <c r="DY887" s="16"/>
      <c r="DZ887" s="16"/>
      <c r="EA887" s="17"/>
      <c r="EE887" s="24"/>
      <c r="EF887" s="60"/>
      <c r="EG887" s="16"/>
      <c r="EH887" s="16"/>
      <c r="EI887" s="16"/>
      <c r="EJ887" s="16"/>
      <c r="EK887" s="16"/>
      <c r="EL887" s="17"/>
      <c r="EP887" s="24"/>
      <c r="EQ887" s="60"/>
      <c r="ER887" s="16"/>
      <c r="ES887" s="16"/>
      <c r="ET887" s="16"/>
      <c r="EU887" s="16"/>
      <c r="EV887" s="16"/>
      <c r="EW887" s="17"/>
      <c r="FA887" s="24"/>
      <c r="FB887" s="60"/>
      <c r="FC887" s="16"/>
      <c r="FD887" s="16"/>
      <c r="FE887" s="16"/>
      <c r="FF887" s="16"/>
      <c r="FG887" s="16"/>
      <c r="FH887" s="17"/>
      <c r="FL887" s="24"/>
      <c r="FM887" s="60"/>
      <c r="FN887" s="16"/>
      <c r="FO887" s="16"/>
      <c r="FP887" s="16"/>
      <c r="FQ887" s="16"/>
      <c r="FR887" s="16"/>
      <c r="FS887" s="17"/>
      <c r="FW887" s="24"/>
      <c r="FX887" s="60"/>
      <c r="FY887" s="16"/>
      <c r="FZ887" s="16"/>
      <c r="GA887" s="16"/>
      <c r="GB887" s="16"/>
      <c r="GC887" s="16"/>
      <c r="GD887" s="17"/>
      <c r="GH887" s="24"/>
      <c r="GI887" s="60"/>
      <c r="GJ887" s="16"/>
      <c r="GK887" s="16"/>
      <c r="GL887" s="16"/>
      <c r="GM887" s="16"/>
      <c r="GN887" s="16"/>
      <c r="GO887" s="17"/>
      <c r="GS887" s="24"/>
      <c r="GT887" s="60"/>
      <c r="GU887" s="16"/>
      <c r="GV887" s="16"/>
      <c r="GW887" s="16"/>
      <c r="GX887" s="16"/>
      <c r="GY887" s="16"/>
      <c r="GZ887" s="17"/>
      <c r="HD887" s="24"/>
      <c r="HE887" s="60"/>
      <c r="HF887" s="16"/>
      <c r="HG887" s="16"/>
      <c r="HH887" s="16"/>
      <c r="HI887" s="16"/>
      <c r="HJ887" s="16"/>
      <c r="HK887" s="17"/>
      <c r="HO887" s="24"/>
      <c r="HP887" s="60"/>
      <c r="HQ887" s="16"/>
      <c r="HR887" s="16"/>
      <c r="HS887" s="16"/>
      <c r="HT887" s="16"/>
      <c r="HU887" s="16"/>
      <c r="HV887" s="17"/>
      <c r="HZ887" s="24"/>
      <c r="IA887" s="60"/>
      <c r="IB887" s="16"/>
      <c r="IC887" s="16"/>
      <c r="ID887" s="16"/>
      <c r="IE887" s="16"/>
      <c r="IF887" s="16"/>
      <c r="IG887" s="17"/>
      <c r="IK887" s="24"/>
      <c r="IL887" s="60"/>
      <c r="IM887" s="16"/>
      <c r="IN887" s="16"/>
      <c r="IO887" s="16"/>
      <c r="IP887" s="16"/>
      <c r="IQ887" s="16"/>
      <c r="IR887" s="17"/>
      <c r="IV887" s="24"/>
      <c r="IW887" s="60"/>
      <c r="IX887" s="16"/>
      <c r="IY887" s="16"/>
      <c r="IZ887" s="16"/>
      <c r="JA887" s="16"/>
      <c r="JB887" s="16"/>
      <c r="JC887" s="17"/>
      <c r="JG887" s="24"/>
      <c r="JH887" s="60"/>
      <c r="JI887" s="16"/>
      <c r="JJ887" s="16"/>
      <c r="JK887" s="16"/>
      <c r="JL887" s="16"/>
      <c r="JM887" s="16"/>
      <c r="JN887" s="17"/>
      <c r="JR887" s="24"/>
      <c r="JS887" s="60"/>
      <c r="JT887" s="16"/>
      <c r="JU887" s="16"/>
      <c r="JV887" s="16"/>
      <c r="JW887" s="16"/>
      <c r="JX887" s="16"/>
      <c r="JY887" s="17"/>
      <c r="KC887" s="24"/>
      <c r="KD887" s="60"/>
      <c r="KE887" s="16"/>
      <c r="KF887" s="16"/>
      <c r="KG887" s="16"/>
      <c r="KH887" s="16"/>
      <c r="KI887" s="16"/>
      <c r="KJ887" s="17"/>
      <c r="KN887" s="24"/>
      <c r="KO887" s="60"/>
      <c r="KP887" s="16"/>
      <c r="KQ887" s="16"/>
      <c r="KR887" s="16"/>
      <c r="KS887" s="16"/>
      <c r="KT887" s="16"/>
      <c r="KU887" s="17"/>
      <c r="KY887" s="24"/>
      <c r="KZ887" s="60"/>
      <c r="LA887" s="16"/>
      <c r="LB887" s="16"/>
      <c r="LC887" s="16"/>
      <c r="LD887" s="16"/>
      <c r="LE887" s="16"/>
      <c r="LF887" s="17"/>
      <c r="LJ887" s="24"/>
      <c r="LK887" s="60"/>
      <c r="LL887" s="16"/>
      <c r="LM887" s="16"/>
      <c r="LN887" s="16"/>
      <c r="LO887" s="16"/>
      <c r="LP887" s="16"/>
      <c r="LQ887" s="17"/>
    </row>
    <row r="888">
      <c r="C888" s="31"/>
      <c r="D888" s="61"/>
      <c r="E888" s="16"/>
      <c r="F888" s="16"/>
      <c r="G888" s="21"/>
      <c r="H888" s="16"/>
      <c r="I888" s="16"/>
      <c r="J888" s="17"/>
      <c r="N888" s="17"/>
      <c r="O888" s="61"/>
      <c r="P888" s="16"/>
      <c r="Q888" s="16"/>
      <c r="R888" s="16"/>
      <c r="S888" s="16"/>
      <c r="T888" s="16"/>
      <c r="U888" s="17"/>
      <c r="Y888" s="24"/>
      <c r="Z888" s="61"/>
      <c r="AA888" s="16"/>
      <c r="AB888" s="16"/>
      <c r="AC888" s="16"/>
      <c r="AD888" s="16"/>
      <c r="AE888" s="16"/>
      <c r="AF888" s="17"/>
      <c r="AJ888" s="24"/>
      <c r="AK888" s="61"/>
      <c r="AL888" s="16"/>
      <c r="AM888" s="16"/>
      <c r="AN888" s="16"/>
      <c r="AO888" s="16"/>
      <c r="AP888" s="16"/>
      <c r="AQ888" s="17"/>
      <c r="AU888" s="24"/>
      <c r="AV888" s="61"/>
      <c r="AW888" s="16"/>
      <c r="AX888" s="16"/>
      <c r="AY888" s="16"/>
      <c r="AZ888" s="16"/>
      <c r="BA888" s="16"/>
      <c r="BB888" s="17"/>
      <c r="BF888" s="24"/>
      <c r="BG888" s="61"/>
      <c r="BH888" s="16"/>
      <c r="BI888" s="16"/>
      <c r="BJ888" s="16"/>
      <c r="BK888" s="16"/>
      <c r="BL888" s="16"/>
      <c r="BM888" s="17"/>
      <c r="BQ888" s="24"/>
      <c r="BR888" s="61"/>
      <c r="BS888" s="16"/>
      <c r="BT888" s="16"/>
      <c r="BU888" s="16"/>
      <c r="BV888" s="16"/>
      <c r="BW888" s="16"/>
      <c r="BX888" s="17"/>
      <c r="CB888" s="24"/>
      <c r="CC888" s="61"/>
      <c r="CD888" s="16"/>
      <c r="CE888" s="16"/>
      <c r="CF888" s="16"/>
      <c r="CG888" s="16"/>
      <c r="CH888" s="16"/>
      <c r="CI888" s="17"/>
      <c r="CM888" s="24"/>
      <c r="CN888" s="61"/>
      <c r="CO888" s="16"/>
      <c r="CP888" s="16"/>
      <c r="CQ888" s="16"/>
      <c r="CR888" s="16"/>
      <c r="CS888" s="16"/>
      <c r="CT888" s="17"/>
      <c r="CX888" s="24"/>
      <c r="CY888" s="60"/>
      <c r="CZ888" s="16"/>
      <c r="DA888" s="16"/>
      <c r="DB888" s="16"/>
      <c r="DC888" s="16"/>
      <c r="DD888" s="16"/>
      <c r="DE888" s="17"/>
      <c r="DI888" s="24"/>
      <c r="DJ888" s="60"/>
      <c r="DK888" s="16"/>
      <c r="DL888" s="16"/>
      <c r="DM888" s="16"/>
      <c r="DN888" s="16"/>
      <c r="DO888" s="16"/>
      <c r="DP888" s="17"/>
      <c r="DT888" s="24"/>
      <c r="DU888" s="60"/>
      <c r="DV888" s="16"/>
      <c r="DW888" s="16"/>
      <c r="DX888" s="16"/>
      <c r="DY888" s="16"/>
      <c r="DZ888" s="16"/>
      <c r="EA888" s="17"/>
      <c r="EE888" s="24"/>
      <c r="EF888" s="60"/>
      <c r="EG888" s="16"/>
      <c r="EH888" s="16"/>
      <c r="EI888" s="16"/>
      <c r="EJ888" s="16"/>
      <c r="EK888" s="16"/>
      <c r="EL888" s="17"/>
      <c r="EP888" s="24"/>
      <c r="EQ888" s="60"/>
      <c r="ER888" s="16"/>
      <c r="ES888" s="16"/>
      <c r="ET888" s="16"/>
      <c r="EU888" s="16"/>
      <c r="EV888" s="16"/>
      <c r="EW888" s="17"/>
      <c r="FA888" s="24"/>
      <c r="FB888" s="60"/>
      <c r="FC888" s="16"/>
      <c r="FD888" s="16"/>
      <c r="FE888" s="16"/>
      <c r="FF888" s="16"/>
      <c r="FG888" s="16"/>
      <c r="FH888" s="17"/>
      <c r="FL888" s="24"/>
      <c r="FM888" s="60"/>
      <c r="FN888" s="16"/>
      <c r="FO888" s="16"/>
      <c r="FP888" s="16"/>
      <c r="FQ888" s="16"/>
      <c r="FR888" s="16"/>
      <c r="FS888" s="17"/>
      <c r="FW888" s="24"/>
      <c r="FX888" s="60"/>
      <c r="FY888" s="16"/>
      <c r="FZ888" s="16"/>
      <c r="GA888" s="16"/>
      <c r="GB888" s="16"/>
      <c r="GC888" s="16"/>
      <c r="GD888" s="17"/>
      <c r="GH888" s="24"/>
      <c r="GI888" s="60"/>
      <c r="GJ888" s="16"/>
      <c r="GK888" s="16"/>
      <c r="GL888" s="16"/>
      <c r="GM888" s="16"/>
      <c r="GN888" s="16"/>
      <c r="GO888" s="17"/>
      <c r="GS888" s="24"/>
      <c r="GT888" s="60"/>
      <c r="GU888" s="16"/>
      <c r="GV888" s="16"/>
      <c r="GW888" s="16"/>
      <c r="GX888" s="16"/>
      <c r="GY888" s="16"/>
      <c r="GZ888" s="17"/>
      <c r="HD888" s="24"/>
      <c r="HE888" s="60"/>
      <c r="HF888" s="16"/>
      <c r="HG888" s="16"/>
      <c r="HH888" s="16"/>
      <c r="HI888" s="16"/>
      <c r="HJ888" s="16"/>
      <c r="HK888" s="17"/>
      <c r="HO888" s="24"/>
      <c r="HP888" s="60"/>
      <c r="HQ888" s="16"/>
      <c r="HR888" s="16"/>
      <c r="HS888" s="16"/>
      <c r="HT888" s="16"/>
      <c r="HU888" s="16"/>
      <c r="HV888" s="17"/>
      <c r="HZ888" s="24"/>
      <c r="IA888" s="60"/>
      <c r="IB888" s="16"/>
      <c r="IC888" s="16"/>
      <c r="ID888" s="16"/>
      <c r="IE888" s="16"/>
      <c r="IF888" s="16"/>
      <c r="IG888" s="17"/>
      <c r="IK888" s="24"/>
      <c r="IL888" s="60"/>
      <c r="IM888" s="16"/>
      <c r="IN888" s="16"/>
      <c r="IO888" s="16"/>
      <c r="IP888" s="16"/>
      <c r="IQ888" s="16"/>
      <c r="IR888" s="17"/>
      <c r="IV888" s="24"/>
      <c r="IW888" s="60"/>
      <c r="IX888" s="16"/>
      <c r="IY888" s="16"/>
      <c r="IZ888" s="16"/>
      <c r="JA888" s="16"/>
      <c r="JB888" s="16"/>
      <c r="JC888" s="17"/>
      <c r="JG888" s="24"/>
      <c r="JH888" s="60"/>
      <c r="JI888" s="16"/>
      <c r="JJ888" s="16"/>
      <c r="JK888" s="16"/>
      <c r="JL888" s="16"/>
      <c r="JM888" s="16"/>
      <c r="JN888" s="17"/>
      <c r="JR888" s="24"/>
      <c r="JS888" s="60"/>
      <c r="JT888" s="16"/>
      <c r="JU888" s="16"/>
      <c r="JV888" s="16"/>
      <c r="JW888" s="16"/>
      <c r="JX888" s="16"/>
      <c r="JY888" s="17"/>
      <c r="KC888" s="24"/>
      <c r="KD888" s="60"/>
      <c r="KE888" s="16"/>
      <c r="KF888" s="16"/>
      <c r="KG888" s="16"/>
      <c r="KH888" s="16"/>
      <c r="KI888" s="16"/>
      <c r="KJ888" s="17"/>
      <c r="KN888" s="24"/>
      <c r="KO888" s="60"/>
      <c r="KP888" s="16"/>
      <c r="KQ888" s="16"/>
      <c r="KR888" s="16"/>
      <c r="KS888" s="16"/>
      <c r="KT888" s="16"/>
      <c r="KU888" s="17"/>
      <c r="KY888" s="24"/>
      <c r="KZ888" s="60"/>
      <c r="LA888" s="16"/>
      <c r="LB888" s="16"/>
      <c r="LC888" s="16"/>
      <c r="LD888" s="16"/>
      <c r="LE888" s="16"/>
      <c r="LF888" s="17"/>
      <c r="LJ888" s="24"/>
      <c r="LK888" s="60"/>
      <c r="LL888" s="16"/>
      <c r="LM888" s="16"/>
      <c r="LN888" s="16"/>
      <c r="LO888" s="16"/>
      <c r="LP888" s="16"/>
      <c r="LQ888" s="17"/>
    </row>
    <row r="889">
      <c r="C889" s="31"/>
      <c r="D889" s="61"/>
      <c r="E889" s="16"/>
      <c r="F889" s="16"/>
      <c r="G889" s="21"/>
      <c r="H889" s="16"/>
      <c r="I889" s="16"/>
      <c r="J889" s="17"/>
      <c r="N889" s="17"/>
      <c r="O889" s="61"/>
      <c r="P889" s="16"/>
      <c r="Q889" s="16"/>
      <c r="R889" s="16"/>
      <c r="S889" s="16"/>
      <c r="T889" s="16"/>
      <c r="U889" s="17"/>
      <c r="Y889" s="24"/>
      <c r="Z889" s="61"/>
      <c r="AA889" s="16"/>
      <c r="AB889" s="16"/>
      <c r="AC889" s="16"/>
      <c r="AD889" s="16"/>
      <c r="AE889" s="16"/>
      <c r="AF889" s="17"/>
      <c r="AJ889" s="24"/>
      <c r="AK889" s="61"/>
      <c r="AL889" s="16"/>
      <c r="AM889" s="16"/>
      <c r="AN889" s="16"/>
      <c r="AO889" s="16"/>
      <c r="AP889" s="16"/>
      <c r="AQ889" s="17"/>
      <c r="AU889" s="24"/>
      <c r="AV889" s="61"/>
      <c r="AW889" s="16"/>
      <c r="AX889" s="16"/>
      <c r="AY889" s="16"/>
      <c r="AZ889" s="16"/>
      <c r="BA889" s="16"/>
      <c r="BB889" s="17"/>
      <c r="BF889" s="24"/>
      <c r="BG889" s="61"/>
      <c r="BH889" s="16"/>
      <c r="BI889" s="16"/>
      <c r="BJ889" s="16"/>
      <c r="BK889" s="16"/>
      <c r="BL889" s="16"/>
      <c r="BM889" s="17"/>
      <c r="BQ889" s="24"/>
      <c r="BR889" s="61"/>
      <c r="BS889" s="16"/>
      <c r="BT889" s="16"/>
      <c r="BU889" s="16"/>
      <c r="BV889" s="16"/>
      <c r="BW889" s="16"/>
      <c r="BX889" s="17"/>
      <c r="CB889" s="24"/>
      <c r="CC889" s="61"/>
      <c r="CD889" s="16"/>
      <c r="CE889" s="16"/>
      <c r="CF889" s="16"/>
      <c r="CG889" s="16"/>
      <c r="CH889" s="16"/>
      <c r="CI889" s="17"/>
      <c r="CM889" s="24"/>
      <c r="CN889" s="61"/>
      <c r="CO889" s="16"/>
      <c r="CP889" s="16"/>
      <c r="CQ889" s="16"/>
      <c r="CR889" s="16"/>
      <c r="CS889" s="16"/>
      <c r="CT889" s="17"/>
      <c r="CX889" s="24"/>
      <c r="CY889" s="60"/>
      <c r="CZ889" s="16"/>
      <c r="DA889" s="16"/>
      <c r="DB889" s="16"/>
      <c r="DC889" s="16"/>
      <c r="DD889" s="16"/>
      <c r="DE889" s="17"/>
      <c r="DI889" s="24"/>
      <c r="DJ889" s="60"/>
      <c r="DK889" s="16"/>
      <c r="DL889" s="16"/>
      <c r="DM889" s="16"/>
      <c r="DN889" s="16"/>
      <c r="DO889" s="16"/>
      <c r="DP889" s="17"/>
      <c r="DT889" s="24"/>
      <c r="DU889" s="60"/>
      <c r="DV889" s="16"/>
      <c r="DW889" s="16"/>
      <c r="DX889" s="16"/>
      <c r="DY889" s="16"/>
      <c r="DZ889" s="16"/>
      <c r="EA889" s="17"/>
      <c r="EE889" s="24"/>
      <c r="EF889" s="60"/>
      <c r="EG889" s="16"/>
      <c r="EH889" s="16"/>
      <c r="EI889" s="16"/>
      <c r="EJ889" s="16"/>
      <c r="EK889" s="16"/>
      <c r="EL889" s="17"/>
      <c r="EP889" s="24"/>
      <c r="EQ889" s="60"/>
      <c r="ER889" s="16"/>
      <c r="ES889" s="16"/>
      <c r="ET889" s="16"/>
      <c r="EU889" s="16"/>
      <c r="EV889" s="16"/>
      <c r="EW889" s="17"/>
      <c r="FA889" s="24"/>
      <c r="FB889" s="60"/>
      <c r="FC889" s="16"/>
      <c r="FD889" s="16"/>
      <c r="FE889" s="16"/>
      <c r="FF889" s="16"/>
      <c r="FG889" s="16"/>
      <c r="FH889" s="17"/>
      <c r="FL889" s="24"/>
      <c r="FM889" s="60"/>
      <c r="FN889" s="16"/>
      <c r="FO889" s="16"/>
      <c r="FP889" s="16"/>
      <c r="FQ889" s="16"/>
      <c r="FR889" s="16"/>
      <c r="FS889" s="17"/>
      <c r="FW889" s="24"/>
      <c r="FX889" s="60"/>
      <c r="FY889" s="16"/>
      <c r="FZ889" s="16"/>
      <c r="GA889" s="16"/>
      <c r="GB889" s="16"/>
      <c r="GC889" s="16"/>
      <c r="GD889" s="17"/>
      <c r="GH889" s="24"/>
      <c r="GI889" s="60"/>
      <c r="GJ889" s="16"/>
      <c r="GK889" s="16"/>
      <c r="GL889" s="16"/>
      <c r="GM889" s="16"/>
      <c r="GN889" s="16"/>
      <c r="GO889" s="17"/>
      <c r="GS889" s="24"/>
      <c r="GT889" s="60"/>
      <c r="GU889" s="16"/>
      <c r="GV889" s="16"/>
      <c r="GW889" s="16"/>
      <c r="GX889" s="16"/>
      <c r="GY889" s="16"/>
      <c r="GZ889" s="17"/>
      <c r="HD889" s="24"/>
      <c r="HE889" s="60"/>
      <c r="HF889" s="16"/>
      <c r="HG889" s="16"/>
      <c r="HH889" s="16"/>
      <c r="HI889" s="16"/>
      <c r="HJ889" s="16"/>
      <c r="HK889" s="17"/>
      <c r="HO889" s="24"/>
      <c r="HP889" s="60"/>
      <c r="HQ889" s="16"/>
      <c r="HR889" s="16"/>
      <c r="HS889" s="16"/>
      <c r="HT889" s="16"/>
      <c r="HU889" s="16"/>
      <c r="HV889" s="17"/>
      <c r="HZ889" s="24"/>
      <c r="IA889" s="60"/>
      <c r="IB889" s="16"/>
      <c r="IC889" s="16"/>
      <c r="ID889" s="16"/>
      <c r="IE889" s="16"/>
      <c r="IF889" s="16"/>
      <c r="IG889" s="17"/>
      <c r="IK889" s="24"/>
      <c r="IL889" s="60"/>
      <c r="IM889" s="16"/>
      <c r="IN889" s="16"/>
      <c r="IO889" s="16"/>
      <c r="IP889" s="16"/>
      <c r="IQ889" s="16"/>
      <c r="IR889" s="17"/>
      <c r="IV889" s="24"/>
      <c r="IW889" s="60"/>
      <c r="IX889" s="16"/>
      <c r="IY889" s="16"/>
      <c r="IZ889" s="16"/>
      <c r="JA889" s="16"/>
      <c r="JB889" s="16"/>
      <c r="JC889" s="17"/>
      <c r="JG889" s="24"/>
      <c r="JH889" s="60"/>
      <c r="JI889" s="16"/>
      <c r="JJ889" s="16"/>
      <c r="JK889" s="16"/>
      <c r="JL889" s="16"/>
      <c r="JM889" s="16"/>
      <c r="JN889" s="17"/>
      <c r="JR889" s="24"/>
      <c r="JS889" s="60"/>
      <c r="JT889" s="16"/>
      <c r="JU889" s="16"/>
      <c r="JV889" s="16"/>
      <c r="JW889" s="16"/>
      <c r="JX889" s="16"/>
      <c r="JY889" s="17"/>
      <c r="KC889" s="24"/>
      <c r="KD889" s="60"/>
      <c r="KE889" s="16"/>
      <c r="KF889" s="16"/>
      <c r="KG889" s="16"/>
      <c r="KH889" s="16"/>
      <c r="KI889" s="16"/>
      <c r="KJ889" s="17"/>
      <c r="KN889" s="24"/>
      <c r="KO889" s="60"/>
      <c r="KP889" s="16"/>
      <c r="KQ889" s="16"/>
      <c r="KR889" s="16"/>
      <c r="KS889" s="16"/>
      <c r="KT889" s="16"/>
      <c r="KU889" s="17"/>
      <c r="KY889" s="24"/>
      <c r="KZ889" s="60"/>
      <c r="LA889" s="16"/>
      <c r="LB889" s="16"/>
      <c r="LC889" s="16"/>
      <c r="LD889" s="16"/>
      <c r="LE889" s="16"/>
      <c r="LF889" s="17"/>
      <c r="LJ889" s="24"/>
      <c r="LK889" s="60"/>
      <c r="LL889" s="16"/>
      <c r="LM889" s="16"/>
      <c r="LN889" s="16"/>
      <c r="LO889" s="16"/>
      <c r="LP889" s="16"/>
      <c r="LQ889" s="17"/>
    </row>
    <row r="890">
      <c r="C890" s="31"/>
      <c r="D890" s="61"/>
      <c r="E890" s="16"/>
      <c r="F890" s="16"/>
      <c r="G890" s="21"/>
      <c r="H890" s="16"/>
      <c r="I890" s="16"/>
      <c r="J890" s="17"/>
      <c r="N890" s="17"/>
      <c r="O890" s="61"/>
      <c r="P890" s="16"/>
      <c r="Q890" s="16"/>
      <c r="R890" s="16"/>
      <c r="S890" s="16"/>
      <c r="T890" s="16"/>
      <c r="U890" s="17"/>
      <c r="Y890" s="24"/>
      <c r="Z890" s="61"/>
      <c r="AA890" s="16"/>
      <c r="AB890" s="16"/>
      <c r="AC890" s="16"/>
      <c r="AD890" s="16"/>
      <c r="AE890" s="16"/>
      <c r="AF890" s="17"/>
      <c r="AJ890" s="24"/>
      <c r="AK890" s="61"/>
      <c r="AL890" s="16"/>
      <c r="AM890" s="16"/>
      <c r="AN890" s="16"/>
      <c r="AO890" s="16"/>
      <c r="AP890" s="16"/>
      <c r="AQ890" s="17"/>
      <c r="AU890" s="24"/>
      <c r="AV890" s="61"/>
      <c r="AW890" s="16"/>
      <c r="AX890" s="16"/>
      <c r="AY890" s="16"/>
      <c r="AZ890" s="16"/>
      <c r="BA890" s="16"/>
      <c r="BB890" s="17"/>
      <c r="BF890" s="24"/>
      <c r="BG890" s="61"/>
      <c r="BH890" s="16"/>
      <c r="BI890" s="16"/>
      <c r="BJ890" s="16"/>
      <c r="BK890" s="16"/>
      <c r="BL890" s="16"/>
      <c r="BM890" s="17"/>
      <c r="BQ890" s="24"/>
      <c r="BR890" s="61"/>
      <c r="BS890" s="16"/>
      <c r="BT890" s="16"/>
      <c r="BU890" s="16"/>
      <c r="BV890" s="16"/>
      <c r="BW890" s="16"/>
      <c r="BX890" s="17"/>
      <c r="CB890" s="24"/>
      <c r="CC890" s="61"/>
      <c r="CD890" s="16"/>
      <c r="CE890" s="16"/>
      <c r="CF890" s="16"/>
      <c r="CG890" s="16"/>
      <c r="CH890" s="16"/>
      <c r="CI890" s="17"/>
      <c r="CM890" s="24"/>
      <c r="CN890" s="61"/>
      <c r="CO890" s="16"/>
      <c r="CP890" s="16"/>
      <c r="CQ890" s="16"/>
      <c r="CR890" s="16"/>
      <c r="CS890" s="16"/>
      <c r="CT890" s="17"/>
      <c r="CX890" s="24"/>
      <c r="CY890" s="60"/>
      <c r="CZ890" s="16"/>
      <c r="DA890" s="16"/>
      <c r="DB890" s="16"/>
      <c r="DC890" s="16"/>
      <c r="DD890" s="16"/>
      <c r="DE890" s="17"/>
      <c r="DI890" s="24"/>
      <c r="DJ890" s="60"/>
      <c r="DK890" s="16"/>
      <c r="DL890" s="16"/>
      <c r="DM890" s="16"/>
      <c r="DN890" s="16"/>
      <c r="DO890" s="16"/>
      <c r="DP890" s="17"/>
      <c r="DT890" s="24"/>
      <c r="DU890" s="60"/>
      <c r="DV890" s="16"/>
      <c r="DW890" s="16"/>
      <c r="DX890" s="16"/>
      <c r="DY890" s="16"/>
      <c r="DZ890" s="16"/>
      <c r="EA890" s="17"/>
      <c r="EE890" s="24"/>
      <c r="EF890" s="60"/>
      <c r="EG890" s="16"/>
      <c r="EH890" s="16"/>
      <c r="EI890" s="16"/>
      <c r="EJ890" s="16"/>
      <c r="EK890" s="16"/>
      <c r="EL890" s="17"/>
      <c r="EP890" s="24"/>
      <c r="EQ890" s="60"/>
      <c r="ER890" s="16"/>
      <c r="ES890" s="16"/>
      <c r="ET890" s="16"/>
      <c r="EU890" s="16"/>
      <c r="EV890" s="16"/>
      <c r="EW890" s="17"/>
      <c r="FA890" s="24"/>
      <c r="FB890" s="60"/>
      <c r="FC890" s="16"/>
      <c r="FD890" s="16"/>
      <c r="FE890" s="16"/>
      <c r="FF890" s="16"/>
      <c r="FG890" s="16"/>
      <c r="FH890" s="17"/>
      <c r="FL890" s="24"/>
      <c r="FM890" s="60"/>
      <c r="FN890" s="16"/>
      <c r="FO890" s="16"/>
      <c r="FP890" s="16"/>
      <c r="FQ890" s="16"/>
      <c r="FR890" s="16"/>
      <c r="FS890" s="17"/>
      <c r="FW890" s="24"/>
      <c r="FX890" s="60"/>
      <c r="FY890" s="16"/>
      <c r="FZ890" s="16"/>
      <c r="GA890" s="16"/>
      <c r="GB890" s="16"/>
      <c r="GC890" s="16"/>
      <c r="GD890" s="17"/>
      <c r="GH890" s="24"/>
      <c r="GI890" s="60"/>
      <c r="GJ890" s="16"/>
      <c r="GK890" s="16"/>
      <c r="GL890" s="16"/>
      <c r="GM890" s="16"/>
      <c r="GN890" s="16"/>
      <c r="GO890" s="17"/>
      <c r="GS890" s="24"/>
      <c r="GT890" s="60"/>
      <c r="GU890" s="16"/>
      <c r="GV890" s="16"/>
      <c r="GW890" s="16"/>
      <c r="GX890" s="16"/>
      <c r="GY890" s="16"/>
      <c r="GZ890" s="17"/>
      <c r="HD890" s="24"/>
      <c r="HE890" s="60"/>
      <c r="HF890" s="16"/>
      <c r="HG890" s="16"/>
      <c r="HH890" s="16"/>
      <c r="HI890" s="16"/>
      <c r="HJ890" s="16"/>
      <c r="HK890" s="17"/>
      <c r="HO890" s="24"/>
      <c r="HP890" s="60"/>
      <c r="HQ890" s="16"/>
      <c r="HR890" s="16"/>
      <c r="HS890" s="16"/>
      <c r="HT890" s="16"/>
      <c r="HU890" s="16"/>
      <c r="HV890" s="17"/>
      <c r="HZ890" s="24"/>
      <c r="IA890" s="60"/>
      <c r="IB890" s="16"/>
      <c r="IC890" s="16"/>
      <c r="ID890" s="16"/>
      <c r="IE890" s="16"/>
      <c r="IF890" s="16"/>
      <c r="IG890" s="17"/>
      <c r="IK890" s="24"/>
      <c r="IL890" s="60"/>
      <c r="IM890" s="16"/>
      <c r="IN890" s="16"/>
      <c r="IO890" s="16"/>
      <c r="IP890" s="16"/>
      <c r="IQ890" s="16"/>
      <c r="IR890" s="17"/>
      <c r="IV890" s="24"/>
      <c r="IW890" s="60"/>
      <c r="IX890" s="16"/>
      <c r="IY890" s="16"/>
      <c r="IZ890" s="16"/>
      <c r="JA890" s="16"/>
      <c r="JB890" s="16"/>
      <c r="JC890" s="17"/>
      <c r="JG890" s="24"/>
      <c r="JH890" s="60"/>
      <c r="JI890" s="16"/>
      <c r="JJ890" s="16"/>
      <c r="JK890" s="16"/>
      <c r="JL890" s="16"/>
      <c r="JM890" s="16"/>
      <c r="JN890" s="17"/>
      <c r="JR890" s="24"/>
      <c r="JS890" s="60"/>
      <c r="JT890" s="16"/>
      <c r="JU890" s="16"/>
      <c r="JV890" s="16"/>
      <c r="JW890" s="16"/>
      <c r="JX890" s="16"/>
      <c r="JY890" s="17"/>
      <c r="KC890" s="24"/>
      <c r="KD890" s="60"/>
      <c r="KE890" s="16"/>
      <c r="KF890" s="16"/>
      <c r="KG890" s="16"/>
      <c r="KH890" s="16"/>
      <c r="KI890" s="16"/>
      <c r="KJ890" s="17"/>
      <c r="KN890" s="24"/>
      <c r="KO890" s="60"/>
      <c r="KP890" s="16"/>
      <c r="KQ890" s="16"/>
      <c r="KR890" s="16"/>
      <c r="KS890" s="16"/>
      <c r="KT890" s="16"/>
      <c r="KU890" s="17"/>
      <c r="KY890" s="24"/>
      <c r="KZ890" s="60"/>
      <c r="LA890" s="16"/>
      <c r="LB890" s="16"/>
      <c r="LC890" s="16"/>
      <c r="LD890" s="16"/>
      <c r="LE890" s="16"/>
      <c r="LF890" s="17"/>
      <c r="LJ890" s="24"/>
      <c r="LK890" s="60"/>
      <c r="LL890" s="16"/>
      <c r="LM890" s="16"/>
      <c r="LN890" s="16"/>
      <c r="LO890" s="16"/>
      <c r="LP890" s="16"/>
      <c r="LQ890" s="17"/>
    </row>
    <row r="891">
      <c r="C891" s="31"/>
      <c r="D891" s="61"/>
      <c r="E891" s="16"/>
      <c r="F891" s="16"/>
      <c r="G891" s="21"/>
      <c r="H891" s="16"/>
      <c r="I891" s="16"/>
      <c r="J891" s="17"/>
      <c r="N891" s="17"/>
      <c r="O891" s="61"/>
      <c r="P891" s="16"/>
      <c r="Q891" s="16"/>
      <c r="R891" s="16"/>
      <c r="S891" s="16"/>
      <c r="T891" s="16"/>
      <c r="U891" s="17"/>
      <c r="Y891" s="24"/>
      <c r="Z891" s="61"/>
      <c r="AA891" s="16"/>
      <c r="AB891" s="16"/>
      <c r="AC891" s="16"/>
      <c r="AD891" s="16"/>
      <c r="AE891" s="16"/>
      <c r="AF891" s="17"/>
      <c r="AJ891" s="24"/>
      <c r="AK891" s="61"/>
      <c r="AL891" s="16"/>
      <c r="AM891" s="16"/>
      <c r="AN891" s="16"/>
      <c r="AO891" s="16"/>
      <c r="AP891" s="16"/>
      <c r="AQ891" s="17"/>
      <c r="AU891" s="24"/>
      <c r="AV891" s="61"/>
      <c r="AW891" s="16"/>
      <c r="AX891" s="16"/>
      <c r="AY891" s="16"/>
      <c r="AZ891" s="16"/>
      <c r="BA891" s="16"/>
      <c r="BB891" s="17"/>
      <c r="BF891" s="24"/>
      <c r="BG891" s="61"/>
      <c r="BH891" s="16"/>
      <c r="BI891" s="16"/>
      <c r="BJ891" s="16"/>
      <c r="BK891" s="16"/>
      <c r="BL891" s="16"/>
      <c r="BM891" s="17"/>
      <c r="BQ891" s="24"/>
      <c r="BR891" s="61"/>
      <c r="BS891" s="16"/>
      <c r="BT891" s="16"/>
      <c r="BU891" s="16"/>
      <c r="BV891" s="16"/>
      <c r="BW891" s="16"/>
      <c r="BX891" s="17"/>
      <c r="CB891" s="24"/>
      <c r="CC891" s="61"/>
      <c r="CD891" s="16"/>
      <c r="CE891" s="16"/>
      <c r="CF891" s="16"/>
      <c r="CG891" s="16"/>
      <c r="CH891" s="16"/>
      <c r="CI891" s="17"/>
      <c r="CM891" s="24"/>
      <c r="CN891" s="61"/>
      <c r="CO891" s="16"/>
      <c r="CP891" s="16"/>
      <c r="CQ891" s="16"/>
      <c r="CR891" s="16"/>
      <c r="CS891" s="16"/>
      <c r="CT891" s="17"/>
      <c r="CX891" s="24"/>
      <c r="CY891" s="60"/>
      <c r="CZ891" s="16"/>
      <c r="DA891" s="16"/>
      <c r="DB891" s="16"/>
      <c r="DC891" s="16"/>
      <c r="DD891" s="16"/>
      <c r="DE891" s="17"/>
      <c r="DI891" s="24"/>
      <c r="DJ891" s="60"/>
      <c r="DK891" s="16"/>
      <c r="DL891" s="16"/>
      <c r="DM891" s="16"/>
      <c r="DN891" s="16"/>
      <c r="DO891" s="16"/>
      <c r="DP891" s="17"/>
      <c r="DT891" s="24"/>
      <c r="DU891" s="60"/>
      <c r="DV891" s="16"/>
      <c r="DW891" s="16"/>
      <c r="DX891" s="16"/>
      <c r="DY891" s="16"/>
      <c r="DZ891" s="16"/>
      <c r="EA891" s="17"/>
      <c r="EE891" s="24"/>
      <c r="EF891" s="60"/>
      <c r="EG891" s="16"/>
      <c r="EH891" s="16"/>
      <c r="EI891" s="16"/>
      <c r="EJ891" s="16"/>
      <c r="EK891" s="16"/>
      <c r="EL891" s="17"/>
      <c r="EP891" s="24"/>
      <c r="EQ891" s="60"/>
      <c r="ER891" s="16"/>
      <c r="ES891" s="16"/>
      <c r="ET891" s="16"/>
      <c r="EU891" s="16"/>
      <c r="EV891" s="16"/>
      <c r="EW891" s="17"/>
      <c r="FA891" s="24"/>
      <c r="FB891" s="60"/>
      <c r="FC891" s="16"/>
      <c r="FD891" s="16"/>
      <c r="FE891" s="16"/>
      <c r="FF891" s="16"/>
      <c r="FG891" s="16"/>
      <c r="FH891" s="17"/>
      <c r="FL891" s="24"/>
      <c r="FM891" s="60"/>
      <c r="FN891" s="16"/>
      <c r="FO891" s="16"/>
      <c r="FP891" s="16"/>
      <c r="FQ891" s="16"/>
      <c r="FR891" s="16"/>
      <c r="FS891" s="17"/>
      <c r="FW891" s="24"/>
      <c r="FX891" s="60"/>
      <c r="FY891" s="16"/>
      <c r="FZ891" s="16"/>
      <c r="GA891" s="16"/>
      <c r="GB891" s="16"/>
      <c r="GC891" s="16"/>
      <c r="GD891" s="17"/>
      <c r="GH891" s="24"/>
      <c r="GI891" s="60"/>
      <c r="GJ891" s="16"/>
      <c r="GK891" s="16"/>
      <c r="GL891" s="16"/>
      <c r="GM891" s="16"/>
      <c r="GN891" s="16"/>
      <c r="GO891" s="17"/>
      <c r="GS891" s="24"/>
      <c r="GT891" s="60"/>
      <c r="GU891" s="16"/>
      <c r="GV891" s="16"/>
      <c r="GW891" s="16"/>
      <c r="GX891" s="16"/>
      <c r="GY891" s="16"/>
      <c r="GZ891" s="17"/>
      <c r="HD891" s="24"/>
      <c r="HE891" s="60"/>
      <c r="HF891" s="16"/>
      <c r="HG891" s="16"/>
      <c r="HH891" s="16"/>
      <c r="HI891" s="16"/>
      <c r="HJ891" s="16"/>
      <c r="HK891" s="17"/>
      <c r="HO891" s="24"/>
      <c r="HP891" s="60"/>
      <c r="HQ891" s="16"/>
      <c r="HR891" s="16"/>
      <c r="HS891" s="16"/>
      <c r="HT891" s="16"/>
      <c r="HU891" s="16"/>
      <c r="HV891" s="17"/>
      <c r="HZ891" s="24"/>
      <c r="IA891" s="60"/>
      <c r="IB891" s="16"/>
      <c r="IC891" s="16"/>
      <c r="ID891" s="16"/>
      <c r="IE891" s="16"/>
      <c r="IF891" s="16"/>
      <c r="IG891" s="17"/>
      <c r="IK891" s="24"/>
      <c r="IL891" s="60"/>
      <c r="IM891" s="16"/>
      <c r="IN891" s="16"/>
      <c r="IO891" s="16"/>
      <c r="IP891" s="16"/>
      <c r="IQ891" s="16"/>
      <c r="IR891" s="17"/>
      <c r="IV891" s="24"/>
      <c r="IW891" s="60"/>
      <c r="IX891" s="16"/>
      <c r="IY891" s="16"/>
      <c r="IZ891" s="16"/>
      <c r="JA891" s="16"/>
      <c r="JB891" s="16"/>
      <c r="JC891" s="17"/>
      <c r="JG891" s="24"/>
      <c r="JH891" s="60"/>
      <c r="JI891" s="16"/>
      <c r="JJ891" s="16"/>
      <c r="JK891" s="16"/>
      <c r="JL891" s="16"/>
      <c r="JM891" s="16"/>
      <c r="JN891" s="17"/>
      <c r="JR891" s="24"/>
      <c r="JS891" s="60"/>
      <c r="JT891" s="16"/>
      <c r="JU891" s="16"/>
      <c r="JV891" s="16"/>
      <c r="JW891" s="16"/>
      <c r="JX891" s="16"/>
      <c r="JY891" s="17"/>
      <c r="KC891" s="24"/>
      <c r="KD891" s="60"/>
      <c r="KE891" s="16"/>
      <c r="KF891" s="16"/>
      <c r="KG891" s="16"/>
      <c r="KH891" s="16"/>
      <c r="KI891" s="16"/>
      <c r="KJ891" s="17"/>
      <c r="KN891" s="24"/>
      <c r="KO891" s="60"/>
      <c r="KP891" s="16"/>
      <c r="KQ891" s="16"/>
      <c r="KR891" s="16"/>
      <c r="KS891" s="16"/>
      <c r="KT891" s="16"/>
      <c r="KU891" s="17"/>
      <c r="KY891" s="24"/>
      <c r="KZ891" s="60"/>
      <c r="LA891" s="16"/>
      <c r="LB891" s="16"/>
      <c r="LC891" s="16"/>
      <c r="LD891" s="16"/>
      <c r="LE891" s="16"/>
      <c r="LF891" s="17"/>
      <c r="LJ891" s="24"/>
      <c r="LK891" s="60"/>
      <c r="LL891" s="16"/>
      <c r="LM891" s="16"/>
      <c r="LN891" s="16"/>
      <c r="LO891" s="16"/>
      <c r="LP891" s="16"/>
      <c r="LQ891" s="17"/>
    </row>
    <row r="892">
      <c r="C892" s="31"/>
      <c r="D892" s="61"/>
      <c r="E892" s="16"/>
      <c r="F892" s="16"/>
      <c r="G892" s="21"/>
      <c r="H892" s="16"/>
      <c r="I892" s="16"/>
      <c r="J892" s="17"/>
      <c r="N892" s="17"/>
      <c r="O892" s="61"/>
      <c r="P892" s="16"/>
      <c r="Q892" s="16"/>
      <c r="R892" s="16"/>
      <c r="S892" s="16"/>
      <c r="T892" s="16"/>
      <c r="U892" s="17"/>
      <c r="Y892" s="24"/>
      <c r="Z892" s="61"/>
      <c r="AA892" s="16"/>
      <c r="AB892" s="16"/>
      <c r="AC892" s="16"/>
      <c r="AD892" s="16"/>
      <c r="AE892" s="16"/>
      <c r="AF892" s="17"/>
      <c r="AJ892" s="24"/>
      <c r="AK892" s="61"/>
      <c r="AL892" s="16"/>
      <c r="AM892" s="16"/>
      <c r="AN892" s="16"/>
      <c r="AO892" s="16"/>
      <c r="AP892" s="16"/>
      <c r="AQ892" s="17"/>
      <c r="AU892" s="24"/>
      <c r="AV892" s="61"/>
      <c r="AW892" s="16"/>
      <c r="AX892" s="16"/>
      <c r="AY892" s="16"/>
      <c r="AZ892" s="16"/>
      <c r="BA892" s="16"/>
      <c r="BB892" s="17"/>
      <c r="BF892" s="24"/>
      <c r="BG892" s="61"/>
      <c r="BH892" s="16"/>
      <c r="BI892" s="16"/>
      <c r="BJ892" s="16"/>
      <c r="BK892" s="16"/>
      <c r="BL892" s="16"/>
      <c r="BM892" s="17"/>
      <c r="BQ892" s="24"/>
      <c r="BR892" s="61"/>
      <c r="BS892" s="16"/>
      <c r="BT892" s="16"/>
      <c r="BU892" s="16"/>
      <c r="BV892" s="16"/>
      <c r="BW892" s="16"/>
      <c r="BX892" s="17"/>
      <c r="CB892" s="24"/>
      <c r="CC892" s="61"/>
      <c r="CD892" s="16"/>
      <c r="CE892" s="16"/>
      <c r="CF892" s="16"/>
      <c r="CG892" s="16"/>
      <c r="CH892" s="16"/>
      <c r="CI892" s="17"/>
      <c r="CM892" s="24"/>
      <c r="CN892" s="61"/>
      <c r="CO892" s="16"/>
      <c r="CP892" s="16"/>
      <c r="CQ892" s="16"/>
      <c r="CR892" s="16"/>
      <c r="CS892" s="16"/>
      <c r="CT892" s="17"/>
      <c r="CX892" s="24"/>
      <c r="CY892" s="60"/>
      <c r="CZ892" s="16"/>
      <c r="DA892" s="16"/>
      <c r="DB892" s="16"/>
      <c r="DC892" s="16"/>
      <c r="DD892" s="16"/>
      <c r="DE892" s="17"/>
      <c r="DI892" s="24"/>
      <c r="DJ892" s="60"/>
      <c r="DK892" s="16"/>
      <c r="DL892" s="16"/>
      <c r="DM892" s="16"/>
      <c r="DN892" s="16"/>
      <c r="DO892" s="16"/>
      <c r="DP892" s="17"/>
      <c r="DT892" s="24"/>
      <c r="DU892" s="60"/>
      <c r="DV892" s="16"/>
      <c r="DW892" s="16"/>
      <c r="DX892" s="16"/>
      <c r="DY892" s="16"/>
      <c r="DZ892" s="16"/>
      <c r="EA892" s="17"/>
      <c r="EE892" s="24"/>
      <c r="EF892" s="60"/>
      <c r="EG892" s="16"/>
      <c r="EH892" s="16"/>
      <c r="EI892" s="16"/>
      <c r="EJ892" s="16"/>
      <c r="EK892" s="16"/>
      <c r="EL892" s="17"/>
      <c r="EP892" s="24"/>
      <c r="EQ892" s="60"/>
      <c r="ER892" s="16"/>
      <c r="ES892" s="16"/>
      <c r="ET892" s="16"/>
      <c r="EU892" s="16"/>
      <c r="EV892" s="16"/>
      <c r="EW892" s="17"/>
      <c r="FA892" s="24"/>
      <c r="FB892" s="60"/>
      <c r="FC892" s="16"/>
      <c r="FD892" s="16"/>
      <c r="FE892" s="16"/>
      <c r="FF892" s="16"/>
      <c r="FG892" s="16"/>
      <c r="FH892" s="17"/>
      <c r="FL892" s="24"/>
      <c r="FM892" s="60"/>
      <c r="FN892" s="16"/>
      <c r="FO892" s="16"/>
      <c r="FP892" s="16"/>
      <c r="FQ892" s="16"/>
      <c r="FR892" s="16"/>
      <c r="FS892" s="17"/>
      <c r="FW892" s="24"/>
      <c r="FX892" s="60"/>
      <c r="FY892" s="16"/>
      <c r="FZ892" s="16"/>
      <c r="GA892" s="16"/>
      <c r="GB892" s="16"/>
      <c r="GC892" s="16"/>
      <c r="GD892" s="17"/>
      <c r="GH892" s="24"/>
      <c r="GI892" s="60"/>
      <c r="GJ892" s="16"/>
      <c r="GK892" s="16"/>
      <c r="GL892" s="16"/>
      <c r="GM892" s="16"/>
      <c r="GN892" s="16"/>
      <c r="GO892" s="17"/>
      <c r="GS892" s="24"/>
      <c r="GT892" s="60"/>
      <c r="GU892" s="16"/>
      <c r="GV892" s="16"/>
      <c r="GW892" s="16"/>
      <c r="GX892" s="16"/>
      <c r="GY892" s="16"/>
      <c r="GZ892" s="17"/>
      <c r="HD892" s="24"/>
      <c r="HE892" s="60"/>
      <c r="HF892" s="16"/>
      <c r="HG892" s="16"/>
      <c r="HH892" s="16"/>
      <c r="HI892" s="16"/>
      <c r="HJ892" s="16"/>
      <c r="HK892" s="17"/>
      <c r="HO892" s="24"/>
      <c r="HP892" s="60"/>
      <c r="HQ892" s="16"/>
      <c r="HR892" s="16"/>
      <c r="HS892" s="16"/>
      <c r="HT892" s="16"/>
      <c r="HU892" s="16"/>
      <c r="HV892" s="17"/>
      <c r="HZ892" s="24"/>
      <c r="IA892" s="60"/>
      <c r="IB892" s="16"/>
      <c r="IC892" s="16"/>
      <c r="ID892" s="16"/>
      <c r="IE892" s="16"/>
      <c r="IF892" s="16"/>
      <c r="IG892" s="17"/>
      <c r="IK892" s="24"/>
      <c r="IL892" s="60"/>
      <c r="IM892" s="16"/>
      <c r="IN892" s="16"/>
      <c r="IO892" s="16"/>
      <c r="IP892" s="16"/>
      <c r="IQ892" s="16"/>
      <c r="IR892" s="17"/>
      <c r="IV892" s="24"/>
      <c r="IW892" s="60"/>
      <c r="IX892" s="16"/>
      <c r="IY892" s="16"/>
      <c r="IZ892" s="16"/>
      <c r="JA892" s="16"/>
      <c r="JB892" s="16"/>
      <c r="JC892" s="17"/>
      <c r="JG892" s="24"/>
      <c r="JH892" s="60"/>
      <c r="JI892" s="16"/>
      <c r="JJ892" s="16"/>
      <c r="JK892" s="16"/>
      <c r="JL892" s="16"/>
      <c r="JM892" s="16"/>
      <c r="JN892" s="17"/>
      <c r="JR892" s="24"/>
      <c r="JS892" s="60"/>
      <c r="JT892" s="16"/>
      <c r="JU892" s="16"/>
      <c r="JV892" s="16"/>
      <c r="JW892" s="16"/>
      <c r="JX892" s="16"/>
      <c r="JY892" s="17"/>
      <c r="KC892" s="24"/>
      <c r="KD892" s="60"/>
      <c r="KE892" s="16"/>
      <c r="KF892" s="16"/>
      <c r="KG892" s="16"/>
      <c r="KH892" s="16"/>
      <c r="KI892" s="16"/>
      <c r="KJ892" s="17"/>
      <c r="KN892" s="24"/>
      <c r="KO892" s="60"/>
      <c r="KP892" s="16"/>
      <c r="KQ892" s="16"/>
      <c r="KR892" s="16"/>
      <c r="KS892" s="16"/>
      <c r="KT892" s="16"/>
      <c r="KU892" s="17"/>
      <c r="KY892" s="24"/>
      <c r="KZ892" s="60"/>
      <c r="LA892" s="16"/>
      <c r="LB892" s="16"/>
      <c r="LC892" s="16"/>
      <c r="LD892" s="16"/>
      <c r="LE892" s="16"/>
      <c r="LF892" s="17"/>
      <c r="LJ892" s="24"/>
      <c r="LK892" s="60"/>
      <c r="LL892" s="16"/>
      <c r="LM892" s="16"/>
      <c r="LN892" s="16"/>
      <c r="LO892" s="16"/>
      <c r="LP892" s="16"/>
      <c r="LQ892" s="17"/>
    </row>
    <row r="893">
      <c r="C893" s="31"/>
      <c r="D893" s="61"/>
      <c r="E893" s="16"/>
      <c r="F893" s="16"/>
      <c r="G893" s="21"/>
      <c r="H893" s="16"/>
      <c r="I893" s="16"/>
      <c r="J893" s="17"/>
      <c r="N893" s="17"/>
      <c r="O893" s="61"/>
      <c r="P893" s="16"/>
      <c r="Q893" s="16"/>
      <c r="R893" s="16"/>
      <c r="S893" s="16"/>
      <c r="T893" s="16"/>
      <c r="U893" s="17"/>
      <c r="Y893" s="24"/>
      <c r="Z893" s="61"/>
      <c r="AA893" s="16"/>
      <c r="AB893" s="16"/>
      <c r="AC893" s="16"/>
      <c r="AD893" s="16"/>
      <c r="AE893" s="16"/>
      <c r="AF893" s="17"/>
      <c r="AJ893" s="24"/>
      <c r="AK893" s="61"/>
      <c r="AL893" s="16"/>
      <c r="AM893" s="16"/>
      <c r="AN893" s="16"/>
      <c r="AO893" s="16"/>
      <c r="AP893" s="16"/>
      <c r="AQ893" s="17"/>
      <c r="AU893" s="24"/>
      <c r="AV893" s="61"/>
      <c r="AW893" s="16"/>
      <c r="AX893" s="16"/>
      <c r="AY893" s="16"/>
      <c r="AZ893" s="16"/>
      <c r="BA893" s="16"/>
      <c r="BB893" s="17"/>
      <c r="BF893" s="24"/>
      <c r="BG893" s="61"/>
      <c r="BH893" s="16"/>
      <c r="BI893" s="16"/>
      <c r="BJ893" s="16"/>
      <c r="BK893" s="16"/>
      <c r="BL893" s="16"/>
      <c r="BM893" s="17"/>
      <c r="BQ893" s="24"/>
      <c r="BR893" s="61"/>
      <c r="BS893" s="16"/>
      <c r="BT893" s="16"/>
      <c r="BU893" s="16"/>
      <c r="BV893" s="16"/>
      <c r="BW893" s="16"/>
      <c r="BX893" s="17"/>
      <c r="CB893" s="24"/>
      <c r="CC893" s="61"/>
      <c r="CD893" s="16"/>
      <c r="CE893" s="16"/>
      <c r="CF893" s="16"/>
      <c r="CG893" s="16"/>
      <c r="CH893" s="16"/>
      <c r="CI893" s="17"/>
      <c r="CM893" s="24"/>
      <c r="CN893" s="61"/>
      <c r="CO893" s="16"/>
      <c r="CP893" s="16"/>
      <c r="CQ893" s="16"/>
      <c r="CR893" s="16"/>
      <c r="CS893" s="16"/>
      <c r="CT893" s="17"/>
      <c r="CX893" s="24"/>
      <c r="CY893" s="60"/>
      <c r="CZ893" s="16"/>
      <c r="DA893" s="16"/>
      <c r="DB893" s="16"/>
      <c r="DC893" s="16"/>
      <c r="DD893" s="16"/>
      <c r="DE893" s="17"/>
      <c r="DI893" s="24"/>
      <c r="DJ893" s="60"/>
      <c r="DK893" s="16"/>
      <c r="DL893" s="16"/>
      <c r="DM893" s="16"/>
      <c r="DN893" s="16"/>
      <c r="DO893" s="16"/>
      <c r="DP893" s="17"/>
      <c r="DT893" s="24"/>
      <c r="DU893" s="60"/>
      <c r="DV893" s="16"/>
      <c r="DW893" s="16"/>
      <c r="DX893" s="16"/>
      <c r="DY893" s="16"/>
      <c r="DZ893" s="16"/>
      <c r="EA893" s="17"/>
      <c r="EE893" s="24"/>
      <c r="EF893" s="60"/>
      <c r="EG893" s="16"/>
      <c r="EH893" s="16"/>
      <c r="EI893" s="16"/>
      <c r="EJ893" s="16"/>
      <c r="EK893" s="16"/>
      <c r="EL893" s="17"/>
      <c r="EP893" s="24"/>
      <c r="EQ893" s="60"/>
      <c r="ER893" s="16"/>
      <c r="ES893" s="16"/>
      <c r="ET893" s="16"/>
      <c r="EU893" s="16"/>
      <c r="EV893" s="16"/>
      <c r="EW893" s="17"/>
      <c r="FA893" s="24"/>
      <c r="FB893" s="60"/>
      <c r="FC893" s="16"/>
      <c r="FD893" s="16"/>
      <c r="FE893" s="16"/>
      <c r="FF893" s="16"/>
      <c r="FG893" s="16"/>
      <c r="FH893" s="17"/>
      <c r="FL893" s="24"/>
      <c r="FM893" s="60"/>
      <c r="FN893" s="16"/>
      <c r="FO893" s="16"/>
      <c r="FP893" s="16"/>
      <c r="FQ893" s="16"/>
      <c r="FR893" s="16"/>
      <c r="FS893" s="17"/>
      <c r="FW893" s="24"/>
      <c r="FX893" s="60"/>
      <c r="FY893" s="16"/>
      <c r="FZ893" s="16"/>
      <c r="GA893" s="16"/>
      <c r="GB893" s="16"/>
      <c r="GC893" s="16"/>
      <c r="GD893" s="17"/>
      <c r="GH893" s="24"/>
      <c r="GI893" s="60"/>
      <c r="GJ893" s="16"/>
      <c r="GK893" s="16"/>
      <c r="GL893" s="16"/>
      <c r="GM893" s="16"/>
      <c r="GN893" s="16"/>
      <c r="GO893" s="17"/>
      <c r="GS893" s="24"/>
      <c r="GT893" s="60"/>
      <c r="GU893" s="16"/>
      <c r="GV893" s="16"/>
      <c r="GW893" s="16"/>
      <c r="GX893" s="16"/>
      <c r="GY893" s="16"/>
      <c r="GZ893" s="17"/>
      <c r="HD893" s="24"/>
      <c r="HE893" s="60"/>
      <c r="HF893" s="16"/>
      <c r="HG893" s="16"/>
      <c r="HH893" s="16"/>
      <c r="HI893" s="16"/>
      <c r="HJ893" s="16"/>
      <c r="HK893" s="17"/>
      <c r="HO893" s="24"/>
      <c r="HP893" s="60"/>
      <c r="HQ893" s="16"/>
      <c r="HR893" s="16"/>
      <c r="HS893" s="16"/>
      <c r="HT893" s="16"/>
      <c r="HU893" s="16"/>
      <c r="HV893" s="17"/>
      <c r="HZ893" s="24"/>
      <c r="IA893" s="60"/>
      <c r="IB893" s="16"/>
      <c r="IC893" s="16"/>
      <c r="ID893" s="16"/>
      <c r="IE893" s="16"/>
      <c r="IF893" s="16"/>
      <c r="IG893" s="17"/>
      <c r="IK893" s="24"/>
      <c r="IL893" s="60"/>
      <c r="IM893" s="16"/>
      <c r="IN893" s="16"/>
      <c r="IO893" s="16"/>
      <c r="IP893" s="16"/>
      <c r="IQ893" s="16"/>
      <c r="IR893" s="17"/>
      <c r="IV893" s="24"/>
      <c r="IW893" s="60"/>
      <c r="IX893" s="16"/>
      <c r="IY893" s="16"/>
      <c r="IZ893" s="16"/>
      <c r="JA893" s="16"/>
      <c r="JB893" s="16"/>
      <c r="JC893" s="17"/>
      <c r="JG893" s="24"/>
      <c r="JH893" s="60"/>
      <c r="JI893" s="16"/>
      <c r="JJ893" s="16"/>
      <c r="JK893" s="16"/>
      <c r="JL893" s="16"/>
      <c r="JM893" s="16"/>
      <c r="JN893" s="17"/>
      <c r="JR893" s="24"/>
      <c r="JS893" s="60"/>
      <c r="JT893" s="16"/>
      <c r="JU893" s="16"/>
      <c r="JV893" s="16"/>
      <c r="JW893" s="16"/>
      <c r="JX893" s="16"/>
      <c r="JY893" s="17"/>
      <c r="KC893" s="24"/>
      <c r="KD893" s="60"/>
      <c r="KE893" s="16"/>
      <c r="KF893" s="16"/>
      <c r="KG893" s="16"/>
      <c r="KH893" s="16"/>
      <c r="KI893" s="16"/>
      <c r="KJ893" s="17"/>
      <c r="KN893" s="24"/>
      <c r="KO893" s="60"/>
      <c r="KP893" s="16"/>
      <c r="KQ893" s="16"/>
      <c r="KR893" s="16"/>
      <c r="KS893" s="16"/>
      <c r="KT893" s="16"/>
      <c r="KU893" s="17"/>
      <c r="KY893" s="24"/>
      <c r="KZ893" s="60"/>
      <c r="LA893" s="16"/>
      <c r="LB893" s="16"/>
      <c r="LC893" s="16"/>
      <c r="LD893" s="16"/>
      <c r="LE893" s="16"/>
      <c r="LF893" s="17"/>
      <c r="LJ893" s="24"/>
      <c r="LK893" s="60"/>
      <c r="LL893" s="16"/>
      <c r="LM893" s="16"/>
      <c r="LN893" s="16"/>
      <c r="LO893" s="16"/>
      <c r="LP893" s="16"/>
      <c r="LQ893" s="17"/>
    </row>
    <row r="894">
      <c r="C894" s="31"/>
      <c r="D894" s="61"/>
      <c r="E894" s="16"/>
      <c r="F894" s="16"/>
      <c r="G894" s="21"/>
      <c r="H894" s="16"/>
      <c r="I894" s="16"/>
      <c r="J894" s="17"/>
      <c r="N894" s="17"/>
      <c r="O894" s="61"/>
      <c r="P894" s="16"/>
      <c r="Q894" s="16"/>
      <c r="R894" s="16"/>
      <c r="S894" s="16"/>
      <c r="T894" s="16"/>
      <c r="U894" s="17"/>
      <c r="Y894" s="24"/>
      <c r="Z894" s="61"/>
      <c r="AA894" s="16"/>
      <c r="AB894" s="16"/>
      <c r="AC894" s="16"/>
      <c r="AD894" s="16"/>
      <c r="AE894" s="16"/>
      <c r="AF894" s="17"/>
      <c r="AJ894" s="24"/>
      <c r="AK894" s="61"/>
      <c r="AL894" s="16"/>
      <c r="AM894" s="16"/>
      <c r="AN894" s="16"/>
      <c r="AO894" s="16"/>
      <c r="AP894" s="16"/>
      <c r="AQ894" s="17"/>
      <c r="AU894" s="24"/>
      <c r="AV894" s="61"/>
      <c r="AW894" s="16"/>
      <c r="AX894" s="16"/>
      <c r="AY894" s="16"/>
      <c r="AZ894" s="16"/>
      <c r="BA894" s="16"/>
      <c r="BB894" s="17"/>
      <c r="BF894" s="24"/>
      <c r="BG894" s="61"/>
      <c r="BH894" s="16"/>
      <c r="BI894" s="16"/>
      <c r="BJ894" s="16"/>
      <c r="BK894" s="16"/>
      <c r="BL894" s="16"/>
      <c r="BM894" s="17"/>
      <c r="BQ894" s="24"/>
      <c r="BR894" s="61"/>
      <c r="BS894" s="16"/>
      <c r="BT894" s="16"/>
      <c r="BU894" s="16"/>
      <c r="BV894" s="16"/>
      <c r="BW894" s="16"/>
      <c r="BX894" s="17"/>
      <c r="CB894" s="24"/>
      <c r="CC894" s="61"/>
      <c r="CD894" s="16"/>
      <c r="CE894" s="16"/>
      <c r="CF894" s="16"/>
      <c r="CG894" s="16"/>
      <c r="CH894" s="16"/>
      <c r="CI894" s="17"/>
      <c r="CM894" s="24"/>
      <c r="CN894" s="61"/>
      <c r="CO894" s="16"/>
      <c r="CP894" s="16"/>
      <c r="CQ894" s="16"/>
      <c r="CR894" s="16"/>
      <c r="CS894" s="16"/>
      <c r="CT894" s="17"/>
      <c r="CX894" s="24"/>
      <c r="CY894" s="60"/>
      <c r="CZ894" s="16"/>
      <c r="DA894" s="16"/>
      <c r="DB894" s="16"/>
      <c r="DC894" s="16"/>
      <c r="DD894" s="16"/>
      <c r="DE894" s="17"/>
      <c r="DI894" s="24"/>
      <c r="DJ894" s="60"/>
      <c r="DK894" s="16"/>
      <c r="DL894" s="16"/>
      <c r="DM894" s="16"/>
      <c r="DN894" s="16"/>
      <c r="DO894" s="16"/>
      <c r="DP894" s="17"/>
      <c r="DT894" s="24"/>
      <c r="DU894" s="60"/>
      <c r="DV894" s="16"/>
      <c r="DW894" s="16"/>
      <c r="DX894" s="16"/>
      <c r="DY894" s="16"/>
      <c r="DZ894" s="16"/>
      <c r="EA894" s="17"/>
      <c r="EE894" s="24"/>
      <c r="EF894" s="60"/>
      <c r="EG894" s="16"/>
      <c r="EH894" s="16"/>
      <c r="EI894" s="16"/>
      <c r="EJ894" s="16"/>
      <c r="EK894" s="16"/>
      <c r="EL894" s="17"/>
      <c r="EP894" s="24"/>
      <c r="EQ894" s="60"/>
      <c r="ER894" s="16"/>
      <c r="ES894" s="16"/>
      <c r="ET894" s="16"/>
      <c r="EU894" s="16"/>
      <c r="EV894" s="16"/>
      <c r="EW894" s="17"/>
      <c r="FA894" s="24"/>
      <c r="FB894" s="60"/>
      <c r="FC894" s="16"/>
      <c r="FD894" s="16"/>
      <c r="FE894" s="16"/>
      <c r="FF894" s="16"/>
      <c r="FG894" s="16"/>
      <c r="FH894" s="17"/>
      <c r="FL894" s="24"/>
      <c r="FM894" s="60"/>
      <c r="FN894" s="16"/>
      <c r="FO894" s="16"/>
      <c r="FP894" s="16"/>
      <c r="FQ894" s="16"/>
      <c r="FR894" s="16"/>
      <c r="FS894" s="17"/>
      <c r="FW894" s="24"/>
      <c r="FX894" s="60"/>
      <c r="FY894" s="16"/>
      <c r="FZ894" s="16"/>
      <c r="GA894" s="16"/>
      <c r="GB894" s="16"/>
      <c r="GC894" s="16"/>
      <c r="GD894" s="17"/>
      <c r="GH894" s="24"/>
      <c r="GI894" s="60"/>
      <c r="GJ894" s="16"/>
      <c r="GK894" s="16"/>
      <c r="GL894" s="16"/>
      <c r="GM894" s="16"/>
      <c r="GN894" s="16"/>
      <c r="GO894" s="17"/>
      <c r="GS894" s="24"/>
      <c r="GT894" s="60"/>
      <c r="GU894" s="16"/>
      <c r="GV894" s="16"/>
      <c r="GW894" s="16"/>
      <c r="GX894" s="16"/>
      <c r="GY894" s="16"/>
      <c r="GZ894" s="17"/>
      <c r="HD894" s="24"/>
      <c r="HE894" s="60"/>
      <c r="HF894" s="16"/>
      <c r="HG894" s="16"/>
      <c r="HH894" s="16"/>
      <c r="HI894" s="16"/>
      <c r="HJ894" s="16"/>
      <c r="HK894" s="17"/>
      <c r="HO894" s="24"/>
      <c r="HP894" s="60"/>
      <c r="HQ894" s="16"/>
      <c r="HR894" s="16"/>
      <c r="HS894" s="16"/>
      <c r="HT894" s="16"/>
      <c r="HU894" s="16"/>
      <c r="HV894" s="17"/>
      <c r="HZ894" s="24"/>
      <c r="IA894" s="60"/>
      <c r="IB894" s="16"/>
      <c r="IC894" s="16"/>
      <c r="ID894" s="16"/>
      <c r="IE894" s="16"/>
      <c r="IF894" s="16"/>
      <c r="IG894" s="17"/>
      <c r="IK894" s="24"/>
      <c r="IL894" s="60"/>
      <c r="IM894" s="16"/>
      <c r="IN894" s="16"/>
      <c r="IO894" s="16"/>
      <c r="IP894" s="16"/>
      <c r="IQ894" s="16"/>
      <c r="IR894" s="17"/>
      <c r="IV894" s="24"/>
      <c r="IW894" s="60"/>
      <c r="IX894" s="16"/>
      <c r="IY894" s="16"/>
      <c r="IZ894" s="16"/>
      <c r="JA894" s="16"/>
      <c r="JB894" s="16"/>
      <c r="JC894" s="17"/>
      <c r="JG894" s="24"/>
      <c r="JH894" s="60"/>
      <c r="JI894" s="16"/>
      <c r="JJ894" s="16"/>
      <c r="JK894" s="16"/>
      <c r="JL894" s="16"/>
      <c r="JM894" s="16"/>
      <c r="JN894" s="17"/>
      <c r="JR894" s="24"/>
      <c r="JS894" s="60"/>
      <c r="JT894" s="16"/>
      <c r="JU894" s="16"/>
      <c r="JV894" s="16"/>
      <c r="JW894" s="16"/>
      <c r="JX894" s="16"/>
      <c r="JY894" s="17"/>
      <c r="KC894" s="24"/>
      <c r="KD894" s="60"/>
      <c r="KE894" s="16"/>
      <c r="KF894" s="16"/>
      <c r="KG894" s="16"/>
      <c r="KH894" s="16"/>
      <c r="KI894" s="16"/>
      <c r="KJ894" s="17"/>
      <c r="KN894" s="24"/>
      <c r="KO894" s="60"/>
      <c r="KP894" s="16"/>
      <c r="KQ894" s="16"/>
      <c r="KR894" s="16"/>
      <c r="KS894" s="16"/>
      <c r="KT894" s="16"/>
      <c r="KU894" s="17"/>
      <c r="KY894" s="24"/>
      <c r="KZ894" s="60"/>
      <c r="LA894" s="16"/>
      <c r="LB894" s="16"/>
      <c r="LC894" s="16"/>
      <c r="LD894" s="16"/>
      <c r="LE894" s="16"/>
      <c r="LF894" s="17"/>
      <c r="LJ894" s="24"/>
      <c r="LK894" s="60"/>
      <c r="LL894" s="16"/>
      <c r="LM894" s="16"/>
      <c r="LN894" s="16"/>
      <c r="LO894" s="16"/>
      <c r="LP894" s="16"/>
      <c r="LQ894" s="17"/>
    </row>
    <row r="895">
      <c r="C895" s="31"/>
      <c r="D895" s="61"/>
      <c r="E895" s="16"/>
      <c r="F895" s="16"/>
      <c r="G895" s="21"/>
      <c r="H895" s="16"/>
      <c r="I895" s="16"/>
      <c r="J895" s="17"/>
      <c r="N895" s="17"/>
      <c r="O895" s="61"/>
      <c r="P895" s="16"/>
      <c r="Q895" s="16"/>
      <c r="R895" s="16"/>
      <c r="S895" s="16"/>
      <c r="T895" s="16"/>
      <c r="U895" s="17"/>
      <c r="Y895" s="24"/>
      <c r="Z895" s="61"/>
      <c r="AA895" s="16"/>
      <c r="AB895" s="16"/>
      <c r="AC895" s="16"/>
      <c r="AD895" s="16"/>
      <c r="AE895" s="16"/>
      <c r="AF895" s="17"/>
      <c r="AJ895" s="24"/>
      <c r="AK895" s="61"/>
      <c r="AL895" s="16"/>
      <c r="AM895" s="16"/>
      <c r="AN895" s="16"/>
      <c r="AO895" s="16"/>
      <c r="AP895" s="16"/>
      <c r="AQ895" s="17"/>
      <c r="AU895" s="24"/>
      <c r="AV895" s="61"/>
      <c r="AW895" s="16"/>
      <c r="AX895" s="16"/>
      <c r="AY895" s="16"/>
      <c r="AZ895" s="16"/>
      <c r="BA895" s="16"/>
      <c r="BB895" s="17"/>
      <c r="BF895" s="24"/>
      <c r="BG895" s="61"/>
      <c r="BH895" s="16"/>
      <c r="BI895" s="16"/>
      <c r="BJ895" s="16"/>
      <c r="BK895" s="16"/>
      <c r="BL895" s="16"/>
      <c r="BM895" s="17"/>
      <c r="BQ895" s="24"/>
      <c r="BR895" s="61"/>
      <c r="BS895" s="16"/>
      <c r="BT895" s="16"/>
      <c r="BU895" s="16"/>
      <c r="BV895" s="16"/>
      <c r="BW895" s="16"/>
      <c r="BX895" s="17"/>
      <c r="CB895" s="24"/>
      <c r="CC895" s="61"/>
      <c r="CD895" s="16"/>
      <c r="CE895" s="16"/>
      <c r="CF895" s="16"/>
      <c r="CG895" s="16"/>
      <c r="CH895" s="16"/>
      <c r="CI895" s="17"/>
      <c r="CM895" s="24"/>
      <c r="CN895" s="61"/>
      <c r="CO895" s="16"/>
      <c r="CP895" s="16"/>
      <c r="CQ895" s="16"/>
      <c r="CR895" s="16"/>
      <c r="CS895" s="16"/>
      <c r="CT895" s="17"/>
      <c r="CX895" s="24"/>
      <c r="CY895" s="60"/>
      <c r="CZ895" s="16"/>
      <c r="DA895" s="16"/>
      <c r="DB895" s="16"/>
      <c r="DC895" s="16"/>
      <c r="DD895" s="16"/>
      <c r="DE895" s="17"/>
      <c r="DI895" s="24"/>
      <c r="DJ895" s="60"/>
      <c r="DK895" s="16"/>
      <c r="DL895" s="16"/>
      <c r="DM895" s="16"/>
      <c r="DN895" s="16"/>
      <c r="DO895" s="16"/>
      <c r="DP895" s="17"/>
      <c r="DT895" s="24"/>
      <c r="DU895" s="60"/>
      <c r="DV895" s="16"/>
      <c r="DW895" s="16"/>
      <c r="DX895" s="16"/>
      <c r="DY895" s="16"/>
      <c r="DZ895" s="16"/>
      <c r="EA895" s="17"/>
      <c r="EE895" s="24"/>
      <c r="EF895" s="60"/>
      <c r="EG895" s="16"/>
      <c r="EH895" s="16"/>
      <c r="EI895" s="16"/>
      <c r="EJ895" s="16"/>
      <c r="EK895" s="16"/>
      <c r="EL895" s="17"/>
      <c r="EP895" s="24"/>
      <c r="EQ895" s="60"/>
      <c r="ER895" s="16"/>
      <c r="ES895" s="16"/>
      <c r="ET895" s="16"/>
      <c r="EU895" s="16"/>
      <c r="EV895" s="16"/>
      <c r="EW895" s="17"/>
      <c r="FA895" s="24"/>
      <c r="FB895" s="60"/>
      <c r="FC895" s="16"/>
      <c r="FD895" s="16"/>
      <c r="FE895" s="16"/>
      <c r="FF895" s="16"/>
      <c r="FG895" s="16"/>
      <c r="FH895" s="17"/>
      <c r="FL895" s="24"/>
      <c r="FM895" s="60"/>
      <c r="FN895" s="16"/>
      <c r="FO895" s="16"/>
      <c r="FP895" s="16"/>
      <c r="FQ895" s="16"/>
      <c r="FR895" s="16"/>
      <c r="FS895" s="17"/>
      <c r="FW895" s="24"/>
      <c r="FX895" s="60"/>
      <c r="FY895" s="16"/>
      <c r="FZ895" s="16"/>
      <c r="GA895" s="16"/>
      <c r="GB895" s="16"/>
      <c r="GC895" s="16"/>
      <c r="GD895" s="17"/>
      <c r="GH895" s="24"/>
      <c r="GI895" s="60"/>
      <c r="GJ895" s="16"/>
      <c r="GK895" s="16"/>
      <c r="GL895" s="16"/>
      <c r="GM895" s="16"/>
      <c r="GN895" s="16"/>
      <c r="GO895" s="17"/>
      <c r="GS895" s="24"/>
      <c r="GT895" s="60"/>
      <c r="GU895" s="16"/>
      <c r="GV895" s="16"/>
      <c r="GW895" s="16"/>
      <c r="GX895" s="16"/>
      <c r="GY895" s="16"/>
      <c r="GZ895" s="17"/>
      <c r="HD895" s="24"/>
      <c r="HE895" s="60"/>
      <c r="HF895" s="16"/>
      <c r="HG895" s="16"/>
      <c r="HH895" s="16"/>
      <c r="HI895" s="16"/>
      <c r="HJ895" s="16"/>
      <c r="HK895" s="17"/>
      <c r="HO895" s="24"/>
      <c r="HP895" s="60"/>
      <c r="HQ895" s="16"/>
      <c r="HR895" s="16"/>
      <c r="HS895" s="16"/>
      <c r="HT895" s="16"/>
      <c r="HU895" s="16"/>
      <c r="HV895" s="17"/>
      <c r="HZ895" s="24"/>
      <c r="IA895" s="60"/>
      <c r="IB895" s="16"/>
      <c r="IC895" s="16"/>
      <c r="ID895" s="16"/>
      <c r="IE895" s="16"/>
      <c r="IF895" s="16"/>
      <c r="IG895" s="17"/>
      <c r="IK895" s="24"/>
      <c r="IL895" s="60"/>
      <c r="IM895" s="16"/>
      <c r="IN895" s="16"/>
      <c r="IO895" s="16"/>
      <c r="IP895" s="16"/>
      <c r="IQ895" s="16"/>
      <c r="IR895" s="17"/>
      <c r="IV895" s="24"/>
      <c r="IW895" s="60"/>
      <c r="IX895" s="16"/>
      <c r="IY895" s="16"/>
      <c r="IZ895" s="16"/>
      <c r="JA895" s="16"/>
      <c r="JB895" s="16"/>
      <c r="JC895" s="17"/>
      <c r="JG895" s="24"/>
      <c r="JH895" s="60"/>
      <c r="JI895" s="16"/>
      <c r="JJ895" s="16"/>
      <c r="JK895" s="16"/>
      <c r="JL895" s="16"/>
      <c r="JM895" s="16"/>
      <c r="JN895" s="17"/>
      <c r="JR895" s="24"/>
      <c r="JS895" s="60"/>
      <c r="JT895" s="16"/>
      <c r="JU895" s="16"/>
      <c r="JV895" s="16"/>
      <c r="JW895" s="16"/>
      <c r="JX895" s="16"/>
      <c r="JY895" s="17"/>
      <c r="KC895" s="24"/>
      <c r="KD895" s="60"/>
      <c r="KE895" s="16"/>
      <c r="KF895" s="16"/>
      <c r="KG895" s="16"/>
      <c r="KH895" s="16"/>
      <c r="KI895" s="16"/>
      <c r="KJ895" s="17"/>
      <c r="KN895" s="24"/>
      <c r="KO895" s="60"/>
      <c r="KP895" s="16"/>
      <c r="KQ895" s="16"/>
      <c r="KR895" s="16"/>
      <c r="KS895" s="16"/>
      <c r="KT895" s="16"/>
      <c r="KU895" s="17"/>
      <c r="KY895" s="24"/>
      <c r="KZ895" s="60"/>
      <c r="LA895" s="16"/>
      <c r="LB895" s="16"/>
      <c r="LC895" s="16"/>
      <c r="LD895" s="16"/>
      <c r="LE895" s="16"/>
      <c r="LF895" s="17"/>
      <c r="LJ895" s="24"/>
      <c r="LK895" s="60"/>
      <c r="LL895" s="16"/>
      <c r="LM895" s="16"/>
      <c r="LN895" s="16"/>
      <c r="LO895" s="16"/>
      <c r="LP895" s="16"/>
      <c r="LQ895" s="17"/>
    </row>
    <row r="896">
      <c r="C896" s="31"/>
      <c r="D896" s="61"/>
      <c r="E896" s="16"/>
      <c r="F896" s="16"/>
      <c r="G896" s="21"/>
      <c r="H896" s="16"/>
      <c r="I896" s="16"/>
      <c r="J896" s="17"/>
      <c r="N896" s="17"/>
      <c r="O896" s="61"/>
      <c r="P896" s="16"/>
      <c r="Q896" s="16"/>
      <c r="R896" s="16"/>
      <c r="S896" s="16"/>
      <c r="T896" s="16"/>
      <c r="U896" s="17"/>
      <c r="Y896" s="24"/>
      <c r="Z896" s="61"/>
      <c r="AA896" s="16"/>
      <c r="AB896" s="16"/>
      <c r="AC896" s="16"/>
      <c r="AD896" s="16"/>
      <c r="AE896" s="16"/>
      <c r="AF896" s="17"/>
      <c r="AJ896" s="24"/>
      <c r="AK896" s="61"/>
      <c r="AL896" s="16"/>
      <c r="AM896" s="16"/>
      <c r="AN896" s="16"/>
      <c r="AO896" s="16"/>
      <c r="AP896" s="16"/>
      <c r="AQ896" s="17"/>
      <c r="AU896" s="24"/>
      <c r="AV896" s="61"/>
      <c r="AW896" s="16"/>
      <c r="AX896" s="16"/>
      <c r="AY896" s="16"/>
      <c r="AZ896" s="16"/>
      <c r="BA896" s="16"/>
      <c r="BB896" s="17"/>
      <c r="BF896" s="24"/>
      <c r="BG896" s="61"/>
      <c r="BH896" s="16"/>
      <c r="BI896" s="16"/>
      <c r="BJ896" s="16"/>
      <c r="BK896" s="16"/>
      <c r="BL896" s="16"/>
      <c r="BM896" s="17"/>
      <c r="BQ896" s="24"/>
      <c r="BR896" s="61"/>
      <c r="BS896" s="16"/>
      <c r="BT896" s="16"/>
      <c r="BU896" s="16"/>
      <c r="BV896" s="16"/>
      <c r="BW896" s="16"/>
      <c r="BX896" s="17"/>
      <c r="CB896" s="24"/>
      <c r="CC896" s="61"/>
      <c r="CD896" s="16"/>
      <c r="CE896" s="16"/>
      <c r="CF896" s="16"/>
      <c r="CG896" s="16"/>
      <c r="CH896" s="16"/>
      <c r="CI896" s="17"/>
      <c r="CM896" s="24"/>
      <c r="CN896" s="61"/>
      <c r="CO896" s="16"/>
      <c r="CP896" s="16"/>
      <c r="CQ896" s="16"/>
      <c r="CR896" s="16"/>
      <c r="CS896" s="16"/>
      <c r="CT896" s="17"/>
      <c r="CX896" s="24"/>
      <c r="CY896" s="60"/>
      <c r="CZ896" s="16"/>
      <c r="DA896" s="16"/>
      <c r="DB896" s="16"/>
      <c r="DC896" s="16"/>
      <c r="DD896" s="16"/>
      <c r="DE896" s="17"/>
      <c r="DI896" s="24"/>
      <c r="DJ896" s="60"/>
      <c r="DK896" s="16"/>
      <c r="DL896" s="16"/>
      <c r="DM896" s="16"/>
      <c r="DN896" s="16"/>
      <c r="DO896" s="16"/>
      <c r="DP896" s="17"/>
      <c r="DT896" s="24"/>
      <c r="DU896" s="60"/>
      <c r="DV896" s="16"/>
      <c r="DW896" s="16"/>
      <c r="DX896" s="16"/>
      <c r="DY896" s="16"/>
      <c r="DZ896" s="16"/>
      <c r="EA896" s="17"/>
      <c r="EE896" s="24"/>
      <c r="EF896" s="60"/>
      <c r="EG896" s="16"/>
      <c r="EH896" s="16"/>
      <c r="EI896" s="16"/>
      <c r="EJ896" s="16"/>
      <c r="EK896" s="16"/>
      <c r="EL896" s="17"/>
      <c r="EP896" s="24"/>
      <c r="EQ896" s="60"/>
      <c r="ER896" s="16"/>
      <c r="ES896" s="16"/>
      <c r="ET896" s="16"/>
      <c r="EU896" s="16"/>
      <c r="EV896" s="16"/>
      <c r="EW896" s="17"/>
      <c r="FA896" s="24"/>
      <c r="FB896" s="60"/>
      <c r="FC896" s="16"/>
      <c r="FD896" s="16"/>
      <c r="FE896" s="16"/>
      <c r="FF896" s="16"/>
      <c r="FG896" s="16"/>
      <c r="FH896" s="17"/>
      <c r="FL896" s="24"/>
      <c r="FM896" s="60"/>
      <c r="FN896" s="16"/>
      <c r="FO896" s="16"/>
      <c r="FP896" s="16"/>
      <c r="FQ896" s="16"/>
      <c r="FR896" s="16"/>
      <c r="FS896" s="17"/>
      <c r="FW896" s="24"/>
      <c r="FX896" s="60"/>
      <c r="FY896" s="16"/>
      <c r="FZ896" s="16"/>
      <c r="GA896" s="16"/>
      <c r="GB896" s="16"/>
      <c r="GC896" s="16"/>
      <c r="GD896" s="17"/>
      <c r="GH896" s="24"/>
      <c r="GI896" s="60"/>
      <c r="GJ896" s="16"/>
      <c r="GK896" s="16"/>
      <c r="GL896" s="16"/>
      <c r="GM896" s="16"/>
      <c r="GN896" s="16"/>
      <c r="GO896" s="17"/>
      <c r="GS896" s="24"/>
      <c r="GT896" s="60"/>
      <c r="GU896" s="16"/>
      <c r="GV896" s="16"/>
      <c r="GW896" s="16"/>
      <c r="GX896" s="16"/>
      <c r="GY896" s="16"/>
      <c r="GZ896" s="17"/>
      <c r="HD896" s="24"/>
      <c r="HE896" s="60"/>
      <c r="HF896" s="16"/>
      <c r="HG896" s="16"/>
      <c r="HH896" s="16"/>
      <c r="HI896" s="16"/>
      <c r="HJ896" s="16"/>
      <c r="HK896" s="17"/>
      <c r="HO896" s="24"/>
      <c r="HP896" s="60"/>
      <c r="HQ896" s="16"/>
      <c r="HR896" s="16"/>
      <c r="HS896" s="16"/>
      <c r="HT896" s="16"/>
      <c r="HU896" s="16"/>
      <c r="HV896" s="17"/>
      <c r="HZ896" s="24"/>
      <c r="IA896" s="60"/>
      <c r="IB896" s="16"/>
      <c r="IC896" s="16"/>
      <c r="ID896" s="16"/>
      <c r="IE896" s="16"/>
      <c r="IF896" s="16"/>
      <c r="IG896" s="17"/>
      <c r="IK896" s="24"/>
      <c r="IL896" s="60"/>
      <c r="IM896" s="16"/>
      <c r="IN896" s="16"/>
      <c r="IO896" s="16"/>
      <c r="IP896" s="16"/>
      <c r="IQ896" s="16"/>
      <c r="IR896" s="17"/>
      <c r="IV896" s="24"/>
      <c r="IW896" s="60"/>
      <c r="IX896" s="16"/>
      <c r="IY896" s="16"/>
      <c r="IZ896" s="16"/>
      <c r="JA896" s="16"/>
      <c r="JB896" s="16"/>
      <c r="JC896" s="17"/>
      <c r="JG896" s="24"/>
      <c r="JH896" s="60"/>
      <c r="JI896" s="16"/>
      <c r="JJ896" s="16"/>
      <c r="JK896" s="16"/>
      <c r="JL896" s="16"/>
      <c r="JM896" s="16"/>
      <c r="JN896" s="17"/>
      <c r="JR896" s="24"/>
      <c r="JS896" s="60"/>
      <c r="JT896" s="16"/>
      <c r="JU896" s="16"/>
      <c r="JV896" s="16"/>
      <c r="JW896" s="16"/>
      <c r="JX896" s="16"/>
      <c r="JY896" s="17"/>
      <c r="KC896" s="24"/>
      <c r="KD896" s="60"/>
      <c r="KE896" s="16"/>
      <c r="KF896" s="16"/>
      <c r="KG896" s="16"/>
      <c r="KH896" s="16"/>
      <c r="KI896" s="16"/>
      <c r="KJ896" s="17"/>
      <c r="KN896" s="24"/>
      <c r="KO896" s="60"/>
      <c r="KP896" s="16"/>
      <c r="KQ896" s="16"/>
      <c r="KR896" s="16"/>
      <c r="KS896" s="16"/>
      <c r="KT896" s="16"/>
      <c r="KU896" s="17"/>
      <c r="KY896" s="24"/>
      <c r="KZ896" s="60"/>
      <c r="LA896" s="16"/>
      <c r="LB896" s="16"/>
      <c r="LC896" s="16"/>
      <c r="LD896" s="16"/>
      <c r="LE896" s="16"/>
      <c r="LF896" s="17"/>
      <c r="LJ896" s="24"/>
      <c r="LK896" s="60"/>
      <c r="LL896" s="16"/>
      <c r="LM896" s="16"/>
      <c r="LN896" s="16"/>
      <c r="LO896" s="16"/>
      <c r="LP896" s="16"/>
      <c r="LQ896" s="17"/>
    </row>
    <row r="897">
      <c r="C897" s="31"/>
      <c r="D897" s="61"/>
      <c r="E897" s="16"/>
      <c r="F897" s="16"/>
      <c r="G897" s="21"/>
      <c r="H897" s="16"/>
      <c r="I897" s="16"/>
      <c r="J897" s="17"/>
      <c r="N897" s="17"/>
      <c r="O897" s="61"/>
      <c r="P897" s="16"/>
      <c r="Q897" s="16"/>
      <c r="R897" s="16"/>
      <c r="S897" s="16"/>
      <c r="T897" s="16"/>
      <c r="U897" s="17"/>
      <c r="Y897" s="24"/>
      <c r="Z897" s="61"/>
      <c r="AA897" s="16"/>
      <c r="AB897" s="16"/>
      <c r="AC897" s="16"/>
      <c r="AD897" s="16"/>
      <c r="AE897" s="16"/>
      <c r="AF897" s="17"/>
      <c r="AJ897" s="24"/>
      <c r="AK897" s="61"/>
      <c r="AL897" s="16"/>
      <c r="AM897" s="16"/>
      <c r="AN897" s="16"/>
      <c r="AO897" s="16"/>
      <c r="AP897" s="16"/>
      <c r="AQ897" s="17"/>
      <c r="AU897" s="24"/>
      <c r="AV897" s="61"/>
      <c r="AW897" s="16"/>
      <c r="AX897" s="16"/>
      <c r="AY897" s="16"/>
      <c r="AZ897" s="16"/>
      <c r="BA897" s="16"/>
      <c r="BB897" s="17"/>
      <c r="BF897" s="24"/>
      <c r="BG897" s="61"/>
      <c r="BH897" s="16"/>
      <c r="BI897" s="16"/>
      <c r="BJ897" s="16"/>
      <c r="BK897" s="16"/>
      <c r="BL897" s="16"/>
      <c r="BM897" s="17"/>
      <c r="BQ897" s="24"/>
      <c r="BR897" s="61"/>
      <c r="BS897" s="16"/>
      <c r="BT897" s="16"/>
      <c r="BU897" s="16"/>
      <c r="BV897" s="16"/>
      <c r="BW897" s="16"/>
      <c r="BX897" s="17"/>
      <c r="CB897" s="24"/>
      <c r="CC897" s="61"/>
      <c r="CD897" s="16"/>
      <c r="CE897" s="16"/>
      <c r="CF897" s="16"/>
      <c r="CG897" s="16"/>
      <c r="CH897" s="16"/>
      <c r="CI897" s="17"/>
      <c r="CM897" s="24"/>
      <c r="CN897" s="61"/>
      <c r="CO897" s="16"/>
      <c r="CP897" s="16"/>
      <c r="CQ897" s="16"/>
      <c r="CR897" s="16"/>
      <c r="CS897" s="16"/>
      <c r="CT897" s="17"/>
      <c r="CX897" s="24"/>
      <c r="CY897" s="60"/>
      <c r="CZ897" s="16"/>
      <c r="DA897" s="16"/>
      <c r="DB897" s="16"/>
      <c r="DC897" s="16"/>
      <c r="DD897" s="16"/>
      <c r="DE897" s="17"/>
      <c r="DI897" s="24"/>
      <c r="DJ897" s="60"/>
      <c r="DK897" s="16"/>
      <c r="DL897" s="16"/>
      <c r="DM897" s="16"/>
      <c r="DN897" s="16"/>
      <c r="DO897" s="16"/>
      <c r="DP897" s="17"/>
      <c r="DT897" s="24"/>
      <c r="DU897" s="60"/>
      <c r="DV897" s="16"/>
      <c r="DW897" s="16"/>
      <c r="DX897" s="16"/>
      <c r="DY897" s="16"/>
      <c r="DZ897" s="16"/>
      <c r="EA897" s="17"/>
      <c r="EE897" s="24"/>
      <c r="EF897" s="60"/>
      <c r="EG897" s="16"/>
      <c r="EH897" s="16"/>
      <c r="EI897" s="16"/>
      <c r="EJ897" s="16"/>
      <c r="EK897" s="16"/>
      <c r="EL897" s="17"/>
      <c r="EP897" s="24"/>
      <c r="EQ897" s="60"/>
      <c r="ER897" s="16"/>
      <c r="ES897" s="16"/>
      <c r="ET897" s="16"/>
      <c r="EU897" s="16"/>
      <c r="EV897" s="16"/>
      <c r="EW897" s="17"/>
      <c r="FA897" s="24"/>
      <c r="FB897" s="60"/>
      <c r="FC897" s="16"/>
      <c r="FD897" s="16"/>
      <c r="FE897" s="16"/>
      <c r="FF897" s="16"/>
      <c r="FG897" s="16"/>
      <c r="FH897" s="17"/>
      <c r="FL897" s="24"/>
      <c r="FM897" s="60"/>
      <c r="FN897" s="16"/>
      <c r="FO897" s="16"/>
      <c r="FP897" s="16"/>
      <c r="FQ897" s="16"/>
      <c r="FR897" s="16"/>
      <c r="FS897" s="17"/>
      <c r="FW897" s="24"/>
      <c r="FX897" s="60"/>
      <c r="FY897" s="16"/>
      <c r="FZ897" s="16"/>
      <c r="GA897" s="16"/>
      <c r="GB897" s="16"/>
      <c r="GC897" s="16"/>
      <c r="GD897" s="17"/>
      <c r="GH897" s="24"/>
      <c r="GI897" s="60"/>
      <c r="GJ897" s="16"/>
      <c r="GK897" s="16"/>
      <c r="GL897" s="16"/>
      <c r="GM897" s="16"/>
      <c r="GN897" s="16"/>
      <c r="GO897" s="17"/>
      <c r="GS897" s="24"/>
      <c r="GT897" s="60"/>
      <c r="GU897" s="16"/>
      <c r="GV897" s="16"/>
      <c r="GW897" s="16"/>
      <c r="GX897" s="16"/>
      <c r="GY897" s="16"/>
      <c r="GZ897" s="17"/>
      <c r="HD897" s="24"/>
      <c r="HE897" s="60"/>
      <c r="HF897" s="16"/>
      <c r="HG897" s="16"/>
      <c r="HH897" s="16"/>
      <c r="HI897" s="16"/>
      <c r="HJ897" s="16"/>
      <c r="HK897" s="17"/>
      <c r="HO897" s="24"/>
      <c r="HP897" s="60"/>
      <c r="HQ897" s="16"/>
      <c r="HR897" s="16"/>
      <c r="HS897" s="16"/>
      <c r="HT897" s="16"/>
      <c r="HU897" s="16"/>
      <c r="HV897" s="17"/>
      <c r="HZ897" s="24"/>
      <c r="IA897" s="60"/>
      <c r="IB897" s="16"/>
      <c r="IC897" s="16"/>
      <c r="ID897" s="16"/>
      <c r="IE897" s="16"/>
      <c r="IF897" s="16"/>
      <c r="IG897" s="17"/>
      <c r="IK897" s="24"/>
      <c r="IL897" s="60"/>
      <c r="IM897" s="16"/>
      <c r="IN897" s="16"/>
      <c r="IO897" s="16"/>
      <c r="IP897" s="16"/>
      <c r="IQ897" s="16"/>
      <c r="IR897" s="17"/>
      <c r="IV897" s="24"/>
      <c r="IW897" s="60"/>
      <c r="IX897" s="16"/>
      <c r="IY897" s="16"/>
      <c r="IZ897" s="16"/>
      <c r="JA897" s="16"/>
      <c r="JB897" s="16"/>
      <c r="JC897" s="17"/>
      <c r="JG897" s="24"/>
      <c r="JH897" s="60"/>
      <c r="JI897" s="16"/>
      <c r="JJ897" s="16"/>
      <c r="JK897" s="16"/>
      <c r="JL897" s="16"/>
      <c r="JM897" s="16"/>
      <c r="JN897" s="17"/>
      <c r="JR897" s="24"/>
      <c r="JS897" s="60"/>
      <c r="JT897" s="16"/>
      <c r="JU897" s="16"/>
      <c r="JV897" s="16"/>
      <c r="JW897" s="16"/>
      <c r="JX897" s="16"/>
      <c r="JY897" s="17"/>
      <c r="KC897" s="24"/>
      <c r="KD897" s="60"/>
      <c r="KE897" s="16"/>
      <c r="KF897" s="16"/>
      <c r="KG897" s="16"/>
      <c r="KH897" s="16"/>
      <c r="KI897" s="16"/>
      <c r="KJ897" s="17"/>
      <c r="KN897" s="24"/>
      <c r="KO897" s="60"/>
      <c r="KP897" s="16"/>
      <c r="KQ897" s="16"/>
      <c r="KR897" s="16"/>
      <c r="KS897" s="16"/>
      <c r="KT897" s="16"/>
      <c r="KU897" s="17"/>
      <c r="KY897" s="24"/>
      <c r="KZ897" s="60"/>
      <c r="LA897" s="16"/>
      <c r="LB897" s="16"/>
      <c r="LC897" s="16"/>
      <c r="LD897" s="16"/>
      <c r="LE897" s="16"/>
      <c r="LF897" s="17"/>
      <c r="LJ897" s="24"/>
      <c r="LK897" s="60"/>
      <c r="LL897" s="16"/>
      <c r="LM897" s="16"/>
      <c r="LN897" s="16"/>
      <c r="LO897" s="16"/>
      <c r="LP897" s="16"/>
      <c r="LQ897" s="17"/>
    </row>
    <row r="898">
      <c r="C898" s="31"/>
      <c r="D898" s="61"/>
      <c r="E898" s="16"/>
      <c r="F898" s="16"/>
      <c r="G898" s="21"/>
      <c r="H898" s="16"/>
      <c r="I898" s="16"/>
      <c r="J898" s="17"/>
      <c r="N898" s="17"/>
      <c r="O898" s="61"/>
      <c r="P898" s="16"/>
      <c r="Q898" s="16"/>
      <c r="R898" s="16"/>
      <c r="S898" s="16"/>
      <c r="T898" s="16"/>
      <c r="U898" s="17"/>
      <c r="Y898" s="24"/>
      <c r="Z898" s="61"/>
      <c r="AA898" s="16"/>
      <c r="AB898" s="16"/>
      <c r="AC898" s="16"/>
      <c r="AD898" s="16"/>
      <c r="AE898" s="16"/>
      <c r="AF898" s="17"/>
      <c r="AJ898" s="24"/>
      <c r="AK898" s="61"/>
      <c r="AL898" s="16"/>
      <c r="AM898" s="16"/>
      <c r="AN898" s="16"/>
      <c r="AO898" s="16"/>
      <c r="AP898" s="16"/>
      <c r="AQ898" s="17"/>
      <c r="AU898" s="24"/>
      <c r="AV898" s="61"/>
      <c r="AW898" s="16"/>
      <c r="AX898" s="16"/>
      <c r="AY898" s="16"/>
      <c r="AZ898" s="16"/>
      <c r="BA898" s="16"/>
      <c r="BB898" s="17"/>
      <c r="BF898" s="24"/>
      <c r="BG898" s="61"/>
      <c r="BH898" s="16"/>
      <c r="BI898" s="16"/>
      <c r="BJ898" s="16"/>
      <c r="BK898" s="16"/>
      <c r="BL898" s="16"/>
      <c r="BM898" s="17"/>
      <c r="BQ898" s="24"/>
      <c r="BR898" s="61"/>
      <c r="BS898" s="16"/>
      <c r="BT898" s="16"/>
      <c r="BU898" s="16"/>
      <c r="BV898" s="16"/>
      <c r="BW898" s="16"/>
      <c r="BX898" s="17"/>
      <c r="CB898" s="24"/>
      <c r="CC898" s="61"/>
      <c r="CD898" s="16"/>
      <c r="CE898" s="16"/>
      <c r="CF898" s="16"/>
      <c r="CG898" s="16"/>
      <c r="CH898" s="16"/>
      <c r="CI898" s="17"/>
      <c r="CM898" s="24"/>
      <c r="CN898" s="61"/>
      <c r="CO898" s="16"/>
      <c r="CP898" s="16"/>
      <c r="CQ898" s="16"/>
      <c r="CR898" s="16"/>
      <c r="CS898" s="16"/>
      <c r="CT898" s="17"/>
      <c r="CX898" s="24"/>
      <c r="CY898" s="60"/>
      <c r="CZ898" s="16"/>
      <c r="DA898" s="16"/>
      <c r="DB898" s="16"/>
      <c r="DC898" s="16"/>
      <c r="DD898" s="16"/>
      <c r="DE898" s="17"/>
      <c r="DI898" s="24"/>
      <c r="DJ898" s="60"/>
      <c r="DK898" s="16"/>
      <c r="DL898" s="16"/>
      <c r="DM898" s="16"/>
      <c r="DN898" s="16"/>
      <c r="DO898" s="16"/>
      <c r="DP898" s="17"/>
      <c r="DT898" s="24"/>
      <c r="DU898" s="60"/>
      <c r="DV898" s="16"/>
      <c r="DW898" s="16"/>
      <c r="DX898" s="16"/>
      <c r="DY898" s="16"/>
      <c r="DZ898" s="16"/>
      <c r="EA898" s="17"/>
      <c r="EE898" s="24"/>
      <c r="EF898" s="60"/>
      <c r="EG898" s="16"/>
      <c r="EH898" s="16"/>
      <c r="EI898" s="16"/>
      <c r="EJ898" s="16"/>
      <c r="EK898" s="16"/>
      <c r="EL898" s="17"/>
      <c r="EP898" s="24"/>
      <c r="EQ898" s="60"/>
      <c r="ER898" s="16"/>
      <c r="ES898" s="16"/>
      <c r="ET898" s="16"/>
      <c r="EU898" s="16"/>
      <c r="EV898" s="16"/>
      <c r="EW898" s="17"/>
      <c r="FA898" s="24"/>
      <c r="FB898" s="60"/>
      <c r="FC898" s="16"/>
      <c r="FD898" s="16"/>
      <c r="FE898" s="16"/>
      <c r="FF898" s="16"/>
      <c r="FG898" s="16"/>
      <c r="FH898" s="17"/>
      <c r="FL898" s="24"/>
      <c r="FM898" s="60"/>
      <c r="FN898" s="16"/>
      <c r="FO898" s="16"/>
      <c r="FP898" s="16"/>
      <c r="FQ898" s="16"/>
      <c r="FR898" s="16"/>
      <c r="FS898" s="17"/>
      <c r="FW898" s="24"/>
      <c r="FX898" s="60"/>
      <c r="FY898" s="16"/>
      <c r="FZ898" s="16"/>
      <c r="GA898" s="16"/>
      <c r="GB898" s="16"/>
      <c r="GC898" s="16"/>
      <c r="GD898" s="17"/>
      <c r="GH898" s="24"/>
      <c r="GI898" s="60"/>
      <c r="GJ898" s="16"/>
      <c r="GK898" s="16"/>
      <c r="GL898" s="16"/>
      <c r="GM898" s="16"/>
      <c r="GN898" s="16"/>
      <c r="GO898" s="17"/>
      <c r="GS898" s="24"/>
      <c r="GT898" s="60"/>
      <c r="GU898" s="16"/>
      <c r="GV898" s="16"/>
      <c r="GW898" s="16"/>
      <c r="GX898" s="16"/>
      <c r="GY898" s="16"/>
      <c r="GZ898" s="17"/>
      <c r="HD898" s="24"/>
      <c r="HE898" s="60"/>
      <c r="HF898" s="16"/>
      <c r="HG898" s="16"/>
      <c r="HH898" s="16"/>
      <c r="HI898" s="16"/>
      <c r="HJ898" s="16"/>
      <c r="HK898" s="17"/>
      <c r="HO898" s="24"/>
      <c r="HP898" s="60"/>
      <c r="HQ898" s="16"/>
      <c r="HR898" s="16"/>
      <c r="HS898" s="16"/>
      <c r="HT898" s="16"/>
      <c r="HU898" s="16"/>
      <c r="HV898" s="17"/>
      <c r="HZ898" s="24"/>
      <c r="IA898" s="60"/>
      <c r="IB898" s="16"/>
      <c r="IC898" s="16"/>
      <c r="ID898" s="16"/>
      <c r="IE898" s="16"/>
      <c r="IF898" s="16"/>
      <c r="IG898" s="17"/>
      <c r="IK898" s="24"/>
      <c r="IL898" s="60"/>
      <c r="IM898" s="16"/>
      <c r="IN898" s="16"/>
      <c r="IO898" s="16"/>
      <c r="IP898" s="16"/>
      <c r="IQ898" s="16"/>
      <c r="IR898" s="17"/>
      <c r="IV898" s="24"/>
      <c r="IW898" s="60"/>
      <c r="IX898" s="16"/>
      <c r="IY898" s="16"/>
      <c r="IZ898" s="16"/>
      <c r="JA898" s="16"/>
      <c r="JB898" s="16"/>
      <c r="JC898" s="17"/>
      <c r="JG898" s="24"/>
      <c r="JH898" s="60"/>
      <c r="JI898" s="16"/>
      <c r="JJ898" s="16"/>
      <c r="JK898" s="16"/>
      <c r="JL898" s="16"/>
      <c r="JM898" s="16"/>
      <c r="JN898" s="17"/>
      <c r="JR898" s="24"/>
      <c r="JS898" s="60"/>
      <c r="JT898" s="16"/>
      <c r="JU898" s="16"/>
      <c r="JV898" s="16"/>
      <c r="JW898" s="16"/>
      <c r="JX898" s="16"/>
      <c r="JY898" s="17"/>
      <c r="KC898" s="24"/>
      <c r="KD898" s="60"/>
      <c r="KE898" s="16"/>
      <c r="KF898" s="16"/>
      <c r="KG898" s="16"/>
      <c r="KH898" s="16"/>
      <c r="KI898" s="16"/>
      <c r="KJ898" s="17"/>
      <c r="KN898" s="24"/>
      <c r="KO898" s="60"/>
      <c r="KP898" s="16"/>
      <c r="KQ898" s="16"/>
      <c r="KR898" s="16"/>
      <c r="KS898" s="16"/>
      <c r="KT898" s="16"/>
      <c r="KU898" s="17"/>
      <c r="KY898" s="24"/>
      <c r="KZ898" s="60"/>
      <c r="LA898" s="16"/>
      <c r="LB898" s="16"/>
      <c r="LC898" s="16"/>
      <c r="LD898" s="16"/>
      <c r="LE898" s="16"/>
      <c r="LF898" s="17"/>
      <c r="LJ898" s="24"/>
      <c r="LK898" s="60"/>
      <c r="LL898" s="16"/>
      <c r="LM898" s="16"/>
      <c r="LN898" s="16"/>
      <c r="LO898" s="16"/>
      <c r="LP898" s="16"/>
      <c r="LQ898" s="17"/>
    </row>
    <row r="899">
      <c r="C899" s="31"/>
      <c r="D899" s="61"/>
      <c r="E899" s="16"/>
      <c r="F899" s="16"/>
      <c r="G899" s="21"/>
      <c r="H899" s="16"/>
      <c r="I899" s="16"/>
      <c r="J899" s="17"/>
      <c r="N899" s="17"/>
      <c r="O899" s="61"/>
      <c r="P899" s="16"/>
      <c r="Q899" s="16"/>
      <c r="R899" s="16"/>
      <c r="S899" s="16"/>
      <c r="T899" s="16"/>
      <c r="U899" s="17"/>
      <c r="Y899" s="24"/>
      <c r="Z899" s="61"/>
      <c r="AA899" s="16"/>
      <c r="AB899" s="16"/>
      <c r="AC899" s="16"/>
      <c r="AD899" s="16"/>
      <c r="AE899" s="16"/>
      <c r="AF899" s="17"/>
      <c r="AJ899" s="24"/>
      <c r="AK899" s="61"/>
      <c r="AL899" s="16"/>
      <c r="AM899" s="16"/>
      <c r="AN899" s="16"/>
      <c r="AO899" s="16"/>
      <c r="AP899" s="16"/>
      <c r="AQ899" s="17"/>
      <c r="AU899" s="24"/>
      <c r="AV899" s="61"/>
      <c r="AW899" s="16"/>
      <c r="AX899" s="16"/>
      <c r="AY899" s="16"/>
      <c r="AZ899" s="16"/>
      <c r="BA899" s="16"/>
      <c r="BB899" s="17"/>
      <c r="BF899" s="24"/>
      <c r="BG899" s="61"/>
      <c r="BH899" s="16"/>
      <c r="BI899" s="16"/>
      <c r="BJ899" s="16"/>
      <c r="BK899" s="16"/>
      <c r="BL899" s="16"/>
      <c r="BM899" s="17"/>
      <c r="BQ899" s="24"/>
      <c r="BR899" s="61"/>
      <c r="BS899" s="16"/>
      <c r="BT899" s="16"/>
      <c r="BU899" s="16"/>
      <c r="BV899" s="16"/>
      <c r="BW899" s="16"/>
      <c r="BX899" s="17"/>
      <c r="CB899" s="24"/>
      <c r="CC899" s="61"/>
      <c r="CD899" s="16"/>
      <c r="CE899" s="16"/>
      <c r="CF899" s="16"/>
      <c r="CG899" s="16"/>
      <c r="CH899" s="16"/>
      <c r="CI899" s="17"/>
      <c r="CM899" s="24"/>
      <c r="CN899" s="61"/>
      <c r="CO899" s="16"/>
      <c r="CP899" s="16"/>
      <c r="CQ899" s="16"/>
      <c r="CR899" s="16"/>
      <c r="CS899" s="16"/>
      <c r="CT899" s="17"/>
      <c r="CX899" s="24"/>
      <c r="CY899" s="60"/>
      <c r="CZ899" s="16"/>
      <c r="DA899" s="16"/>
      <c r="DB899" s="16"/>
      <c r="DC899" s="16"/>
      <c r="DD899" s="16"/>
      <c r="DE899" s="17"/>
      <c r="DI899" s="24"/>
      <c r="DJ899" s="60"/>
      <c r="DK899" s="16"/>
      <c r="DL899" s="16"/>
      <c r="DM899" s="16"/>
      <c r="DN899" s="16"/>
      <c r="DO899" s="16"/>
      <c r="DP899" s="17"/>
      <c r="DT899" s="24"/>
      <c r="DU899" s="60"/>
      <c r="DV899" s="16"/>
      <c r="DW899" s="16"/>
      <c r="DX899" s="16"/>
      <c r="DY899" s="16"/>
      <c r="DZ899" s="16"/>
      <c r="EA899" s="17"/>
      <c r="EE899" s="24"/>
      <c r="EF899" s="60"/>
      <c r="EG899" s="16"/>
      <c r="EH899" s="16"/>
      <c r="EI899" s="16"/>
      <c r="EJ899" s="16"/>
      <c r="EK899" s="16"/>
      <c r="EL899" s="17"/>
      <c r="EP899" s="24"/>
      <c r="EQ899" s="60"/>
      <c r="ER899" s="16"/>
      <c r="ES899" s="16"/>
      <c r="ET899" s="16"/>
      <c r="EU899" s="16"/>
      <c r="EV899" s="16"/>
      <c r="EW899" s="17"/>
      <c r="FA899" s="24"/>
      <c r="FB899" s="60"/>
      <c r="FC899" s="16"/>
      <c r="FD899" s="16"/>
      <c r="FE899" s="16"/>
      <c r="FF899" s="16"/>
      <c r="FG899" s="16"/>
      <c r="FH899" s="17"/>
      <c r="FL899" s="24"/>
      <c r="FM899" s="60"/>
      <c r="FN899" s="16"/>
      <c r="FO899" s="16"/>
      <c r="FP899" s="16"/>
      <c r="FQ899" s="16"/>
      <c r="FR899" s="16"/>
      <c r="FS899" s="17"/>
      <c r="FW899" s="24"/>
      <c r="FX899" s="60"/>
      <c r="FY899" s="16"/>
      <c r="FZ899" s="16"/>
      <c r="GA899" s="16"/>
      <c r="GB899" s="16"/>
      <c r="GC899" s="16"/>
      <c r="GD899" s="17"/>
      <c r="GH899" s="24"/>
      <c r="GI899" s="60"/>
      <c r="GJ899" s="16"/>
      <c r="GK899" s="16"/>
      <c r="GL899" s="16"/>
      <c r="GM899" s="16"/>
      <c r="GN899" s="16"/>
      <c r="GO899" s="17"/>
      <c r="GS899" s="24"/>
      <c r="GT899" s="60"/>
      <c r="GU899" s="16"/>
      <c r="GV899" s="16"/>
      <c r="GW899" s="16"/>
      <c r="GX899" s="16"/>
      <c r="GY899" s="16"/>
      <c r="GZ899" s="17"/>
      <c r="HD899" s="24"/>
      <c r="HE899" s="60"/>
      <c r="HF899" s="16"/>
      <c r="HG899" s="16"/>
      <c r="HH899" s="16"/>
      <c r="HI899" s="16"/>
      <c r="HJ899" s="16"/>
      <c r="HK899" s="17"/>
      <c r="HO899" s="24"/>
      <c r="HP899" s="60"/>
      <c r="HQ899" s="16"/>
      <c r="HR899" s="16"/>
      <c r="HS899" s="16"/>
      <c r="HT899" s="16"/>
      <c r="HU899" s="16"/>
      <c r="HV899" s="17"/>
      <c r="HZ899" s="24"/>
      <c r="IA899" s="60"/>
      <c r="IB899" s="16"/>
      <c r="IC899" s="16"/>
      <c r="ID899" s="16"/>
      <c r="IE899" s="16"/>
      <c r="IF899" s="16"/>
      <c r="IG899" s="17"/>
      <c r="IK899" s="24"/>
      <c r="IL899" s="60"/>
      <c r="IM899" s="16"/>
      <c r="IN899" s="16"/>
      <c r="IO899" s="16"/>
      <c r="IP899" s="16"/>
      <c r="IQ899" s="16"/>
      <c r="IR899" s="17"/>
      <c r="IV899" s="24"/>
      <c r="IW899" s="60"/>
      <c r="IX899" s="16"/>
      <c r="IY899" s="16"/>
      <c r="IZ899" s="16"/>
      <c r="JA899" s="16"/>
      <c r="JB899" s="16"/>
      <c r="JC899" s="17"/>
      <c r="JG899" s="24"/>
      <c r="JH899" s="60"/>
      <c r="JI899" s="16"/>
      <c r="JJ899" s="16"/>
      <c r="JK899" s="16"/>
      <c r="JL899" s="16"/>
      <c r="JM899" s="16"/>
      <c r="JN899" s="17"/>
      <c r="JR899" s="24"/>
      <c r="JS899" s="60"/>
      <c r="JT899" s="16"/>
      <c r="JU899" s="16"/>
      <c r="JV899" s="16"/>
      <c r="JW899" s="16"/>
      <c r="JX899" s="16"/>
      <c r="JY899" s="17"/>
      <c r="KC899" s="24"/>
      <c r="KD899" s="60"/>
      <c r="KE899" s="16"/>
      <c r="KF899" s="16"/>
      <c r="KG899" s="16"/>
      <c r="KH899" s="16"/>
      <c r="KI899" s="16"/>
      <c r="KJ899" s="17"/>
      <c r="KN899" s="24"/>
      <c r="KO899" s="60"/>
      <c r="KP899" s="16"/>
      <c r="KQ899" s="16"/>
      <c r="KR899" s="16"/>
      <c r="KS899" s="16"/>
      <c r="KT899" s="16"/>
      <c r="KU899" s="17"/>
      <c r="KY899" s="24"/>
      <c r="KZ899" s="60"/>
      <c r="LA899" s="16"/>
      <c r="LB899" s="16"/>
      <c r="LC899" s="16"/>
      <c r="LD899" s="16"/>
      <c r="LE899" s="16"/>
      <c r="LF899" s="17"/>
      <c r="LJ899" s="24"/>
      <c r="LK899" s="60"/>
      <c r="LL899" s="16"/>
      <c r="LM899" s="16"/>
      <c r="LN899" s="16"/>
      <c r="LO899" s="16"/>
      <c r="LP899" s="16"/>
      <c r="LQ899" s="17"/>
    </row>
    <row r="900">
      <c r="C900" s="31"/>
      <c r="D900" s="61"/>
      <c r="E900" s="16"/>
      <c r="F900" s="16"/>
      <c r="G900" s="21"/>
      <c r="H900" s="16"/>
      <c r="I900" s="16"/>
      <c r="J900" s="17"/>
      <c r="N900" s="17"/>
      <c r="O900" s="61"/>
      <c r="P900" s="16"/>
      <c r="Q900" s="16"/>
      <c r="R900" s="16"/>
      <c r="S900" s="16"/>
      <c r="T900" s="16"/>
      <c r="U900" s="17"/>
      <c r="Y900" s="24"/>
      <c r="Z900" s="61"/>
      <c r="AA900" s="16"/>
      <c r="AB900" s="16"/>
      <c r="AC900" s="16"/>
      <c r="AD900" s="16"/>
      <c r="AE900" s="16"/>
      <c r="AF900" s="17"/>
      <c r="AJ900" s="24"/>
      <c r="AK900" s="61"/>
      <c r="AL900" s="16"/>
      <c r="AM900" s="16"/>
      <c r="AN900" s="16"/>
      <c r="AO900" s="16"/>
      <c r="AP900" s="16"/>
      <c r="AQ900" s="17"/>
      <c r="AU900" s="24"/>
      <c r="AV900" s="61"/>
      <c r="AW900" s="16"/>
      <c r="AX900" s="16"/>
      <c r="AY900" s="16"/>
      <c r="AZ900" s="16"/>
      <c r="BA900" s="16"/>
      <c r="BB900" s="17"/>
      <c r="BF900" s="24"/>
      <c r="BG900" s="61"/>
      <c r="BH900" s="16"/>
      <c r="BI900" s="16"/>
      <c r="BJ900" s="16"/>
      <c r="BK900" s="16"/>
      <c r="BL900" s="16"/>
      <c r="BM900" s="17"/>
      <c r="BQ900" s="24"/>
      <c r="BR900" s="61"/>
      <c r="BS900" s="16"/>
      <c r="BT900" s="16"/>
      <c r="BU900" s="16"/>
      <c r="BV900" s="16"/>
      <c r="BW900" s="16"/>
      <c r="BX900" s="17"/>
      <c r="CB900" s="24"/>
      <c r="CC900" s="61"/>
      <c r="CD900" s="16"/>
      <c r="CE900" s="16"/>
      <c r="CF900" s="16"/>
      <c r="CG900" s="16"/>
      <c r="CH900" s="16"/>
      <c r="CI900" s="17"/>
      <c r="CM900" s="24"/>
      <c r="CN900" s="61"/>
      <c r="CO900" s="16"/>
      <c r="CP900" s="16"/>
      <c r="CQ900" s="16"/>
      <c r="CR900" s="16"/>
      <c r="CS900" s="16"/>
      <c r="CT900" s="17"/>
      <c r="CX900" s="24"/>
      <c r="CY900" s="60"/>
      <c r="CZ900" s="16"/>
      <c r="DA900" s="16"/>
      <c r="DB900" s="16"/>
      <c r="DC900" s="16"/>
      <c r="DD900" s="16"/>
      <c r="DE900" s="17"/>
      <c r="DI900" s="24"/>
      <c r="DJ900" s="60"/>
      <c r="DK900" s="16"/>
      <c r="DL900" s="16"/>
      <c r="DM900" s="16"/>
      <c r="DN900" s="16"/>
      <c r="DO900" s="16"/>
      <c r="DP900" s="17"/>
      <c r="DT900" s="24"/>
      <c r="DU900" s="60"/>
      <c r="DV900" s="16"/>
      <c r="DW900" s="16"/>
      <c r="DX900" s="16"/>
      <c r="DY900" s="16"/>
      <c r="DZ900" s="16"/>
      <c r="EA900" s="17"/>
      <c r="EE900" s="24"/>
      <c r="EF900" s="60"/>
      <c r="EG900" s="16"/>
      <c r="EH900" s="16"/>
      <c r="EI900" s="16"/>
      <c r="EJ900" s="16"/>
      <c r="EK900" s="16"/>
      <c r="EL900" s="17"/>
      <c r="EP900" s="24"/>
      <c r="EQ900" s="60"/>
      <c r="ER900" s="16"/>
      <c r="ES900" s="16"/>
      <c r="ET900" s="16"/>
      <c r="EU900" s="16"/>
      <c r="EV900" s="16"/>
      <c r="EW900" s="17"/>
      <c r="FA900" s="24"/>
      <c r="FB900" s="60"/>
      <c r="FC900" s="16"/>
      <c r="FD900" s="16"/>
      <c r="FE900" s="16"/>
      <c r="FF900" s="16"/>
      <c r="FG900" s="16"/>
      <c r="FH900" s="17"/>
      <c r="FL900" s="24"/>
      <c r="FM900" s="60"/>
      <c r="FN900" s="16"/>
      <c r="FO900" s="16"/>
      <c r="FP900" s="16"/>
      <c r="FQ900" s="16"/>
      <c r="FR900" s="16"/>
      <c r="FS900" s="17"/>
      <c r="FW900" s="24"/>
      <c r="FX900" s="60"/>
      <c r="FY900" s="16"/>
      <c r="FZ900" s="16"/>
      <c r="GA900" s="16"/>
      <c r="GB900" s="16"/>
      <c r="GC900" s="16"/>
      <c r="GD900" s="17"/>
      <c r="GH900" s="24"/>
      <c r="GI900" s="60"/>
      <c r="GJ900" s="16"/>
      <c r="GK900" s="16"/>
      <c r="GL900" s="16"/>
      <c r="GM900" s="16"/>
      <c r="GN900" s="16"/>
      <c r="GO900" s="17"/>
      <c r="GS900" s="24"/>
      <c r="GT900" s="60"/>
      <c r="GU900" s="16"/>
      <c r="GV900" s="16"/>
      <c r="GW900" s="16"/>
      <c r="GX900" s="16"/>
      <c r="GY900" s="16"/>
      <c r="GZ900" s="17"/>
      <c r="HD900" s="24"/>
      <c r="HE900" s="60"/>
      <c r="HF900" s="16"/>
      <c r="HG900" s="16"/>
      <c r="HH900" s="16"/>
      <c r="HI900" s="16"/>
      <c r="HJ900" s="16"/>
      <c r="HK900" s="17"/>
      <c r="HO900" s="24"/>
      <c r="HP900" s="60"/>
      <c r="HQ900" s="16"/>
      <c r="HR900" s="16"/>
      <c r="HS900" s="16"/>
      <c r="HT900" s="16"/>
      <c r="HU900" s="16"/>
      <c r="HV900" s="17"/>
      <c r="HZ900" s="24"/>
      <c r="IA900" s="60"/>
      <c r="IB900" s="16"/>
      <c r="IC900" s="16"/>
      <c r="ID900" s="16"/>
      <c r="IE900" s="16"/>
      <c r="IF900" s="16"/>
      <c r="IG900" s="17"/>
      <c r="IK900" s="24"/>
      <c r="IL900" s="60"/>
      <c r="IM900" s="16"/>
      <c r="IN900" s="16"/>
      <c r="IO900" s="16"/>
      <c r="IP900" s="16"/>
      <c r="IQ900" s="16"/>
      <c r="IR900" s="17"/>
      <c r="IV900" s="24"/>
      <c r="IW900" s="60"/>
      <c r="IX900" s="16"/>
      <c r="IY900" s="16"/>
      <c r="IZ900" s="16"/>
      <c r="JA900" s="16"/>
      <c r="JB900" s="16"/>
      <c r="JC900" s="17"/>
      <c r="JG900" s="24"/>
      <c r="JH900" s="60"/>
      <c r="JI900" s="16"/>
      <c r="JJ900" s="16"/>
      <c r="JK900" s="16"/>
      <c r="JL900" s="16"/>
      <c r="JM900" s="16"/>
      <c r="JN900" s="17"/>
      <c r="JR900" s="24"/>
      <c r="JS900" s="60"/>
      <c r="JT900" s="16"/>
      <c r="JU900" s="16"/>
      <c r="JV900" s="16"/>
      <c r="JW900" s="16"/>
      <c r="JX900" s="16"/>
      <c r="JY900" s="17"/>
      <c r="KC900" s="24"/>
      <c r="KD900" s="60"/>
      <c r="KE900" s="16"/>
      <c r="KF900" s="16"/>
      <c r="KG900" s="16"/>
      <c r="KH900" s="16"/>
      <c r="KI900" s="16"/>
      <c r="KJ900" s="17"/>
      <c r="KN900" s="24"/>
      <c r="KO900" s="60"/>
      <c r="KP900" s="16"/>
      <c r="KQ900" s="16"/>
      <c r="KR900" s="16"/>
      <c r="KS900" s="16"/>
      <c r="KT900" s="16"/>
      <c r="KU900" s="17"/>
      <c r="KY900" s="24"/>
      <c r="KZ900" s="60"/>
      <c r="LA900" s="16"/>
      <c r="LB900" s="16"/>
      <c r="LC900" s="16"/>
      <c r="LD900" s="16"/>
      <c r="LE900" s="16"/>
      <c r="LF900" s="17"/>
      <c r="LJ900" s="24"/>
      <c r="LK900" s="60"/>
      <c r="LL900" s="16"/>
      <c r="LM900" s="16"/>
      <c r="LN900" s="16"/>
      <c r="LO900" s="16"/>
      <c r="LP900" s="16"/>
      <c r="LQ900" s="17"/>
    </row>
    <row r="901">
      <c r="C901" s="31"/>
      <c r="D901" s="61"/>
      <c r="E901" s="16"/>
      <c r="F901" s="16"/>
      <c r="G901" s="21"/>
      <c r="H901" s="16"/>
      <c r="I901" s="16"/>
      <c r="J901" s="17"/>
      <c r="N901" s="17"/>
      <c r="O901" s="61"/>
      <c r="P901" s="16"/>
      <c r="Q901" s="16"/>
      <c r="R901" s="16"/>
      <c r="S901" s="16"/>
      <c r="T901" s="16"/>
      <c r="U901" s="17"/>
      <c r="Y901" s="24"/>
      <c r="Z901" s="61"/>
      <c r="AA901" s="16"/>
      <c r="AB901" s="16"/>
      <c r="AC901" s="16"/>
      <c r="AD901" s="16"/>
      <c r="AE901" s="16"/>
      <c r="AF901" s="17"/>
      <c r="AJ901" s="24"/>
      <c r="AK901" s="61"/>
      <c r="AL901" s="16"/>
      <c r="AM901" s="16"/>
      <c r="AN901" s="16"/>
      <c r="AO901" s="16"/>
      <c r="AP901" s="16"/>
      <c r="AQ901" s="17"/>
      <c r="AU901" s="24"/>
      <c r="AV901" s="61"/>
      <c r="AW901" s="16"/>
      <c r="AX901" s="16"/>
      <c r="AY901" s="16"/>
      <c r="AZ901" s="16"/>
      <c r="BA901" s="16"/>
      <c r="BB901" s="17"/>
      <c r="BF901" s="24"/>
      <c r="BG901" s="61"/>
      <c r="BH901" s="16"/>
      <c r="BI901" s="16"/>
      <c r="BJ901" s="16"/>
      <c r="BK901" s="16"/>
      <c r="BL901" s="16"/>
      <c r="BM901" s="17"/>
      <c r="BQ901" s="24"/>
      <c r="BR901" s="61"/>
      <c r="BS901" s="16"/>
      <c r="BT901" s="16"/>
      <c r="BU901" s="16"/>
      <c r="BV901" s="16"/>
      <c r="BW901" s="16"/>
      <c r="BX901" s="17"/>
      <c r="CB901" s="24"/>
      <c r="CC901" s="61"/>
      <c r="CD901" s="16"/>
      <c r="CE901" s="16"/>
      <c r="CF901" s="16"/>
      <c r="CG901" s="16"/>
      <c r="CH901" s="16"/>
      <c r="CI901" s="17"/>
      <c r="CM901" s="24"/>
      <c r="CN901" s="61"/>
      <c r="CO901" s="16"/>
      <c r="CP901" s="16"/>
      <c r="CQ901" s="16"/>
      <c r="CR901" s="16"/>
      <c r="CS901" s="16"/>
      <c r="CT901" s="17"/>
      <c r="CX901" s="24"/>
      <c r="CY901" s="60"/>
      <c r="CZ901" s="16"/>
      <c r="DA901" s="16"/>
      <c r="DB901" s="16"/>
      <c r="DC901" s="16"/>
      <c r="DD901" s="16"/>
      <c r="DE901" s="17"/>
      <c r="DI901" s="24"/>
      <c r="DJ901" s="60"/>
      <c r="DK901" s="16"/>
      <c r="DL901" s="16"/>
      <c r="DM901" s="16"/>
      <c r="DN901" s="16"/>
      <c r="DO901" s="16"/>
      <c r="DP901" s="17"/>
      <c r="DT901" s="24"/>
      <c r="DU901" s="60"/>
      <c r="DV901" s="16"/>
      <c r="DW901" s="16"/>
      <c r="DX901" s="16"/>
      <c r="DY901" s="16"/>
      <c r="DZ901" s="16"/>
      <c r="EA901" s="17"/>
      <c r="EE901" s="24"/>
      <c r="EF901" s="60"/>
      <c r="EG901" s="16"/>
      <c r="EH901" s="16"/>
      <c r="EI901" s="16"/>
      <c r="EJ901" s="16"/>
      <c r="EK901" s="16"/>
      <c r="EL901" s="17"/>
      <c r="EP901" s="24"/>
      <c r="EQ901" s="60"/>
      <c r="ER901" s="16"/>
      <c r="ES901" s="16"/>
      <c r="ET901" s="16"/>
      <c r="EU901" s="16"/>
      <c r="EV901" s="16"/>
      <c r="EW901" s="17"/>
      <c r="FA901" s="24"/>
      <c r="FB901" s="60"/>
      <c r="FC901" s="16"/>
      <c r="FD901" s="16"/>
      <c r="FE901" s="16"/>
      <c r="FF901" s="16"/>
      <c r="FG901" s="16"/>
      <c r="FH901" s="17"/>
      <c r="FL901" s="24"/>
      <c r="FM901" s="60"/>
      <c r="FN901" s="16"/>
      <c r="FO901" s="16"/>
      <c r="FP901" s="16"/>
      <c r="FQ901" s="16"/>
      <c r="FR901" s="16"/>
      <c r="FS901" s="17"/>
      <c r="FW901" s="24"/>
      <c r="FX901" s="60"/>
      <c r="FY901" s="16"/>
      <c r="FZ901" s="16"/>
      <c r="GA901" s="16"/>
      <c r="GB901" s="16"/>
      <c r="GC901" s="16"/>
      <c r="GD901" s="17"/>
      <c r="GH901" s="24"/>
      <c r="GI901" s="60"/>
      <c r="GJ901" s="16"/>
      <c r="GK901" s="16"/>
      <c r="GL901" s="16"/>
      <c r="GM901" s="16"/>
      <c r="GN901" s="16"/>
      <c r="GO901" s="17"/>
      <c r="GS901" s="24"/>
      <c r="GT901" s="60"/>
      <c r="GU901" s="16"/>
      <c r="GV901" s="16"/>
      <c r="GW901" s="16"/>
      <c r="GX901" s="16"/>
      <c r="GY901" s="16"/>
      <c r="GZ901" s="17"/>
      <c r="HD901" s="24"/>
      <c r="HE901" s="60"/>
      <c r="HF901" s="16"/>
      <c r="HG901" s="16"/>
      <c r="HH901" s="16"/>
      <c r="HI901" s="16"/>
      <c r="HJ901" s="16"/>
      <c r="HK901" s="17"/>
      <c r="HO901" s="24"/>
      <c r="HP901" s="60"/>
      <c r="HQ901" s="16"/>
      <c r="HR901" s="16"/>
      <c r="HS901" s="16"/>
      <c r="HT901" s="16"/>
      <c r="HU901" s="16"/>
      <c r="HV901" s="17"/>
      <c r="HZ901" s="24"/>
      <c r="IA901" s="60"/>
      <c r="IB901" s="16"/>
      <c r="IC901" s="16"/>
      <c r="ID901" s="16"/>
      <c r="IE901" s="16"/>
      <c r="IF901" s="16"/>
      <c r="IG901" s="17"/>
      <c r="IK901" s="24"/>
      <c r="IL901" s="60"/>
      <c r="IM901" s="16"/>
      <c r="IN901" s="16"/>
      <c r="IO901" s="16"/>
      <c r="IP901" s="16"/>
      <c r="IQ901" s="16"/>
      <c r="IR901" s="17"/>
      <c r="IV901" s="24"/>
      <c r="IW901" s="60"/>
      <c r="IX901" s="16"/>
      <c r="IY901" s="16"/>
      <c r="IZ901" s="16"/>
      <c r="JA901" s="16"/>
      <c r="JB901" s="16"/>
      <c r="JC901" s="17"/>
      <c r="JG901" s="24"/>
      <c r="JH901" s="60"/>
      <c r="JI901" s="16"/>
      <c r="JJ901" s="16"/>
      <c r="JK901" s="16"/>
      <c r="JL901" s="16"/>
      <c r="JM901" s="16"/>
      <c r="JN901" s="17"/>
      <c r="JR901" s="24"/>
      <c r="JS901" s="60"/>
      <c r="JT901" s="16"/>
      <c r="JU901" s="16"/>
      <c r="JV901" s="16"/>
      <c r="JW901" s="16"/>
      <c r="JX901" s="16"/>
      <c r="JY901" s="17"/>
      <c r="KC901" s="24"/>
      <c r="KD901" s="60"/>
      <c r="KE901" s="16"/>
      <c r="KF901" s="16"/>
      <c r="KG901" s="16"/>
      <c r="KH901" s="16"/>
      <c r="KI901" s="16"/>
      <c r="KJ901" s="17"/>
      <c r="KN901" s="24"/>
      <c r="KO901" s="60"/>
      <c r="KP901" s="16"/>
      <c r="KQ901" s="16"/>
      <c r="KR901" s="16"/>
      <c r="KS901" s="16"/>
      <c r="KT901" s="16"/>
      <c r="KU901" s="17"/>
      <c r="KY901" s="24"/>
      <c r="KZ901" s="60"/>
      <c r="LA901" s="16"/>
      <c r="LB901" s="16"/>
      <c r="LC901" s="16"/>
      <c r="LD901" s="16"/>
      <c r="LE901" s="16"/>
      <c r="LF901" s="17"/>
      <c r="LJ901" s="24"/>
      <c r="LK901" s="60"/>
      <c r="LL901" s="16"/>
      <c r="LM901" s="16"/>
      <c r="LN901" s="16"/>
      <c r="LO901" s="16"/>
      <c r="LP901" s="16"/>
      <c r="LQ901" s="17"/>
    </row>
    <row r="902">
      <c r="C902" s="31"/>
      <c r="D902" s="61"/>
      <c r="E902" s="16"/>
      <c r="F902" s="16"/>
      <c r="G902" s="21"/>
      <c r="H902" s="16"/>
      <c r="I902" s="16"/>
      <c r="J902" s="17"/>
      <c r="N902" s="17"/>
      <c r="O902" s="61"/>
      <c r="P902" s="16"/>
      <c r="Q902" s="16"/>
      <c r="R902" s="16"/>
      <c r="S902" s="16"/>
      <c r="T902" s="16"/>
      <c r="U902" s="17"/>
      <c r="Y902" s="24"/>
      <c r="Z902" s="61"/>
      <c r="AA902" s="16"/>
      <c r="AB902" s="16"/>
      <c r="AC902" s="16"/>
      <c r="AD902" s="16"/>
      <c r="AE902" s="16"/>
      <c r="AF902" s="17"/>
      <c r="AJ902" s="24"/>
      <c r="AK902" s="61"/>
      <c r="AL902" s="16"/>
      <c r="AM902" s="16"/>
      <c r="AN902" s="16"/>
      <c r="AO902" s="16"/>
      <c r="AP902" s="16"/>
      <c r="AQ902" s="17"/>
      <c r="AU902" s="24"/>
      <c r="AV902" s="61"/>
      <c r="AW902" s="16"/>
      <c r="AX902" s="16"/>
      <c r="AY902" s="16"/>
      <c r="AZ902" s="16"/>
      <c r="BA902" s="16"/>
      <c r="BB902" s="17"/>
      <c r="BF902" s="24"/>
      <c r="BG902" s="61"/>
      <c r="BH902" s="16"/>
      <c r="BI902" s="16"/>
      <c r="BJ902" s="16"/>
      <c r="BK902" s="16"/>
      <c r="BL902" s="16"/>
      <c r="BM902" s="17"/>
      <c r="BQ902" s="24"/>
      <c r="BR902" s="61"/>
      <c r="BS902" s="16"/>
      <c r="BT902" s="16"/>
      <c r="BU902" s="16"/>
      <c r="BV902" s="16"/>
      <c r="BW902" s="16"/>
      <c r="BX902" s="17"/>
      <c r="CB902" s="24"/>
      <c r="CC902" s="61"/>
      <c r="CD902" s="16"/>
      <c r="CE902" s="16"/>
      <c r="CF902" s="16"/>
      <c r="CG902" s="16"/>
      <c r="CH902" s="16"/>
      <c r="CI902" s="17"/>
      <c r="CM902" s="24"/>
      <c r="CN902" s="61"/>
      <c r="CO902" s="16"/>
      <c r="CP902" s="16"/>
      <c r="CQ902" s="16"/>
      <c r="CR902" s="16"/>
      <c r="CS902" s="16"/>
      <c r="CT902" s="17"/>
      <c r="CX902" s="24"/>
      <c r="CY902" s="60"/>
      <c r="CZ902" s="16"/>
      <c r="DA902" s="16"/>
      <c r="DB902" s="16"/>
      <c r="DC902" s="16"/>
      <c r="DD902" s="16"/>
      <c r="DE902" s="17"/>
      <c r="DI902" s="24"/>
      <c r="DJ902" s="60"/>
      <c r="DK902" s="16"/>
      <c r="DL902" s="16"/>
      <c r="DM902" s="16"/>
      <c r="DN902" s="16"/>
      <c r="DO902" s="16"/>
      <c r="DP902" s="17"/>
      <c r="DT902" s="24"/>
      <c r="DU902" s="60"/>
      <c r="DV902" s="16"/>
      <c r="DW902" s="16"/>
      <c r="DX902" s="16"/>
      <c r="DY902" s="16"/>
      <c r="DZ902" s="16"/>
      <c r="EA902" s="17"/>
      <c r="EE902" s="24"/>
      <c r="EF902" s="60"/>
      <c r="EG902" s="16"/>
      <c r="EH902" s="16"/>
      <c r="EI902" s="16"/>
      <c r="EJ902" s="16"/>
      <c r="EK902" s="16"/>
      <c r="EL902" s="17"/>
      <c r="EP902" s="24"/>
      <c r="EQ902" s="60"/>
      <c r="ER902" s="16"/>
      <c r="ES902" s="16"/>
      <c r="ET902" s="16"/>
      <c r="EU902" s="16"/>
      <c r="EV902" s="16"/>
      <c r="EW902" s="17"/>
      <c r="FA902" s="24"/>
      <c r="FB902" s="60"/>
      <c r="FC902" s="16"/>
      <c r="FD902" s="16"/>
      <c r="FE902" s="16"/>
      <c r="FF902" s="16"/>
      <c r="FG902" s="16"/>
      <c r="FH902" s="17"/>
      <c r="FL902" s="24"/>
      <c r="FM902" s="60"/>
      <c r="FN902" s="16"/>
      <c r="FO902" s="16"/>
      <c r="FP902" s="16"/>
      <c r="FQ902" s="16"/>
      <c r="FR902" s="16"/>
      <c r="FS902" s="17"/>
      <c r="FW902" s="24"/>
      <c r="FX902" s="60"/>
      <c r="FY902" s="16"/>
      <c r="FZ902" s="16"/>
      <c r="GA902" s="16"/>
      <c r="GB902" s="16"/>
      <c r="GC902" s="16"/>
      <c r="GD902" s="17"/>
      <c r="GH902" s="24"/>
      <c r="GI902" s="60"/>
      <c r="GJ902" s="16"/>
      <c r="GK902" s="16"/>
      <c r="GL902" s="16"/>
      <c r="GM902" s="16"/>
      <c r="GN902" s="16"/>
      <c r="GO902" s="17"/>
      <c r="GS902" s="24"/>
      <c r="GT902" s="60"/>
      <c r="GU902" s="16"/>
      <c r="GV902" s="16"/>
      <c r="GW902" s="16"/>
      <c r="GX902" s="16"/>
      <c r="GY902" s="16"/>
      <c r="GZ902" s="17"/>
      <c r="HD902" s="24"/>
      <c r="HE902" s="60"/>
      <c r="HF902" s="16"/>
      <c r="HG902" s="16"/>
      <c r="HH902" s="16"/>
      <c r="HI902" s="16"/>
      <c r="HJ902" s="16"/>
      <c r="HK902" s="17"/>
      <c r="HO902" s="24"/>
      <c r="HP902" s="60"/>
      <c r="HQ902" s="16"/>
      <c r="HR902" s="16"/>
      <c r="HS902" s="16"/>
      <c r="HT902" s="16"/>
      <c r="HU902" s="16"/>
      <c r="HV902" s="17"/>
      <c r="HZ902" s="24"/>
      <c r="IA902" s="60"/>
      <c r="IB902" s="16"/>
      <c r="IC902" s="16"/>
      <c r="ID902" s="16"/>
      <c r="IE902" s="16"/>
      <c r="IF902" s="16"/>
      <c r="IG902" s="17"/>
      <c r="IK902" s="24"/>
      <c r="IL902" s="60"/>
      <c r="IM902" s="16"/>
      <c r="IN902" s="16"/>
      <c r="IO902" s="16"/>
      <c r="IP902" s="16"/>
      <c r="IQ902" s="16"/>
      <c r="IR902" s="17"/>
      <c r="IV902" s="24"/>
      <c r="IW902" s="60"/>
      <c r="IX902" s="16"/>
      <c r="IY902" s="16"/>
      <c r="IZ902" s="16"/>
      <c r="JA902" s="16"/>
      <c r="JB902" s="16"/>
      <c r="JC902" s="17"/>
      <c r="JG902" s="24"/>
      <c r="JH902" s="60"/>
      <c r="JI902" s="16"/>
      <c r="JJ902" s="16"/>
      <c r="JK902" s="16"/>
      <c r="JL902" s="16"/>
      <c r="JM902" s="16"/>
      <c r="JN902" s="17"/>
      <c r="JR902" s="24"/>
      <c r="JS902" s="60"/>
      <c r="JT902" s="16"/>
      <c r="JU902" s="16"/>
      <c r="JV902" s="16"/>
      <c r="JW902" s="16"/>
      <c r="JX902" s="16"/>
      <c r="JY902" s="17"/>
      <c r="KC902" s="24"/>
      <c r="KD902" s="60"/>
      <c r="KE902" s="16"/>
      <c r="KF902" s="16"/>
      <c r="KG902" s="16"/>
      <c r="KH902" s="16"/>
      <c r="KI902" s="16"/>
      <c r="KJ902" s="17"/>
      <c r="KN902" s="24"/>
      <c r="KO902" s="60"/>
      <c r="KP902" s="16"/>
      <c r="KQ902" s="16"/>
      <c r="KR902" s="16"/>
      <c r="KS902" s="16"/>
      <c r="KT902" s="16"/>
      <c r="KU902" s="17"/>
      <c r="KY902" s="24"/>
      <c r="KZ902" s="60"/>
      <c r="LA902" s="16"/>
      <c r="LB902" s="16"/>
      <c r="LC902" s="16"/>
      <c r="LD902" s="16"/>
      <c r="LE902" s="16"/>
      <c r="LF902" s="17"/>
      <c r="LJ902" s="24"/>
      <c r="LK902" s="60"/>
      <c r="LL902" s="16"/>
      <c r="LM902" s="16"/>
      <c r="LN902" s="16"/>
      <c r="LO902" s="16"/>
      <c r="LP902" s="16"/>
      <c r="LQ902" s="17"/>
    </row>
    <row r="903">
      <c r="C903" s="31"/>
      <c r="D903" s="61"/>
      <c r="E903" s="16"/>
      <c r="F903" s="16"/>
      <c r="G903" s="21"/>
      <c r="H903" s="16"/>
      <c r="I903" s="16"/>
      <c r="J903" s="17"/>
      <c r="N903" s="17"/>
      <c r="O903" s="61"/>
      <c r="P903" s="16"/>
      <c r="Q903" s="16"/>
      <c r="R903" s="16"/>
      <c r="S903" s="16"/>
      <c r="T903" s="16"/>
      <c r="U903" s="17"/>
      <c r="Y903" s="24"/>
      <c r="Z903" s="61"/>
      <c r="AA903" s="16"/>
      <c r="AB903" s="16"/>
      <c r="AC903" s="16"/>
      <c r="AD903" s="16"/>
      <c r="AE903" s="16"/>
      <c r="AF903" s="17"/>
      <c r="AJ903" s="24"/>
      <c r="AK903" s="61"/>
      <c r="AL903" s="16"/>
      <c r="AM903" s="16"/>
      <c r="AN903" s="16"/>
      <c r="AO903" s="16"/>
      <c r="AP903" s="16"/>
      <c r="AQ903" s="17"/>
      <c r="AU903" s="24"/>
      <c r="AV903" s="61"/>
      <c r="AW903" s="16"/>
      <c r="AX903" s="16"/>
      <c r="AY903" s="16"/>
      <c r="AZ903" s="16"/>
      <c r="BA903" s="16"/>
      <c r="BB903" s="17"/>
      <c r="BF903" s="24"/>
      <c r="BG903" s="61"/>
      <c r="BH903" s="16"/>
      <c r="BI903" s="16"/>
      <c r="BJ903" s="16"/>
      <c r="BK903" s="16"/>
      <c r="BL903" s="16"/>
      <c r="BM903" s="17"/>
      <c r="BQ903" s="24"/>
      <c r="BR903" s="61"/>
      <c r="BS903" s="16"/>
      <c r="BT903" s="16"/>
      <c r="BU903" s="16"/>
      <c r="BV903" s="16"/>
      <c r="BW903" s="16"/>
      <c r="BX903" s="17"/>
      <c r="CB903" s="24"/>
      <c r="CC903" s="61"/>
      <c r="CD903" s="16"/>
      <c r="CE903" s="16"/>
      <c r="CF903" s="16"/>
      <c r="CG903" s="16"/>
      <c r="CH903" s="16"/>
      <c r="CI903" s="17"/>
      <c r="CM903" s="24"/>
      <c r="CN903" s="61"/>
      <c r="CO903" s="16"/>
      <c r="CP903" s="16"/>
      <c r="CQ903" s="16"/>
      <c r="CR903" s="16"/>
      <c r="CS903" s="16"/>
      <c r="CT903" s="17"/>
      <c r="CX903" s="24"/>
      <c r="CY903" s="60"/>
      <c r="CZ903" s="16"/>
      <c r="DA903" s="16"/>
      <c r="DB903" s="16"/>
      <c r="DC903" s="16"/>
      <c r="DD903" s="16"/>
      <c r="DE903" s="17"/>
      <c r="DI903" s="24"/>
      <c r="DJ903" s="60"/>
      <c r="DK903" s="16"/>
      <c r="DL903" s="16"/>
      <c r="DM903" s="16"/>
      <c r="DN903" s="16"/>
      <c r="DO903" s="16"/>
      <c r="DP903" s="17"/>
      <c r="DT903" s="24"/>
      <c r="DU903" s="60"/>
      <c r="DV903" s="16"/>
      <c r="DW903" s="16"/>
      <c r="DX903" s="16"/>
      <c r="DY903" s="16"/>
      <c r="DZ903" s="16"/>
      <c r="EA903" s="17"/>
      <c r="EE903" s="24"/>
      <c r="EF903" s="60"/>
      <c r="EG903" s="16"/>
      <c r="EH903" s="16"/>
      <c r="EI903" s="16"/>
      <c r="EJ903" s="16"/>
      <c r="EK903" s="16"/>
      <c r="EL903" s="17"/>
      <c r="EP903" s="24"/>
      <c r="EQ903" s="60"/>
      <c r="ER903" s="16"/>
      <c r="ES903" s="16"/>
      <c r="ET903" s="16"/>
      <c r="EU903" s="16"/>
      <c r="EV903" s="16"/>
      <c r="EW903" s="17"/>
      <c r="FA903" s="24"/>
      <c r="FB903" s="60"/>
      <c r="FC903" s="16"/>
      <c r="FD903" s="16"/>
      <c r="FE903" s="16"/>
      <c r="FF903" s="16"/>
      <c r="FG903" s="16"/>
      <c r="FH903" s="17"/>
      <c r="FL903" s="24"/>
      <c r="FM903" s="60"/>
      <c r="FN903" s="16"/>
      <c r="FO903" s="16"/>
      <c r="FP903" s="16"/>
      <c r="FQ903" s="16"/>
      <c r="FR903" s="16"/>
      <c r="FS903" s="17"/>
      <c r="FW903" s="24"/>
      <c r="FX903" s="60"/>
      <c r="FY903" s="16"/>
      <c r="FZ903" s="16"/>
      <c r="GA903" s="16"/>
      <c r="GB903" s="16"/>
      <c r="GC903" s="16"/>
      <c r="GD903" s="17"/>
      <c r="GH903" s="24"/>
      <c r="GI903" s="60"/>
      <c r="GJ903" s="16"/>
      <c r="GK903" s="16"/>
      <c r="GL903" s="16"/>
      <c r="GM903" s="16"/>
      <c r="GN903" s="16"/>
      <c r="GO903" s="17"/>
      <c r="GS903" s="24"/>
      <c r="GT903" s="60"/>
      <c r="GU903" s="16"/>
      <c r="GV903" s="16"/>
      <c r="GW903" s="16"/>
      <c r="GX903" s="16"/>
      <c r="GY903" s="16"/>
      <c r="GZ903" s="17"/>
      <c r="HD903" s="24"/>
      <c r="HE903" s="60"/>
      <c r="HF903" s="16"/>
      <c r="HG903" s="16"/>
      <c r="HH903" s="16"/>
      <c r="HI903" s="16"/>
      <c r="HJ903" s="16"/>
      <c r="HK903" s="17"/>
      <c r="HO903" s="24"/>
      <c r="HP903" s="60"/>
      <c r="HQ903" s="16"/>
      <c r="HR903" s="16"/>
      <c r="HS903" s="16"/>
      <c r="HT903" s="16"/>
      <c r="HU903" s="16"/>
      <c r="HV903" s="17"/>
      <c r="HZ903" s="24"/>
      <c r="IA903" s="60"/>
      <c r="IB903" s="16"/>
      <c r="IC903" s="16"/>
      <c r="ID903" s="16"/>
      <c r="IE903" s="16"/>
      <c r="IF903" s="16"/>
      <c r="IG903" s="17"/>
      <c r="IK903" s="24"/>
      <c r="IL903" s="60"/>
      <c r="IM903" s="16"/>
      <c r="IN903" s="16"/>
      <c r="IO903" s="16"/>
      <c r="IP903" s="16"/>
      <c r="IQ903" s="16"/>
      <c r="IR903" s="17"/>
      <c r="IV903" s="24"/>
      <c r="IW903" s="60"/>
      <c r="IX903" s="16"/>
      <c r="IY903" s="16"/>
      <c r="IZ903" s="16"/>
      <c r="JA903" s="16"/>
      <c r="JB903" s="16"/>
      <c r="JC903" s="17"/>
      <c r="JG903" s="24"/>
      <c r="JH903" s="60"/>
      <c r="JI903" s="16"/>
      <c r="JJ903" s="16"/>
      <c r="JK903" s="16"/>
      <c r="JL903" s="16"/>
      <c r="JM903" s="16"/>
      <c r="JN903" s="17"/>
      <c r="JR903" s="24"/>
      <c r="JS903" s="60"/>
      <c r="JT903" s="16"/>
      <c r="JU903" s="16"/>
      <c r="JV903" s="16"/>
      <c r="JW903" s="16"/>
      <c r="JX903" s="16"/>
      <c r="JY903" s="17"/>
      <c r="KC903" s="24"/>
      <c r="KD903" s="60"/>
      <c r="KE903" s="16"/>
      <c r="KF903" s="16"/>
      <c r="KG903" s="16"/>
      <c r="KH903" s="16"/>
      <c r="KI903" s="16"/>
      <c r="KJ903" s="17"/>
      <c r="KN903" s="24"/>
      <c r="KO903" s="60"/>
      <c r="KP903" s="16"/>
      <c r="KQ903" s="16"/>
      <c r="KR903" s="16"/>
      <c r="KS903" s="16"/>
      <c r="KT903" s="16"/>
      <c r="KU903" s="17"/>
      <c r="KY903" s="24"/>
      <c r="KZ903" s="60"/>
      <c r="LA903" s="16"/>
      <c r="LB903" s="16"/>
      <c r="LC903" s="16"/>
      <c r="LD903" s="16"/>
      <c r="LE903" s="16"/>
      <c r="LF903" s="17"/>
      <c r="LJ903" s="24"/>
      <c r="LK903" s="60"/>
      <c r="LL903" s="16"/>
      <c r="LM903" s="16"/>
      <c r="LN903" s="16"/>
      <c r="LO903" s="16"/>
      <c r="LP903" s="16"/>
      <c r="LQ903" s="17"/>
    </row>
    <row r="904">
      <c r="C904" s="31"/>
      <c r="D904" s="61"/>
      <c r="E904" s="16"/>
      <c r="F904" s="16"/>
      <c r="G904" s="21"/>
      <c r="H904" s="16"/>
      <c r="I904" s="16"/>
      <c r="J904" s="17"/>
      <c r="N904" s="17"/>
      <c r="O904" s="61"/>
      <c r="P904" s="16"/>
      <c r="Q904" s="16"/>
      <c r="R904" s="16"/>
      <c r="S904" s="16"/>
      <c r="T904" s="16"/>
      <c r="U904" s="17"/>
      <c r="Y904" s="24"/>
      <c r="Z904" s="61"/>
      <c r="AA904" s="16"/>
      <c r="AB904" s="16"/>
      <c r="AC904" s="16"/>
      <c r="AD904" s="16"/>
      <c r="AE904" s="16"/>
      <c r="AF904" s="17"/>
      <c r="AJ904" s="24"/>
      <c r="AK904" s="61"/>
      <c r="AL904" s="16"/>
      <c r="AM904" s="16"/>
      <c r="AN904" s="16"/>
      <c r="AO904" s="16"/>
      <c r="AP904" s="16"/>
      <c r="AQ904" s="17"/>
      <c r="AU904" s="24"/>
      <c r="AV904" s="61"/>
      <c r="AW904" s="16"/>
      <c r="AX904" s="16"/>
      <c r="AY904" s="16"/>
      <c r="AZ904" s="16"/>
      <c r="BA904" s="16"/>
      <c r="BB904" s="17"/>
      <c r="BF904" s="24"/>
      <c r="BG904" s="61"/>
      <c r="BH904" s="16"/>
      <c r="BI904" s="16"/>
      <c r="BJ904" s="16"/>
      <c r="BK904" s="16"/>
      <c r="BL904" s="16"/>
      <c r="BM904" s="17"/>
      <c r="BQ904" s="24"/>
      <c r="BR904" s="61"/>
      <c r="BS904" s="16"/>
      <c r="BT904" s="16"/>
      <c r="BU904" s="16"/>
      <c r="BV904" s="16"/>
      <c r="BW904" s="16"/>
      <c r="BX904" s="17"/>
      <c r="CB904" s="24"/>
      <c r="CC904" s="61"/>
      <c r="CD904" s="16"/>
      <c r="CE904" s="16"/>
      <c r="CF904" s="16"/>
      <c r="CG904" s="16"/>
      <c r="CH904" s="16"/>
      <c r="CI904" s="17"/>
      <c r="CM904" s="24"/>
      <c r="CN904" s="61"/>
      <c r="CO904" s="16"/>
      <c r="CP904" s="16"/>
      <c r="CQ904" s="16"/>
      <c r="CR904" s="16"/>
      <c r="CS904" s="16"/>
      <c r="CT904" s="17"/>
      <c r="CX904" s="24"/>
      <c r="CY904" s="60"/>
      <c r="CZ904" s="16"/>
      <c r="DA904" s="16"/>
      <c r="DB904" s="16"/>
      <c r="DC904" s="16"/>
      <c r="DD904" s="16"/>
      <c r="DE904" s="17"/>
      <c r="DI904" s="24"/>
      <c r="DJ904" s="60"/>
      <c r="DK904" s="16"/>
      <c r="DL904" s="16"/>
      <c r="DM904" s="16"/>
      <c r="DN904" s="16"/>
      <c r="DO904" s="16"/>
      <c r="DP904" s="17"/>
      <c r="DT904" s="24"/>
      <c r="DU904" s="60"/>
      <c r="DV904" s="16"/>
      <c r="DW904" s="16"/>
      <c r="DX904" s="16"/>
      <c r="DY904" s="16"/>
      <c r="DZ904" s="16"/>
      <c r="EA904" s="17"/>
      <c r="EE904" s="24"/>
      <c r="EF904" s="60"/>
      <c r="EG904" s="16"/>
      <c r="EH904" s="16"/>
      <c r="EI904" s="16"/>
      <c r="EJ904" s="16"/>
      <c r="EK904" s="16"/>
      <c r="EL904" s="17"/>
      <c r="EP904" s="24"/>
      <c r="EQ904" s="60"/>
      <c r="ER904" s="16"/>
      <c r="ES904" s="16"/>
      <c r="ET904" s="16"/>
      <c r="EU904" s="16"/>
      <c r="EV904" s="16"/>
      <c r="EW904" s="17"/>
      <c r="FA904" s="24"/>
      <c r="FB904" s="60"/>
      <c r="FC904" s="16"/>
      <c r="FD904" s="16"/>
      <c r="FE904" s="16"/>
      <c r="FF904" s="16"/>
      <c r="FG904" s="16"/>
      <c r="FH904" s="17"/>
      <c r="FL904" s="24"/>
      <c r="FM904" s="60"/>
      <c r="FN904" s="16"/>
      <c r="FO904" s="16"/>
      <c r="FP904" s="16"/>
      <c r="FQ904" s="16"/>
      <c r="FR904" s="16"/>
      <c r="FS904" s="17"/>
      <c r="FW904" s="24"/>
      <c r="FX904" s="60"/>
      <c r="FY904" s="16"/>
      <c r="FZ904" s="16"/>
      <c r="GA904" s="16"/>
      <c r="GB904" s="16"/>
      <c r="GC904" s="16"/>
      <c r="GD904" s="17"/>
      <c r="GH904" s="24"/>
      <c r="GI904" s="60"/>
      <c r="GJ904" s="16"/>
      <c r="GK904" s="16"/>
      <c r="GL904" s="16"/>
      <c r="GM904" s="16"/>
      <c r="GN904" s="16"/>
      <c r="GO904" s="17"/>
      <c r="GS904" s="24"/>
      <c r="GT904" s="60"/>
      <c r="GU904" s="16"/>
      <c r="GV904" s="16"/>
      <c r="GW904" s="16"/>
      <c r="GX904" s="16"/>
      <c r="GY904" s="16"/>
      <c r="GZ904" s="17"/>
      <c r="HD904" s="24"/>
      <c r="HE904" s="60"/>
      <c r="HF904" s="16"/>
      <c r="HG904" s="16"/>
      <c r="HH904" s="16"/>
      <c r="HI904" s="16"/>
      <c r="HJ904" s="16"/>
      <c r="HK904" s="17"/>
      <c r="HO904" s="24"/>
      <c r="HP904" s="60"/>
      <c r="HQ904" s="16"/>
      <c r="HR904" s="16"/>
      <c r="HS904" s="16"/>
      <c r="HT904" s="16"/>
      <c r="HU904" s="16"/>
      <c r="HV904" s="17"/>
      <c r="HZ904" s="24"/>
      <c r="IA904" s="60"/>
      <c r="IB904" s="16"/>
      <c r="IC904" s="16"/>
      <c r="ID904" s="16"/>
      <c r="IE904" s="16"/>
      <c r="IF904" s="16"/>
      <c r="IG904" s="17"/>
      <c r="IK904" s="24"/>
      <c r="IL904" s="60"/>
      <c r="IM904" s="16"/>
      <c r="IN904" s="16"/>
      <c r="IO904" s="16"/>
      <c r="IP904" s="16"/>
      <c r="IQ904" s="16"/>
      <c r="IR904" s="17"/>
      <c r="IV904" s="24"/>
      <c r="IW904" s="60"/>
      <c r="IX904" s="16"/>
      <c r="IY904" s="16"/>
      <c r="IZ904" s="16"/>
      <c r="JA904" s="16"/>
      <c r="JB904" s="16"/>
      <c r="JC904" s="17"/>
      <c r="JG904" s="24"/>
      <c r="JH904" s="60"/>
      <c r="JI904" s="16"/>
      <c r="JJ904" s="16"/>
      <c r="JK904" s="16"/>
      <c r="JL904" s="16"/>
      <c r="JM904" s="16"/>
      <c r="JN904" s="17"/>
      <c r="JR904" s="24"/>
      <c r="JS904" s="60"/>
      <c r="JT904" s="16"/>
      <c r="JU904" s="16"/>
      <c r="JV904" s="16"/>
      <c r="JW904" s="16"/>
      <c r="JX904" s="16"/>
      <c r="JY904" s="17"/>
      <c r="KC904" s="24"/>
      <c r="KD904" s="60"/>
      <c r="KE904" s="16"/>
      <c r="KF904" s="16"/>
      <c r="KG904" s="16"/>
      <c r="KH904" s="16"/>
      <c r="KI904" s="16"/>
      <c r="KJ904" s="17"/>
      <c r="KN904" s="24"/>
      <c r="KO904" s="60"/>
      <c r="KP904" s="16"/>
      <c r="KQ904" s="16"/>
      <c r="KR904" s="16"/>
      <c r="KS904" s="16"/>
      <c r="KT904" s="16"/>
      <c r="KU904" s="17"/>
      <c r="KY904" s="24"/>
      <c r="KZ904" s="60"/>
      <c r="LA904" s="16"/>
      <c r="LB904" s="16"/>
      <c r="LC904" s="16"/>
      <c r="LD904" s="16"/>
      <c r="LE904" s="16"/>
      <c r="LF904" s="17"/>
      <c r="LJ904" s="24"/>
      <c r="LK904" s="60"/>
      <c r="LL904" s="16"/>
      <c r="LM904" s="16"/>
      <c r="LN904" s="16"/>
      <c r="LO904" s="16"/>
      <c r="LP904" s="16"/>
      <c r="LQ904" s="17"/>
    </row>
    <row r="905">
      <c r="C905" s="31"/>
      <c r="D905" s="61"/>
      <c r="E905" s="16"/>
      <c r="F905" s="16"/>
      <c r="G905" s="21"/>
      <c r="H905" s="16"/>
      <c r="I905" s="16"/>
      <c r="J905" s="17"/>
      <c r="N905" s="17"/>
      <c r="O905" s="61"/>
      <c r="P905" s="16"/>
      <c r="Q905" s="16"/>
      <c r="R905" s="16"/>
      <c r="S905" s="16"/>
      <c r="T905" s="16"/>
      <c r="U905" s="17"/>
      <c r="Y905" s="24"/>
      <c r="Z905" s="61"/>
      <c r="AA905" s="16"/>
      <c r="AB905" s="16"/>
      <c r="AC905" s="16"/>
      <c r="AD905" s="16"/>
      <c r="AE905" s="16"/>
      <c r="AF905" s="17"/>
      <c r="AJ905" s="24"/>
      <c r="AK905" s="61"/>
      <c r="AL905" s="16"/>
      <c r="AM905" s="16"/>
      <c r="AN905" s="16"/>
      <c r="AO905" s="16"/>
      <c r="AP905" s="16"/>
      <c r="AQ905" s="17"/>
      <c r="AU905" s="24"/>
      <c r="AV905" s="61"/>
      <c r="AW905" s="16"/>
      <c r="AX905" s="16"/>
      <c r="AY905" s="16"/>
      <c r="AZ905" s="16"/>
      <c r="BA905" s="16"/>
      <c r="BB905" s="17"/>
      <c r="BF905" s="24"/>
      <c r="BG905" s="61"/>
      <c r="BH905" s="16"/>
      <c r="BI905" s="16"/>
      <c r="BJ905" s="16"/>
      <c r="BK905" s="16"/>
      <c r="BL905" s="16"/>
      <c r="BM905" s="17"/>
      <c r="BQ905" s="24"/>
      <c r="BR905" s="61"/>
      <c r="BS905" s="16"/>
      <c r="BT905" s="16"/>
      <c r="BU905" s="16"/>
      <c r="BV905" s="16"/>
      <c r="BW905" s="16"/>
      <c r="BX905" s="17"/>
      <c r="CB905" s="24"/>
      <c r="CC905" s="61"/>
      <c r="CD905" s="16"/>
      <c r="CE905" s="16"/>
      <c r="CF905" s="16"/>
      <c r="CG905" s="16"/>
      <c r="CH905" s="16"/>
      <c r="CI905" s="17"/>
      <c r="CM905" s="24"/>
      <c r="CN905" s="61"/>
      <c r="CO905" s="16"/>
      <c r="CP905" s="16"/>
      <c r="CQ905" s="16"/>
      <c r="CR905" s="16"/>
      <c r="CS905" s="16"/>
      <c r="CT905" s="17"/>
      <c r="CX905" s="24"/>
      <c r="CY905" s="60"/>
      <c r="CZ905" s="16"/>
      <c r="DA905" s="16"/>
      <c r="DB905" s="16"/>
      <c r="DC905" s="16"/>
      <c r="DD905" s="16"/>
      <c r="DE905" s="17"/>
      <c r="DI905" s="24"/>
      <c r="DJ905" s="60"/>
      <c r="DK905" s="16"/>
      <c r="DL905" s="16"/>
      <c r="DM905" s="16"/>
      <c r="DN905" s="16"/>
      <c r="DO905" s="16"/>
      <c r="DP905" s="17"/>
      <c r="DT905" s="24"/>
      <c r="DU905" s="60"/>
      <c r="DV905" s="16"/>
      <c r="DW905" s="16"/>
      <c r="DX905" s="16"/>
      <c r="DY905" s="16"/>
      <c r="DZ905" s="16"/>
      <c r="EA905" s="17"/>
      <c r="EE905" s="24"/>
      <c r="EF905" s="60"/>
      <c r="EG905" s="16"/>
      <c r="EH905" s="16"/>
      <c r="EI905" s="16"/>
      <c r="EJ905" s="16"/>
      <c r="EK905" s="16"/>
      <c r="EL905" s="17"/>
      <c r="EP905" s="24"/>
      <c r="EQ905" s="60"/>
      <c r="ER905" s="16"/>
      <c r="ES905" s="16"/>
      <c r="ET905" s="16"/>
      <c r="EU905" s="16"/>
      <c r="EV905" s="16"/>
      <c r="EW905" s="17"/>
      <c r="FA905" s="24"/>
      <c r="FB905" s="60"/>
      <c r="FC905" s="16"/>
      <c r="FD905" s="16"/>
      <c r="FE905" s="16"/>
      <c r="FF905" s="16"/>
      <c r="FG905" s="16"/>
      <c r="FH905" s="17"/>
      <c r="FL905" s="24"/>
      <c r="FM905" s="60"/>
      <c r="FN905" s="16"/>
      <c r="FO905" s="16"/>
      <c r="FP905" s="16"/>
      <c r="FQ905" s="16"/>
      <c r="FR905" s="16"/>
      <c r="FS905" s="17"/>
      <c r="FW905" s="24"/>
      <c r="FX905" s="60"/>
      <c r="FY905" s="16"/>
      <c r="FZ905" s="16"/>
      <c r="GA905" s="16"/>
      <c r="GB905" s="16"/>
      <c r="GC905" s="16"/>
      <c r="GD905" s="17"/>
      <c r="GH905" s="24"/>
      <c r="GI905" s="60"/>
      <c r="GJ905" s="16"/>
      <c r="GK905" s="16"/>
      <c r="GL905" s="16"/>
      <c r="GM905" s="16"/>
      <c r="GN905" s="16"/>
      <c r="GO905" s="17"/>
      <c r="GS905" s="24"/>
      <c r="GT905" s="60"/>
      <c r="GU905" s="16"/>
      <c r="GV905" s="16"/>
      <c r="GW905" s="16"/>
      <c r="GX905" s="16"/>
      <c r="GY905" s="16"/>
      <c r="GZ905" s="17"/>
      <c r="HD905" s="24"/>
      <c r="HE905" s="60"/>
      <c r="HF905" s="16"/>
      <c r="HG905" s="16"/>
      <c r="HH905" s="16"/>
      <c r="HI905" s="16"/>
      <c r="HJ905" s="16"/>
      <c r="HK905" s="17"/>
      <c r="HO905" s="24"/>
      <c r="HP905" s="60"/>
      <c r="HQ905" s="16"/>
      <c r="HR905" s="16"/>
      <c r="HS905" s="16"/>
      <c r="HT905" s="16"/>
      <c r="HU905" s="16"/>
      <c r="HV905" s="17"/>
      <c r="HZ905" s="24"/>
      <c r="IA905" s="60"/>
      <c r="IB905" s="16"/>
      <c r="IC905" s="16"/>
      <c r="ID905" s="16"/>
      <c r="IE905" s="16"/>
      <c r="IF905" s="16"/>
      <c r="IG905" s="17"/>
      <c r="IK905" s="24"/>
      <c r="IL905" s="60"/>
      <c r="IM905" s="16"/>
      <c r="IN905" s="16"/>
      <c r="IO905" s="16"/>
      <c r="IP905" s="16"/>
      <c r="IQ905" s="16"/>
      <c r="IR905" s="17"/>
      <c r="IV905" s="24"/>
      <c r="IW905" s="60"/>
      <c r="IX905" s="16"/>
      <c r="IY905" s="16"/>
      <c r="IZ905" s="16"/>
      <c r="JA905" s="16"/>
      <c r="JB905" s="16"/>
      <c r="JC905" s="17"/>
      <c r="JG905" s="24"/>
      <c r="JH905" s="60"/>
      <c r="JI905" s="16"/>
      <c r="JJ905" s="16"/>
      <c r="JK905" s="16"/>
      <c r="JL905" s="16"/>
      <c r="JM905" s="16"/>
      <c r="JN905" s="17"/>
      <c r="JR905" s="24"/>
      <c r="JS905" s="60"/>
      <c r="JT905" s="16"/>
      <c r="JU905" s="16"/>
      <c r="JV905" s="16"/>
      <c r="JW905" s="16"/>
      <c r="JX905" s="16"/>
      <c r="JY905" s="17"/>
      <c r="KC905" s="24"/>
      <c r="KD905" s="60"/>
      <c r="KE905" s="16"/>
      <c r="KF905" s="16"/>
      <c r="KG905" s="16"/>
      <c r="KH905" s="16"/>
      <c r="KI905" s="16"/>
      <c r="KJ905" s="17"/>
      <c r="KN905" s="24"/>
      <c r="KO905" s="60"/>
      <c r="KP905" s="16"/>
      <c r="KQ905" s="16"/>
      <c r="KR905" s="16"/>
      <c r="KS905" s="16"/>
      <c r="KT905" s="16"/>
      <c r="KU905" s="17"/>
      <c r="KY905" s="24"/>
      <c r="KZ905" s="60"/>
      <c r="LA905" s="16"/>
      <c r="LB905" s="16"/>
      <c r="LC905" s="16"/>
      <c r="LD905" s="16"/>
      <c r="LE905" s="16"/>
      <c r="LF905" s="17"/>
      <c r="LJ905" s="24"/>
      <c r="LK905" s="60"/>
      <c r="LL905" s="16"/>
      <c r="LM905" s="16"/>
      <c r="LN905" s="16"/>
      <c r="LO905" s="16"/>
      <c r="LP905" s="16"/>
      <c r="LQ905" s="17"/>
    </row>
    <row r="906">
      <c r="C906" s="31"/>
      <c r="D906" s="61"/>
      <c r="E906" s="16"/>
      <c r="F906" s="16"/>
      <c r="G906" s="21"/>
      <c r="H906" s="16"/>
      <c r="I906" s="16"/>
      <c r="J906" s="17"/>
      <c r="N906" s="17"/>
      <c r="O906" s="61"/>
      <c r="P906" s="16"/>
      <c r="Q906" s="16"/>
      <c r="R906" s="16"/>
      <c r="S906" s="16"/>
      <c r="T906" s="16"/>
      <c r="U906" s="17"/>
      <c r="Y906" s="24"/>
      <c r="Z906" s="61"/>
      <c r="AA906" s="16"/>
      <c r="AB906" s="16"/>
      <c r="AC906" s="16"/>
      <c r="AD906" s="16"/>
      <c r="AE906" s="16"/>
      <c r="AF906" s="17"/>
      <c r="AJ906" s="24"/>
      <c r="AK906" s="61"/>
      <c r="AL906" s="16"/>
      <c r="AM906" s="16"/>
      <c r="AN906" s="16"/>
      <c r="AO906" s="16"/>
      <c r="AP906" s="16"/>
      <c r="AQ906" s="17"/>
      <c r="AU906" s="24"/>
      <c r="AV906" s="61"/>
      <c r="AW906" s="16"/>
      <c r="AX906" s="16"/>
      <c r="AY906" s="16"/>
      <c r="AZ906" s="16"/>
      <c r="BA906" s="16"/>
      <c r="BB906" s="17"/>
      <c r="BF906" s="24"/>
      <c r="BG906" s="61"/>
      <c r="BH906" s="16"/>
      <c r="BI906" s="16"/>
      <c r="BJ906" s="16"/>
      <c r="BK906" s="16"/>
      <c r="BL906" s="16"/>
      <c r="BM906" s="17"/>
      <c r="BQ906" s="24"/>
      <c r="BR906" s="61"/>
      <c r="BS906" s="16"/>
      <c r="BT906" s="16"/>
      <c r="BU906" s="16"/>
      <c r="BV906" s="16"/>
      <c r="BW906" s="16"/>
      <c r="BX906" s="17"/>
      <c r="CB906" s="24"/>
      <c r="CC906" s="61"/>
      <c r="CD906" s="16"/>
      <c r="CE906" s="16"/>
      <c r="CF906" s="16"/>
      <c r="CG906" s="16"/>
      <c r="CH906" s="16"/>
      <c r="CI906" s="17"/>
      <c r="CM906" s="24"/>
      <c r="CN906" s="61"/>
      <c r="CO906" s="16"/>
      <c r="CP906" s="16"/>
      <c r="CQ906" s="16"/>
      <c r="CR906" s="16"/>
      <c r="CS906" s="16"/>
      <c r="CT906" s="17"/>
      <c r="CX906" s="24"/>
      <c r="CY906" s="60"/>
      <c r="CZ906" s="16"/>
      <c r="DA906" s="16"/>
      <c r="DB906" s="16"/>
      <c r="DC906" s="16"/>
      <c r="DD906" s="16"/>
      <c r="DE906" s="17"/>
      <c r="DI906" s="24"/>
      <c r="DJ906" s="60"/>
      <c r="DK906" s="16"/>
      <c r="DL906" s="16"/>
      <c r="DM906" s="16"/>
      <c r="DN906" s="16"/>
      <c r="DO906" s="16"/>
      <c r="DP906" s="17"/>
      <c r="DT906" s="24"/>
      <c r="DU906" s="60"/>
      <c r="DV906" s="16"/>
      <c r="DW906" s="16"/>
      <c r="DX906" s="16"/>
      <c r="DY906" s="16"/>
      <c r="DZ906" s="16"/>
      <c r="EA906" s="17"/>
      <c r="EE906" s="24"/>
      <c r="EF906" s="60"/>
      <c r="EG906" s="16"/>
      <c r="EH906" s="16"/>
      <c r="EI906" s="16"/>
      <c r="EJ906" s="16"/>
      <c r="EK906" s="16"/>
      <c r="EL906" s="17"/>
      <c r="EP906" s="24"/>
      <c r="EQ906" s="60"/>
      <c r="ER906" s="16"/>
      <c r="ES906" s="16"/>
      <c r="ET906" s="16"/>
      <c r="EU906" s="16"/>
      <c r="EV906" s="16"/>
      <c r="EW906" s="17"/>
      <c r="FA906" s="24"/>
      <c r="FB906" s="60"/>
      <c r="FC906" s="16"/>
      <c r="FD906" s="16"/>
      <c r="FE906" s="16"/>
      <c r="FF906" s="16"/>
      <c r="FG906" s="16"/>
      <c r="FH906" s="17"/>
      <c r="FL906" s="24"/>
      <c r="FM906" s="60"/>
      <c r="FN906" s="16"/>
      <c r="FO906" s="16"/>
      <c r="FP906" s="16"/>
      <c r="FQ906" s="16"/>
      <c r="FR906" s="16"/>
      <c r="FS906" s="17"/>
      <c r="FW906" s="24"/>
      <c r="FX906" s="60"/>
      <c r="FY906" s="16"/>
      <c r="FZ906" s="16"/>
      <c r="GA906" s="16"/>
      <c r="GB906" s="16"/>
      <c r="GC906" s="16"/>
      <c r="GD906" s="17"/>
      <c r="GH906" s="24"/>
      <c r="GI906" s="60"/>
      <c r="GJ906" s="16"/>
      <c r="GK906" s="16"/>
      <c r="GL906" s="16"/>
      <c r="GM906" s="16"/>
      <c r="GN906" s="16"/>
      <c r="GO906" s="17"/>
      <c r="GS906" s="24"/>
      <c r="GT906" s="60"/>
      <c r="GU906" s="16"/>
      <c r="GV906" s="16"/>
      <c r="GW906" s="16"/>
      <c r="GX906" s="16"/>
      <c r="GY906" s="16"/>
      <c r="GZ906" s="17"/>
      <c r="HD906" s="24"/>
      <c r="HE906" s="60"/>
      <c r="HF906" s="16"/>
      <c r="HG906" s="16"/>
      <c r="HH906" s="16"/>
      <c r="HI906" s="16"/>
      <c r="HJ906" s="16"/>
      <c r="HK906" s="17"/>
      <c r="HO906" s="24"/>
      <c r="HP906" s="60"/>
      <c r="HQ906" s="16"/>
      <c r="HR906" s="16"/>
      <c r="HS906" s="16"/>
      <c r="HT906" s="16"/>
      <c r="HU906" s="16"/>
      <c r="HV906" s="17"/>
      <c r="HZ906" s="24"/>
      <c r="IA906" s="60"/>
      <c r="IB906" s="16"/>
      <c r="IC906" s="16"/>
      <c r="ID906" s="16"/>
      <c r="IE906" s="16"/>
      <c r="IF906" s="16"/>
      <c r="IG906" s="17"/>
      <c r="IK906" s="24"/>
      <c r="IL906" s="60"/>
      <c r="IM906" s="16"/>
      <c r="IN906" s="16"/>
      <c r="IO906" s="16"/>
      <c r="IP906" s="16"/>
      <c r="IQ906" s="16"/>
      <c r="IR906" s="17"/>
      <c r="IV906" s="24"/>
      <c r="IW906" s="60"/>
      <c r="IX906" s="16"/>
      <c r="IY906" s="16"/>
      <c r="IZ906" s="16"/>
      <c r="JA906" s="16"/>
      <c r="JB906" s="16"/>
      <c r="JC906" s="17"/>
      <c r="JG906" s="24"/>
      <c r="JH906" s="60"/>
      <c r="JI906" s="16"/>
      <c r="JJ906" s="16"/>
      <c r="JK906" s="16"/>
      <c r="JL906" s="16"/>
      <c r="JM906" s="16"/>
      <c r="JN906" s="17"/>
      <c r="JR906" s="24"/>
      <c r="JS906" s="60"/>
      <c r="JT906" s="16"/>
      <c r="JU906" s="16"/>
      <c r="JV906" s="16"/>
      <c r="JW906" s="16"/>
      <c r="JX906" s="16"/>
      <c r="JY906" s="17"/>
      <c r="KC906" s="24"/>
      <c r="KD906" s="60"/>
      <c r="KE906" s="16"/>
      <c r="KF906" s="16"/>
      <c r="KG906" s="16"/>
      <c r="KH906" s="16"/>
      <c r="KI906" s="16"/>
      <c r="KJ906" s="17"/>
      <c r="KN906" s="24"/>
      <c r="KO906" s="60"/>
      <c r="KP906" s="16"/>
      <c r="KQ906" s="16"/>
      <c r="KR906" s="16"/>
      <c r="KS906" s="16"/>
      <c r="KT906" s="16"/>
      <c r="KU906" s="17"/>
      <c r="KY906" s="24"/>
      <c r="KZ906" s="60"/>
      <c r="LA906" s="16"/>
      <c r="LB906" s="16"/>
      <c r="LC906" s="16"/>
      <c r="LD906" s="16"/>
      <c r="LE906" s="16"/>
      <c r="LF906" s="17"/>
      <c r="LJ906" s="24"/>
      <c r="LK906" s="60"/>
      <c r="LL906" s="16"/>
      <c r="LM906" s="16"/>
      <c r="LN906" s="16"/>
      <c r="LO906" s="16"/>
      <c r="LP906" s="16"/>
      <c r="LQ906" s="17"/>
    </row>
    <row r="907">
      <c r="C907" s="31"/>
      <c r="D907" s="61"/>
      <c r="E907" s="16"/>
      <c r="F907" s="16"/>
      <c r="G907" s="21"/>
      <c r="H907" s="16"/>
      <c r="I907" s="16"/>
      <c r="J907" s="17"/>
      <c r="N907" s="17"/>
      <c r="O907" s="61"/>
      <c r="P907" s="16"/>
      <c r="Q907" s="16"/>
      <c r="R907" s="16"/>
      <c r="S907" s="16"/>
      <c r="T907" s="16"/>
      <c r="U907" s="17"/>
      <c r="Y907" s="24"/>
      <c r="Z907" s="61"/>
      <c r="AA907" s="16"/>
      <c r="AB907" s="16"/>
      <c r="AC907" s="16"/>
      <c r="AD907" s="16"/>
      <c r="AE907" s="16"/>
      <c r="AF907" s="17"/>
      <c r="AJ907" s="24"/>
      <c r="AK907" s="61"/>
      <c r="AL907" s="16"/>
      <c r="AM907" s="16"/>
      <c r="AN907" s="16"/>
      <c r="AO907" s="16"/>
      <c r="AP907" s="16"/>
      <c r="AQ907" s="17"/>
      <c r="AU907" s="24"/>
      <c r="AV907" s="61"/>
      <c r="AW907" s="16"/>
      <c r="AX907" s="16"/>
      <c r="AY907" s="16"/>
      <c r="AZ907" s="16"/>
      <c r="BA907" s="16"/>
      <c r="BB907" s="17"/>
      <c r="BF907" s="24"/>
      <c r="BG907" s="61"/>
      <c r="BH907" s="16"/>
      <c r="BI907" s="16"/>
      <c r="BJ907" s="16"/>
      <c r="BK907" s="16"/>
      <c r="BL907" s="16"/>
      <c r="BM907" s="17"/>
      <c r="BQ907" s="24"/>
      <c r="BR907" s="61"/>
      <c r="BS907" s="16"/>
      <c r="BT907" s="16"/>
      <c r="BU907" s="16"/>
      <c r="BV907" s="16"/>
      <c r="BW907" s="16"/>
      <c r="BX907" s="17"/>
      <c r="CB907" s="24"/>
      <c r="CC907" s="61"/>
      <c r="CD907" s="16"/>
      <c r="CE907" s="16"/>
      <c r="CF907" s="16"/>
      <c r="CG907" s="16"/>
      <c r="CH907" s="16"/>
      <c r="CI907" s="17"/>
      <c r="CM907" s="24"/>
      <c r="CN907" s="61"/>
      <c r="CO907" s="16"/>
      <c r="CP907" s="16"/>
      <c r="CQ907" s="16"/>
      <c r="CR907" s="16"/>
      <c r="CS907" s="16"/>
      <c r="CT907" s="17"/>
      <c r="CX907" s="24"/>
      <c r="CY907" s="60"/>
      <c r="CZ907" s="16"/>
      <c r="DA907" s="16"/>
      <c r="DB907" s="16"/>
      <c r="DC907" s="16"/>
      <c r="DD907" s="16"/>
      <c r="DE907" s="17"/>
      <c r="DI907" s="24"/>
      <c r="DJ907" s="60"/>
      <c r="DK907" s="16"/>
      <c r="DL907" s="16"/>
      <c r="DM907" s="16"/>
      <c r="DN907" s="16"/>
      <c r="DO907" s="16"/>
      <c r="DP907" s="17"/>
      <c r="DT907" s="24"/>
      <c r="DU907" s="60"/>
      <c r="DV907" s="16"/>
      <c r="DW907" s="16"/>
      <c r="DX907" s="16"/>
      <c r="DY907" s="16"/>
      <c r="DZ907" s="16"/>
      <c r="EA907" s="17"/>
      <c r="EE907" s="24"/>
      <c r="EF907" s="60"/>
      <c r="EG907" s="16"/>
      <c r="EH907" s="16"/>
      <c r="EI907" s="16"/>
      <c r="EJ907" s="16"/>
      <c r="EK907" s="16"/>
      <c r="EL907" s="17"/>
      <c r="EP907" s="24"/>
      <c r="EQ907" s="60"/>
      <c r="ER907" s="16"/>
      <c r="ES907" s="16"/>
      <c r="ET907" s="16"/>
      <c r="EU907" s="16"/>
      <c r="EV907" s="16"/>
      <c r="EW907" s="17"/>
      <c r="FA907" s="24"/>
      <c r="FB907" s="60"/>
      <c r="FC907" s="16"/>
      <c r="FD907" s="16"/>
      <c r="FE907" s="16"/>
      <c r="FF907" s="16"/>
      <c r="FG907" s="16"/>
      <c r="FH907" s="17"/>
      <c r="FL907" s="24"/>
      <c r="FM907" s="60"/>
      <c r="FN907" s="16"/>
      <c r="FO907" s="16"/>
      <c r="FP907" s="16"/>
      <c r="FQ907" s="16"/>
      <c r="FR907" s="16"/>
      <c r="FS907" s="17"/>
      <c r="FW907" s="24"/>
      <c r="FX907" s="60"/>
      <c r="FY907" s="16"/>
      <c r="FZ907" s="16"/>
      <c r="GA907" s="16"/>
      <c r="GB907" s="16"/>
      <c r="GC907" s="16"/>
      <c r="GD907" s="17"/>
      <c r="GH907" s="24"/>
      <c r="GI907" s="60"/>
      <c r="GJ907" s="16"/>
      <c r="GK907" s="16"/>
      <c r="GL907" s="16"/>
      <c r="GM907" s="16"/>
      <c r="GN907" s="16"/>
      <c r="GO907" s="17"/>
      <c r="GS907" s="24"/>
      <c r="GT907" s="60"/>
      <c r="GU907" s="16"/>
      <c r="GV907" s="16"/>
      <c r="GW907" s="16"/>
      <c r="GX907" s="16"/>
      <c r="GY907" s="16"/>
      <c r="GZ907" s="17"/>
      <c r="HD907" s="24"/>
      <c r="HE907" s="60"/>
      <c r="HF907" s="16"/>
      <c r="HG907" s="16"/>
      <c r="HH907" s="16"/>
      <c r="HI907" s="16"/>
      <c r="HJ907" s="16"/>
      <c r="HK907" s="17"/>
      <c r="HO907" s="24"/>
      <c r="HP907" s="60"/>
      <c r="HQ907" s="16"/>
      <c r="HR907" s="16"/>
      <c r="HS907" s="16"/>
      <c r="HT907" s="16"/>
      <c r="HU907" s="16"/>
      <c r="HV907" s="17"/>
      <c r="HZ907" s="24"/>
      <c r="IA907" s="60"/>
      <c r="IB907" s="16"/>
      <c r="IC907" s="16"/>
      <c r="ID907" s="16"/>
      <c r="IE907" s="16"/>
      <c r="IF907" s="16"/>
      <c r="IG907" s="17"/>
      <c r="IK907" s="24"/>
      <c r="IL907" s="60"/>
      <c r="IM907" s="16"/>
      <c r="IN907" s="16"/>
      <c r="IO907" s="16"/>
      <c r="IP907" s="16"/>
      <c r="IQ907" s="16"/>
      <c r="IR907" s="17"/>
      <c r="IV907" s="24"/>
      <c r="IW907" s="60"/>
      <c r="IX907" s="16"/>
      <c r="IY907" s="16"/>
      <c r="IZ907" s="16"/>
      <c r="JA907" s="16"/>
      <c r="JB907" s="16"/>
      <c r="JC907" s="17"/>
      <c r="JG907" s="24"/>
      <c r="JH907" s="60"/>
      <c r="JI907" s="16"/>
      <c r="JJ907" s="16"/>
      <c r="JK907" s="16"/>
      <c r="JL907" s="16"/>
      <c r="JM907" s="16"/>
      <c r="JN907" s="17"/>
      <c r="JR907" s="24"/>
      <c r="JS907" s="60"/>
      <c r="JT907" s="16"/>
      <c r="JU907" s="16"/>
      <c r="JV907" s="16"/>
      <c r="JW907" s="16"/>
      <c r="JX907" s="16"/>
      <c r="JY907" s="17"/>
      <c r="KC907" s="24"/>
      <c r="KD907" s="60"/>
      <c r="KE907" s="16"/>
      <c r="KF907" s="16"/>
      <c r="KG907" s="16"/>
      <c r="KH907" s="16"/>
      <c r="KI907" s="16"/>
      <c r="KJ907" s="17"/>
      <c r="KN907" s="24"/>
      <c r="KO907" s="60"/>
      <c r="KP907" s="16"/>
      <c r="KQ907" s="16"/>
      <c r="KR907" s="16"/>
      <c r="KS907" s="16"/>
      <c r="KT907" s="16"/>
      <c r="KU907" s="17"/>
      <c r="KY907" s="24"/>
      <c r="KZ907" s="60"/>
      <c r="LA907" s="16"/>
      <c r="LB907" s="16"/>
      <c r="LC907" s="16"/>
      <c r="LD907" s="16"/>
      <c r="LE907" s="16"/>
      <c r="LF907" s="17"/>
      <c r="LJ907" s="24"/>
      <c r="LK907" s="60"/>
      <c r="LL907" s="16"/>
      <c r="LM907" s="16"/>
      <c r="LN907" s="16"/>
      <c r="LO907" s="16"/>
      <c r="LP907" s="16"/>
      <c r="LQ907" s="17"/>
    </row>
    <row r="908">
      <c r="C908" s="31"/>
      <c r="D908" s="61"/>
      <c r="E908" s="16"/>
      <c r="F908" s="16"/>
      <c r="G908" s="21"/>
      <c r="H908" s="16"/>
      <c r="I908" s="16"/>
      <c r="J908" s="17"/>
      <c r="N908" s="17"/>
      <c r="O908" s="61"/>
      <c r="P908" s="16"/>
      <c r="Q908" s="16"/>
      <c r="R908" s="16"/>
      <c r="S908" s="16"/>
      <c r="T908" s="16"/>
      <c r="U908" s="17"/>
      <c r="Y908" s="24"/>
      <c r="Z908" s="61"/>
      <c r="AA908" s="16"/>
      <c r="AB908" s="16"/>
      <c r="AC908" s="16"/>
      <c r="AD908" s="16"/>
      <c r="AE908" s="16"/>
      <c r="AF908" s="17"/>
      <c r="AJ908" s="24"/>
      <c r="AK908" s="61"/>
      <c r="AL908" s="16"/>
      <c r="AM908" s="16"/>
      <c r="AN908" s="16"/>
      <c r="AO908" s="16"/>
      <c r="AP908" s="16"/>
      <c r="AQ908" s="17"/>
      <c r="AU908" s="24"/>
      <c r="AV908" s="61"/>
      <c r="AW908" s="16"/>
      <c r="AX908" s="16"/>
      <c r="AY908" s="16"/>
      <c r="AZ908" s="16"/>
      <c r="BA908" s="16"/>
      <c r="BB908" s="17"/>
      <c r="BF908" s="24"/>
      <c r="BG908" s="61"/>
      <c r="BH908" s="16"/>
      <c r="BI908" s="16"/>
      <c r="BJ908" s="16"/>
      <c r="BK908" s="16"/>
      <c r="BL908" s="16"/>
      <c r="BM908" s="17"/>
      <c r="BQ908" s="24"/>
      <c r="BR908" s="61"/>
      <c r="BS908" s="16"/>
      <c r="BT908" s="16"/>
      <c r="BU908" s="16"/>
      <c r="BV908" s="16"/>
      <c r="BW908" s="16"/>
      <c r="BX908" s="17"/>
      <c r="CB908" s="24"/>
      <c r="CC908" s="61"/>
      <c r="CD908" s="16"/>
      <c r="CE908" s="16"/>
      <c r="CF908" s="16"/>
      <c r="CG908" s="16"/>
      <c r="CH908" s="16"/>
      <c r="CI908" s="17"/>
      <c r="CM908" s="24"/>
      <c r="CN908" s="61"/>
      <c r="CO908" s="16"/>
      <c r="CP908" s="16"/>
      <c r="CQ908" s="16"/>
      <c r="CR908" s="16"/>
      <c r="CS908" s="16"/>
      <c r="CT908" s="17"/>
      <c r="CX908" s="24"/>
      <c r="CY908" s="60"/>
      <c r="CZ908" s="16"/>
      <c r="DA908" s="16"/>
      <c r="DB908" s="16"/>
      <c r="DC908" s="16"/>
      <c r="DD908" s="16"/>
      <c r="DE908" s="17"/>
      <c r="DI908" s="24"/>
      <c r="DJ908" s="60"/>
      <c r="DK908" s="16"/>
      <c r="DL908" s="16"/>
      <c r="DM908" s="16"/>
      <c r="DN908" s="16"/>
      <c r="DO908" s="16"/>
      <c r="DP908" s="17"/>
      <c r="DT908" s="24"/>
      <c r="DU908" s="60"/>
      <c r="DV908" s="16"/>
      <c r="DW908" s="16"/>
      <c r="DX908" s="16"/>
      <c r="DY908" s="16"/>
      <c r="DZ908" s="16"/>
      <c r="EA908" s="17"/>
      <c r="EE908" s="24"/>
      <c r="EF908" s="60"/>
      <c r="EG908" s="16"/>
      <c r="EH908" s="16"/>
      <c r="EI908" s="16"/>
      <c r="EJ908" s="16"/>
      <c r="EK908" s="16"/>
      <c r="EL908" s="17"/>
      <c r="EP908" s="24"/>
      <c r="EQ908" s="60"/>
      <c r="ER908" s="16"/>
      <c r="ES908" s="16"/>
      <c r="ET908" s="16"/>
      <c r="EU908" s="16"/>
      <c r="EV908" s="16"/>
      <c r="EW908" s="17"/>
      <c r="FA908" s="24"/>
      <c r="FB908" s="60"/>
      <c r="FC908" s="16"/>
      <c r="FD908" s="16"/>
      <c r="FE908" s="16"/>
      <c r="FF908" s="16"/>
      <c r="FG908" s="16"/>
      <c r="FH908" s="17"/>
      <c r="FL908" s="24"/>
      <c r="FM908" s="60"/>
      <c r="FN908" s="16"/>
      <c r="FO908" s="16"/>
      <c r="FP908" s="16"/>
      <c r="FQ908" s="16"/>
      <c r="FR908" s="16"/>
      <c r="FS908" s="17"/>
      <c r="FW908" s="24"/>
      <c r="FX908" s="60"/>
      <c r="FY908" s="16"/>
      <c r="FZ908" s="16"/>
      <c r="GA908" s="16"/>
      <c r="GB908" s="16"/>
      <c r="GC908" s="16"/>
      <c r="GD908" s="17"/>
      <c r="GH908" s="24"/>
      <c r="GI908" s="60"/>
      <c r="GJ908" s="16"/>
      <c r="GK908" s="16"/>
      <c r="GL908" s="16"/>
      <c r="GM908" s="16"/>
      <c r="GN908" s="16"/>
      <c r="GO908" s="17"/>
      <c r="GS908" s="24"/>
      <c r="GT908" s="60"/>
      <c r="GU908" s="16"/>
      <c r="GV908" s="16"/>
      <c r="GW908" s="16"/>
      <c r="GX908" s="16"/>
      <c r="GY908" s="16"/>
      <c r="GZ908" s="17"/>
      <c r="HD908" s="24"/>
      <c r="HE908" s="60"/>
      <c r="HF908" s="16"/>
      <c r="HG908" s="16"/>
      <c r="HH908" s="16"/>
      <c r="HI908" s="16"/>
      <c r="HJ908" s="16"/>
      <c r="HK908" s="17"/>
      <c r="HO908" s="24"/>
      <c r="HP908" s="60"/>
      <c r="HQ908" s="16"/>
      <c r="HR908" s="16"/>
      <c r="HS908" s="16"/>
      <c r="HT908" s="16"/>
      <c r="HU908" s="16"/>
      <c r="HV908" s="17"/>
      <c r="HZ908" s="24"/>
      <c r="IA908" s="60"/>
      <c r="IB908" s="16"/>
      <c r="IC908" s="16"/>
      <c r="ID908" s="16"/>
      <c r="IE908" s="16"/>
      <c r="IF908" s="16"/>
      <c r="IG908" s="17"/>
      <c r="IK908" s="24"/>
      <c r="IL908" s="60"/>
      <c r="IM908" s="16"/>
      <c r="IN908" s="16"/>
      <c r="IO908" s="16"/>
      <c r="IP908" s="16"/>
      <c r="IQ908" s="16"/>
      <c r="IR908" s="17"/>
      <c r="IV908" s="24"/>
      <c r="IW908" s="60"/>
      <c r="IX908" s="16"/>
      <c r="IY908" s="16"/>
      <c r="IZ908" s="16"/>
      <c r="JA908" s="16"/>
      <c r="JB908" s="16"/>
      <c r="JC908" s="17"/>
      <c r="JG908" s="24"/>
      <c r="JH908" s="60"/>
      <c r="JI908" s="16"/>
      <c r="JJ908" s="16"/>
      <c r="JK908" s="16"/>
      <c r="JL908" s="16"/>
      <c r="JM908" s="16"/>
      <c r="JN908" s="17"/>
      <c r="JR908" s="24"/>
      <c r="JS908" s="60"/>
      <c r="JT908" s="16"/>
      <c r="JU908" s="16"/>
      <c r="JV908" s="16"/>
      <c r="JW908" s="16"/>
      <c r="JX908" s="16"/>
      <c r="JY908" s="17"/>
      <c r="KC908" s="24"/>
      <c r="KD908" s="60"/>
      <c r="KE908" s="16"/>
      <c r="KF908" s="16"/>
      <c r="KG908" s="16"/>
      <c r="KH908" s="16"/>
      <c r="KI908" s="16"/>
      <c r="KJ908" s="17"/>
      <c r="KN908" s="24"/>
      <c r="KO908" s="60"/>
      <c r="KP908" s="16"/>
      <c r="KQ908" s="16"/>
      <c r="KR908" s="16"/>
      <c r="KS908" s="16"/>
      <c r="KT908" s="16"/>
      <c r="KU908" s="17"/>
      <c r="KY908" s="24"/>
      <c r="KZ908" s="60"/>
      <c r="LA908" s="16"/>
      <c r="LB908" s="16"/>
      <c r="LC908" s="16"/>
      <c r="LD908" s="16"/>
      <c r="LE908" s="16"/>
      <c r="LF908" s="17"/>
      <c r="LJ908" s="24"/>
      <c r="LK908" s="60"/>
      <c r="LL908" s="16"/>
      <c r="LM908" s="16"/>
      <c r="LN908" s="16"/>
      <c r="LO908" s="16"/>
      <c r="LP908" s="16"/>
      <c r="LQ908" s="17"/>
    </row>
    <row r="909">
      <c r="C909" s="31"/>
      <c r="D909" s="61"/>
      <c r="E909" s="16"/>
      <c r="F909" s="16"/>
      <c r="G909" s="21"/>
      <c r="H909" s="16"/>
      <c r="I909" s="16"/>
      <c r="J909" s="17"/>
      <c r="N909" s="17"/>
      <c r="O909" s="61"/>
      <c r="P909" s="16"/>
      <c r="Q909" s="16"/>
      <c r="R909" s="16"/>
      <c r="S909" s="16"/>
      <c r="T909" s="16"/>
      <c r="U909" s="17"/>
      <c r="Y909" s="24"/>
      <c r="Z909" s="61"/>
      <c r="AA909" s="16"/>
      <c r="AB909" s="16"/>
      <c r="AC909" s="16"/>
      <c r="AD909" s="16"/>
      <c r="AE909" s="16"/>
      <c r="AF909" s="17"/>
      <c r="AJ909" s="24"/>
      <c r="AK909" s="61"/>
      <c r="AL909" s="16"/>
      <c r="AM909" s="16"/>
      <c r="AN909" s="16"/>
      <c r="AO909" s="16"/>
      <c r="AP909" s="16"/>
      <c r="AQ909" s="17"/>
      <c r="AU909" s="24"/>
      <c r="AV909" s="61"/>
      <c r="AW909" s="16"/>
      <c r="AX909" s="16"/>
      <c r="AY909" s="16"/>
      <c r="AZ909" s="16"/>
      <c r="BA909" s="16"/>
      <c r="BB909" s="17"/>
      <c r="BF909" s="24"/>
      <c r="BG909" s="61"/>
      <c r="BH909" s="16"/>
      <c r="BI909" s="16"/>
      <c r="BJ909" s="16"/>
      <c r="BK909" s="16"/>
      <c r="BL909" s="16"/>
      <c r="BM909" s="17"/>
      <c r="BQ909" s="24"/>
      <c r="BR909" s="61"/>
      <c r="BS909" s="16"/>
      <c r="BT909" s="16"/>
      <c r="BU909" s="16"/>
      <c r="BV909" s="16"/>
      <c r="BW909" s="16"/>
      <c r="BX909" s="17"/>
      <c r="CB909" s="24"/>
      <c r="CC909" s="61"/>
      <c r="CD909" s="16"/>
      <c r="CE909" s="16"/>
      <c r="CF909" s="16"/>
      <c r="CG909" s="16"/>
      <c r="CH909" s="16"/>
      <c r="CI909" s="17"/>
      <c r="CM909" s="24"/>
      <c r="CN909" s="61"/>
      <c r="CO909" s="16"/>
      <c r="CP909" s="16"/>
      <c r="CQ909" s="16"/>
      <c r="CR909" s="16"/>
      <c r="CS909" s="16"/>
      <c r="CT909" s="17"/>
      <c r="CX909" s="24"/>
      <c r="CY909" s="60"/>
      <c r="CZ909" s="16"/>
      <c r="DA909" s="16"/>
      <c r="DB909" s="16"/>
      <c r="DC909" s="16"/>
      <c r="DD909" s="16"/>
      <c r="DE909" s="17"/>
      <c r="DI909" s="24"/>
      <c r="DJ909" s="60"/>
      <c r="DK909" s="16"/>
      <c r="DL909" s="16"/>
      <c r="DM909" s="16"/>
      <c r="DN909" s="16"/>
      <c r="DO909" s="16"/>
      <c r="DP909" s="17"/>
      <c r="DT909" s="24"/>
      <c r="DU909" s="60"/>
      <c r="DV909" s="16"/>
      <c r="DW909" s="16"/>
      <c r="DX909" s="16"/>
      <c r="DY909" s="16"/>
      <c r="DZ909" s="16"/>
      <c r="EA909" s="17"/>
      <c r="EE909" s="24"/>
      <c r="EF909" s="60"/>
      <c r="EG909" s="16"/>
      <c r="EH909" s="16"/>
      <c r="EI909" s="16"/>
      <c r="EJ909" s="16"/>
      <c r="EK909" s="16"/>
      <c r="EL909" s="17"/>
      <c r="EP909" s="24"/>
      <c r="EQ909" s="60"/>
      <c r="ER909" s="16"/>
      <c r="ES909" s="16"/>
      <c r="ET909" s="16"/>
      <c r="EU909" s="16"/>
      <c r="EV909" s="16"/>
      <c r="EW909" s="17"/>
      <c r="FA909" s="24"/>
      <c r="FB909" s="60"/>
      <c r="FC909" s="16"/>
      <c r="FD909" s="16"/>
      <c r="FE909" s="16"/>
      <c r="FF909" s="16"/>
      <c r="FG909" s="16"/>
      <c r="FH909" s="17"/>
      <c r="FL909" s="24"/>
      <c r="FM909" s="60"/>
      <c r="FN909" s="16"/>
      <c r="FO909" s="16"/>
      <c r="FP909" s="16"/>
      <c r="FQ909" s="16"/>
      <c r="FR909" s="16"/>
      <c r="FS909" s="17"/>
      <c r="FW909" s="24"/>
      <c r="FX909" s="60"/>
      <c r="FY909" s="16"/>
      <c r="FZ909" s="16"/>
      <c r="GA909" s="16"/>
      <c r="GB909" s="16"/>
      <c r="GC909" s="16"/>
      <c r="GD909" s="17"/>
      <c r="GH909" s="24"/>
      <c r="GI909" s="60"/>
      <c r="GJ909" s="16"/>
      <c r="GK909" s="16"/>
      <c r="GL909" s="16"/>
      <c r="GM909" s="16"/>
      <c r="GN909" s="16"/>
      <c r="GO909" s="17"/>
      <c r="GS909" s="24"/>
      <c r="GT909" s="60"/>
      <c r="GU909" s="16"/>
      <c r="GV909" s="16"/>
      <c r="GW909" s="16"/>
      <c r="GX909" s="16"/>
      <c r="GY909" s="16"/>
      <c r="GZ909" s="17"/>
      <c r="HD909" s="24"/>
      <c r="HE909" s="60"/>
      <c r="HF909" s="16"/>
      <c r="HG909" s="16"/>
      <c r="HH909" s="16"/>
      <c r="HI909" s="16"/>
      <c r="HJ909" s="16"/>
      <c r="HK909" s="17"/>
      <c r="HO909" s="24"/>
      <c r="HP909" s="60"/>
      <c r="HQ909" s="16"/>
      <c r="HR909" s="16"/>
      <c r="HS909" s="16"/>
      <c r="HT909" s="16"/>
      <c r="HU909" s="16"/>
      <c r="HV909" s="17"/>
      <c r="HZ909" s="24"/>
      <c r="IA909" s="60"/>
      <c r="IB909" s="16"/>
      <c r="IC909" s="16"/>
      <c r="ID909" s="16"/>
      <c r="IE909" s="16"/>
      <c r="IF909" s="16"/>
      <c r="IG909" s="17"/>
      <c r="IK909" s="24"/>
      <c r="IL909" s="60"/>
      <c r="IM909" s="16"/>
      <c r="IN909" s="16"/>
      <c r="IO909" s="16"/>
      <c r="IP909" s="16"/>
      <c r="IQ909" s="16"/>
      <c r="IR909" s="17"/>
      <c r="IV909" s="24"/>
      <c r="IW909" s="60"/>
      <c r="IX909" s="16"/>
      <c r="IY909" s="16"/>
      <c r="IZ909" s="16"/>
      <c r="JA909" s="16"/>
      <c r="JB909" s="16"/>
      <c r="JC909" s="17"/>
      <c r="JG909" s="24"/>
      <c r="JH909" s="60"/>
      <c r="JI909" s="16"/>
      <c r="JJ909" s="16"/>
      <c r="JK909" s="16"/>
      <c r="JL909" s="16"/>
      <c r="JM909" s="16"/>
      <c r="JN909" s="17"/>
      <c r="JR909" s="24"/>
      <c r="JS909" s="60"/>
      <c r="JT909" s="16"/>
      <c r="JU909" s="16"/>
      <c r="JV909" s="16"/>
      <c r="JW909" s="16"/>
      <c r="JX909" s="16"/>
      <c r="JY909" s="17"/>
      <c r="KC909" s="24"/>
      <c r="KD909" s="60"/>
      <c r="KE909" s="16"/>
      <c r="KF909" s="16"/>
      <c r="KG909" s="16"/>
      <c r="KH909" s="16"/>
      <c r="KI909" s="16"/>
      <c r="KJ909" s="17"/>
      <c r="KN909" s="24"/>
      <c r="KO909" s="60"/>
      <c r="KP909" s="16"/>
      <c r="KQ909" s="16"/>
      <c r="KR909" s="16"/>
      <c r="KS909" s="16"/>
      <c r="KT909" s="16"/>
      <c r="KU909" s="17"/>
      <c r="KY909" s="24"/>
      <c r="KZ909" s="60"/>
      <c r="LA909" s="16"/>
      <c r="LB909" s="16"/>
      <c r="LC909" s="16"/>
      <c r="LD909" s="16"/>
      <c r="LE909" s="16"/>
      <c r="LF909" s="17"/>
      <c r="LJ909" s="24"/>
      <c r="LK909" s="60"/>
      <c r="LL909" s="16"/>
      <c r="LM909" s="16"/>
      <c r="LN909" s="16"/>
      <c r="LO909" s="16"/>
      <c r="LP909" s="16"/>
      <c r="LQ909" s="17"/>
    </row>
    <row r="910">
      <c r="C910" s="31"/>
      <c r="D910" s="61"/>
      <c r="E910" s="16"/>
      <c r="F910" s="16"/>
      <c r="G910" s="21"/>
      <c r="H910" s="16"/>
      <c r="I910" s="16"/>
      <c r="J910" s="17"/>
      <c r="N910" s="17"/>
      <c r="O910" s="61"/>
      <c r="P910" s="16"/>
      <c r="Q910" s="16"/>
      <c r="R910" s="16"/>
      <c r="S910" s="16"/>
      <c r="T910" s="16"/>
      <c r="U910" s="17"/>
      <c r="Y910" s="24"/>
      <c r="Z910" s="61"/>
      <c r="AA910" s="16"/>
      <c r="AB910" s="16"/>
      <c r="AC910" s="16"/>
      <c r="AD910" s="16"/>
      <c r="AE910" s="16"/>
      <c r="AF910" s="17"/>
      <c r="AJ910" s="24"/>
      <c r="AK910" s="61"/>
      <c r="AL910" s="16"/>
      <c r="AM910" s="16"/>
      <c r="AN910" s="16"/>
      <c r="AO910" s="16"/>
      <c r="AP910" s="16"/>
      <c r="AQ910" s="17"/>
      <c r="AU910" s="24"/>
      <c r="AV910" s="61"/>
      <c r="AW910" s="16"/>
      <c r="AX910" s="16"/>
      <c r="AY910" s="16"/>
      <c r="AZ910" s="16"/>
      <c r="BA910" s="16"/>
      <c r="BB910" s="17"/>
      <c r="BF910" s="24"/>
      <c r="BG910" s="61"/>
      <c r="BH910" s="16"/>
      <c r="BI910" s="16"/>
      <c r="BJ910" s="16"/>
      <c r="BK910" s="16"/>
      <c r="BL910" s="16"/>
      <c r="BM910" s="17"/>
      <c r="BQ910" s="24"/>
      <c r="BR910" s="61"/>
      <c r="BS910" s="16"/>
      <c r="BT910" s="16"/>
      <c r="BU910" s="16"/>
      <c r="BV910" s="16"/>
      <c r="BW910" s="16"/>
      <c r="BX910" s="17"/>
      <c r="CB910" s="24"/>
      <c r="CC910" s="61"/>
      <c r="CD910" s="16"/>
      <c r="CE910" s="16"/>
      <c r="CF910" s="16"/>
      <c r="CG910" s="16"/>
      <c r="CH910" s="16"/>
      <c r="CI910" s="17"/>
      <c r="CM910" s="24"/>
      <c r="CN910" s="61"/>
      <c r="CO910" s="16"/>
      <c r="CP910" s="16"/>
      <c r="CQ910" s="16"/>
      <c r="CR910" s="16"/>
      <c r="CS910" s="16"/>
      <c r="CT910" s="17"/>
      <c r="CX910" s="24"/>
      <c r="CY910" s="60"/>
      <c r="CZ910" s="16"/>
      <c r="DA910" s="16"/>
      <c r="DB910" s="16"/>
      <c r="DC910" s="16"/>
      <c r="DD910" s="16"/>
      <c r="DE910" s="17"/>
      <c r="DI910" s="24"/>
      <c r="DJ910" s="60"/>
      <c r="DK910" s="16"/>
      <c r="DL910" s="16"/>
      <c r="DM910" s="16"/>
      <c r="DN910" s="16"/>
      <c r="DO910" s="16"/>
      <c r="DP910" s="17"/>
      <c r="DT910" s="24"/>
      <c r="DU910" s="60"/>
      <c r="DV910" s="16"/>
      <c r="DW910" s="16"/>
      <c r="DX910" s="16"/>
      <c r="DY910" s="16"/>
      <c r="DZ910" s="16"/>
      <c r="EA910" s="17"/>
      <c r="EE910" s="24"/>
      <c r="EF910" s="60"/>
      <c r="EG910" s="16"/>
      <c r="EH910" s="16"/>
      <c r="EI910" s="16"/>
      <c r="EJ910" s="16"/>
      <c r="EK910" s="16"/>
      <c r="EL910" s="17"/>
      <c r="EP910" s="24"/>
      <c r="EQ910" s="60"/>
      <c r="ER910" s="16"/>
      <c r="ES910" s="16"/>
      <c r="ET910" s="16"/>
      <c r="EU910" s="16"/>
      <c r="EV910" s="16"/>
      <c r="EW910" s="17"/>
      <c r="FA910" s="24"/>
      <c r="FB910" s="60"/>
      <c r="FC910" s="16"/>
      <c r="FD910" s="16"/>
      <c r="FE910" s="16"/>
      <c r="FF910" s="16"/>
      <c r="FG910" s="16"/>
      <c r="FH910" s="17"/>
      <c r="FL910" s="24"/>
      <c r="FM910" s="60"/>
      <c r="FN910" s="16"/>
      <c r="FO910" s="16"/>
      <c r="FP910" s="16"/>
      <c r="FQ910" s="16"/>
      <c r="FR910" s="16"/>
      <c r="FS910" s="17"/>
      <c r="FW910" s="24"/>
      <c r="FX910" s="60"/>
      <c r="FY910" s="16"/>
      <c r="FZ910" s="16"/>
      <c r="GA910" s="16"/>
      <c r="GB910" s="16"/>
      <c r="GC910" s="16"/>
      <c r="GD910" s="17"/>
      <c r="GH910" s="24"/>
      <c r="GI910" s="60"/>
      <c r="GJ910" s="16"/>
      <c r="GK910" s="16"/>
      <c r="GL910" s="16"/>
      <c r="GM910" s="16"/>
      <c r="GN910" s="16"/>
      <c r="GO910" s="17"/>
      <c r="GS910" s="24"/>
      <c r="GT910" s="60"/>
      <c r="GU910" s="16"/>
      <c r="GV910" s="16"/>
      <c r="GW910" s="16"/>
      <c r="GX910" s="16"/>
      <c r="GY910" s="16"/>
      <c r="GZ910" s="17"/>
      <c r="HD910" s="24"/>
      <c r="HE910" s="60"/>
      <c r="HF910" s="16"/>
      <c r="HG910" s="16"/>
      <c r="HH910" s="16"/>
      <c r="HI910" s="16"/>
      <c r="HJ910" s="16"/>
      <c r="HK910" s="17"/>
      <c r="HO910" s="24"/>
      <c r="HP910" s="60"/>
      <c r="HQ910" s="16"/>
      <c r="HR910" s="16"/>
      <c r="HS910" s="16"/>
      <c r="HT910" s="16"/>
      <c r="HU910" s="16"/>
      <c r="HV910" s="17"/>
      <c r="HZ910" s="24"/>
      <c r="IA910" s="60"/>
      <c r="IB910" s="16"/>
      <c r="IC910" s="16"/>
      <c r="ID910" s="16"/>
      <c r="IE910" s="16"/>
      <c r="IF910" s="16"/>
      <c r="IG910" s="17"/>
      <c r="IK910" s="24"/>
      <c r="IL910" s="60"/>
      <c r="IM910" s="16"/>
      <c r="IN910" s="16"/>
      <c r="IO910" s="16"/>
      <c r="IP910" s="16"/>
      <c r="IQ910" s="16"/>
      <c r="IR910" s="17"/>
      <c r="IV910" s="24"/>
      <c r="IW910" s="60"/>
      <c r="IX910" s="16"/>
      <c r="IY910" s="16"/>
      <c r="IZ910" s="16"/>
      <c r="JA910" s="16"/>
      <c r="JB910" s="16"/>
      <c r="JC910" s="17"/>
      <c r="JG910" s="24"/>
      <c r="JH910" s="60"/>
      <c r="JI910" s="16"/>
      <c r="JJ910" s="16"/>
      <c r="JK910" s="16"/>
      <c r="JL910" s="16"/>
      <c r="JM910" s="16"/>
      <c r="JN910" s="17"/>
      <c r="JR910" s="24"/>
      <c r="JS910" s="60"/>
      <c r="JT910" s="16"/>
      <c r="JU910" s="16"/>
      <c r="JV910" s="16"/>
      <c r="JW910" s="16"/>
      <c r="JX910" s="16"/>
      <c r="JY910" s="17"/>
      <c r="KC910" s="24"/>
      <c r="KD910" s="60"/>
      <c r="KE910" s="16"/>
      <c r="KF910" s="16"/>
      <c r="KG910" s="16"/>
      <c r="KH910" s="16"/>
      <c r="KI910" s="16"/>
      <c r="KJ910" s="17"/>
      <c r="KN910" s="24"/>
      <c r="KO910" s="60"/>
      <c r="KP910" s="16"/>
      <c r="KQ910" s="16"/>
      <c r="KR910" s="16"/>
      <c r="KS910" s="16"/>
      <c r="KT910" s="16"/>
      <c r="KU910" s="17"/>
      <c r="KY910" s="24"/>
      <c r="KZ910" s="60"/>
      <c r="LA910" s="16"/>
      <c r="LB910" s="16"/>
      <c r="LC910" s="16"/>
      <c r="LD910" s="16"/>
      <c r="LE910" s="16"/>
      <c r="LF910" s="17"/>
      <c r="LJ910" s="24"/>
      <c r="LK910" s="60"/>
      <c r="LL910" s="16"/>
      <c r="LM910" s="16"/>
      <c r="LN910" s="16"/>
      <c r="LO910" s="16"/>
      <c r="LP910" s="16"/>
      <c r="LQ910" s="17"/>
    </row>
    <row r="911">
      <c r="C911" s="31"/>
      <c r="D911" s="61"/>
      <c r="E911" s="16"/>
      <c r="F911" s="16"/>
      <c r="G911" s="21"/>
      <c r="H911" s="16"/>
      <c r="I911" s="16"/>
      <c r="J911" s="17"/>
      <c r="N911" s="17"/>
      <c r="O911" s="61"/>
      <c r="P911" s="16"/>
      <c r="Q911" s="16"/>
      <c r="R911" s="16"/>
      <c r="S911" s="16"/>
      <c r="T911" s="16"/>
      <c r="U911" s="17"/>
      <c r="Y911" s="24"/>
      <c r="Z911" s="61"/>
      <c r="AA911" s="16"/>
      <c r="AB911" s="16"/>
      <c r="AC911" s="16"/>
      <c r="AD911" s="16"/>
      <c r="AE911" s="16"/>
      <c r="AF911" s="17"/>
      <c r="AJ911" s="24"/>
      <c r="AK911" s="61"/>
      <c r="AL911" s="16"/>
      <c r="AM911" s="16"/>
      <c r="AN911" s="16"/>
      <c r="AO911" s="16"/>
      <c r="AP911" s="16"/>
      <c r="AQ911" s="17"/>
      <c r="AU911" s="24"/>
      <c r="AV911" s="61"/>
      <c r="AW911" s="16"/>
      <c r="AX911" s="16"/>
      <c r="AY911" s="16"/>
      <c r="AZ911" s="16"/>
      <c r="BA911" s="16"/>
      <c r="BB911" s="17"/>
      <c r="BF911" s="24"/>
      <c r="BG911" s="61"/>
      <c r="BH911" s="16"/>
      <c r="BI911" s="16"/>
      <c r="BJ911" s="16"/>
      <c r="BK911" s="16"/>
      <c r="BL911" s="16"/>
      <c r="BM911" s="17"/>
      <c r="BQ911" s="24"/>
      <c r="BR911" s="61"/>
      <c r="BS911" s="16"/>
      <c r="BT911" s="16"/>
      <c r="BU911" s="16"/>
      <c r="BV911" s="16"/>
      <c r="BW911" s="16"/>
      <c r="BX911" s="17"/>
      <c r="CB911" s="24"/>
      <c r="CC911" s="61"/>
      <c r="CD911" s="16"/>
      <c r="CE911" s="16"/>
      <c r="CF911" s="16"/>
      <c r="CG911" s="16"/>
      <c r="CH911" s="16"/>
      <c r="CI911" s="17"/>
      <c r="CM911" s="24"/>
      <c r="CN911" s="61"/>
      <c r="CO911" s="16"/>
      <c r="CP911" s="16"/>
      <c r="CQ911" s="16"/>
      <c r="CR911" s="16"/>
      <c r="CS911" s="16"/>
      <c r="CT911" s="17"/>
      <c r="CX911" s="24"/>
      <c r="CY911" s="60"/>
      <c r="CZ911" s="16"/>
      <c r="DA911" s="16"/>
      <c r="DB911" s="16"/>
      <c r="DC911" s="16"/>
      <c r="DD911" s="16"/>
      <c r="DE911" s="17"/>
      <c r="DI911" s="24"/>
      <c r="DJ911" s="60"/>
      <c r="DK911" s="16"/>
      <c r="DL911" s="16"/>
      <c r="DM911" s="16"/>
      <c r="DN911" s="16"/>
      <c r="DO911" s="16"/>
      <c r="DP911" s="17"/>
      <c r="DT911" s="24"/>
      <c r="DU911" s="60"/>
      <c r="DV911" s="16"/>
      <c r="DW911" s="16"/>
      <c r="DX911" s="16"/>
      <c r="DY911" s="16"/>
      <c r="DZ911" s="16"/>
      <c r="EA911" s="17"/>
      <c r="EE911" s="24"/>
      <c r="EF911" s="60"/>
      <c r="EG911" s="16"/>
      <c r="EH911" s="16"/>
      <c r="EI911" s="16"/>
      <c r="EJ911" s="16"/>
      <c r="EK911" s="16"/>
      <c r="EL911" s="17"/>
      <c r="EP911" s="24"/>
      <c r="EQ911" s="60"/>
      <c r="ER911" s="16"/>
      <c r="ES911" s="16"/>
      <c r="ET911" s="16"/>
      <c r="EU911" s="16"/>
      <c r="EV911" s="16"/>
      <c r="EW911" s="17"/>
      <c r="FA911" s="24"/>
      <c r="FB911" s="60"/>
      <c r="FC911" s="16"/>
      <c r="FD911" s="16"/>
      <c r="FE911" s="16"/>
      <c r="FF911" s="16"/>
      <c r="FG911" s="16"/>
      <c r="FH911" s="17"/>
      <c r="FL911" s="24"/>
      <c r="FM911" s="60"/>
      <c r="FN911" s="16"/>
      <c r="FO911" s="16"/>
      <c r="FP911" s="16"/>
      <c r="FQ911" s="16"/>
      <c r="FR911" s="16"/>
      <c r="FS911" s="17"/>
      <c r="FW911" s="24"/>
      <c r="FX911" s="60"/>
      <c r="FY911" s="16"/>
      <c r="FZ911" s="16"/>
      <c r="GA911" s="16"/>
      <c r="GB911" s="16"/>
      <c r="GC911" s="16"/>
      <c r="GD911" s="17"/>
      <c r="GH911" s="24"/>
      <c r="GI911" s="60"/>
      <c r="GJ911" s="16"/>
      <c r="GK911" s="16"/>
      <c r="GL911" s="16"/>
      <c r="GM911" s="16"/>
      <c r="GN911" s="16"/>
      <c r="GO911" s="17"/>
      <c r="GS911" s="24"/>
      <c r="GT911" s="60"/>
      <c r="GU911" s="16"/>
      <c r="GV911" s="16"/>
      <c r="GW911" s="16"/>
      <c r="GX911" s="16"/>
      <c r="GY911" s="16"/>
      <c r="GZ911" s="17"/>
      <c r="HD911" s="24"/>
      <c r="HE911" s="60"/>
      <c r="HF911" s="16"/>
      <c r="HG911" s="16"/>
      <c r="HH911" s="16"/>
      <c r="HI911" s="16"/>
      <c r="HJ911" s="16"/>
      <c r="HK911" s="17"/>
      <c r="HO911" s="24"/>
      <c r="HP911" s="60"/>
      <c r="HQ911" s="16"/>
      <c r="HR911" s="16"/>
      <c r="HS911" s="16"/>
      <c r="HT911" s="16"/>
      <c r="HU911" s="16"/>
      <c r="HV911" s="17"/>
      <c r="HZ911" s="24"/>
      <c r="IA911" s="60"/>
      <c r="IB911" s="16"/>
      <c r="IC911" s="16"/>
      <c r="ID911" s="16"/>
      <c r="IE911" s="16"/>
      <c r="IF911" s="16"/>
      <c r="IG911" s="17"/>
      <c r="IK911" s="24"/>
      <c r="IL911" s="60"/>
      <c r="IM911" s="16"/>
      <c r="IN911" s="16"/>
      <c r="IO911" s="16"/>
      <c r="IP911" s="16"/>
      <c r="IQ911" s="16"/>
      <c r="IR911" s="17"/>
      <c r="IV911" s="24"/>
      <c r="IW911" s="60"/>
      <c r="IX911" s="16"/>
      <c r="IY911" s="16"/>
      <c r="IZ911" s="16"/>
      <c r="JA911" s="16"/>
      <c r="JB911" s="16"/>
      <c r="JC911" s="17"/>
      <c r="JG911" s="24"/>
      <c r="JH911" s="60"/>
      <c r="JI911" s="16"/>
      <c r="JJ911" s="16"/>
      <c r="JK911" s="16"/>
      <c r="JL911" s="16"/>
      <c r="JM911" s="16"/>
      <c r="JN911" s="17"/>
      <c r="JR911" s="24"/>
      <c r="JS911" s="60"/>
      <c r="JT911" s="16"/>
      <c r="JU911" s="16"/>
      <c r="JV911" s="16"/>
      <c r="JW911" s="16"/>
      <c r="JX911" s="16"/>
      <c r="JY911" s="17"/>
      <c r="KC911" s="24"/>
      <c r="KD911" s="60"/>
      <c r="KE911" s="16"/>
      <c r="KF911" s="16"/>
      <c r="KG911" s="16"/>
      <c r="KH911" s="16"/>
      <c r="KI911" s="16"/>
      <c r="KJ911" s="17"/>
      <c r="KN911" s="24"/>
      <c r="KO911" s="60"/>
      <c r="KP911" s="16"/>
      <c r="KQ911" s="16"/>
      <c r="KR911" s="16"/>
      <c r="KS911" s="16"/>
      <c r="KT911" s="16"/>
      <c r="KU911" s="17"/>
      <c r="KY911" s="24"/>
      <c r="KZ911" s="60"/>
      <c r="LA911" s="16"/>
      <c r="LB911" s="16"/>
      <c r="LC911" s="16"/>
      <c r="LD911" s="16"/>
      <c r="LE911" s="16"/>
      <c r="LF911" s="17"/>
      <c r="LJ911" s="24"/>
      <c r="LK911" s="60"/>
      <c r="LL911" s="16"/>
      <c r="LM911" s="16"/>
      <c r="LN911" s="16"/>
      <c r="LO911" s="16"/>
      <c r="LP911" s="16"/>
      <c r="LQ911" s="17"/>
    </row>
    <row r="912">
      <c r="C912" s="31"/>
      <c r="D912" s="61"/>
      <c r="E912" s="16"/>
      <c r="F912" s="16"/>
      <c r="G912" s="21"/>
      <c r="H912" s="16"/>
      <c r="I912" s="16"/>
      <c r="J912" s="17"/>
      <c r="N912" s="17"/>
      <c r="O912" s="61"/>
      <c r="P912" s="16"/>
      <c r="Q912" s="16"/>
      <c r="R912" s="16"/>
      <c r="S912" s="16"/>
      <c r="T912" s="16"/>
      <c r="U912" s="17"/>
      <c r="Y912" s="24"/>
      <c r="Z912" s="61"/>
      <c r="AA912" s="16"/>
      <c r="AB912" s="16"/>
      <c r="AC912" s="16"/>
      <c r="AD912" s="16"/>
      <c r="AE912" s="16"/>
      <c r="AF912" s="17"/>
      <c r="AJ912" s="24"/>
      <c r="AK912" s="61"/>
      <c r="AL912" s="16"/>
      <c r="AM912" s="16"/>
      <c r="AN912" s="16"/>
      <c r="AO912" s="16"/>
      <c r="AP912" s="16"/>
      <c r="AQ912" s="17"/>
      <c r="AU912" s="24"/>
      <c r="AV912" s="61"/>
      <c r="AW912" s="16"/>
      <c r="AX912" s="16"/>
      <c r="AY912" s="16"/>
      <c r="AZ912" s="16"/>
      <c r="BA912" s="16"/>
      <c r="BB912" s="17"/>
      <c r="BF912" s="24"/>
      <c r="BG912" s="61"/>
      <c r="BH912" s="16"/>
      <c r="BI912" s="16"/>
      <c r="BJ912" s="16"/>
      <c r="BK912" s="16"/>
      <c r="BL912" s="16"/>
      <c r="BM912" s="17"/>
      <c r="BQ912" s="24"/>
      <c r="BR912" s="61"/>
      <c r="BS912" s="16"/>
      <c r="BT912" s="16"/>
      <c r="BU912" s="16"/>
      <c r="BV912" s="16"/>
      <c r="BW912" s="16"/>
      <c r="BX912" s="17"/>
      <c r="CB912" s="24"/>
      <c r="CC912" s="61"/>
      <c r="CD912" s="16"/>
      <c r="CE912" s="16"/>
      <c r="CF912" s="16"/>
      <c r="CG912" s="16"/>
      <c r="CH912" s="16"/>
      <c r="CI912" s="17"/>
      <c r="CM912" s="24"/>
      <c r="CN912" s="61"/>
      <c r="CO912" s="16"/>
      <c r="CP912" s="16"/>
      <c r="CQ912" s="16"/>
      <c r="CR912" s="16"/>
      <c r="CS912" s="16"/>
      <c r="CT912" s="17"/>
      <c r="CX912" s="24"/>
      <c r="CY912" s="60"/>
      <c r="CZ912" s="16"/>
      <c r="DA912" s="16"/>
      <c r="DB912" s="16"/>
      <c r="DC912" s="16"/>
      <c r="DD912" s="16"/>
      <c r="DE912" s="17"/>
      <c r="DI912" s="24"/>
      <c r="DJ912" s="60"/>
      <c r="DK912" s="16"/>
      <c r="DL912" s="16"/>
      <c r="DM912" s="16"/>
      <c r="DN912" s="16"/>
      <c r="DO912" s="16"/>
      <c r="DP912" s="17"/>
      <c r="DT912" s="24"/>
      <c r="DU912" s="60"/>
      <c r="DV912" s="16"/>
      <c r="DW912" s="16"/>
      <c r="DX912" s="16"/>
      <c r="DY912" s="16"/>
      <c r="DZ912" s="16"/>
      <c r="EA912" s="17"/>
      <c r="EE912" s="24"/>
      <c r="EF912" s="60"/>
      <c r="EG912" s="16"/>
      <c r="EH912" s="16"/>
      <c r="EI912" s="16"/>
      <c r="EJ912" s="16"/>
      <c r="EK912" s="16"/>
      <c r="EL912" s="17"/>
      <c r="EP912" s="24"/>
      <c r="EQ912" s="60"/>
      <c r="ER912" s="16"/>
      <c r="ES912" s="16"/>
      <c r="ET912" s="16"/>
      <c r="EU912" s="16"/>
      <c r="EV912" s="16"/>
      <c r="EW912" s="17"/>
      <c r="FA912" s="24"/>
      <c r="FB912" s="60"/>
      <c r="FC912" s="16"/>
      <c r="FD912" s="16"/>
      <c r="FE912" s="16"/>
      <c r="FF912" s="16"/>
      <c r="FG912" s="16"/>
      <c r="FH912" s="17"/>
      <c r="FL912" s="24"/>
      <c r="FM912" s="60"/>
      <c r="FN912" s="16"/>
      <c r="FO912" s="16"/>
      <c r="FP912" s="16"/>
      <c r="FQ912" s="16"/>
      <c r="FR912" s="16"/>
      <c r="FS912" s="17"/>
      <c r="FW912" s="24"/>
      <c r="FX912" s="60"/>
      <c r="FY912" s="16"/>
      <c r="FZ912" s="16"/>
      <c r="GA912" s="16"/>
      <c r="GB912" s="16"/>
      <c r="GC912" s="16"/>
      <c r="GD912" s="17"/>
      <c r="GH912" s="24"/>
      <c r="GI912" s="60"/>
      <c r="GJ912" s="16"/>
      <c r="GK912" s="16"/>
      <c r="GL912" s="16"/>
      <c r="GM912" s="16"/>
      <c r="GN912" s="16"/>
      <c r="GO912" s="17"/>
      <c r="GS912" s="24"/>
      <c r="GT912" s="60"/>
      <c r="GU912" s="16"/>
      <c r="GV912" s="16"/>
      <c r="GW912" s="16"/>
      <c r="GX912" s="16"/>
      <c r="GY912" s="16"/>
      <c r="GZ912" s="17"/>
      <c r="HD912" s="24"/>
      <c r="HE912" s="60"/>
      <c r="HF912" s="16"/>
      <c r="HG912" s="16"/>
      <c r="HH912" s="16"/>
      <c r="HI912" s="16"/>
      <c r="HJ912" s="16"/>
      <c r="HK912" s="17"/>
      <c r="HO912" s="24"/>
      <c r="HP912" s="60"/>
      <c r="HQ912" s="16"/>
      <c r="HR912" s="16"/>
      <c r="HS912" s="16"/>
      <c r="HT912" s="16"/>
      <c r="HU912" s="16"/>
      <c r="HV912" s="17"/>
      <c r="HZ912" s="24"/>
      <c r="IA912" s="60"/>
      <c r="IB912" s="16"/>
      <c r="IC912" s="16"/>
      <c r="ID912" s="16"/>
      <c r="IE912" s="16"/>
      <c r="IF912" s="16"/>
      <c r="IG912" s="17"/>
      <c r="IK912" s="24"/>
      <c r="IL912" s="60"/>
      <c r="IM912" s="16"/>
      <c r="IN912" s="16"/>
      <c r="IO912" s="16"/>
      <c r="IP912" s="16"/>
      <c r="IQ912" s="16"/>
      <c r="IR912" s="17"/>
      <c r="IV912" s="24"/>
      <c r="IW912" s="60"/>
      <c r="IX912" s="16"/>
      <c r="IY912" s="16"/>
      <c r="IZ912" s="16"/>
      <c r="JA912" s="16"/>
      <c r="JB912" s="16"/>
      <c r="JC912" s="17"/>
      <c r="JG912" s="24"/>
      <c r="JH912" s="60"/>
      <c r="JI912" s="16"/>
      <c r="JJ912" s="16"/>
      <c r="JK912" s="16"/>
      <c r="JL912" s="16"/>
      <c r="JM912" s="16"/>
      <c r="JN912" s="17"/>
      <c r="JR912" s="24"/>
      <c r="JS912" s="60"/>
      <c r="JT912" s="16"/>
      <c r="JU912" s="16"/>
      <c r="JV912" s="16"/>
      <c r="JW912" s="16"/>
      <c r="JX912" s="16"/>
      <c r="JY912" s="17"/>
      <c r="KC912" s="24"/>
      <c r="KD912" s="60"/>
      <c r="KE912" s="16"/>
      <c r="KF912" s="16"/>
      <c r="KG912" s="16"/>
      <c r="KH912" s="16"/>
      <c r="KI912" s="16"/>
      <c r="KJ912" s="17"/>
      <c r="KN912" s="24"/>
      <c r="KO912" s="60"/>
      <c r="KP912" s="16"/>
      <c r="KQ912" s="16"/>
      <c r="KR912" s="16"/>
      <c r="KS912" s="16"/>
      <c r="KT912" s="16"/>
      <c r="KU912" s="17"/>
      <c r="KY912" s="24"/>
      <c r="KZ912" s="60"/>
      <c r="LA912" s="16"/>
      <c r="LB912" s="16"/>
      <c r="LC912" s="16"/>
      <c r="LD912" s="16"/>
      <c r="LE912" s="16"/>
      <c r="LF912" s="17"/>
      <c r="LJ912" s="24"/>
      <c r="LK912" s="60"/>
      <c r="LL912" s="16"/>
      <c r="LM912" s="16"/>
      <c r="LN912" s="16"/>
      <c r="LO912" s="16"/>
      <c r="LP912" s="16"/>
      <c r="LQ912" s="17"/>
    </row>
    <row r="913">
      <c r="C913" s="31"/>
      <c r="D913" s="61"/>
      <c r="E913" s="16"/>
      <c r="F913" s="16"/>
      <c r="G913" s="21"/>
      <c r="H913" s="16"/>
      <c r="I913" s="16"/>
      <c r="J913" s="17"/>
      <c r="N913" s="17"/>
      <c r="O913" s="61"/>
      <c r="P913" s="16"/>
      <c r="Q913" s="16"/>
      <c r="R913" s="16"/>
      <c r="S913" s="16"/>
      <c r="T913" s="16"/>
      <c r="U913" s="17"/>
      <c r="Y913" s="24"/>
      <c r="Z913" s="61"/>
      <c r="AA913" s="16"/>
      <c r="AB913" s="16"/>
      <c r="AC913" s="16"/>
      <c r="AD913" s="16"/>
      <c r="AE913" s="16"/>
      <c r="AF913" s="17"/>
      <c r="AJ913" s="24"/>
      <c r="AK913" s="61"/>
      <c r="AL913" s="16"/>
      <c r="AM913" s="16"/>
      <c r="AN913" s="16"/>
      <c r="AO913" s="16"/>
      <c r="AP913" s="16"/>
      <c r="AQ913" s="17"/>
      <c r="AU913" s="24"/>
      <c r="AV913" s="61"/>
      <c r="AW913" s="16"/>
      <c r="AX913" s="16"/>
      <c r="AY913" s="16"/>
      <c r="AZ913" s="16"/>
      <c r="BA913" s="16"/>
      <c r="BB913" s="17"/>
      <c r="BF913" s="24"/>
      <c r="BG913" s="61"/>
      <c r="BH913" s="16"/>
      <c r="BI913" s="16"/>
      <c r="BJ913" s="16"/>
      <c r="BK913" s="16"/>
      <c r="BL913" s="16"/>
      <c r="BM913" s="17"/>
      <c r="BQ913" s="24"/>
      <c r="BR913" s="61"/>
      <c r="BS913" s="16"/>
      <c r="BT913" s="16"/>
      <c r="BU913" s="16"/>
      <c r="BV913" s="16"/>
      <c r="BW913" s="16"/>
      <c r="BX913" s="17"/>
      <c r="CB913" s="24"/>
      <c r="CC913" s="61"/>
      <c r="CD913" s="16"/>
      <c r="CE913" s="16"/>
      <c r="CF913" s="16"/>
      <c r="CG913" s="16"/>
      <c r="CH913" s="16"/>
      <c r="CI913" s="17"/>
      <c r="CM913" s="24"/>
      <c r="CN913" s="61"/>
      <c r="CO913" s="16"/>
      <c r="CP913" s="16"/>
      <c r="CQ913" s="16"/>
      <c r="CR913" s="16"/>
      <c r="CS913" s="16"/>
      <c r="CT913" s="17"/>
      <c r="CX913" s="24"/>
      <c r="CY913" s="60"/>
      <c r="CZ913" s="16"/>
      <c r="DA913" s="16"/>
      <c r="DB913" s="16"/>
      <c r="DC913" s="16"/>
      <c r="DD913" s="16"/>
      <c r="DE913" s="17"/>
      <c r="DI913" s="24"/>
      <c r="DJ913" s="60"/>
      <c r="DK913" s="16"/>
      <c r="DL913" s="16"/>
      <c r="DM913" s="16"/>
      <c r="DN913" s="16"/>
      <c r="DO913" s="16"/>
      <c r="DP913" s="17"/>
      <c r="DT913" s="24"/>
      <c r="DU913" s="60"/>
      <c r="DV913" s="16"/>
      <c r="DW913" s="16"/>
      <c r="DX913" s="16"/>
      <c r="DY913" s="16"/>
      <c r="DZ913" s="16"/>
      <c r="EA913" s="17"/>
      <c r="EE913" s="24"/>
      <c r="EF913" s="60"/>
      <c r="EG913" s="16"/>
      <c r="EH913" s="16"/>
      <c r="EI913" s="16"/>
      <c r="EJ913" s="16"/>
      <c r="EK913" s="16"/>
      <c r="EL913" s="17"/>
      <c r="EP913" s="24"/>
      <c r="EQ913" s="60"/>
      <c r="ER913" s="16"/>
      <c r="ES913" s="16"/>
      <c r="ET913" s="16"/>
      <c r="EU913" s="16"/>
      <c r="EV913" s="16"/>
      <c r="EW913" s="17"/>
      <c r="FA913" s="24"/>
      <c r="FB913" s="60"/>
      <c r="FC913" s="16"/>
      <c r="FD913" s="16"/>
      <c r="FE913" s="16"/>
      <c r="FF913" s="16"/>
      <c r="FG913" s="16"/>
      <c r="FH913" s="17"/>
      <c r="FL913" s="24"/>
      <c r="FM913" s="60"/>
      <c r="FN913" s="16"/>
      <c r="FO913" s="16"/>
      <c r="FP913" s="16"/>
      <c r="FQ913" s="16"/>
      <c r="FR913" s="16"/>
      <c r="FS913" s="17"/>
      <c r="FW913" s="24"/>
      <c r="FX913" s="60"/>
      <c r="FY913" s="16"/>
      <c r="FZ913" s="16"/>
      <c r="GA913" s="16"/>
      <c r="GB913" s="16"/>
      <c r="GC913" s="16"/>
      <c r="GD913" s="17"/>
      <c r="GH913" s="24"/>
      <c r="GI913" s="60"/>
      <c r="GJ913" s="16"/>
      <c r="GK913" s="16"/>
      <c r="GL913" s="16"/>
      <c r="GM913" s="16"/>
      <c r="GN913" s="16"/>
      <c r="GO913" s="17"/>
      <c r="GS913" s="24"/>
      <c r="GT913" s="60"/>
      <c r="GU913" s="16"/>
      <c r="GV913" s="16"/>
      <c r="GW913" s="16"/>
      <c r="GX913" s="16"/>
      <c r="GY913" s="16"/>
      <c r="GZ913" s="17"/>
      <c r="HD913" s="24"/>
      <c r="HE913" s="60"/>
      <c r="HF913" s="16"/>
      <c r="HG913" s="16"/>
      <c r="HH913" s="16"/>
      <c r="HI913" s="16"/>
      <c r="HJ913" s="16"/>
      <c r="HK913" s="17"/>
      <c r="HO913" s="24"/>
      <c r="HP913" s="60"/>
      <c r="HQ913" s="16"/>
      <c r="HR913" s="16"/>
      <c r="HS913" s="16"/>
      <c r="HT913" s="16"/>
      <c r="HU913" s="16"/>
      <c r="HV913" s="17"/>
      <c r="HZ913" s="24"/>
      <c r="IA913" s="60"/>
      <c r="IB913" s="16"/>
      <c r="IC913" s="16"/>
      <c r="ID913" s="16"/>
      <c r="IE913" s="16"/>
      <c r="IF913" s="16"/>
      <c r="IG913" s="17"/>
      <c r="IK913" s="24"/>
      <c r="IL913" s="60"/>
      <c r="IM913" s="16"/>
      <c r="IN913" s="16"/>
      <c r="IO913" s="16"/>
      <c r="IP913" s="16"/>
      <c r="IQ913" s="16"/>
      <c r="IR913" s="17"/>
      <c r="IV913" s="24"/>
      <c r="IW913" s="60"/>
      <c r="IX913" s="16"/>
      <c r="IY913" s="16"/>
      <c r="IZ913" s="16"/>
      <c r="JA913" s="16"/>
      <c r="JB913" s="16"/>
      <c r="JC913" s="17"/>
      <c r="JG913" s="24"/>
      <c r="JH913" s="60"/>
      <c r="JI913" s="16"/>
      <c r="JJ913" s="16"/>
      <c r="JK913" s="16"/>
      <c r="JL913" s="16"/>
      <c r="JM913" s="16"/>
      <c r="JN913" s="17"/>
      <c r="JR913" s="24"/>
      <c r="JS913" s="60"/>
      <c r="JT913" s="16"/>
      <c r="JU913" s="16"/>
      <c r="JV913" s="16"/>
      <c r="JW913" s="16"/>
      <c r="JX913" s="16"/>
      <c r="JY913" s="17"/>
      <c r="KC913" s="24"/>
      <c r="KD913" s="60"/>
      <c r="KE913" s="16"/>
      <c r="KF913" s="16"/>
      <c r="KG913" s="16"/>
      <c r="KH913" s="16"/>
      <c r="KI913" s="16"/>
      <c r="KJ913" s="17"/>
      <c r="KN913" s="24"/>
      <c r="KO913" s="60"/>
      <c r="KP913" s="16"/>
      <c r="KQ913" s="16"/>
      <c r="KR913" s="16"/>
      <c r="KS913" s="16"/>
      <c r="KT913" s="16"/>
      <c r="KU913" s="17"/>
      <c r="KY913" s="24"/>
      <c r="KZ913" s="60"/>
      <c r="LA913" s="16"/>
      <c r="LB913" s="16"/>
      <c r="LC913" s="16"/>
      <c r="LD913" s="16"/>
      <c r="LE913" s="16"/>
      <c r="LF913" s="17"/>
      <c r="LJ913" s="24"/>
      <c r="LK913" s="60"/>
      <c r="LL913" s="16"/>
      <c r="LM913" s="16"/>
      <c r="LN913" s="16"/>
      <c r="LO913" s="16"/>
      <c r="LP913" s="16"/>
      <c r="LQ913" s="17"/>
    </row>
    <row r="914">
      <c r="C914" s="31"/>
      <c r="D914" s="61"/>
      <c r="E914" s="16"/>
      <c r="F914" s="16"/>
      <c r="G914" s="21"/>
      <c r="H914" s="16"/>
      <c r="I914" s="16"/>
      <c r="J914" s="17"/>
      <c r="N914" s="17"/>
      <c r="O914" s="61"/>
      <c r="P914" s="16"/>
      <c r="Q914" s="16"/>
      <c r="R914" s="16"/>
      <c r="S914" s="16"/>
      <c r="T914" s="16"/>
      <c r="U914" s="17"/>
      <c r="Y914" s="24"/>
      <c r="Z914" s="61"/>
      <c r="AA914" s="16"/>
      <c r="AB914" s="16"/>
      <c r="AC914" s="16"/>
      <c r="AD914" s="16"/>
      <c r="AE914" s="16"/>
      <c r="AF914" s="17"/>
      <c r="AJ914" s="24"/>
      <c r="AK914" s="61"/>
      <c r="AL914" s="16"/>
      <c r="AM914" s="16"/>
      <c r="AN914" s="16"/>
      <c r="AO914" s="16"/>
      <c r="AP914" s="16"/>
      <c r="AQ914" s="17"/>
      <c r="AU914" s="24"/>
      <c r="AV914" s="61"/>
      <c r="AW914" s="16"/>
      <c r="AX914" s="16"/>
      <c r="AY914" s="16"/>
      <c r="AZ914" s="16"/>
      <c r="BA914" s="16"/>
      <c r="BB914" s="17"/>
      <c r="BF914" s="24"/>
      <c r="BG914" s="61"/>
      <c r="BH914" s="16"/>
      <c r="BI914" s="16"/>
      <c r="BJ914" s="16"/>
      <c r="BK914" s="16"/>
      <c r="BL914" s="16"/>
      <c r="BM914" s="17"/>
      <c r="BQ914" s="24"/>
      <c r="BR914" s="61"/>
      <c r="BS914" s="16"/>
      <c r="BT914" s="16"/>
      <c r="BU914" s="16"/>
      <c r="BV914" s="16"/>
      <c r="BW914" s="16"/>
      <c r="BX914" s="17"/>
      <c r="CB914" s="24"/>
      <c r="CC914" s="61"/>
      <c r="CD914" s="16"/>
      <c r="CE914" s="16"/>
      <c r="CF914" s="16"/>
      <c r="CG914" s="16"/>
      <c r="CH914" s="16"/>
      <c r="CI914" s="17"/>
      <c r="CM914" s="24"/>
      <c r="CN914" s="61"/>
      <c r="CO914" s="16"/>
      <c r="CP914" s="16"/>
      <c r="CQ914" s="16"/>
      <c r="CR914" s="16"/>
      <c r="CS914" s="16"/>
      <c r="CT914" s="17"/>
      <c r="CX914" s="24"/>
      <c r="CY914" s="60"/>
      <c r="CZ914" s="16"/>
      <c r="DA914" s="16"/>
      <c r="DB914" s="16"/>
      <c r="DC914" s="16"/>
      <c r="DD914" s="16"/>
      <c r="DE914" s="17"/>
      <c r="DI914" s="24"/>
      <c r="DJ914" s="60"/>
      <c r="DK914" s="16"/>
      <c r="DL914" s="16"/>
      <c r="DM914" s="16"/>
      <c r="DN914" s="16"/>
      <c r="DO914" s="16"/>
      <c r="DP914" s="17"/>
      <c r="DT914" s="24"/>
      <c r="DU914" s="60"/>
      <c r="DV914" s="16"/>
      <c r="DW914" s="16"/>
      <c r="DX914" s="16"/>
      <c r="DY914" s="16"/>
      <c r="DZ914" s="16"/>
      <c r="EA914" s="17"/>
      <c r="EE914" s="24"/>
      <c r="EF914" s="60"/>
      <c r="EG914" s="16"/>
      <c r="EH914" s="16"/>
      <c r="EI914" s="16"/>
      <c r="EJ914" s="16"/>
      <c r="EK914" s="16"/>
      <c r="EL914" s="17"/>
      <c r="EP914" s="24"/>
      <c r="EQ914" s="60"/>
      <c r="ER914" s="16"/>
      <c r="ES914" s="16"/>
      <c r="ET914" s="16"/>
      <c r="EU914" s="16"/>
      <c r="EV914" s="16"/>
      <c r="EW914" s="17"/>
      <c r="FA914" s="24"/>
      <c r="FB914" s="60"/>
      <c r="FC914" s="16"/>
      <c r="FD914" s="16"/>
      <c r="FE914" s="16"/>
      <c r="FF914" s="16"/>
      <c r="FG914" s="16"/>
      <c r="FH914" s="17"/>
      <c r="FL914" s="24"/>
      <c r="FM914" s="60"/>
      <c r="FN914" s="16"/>
      <c r="FO914" s="16"/>
      <c r="FP914" s="16"/>
      <c r="FQ914" s="16"/>
      <c r="FR914" s="16"/>
      <c r="FS914" s="17"/>
      <c r="FW914" s="24"/>
      <c r="FX914" s="60"/>
      <c r="FY914" s="16"/>
      <c r="FZ914" s="16"/>
      <c r="GA914" s="16"/>
      <c r="GB914" s="16"/>
      <c r="GC914" s="16"/>
      <c r="GD914" s="17"/>
      <c r="GH914" s="24"/>
      <c r="GI914" s="60"/>
      <c r="GJ914" s="16"/>
      <c r="GK914" s="16"/>
      <c r="GL914" s="16"/>
      <c r="GM914" s="16"/>
      <c r="GN914" s="16"/>
      <c r="GO914" s="17"/>
      <c r="GS914" s="24"/>
      <c r="GT914" s="60"/>
      <c r="GU914" s="16"/>
      <c r="GV914" s="16"/>
      <c r="GW914" s="16"/>
      <c r="GX914" s="16"/>
      <c r="GY914" s="16"/>
      <c r="GZ914" s="17"/>
      <c r="HD914" s="24"/>
      <c r="HE914" s="60"/>
      <c r="HF914" s="16"/>
      <c r="HG914" s="16"/>
      <c r="HH914" s="16"/>
      <c r="HI914" s="16"/>
      <c r="HJ914" s="16"/>
      <c r="HK914" s="17"/>
      <c r="HO914" s="24"/>
      <c r="HP914" s="60"/>
      <c r="HQ914" s="16"/>
      <c r="HR914" s="16"/>
      <c r="HS914" s="16"/>
      <c r="HT914" s="16"/>
      <c r="HU914" s="16"/>
      <c r="HV914" s="17"/>
      <c r="HZ914" s="24"/>
      <c r="IA914" s="60"/>
      <c r="IB914" s="16"/>
      <c r="IC914" s="16"/>
      <c r="ID914" s="16"/>
      <c r="IE914" s="16"/>
      <c r="IF914" s="16"/>
      <c r="IG914" s="17"/>
      <c r="IK914" s="24"/>
      <c r="IL914" s="60"/>
      <c r="IM914" s="16"/>
      <c r="IN914" s="16"/>
      <c r="IO914" s="16"/>
      <c r="IP914" s="16"/>
      <c r="IQ914" s="16"/>
      <c r="IR914" s="17"/>
      <c r="IV914" s="24"/>
      <c r="IW914" s="60"/>
      <c r="IX914" s="16"/>
      <c r="IY914" s="16"/>
      <c r="IZ914" s="16"/>
      <c r="JA914" s="16"/>
      <c r="JB914" s="16"/>
      <c r="JC914" s="17"/>
      <c r="JG914" s="24"/>
      <c r="JH914" s="60"/>
      <c r="JI914" s="16"/>
      <c r="JJ914" s="16"/>
      <c r="JK914" s="16"/>
      <c r="JL914" s="16"/>
      <c r="JM914" s="16"/>
      <c r="JN914" s="17"/>
      <c r="JR914" s="24"/>
      <c r="JS914" s="60"/>
      <c r="JT914" s="16"/>
      <c r="JU914" s="16"/>
      <c r="JV914" s="16"/>
      <c r="JW914" s="16"/>
      <c r="JX914" s="16"/>
      <c r="JY914" s="17"/>
      <c r="KC914" s="24"/>
      <c r="KD914" s="60"/>
      <c r="KE914" s="16"/>
      <c r="KF914" s="16"/>
      <c r="KG914" s="16"/>
      <c r="KH914" s="16"/>
      <c r="KI914" s="16"/>
      <c r="KJ914" s="17"/>
      <c r="KN914" s="24"/>
      <c r="KO914" s="60"/>
      <c r="KP914" s="16"/>
      <c r="KQ914" s="16"/>
      <c r="KR914" s="16"/>
      <c r="KS914" s="16"/>
      <c r="KT914" s="16"/>
      <c r="KU914" s="17"/>
      <c r="KY914" s="24"/>
      <c r="KZ914" s="60"/>
      <c r="LA914" s="16"/>
      <c r="LB914" s="16"/>
      <c r="LC914" s="16"/>
      <c r="LD914" s="16"/>
      <c r="LE914" s="16"/>
      <c r="LF914" s="17"/>
      <c r="LJ914" s="24"/>
      <c r="LK914" s="60"/>
      <c r="LL914" s="16"/>
      <c r="LM914" s="16"/>
      <c r="LN914" s="16"/>
      <c r="LO914" s="16"/>
      <c r="LP914" s="16"/>
      <c r="LQ914" s="17"/>
    </row>
    <row r="915">
      <c r="C915" s="31"/>
      <c r="D915" s="61"/>
      <c r="E915" s="16"/>
      <c r="F915" s="16"/>
      <c r="G915" s="21"/>
      <c r="H915" s="16"/>
      <c r="I915" s="16"/>
      <c r="J915" s="17"/>
      <c r="N915" s="17"/>
      <c r="O915" s="61"/>
      <c r="P915" s="16"/>
      <c r="Q915" s="16"/>
      <c r="R915" s="16"/>
      <c r="S915" s="16"/>
      <c r="T915" s="16"/>
      <c r="U915" s="17"/>
      <c r="Y915" s="24"/>
      <c r="Z915" s="61"/>
      <c r="AA915" s="16"/>
      <c r="AB915" s="16"/>
      <c r="AC915" s="16"/>
      <c r="AD915" s="16"/>
      <c r="AE915" s="16"/>
      <c r="AF915" s="17"/>
      <c r="AJ915" s="24"/>
      <c r="AK915" s="61"/>
      <c r="AL915" s="16"/>
      <c r="AM915" s="16"/>
      <c r="AN915" s="16"/>
      <c r="AO915" s="16"/>
      <c r="AP915" s="16"/>
      <c r="AQ915" s="17"/>
      <c r="AU915" s="24"/>
      <c r="AV915" s="61"/>
      <c r="AW915" s="16"/>
      <c r="AX915" s="16"/>
      <c r="AY915" s="16"/>
      <c r="AZ915" s="16"/>
      <c r="BA915" s="16"/>
      <c r="BB915" s="17"/>
      <c r="BF915" s="24"/>
      <c r="BG915" s="61"/>
      <c r="BH915" s="16"/>
      <c r="BI915" s="16"/>
      <c r="BJ915" s="16"/>
      <c r="BK915" s="16"/>
      <c r="BL915" s="16"/>
      <c r="BM915" s="17"/>
      <c r="BQ915" s="24"/>
      <c r="BR915" s="61"/>
      <c r="BS915" s="16"/>
      <c r="BT915" s="16"/>
      <c r="BU915" s="16"/>
      <c r="BV915" s="16"/>
      <c r="BW915" s="16"/>
      <c r="BX915" s="17"/>
      <c r="CB915" s="24"/>
      <c r="CC915" s="61"/>
      <c r="CD915" s="16"/>
      <c r="CE915" s="16"/>
      <c r="CF915" s="16"/>
      <c r="CG915" s="16"/>
      <c r="CH915" s="16"/>
      <c r="CI915" s="17"/>
      <c r="CM915" s="24"/>
      <c r="CN915" s="61"/>
      <c r="CO915" s="16"/>
      <c r="CP915" s="16"/>
      <c r="CQ915" s="16"/>
      <c r="CR915" s="16"/>
      <c r="CS915" s="16"/>
      <c r="CT915" s="17"/>
      <c r="CX915" s="24"/>
      <c r="CY915" s="60"/>
      <c r="CZ915" s="16"/>
      <c r="DA915" s="16"/>
      <c r="DB915" s="16"/>
      <c r="DC915" s="16"/>
      <c r="DD915" s="16"/>
      <c r="DE915" s="17"/>
      <c r="DI915" s="24"/>
      <c r="DJ915" s="60"/>
      <c r="DK915" s="16"/>
      <c r="DL915" s="16"/>
      <c r="DM915" s="16"/>
      <c r="DN915" s="16"/>
      <c r="DO915" s="16"/>
      <c r="DP915" s="17"/>
      <c r="DT915" s="24"/>
      <c r="DU915" s="60"/>
      <c r="DV915" s="16"/>
      <c r="DW915" s="16"/>
      <c r="DX915" s="16"/>
      <c r="DY915" s="16"/>
      <c r="DZ915" s="16"/>
      <c r="EA915" s="17"/>
      <c r="EE915" s="24"/>
      <c r="EF915" s="60"/>
      <c r="EG915" s="16"/>
      <c r="EH915" s="16"/>
      <c r="EI915" s="16"/>
      <c r="EJ915" s="16"/>
      <c r="EK915" s="16"/>
      <c r="EL915" s="17"/>
      <c r="EP915" s="24"/>
      <c r="EQ915" s="60"/>
      <c r="ER915" s="16"/>
      <c r="ES915" s="16"/>
      <c r="ET915" s="16"/>
      <c r="EU915" s="16"/>
      <c r="EV915" s="16"/>
      <c r="EW915" s="17"/>
      <c r="FA915" s="24"/>
      <c r="FB915" s="60"/>
      <c r="FC915" s="16"/>
      <c r="FD915" s="16"/>
      <c r="FE915" s="16"/>
      <c r="FF915" s="16"/>
      <c r="FG915" s="16"/>
      <c r="FH915" s="17"/>
      <c r="FL915" s="24"/>
      <c r="FM915" s="60"/>
      <c r="FN915" s="16"/>
      <c r="FO915" s="16"/>
      <c r="FP915" s="16"/>
      <c r="FQ915" s="16"/>
      <c r="FR915" s="16"/>
      <c r="FS915" s="17"/>
      <c r="FW915" s="24"/>
      <c r="FX915" s="60"/>
      <c r="FY915" s="16"/>
      <c r="FZ915" s="16"/>
      <c r="GA915" s="16"/>
      <c r="GB915" s="16"/>
      <c r="GC915" s="16"/>
      <c r="GD915" s="17"/>
      <c r="GH915" s="24"/>
      <c r="GI915" s="60"/>
      <c r="GJ915" s="16"/>
      <c r="GK915" s="16"/>
      <c r="GL915" s="16"/>
      <c r="GM915" s="16"/>
      <c r="GN915" s="16"/>
      <c r="GO915" s="17"/>
      <c r="GS915" s="24"/>
      <c r="GT915" s="60"/>
      <c r="GU915" s="16"/>
      <c r="GV915" s="16"/>
      <c r="GW915" s="16"/>
      <c r="GX915" s="16"/>
      <c r="GY915" s="16"/>
      <c r="GZ915" s="17"/>
      <c r="HD915" s="24"/>
      <c r="HE915" s="60"/>
      <c r="HF915" s="16"/>
      <c r="HG915" s="16"/>
      <c r="HH915" s="16"/>
      <c r="HI915" s="16"/>
      <c r="HJ915" s="16"/>
      <c r="HK915" s="17"/>
      <c r="HO915" s="24"/>
      <c r="HP915" s="60"/>
      <c r="HQ915" s="16"/>
      <c r="HR915" s="16"/>
      <c r="HS915" s="16"/>
      <c r="HT915" s="16"/>
      <c r="HU915" s="16"/>
      <c r="HV915" s="17"/>
      <c r="HZ915" s="24"/>
      <c r="IA915" s="60"/>
      <c r="IB915" s="16"/>
      <c r="IC915" s="16"/>
      <c r="ID915" s="16"/>
      <c r="IE915" s="16"/>
      <c r="IF915" s="16"/>
      <c r="IG915" s="17"/>
      <c r="IK915" s="24"/>
      <c r="IL915" s="60"/>
      <c r="IM915" s="16"/>
      <c r="IN915" s="16"/>
      <c r="IO915" s="16"/>
      <c r="IP915" s="16"/>
      <c r="IQ915" s="16"/>
      <c r="IR915" s="17"/>
      <c r="IV915" s="24"/>
      <c r="IW915" s="60"/>
      <c r="IX915" s="16"/>
      <c r="IY915" s="16"/>
      <c r="IZ915" s="16"/>
      <c r="JA915" s="16"/>
      <c r="JB915" s="16"/>
      <c r="JC915" s="17"/>
      <c r="JG915" s="24"/>
      <c r="JH915" s="60"/>
      <c r="JI915" s="16"/>
      <c r="JJ915" s="16"/>
      <c r="JK915" s="16"/>
      <c r="JL915" s="16"/>
      <c r="JM915" s="16"/>
      <c r="JN915" s="17"/>
      <c r="JR915" s="24"/>
      <c r="JS915" s="60"/>
      <c r="JT915" s="16"/>
      <c r="JU915" s="16"/>
      <c r="JV915" s="16"/>
      <c r="JW915" s="16"/>
      <c r="JX915" s="16"/>
      <c r="JY915" s="17"/>
      <c r="KC915" s="24"/>
      <c r="KD915" s="60"/>
      <c r="KE915" s="16"/>
      <c r="KF915" s="16"/>
      <c r="KG915" s="16"/>
      <c r="KH915" s="16"/>
      <c r="KI915" s="16"/>
      <c r="KJ915" s="17"/>
      <c r="KN915" s="24"/>
      <c r="KO915" s="60"/>
      <c r="KP915" s="16"/>
      <c r="KQ915" s="16"/>
      <c r="KR915" s="16"/>
      <c r="KS915" s="16"/>
      <c r="KT915" s="16"/>
      <c r="KU915" s="17"/>
      <c r="KY915" s="24"/>
      <c r="KZ915" s="60"/>
      <c r="LA915" s="16"/>
      <c r="LB915" s="16"/>
      <c r="LC915" s="16"/>
      <c r="LD915" s="16"/>
      <c r="LE915" s="16"/>
      <c r="LF915" s="17"/>
      <c r="LJ915" s="24"/>
      <c r="LK915" s="60"/>
      <c r="LL915" s="16"/>
      <c r="LM915" s="16"/>
      <c r="LN915" s="16"/>
      <c r="LO915" s="16"/>
      <c r="LP915" s="16"/>
      <c r="LQ915" s="17"/>
    </row>
    <row r="916">
      <c r="C916" s="31"/>
      <c r="D916" s="61"/>
      <c r="E916" s="16"/>
      <c r="F916" s="16"/>
      <c r="G916" s="21"/>
      <c r="H916" s="16"/>
      <c r="I916" s="16"/>
      <c r="J916" s="17"/>
      <c r="N916" s="17"/>
      <c r="O916" s="61"/>
      <c r="P916" s="16"/>
      <c r="Q916" s="16"/>
      <c r="R916" s="16"/>
      <c r="S916" s="16"/>
      <c r="T916" s="16"/>
      <c r="U916" s="17"/>
      <c r="Y916" s="24"/>
      <c r="Z916" s="61"/>
      <c r="AA916" s="16"/>
      <c r="AB916" s="16"/>
      <c r="AC916" s="16"/>
      <c r="AD916" s="16"/>
      <c r="AE916" s="16"/>
      <c r="AF916" s="17"/>
      <c r="AJ916" s="24"/>
      <c r="AK916" s="61"/>
      <c r="AL916" s="16"/>
      <c r="AM916" s="16"/>
      <c r="AN916" s="16"/>
      <c r="AO916" s="16"/>
      <c r="AP916" s="16"/>
      <c r="AQ916" s="17"/>
      <c r="AU916" s="24"/>
      <c r="AV916" s="61"/>
      <c r="AW916" s="16"/>
      <c r="AX916" s="16"/>
      <c r="AY916" s="16"/>
      <c r="AZ916" s="16"/>
      <c r="BA916" s="16"/>
      <c r="BB916" s="17"/>
      <c r="BF916" s="24"/>
      <c r="BG916" s="61"/>
      <c r="BH916" s="16"/>
      <c r="BI916" s="16"/>
      <c r="BJ916" s="16"/>
      <c r="BK916" s="16"/>
      <c r="BL916" s="16"/>
      <c r="BM916" s="17"/>
      <c r="BQ916" s="24"/>
      <c r="BR916" s="61"/>
      <c r="BS916" s="16"/>
      <c r="BT916" s="16"/>
      <c r="BU916" s="16"/>
      <c r="BV916" s="16"/>
      <c r="BW916" s="16"/>
      <c r="BX916" s="17"/>
      <c r="CB916" s="24"/>
      <c r="CC916" s="61"/>
      <c r="CD916" s="16"/>
      <c r="CE916" s="16"/>
      <c r="CF916" s="16"/>
      <c r="CG916" s="16"/>
      <c r="CH916" s="16"/>
      <c r="CI916" s="17"/>
      <c r="CM916" s="24"/>
      <c r="CN916" s="61"/>
      <c r="CO916" s="16"/>
      <c r="CP916" s="16"/>
      <c r="CQ916" s="16"/>
      <c r="CR916" s="16"/>
      <c r="CS916" s="16"/>
      <c r="CT916" s="17"/>
      <c r="CX916" s="24"/>
      <c r="CY916" s="60"/>
      <c r="CZ916" s="16"/>
      <c r="DA916" s="16"/>
      <c r="DB916" s="16"/>
      <c r="DC916" s="16"/>
      <c r="DD916" s="16"/>
      <c r="DE916" s="17"/>
      <c r="DI916" s="24"/>
      <c r="DJ916" s="60"/>
      <c r="DK916" s="16"/>
      <c r="DL916" s="16"/>
      <c r="DM916" s="16"/>
      <c r="DN916" s="16"/>
      <c r="DO916" s="16"/>
      <c r="DP916" s="17"/>
      <c r="DT916" s="24"/>
      <c r="DU916" s="60"/>
      <c r="DV916" s="16"/>
      <c r="DW916" s="16"/>
      <c r="DX916" s="16"/>
      <c r="DY916" s="16"/>
      <c r="DZ916" s="16"/>
      <c r="EA916" s="17"/>
      <c r="EE916" s="24"/>
      <c r="EF916" s="60"/>
      <c r="EG916" s="16"/>
      <c r="EH916" s="16"/>
      <c r="EI916" s="16"/>
      <c r="EJ916" s="16"/>
      <c r="EK916" s="16"/>
      <c r="EL916" s="17"/>
      <c r="EP916" s="24"/>
      <c r="EQ916" s="60"/>
      <c r="ER916" s="16"/>
      <c r="ES916" s="16"/>
      <c r="ET916" s="16"/>
      <c r="EU916" s="16"/>
      <c r="EV916" s="16"/>
      <c r="EW916" s="17"/>
      <c r="FA916" s="24"/>
      <c r="FB916" s="60"/>
      <c r="FC916" s="16"/>
      <c r="FD916" s="16"/>
      <c r="FE916" s="16"/>
      <c r="FF916" s="16"/>
      <c r="FG916" s="16"/>
      <c r="FH916" s="17"/>
      <c r="FL916" s="24"/>
      <c r="FM916" s="60"/>
      <c r="FN916" s="16"/>
      <c r="FO916" s="16"/>
      <c r="FP916" s="16"/>
      <c r="FQ916" s="16"/>
      <c r="FR916" s="16"/>
      <c r="FS916" s="17"/>
      <c r="FW916" s="24"/>
      <c r="FX916" s="60"/>
      <c r="FY916" s="16"/>
      <c r="FZ916" s="16"/>
      <c r="GA916" s="16"/>
      <c r="GB916" s="16"/>
      <c r="GC916" s="16"/>
      <c r="GD916" s="17"/>
      <c r="GH916" s="24"/>
      <c r="GI916" s="60"/>
      <c r="GJ916" s="16"/>
      <c r="GK916" s="16"/>
      <c r="GL916" s="16"/>
      <c r="GM916" s="16"/>
      <c r="GN916" s="16"/>
      <c r="GO916" s="17"/>
      <c r="GS916" s="24"/>
      <c r="GT916" s="60"/>
      <c r="GU916" s="16"/>
      <c r="GV916" s="16"/>
      <c r="GW916" s="16"/>
      <c r="GX916" s="16"/>
      <c r="GY916" s="16"/>
      <c r="GZ916" s="17"/>
      <c r="HD916" s="24"/>
      <c r="HE916" s="60"/>
      <c r="HF916" s="16"/>
      <c r="HG916" s="16"/>
      <c r="HH916" s="16"/>
      <c r="HI916" s="16"/>
      <c r="HJ916" s="16"/>
      <c r="HK916" s="17"/>
      <c r="HO916" s="24"/>
      <c r="HP916" s="60"/>
      <c r="HQ916" s="16"/>
      <c r="HR916" s="16"/>
      <c r="HS916" s="16"/>
      <c r="HT916" s="16"/>
      <c r="HU916" s="16"/>
      <c r="HV916" s="17"/>
      <c r="HZ916" s="24"/>
      <c r="IA916" s="60"/>
      <c r="IB916" s="16"/>
      <c r="IC916" s="16"/>
      <c r="ID916" s="16"/>
      <c r="IE916" s="16"/>
      <c r="IF916" s="16"/>
      <c r="IG916" s="17"/>
      <c r="IK916" s="24"/>
      <c r="IL916" s="60"/>
      <c r="IM916" s="16"/>
      <c r="IN916" s="16"/>
      <c r="IO916" s="16"/>
      <c r="IP916" s="16"/>
      <c r="IQ916" s="16"/>
      <c r="IR916" s="17"/>
      <c r="IV916" s="24"/>
      <c r="IW916" s="60"/>
      <c r="IX916" s="16"/>
      <c r="IY916" s="16"/>
      <c r="IZ916" s="16"/>
      <c r="JA916" s="16"/>
      <c r="JB916" s="16"/>
      <c r="JC916" s="17"/>
      <c r="JG916" s="24"/>
      <c r="JH916" s="60"/>
      <c r="JI916" s="16"/>
      <c r="JJ916" s="16"/>
      <c r="JK916" s="16"/>
      <c r="JL916" s="16"/>
      <c r="JM916" s="16"/>
      <c r="JN916" s="17"/>
      <c r="JR916" s="24"/>
      <c r="JS916" s="60"/>
      <c r="JT916" s="16"/>
      <c r="JU916" s="16"/>
      <c r="JV916" s="16"/>
      <c r="JW916" s="16"/>
      <c r="JX916" s="16"/>
      <c r="JY916" s="17"/>
      <c r="KC916" s="24"/>
      <c r="KD916" s="60"/>
      <c r="KE916" s="16"/>
      <c r="KF916" s="16"/>
      <c r="KG916" s="16"/>
      <c r="KH916" s="16"/>
      <c r="KI916" s="16"/>
      <c r="KJ916" s="17"/>
      <c r="KN916" s="24"/>
      <c r="KO916" s="60"/>
      <c r="KP916" s="16"/>
      <c r="KQ916" s="16"/>
      <c r="KR916" s="16"/>
      <c r="KS916" s="16"/>
      <c r="KT916" s="16"/>
      <c r="KU916" s="17"/>
      <c r="KY916" s="24"/>
      <c r="KZ916" s="60"/>
      <c r="LA916" s="16"/>
      <c r="LB916" s="16"/>
      <c r="LC916" s="16"/>
      <c r="LD916" s="16"/>
      <c r="LE916" s="16"/>
      <c r="LF916" s="17"/>
      <c r="LJ916" s="24"/>
      <c r="LK916" s="60"/>
      <c r="LL916" s="16"/>
      <c r="LM916" s="16"/>
      <c r="LN916" s="16"/>
      <c r="LO916" s="16"/>
      <c r="LP916" s="16"/>
      <c r="LQ916" s="17"/>
    </row>
    <row r="917">
      <c r="C917" s="31"/>
      <c r="D917" s="61"/>
      <c r="E917" s="16"/>
      <c r="F917" s="16"/>
      <c r="G917" s="21"/>
      <c r="H917" s="16"/>
      <c r="I917" s="16"/>
      <c r="J917" s="17"/>
      <c r="N917" s="17"/>
      <c r="O917" s="61"/>
      <c r="P917" s="16"/>
      <c r="Q917" s="16"/>
      <c r="R917" s="16"/>
      <c r="S917" s="16"/>
      <c r="T917" s="16"/>
      <c r="U917" s="17"/>
      <c r="Y917" s="24"/>
      <c r="Z917" s="61"/>
      <c r="AA917" s="16"/>
      <c r="AB917" s="16"/>
      <c r="AC917" s="16"/>
      <c r="AD917" s="16"/>
      <c r="AE917" s="16"/>
      <c r="AF917" s="17"/>
      <c r="AJ917" s="24"/>
      <c r="AK917" s="61"/>
      <c r="AL917" s="16"/>
      <c r="AM917" s="16"/>
      <c r="AN917" s="16"/>
      <c r="AO917" s="16"/>
      <c r="AP917" s="16"/>
      <c r="AQ917" s="17"/>
      <c r="AU917" s="24"/>
      <c r="AV917" s="61"/>
      <c r="AW917" s="16"/>
      <c r="AX917" s="16"/>
      <c r="AY917" s="16"/>
      <c r="AZ917" s="16"/>
      <c r="BA917" s="16"/>
      <c r="BB917" s="17"/>
      <c r="BF917" s="24"/>
      <c r="BG917" s="61"/>
      <c r="BH917" s="16"/>
      <c r="BI917" s="16"/>
      <c r="BJ917" s="16"/>
      <c r="BK917" s="16"/>
      <c r="BL917" s="16"/>
      <c r="BM917" s="17"/>
      <c r="BQ917" s="24"/>
      <c r="BR917" s="61"/>
      <c r="BS917" s="16"/>
      <c r="BT917" s="16"/>
      <c r="BU917" s="16"/>
      <c r="BV917" s="16"/>
      <c r="BW917" s="16"/>
      <c r="BX917" s="17"/>
      <c r="CB917" s="24"/>
      <c r="CC917" s="61"/>
      <c r="CD917" s="16"/>
      <c r="CE917" s="16"/>
      <c r="CF917" s="16"/>
      <c r="CG917" s="16"/>
      <c r="CH917" s="16"/>
      <c r="CI917" s="17"/>
      <c r="CM917" s="24"/>
      <c r="CN917" s="61"/>
      <c r="CO917" s="16"/>
      <c r="CP917" s="16"/>
      <c r="CQ917" s="16"/>
      <c r="CR917" s="16"/>
      <c r="CS917" s="16"/>
      <c r="CT917" s="17"/>
      <c r="CX917" s="24"/>
      <c r="CY917" s="60"/>
      <c r="CZ917" s="16"/>
      <c r="DA917" s="16"/>
      <c r="DB917" s="16"/>
      <c r="DC917" s="16"/>
      <c r="DD917" s="16"/>
      <c r="DE917" s="17"/>
      <c r="DI917" s="24"/>
      <c r="DJ917" s="60"/>
      <c r="DK917" s="16"/>
      <c r="DL917" s="16"/>
      <c r="DM917" s="16"/>
      <c r="DN917" s="16"/>
      <c r="DO917" s="16"/>
      <c r="DP917" s="17"/>
      <c r="DT917" s="24"/>
      <c r="DU917" s="60"/>
      <c r="DV917" s="16"/>
      <c r="DW917" s="16"/>
      <c r="DX917" s="16"/>
      <c r="DY917" s="16"/>
      <c r="DZ917" s="16"/>
      <c r="EA917" s="17"/>
      <c r="EE917" s="24"/>
      <c r="EF917" s="60"/>
      <c r="EG917" s="16"/>
      <c r="EH917" s="16"/>
      <c r="EI917" s="16"/>
      <c r="EJ917" s="16"/>
      <c r="EK917" s="16"/>
      <c r="EL917" s="17"/>
      <c r="EP917" s="24"/>
      <c r="EQ917" s="60"/>
      <c r="ER917" s="16"/>
      <c r="ES917" s="16"/>
      <c r="ET917" s="16"/>
      <c r="EU917" s="16"/>
      <c r="EV917" s="16"/>
      <c r="EW917" s="17"/>
      <c r="FA917" s="24"/>
      <c r="FB917" s="60"/>
      <c r="FC917" s="16"/>
      <c r="FD917" s="16"/>
      <c r="FE917" s="16"/>
      <c r="FF917" s="16"/>
      <c r="FG917" s="16"/>
      <c r="FH917" s="17"/>
      <c r="FL917" s="24"/>
      <c r="FM917" s="60"/>
      <c r="FN917" s="16"/>
      <c r="FO917" s="16"/>
      <c r="FP917" s="16"/>
      <c r="FQ917" s="16"/>
      <c r="FR917" s="16"/>
      <c r="FS917" s="17"/>
      <c r="FW917" s="24"/>
      <c r="FX917" s="60"/>
      <c r="FY917" s="16"/>
      <c r="FZ917" s="16"/>
      <c r="GA917" s="16"/>
      <c r="GB917" s="16"/>
      <c r="GC917" s="16"/>
      <c r="GD917" s="17"/>
      <c r="GH917" s="24"/>
      <c r="GI917" s="60"/>
      <c r="GJ917" s="16"/>
      <c r="GK917" s="16"/>
      <c r="GL917" s="16"/>
      <c r="GM917" s="16"/>
      <c r="GN917" s="16"/>
      <c r="GO917" s="17"/>
      <c r="GS917" s="24"/>
      <c r="GT917" s="60"/>
      <c r="GU917" s="16"/>
      <c r="GV917" s="16"/>
      <c r="GW917" s="16"/>
      <c r="GX917" s="16"/>
      <c r="GY917" s="16"/>
      <c r="GZ917" s="17"/>
      <c r="HD917" s="24"/>
      <c r="HE917" s="60"/>
      <c r="HF917" s="16"/>
      <c r="HG917" s="16"/>
      <c r="HH917" s="16"/>
      <c r="HI917" s="16"/>
      <c r="HJ917" s="16"/>
      <c r="HK917" s="17"/>
      <c r="HO917" s="24"/>
      <c r="HP917" s="60"/>
      <c r="HQ917" s="16"/>
      <c r="HR917" s="16"/>
      <c r="HS917" s="16"/>
      <c r="HT917" s="16"/>
      <c r="HU917" s="16"/>
      <c r="HV917" s="17"/>
      <c r="HZ917" s="24"/>
      <c r="IA917" s="60"/>
      <c r="IB917" s="16"/>
      <c r="IC917" s="16"/>
      <c r="ID917" s="16"/>
      <c r="IE917" s="16"/>
      <c r="IF917" s="16"/>
      <c r="IG917" s="17"/>
      <c r="IK917" s="24"/>
      <c r="IL917" s="60"/>
      <c r="IM917" s="16"/>
      <c r="IN917" s="16"/>
      <c r="IO917" s="16"/>
      <c r="IP917" s="16"/>
      <c r="IQ917" s="16"/>
      <c r="IR917" s="17"/>
      <c r="IV917" s="24"/>
      <c r="IW917" s="60"/>
      <c r="IX917" s="16"/>
      <c r="IY917" s="16"/>
      <c r="IZ917" s="16"/>
      <c r="JA917" s="16"/>
      <c r="JB917" s="16"/>
      <c r="JC917" s="17"/>
      <c r="JG917" s="24"/>
      <c r="JH917" s="60"/>
      <c r="JI917" s="16"/>
      <c r="JJ917" s="16"/>
      <c r="JK917" s="16"/>
      <c r="JL917" s="16"/>
      <c r="JM917" s="16"/>
      <c r="JN917" s="17"/>
      <c r="JR917" s="24"/>
      <c r="JS917" s="60"/>
      <c r="JT917" s="16"/>
      <c r="JU917" s="16"/>
      <c r="JV917" s="16"/>
      <c r="JW917" s="16"/>
      <c r="JX917" s="16"/>
      <c r="JY917" s="17"/>
      <c r="KC917" s="24"/>
      <c r="KD917" s="60"/>
      <c r="KE917" s="16"/>
      <c r="KF917" s="16"/>
      <c r="KG917" s="16"/>
      <c r="KH917" s="16"/>
      <c r="KI917" s="16"/>
      <c r="KJ917" s="17"/>
      <c r="KN917" s="24"/>
      <c r="KO917" s="60"/>
      <c r="KP917" s="16"/>
      <c r="KQ917" s="16"/>
      <c r="KR917" s="16"/>
      <c r="KS917" s="16"/>
      <c r="KT917" s="16"/>
      <c r="KU917" s="17"/>
      <c r="KY917" s="24"/>
      <c r="KZ917" s="60"/>
      <c r="LA917" s="16"/>
      <c r="LB917" s="16"/>
      <c r="LC917" s="16"/>
      <c r="LD917" s="16"/>
      <c r="LE917" s="16"/>
      <c r="LF917" s="17"/>
      <c r="LJ917" s="24"/>
      <c r="LK917" s="60"/>
      <c r="LL917" s="16"/>
      <c r="LM917" s="16"/>
      <c r="LN917" s="16"/>
      <c r="LO917" s="16"/>
      <c r="LP917" s="16"/>
      <c r="LQ917" s="17"/>
    </row>
    <row r="918">
      <c r="C918" s="31"/>
      <c r="D918" s="61"/>
      <c r="E918" s="16"/>
      <c r="F918" s="16"/>
      <c r="G918" s="21"/>
      <c r="H918" s="16"/>
      <c r="I918" s="16"/>
      <c r="J918" s="17"/>
      <c r="N918" s="17"/>
      <c r="O918" s="61"/>
      <c r="P918" s="16"/>
      <c r="Q918" s="16"/>
      <c r="R918" s="16"/>
      <c r="S918" s="16"/>
      <c r="T918" s="16"/>
      <c r="U918" s="17"/>
      <c r="Y918" s="24"/>
      <c r="Z918" s="61"/>
      <c r="AA918" s="16"/>
      <c r="AB918" s="16"/>
      <c r="AC918" s="16"/>
      <c r="AD918" s="16"/>
      <c r="AE918" s="16"/>
      <c r="AF918" s="17"/>
      <c r="AJ918" s="24"/>
      <c r="AK918" s="61"/>
      <c r="AL918" s="16"/>
      <c r="AM918" s="16"/>
      <c r="AN918" s="16"/>
      <c r="AO918" s="16"/>
      <c r="AP918" s="16"/>
      <c r="AQ918" s="17"/>
      <c r="AU918" s="24"/>
      <c r="AV918" s="61"/>
      <c r="AW918" s="16"/>
      <c r="AX918" s="16"/>
      <c r="AY918" s="16"/>
      <c r="AZ918" s="16"/>
      <c r="BA918" s="16"/>
      <c r="BB918" s="17"/>
      <c r="BF918" s="24"/>
      <c r="BG918" s="61"/>
      <c r="BH918" s="16"/>
      <c r="BI918" s="16"/>
      <c r="BJ918" s="16"/>
      <c r="BK918" s="16"/>
      <c r="BL918" s="16"/>
      <c r="BM918" s="17"/>
      <c r="BQ918" s="24"/>
      <c r="BR918" s="61"/>
      <c r="BS918" s="16"/>
      <c r="BT918" s="16"/>
      <c r="BU918" s="16"/>
      <c r="BV918" s="16"/>
      <c r="BW918" s="16"/>
      <c r="BX918" s="17"/>
      <c r="CB918" s="24"/>
      <c r="CC918" s="61"/>
      <c r="CD918" s="16"/>
      <c r="CE918" s="16"/>
      <c r="CF918" s="16"/>
      <c r="CG918" s="16"/>
      <c r="CH918" s="16"/>
      <c r="CI918" s="17"/>
      <c r="CM918" s="24"/>
      <c r="CN918" s="61"/>
      <c r="CO918" s="16"/>
      <c r="CP918" s="16"/>
      <c r="CQ918" s="16"/>
      <c r="CR918" s="16"/>
      <c r="CS918" s="16"/>
      <c r="CT918" s="17"/>
      <c r="CX918" s="24"/>
      <c r="CY918" s="60"/>
      <c r="CZ918" s="16"/>
      <c r="DA918" s="16"/>
      <c r="DB918" s="16"/>
      <c r="DC918" s="16"/>
      <c r="DD918" s="16"/>
      <c r="DE918" s="17"/>
      <c r="DI918" s="24"/>
      <c r="DJ918" s="60"/>
      <c r="DK918" s="16"/>
      <c r="DL918" s="16"/>
      <c r="DM918" s="16"/>
      <c r="DN918" s="16"/>
      <c r="DO918" s="16"/>
      <c r="DP918" s="17"/>
      <c r="DT918" s="24"/>
      <c r="DU918" s="60"/>
      <c r="DV918" s="16"/>
      <c r="DW918" s="16"/>
      <c r="DX918" s="16"/>
      <c r="DY918" s="16"/>
      <c r="DZ918" s="16"/>
      <c r="EA918" s="17"/>
      <c r="EE918" s="24"/>
      <c r="EF918" s="60"/>
      <c r="EG918" s="16"/>
      <c r="EH918" s="16"/>
      <c r="EI918" s="16"/>
      <c r="EJ918" s="16"/>
      <c r="EK918" s="16"/>
      <c r="EL918" s="17"/>
      <c r="EP918" s="24"/>
      <c r="EQ918" s="60"/>
      <c r="ER918" s="16"/>
      <c r="ES918" s="16"/>
      <c r="ET918" s="16"/>
      <c r="EU918" s="16"/>
      <c r="EV918" s="16"/>
      <c r="EW918" s="17"/>
      <c r="FA918" s="24"/>
      <c r="FB918" s="60"/>
      <c r="FC918" s="16"/>
      <c r="FD918" s="16"/>
      <c r="FE918" s="16"/>
      <c r="FF918" s="16"/>
      <c r="FG918" s="16"/>
      <c r="FH918" s="17"/>
      <c r="FL918" s="24"/>
      <c r="FM918" s="60"/>
      <c r="FN918" s="16"/>
      <c r="FO918" s="16"/>
      <c r="FP918" s="16"/>
      <c r="FQ918" s="16"/>
      <c r="FR918" s="16"/>
      <c r="FS918" s="17"/>
      <c r="FW918" s="24"/>
      <c r="FX918" s="60"/>
      <c r="FY918" s="16"/>
      <c r="FZ918" s="16"/>
      <c r="GA918" s="16"/>
      <c r="GB918" s="16"/>
      <c r="GC918" s="16"/>
      <c r="GD918" s="17"/>
      <c r="GH918" s="24"/>
      <c r="GI918" s="60"/>
      <c r="GJ918" s="16"/>
      <c r="GK918" s="16"/>
      <c r="GL918" s="16"/>
      <c r="GM918" s="16"/>
      <c r="GN918" s="16"/>
      <c r="GO918" s="17"/>
      <c r="GS918" s="24"/>
      <c r="GT918" s="60"/>
      <c r="GU918" s="16"/>
      <c r="GV918" s="16"/>
      <c r="GW918" s="16"/>
      <c r="GX918" s="16"/>
      <c r="GY918" s="16"/>
      <c r="GZ918" s="17"/>
      <c r="HD918" s="24"/>
      <c r="HE918" s="60"/>
      <c r="HF918" s="16"/>
      <c r="HG918" s="16"/>
      <c r="HH918" s="16"/>
      <c r="HI918" s="16"/>
      <c r="HJ918" s="16"/>
      <c r="HK918" s="17"/>
      <c r="HO918" s="24"/>
      <c r="HP918" s="60"/>
      <c r="HQ918" s="16"/>
      <c r="HR918" s="16"/>
      <c r="HS918" s="16"/>
      <c r="HT918" s="16"/>
      <c r="HU918" s="16"/>
      <c r="HV918" s="17"/>
      <c r="HZ918" s="24"/>
      <c r="IA918" s="60"/>
      <c r="IB918" s="16"/>
      <c r="IC918" s="16"/>
      <c r="ID918" s="16"/>
      <c r="IE918" s="16"/>
      <c r="IF918" s="16"/>
      <c r="IG918" s="17"/>
      <c r="IK918" s="24"/>
      <c r="IL918" s="60"/>
      <c r="IM918" s="16"/>
      <c r="IN918" s="16"/>
      <c r="IO918" s="16"/>
      <c r="IP918" s="16"/>
      <c r="IQ918" s="16"/>
      <c r="IR918" s="17"/>
      <c r="IV918" s="24"/>
      <c r="IW918" s="60"/>
      <c r="IX918" s="16"/>
      <c r="IY918" s="16"/>
      <c r="IZ918" s="16"/>
      <c r="JA918" s="16"/>
      <c r="JB918" s="16"/>
      <c r="JC918" s="17"/>
      <c r="JG918" s="24"/>
      <c r="JH918" s="60"/>
      <c r="JI918" s="16"/>
      <c r="JJ918" s="16"/>
      <c r="JK918" s="16"/>
      <c r="JL918" s="16"/>
      <c r="JM918" s="16"/>
      <c r="JN918" s="17"/>
      <c r="JR918" s="24"/>
      <c r="JS918" s="60"/>
      <c r="JT918" s="16"/>
      <c r="JU918" s="16"/>
      <c r="JV918" s="16"/>
      <c r="JW918" s="16"/>
      <c r="JX918" s="16"/>
      <c r="JY918" s="17"/>
      <c r="KC918" s="24"/>
      <c r="KD918" s="60"/>
      <c r="KE918" s="16"/>
      <c r="KF918" s="16"/>
      <c r="KG918" s="16"/>
      <c r="KH918" s="16"/>
      <c r="KI918" s="16"/>
      <c r="KJ918" s="17"/>
      <c r="KN918" s="24"/>
      <c r="KO918" s="60"/>
      <c r="KP918" s="16"/>
      <c r="KQ918" s="16"/>
      <c r="KR918" s="16"/>
      <c r="KS918" s="16"/>
      <c r="KT918" s="16"/>
      <c r="KU918" s="17"/>
      <c r="KY918" s="24"/>
      <c r="KZ918" s="60"/>
      <c r="LA918" s="16"/>
      <c r="LB918" s="16"/>
      <c r="LC918" s="16"/>
      <c r="LD918" s="16"/>
      <c r="LE918" s="16"/>
      <c r="LF918" s="17"/>
      <c r="LJ918" s="24"/>
      <c r="LK918" s="60"/>
      <c r="LL918" s="16"/>
      <c r="LM918" s="16"/>
      <c r="LN918" s="16"/>
      <c r="LO918" s="16"/>
      <c r="LP918" s="16"/>
      <c r="LQ918" s="17"/>
    </row>
    <row r="919">
      <c r="C919" s="31"/>
      <c r="D919" s="61"/>
      <c r="E919" s="16"/>
      <c r="F919" s="16"/>
      <c r="G919" s="21"/>
      <c r="H919" s="16"/>
      <c r="I919" s="16"/>
      <c r="J919" s="17"/>
      <c r="N919" s="17"/>
      <c r="O919" s="61"/>
      <c r="P919" s="16"/>
      <c r="Q919" s="16"/>
      <c r="R919" s="16"/>
      <c r="S919" s="16"/>
      <c r="T919" s="16"/>
      <c r="U919" s="17"/>
      <c r="Y919" s="24"/>
      <c r="Z919" s="61"/>
      <c r="AA919" s="16"/>
      <c r="AB919" s="16"/>
      <c r="AC919" s="16"/>
      <c r="AD919" s="16"/>
      <c r="AE919" s="16"/>
      <c r="AF919" s="17"/>
      <c r="AJ919" s="24"/>
      <c r="AK919" s="61"/>
      <c r="AL919" s="16"/>
      <c r="AM919" s="16"/>
      <c r="AN919" s="16"/>
      <c r="AO919" s="16"/>
      <c r="AP919" s="16"/>
      <c r="AQ919" s="17"/>
      <c r="AU919" s="24"/>
      <c r="AV919" s="61"/>
      <c r="AW919" s="16"/>
      <c r="AX919" s="16"/>
      <c r="AY919" s="16"/>
      <c r="AZ919" s="16"/>
      <c r="BA919" s="16"/>
      <c r="BB919" s="17"/>
      <c r="BF919" s="24"/>
      <c r="BG919" s="61"/>
      <c r="BH919" s="16"/>
      <c r="BI919" s="16"/>
      <c r="BJ919" s="16"/>
      <c r="BK919" s="16"/>
      <c r="BL919" s="16"/>
      <c r="BM919" s="17"/>
      <c r="BQ919" s="24"/>
      <c r="BR919" s="61"/>
      <c r="BS919" s="16"/>
      <c r="BT919" s="16"/>
      <c r="BU919" s="16"/>
      <c r="BV919" s="16"/>
      <c r="BW919" s="16"/>
      <c r="BX919" s="17"/>
      <c r="CB919" s="24"/>
      <c r="CC919" s="61"/>
      <c r="CD919" s="16"/>
      <c r="CE919" s="16"/>
      <c r="CF919" s="16"/>
      <c r="CG919" s="16"/>
      <c r="CH919" s="16"/>
      <c r="CI919" s="17"/>
      <c r="CM919" s="24"/>
      <c r="CN919" s="61"/>
      <c r="CO919" s="16"/>
      <c r="CP919" s="16"/>
      <c r="CQ919" s="16"/>
      <c r="CR919" s="16"/>
      <c r="CS919" s="16"/>
      <c r="CT919" s="17"/>
      <c r="CX919" s="24"/>
      <c r="CY919" s="60"/>
      <c r="CZ919" s="16"/>
      <c r="DA919" s="16"/>
      <c r="DB919" s="16"/>
      <c r="DC919" s="16"/>
      <c r="DD919" s="16"/>
      <c r="DE919" s="17"/>
      <c r="DI919" s="24"/>
      <c r="DJ919" s="60"/>
      <c r="DK919" s="16"/>
      <c r="DL919" s="16"/>
      <c r="DM919" s="16"/>
      <c r="DN919" s="16"/>
      <c r="DO919" s="16"/>
      <c r="DP919" s="17"/>
      <c r="DT919" s="24"/>
      <c r="DU919" s="60"/>
      <c r="DV919" s="16"/>
      <c r="DW919" s="16"/>
      <c r="DX919" s="16"/>
      <c r="DY919" s="16"/>
      <c r="DZ919" s="16"/>
      <c r="EA919" s="17"/>
      <c r="EE919" s="24"/>
      <c r="EF919" s="60"/>
      <c r="EG919" s="16"/>
      <c r="EH919" s="16"/>
      <c r="EI919" s="16"/>
      <c r="EJ919" s="16"/>
      <c r="EK919" s="16"/>
      <c r="EL919" s="17"/>
      <c r="EP919" s="24"/>
      <c r="EQ919" s="60"/>
      <c r="ER919" s="16"/>
      <c r="ES919" s="16"/>
      <c r="ET919" s="16"/>
      <c r="EU919" s="16"/>
      <c r="EV919" s="16"/>
      <c r="EW919" s="17"/>
      <c r="FA919" s="24"/>
      <c r="FB919" s="60"/>
      <c r="FC919" s="16"/>
      <c r="FD919" s="16"/>
      <c r="FE919" s="16"/>
      <c r="FF919" s="16"/>
      <c r="FG919" s="16"/>
      <c r="FH919" s="17"/>
      <c r="FL919" s="24"/>
      <c r="FM919" s="60"/>
      <c r="FN919" s="16"/>
      <c r="FO919" s="16"/>
      <c r="FP919" s="16"/>
      <c r="FQ919" s="16"/>
      <c r="FR919" s="16"/>
      <c r="FS919" s="17"/>
      <c r="FW919" s="24"/>
      <c r="FX919" s="60"/>
      <c r="FY919" s="16"/>
      <c r="FZ919" s="16"/>
      <c r="GA919" s="16"/>
      <c r="GB919" s="16"/>
      <c r="GC919" s="16"/>
      <c r="GD919" s="17"/>
      <c r="GH919" s="24"/>
      <c r="GI919" s="60"/>
      <c r="GJ919" s="16"/>
      <c r="GK919" s="16"/>
      <c r="GL919" s="16"/>
      <c r="GM919" s="16"/>
      <c r="GN919" s="16"/>
      <c r="GO919" s="17"/>
      <c r="GS919" s="24"/>
      <c r="GT919" s="60"/>
      <c r="GU919" s="16"/>
      <c r="GV919" s="16"/>
      <c r="GW919" s="16"/>
      <c r="GX919" s="16"/>
      <c r="GY919" s="16"/>
      <c r="GZ919" s="17"/>
      <c r="HD919" s="24"/>
      <c r="HE919" s="60"/>
      <c r="HF919" s="16"/>
      <c r="HG919" s="16"/>
      <c r="HH919" s="16"/>
      <c r="HI919" s="16"/>
      <c r="HJ919" s="16"/>
      <c r="HK919" s="17"/>
      <c r="HO919" s="24"/>
      <c r="HP919" s="60"/>
      <c r="HQ919" s="16"/>
      <c r="HR919" s="16"/>
      <c r="HS919" s="16"/>
      <c r="HT919" s="16"/>
      <c r="HU919" s="16"/>
      <c r="HV919" s="17"/>
      <c r="HZ919" s="24"/>
      <c r="IA919" s="60"/>
      <c r="IB919" s="16"/>
      <c r="IC919" s="16"/>
      <c r="ID919" s="16"/>
      <c r="IE919" s="16"/>
      <c r="IF919" s="16"/>
      <c r="IG919" s="17"/>
      <c r="IK919" s="24"/>
      <c r="IL919" s="60"/>
      <c r="IM919" s="16"/>
      <c r="IN919" s="16"/>
      <c r="IO919" s="16"/>
      <c r="IP919" s="16"/>
      <c r="IQ919" s="16"/>
      <c r="IR919" s="17"/>
      <c r="IV919" s="24"/>
      <c r="IW919" s="60"/>
      <c r="IX919" s="16"/>
      <c r="IY919" s="16"/>
      <c r="IZ919" s="16"/>
      <c r="JA919" s="16"/>
      <c r="JB919" s="16"/>
      <c r="JC919" s="17"/>
      <c r="JG919" s="24"/>
      <c r="JH919" s="60"/>
      <c r="JI919" s="16"/>
      <c r="JJ919" s="16"/>
      <c r="JK919" s="16"/>
      <c r="JL919" s="16"/>
      <c r="JM919" s="16"/>
      <c r="JN919" s="17"/>
      <c r="JR919" s="24"/>
      <c r="JS919" s="60"/>
      <c r="JT919" s="16"/>
      <c r="JU919" s="16"/>
      <c r="JV919" s="16"/>
      <c r="JW919" s="16"/>
      <c r="JX919" s="16"/>
      <c r="JY919" s="17"/>
      <c r="KC919" s="24"/>
      <c r="KD919" s="60"/>
      <c r="KE919" s="16"/>
      <c r="KF919" s="16"/>
      <c r="KG919" s="16"/>
      <c r="KH919" s="16"/>
      <c r="KI919" s="16"/>
      <c r="KJ919" s="17"/>
      <c r="KN919" s="24"/>
      <c r="KO919" s="60"/>
      <c r="KP919" s="16"/>
      <c r="KQ919" s="16"/>
      <c r="KR919" s="16"/>
      <c r="KS919" s="16"/>
      <c r="KT919" s="16"/>
      <c r="KU919" s="17"/>
      <c r="KY919" s="24"/>
      <c r="KZ919" s="60"/>
      <c r="LA919" s="16"/>
      <c r="LB919" s="16"/>
      <c r="LC919" s="16"/>
      <c r="LD919" s="16"/>
      <c r="LE919" s="16"/>
      <c r="LF919" s="17"/>
      <c r="LJ919" s="24"/>
      <c r="LK919" s="60"/>
      <c r="LL919" s="16"/>
      <c r="LM919" s="16"/>
      <c r="LN919" s="16"/>
      <c r="LO919" s="16"/>
      <c r="LP919" s="16"/>
      <c r="LQ919" s="17"/>
    </row>
    <row r="920">
      <c r="C920" s="31"/>
      <c r="D920" s="61"/>
      <c r="E920" s="16"/>
      <c r="F920" s="16"/>
      <c r="G920" s="21"/>
      <c r="H920" s="16"/>
      <c r="I920" s="16"/>
      <c r="J920" s="17"/>
      <c r="N920" s="17"/>
      <c r="O920" s="61"/>
      <c r="P920" s="16"/>
      <c r="Q920" s="16"/>
      <c r="R920" s="16"/>
      <c r="S920" s="16"/>
      <c r="T920" s="16"/>
      <c r="U920" s="17"/>
      <c r="Y920" s="24"/>
      <c r="Z920" s="61"/>
      <c r="AA920" s="16"/>
      <c r="AB920" s="16"/>
      <c r="AC920" s="16"/>
      <c r="AD920" s="16"/>
      <c r="AE920" s="16"/>
      <c r="AF920" s="17"/>
      <c r="AJ920" s="24"/>
      <c r="AK920" s="61"/>
      <c r="AL920" s="16"/>
      <c r="AM920" s="16"/>
      <c r="AN920" s="16"/>
      <c r="AO920" s="16"/>
      <c r="AP920" s="16"/>
      <c r="AQ920" s="17"/>
      <c r="AU920" s="24"/>
      <c r="AV920" s="61"/>
      <c r="AW920" s="16"/>
      <c r="AX920" s="16"/>
      <c r="AY920" s="16"/>
      <c r="AZ920" s="16"/>
      <c r="BA920" s="16"/>
      <c r="BB920" s="17"/>
      <c r="BF920" s="24"/>
      <c r="BG920" s="61"/>
      <c r="BH920" s="16"/>
      <c r="BI920" s="16"/>
      <c r="BJ920" s="16"/>
      <c r="BK920" s="16"/>
      <c r="BL920" s="16"/>
      <c r="BM920" s="17"/>
      <c r="BQ920" s="24"/>
      <c r="BR920" s="61"/>
      <c r="BS920" s="16"/>
      <c r="BT920" s="16"/>
      <c r="BU920" s="16"/>
      <c r="BV920" s="16"/>
      <c r="BW920" s="16"/>
      <c r="BX920" s="17"/>
      <c r="CB920" s="24"/>
      <c r="CC920" s="61"/>
      <c r="CD920" s="16"/>
      <c r="CE920" s="16"/>
      <c r="CF920" s="16"/>
      <c r="CG920" s="16"/>
      <c r="CH920" s="16"/>
      <c r="CI920" s="17"/>
      <c r="CM920" s="24"/>
      <c r="CN920" s="61"/>
      <c r="CO920" s="16"/>
      <c r="CP920" s="16"/>
      <c r="CQ920" s="16"/>
      <c r="CR920" s="16"/>
      <c r="CS920" s="16"/>
      <c r="CT920" s="17"/>
      <c r="CX920" s="24"/>
      <c r="CY920" s="60"/>
      <c r="CZ920" s="16"/>
      <c r="DA920" s="16"/>
      <c r="DB920" s="16"/>
      <c r="DC920" s="16"/>
      <c r="DD920" s="16"/>
      <c r="DE920" s="17"/>
      <c r="DI920" s="24"/>
      <c r="DJ920" s="60"/>
      <c r="DK920" s="16"/>
      <c r="DL920" s="16"/>
      <c r="DM920" s="16"/>
      <c r="DN920" s="16"/>
      <c r="DO920" s="16"/>
      <c r="DP920" s="17"/>
      <c r="DT920" s="24"/>
      <c r="DU920" s="60"/>
      <c r="DV920" s="16"/>
      <c r="DW920" s="16"/>
      <c r="DX920" s="16"/>
      <c r="DY920" s="16"/>
      <c r="DZ920" s="16"/>
      <c r="EA920" s="17"/>
      <c r="EE920" s="24"/>
      <c r="EF920" s="60"/>
      <c r="EG920" s="16"/>
      <c r="EH920" s="16"/>
      <c r="EI920" s="16"/>
      <c r="EJ920" s="16"/>
      <c r="EK920" s="16"/>
      <c r="EL920" s="17"/>
      <c r="EP920" s="24"/>
      <c r="EQ920" s="60"/>
      <c r="ER920" s="16"/>
      <c r="ES920" s="16"/>
      <c r="ET920" s="16"/>
      <c r="EU920" s="16"/>
      <c r="EV920" s="16"/>
      <c r="EW920" s="17"/>
      <c r="FA920" s="24"/>
      <c r="FB920" s="60"/>
      <c r="FC920" s="16"/>
      <c r="FD920" s="16"/>
      <c r="FE920" s="16"/>
      <c r="FF920" s="16"/>
      <c r="FG920" s="16"/>
      <c r="FH920" s="17"/>
      <c r="FL920" s="24"/>
      <c r="FM920" s="60"/>
      <c r="FN920" s="16"/>
      <c r="FO920" s="16"/>
      <c r="FP920" s="16"/>
      <c r="FQ920" s="16"/>
      <c r="FR920" s="16"/>
      <c r="FS920" s="17"/>
      <c r="FW920" s="24"/>
      <c r="FX920" s="60"/>
      <c r="FY920" s="16"/>
      <c r="FZ920" s="16"/>
      <c r="GA920" s="16"/>
      <c r="GB920" s="16"/>
      <c r="GC920" s="16"/>
      <c r="GD920" s="17"/>
      <c r="GH920" s="24"/>
      <c r="GI920" s="60"/>
      <c r="GJ920" s="16"/>
      <c r="GK920" s="16"/>
      <c r="GL920" s="16"/>
      <c r="GM920" s="16"/>
      <c r="GN920" s="16"/>
      <c r="GO920" s="17"/>
      <c r="GS920" s="24"/>
      <c r="GT920" s="60"/>
      <c r="GU920" s="16"/>
      <c r="GV920" s="16"/>
      <c r="GW920" s="16"/>
      <c r="GX920" s="16"/>
      <c r="GY920" s="16"/>
      <c r="GZ920" s="17"/>
      <c r="HD920" s="24"/>
      <c r="HE920" s="60"/>
      <c r="HF920" s="16"/>
      <c r="HG920" s="16"/>
      <c r="HH920" s="16"/>
      <c r="HI920" s="16"/>
      <c r="HJ920" s="16"/>
      <c r="HK920" s="17"/>
      <c r="HO920" s="24"/>
      <c r="HP920" s="60"/>
      <c r="HQ920" s="16"/>
      <c r="HR920" s="16"/>
      <c r="HS920" s="16"/>
      <c r="HT920" s="16"/>
      <c r="HU920" s="16"/>
      <c r="HV920" s="17"/>
      <c r="HZ920" s="24"/>
      <c r="IA920" s="60"/>
      <c r="IB920" s="16"/>
      <c r="IC920" s="16"/>
      <c r="ID920" s="16"/>
      <c r="IE920" s="16"/>
      <c r="IF920" s="16"/>
      <c r="IG920" s="17"/>
      <c r="IK920" s="24"/>
      <c r="IL920" s="60"/>
      <c r="IM920" s="16"/>
      <c r="IN920" s="16"/>
      <c r="IO920" s="16"/>
      <c r="IP920" s="16"/>
      <c r="IQ920" s="16"/>
      <c r="IR920" s="17"/>
      <c r="IV920" s="24"/>
      <c r="IW920" s="60"/>
      <c r="IX920" s="16"/>
      <c r="IY920" s="16"/>
      <c r="IZ920" s="16"/>
      <c r="JA920" s="16"/>
      <c r="JB920" s="16"/>
      <c r="JC920" s="17"/>
      <c r="JG920" s="24"/>
      <c r="JH920" s="60"/>
      <c r="JI920" s="16"/>
      <c r="JJ920" s="16"/>
      <c r="JK920" s="16"/>
      <c r="JL920" s="16"/>
      <c r="JM920" s="16"/>
      <c r="JN920" s="17"/>
      <c r="JR920" s="24"/>
      <c r="JS920" s="60"/>
      <c r="JT920" s="16"/>
      <c r="JU920" s="16"/>
      <c r="JV920" s="16"/>
      <c r="JW920" s="16"/>
      <c r="JX920" s="16"/>
      <c r="JY920" s="17"/>
      <c r="KC920" s="24"/>
      <c r="KD920" s="60"/>
      <c r="KE920" s="16"/>
      <c r="KF920" s="16"/>
      <c r="KG920" s="16"/>
      <c r="KH920" s="16"/>
      <c r="KI920" s="16"/>
      <c r="KJ920" s="17"/>
      <c r="KN920" s="24"/>
      <c r="KO920" s="60"/>
      <c r="KP920" s="16"/>
      <c r="KQ920" s="16"/>
      <c r="KR920" s="16"/>
      <c r="KS920" s="16"/>
      <c r="KT920" s="16"/>
      <c r="KU920" s="17"/>
      <c r="KY920" s="24"/>
      <c r="KZ920" s="60"/>
      <c r="LA920" s="16"/>
      <c r="LB920" s="16"/>
      <c r="LC920" s="16"/>
      <c r="LD920" s="16"/>
      <c r="LE920" s="16"/>
      <c r="LF920" s="17"/>
      <c r="LJ920" s="24"/>
      <c r="LK920" s="60"/>
      <c r="LL920" s="16"/>
      <c r="LM920" s="16"/>
      <c r="LN920" s="16"/>
      <c r="LO920" s="16"/>
      <c r="LP920" s="16"/>
      <c r="LQ920" s="17"/>
    </row>
    <row r="921">
      <c r="C921" s="31"/>
      <c r="D921" s="61"/>
      <c r="E921" s="16"/>
      <c r="F921" s="16"/>
      <c r="G921" s="21"/>
      <c r="H921" s="16"/>
      <c r="I921" s="16"/>
      <c r="J921" s="17"/>
      <c r="N921" s="17"/>
      <c r="O921" s="61"/>
      <c r="P921" s="16"/>
      <c r="Q921" s="16"/>
      <c r="R921" s="16"/>
      <c r="S921" s="16"/>
      <c r="T921" s="16"/>
      <c r="U921" s="17"/>
      <c r="Y921" s="24"/>
      <c r="Z921" s="61"/>
      <c r="AA921" s="16"/>
      <c r="AB921" s="16"/>
      <c r="AC921" s="16"/>
      <c r="AD921" s="16"/>
      <c r="AE921" s="16"/>
      <c r="AF921" s="17"/>
      <c r="AJ921" s="24"/>
      <c r="AK921" s="61"/>
      <c r="AL921" s="16"/>
      <c r="AM921" s="16"/>
      <c r="AN921" s="16"/>
      <c r="AO921" s="16"/>
      <c r="AP921" s="16"/>
      <c r="AQ921" s="17"/>
      <c r="AU921" s="24"/>
      <c r="AV921" s="61"/>
      <c r="AW921" s="16"/>
      <c r="AX921" s="16"/>
      <c r="AY921" s="16"/>
      <c r="AZ921" s="16"/>
      <c r="BA921" s="16"/>
      <c r="BB921" s="17"/>
      <c r="BF921" s="24"/>
      <c r="BG921" s="61"/>
      <c r="BH921" s="16"/>
      <c r="BI921" s="16"/>
      <c r="BJ921" s="16"/>
      <c r="BK921" s="16"/>
      <c r="BL921" s="16"/>
      <c r="BM921" s="17"/>
      <c r="BQ921" s="24"/>
      <c r="BR921" s="61"/>
      <c r="BS921" s="16"/>
      <c r="BT921" s="16"/>
      <c r="BU921" s="16"/>
      <c r="BV921" s="16"/>
      <c r="BW921" s="16"/>
      <c r="BX921" s="17"/>
      <c r="CB921" s="24"/>
      <c r="CC921" s="61"/>
      <c r="CD921" s="16"/>
      <c r="CE921" s="16"/>
      <c r="CF921" s="16"/>
      <c r="CG921" s="16"/>
      <c r="CH921" s="16"/>
      <c r="CI921" s="17"/>
      <c r="CM921" s="24"/>
      <c r="CN921" s="61"/>
      <c r="CO921" s="16"/>
      <c r="CP921" s="16"/>
      <c r="CQ921" s="16"/>
      <c r="CR921" s="16"/>
      <c r="CS921" s="16"/>
      <c r="CT921" s="17"/>
      <c r="CX921" s="24"/>
      <c r="CY921" s="60"/>
      <c r="CZ921" s="16"/>
      <c r="DA921" s="16"/>
      <c r="DB921" s="16"/>
      <c r="DC921" s="16"/>
      <c r="DD921" s="16"/>
      <c r="DE921" s="17"/>
      <c r="DI921" s="24"/>
      <c r="DJ921" s="60"/>
      <c r="DK921" s="16"/>
      <c r="DL921" s="16"/>
      <c r="DM921" s="16"/>
      <c r="DN921" s="16"/>
      <c r="DO921" s="16"/>
      <c r="DP921" s="17"/>
      <c r="DT921" s="24"/>
      <c r="DU921" s="60"/>
      <c r="DV921" s="16"/>
      <c r="DW921" s="16"/>
      <c r="DX921" s="16"/>
      <c r="DY921" s="16"/>
      <c r="DZ921" s="16"/>
      <c r="EA921" s="17"/>
      <c r="EE921" s="24"/>
      <c r="EF921" s="60"/>
      <c r="EG921" s="16"/>
      <c r="EH921" s="16"/>
      <c r="EI921" s="16"/>
      <c r="EJ921" s="16"/>
      <c r="EK921" s="16"/>
      <c r="EL921" s="17"/>
      <c r="EP921" s="24"/>
      <c r="EQ921" s="60"/>
      <c r="ER921" s="16"/>
      <c r="ES921" s="16"/>
      <c r="ET921" s="16"/>
      <c r="EU921" s="16"/>
      <c r="EV921" s="16"/>
      <c r="EW921" s="17"/>
      <c r="FA921" s="24"/>
      <c r="FB921" s="60"/>
      <c r="FC921" s="16"/>
      <c r="FD921" s="16"/>
      <c r="FE921" s="16"/>
      <c r="FF921" s="16"/>
      <c r="FG921" s="16"/>
      <c r="FH921" s="17"/>
      <c r="FL921" s="24"/>
      <c r="FM921" s="60"/>
      <c r="FN921" s="16"/>
      <c r="FO921" s="16"/>
      <c r="FP921" s="16"/>
      <c r="FQ921" s="16"/>
      <c r="FR921" s="16"/>
      <c r="FS921" s="17"/>
      <c r="FW921" s="24"/>
      <c r="FX921" s="60"/>
      <c r="FY921" s="16"/>
      <c r="FZ921" s="16"/>
      <c r="GA921" s="16"/>
      <c r="GB921" s="16"/>
      <c r="GC921" s="16"/>
      <c r="GD921" s="17"/>
      <c r="GH921" s="24"/>
      <c r="GI921" s="60"/>
      <c r="GJ921" s="16"/>
      <c r="GK921" s="16"/>
      <c r="GL921" s="16"/>
      <c r="GM921" s="16"/>
      <c r="GN921" s="16"/>
      <c r="GO921" s="17"/>
      <c r="GS921" s="24"/>
      <c r="GT921" s="60"/>
      <c r="GU921" s="16"/>
      <c r="GV921" s="16"/>
      <c r="GW921" s="16"/>
      <c r="GX921" s="16"/>
      <c r="GY921" s="16"/>
      <c r="GZ921" s="17"/>
      <c r="HD921" s="24"/>
      <c r="HE921" s="60"/>
      <c r="HF921" s="16"/>
      <c r="HG921" s="16"/>
      <c r="HH921" s="16"/>
      <c r="HI921" s="16"/>
      <c r="HJ921" s="16"/>
      <c r="HK921" s="17"/>
      <c r="HO921" s="24"/>
      <c r="HP921" s="60"/>
      <c r="HQ921" s="16"/>
      <c r="HR921" s="16"/>
      <c r="HS921" s="16"/>
      <c r="HT921" s="16"/>
      <c r="HU921" s="16"/>
      <c r="HV921" s="17"/>
      <c r="HZ921" s="24"/>
      <c r="IA921" s="60"/>
      <c r="IB921" s="16"/>
      <c r="IC921" s="16"/>
      <c r="ID921" s="16"/>
      <c r="IE921" s="16"/>
      <c r="IF921" s="16"/>
      <c r="IG921" s="17"/>
      <c r="IK921" s="24"/>
      <c r="IL921" s="60"/>
      <c r="IM921" s="16"/>
      <c r="IN921" s="16"/>
      <c r="IO921" s="16"/>
      <c r="IP921" s="16"/>
      <c r="IQ921" s="16"/>
      <c r="IR921" s="17"/>
      <c r="IV921" s="24"/>
      <c r="IW921" s="60"/>
      <c r="IX921" s="16"/>
      <c r="IY921" s="16"/>
      <c r="IZ921" s="16"/>
      <c r="JA921" s="16"/>
      <c r="JB921" s="16"/>
      <c r="JC921" s="17"/>
      <c r="JG921" s="24"/>
      <c r="JH921" s="60"/>
      <c r="JI921" s="16"/>
      <c r="JJ921" s="16"/>
      <c r="JK921" s="16"/>
      <c r="JL921" s="16"/>
      <c r="JM921" s="16"/>
      <c r="JN921" s="17"/>
      <c r="JR921" s="24"/>
      <c r="JS921" s="60"/>
      <c r="JT921" s="16"/>
      <c r="JU921" s="16"/>
      <c r="JV921" s="16"/>
      <c r="JW921" s="16"/>
      <c r="JX921" s="16"/>
      <c r="JY921" s="17"/>
      <c r="KC921" s="24"/>
      <c r="KD921" s="60"/>
      <c r="KE921" s="16"/>
      <c r="KF921" s="16"/>
      <c r="KG921" s="16"/>
      <c r="KH921" s="16"/>
      <c r="KI921" s="16"/>
      <c r="KJ921" s="17"/>
      <c r="KN921" s="24"/>
      <c r="KO921" s="60"/>
      <c r="KP921" s="16"/>
      <c r="KQ921" s="16"/>
      <c r="KR921" s="16"/>
      <c r="KS921" s="16"/>
      <c r="KT921" s="16"/>
      <c r="KU921" s="17"/>
      <c r="KY921" s="24"/>
      <c r="KZ921" s="60"/>
      <c r="LA921" s="16"/>
      <c r="LB921" s="16"/>
      <c r="LC921" s="16"/>
      <c r="LD921" s="16"/>
      <c r="LE921" s="16"/>
      <c r="LF921" s="17"/>
      <c r="LJ921" s="24"/>
      <c r="LK921" s="60"/>
      <c r="LL921" s="16"/>
      <c r="LM921" s="16"/>
      <c r="LN921" s="16"/>
      <c r="LO921" s="16"/>
      <c r="LP921" s="16"/>
      <c r="LQ921" s="17"/>
    </row>
    <row r="922">
      <c r="C922" s="31"/>
      <c r="D922" s="61"/>
      <c r="E922" s="16"/>
      <c r="F922" s="16"/>
      <c r="G922" s="21"/>
      <c r="H922" s="16"/>
      <c r="I922" s="16"/>
      <c r="J922" s="17"/>
      <c r="N922" s="17"/>
      <c r="O922" s="61"/>
      <c r="P922" s="16"/>
      <c r="Q922" s="16"/>
      <c r="R922" s="16"/>
      <c r="S922" s="16"/>
      <c r="T922" s="16"/>
      <c r="U922" s="17"/>
      <c r="Y922" s="24"/>
      <c r="Z922" s="61"/>
      <c r="AA922" s="16"/>
      <c r="AB922" s="16"/>
      <c r="AC922" s="16"/>
      <c r="AD922" s="16"/>
      <c r="AE922" s="16"/>
      <c r="AF922" s="17"/>
      <c r="AJ922" s="24"/>
      <c r="AK922" s="61"/>
      <c r="AL922" s="16"/>
      <c r="AM922" s="16"/>
      <c r="AN922" s="16"/>
      <c r="AO922" s="16"/>
      <c r="AP922" s="16"/>
      <c r="AQ922" s="17"/>
      <c r="AU922" s="24"/>
      <c r="AV922" s="61"/>
      <c r="AW922" s="16"/>
      <c r="AX922" s="16"/>
      <c r="AY922" s="16"/>
      <c r="AZ922" s="16"/>
      <c r="BA922" s="16"/>
      <c r="BB922" s="17"/>
      <c r="BF922" s="24"/>
      <c r="BG922" s="61"/>
      <c r="BH922" s="16"/>
      <c r="BI922" s="16"/>
      <c r="BJ922" s="16"/>
      <c r="BK922" s="16"/>
      <c r="BL922" s="16"/>
      <c r="BM922" s="17"/>
      <c r="BQ922" s="24"/>
      <c r="BR922" s="61"/>
      <c r="BS922" s="16"/>
      <c r="BT922" s="16"/>
      <c r="BU922" s="16"/>
      <c r="BV922" s="16"/>
      <c r="BW922" s="16"/>
      <c r="BX922" s="17"/>
      <c r="CB922" s="24"/>
      <c r="CC922" s="61"/>
      <c r="CD922" s="16"/>
      <c r="CE922" s="16"/>
      <c r="CF922" s="16"/>
      <c r="CG922" s="16"/>
      <c r="CH922" s="16"/>
      <c r="CI922" s="17"/>
      <c r="CM922" s="24"/>
      <c r="CN922" s="61"/>
      <c r="CO922" s="16"/>
      <c r="CP922" s="16"/>
      <c r="CQ922" s="16"/>
      <c r="CR922" s="16"/>
      <c r="CS922" s="16"/>
      <c r="CT922" s="17"/>
      <c r="CX922" s="24"/>
      <c r="CY922" s="60"/>
      <c r="CZ922" s="16"/>
      <c r="DA922" s="16"/>
      <c r="DB922" s="16"/>
      <c r="DC922" s="16"/>
      <c r="DD922" s="16"/>
      <c r="DE922" s="17"/>
      <c r="DI922" s="24"/>
      <c r="DJ922" s="60"/>
      <c r="DK922" s="16"/>
      <c r="DL922" s="16"/>
      <c r="DM922" s="16"/>
      <c r="DN922" s="16"/>
      <c r="DO922" s="16"/>
      <c r="DP922" s="17"/>
      <c r="DT922" s="24"/>
      <c r="DU922" s="60"/>
      <c r="DV922" s="16"/>
      <c r="DW922" s="16"/>
      <c r="DX922" s="16"/>
      <c r="DY922" s="16"/>
      <c r="DZ922" s="16"/>
      <c r="EA922" s="17"/>
      <c r="EE922" s="24"/>
      <c r="EF922" s="60"/>
      <c r="EG922" s="16"/>
      <c r="EH922" s="16"/>
      <c r="EI922" s="16"/>
      <c r="EJ922" s="16"/>
      <c r="EK922" s="16"/>
      <c r="EL922" s="17"/>
      <c r="EP922" s="24"/>
      <c r="EQ922" s="60"/>
      <c r="ER922" s="16"/>
      <c r="ES922" s="16"/>
      <c r="ET922" s="16"/>
      <c r="EU922" s="16"/>
      <c r="EV922" s="16"/>
      <c r="EW922" s="17"/>
      <c r="FA922" s="24"/>
      <c r="FB922" s="60"/>
      <c r="FC922" s="16"/>
      <c r="FD922" s="16"/>
      <c r="FE922" s="16"/>
      <c r="FF922" s="16"/>
      <c r="FG922" s="16"/>
      <c r="FH922" s="17"/>
      <c r="FL922" s="24"/>
      <c r="FM922" s="60"/>
      <c r="FN922" s="16"/>
      <c r="FO922" s="16"/>
      <c r="FP922" s="16"/>
      <c r="FQ922" s="16"/>
      <c r="FR922" s="16"/>
      <c r="FS922" s="17"/>
      <c r="FW922" s="24"/>
      <c r="FX922" s="60"/>
      <c r="FY922" s="16"/>
      <c r="FZ922" s="16"/>
      <c r="GA922" s="16"/>
      <c r="GB922" s="16"/>
      <c r="GC922" s="16"/>
      <c r="GD922" s="17"/>
      <c r="GH922" s="24"/>
      <c r="GI922" s="60"/>
      <c r="GJ922" s="16"/>
      <c r="GK922" s="16"/>
      <c r="GL922" s="16"/>
      <c r="GM922" s="16"/>
      <c r="GN922" s="16"/>
      <c r="GO922" s="17"/>
      <c r="GS922" s="24"/>
      <c r="GT922" s="60"/>
      <c r="GU922" s="16"/>
      <c r="GV922" s="16"/>
      <c r="GW922" s="16"/>
      <c r="GX922" s="16"/>
      <c r="GY922" s="16"/>
      <c r="GZ922" s="17"/>
      <c r="HD922" s="24"/>
      <c r="HE922" s="60"/>
      <c r="HF922" s="16"/>
      <c r="HG922" s="16"/>
      <c r="HH922" s="16"/>
      <c r="HI922" s="16"/>
      <c r="HJ922" s="16"/>
      <c r="HK922" s="17"/>
      <c r="HO922" s="24"/>
      <c r="HP922" s="60"/>
      <c r="HQ922" s="16"/>
      <c r="HR922" s="16"/>
      <c r="HS922" s="16"/>
      <c r="HT922" s="16"/>
      <c r="HU922" s="16"/>
      <c r="HV922" s="17"/>
      <c r="HZ922" s="24"/>
      <c r="IA922" s="60"/>
      <c r="IB922" s="16"/>
      <c r="IC922" s="16"/>
      <c r="ID922" s="16"/>
      <c r="IE922" s="16"/>
      <c r="IF922" s="16"/>
      <c r="IG922" s="17"/>
      <c r="IK922" s="24"/>
      <c r="IL922" s="60"/>
      <c r="IM922" s="16"/>
      <c r="IN922" s="16"/>
      <c r="IO922" s="16"/>
      <c r="IP922" s="16"/>
      <c r="IQ922" s="16"/>
      <c r="IR922" s="17"/>
      <c r="IV922" s="24"/>
      <c r="IW922" s="60"/>
      <c r="IX922" s="16"/>
      <c r="IY922" s="16"/>
      <c r="IZ922" s="16"/>
      <c r="JA922" s="16"/>
      <c r="JB922" s="16"/>
      <c r="JC922" s="17"/>
      <c r="JG922" s="24"/>
      <c r="JH922" s="60"/>
      <c r="JI922" s="16"/>
      <c r="JJ922" s="16"/>
      <c r="JK922" s="16"/>
      <c r="JL922" s="16"/>
      <c r="JM922" s="16"/>
      <c r="JN922" s="17"/>
      <c r="JR922" s="24"/>
      <c r="JS922" s="60"/>
      <c r="JT922" s="16"/>
      <c r="JU922" s="16"/>
      <c r="JV922" s="16"/>
      <c r="JW922" s="16"/>
      <c r="JX922" s="16"/>
      <c r="JY922" s="17"/>
      <c r="KC922" s="24"/>
      <c r="KD922" s="60"/>
      <c r="KE922" s="16"/>
      <c r="KF922" s="16"/>
      <c r="KG922" s="16"/>
      <c r="KH922" s="16"/>
      <c r="KI922" s="16"/>
      <c r="KJ922" s="17"/>
      <c r="KN922" s="24"/>
      <c r="KO922" s="60"/>
      <c r="KP922" s="16"/>
      <c r="KQ922" s="16"/>
      <c r="KR922" s="16"/>
      <c r="KS922" s="16"/>
      <c r="KT922" s="16"/>
      <c r="KU922" s="17"/>
      <c r="KY922" s="24"/>
      <c r="KZ922" s="60"/>
      <c r="LA922" s="16"/>
      <c r="LB922" s="16"/>
      <c r="LC922" s="16"/>
      <c r="LD922" s="16"/>
      <c r="LE922" s="16"/>
      <c r="LF922" s="17"/>
      <c r="LJ922" s="24"/>
      <c r="LK922" s="60"/>
      <c r="LL922" s="16"/>
      <c r="LM922" s="16"/>
      <c r="LN922" s="16"/>
      <c r="LO922" s="16"/>
      <c r="LP922" s="16"/>
      <c r="LQ922" s="17"/>
    </row>
    <row r="923">
      <c r="C923" s="31"/>
      <c r="D923" s="61"/>
      <c r="E923" s="16"/>
      <c r="F923" s="16"/>
      <c r="G923" s="21"/>
      <c r="H923" s="16"/>
      <c r="I923" s="16"/>
      <c r="J923" s="17"/>
      <c r="N923" s="17"/>
      <c r="O923" s="61"/>
      <c r="P923" s="16"/>
      <c r="Q923" s="16"/>
      <c r="R923" s="16"/>
      <c r="S923" s="16"/>
      <c r="T923" s="16"/>
      <c r="U923" s="17"/>
      <c r="Y923" s="24"/>
      <c r="Z923" s="61"/>
      <c r="AA923" s="16"/>
      <c r="AB923" s="16"/>
      <c r="AC923" s="16"/>
      <c r="AD923" s="16"/>
      <c r="AE923" s="16"/>
      <c r="AF923" s="17"/>
      <c r="AJ923" s="24"/>
      <c r="AK923" s="61"/>
      <c r="AL923" s="16"/>
      <c r="AM923" s="16"/>
      <c r="AN923" s="16"/>
      <c r="AO923" s="16"/>
      <c r="AP923" s="16"/>
      <c r="AQ923" s="17"/>
      <c r="AU923" s="24"/>
      <c r="AV923" s="61"/>
      <c r="AW923" s="16"/>
      <c r="AX923" s="16"/>
      <c r="AY923" s="16"/>
      <c r="AZ923" s="16"/>
      <c r="BA923" s="16"/>
      <c r="BB923" s="17"/>
      <c r="BF923" s="24"/>
      <c r="BG923" s="61"/>
      <c r="BH923" s="16"/>
      <c r="BI923" s="16"/>
      <c r="BJ923" s="16"/>
      <c r="BK923" s="16"/>
      <c r="BL923" s="16"/>
      <c r="BM923" s="17"/>
      <c r="BQ923" s="24"/>
      <c r="BR923" s="61"/>
      <c r="BS923" s="16"/>
      <c r="BT923" s="16"/>
      <c r="BU923" s="16"/>
      <c r="BV923" s="16"/>
      <c r="BW923" s="16"/>
      <c r="BX923" s="17"/>
      <c r="CB923" s="24"/>
      <c r="CC923" s="61"/>
      <c r="CD923" s="16"/>
      <c r="CE923" s="16"/>
      <c r="CF923" s="16"/>
      <c r="CG923" s="16"/>
      <c r="CH923" s="16"/>
      <c r="CI923" s="17"/>
      <c r="CM923" s="24"/>
      <c r="CN923" s="61"/>
      <c r="CO923" s="16"/>
      <c r="CP923" s="16"/>
      <c r="CQ923" s="16"/>
      <c r="CR923" s="16"/>
      <c r="CS923" s="16"/>
      <c r="CT923" s="17"/>
      <c r="CX923" s="24"/>
      <c r="CY923" s="60"/>
      <c r="CZ923" s="16"/>
      <c r="DA923" s="16"/>
      <c r="DB923" s="16"/>
      <c r="DC923" s="16"/>
      <c r="DD923" s="16"/>
      <c r="DE923" s="17"/>
      <c r="DI923" s="24"/>
      <c r="DJ923" s="60"/>
      <c r="DK923" s="16"/>
      <c r="DL923" s="16"/>
      <c r="DM923" s="16"/>
      <c r="DN923" s="16"/>
      <c r="DO923" s="16"/>
      <c r="DP923" s="17"/>
      <c r="DT923" s="24"/>
      <c r="DU923" s="60"/>
      <c r="DV923" s="16"/>
      <c r="DW923" s="16"/>
      <c r="DX923" s="16"/>
      <c r="DY923" s="16"/>
      <c r="DZ923" s="16"/>
      <c r="EA923" s="17"/>
      <c r="EE923" s="24"/>
      <c r="EF923" s="60"/>
      <c r="EG923" s="16"/>
      <c r="EH923" s="16"/>
      <c r="EI923" s="16"/>
      <c r="EJ923" s="16"/>
      <c r="EK923" s="16"/>
      <c r="EL923" s="17"/>
      <c r="EP923" s="24"/>
      <c r="EQ923" s="60"/>
      <c r="ER923" s="16"/>
      <c r="ES923" s="16"/>
      <c r="ET923" s="16"/>
      <c r="EU923" s="16"/>
      <c r="EV923" s="16"/>
      <c r="EW923" s="17"/>
      <c r="FA923" s="24"/>
      <c r="FB923" s="60"/>
      <c r="FC923" s="16"/>
      <c r="FD923" s="16"/>
      <c r="FE923" s="16"/>
      <c r="FF923" s="16"/>
      <c r="FG923" s="16"/>
      <c r="FH923" s="17"/>
      <c r="FL923" s="24"/>
      <c r="FM923" s="60"/>
      <c r="FN923" s="16"/>
      <c r="FO923" s="16"/>
      <c r="FP923" s="16"/>
      <c r="FQ923" s="16"/>
      <c r="FR923" s="16"/>
      <c r="FS923" s="17"/>
      <c r="FW923" s="24"/>
      <c r="FX923" s="60"/>
      <c r="FY923" s="16"/>
      <c r="FZ923" s="16"/>
      <c r="GA923" s="16"/>
      <c r="GB923" s="16"/>
      <c r="GC923" s="16"/>
      <c r="GD923" s="17"/>
      <c r="GH923" s="24"/>
      <c r="GI923" s="60"/>
      <c r="GJ923" s="16"/>
      <c r="GK923" s="16"/>
      <c r="GL923" s="16"/>
      <c r="GM923" s="16"/>
      <c r="GN923" s="16"/>
      <c r="GO923" s="17"/>
      <c r="GS923" s="24"/>
      <c r="GT923" s="60"/>
      <c r="GU923" s="16"/>
      <c r="GV923" s="16"/>
      <c r="GW923" s="16"/>
      <c r="GX923" s="16"/>
      <c r="GY923" s="16"/>
      <c r="GZ923" s="17"/>
      <c r="HD923" s="24"/>
      <c r="HE923" s="60"/>
      <c r="HF923" s="16"/>
      <c r="HG923" s="16"/>
      <c r="HH923" s="16"/>
      <c r="HI923" s="16"/>
      <c r="HJ923" s="16"/>
      <c r="HK923" s="17"/>
      <c r="HO923" s="24"/>
      <c r="HP923" s="60"/>
      <c r="HQ923" s="16"/>
      <c r="HR923" s="16"/>
      <c r="HS923" s="16"/>
      <c r="HT923" s="16"/>
      <c r="HU923" s="16"/>
      <c r="HV923" s="17"/>
      <c r="HZ923" s="24"/>
      <c r="IA923" s="60"/>
      <c r="IB923" s="16"/>
      <c r="IC923" s="16"/>
      <c r="ID923" s="16"/>
      <c r="IE923" s="16"/>
      <c r="IF923" s="16"/>
      <c r="IG923" s="17"/>
      <c r="IK923" s="24"/>
      <c r="IL923" s="60"/>
      <c r="IM923" s="16"/>
      <c r="IN923" s="16"/>
      <c r="IO923" s="16"/>
      <c r="IP923" s="16"/>
      <c r="IQ923" s="16"/>
      <c r="IR923" s="17"/>
      <c r="IV923" s="24"/>
      <c r="IW923" s="60"/>
      <c r="IX923" s="16"/>
      <c r="IY923" s="16"/>
      <c r="IZ923" s="16"/>
      <c r="JA923" s="16"/>
      <c r="JB923" s="16"/>
      <c r="JC923" s="17"/>
      <c r="JG923" s="24"/>
      <c r="JH923" s="60"/>
      <c r="JI923" s="16"/>
      <c r="JJ923" s="16"/>
      <c r="JK923" s="16"/>
      <c r="JL923" s="16"/>
      <c r="JM923" s="16"/>
      <c r="JN923" s="17"/>
      <c r="JR923" s="24"/>
      <c r="JS923" s="60"/>
      <c r="JT923" s="16"/>
      <c r="JU923" s="16"/>
      <c r="JV923" s="16"/>
      <c r="JW923" s="16"/>
      <c r="JX923" s="16"/>
      <c r="JY923" s="17"/>
      <c r="KC923" s="24"/>
      <c r="KD923" s="60"/>
      <c r="KE923" s="16"/>
      <c r="KF923" s="16"/>
      <c r="KG923" s="16"/>
      <c r="KH923" s="16"/>
      <c r="KI923" s="16"/>
      <c r="KJ923" s="17"/>
      <c r="KN923" s="24"/>
      <c r="KO923" s="60"/>
      <c r="KP923" s="16"/>
      <c r="KQ923" s="16"/>
      <c r="KR923" s="16"/>
      <c r="KS923" s="16"/>
      <c r="KT923" s="16"/>
      <c r="KU923" s="17"/>
      <c r="KY923" s="24"/>
      <c r="KZ923" s="60"/>
      <c r="LA923" s="16"/>
      <c r="LB923" s="16"/>
      <c r="LC923" s="16"/>
      <c r="LD923" s="16"/>
      <c r="LE923" s="16"/>
      <c r="LF923" s="17"/>
      <c r="LJ923" s="24"/>
      <c r="LK923" s="60"/>
      <c r="LL923" s="16"/>
      <c r="LM923" s="16"/>
      <c r="LN923" s="16"/>
      <c r="LO923" s="16"/>
      <c r="LP923" s="16"/>
      <c r="LQ923" s="17"/>
    </row>
    <row r="924">
      <c r="C924" s="31"/>
      <c r="D924" s="61"/>
      <c r="E924" s="16"/>
      <c r="F924" s="16"/>
      <c r="G924" s="21"/>
      <c r="H924" s="16"/>
      <c r="I924" s="16"/>
      <c r="J924" s="17"/>
      <c r="N924" s="17"/>
      <c r="O924" s="61"/>
      <c r="P924" s="16"/>
      <c r="Q924" s="16"/>
      <c r="R924" s="16"/>
      <c r="S924" s="16"/>
      <c r="T924" s="16"/>
      <c r="U924" s="17"/>
      <c r="Y924" s="24"/>
      <c r="Z924" s="61"/>
      <c r="AA924" s="16"/>
      <c r="AB924" s="16"/>
      <c r="AC924" s="16"/>
      <c r="AD924" s="16"/>
      <c r="AE924" s="16"/>
      <c r="AF924" s="17"/>
      <c r="AJ924" s="24"/>
      <c r="AK924" s="61"/>
      <c r="AL924" s="16"/>
      <c r="AM924" s="16"/>
      <c r="AN924" s="16"/>
      <c r="AO924" s="16"/>
      <c r="AP924" s="16"/>
      <c r="AQ924" s="17"/>
      <c r="AU924" s="24"/>
      <c r="AV924" s="61"/>
      <c r="AW924" s="16"/>
      <c r="AX924" s="16"/>
      <c r="AY924" s="16"/>
      <c r="AZ924" s="16"/>
      <c r="BA924" s="16"/>
      <c r="BB924" s="17"/>
      <c r="BF924" s="24"/>
      <c r="BG924" s="61"/>
      <c r="BH924" s="16"/>
      <c r="BI924" s="16"/>
      <c r="BJ924" s="16"/>
      <c r="BK924" s="16"/>
      <c r="BL924" s="16"/>
      <c r="BM924" s="17"/>
      <c r="BQ924" s="24"/>
      <c r="BR924" s="61"/>
      <c r="BS924" s="16"/>
      <c r="BT924" s="16"/>
      <c r="BU924" s="16"/>
      <c r="BV924" s="16"/>
      <c r="BW924" s="16"/>
      <c r="BX924" s="17"/>
      <c r="CB924" s="24"/>
      <c r="CC924" s="61"/>
      <c r="CD924" s="16"/>
      <c r="CE924" s="16"/>
      <c r="CF924" s="16"/>
      <c r="CG924" s="16"/>
      <c r="CH924" s="16"/>
      <c r="CI924" s="17"/>
      <c r="CM924" s="24"/>
      <c r="CN924" s="61"/>
      <c r="CO924" s="16"/>
      <c r="CP924" s="16"/>
      <c r="CQ924" s="16"/>
      <c r="CR924" s="16"/>
      <c r="CS924" s="16"/>
      <c r="CT924" s="17"/>
      <c r="CX924" s="24"/>
      <c r="CY924" s="60"/>
      <c r="CZ924" s="16"/>
      <c r="DA924" s="16"/>
      <c r="DB924" s="16"/>
      <c r="DC924" s="16"/>
      <c r="DD924" s="16"/>
      <c r="DE924" s="17"/>
      <c r="DI924" s="24"/>
      <c r="DJ924" s="60"/>
      <c r="DK924" s="16"/>
      <c r="DL924" s="16"/>
      <c r="DM924" s="16"/>
      <c r="DN924" s="16"/>
      <c r="DO924" s="16"/>
      <c r="DP924" s="17"/>
      <c r="DT924" s="24"/>
      <c r="DU924" s="60"/>
      <c r="DV924" s="16"/>
      <c r="DW924" s="16"/>
      <c r="DX924" s="16"/>
      <c r="DY924" s="16"/>
      <c r="DZ924" s="16"/>
      <c r="EA924" s="17"/>
      <c r="EE924" s="24"/>
      <c r="EF924" s="60"/>
      <c r="EG924" s="16"/>
      <c r="EH924" s="16"/>
      <c r="EI924" s="16"/>
      <c r="EJ924" s="16"/>
      <c r="EK924" s="16"/>
      <c r="EL924" s="17"/>
      <c r="EP924" s="24"/>
      <c r="EQ924" s="60"/>
      <c r="ER924" s="16"/>
      <c r="ES924" s="16"/>
      <c r="ET924" s="16"/>
      <c r="EU924" s="16"/>
      <c r="EV924" s="16"/>
      <c r="EW924" s="17"/>
      <c r="FA924" s="24"/>
      <c r="FB924" s="60"/>
      <c r="FC924" s="16"/>
      <c r="FD924" s="16"/>
      <c r="FE924" s="16"/>
      <c r="FF924" s="16"/>
      <c r="FG924" s="16"/>
      <c r="FH924" s="17"/>
      <c r="FL924" s="24"/>
      <c r="FM924" s="60"/>
      <c r="FN924" s="16"/>
      <c r="FO924" s="16"/>
      <c r="FP924" s="16"/>
      <c r="FQ924" s="16"/>
      <c r="FR924" s="16"/>
      <c r="FS924" s="17"/>
      <c r="FW924" s="24"/>
      <c r="FX924" s="60"/>
      <c r="FY924" s="16"/>
      <c r="FZ924" s="16"/>
      <c r="GA924" s="16"/>
      <c r="GB924" s="16"/>
      <c r="GC924" s="16"/>
      <c r="GD924" s="17"/>
      <c r="GH924" s="24"/>
      <c r="GI924" s="60"/>
      <c r="GJ924" s="16"/>
      <c r="GK924" s="16"/>
      <c r="GL924" s="16"/>
      <c r="GM924" s="16"/>
      <c r="GN924" s="16"/>
      <c r="GO924" s="17"/>
      <c r="GS924" s="24"/>
      <c r="GT924" s="60"/>
      <c r="GU924" s="16"/>
      <c r="GV924" s="16"/>
      <c r="GW924" s="16"/>
      <c r="GX924" s="16"/>
      <c r="GY924" s="16"/>
      <c r="GZ924" s="17"/>
      <c r="HD924" s="24"/>
      <c r="HE924" s="60"/>
      <c r="HF924" s="16"/>
      <c r="HG924" s="16"/>
      <c r="HH924" s="16"/>
      <c r="HI924" s="16"/>
      <c r="HJ924" s="16"/>
      <c r="HK924" s="17"/>
      <c r="HO924" s="24"/>
      <c r="HP924" s="60"/>
      <c r="HQ924" s="16"/>
      <c r="HR924" s="16"/>
      <c r="HS924" s="16"/>
      <c r="HT924" s="16"/>
      <c r="HU924" s="16"/>
      <c r="HV924" s="17"/>
      <c r="HZ924" s="24"/>
      <c r="IA924" s="60"/>
      <c r="IB924" s="16"/>
      <c r="IC924" s="16"/>
      <c r="ID924" s="16"/>
      <c r="IE924" s="16"/>
      <c r="IF924" s="16"/>
      <c r="IG924" s="17"/>
      <c r="IK924" s="24"/>
      <c r="IL924" s="60"/>
      <c r="IM924" s="16"/>
      <c r="IN924" s="16"/>
      <c r="IO924" s="16"/>
      <c r="IP924" s="16"/>
      <c r="IQ924" s="16"/>
      <c r="IR924" s="17"/>
      <c r="IV924" s="24"/>
      <c r="IW924" s="60"/>
      <c r="IX924" s="16"/>
      <c r="IY924" s="16"/>
      <c r="IZ924" s="16"/>
      <c r="JA924" s="16"/>
      <c r="JB924" s="16"/>
      <c r="JC924" s="17"/>
      <c r="JG924" s="24"/>
      <c r="JH924" s="60"/>
      <c r="JI924" s="16"/>
      <c r="JJ924" s="16"/>
      <c r="JK924" s="16"/>
      <c r="JL924" s="16"/>
      <c r="JM924" s="16"/>
      <c r="JN924" s="17"/>
      <c r="JR924" s="24"/>
      <c r="JS924" s="60"/>
      <c r="JT924" s="16"/>
      <c r="JU924" s="16"/>
      <c r="JV924" s="16"/>
      <c r="JW924" s="16"/>
      <c r="JX924" s="16"/>
      <c r="JY924" s="17"/>
      <c r="KC924" s="24"/>
      <c r="KD924" s="60"/>
      <c r="KE924" s="16"/>
      <c r="KF924" s="16"/>
      <c r="KG924" s="16"/>
      <c r="KH924" s="16"/>
      <c r="KI924" s="16"/>
      <c r="KJ924" s="17"/>
      <c r="KN924" s="24"/>
      <c r="KO924" s="60"/>
      <c r="KP924" s="16"/>
      <c r="KQ924" s="16"/>
      <c r="KR924" s="16"/>
      <c r="KS924" s="16"/>
      <c r="KT924" s="16"/>
      <c r="KU924" s="17"/>
      <c r="KY924" s="24"/>
      <c r="KZ924" s="60"/>
      <c r="LA924" s="16"/>
      <c r="LB924" s="16"/>
      <c r="LC924" s="16"/>
      <c r="LD924" s="16"/>
      <c r="LE924" s="16"/>
      <c r="LF924" s="17"/>
      <c r="LJ924" s="24"/>
      <c r="LK924" s="60"/>
      <c r="LL924" s="16"/>
      <c r="LM924" s="16"/>
      <c r="LN924" s="16"/>
      <c r="LO924" s="16"/>
      <c r="LP924" s="16"/>
      <c r="LQ924" s="17"/>
    </row>
    <row r="925">
      <c r="C925" s="31"/>
      <c r="D925" s="61"/>
      <c r="E925" s="16"/>
      <c r="F925" s="16"/>
      <c r="G925" s="21"/>
      <c r="H925" s="16"/>
      <c r="I925" s="16"/>
      <c r="J925" s="17"/>
      <c r="N925" s="17"/>
      <c r="O925" s="61"/>
      <c r="P925" s="16"/>
      <c r="Q925" s="16"/>
      <c r="R925" s="16"/>
      <c r="S925" s="16"/>
      <c r="T925" s="16"/>
      <c r="U925" s="17"/>
      <c r="Y925" s="24"/>
      <c r="Z925" s="61"/>
      <c r="AA925" s="16"/>
      <c r="AB925" s="16"/>
      <c r="AC925" s="16"/>
      <c r="AD925" s="16"/>
      <c r="AE925" s="16"/>
      <c r="AF925" s="17"/>
      <c r="AJ925" s="24"/>
      <c r="AK925" s="61"/>
      <c r="AL925" s="16"/>
      <c r="AM925" s="16"/>
      <c r="AN925" s="16"/>
      <c r="AO925" s="16"/>
      <c r="AP925" s="16"/>
      <c r="AQ925" s="17"/>
      <c r="AU925" s="24"/>
      <c r="AV925" s="61"/>
      <c r="AW925" s="16"/>
      <c r="AX925" s="16"/>
      <c r="AY925" s="16"/>
      <c r="AZ925" s="16"/>
      <c r="BA925" s="16"/>
      <c r="BB925" s="17"/>
      <c r="BF925" s="24"/>
      <c r="BG925" s="61"/>
      <c r="BH925" s="16"/>
      <c r="BI925" s="16"/>
      <c r="BJ925" s="16"/>
      <c r="BK925" s="16"/>
      <c r="BL925" s="16"/>
      <c r="BM925" s="17"/>
      <c r="BQ925" s="24"/>
      <c r="BR925" s="61"/>
      <c r="BS925" s="16"/>
      <c r="BT925" s="16"/>
      <c r="BU925" s="16"/>
      <c r="BV925" s="16"/>
      <c r="BW925" s="16"/>
      <c r="BX925" s="17"/>
      <c r="CB925" s="24"/>
      <c r="CC925" s="61"/>
      <c r="CD925" s="16"/>
      <c r="CE925" s="16"/>
      <c r="CF925" s="16"/>
      <c r="CG925" s="16"/>
      <c r="CH925" s="16"/>
      <c r="CI925" s="17"/>
      <c r="CM925" s="24"/>
      <c r="CN925" s="61"/>
      <c r="CO925" s="16"/>
      <c r="CP925" s="16"/>
      <c r="CQ925" s="16"/>
      <c r="CR925" s="16"/>
      <c r="CS925" s="16"/>
      <c r="CT925" s="17"/>
      <c r="CX925" s="24"/>
      <c r="CY925" s="60"/>
      <c r="CZ925" s="16"/>
      <c r="DA925" s="16"/>
      <c r="DB925" s="16"/>
      <c r="DC925" s="16"/>
      <c r="DD925" s="16"/>
      <c r="DE925" s="17"/>
      <c r="DI925" s="24"/>
      <c r="DJ925" s="60"/>
      <c r="DK925" s="16"/>
      <c r="DL925" s="16"/>
      <c r="DM925" s="16"/>
      <c r="DN925" s="16"/>
      <c r="DO925" s="16"/>
      <c r="DP925" s="17"/>
      <c r="DT925" s="24"/>
      <c r="DU925" s="60"/>
      <c r="DV925" s="16"/>
      <c r="DW925" s="16"/>
      <c r="DX925" s="16"/>
      <c r="DY925" s="16"/>
      <c r="DZ925" s="16"/>
      <c r="EA925" s="17"/>
      <c r="EE925" s="24"/>
      <c r="EF925" s="60"/>
      <c r="EG925" s="16"/>
      <c r="EH925" s="16"/>
      <c r="EI925" s="16"/>
      <c r="EJ925" s="16"/>
      <c r="EK925" s="16"/>
      <c r="EL925" s="17"/>
      <c r="EP925" s="24"/>
      <c r="EQ925" s="60"/>
      <c r="ER925" s="16"/>
      <c r="ES925" s="16"/>
      <c r="ET925" s="16"/>
      <c r="EU925" s="16"/>
      <c r="EV925" s="16"/>
      <c r="EW925" s="17"/>
      <c r="FA925" s="24"/>
      <c r="FB925" s="60"/>
      <c r="FC925" s="16"/>
      <c r="FD925" s="16"/>
      <c r="FE925" s="16"/>
      <c r="FF925" s="16"/>
      <c r="FG925" s="16"/>
      <c r="FH925" s="17"/>
      <c r="FL925" s="24"/>
      <c r="FM925" s="60"/>
      <c r="FN925" s="16"/>
      <c r="FO925" s="16"/>
      <c r="FP925" s="16"/>
      <c r="FQ925" s="16"/>
      <c r="FR925" s="16"/>
      <c r="FS925" s="17"/>
      <c r="FW925" s="24"/>
      <c r="FX925" s="60"/>
      <c r="FY925" s="16"/>
      <c r="FZ925" s="16"/>
      <c r="GA925" s="16"/>
      <c r="GB925" s="16"/>
      <c r="GC925" s="16"/>
      <c r="GD925" s="17"/>
      <c r="GH925" s="24"/>
      <c r="GI925" s="60"/>
      <c r="GJ925" s="16"/>
      <c r="GK925" s="16"/>
      <c r="GL925" s="16"/>
      <c r="GM925" s="16"/>
      <c r="GN925" s="16"/>
      <c r="GO925" s="17"/>
      <c r="GS925" s="24"/>
      <c r="GT925" s="60"/>
      <c r="GU925" s="16"/>
      <c r="GV925" s="16"/>
      <c r="GW925" s="16"/>
      <c r="GX925" s="16"/>
      <c r="GY925" s="16"/>
      <c r="GZ925" s="17"/>
      <c r="HD925" s="24"/>
      <c r="HE925" s="60"/>
      <c r="HF925" s="16"/>
      <c r="HG925" s="16"/>
      <c r="HH925" s="16"/>
      <c r="HI925" s="16"/>
      <c r="HJ925" s="16"/>
      <c r="HK925" s="17"/>
      <c r="HO925" s="24"/>
      <c r="HP925" s="60"/>
      <c r="HQ925" s="16"/>
      <c r="HR925" s="16"/>
      <c r="HS925" s="16"/>
      <c r="HT925" s="16"/>
      <c r="HU925" s="16"/>
      <c r="HV925" s="17"/>
      <c r="HZ925" s="24"/>
      <c r="IA925" s="60"/>
      <c r="IB925" s="16"/>
      <c r="IC925" s="16"/>
      <c r="ID925" s="16"/>
      <c r="IE925" s="16"/>
      <c r="IF925" s="16"/>
      <c r="IG925" s="17"/>
      <c r="IK925" s="24"/>
      <c r="IL925" s="60"/>
      <c r="IM925" s="16"/>
      <c r="IN925" s="16"/>
      <c r="IO925" s="16"/>
      <c r="IP925" s="16"/>
      <c r="IQ925" s="16"/>
      <c r="IR925" s="17"/>
      <c r="IV925" s="24"/>
      <c r="IW925" s="60"/>
      <c r="IX925" s="16"/>
      <c r="IY925" s="16"/>
      <c r="IZ925" s="16"/>
      <c r="JA925" s="16"/>
      <c r="JB925" s="16"/>
      <c r="JC925" s="17"/>
      <c r="JG925" s="24"/>
      <c r="JH925" s="60"/>
      <c r="JI925" s="16"/>
      <c r="JJ925" s="16"/>
      <c r="JK925" s="16"/>
      <c r="JL925" s="16"/>
      <c r="JM925" s="16"/>
      <c r="JN925" s="17"/>
      <c r="JR925" s="24"/>
      <c r="JS925" s="60"/>
      <c r="JT925" s="16"/>
      <c r="JU925" s="16"/>
      <c r="JV925" s="16"/>
      <c r="JW925" s="16"/>
      <c r="JX925" s="16"/>
      <c r="JY925" s="17"/>
      <c r="KC925" s="24"/>
      <c r="KD925" s="60"/>
      <c r="KE925" s="16"/>
      <c r="KF925" s="16"/>
      <c r="KG925" s="16"/>
      <c r="KH925" s="16"/>
      <c r="KI925" s="16"/>
      <c r="KJ925" s="17"/>
      <c r="KN925" s="24"/>
      <c r="KO925" s="60"/>
      <c r="KP925" s="16"/>
      <c r="KQ925" s="16"/>
      <c r="KR925" s="16"/>
      <c r="KS925" s="16"/>
      <c r="KT925" s="16"/>
      <c r="KU925" s="17"/>
      <c r="KY925" s="24"/>
      <c r="KZ925" s="60"/>
      <c r="LA925" s="16"/>
      <c r="LB925" s="16"/>
      <c r="LC925" s="16"/>
      <c r="LD925" s="16"/>
      <c r="LE925" s="16"/>
      <c r="LF925" s="17"/>
      <c r="LJ925" s="24"/>
      <c r="LK925" s="60"/>
      <c r="LL925" s="16"/>
      <c r="LM925" s="16"/>
      <c r="LN925" s="16"/>
      <c r="LO925" s="16"/>
      <c r="LP925" s="16"/>
      <c r="LQ925" s="17"/>
    </row>
    <row r="926">
      <c r="C926" s="31"/>
      <c r="D926" s="61"/>
      <c r="E926" s="16"/>
      <c r="F926" s="16"/>
      <c r="G926" s="21"/>
      <c r="H926" s="16"/>
      <c r="I926" s="16"/>
      <c r="J926" s="17"/>
      <c r="N926" s="17"/>
      <c r="O926" s="61"/>
      <c r="P926" s="16"/>
      <c r="Q926" s="16"/>
      <c r="R926" s="16"/>
      <c r="S926" s="16"/>
      <c r="T926" s="16"/>
      <c r="U926" s="17"/>
      <c r="Y926" s="24"/>
      <c r="Z926" s="61"/>
      <c r="AA926" s="16"/>
      <c r="AB926" s="16"/>
      <c r="AC926" s="16"/>
      <c r="AD926" s="16"/>
      <c r="AE926" s="16"/>
      <c r="AF926" s="17"/>
      <c r="AJ926" s="24"/>
      <c r="AK926" s="61"/>
      <c r="AL926" s="16"/>
      <c r="AM926" s="16"/>
      <c r="AN926" s="16"/>
      <c r="AO926" s="16"/>
      <c r="AP926" s="16"/>
      <c r="AQ926" s="17"/>
      <c r="AU926" s="24"/>
      <c r="AV926" s="61"/>
      <c r="AW926" s="16"/>
      <c r="AX926" s="16"/>
      <c r="AY926" s="16"/>
      <c r="AZ926" s="16"/>
      <c r="BA926" s="16"/>
      <c r="BB926" s="17"/>
      <c r="BF926" s="24"/>
      <c r="BG926" s="61"/>
      <c r="BH926" s="16"/>
      <c r="BI926" s="16"/>
      <c r="BJ926" s="16"/>
      <c r="BK926" s="16"/>
      <c r="BL926" s="16"/>
      <c r="BM926" s="17"/>
      <c r="BQ926" s="24"/>
      <c r="BR926" s="61"/>
      <c r="BS926" s="16"/>
      <c r="BT926" s="16"/>
      <c r="BU926" s="16"/>
      <c r="BV926" s="16"/>
      <c r="BW926" s="16"/>
      <c r="BX926" s="17"/>
      <c r="CB926" s="24"/>
      <c r="CC926" s="61"/>
      <c r="CD926" s="16"/>
      <c r="CE926" s="16"/>
      <c r="CF926" s="16"/>
      <c r="CG926" s="16"/>
      <c r="CH926" s="16"/>
      <c r="CI926" s="17"/>
      <c r="CM926" s="24"/>
      <c r="CN926" s="61"/>
      <c r="CO926" s="16"/>
      <c r="CP926" s="16"/>
      <c r="CQ926" s="16"/>
      <c r="CR926" s="16"/>
      <c r="CS926" s="16"/>
      <c r="CT926" s="17"/>
      <c r="CX926" s="24"/>
      <c r="CY926" s="60"/>
      <c r="CZ926" s="16"/>
      <c r="DA926" s="16"/>
      <c r="DB926" s="16"/>
      <c r="DC926" s="16"/>
      <c r="DD926" s="16"/>
      <c r="DE926" s="17"/>
      <c r="DI926" s="24"/>
      <c r="DJ926" s="60"/>
      <c r="DK926" s="16"/>
      <c r="DL926" s="16"/>
      <c r="DM926" s="16"/>
      <c r="DN926" s="16"/>
      <c r="DO926" s="16"/>
      <c r="DP926" s="17"/>
      <c r="DT926" s="24"/>
      <c r="DU926" s="60"/>
      <c r="DV926" s="16"/>
      <c r="DW926" s="16"/>
      <c r="DX926" s="16"/>
      <c r="DY926" s="16"/>
      <c r="DZ926" s="16"/>
      <c r="EA926" s="17"/>
      <c r="EE926" s="24"/>
      <c r="EF926" s="60"/>
      <c r="EG926" s="16"/>
      <c r="EH926" s="16"/>
      <c r="EI926" s="16"/>
      <c r="EJ926" s="16"/>
      <c r="EK926" s="16"/>
      <c r="EL926" s="17"/>
      <c r="EP926" s="24"/>
      <c r="EQ926" s="60"/>
      <c r="ER926" s="16"/>
      <c r="ES926" s="16"/>
      <c r="ET926" s="16"/>
      <c r="EU926" s="16"/>
      <c r="EV926" s="16"/>
      <c r="EW926" s="17"/>
      <c r="FA926" s="24"/>
      <c r="FB926" s="60"/>
      <c r="FC926" s="16"/>
      <c r="FD926" s="16"/>
      <c r="FE926" s="16"/>
      <c r="FF926" s="16"/>
      <c r="FG926" s="16"/>
      <c r="FH926" s="17"/>
      <c r="FL926" s="24"/>
      <c r="FM926" s="60"/>
      <c r="FN926" s="16"/>
      <c r="FO926" s="16"/>
      <c r="FP926" s="16"/>
      <c r="FQ926" s="16"/>
      <c r="FR926" s="16"/>
      <c r="FS926" s="17"/>
      <c r="FW926" s="24"/>
      <c r="FX926" s="60"/>
      <c r="FY926" s="16"/>
      <c r="FZ926" s="16"/>
      <c r="GA926" s="16"/>
      <c r="GB926" s="16"/>
      <c r="GC926" s="16"/>
      <c r="GD926" s="17"/>
      <c r="GH926" s="24"/>
      <c r="GI926" s="60"/>
      <c r="GJ926" s="16"/>
      <c r="GK926" s="16"/>
      <c r="GL926" s="16"/>
      <c r="GM926" s="16"/>
      <c r="GN926" s="16"/>
      <c r="GO926" s="17"/>
      <c r="GS926" s="24"/>
      <c r="GT926" s="60"/>
      <c r="GU926" s="16"/>
      <c r="GV926" s="16"/>
      <c r="GW926" s="16"/>
      <c r="GX926" s="16"/>
      <c r="GY926" s="16"/>
      <c r="GZ926" s="17"/>
      <c r="HD926" s="24"/>
      <c r="HE926" s="60"/>
      <c r="HF926" s="16"/>
      <c r="HG926" s="16"/>
      <c r="HH926" s="16"/>
      <c r="HI926" s="16"/>
      <c r="HJ926" s="16"/>
      <c r="HK926" s="17"/>
      <c r="HO926" s="24"/>
      <c r="HP926" s="60"/>
      <c r="HQ926" s="16"/>
      <c r="HR926" s="16"/>
      <c r="HS926" s="16"/>
      <c r="HT926" s="16"/>
      <c r="HU926" s="16"/>
      <c r="HV926" s="17"/>
      <c r="HZ926" s="24"/>
      <c r="IA926" s="60"/>
      <c r="IB926" s="16"/>
      <c r="IC926" s="16"/>
      <c r="ID926" s="16"/>
      <c r="IE926" s="16"/>
      <c r="IF926" s="16"/>
      <c r="IG926" s="17"/>
      <c r="IK926" s="24"/>
      <c r="IL926" s="60"/>
      <c r="IM926" s="16"/>
      <c r="IN926" s="16"/>
      <c r="IO926" s="16"/>
      <c r="IP926" s="16"/>
      <c r="IQ926" s="16"/>
      <c r="IR926" s="17"/>
      <c r="IV926" s="24"/>
      <c r="IW926" s="60"/>
      <c r="IX926" s="16"/>
      <c r="IY926" s="16"/>
      <c r="IZ926" s="16"/>
      <c r="JA926" s="16"/>
      <c r="JB926" s="16"/>
      <c r="JC926" s="17"/>
      <c r="JG926" s="24"/>
      <c r="JH926" s="60"/>
      <c r="JI926" s="16"/>
      <c r="JJ926" s="16"/>
      <c r="JK926" s="16"/>
      <c r="JL926" s="16"/>
      <c r="JM926" s="16"/>
      <c r="JN926" s="17"/>
      <c r="JR926" s="24"/>
      <c r="JS926" s="60"/>
      <c r="JT926" s="16"/>
      <c r="JU926" s="16"/>
      <c r="JV926" s="16"/>
      <c r="JW926" s="16"/>
      <c r="JX926" s="16"/>
      <c r="JY926" s="17"/>
      <c r="KC926" s="24"/>
      <c r="KD926" s="60"/>
      <c r="KE926" s="16"/>
      <c r="KF926" s="16"/>
      <c r="KG926" s="16"/>
      <c r="KH926" s="16"/>
      <c r="KI926" s="16"/>
      <c r="KJ926" s="17"/>
      <c r="KN926" s="24"/>
      <c r="KO926" s="60"/>
      <c r="KP926" s="16"/>
      <c r="KQ926" s="16"/>
      <c r="KR926" s="16"/>
      <c r="KS926" s="16"/>
      <c r="KT926" s="16"/>
      <c r="KU926" s="17"/>
      <c r="KY926" s="24"/>
      <c r="KZ926" s="60"/>
      <c r="LA926" s="16"/>
      <c r="LB926" s="16"/>
      <c r="LC926" s="16"/>
      <c r="LD926" s="16"/>
      <c r="LE926" s="16"/>
      <c r="LF926" s="17"/>
      <c r="LJ926" s="24"/>
      <c r="LK926" s="60"/>
      <c r="LL926" s="16"/>
      <c r="LM926" s="16"/>
      <c r="LN926" s="16"/>
      <c r="LO926" s="16"/>
      <c r="LP926" s="16"/>
      <c r="LQ926" s="17"/>
    </row>
    <row r="927">
      <c r="C927" s="31"/>
      <c r="D927" s="61"/>
      <c r="E927" s="16"/>
      <c r="F927" s="16"/>
      <c r="G927" s="21"/>
      <c r="H927" s="16"/>
      <c r="I927" s="16"/>
      <c r="J927" s="17"/>
      <c r="N927" s="17"/>
      <c r="O927" s="61"/>
      <c r="P927" s="16"/>
      <c r="Q927" s="16"/>
      <c r="R927" s="16"/>
      <c r="S927" s="16"/>
      <c r="T927" s="16"/>
      <c r="U927" s="17"/>
      <c r="Y927" s="24"/>
      <c r="Z927" s="61"/>
      <c r="AA927" s="16"/>
      <c r="AB927" s="16"/>
      <c r="AC927" s="16"/>
      <c r="AD927" s="16"/>
      <c r="AE927" s="16"/>
      <c r="AF927" s="17"/>
      <c r="AJ927" s="24"/>
      <c r="AK927" s="61"/>
      <c r="AL927" s="16"/>
      <c r="AM927" s="16"/>
      <c r="AN927" s="16"/>
      <c r="AO927" s="16"/>
      <c r="AP927" s="16"/>
      <c r="AQ927" s="17"/>
      <c r="AU927" s="24"/>
      <c r="AV927" s="61"/>
      <c r="AW927" s="16"/>
      <c r="AX927" s="16"/>
      <c r="AY927" s="16"/>
      <c r="AZ927" s="16"/>
      <c r="BA927" s="16"/>
      <c r="BB927" s="17"/>
      <c r="BF927" s="24"/>
      <c r="BG927" s="61"/>
      <c r="BH927" s="16"/>
      <c r="BI927" s="16"/>
      <c r="BJ927" s="16"/>
      <c r="BK927" s="16"/>
      <c r="BL927" s="16"/>
      <c r="BM927" s="17"/>
      <c r="BQ927" s="24"/>
      <c r="BR927" s="61"/>
      <c r="BS927" s="16"/>
      <c r="BT927" s="16"/>
      <c r="BU927" s="16"/>
      <c r="BV927" s="16"/>
      <c r="BW927" s="16"/>
      <c r="BX927" s="17"/>
      <c r="CB927" s="24"/>
      <c r="CC927" s="61"/>
      <c r="CD927" s="16"/>
      <c r="CE927" s="16"/>
      <c r="CF927" s="16"/>
      <c r="CG927" s="16"/>
      <c r="CH927" s="16"/>
      <c r="CI927" s="17"/>
      <c r="CM927" s="24"/>
      <c r="CN927" s="61"/>
      <c r="CO927" s="16"/>
      <c r="CP927" s="16"/>
      <c r="CQ927" s="16"/>
      <c r="CR927" s="16"/>
      <c r="CS927" s="16"/>
      <c r="CT927" s="17"/>
      <c r="CX927" s="24"/>
      <c r="CY927" s="60"/>
      <c r="CZ927" s="16"/>
      <c r="DA927" s="16"/>
      <c r="DB927" s="16"/>
      <c r="DC927" s="16"/>
      <c r="DD927" s="16"/>
      <c r="DE927" s="17"/>
      <c r="DI927" s="24"/>
      <c r="DJ927" s="60"/>
      <c r="DK927" s="16"/>
      <c r="DL927" s="16"/>
      <c r="DM927" s="16"/>
      <c r="DN927" s="16"/>
      <c r="DO927" s="16"/>
      <c r="DP927" s="17"/>
      <c r="DT927" s="24"/>
      <c r="DU927" s="60"/>
      <c r="DV927" s="16"/>
      <c r="DW927" s="16"/>
      <c r="DX927" s="16"/>
      <c r="DY927" s="16"/>
      <c r="DZ927" s="16"/>
      <c r="EA927" s="17"/>
      <c r="EE927" s="24"/>
      <c r="EF927" s="60"/>
      <c r="EG927" s="16"/>
      <c r="EH927" s="16"/>
      <c r="EI927" s="16"/>
      <c r="EJ927" s="16"/>
      <c r="EK927" s="16"/>
      <c r="EL927" s="17"/>
      <c r="EP927" s="24"/>
      <c r="EQ927" s="60"/>
      <c r="ER927" s="16"/>
      <c r="ES927" s="16"/>
      <c r="ET927" s="16"/>
      <c r="EU927" s="16"/>
      <c r="EV927" s="16"/>
      <c r="EW927" s="17"/>
      <c r="FA927" s="24"/>
      <c r="FB927" s="60"/>
      <c r="FC927" s="16"/>
      <c r="FD927" s="16"/>
      <c r="FE927" s="16"/>
      <c r="FF927" s="16"/>
      <c r="FG927" s="16"/>
      <c r="FH927" s="17"/>
      <c r="FL927" s="24"/>
      <c r="FM927" s="60"/>
      <c r="FN927" s="16"/>
      <c r="FO927" s="16"/>
      <c r="FP927" s="16"/>
      <c r="FQ927" s="16"/>
      <c r="FR927" s="16"/>
      <c r="FS927" s="17"/>
      <c r="FW927" s="24"/>
      <c r="FX927" s="60"/>
      <c r="FY927" s="16"/>
      <c r="FZ927" s="16"/>
      <c r="GA927" s="16"/>
      <c r="GB927" s="16"/>
      <c r="GC927" s="16"/>
      <c r="GD927" s="17"/>
      <c r="GH927" s="24"/>
      <c r="GI927" s="60"/>
      <c r="GJ927" s="16"/>
      <c r="GK927" s="16"/>
      <c r="GL927" s="16"/>
      <c r="GM927" s="16"/>
      <c r="GN927" s="16"/>
      <c r="GO927" s="17"/>
      <c r="GS927" s="24"/>
      <c r="GT927" s="60"/>
      <c r="GU927" s="16"/>
      <c r="GV927" s="16"/>
      <c r="GW927" s="16"/>
      <c r="GX927" s="16"/>
      <c r="GY927" s="16"/>
      <c r="GZ927" s="17"/>
      <c r="HD927" s="24"/>
      <c r="HE927" s="60"/>
      <c r="HF927" s="16"/>
      <c r="HG927" s="16"/>
      <c r="HH927" s="16"/>
      <c r="HI927" s="16"/>
      <c r="HJ927" s="16"/>
      <c r="HK927" s="17"/>
      <c r="HO927" s="24"/>
      <c r="HP927" s="60"/>
      <c r="HQ927" s="16"/>
      <c r="HR927" s="16"/>
      <c r="HS927" s="16"/>
      <c r="HT927" s="16"/>
      <c r="HU927" s="16"/>
      <c r="HV927" s="17"/>
      <c r="HZ927" s="24"/>
      <c r="IA927" s="60"/>
      <c r="IB927" s="16"/>
      <c r="IC927" s="16"/>
      <c r="ID927" s="16"/>
      <c r="IE927" s="16"/>
      <c r="IF927" s="16"/>
      <c r="IG927" s="17"/>
      <c r="IK927" s="24"/>
      <c r="IL927" s="60"/>
      <c r="IM927" s="16"/>
      <c r="IN927" s="16"/>
      <c r="IO927" s="16"/>
      <c r="IP927" s="16"/>
      <c r="IQ927" s="16"/>
      <c r="IR927" s="17"/>
      <c r="IV927" s="24"/>
      <c r="IW927" s="60"/>
      <c r="IX927" s="16"/>
      <c r="IY927" s="16"/>
      <c r="IZ927" s="16"/>
      <c r="JA927" s="16"/>
      <c r="JB927" s="16"/>
      <c r="JC927" s="17"/>
      <c r="JG927" s="24"/>
      <c r="JH927" s="60"/>
      <c r="JI927" s="16"/>
      <c r="JJ927" s="16"/>
      <c r="JK927" s="16"/>
      <c r="JL927" s="16"/>
      <c r="JM927" s="16"/>
      <c r="JN927" s="17"/>
      <c r="JR927" s="24"/>
      <c r="JS927" s="60"/>
      <c r="JT927" s="16"/>
      <c r="JU927" s="16"/>
      <c r="JV927" s="16"/>
      <c r="JW927" s="16"/>
      <c r="JX927" s="16"/>
      <c r="JY927" s="17"/>
      <c r="KC927" s="24"/>
      <c r="KD927" s="60"/>
      <c r="KE927" s="16"/>
      <c r="KF927" s="16"/>
      <c r="KG927" s="16"/>
      <c r="KH927" s="16"/>
      <c r="KI927" s="16"/>
      <c r="KJ927" s="17"/>
      <c r="KN927" s="24"/>
      <c r="KO927" s="60"/>
      <c r="KP927" s="16"/>
      <c r="KQ927" s="16"/>
      <c r="KR927" s="16"/>
      <c r="KS927" s="16"/>
      <c r="KT927" s="16"/>
      <c r="KU927" s="17"/>
      <c r="KY927" s="24"/>
      <c r="KZ927" s="60"/>
      <c r="LA927" s="16"/>
      <c r="LB927" s="16"/>
      <c r="LC927" s="16"/>
      <c r="LD927" s="16"/>
      <c r="LE927" s="16"/>
      <c r="LF927" s="17"/>
      <c r="LJ927" s="24"/>
      <c r="LK927" s="60"/>
      <c r="LL927" s="16"/>
      <c r="LM927" s="16"/>
      <c r="LN927" s="16"/>
      <c r="LO927" s="16"/>
      <c r="LP927" s="16"/>
      <c r="LQ927" s="17"/>
    </row>
    <row r="928">
      <c r="C928" s="31"/>
      <c r="D928" s="61"/>
      <c r="E928" s="16"/>
      <c r="F928" s="16"/>
      <c r="G928" s="21"/>
      <c r="H928" s="16"/>
      <c r="I928" s="16"/>
      <c r="J928" s="17"/>
      <c r="N928" s="17"/>
      <c r="O928" s="61"/>
      <c r="P928" s="16"/>
      <c r="Q928" s="16"/>
      <c r="R928" s="16"/>
      <c r="S928" s="16"/>
      <c r="T928" s="16"/>
      <c r="U928" s="17"/>
      <c r="Y928" s="24"/>
      <c r="Z928" s="61"/>
      <c r="AA928" s="16"/>
      <c r="AB928" s="16"/>
      <c r="AC928" s="16"/>
      <c r="AD928" s="16"/>
      <c r="AE928" s="16"/>
      <c r="AF928" s="17"/>
      <c r="AJ928" s="24"/>
      <c r="AK928" s="61"/>
      <c r="AL928" s="16"/>
      <c r="AM928" s="16"/>
      <c r="AN928" s="16"/>
      <c r="AO928" s="16"/>
      <c r="AP928" s="16"/>
      <c r="AQ928" s="17"/>
      <c r="AU928" s="24"/>
      <c r="AV928" s="61"/>
      <c r="AW928" s="16"/>
      <c r="AX928" s="16"/>
      <c r="AY928" s="16"/>
      <c r="AZ928" s="16"/>
      <c r="BA928" s="16"/>
      <c r="BB928" s="17"/>
      <c r="BF928" s="24"/>
      <c r="BG928" s="61"/>
      <c r="BH928" s="16"/>
      <c r="BI928" s="16"/>
      <c r="BJ928" s="16"/>
      <c r="BK928" s="16"/>
      <c r="BL928" s="16"/>
      <c r="BM928" s="17"/>
      <c r="BQ928" s="24"/>
      <c r="BR928" s="61"/>
      <c r="BS928" s="16"/>
      <c r="BT928" s="16"/>
      <c r="BU928" s="16"/>
      <c r="BV928" s="16"/>
      <c r="BW928" s="16"/>
      <c r="BX928" s="17"/>
      <c r="CB928" s="24"/>
      <c r="CC928" s="61"/>
      <c r="CD928" s="16"/>
      <c r="CE928" s="16"/>
      <c r="CF928" s="16"/>
      <c r="CG928" s="16"/>
      <c r="CH928" s="16"/>
      <c r="CI928" s="17"/>
      <c r="CM928" s="24"/>
      <c r="CN928" s="61"/>
      <c r="CO928" s="16"/>
      <c r="CP928" s="16"/>
      <c r="CQ928" s="16"/>
      <c r="CR928" s="16"/>
      <c r="CS928" s="16"/>
      <c r="CT928" s="17"/>
      <c r="CX928" s="24"/>
      <c r="CY928" s="60"/>
      <c r="CZ928" s="16"/>
      <c r="DA928" s="16"/>
      <c r="DB928" s="16"/>
      <c r="DC928" s="16"/>
      <c r="DD928" s="16"/>
      <c r="DE928" s="17"/>
      <c r="DI928" s="24"/>
      <c r="DJ928" s="60"/>
      <c r="DK928" s="16"/>
      <c r="DL928" s="16"/>
      <c r="DM928" s="16"/>
      <c r="DN928" s="16"/>
      <c r="DO928" s="16"/>
      <c r="DP928" s="17"/>
      <c r="DT928" s="24"/>
      <c r="DU928" s="60"/>
      <c r="DV928" s="16"/>
      <c r="DW928" s="16"/>
      <c r="DX928" s="16"/>
      <c r="DY928" s="16"/>
      <c r="DZ928" s="16"/>
      <c r="EA928" s="17"/>
      <c r="EE928" s="24"/>
      <c r="EF928" s="60"/>
      <c r="EG928" s="16"/>
      <c r="EH928" s="16"/>
      <c r="EI928" s="16"/>
      <c r="EJ928" s="16"/>
      <c r="EK928" s="16"/>
      <c r="EL928" s="17"/>
      <c r="EP928" s="24"/>
      <c r="EQ928" s="60"/>
      <c r="ER928" s="16"/>
      <c r="ES928" s="16"/>
      <c r="ET928" s="16"/>
      <c r="EU928" s="16"/>
      <c r="EV928" s="16"/>
      <c r="EW928" s="17"/>
      <c r="FA928" s="24"/>
      <c r="FB928" s="60"/>
      <c r="FC928" s="16"/>
      <c r="FD928" s="16"/>
      <c r="FE928" s="16"/>
      <c r="FF928" s="16"/>
      <c r="FG928" s="16"/>
      <c r="FH928" s="17"/>
      <c r="FL928" s="24"/>
      <c r="FM928" s="60"/>
      <c r="FN928" s="16"/>
      <c r="FO928" s="16"/>
      <c r="FP928" s="16"/>
      <c r="FQ928" s="16"/>
      <c r="FR928" s="16"/>
      <c r="FS928" s="17"/>
      <c r="FW928" s="24"/>
      <c r="FX928" s="60"/>
      <c r="FY928" s="16"/>
      <c r="FZ928" s="16"/>
      <c r="GA928" s="16"/>
      <c r="GB928" s="16"/>
      <c r="GC928" s="16"/>
      <c r="GD928" s="17"/>
      <c r="GH928" s="24"/>
      <c r="GI928" s="60"/>
      <c r="GJ928" s="16"/>
      <c r="GK928" s="16"/>
      <c r="GL928" s="16"/>
      <c r="GM928" s="16"/>
      <c r="GN928" s="16"/>
      <c r="GO928" s="17"/>
      <c r="GS928" s="24"/>
      <c r="GT928" s="60"/>
      <c r="GU928" s="16"/>
      <c r="GV928" s="16"/>
      <c r="GW928" s="16"/>
      <c r="GX928" s="16"/>
      <c r="GY928" s="16"/>
      <c r="GZ928" s="17"/>
      <c r="HD928" s="24"/>
      <c r="HE928" s="60"/>
      <c r="HF928" s="16"/>
      <c r="HG928" s="16"/>
      <c r="HH928" s="16"/>
      <c r="HI928" s="16"/>
      <c r="HJ928" s="16"/>
      <c r="HK928" s="17"/>
      <c r="HO928" s="24"/>
      <c r="HP928" s="60"/>
      <c r="HQ928" s="16"/>
      <c r="HR928" s="16"/>
      <c r="HS928" s="16"/>
      <c r="HT928" s="16"/>
      <c r="HU928" s="16"/>
      <c r="HV928" s="17"/>
      <c r="HZ928" s="24"/>
      <c r="IA928" s="60"/>
      <c r="IB928" s="16"/>
      <c r="IC928" s="16"/>
      <c r="ID928" s="16"/>
      <c r="IE928" s="16"/>
      <c r="IF928" s="16"/>
      <c r="IG928" s="17"/>
      <c r="IK928" s="24"/>
      <c r="IL928" s="60"/>
      <c r="IM928" s="16"/>
      <c r="IN928" s="16"/>
      <c r="IO928" s="16"/>
      <c r="IP928" s="16"/>
      <c r="IQ928" s="16"/>
      <c r="IR928" s="17"/>
      <c r="IV928" s="24"/>
      <c r="IW928" s="60"/>
      <c r="IX928" s="16"/>
      <c r="IY928" s="16"/>
      <c r="IZ928" s="16"/>
      <c r="JA928" s="16"/>
      <c r="JB928" s="16"/>
      <c r="JC928" s="17"/>
      <c r="JG928" s="24"/>
      <c r="JH928" s="60"/>
      <c r="JI928" s="16"/>
      <c r="JJ928" s="16"/>
      <c r="JK928" s="16"/>
      <c r="JL928" s="16"/>
      <c r="JM928" s="16"/>
      <c r="JN928" s="17"/>
      <c r="JR928" s="24"/>
      <c r="JS928" s="60"/>
      <c r="JT928" s="16"/>
      <c r="JU928" s="16"/>
      <c r="JV928" s="16"/>
      <c r="JW928" s="16"/>
      <c r="JX928" s="16"/>
      <c r="JY928" s="17"/>
      <c r="KC928" s="24"/>
      <c r="KD928" s="60"/>
      <c r="KE928" s="16"/>
      <c r="KF928" s="16"/>
      <c r="KG928" s="16"/>
      <c r="KH928" s="16"/>
      <c r="KI928" s="16"/>
      <c r="KJ928" s="17"/>
      <c r="KN928" s="24"/>
      <c r="KO928" s="60"/>
      <c r="KP928" s="16"/>
      <c r="KQ928" s="16"/>
      <c r="KR928" s="16"/>
      <c r="KS928" s="16"/>
      <c r="KT928" s="16"/>
      <c r="KU928" s="17"/>
      <c r="KY928" s="24"/>
      <c r="KZ928" s="60"/>
      <c r="LA928" s="16"/>
      <c r="LB928" s="16"/>
      <c r="LC928" s="16"/>
      <c r="LD928" s="16"/>
      <c r="LE928" s="16"/>
      <c r="LF928" s="17"/>
      <c r="LJ928" s="24"/>
      <c r="LK928" s="60"/>
      <c r="LL928" s="16"/>
      <c r="LM928" s="16"/>
      <c r="LN928" s="16"/>
      <c r="LO928" s="16"/>
      <c r="LP928" s="16"/>
      <c r="LQ928" s="17"/>
    </row>
    <row r="929">
      <c r="C929" s="31"/>
      <c r="D929" s="61"/>
      <c r="E929" s="16"/>
      <c r="F929" s="16"/>
      <c r="G929" s="21"/>
      <c r="H929" s="16"/>
      <c r="I929" s="16"/>
      <c r="J929" s="17"/>
      <c r="N929" s="17"/>
      <c r="O929" s="61"/>
      <c r="P929" s="16"/>
      <c r="Q929" s="16"/>
      <c r="R929" s="16"/>
      <c r="S929" s="16"/>
      <c r="T929" s="16"/>
      <c r="U929" s="17"/>
      <c r="Y929" s="24"/>
      <c r="Z929" s="61"/>
      <c r="AA929" s="16"/>
      <c r="AB929" s="16"/>
      <c r="AC929" s="16"/>
      <c r="AD929" s="16"/>
      <c r="AE929" s="16"/>
      <c r="AF929" s="17"/>
      <c r="AJ929" s="24"/>
      <c r="AK929" s="61"/>
      <c r="AL929" s="16"/>
      <c r="AM929" s="16"/>
      <c r="AN929" s="16"/>
      <c r="AO929" s="16"/>
      <c r="AP929" s="16"/>
      <c r="AQ929" s="17"/>
      <c r="AU929" s="24"/>
      <c r="AV929" s="61"/>
      <c r="AW929" s="16"/>
      <c r="AX929" s="16"/>
      <c r="AY929" s="16"/>
      <c r="AZ929" s="16"/>
      <c r="BA929" s="16"/>
      <c r="BB929" s="17"/>
      <c r="BF929" s="24"/>
      <c r="BG929" s="61"/>
      <c r="BH929" s="16"/>
      <c r="BI929" s="16"/>
      <c r="BJ929" s="16"/>
      <c r="BK929" s="16"/>
      <c r="BL929" s="16"/>
      <c r="BM929" s="17"/>
      <c r="BQ929" s="24"/>
      <c r="BR929" s="61"/>
      <c r="BS929" s="16"/>
      <c r="BT929" s="16"/>
      <c r="BU929" s="16"/>
      <c r="BV929" s="16"/>
      <c r="BW929" s="16"/>
      <c r="BX929" s="17"/>
      <c r="CB929" s="24"/>
      <c r="CC929" s="61"/>
      <c r="CD929" s="16"/>
      <c r="CE929" s="16"/>
      <c r="CF929" s="16"/>
      <c r="CG929" s="16"/>
      <c r="CH929" s="16"/>
      <c r="CI929" s="17"/>
      <c r="CM929" s="24"/>
      <c r="CN929" s="61"/>
      <c r="CO929" s="16"/>
      <c r="CP929" s="16"/>
      <c r="CQ929" s="16"/>
      <c r="CR929" s="16"/>
      <c r="CS929" s="16"/>
      <c r="CT929" s="17"/>
      <c r="CX929" s="24"/>
      <c r="CY929" s="60"/>
      <c r="CZ929" s="16"/>
      <c r="DA929" s="16"/>
      <c r="DB929" s="16"/>
      <c r="DC929" s="16"/>
      <c r="DD929" s="16"/>
      <c r="DE929" s="17"/>
      <c r="DI929" s="24"/>
      <c r="DJ929" s="60"/>
      <c r="DK929" s="16"/>
      <c r="DL929" s="16"/>
      <c r="DM929" s="16"/>
      <c r="DN929" s="16"/>
      <c r="DO929" s="16"/>
      <c r="DP929" s="17"/>
      <c r="DT929" s="24"/>
      <c r="DU929" s="60"/>
      <c r="DV929" s="16"/>
      <c r="DW929" s="16"/>
      <c r="DX929" s="16"/>
      <c r="DY929" s="16"/>
      <c r="DZ929" s="16"/>
      <c r="EA929" s="17"/>
      <c r="EE929" s="24"/>
      <c r="EF929" s="60"/>
      <c r="EG929" s="16"/>
      <c r="EH929" s="16"/>
      <c r="EI929" s="16"/>
      <c r="EJ929" s="16"/>
      <c r="EK929" s="16"/>
      <c r="EL929" s="17"/>
      <c r="EP929" s="24"/>
      <c r="EQ929" s="60"/>
      <c r="ER929" s="16"/>
      <c r="ES929" s="16"/>
      <c r="ET929" s="16"/>
      <c r="EU929" s="16"/>
      <c r="EV929" s="16"/>
      <c r="EW929" s="17"/>
      <c r="FA929" s="24"/>
      <c r="FB929" s="60"/>
      <c r="FC929" s="16"/>
      <c r="FD929" s="16"/>
      <c r="FE929" s="16"/>
      <c r="FF929" s="16"/>
      <c r="FG929" s="16"/>
      <c r="FH929" s="17"/>
      <c r="FL929" s="24"/>
      <c r="FM929" s="60"/>
      <c r="FN929" s="16"/>
      <c r="FO929" s="16"/>
      <c r="FP929" s="16"/>
      <c r="FQ929" s="16"/>
      <c r="FR929" s="16"/>
      <c r="FS929" s="17"/>
      <c r="FW929" s="24"/>
      <c r="FX929" s="60"/>
      <c r="FY929" s="16"/>
      <c r="FZ929" s="16"/>
      <c r="GA929" s="16"/>
      <c r="GB929" s="16"/>
      <c r="GC929" s="16"/>
      <c r="GD929" s="17"/>
      <c r="GH929" s="24"/>
      <c r="GI929" s="60"/>
      <c r="GJ929" s="16"/>
      <c r="GK929" s="16"/>
      <c r="GL929" s="16"/>
      <c r="GM929" s="16"/>
      <c r="GN929" s="16"/>
      <c r="GO929" s="17"/>
      <c r="GS929" s="24"/>
      <c r="GT929" s="60"/>
      <c r="GU929" s="16"/>
      <c r="GV929" s="16"/>
      <c r="GW929" s="16"/>
      <c r="GX929" s="16"/>
      <c r="GY929" s="16"/>
      <c r="GZ929" s="17"/>
      <c r="HD929" s="24"/>
      <c r="HE929" s="60"/>
      <c r="HF929" s="16"/>
      <c r="HG929" s="16"/>
      <c r="HH929" s="16"/>
      <c r="HI929" s="16"/>
      <c r="HJ929" s="16"/>
      <c r="HK929" s="17"/>
      <c r="HO929" s="24"/>
      <c r="HP929" s="60"/>
      <c r="HQ929" s="16"/>
      <c r="HR929" s="16"/>
      <c r="HS929" s="16"/>
      <c r="HT929" s="16"/>
      <c r="HU929" s="16"/>
      <c r="HV929" s="17"/>
      <c r="HZ929" s="24"/>
      <c r="IA929" s="60"/>
      <c r="IB929" s="16"/>
      <c r="IC929" s="16"/>
      <c r="ID929" s="16"/>
      <c r="IE929" s="16"/>
      <c r="IF929" s="16"/>
      <c r="IG929" s="17"/>
      <c r="IK929" s="24"/>
      <c r="IL929" s="60"/>
      <c r="IM929" s="16"/>
      <c r="IN929" s="16"/>
      <c r="IO929" s="16"/>
      <c r="IP929" s="16"/>
      <c r="IQ929" s="16"/>
      <c r="IR929" s="17"/>
      <c r="IV929" s="24"/>
      <c r="IW929" s="60"/>
      <c r="IX929" s="16"/>
      <c r="IY929" s="16"/>
      <c r="IZ929" s="16"/>
      <c r="JA929" s="16"/>
      <c r="JB929" s="16"/>
      <c r="JC929" s="17"/>
      <c r="JG929" s="24"/>
      <c r="JH929" s="60"/>
      <c r="JI929" s="16"/>
      <c r="JJ929" s="16"/>
      <c r="JK929" s="16"/>
      <c r="JL929" s="16"/>
      <c r="JM929" s="16"/>
      <c r="JN929" s="17"/>
      <c r="JR929" s="24"/>
      <c r="JS929" s="60"/>
      <c r="JT929" s="16"/>
      <c r="JU929" s="16"/>
      <c r="JV929" s="16"/>
      <c r="JW929" s="16"/>
      <c r="JX929" s="16"/>
      <c r="JY929" s="17"/>
      <c r="KC929" s="24"/>
      <c r="KD929" s="60"/>
      <c r="KE929" s="16"/>
      <c r="KF929" s="16"/>
      <c r="KG929" s="16"/>
      <c r="KH929" s="16"/>
      <c r="KI929" s="16"/>
      <c r="KJ929" s="17"/>
      <c r="KN929" s="24"/>
      <c r="KO929" s="60"/>
      <c r="KP929" s="16"/>
      <c r="KQ929" s="16"/>
      <c r="KR929" s="16"/>
      <c r="KS929" s="16"/>
      <c r="KT929" s="16"/>
      <c r="KU929" s="17"/>
      <c r="KY929" s="24"/>
      <c r="KZ929" s="60"/>
      <c r="LA929" s="16"/>
      <c r="LB929" s="16"/>
      <c r="LC929" s="16"/>
      <c r="LD929" s="16"/>
      <c r="LE929" s="16"/>
      <c r="LF929" s="17"/>
      <c r="LJ929" s="24"/>
      <c r="LK929" s="60"/>
      <c r="LL929" s="16"/>
      <c r="LM929" s="16"/>
      <c r="LN929" s="16"/>
      <c r="LO929" s="16"/>
      <c r="LP929" s="16"/>
      <c r="LQ929" s="17"/>
    </row>
    <row r="930">
      <c r="C930" s="31"/>
      <c r="D930" s="61"/>
      <c r="E930" s="16"/>
      <c r="F930" s="16"/>
      <c r="G930" s="21"/>
      <c r="H930" s="16"/>
      <c r="I930" s="16"/>
      <c r="J930" s="17"/>
      <c r="N930" s="17"/>
      <c r="O930" s="61"/>
      <c r="P930" s="16"/>
      <c r="Q930" s="16"/>
      <c r="R930" s="16"/>
      <c r="S930" s="16"/>
      <c r="T930" s="16"/>
      <c r="U930" s="17"/>
      <c r="Y930" s="24"/>
      <c r="Z930" s="61"/>
      <c r="AA930" s="16"/>
      <c r="AB930" s="16"/>
      <c r="AC930" s="16"/>
      <c r="AD930" s="16"/>
      <c r="AE930" s="16"/>
      <c r="AF930" s="17"/>
      <c r="AJ930" s="24"/>
      <c r="AK930" s="61"/>
      <c r="AL930" s="16"/>
      <c r="AM930" s="16"/>
      <c r="AN930" s="16"/>
      <c r="AO930" s="16"/>
      <c r="AP930" s="16"/>
      <c r="AQ930" s="17"/>
      <c r="AU930" s="24"/>
      <c r="AV930" s="61"/>
      <c r="AW930" s="16"/>
      <c r="AX930" s="16"/>
      <c r="AY930" s="16"/>
      <c r="AZ930" s="16"/>
      <c r="BA930" s="16"/>
      <c r="BB930" s="17"/>
      <c r="BF930" s="24"/>
      <c r="BG930" s="61"/>
      <c r="BH930" s="16"/>
      <c r="BI930" s="16"/>
      <c r="BJ930" s="16"/>
      <c r="BK930" s="16"/>
      <c r="BL930" s="16"/>
      <c r="BM930" s="17"/>
      <c r="BQ930" s="24"/>
      <c r="BR930" s="61"/>
      <c r="BS930" s="16"/>
      <c r="BT930" s="16"/>
      <c r="BU930" s="16"/>
      <c r="BV930" s="16"/>
      <c r="BW930" s="16"/>
      <c r="BX930" s="17"/>
      <c r="CB930" s="24"/>
      <c r="CC930" s="61"/>
      <c r="CD930" s="16"/>
      <c r="CE930" s="16"/>
      <c r="CF930" s="16"/>
      <c r="CG930" s="16"/>
      <c r="CH930" s="16"/>
      <c r="CI930" s="17"/>
      <c r="CM930" s="24"/>
      <c r="CN930" s="61"/>
      <c r="CO930" s="16"/>
      <c r="CP930" s="16"/>
      <c r="CQ930" s="16"/>
      <c r="CR930" s="16"/>
      <c r="CS930" s="16"/>
      <c r="CT930" s="17"/>
      <c r="CX930" s="24"/>
      <c r="CY930" s="60"/>
      <c r="CZ930" s="16"/>
      <c r="DA930" s="16"/>
      <c r="DB930" s="16"/>
      <c r="DC930" s="16"/>
      <c r="DD930" s="16"/>
      <c r="DE930" s="17"/>
      <c r="DI930" s="24"/>
      <c r="DJ930" s="60"/>
      <c r="DK930" s="16"/>
      <c r="DL930" s="16"/>
      <c r="DM930" s="16"/>
      <c r="DN930" s="16"/>
      <c r="DO930" s="16"/>
      <c r="DP930" s="17"/>
      <c r="DT930" s="24"/>
      <c r="DU930" s="60"/>
      <c r="DV930" s="16"/>
      <c r="DW930" s="16"/>
      <c r="DX930" s="16"/>
      <c r="DY930" s="16"/>
      <c r="DZ930" s="16"/>
      <c r="EA930" s="17"/>
      <c r="EE930" s="24"/>
      <c r="EF930" s="60"/>
      <c r="EG930" s="16"/>
      <c r="EH930" s="16"/>
      <c r="EI930" s="16"/>
      <c r="EJ930" s="16"/>
      <c r="EK930" s="16"/>
      <c r="EL930" s="17"/>
      <c r="EP930" s="24"/>
      <c r="EQ930" s="60"/>
      <c r="ER930" s="16"/>
      <c r="ES930" s="16"/>
      <c r="ET930" s="16"/>
      <c r="EU930" s="16"/>
      <c r="EV930" s="16"/>
      <c r="EW930" s="17"/>
      <c r="FA930" s="24"/>
      <c r="FB930" s="60"/>
      <c r="FC930" s="16"/>
      <c r="FD930" s="16"/>
      <c r="FE930" s="16"/>
      <c r="FF930" s="16"/>
      <c r="FG930" s="16"/>
      <c r="FH930" s="17"/>
      <c r="FL930" s="24"/>
      <c r="FM930" s="60"/>
      <c r="FN930" s="16"/>
      <c r="FO930" s="16"/>
      <c r="FP930" s="16"/>
      <c r="FQ930" s="16"/>
      <c r="FR930" s="16"/>
      <c r="FS930" s="17"/>
      <c r="FW930" s="24"/>
      <c r="FX930" s="60"/>
      <c r="FY930" s="16"/>
      <c r="FZ930" s="16"/>
      <c r="GA930" s="16"/>
      <c r="GB930" s="16"/>
      <c r="GC930" s="16"/>
      <c r="GD930" s="17"/>
      <c r="GH930" s="24"/>
      <c r="GI930" s="60"/>
      <c r="GJ930" s="16"/>
      <c r="GK930" s="16"/>
      <c r="GL930" s="16"/>
      <c r="GM930" s="16"/>
      <c r="GN930" s="16"/>
      <c r="GO930" s="17"/>
      <c r="GS930" s="24"/>
      <c r="GT930" s="60"/>
      <c r="GU930" s="16"/>
      <c r="GV930" s="16"/>
      <c r="GW930" s="16"/>
      <c r="GX930" s="16"/>
      <c r="GY930" s="16"/>
      <c r="GZ930" s="17"/>
      <c r="HD930" s="24"/>
      <c r="HE930" s="60"/>
      <c r="HF930" s="16"/>
      <c r="HG930" s="16"/>
      <c r="HH930" s="16"/>
      <c r="HI930" s="16"/>
      <c r="HJ930" s="16"/>
      <c r="HK930" s="17"/>
      <c r="HO930" s="24"/>
      <c r="HP930" s="60"/>
      <c r="HQ930" s="16"/>
      <c r="HR930" s="16"/>
      <c r="HS930" s="16"/>
      <c r="HT930" s="16"/>
      <c r="HU930" s="16"/>
      <c r="HV930" s="17"/>
      <c r="HZ930" s="24"/>
      <c r="IA930" s="60"/>
      <c r="IB930" s="16"/>
      <c r="IC930" s="16"/>
      <c r="ID930" s="16"/>
      <c r="IE930" s="16"/>
      <c r="IF930" s="16"/>
      <c r="IG930" s="17"/>
      <c r="IK930" s="24"/>
      <c r="IL930" s="60"/>
      <c r="IM930" s="16"/>
      <c r="IN930" s="16"/>
      <c r="IO930" s="16"/>
      <c r="IP930" s="16"/>
      <c r="IQ930" s="16"/>
      <c r="IR930" s="17"/>
      <c r="IV930" s="24"/>
      <c r="IW930" s="60"/>
      <c r="IX930" s="16"/>
      <c r="IY930" s="16"/>
      <c r="IZ930" s="16"/>
      <c r="JA930" s="16"/>
      <c r="JB930" s="16"/>
      <c r="JC930" s="17"/>
      <c r="JG930" s="24"/>
      <c r="JH930" s="60"/>
      <c r="JI930" s="16"/>
      <c r="JJ930" s="16"/>
      <c r="JK930" s="16"/>
      <c r="JL930" s="16"/>
      <c r="JM930" s="16"/>
      <c r="JN930" s="17"/>
      <c r="JR930" s="24"/>
      <c r="JS930" s="60"/>
      <c r="JT930" s="16"/>
      <c r="JU930" s="16"/>
      <c r="JV930" s="16"/>
      <c r="JW930" s="16"/>
      <c r="JX930" s="16"/>
      <c r="JY930" s="17"/>
      <c r="KC930" s="24"/>
      <c r="KD930" s="60"/>
      <c r="KE930" s="16"/>
      <c r="KF930" s="16"/>
      <c r="KG930" s="16"/>
      <c r="KH930" s="16"/>
      <c r="KI930" s="16"/>
      <c r="KJ930" s="17"/>
      <c r="KN930" s="24"/>
      <c r="KO930" s="60"/>
      <c r="KP930" s="16"/>
      <c r="KQ930" s="16"/>
      <c r="KR930" s="16"/>
      <c r="KS930" s="16"/>
      <c r="KT930" s="16"/>
      <c r="KU930" s="17"/>
      <c r="KY930" s="24"/>
      <c r="KZ930" s="60"/>
      <c r="LA930" s="16"/>
      <c r="LB930" s="16"/>
      <c r="LC930" s="16"/>
      <c r="LD930" s="16"/>
      <c r="LE930" s="16"/>
      <c r="LF930" s="17"/>
      <c r="LJ930" s="24"/>
      <c r="LK930" s="60"/>
      <c r="LL930" s="16"/>
      <c r="LM930" s="16"/>
      <c r="LN930" s="16"/>
      <c r="LO930" s="16"/>
      <c r="LP930" s="16"/>
      <c r="LQ930" s="17"/>
    </row>
    <row r="931">
      <c r="C931" s="31"/>
      <c r="D931" s="61"/>
      <c r="E931" s="16"/>
      <c r="F931" s="16"/>
      <c r="G931" s="21"/>
      <c r="H931" s="16"/>
      <c r="I931" s="16"/>
      <c r="J931" s="17"/>
      <c r="N931" s="17"/>
      <c r="O931" s="61"/>
      <c r="P931" s="16"/>
      <c r="Q931" s="16"/>
      <c r="R931" s="16"/>
      <c r="S931" s="16"/>
      <c r="T931" s="16"/>
      <c r="U931" s="17"/>
      <c r="Y931" s="24"/>
      <c r="Z931" s="61"/>
      <c r="AA931" s="16"/>
      <c r="AB931" s="16"/>
      <c r="AC931" s="16"/>
      <c r="AD931" s="16"/>
      <c r="AE931" s="16"/>
      <c r="AF931" s="17"/>
      <c r="AJ931" s="24"/>
      <c r="AK931" s="61"/>
      <c r="AL931" s="16"/>
      <c r="AM931" s="16"/>
      <c r="AN931" s="16"/>
      <c r="AO931" s="16"/>
      <c r="AP931" s="16"/>
      <c r="AQ931" s="17"/>
      <c r="AU931" s="24"/>
      <c r="AV931" s="61"/>
      <c r="AW931" s="16"/>
      <c r="AX931" s="16"/>
      <c r="AY931" s="16"/>
      <c r="AZ931" s="16"/>
      <c r="BA931" s="16"/>
      <c r="BB931" s="17"/>
      <c r="BF931" s="24"/>
      <c r="BG931" s="61"/>
      <c r="BH931" s="16"/>
      <c r="BI931" s="16"/>
      <c r="BJ931" s="16"/>
      <c r="BK931" s="16"/>
      <c r="BL931" s="16"/>
      <c r="BM931" s="17"/>
      <c r="BQ931" s="24"/>
      <c r="BR931" s="61"/>
      <c r="BS931" s="16"/>
      <c r="BT931" s="16"/>
      <c r="BU931" s="16"/>
      <c r="BV931" s="16"/>
      <c r="BW931" s="16"/>
      <c r="BX931" s="17"/>
      <c r="CB931" s="24"/>
      <c r="CC931" s="61"/>
      <c r="CD931" s="16"/>
      <c r="CE931" s="16"/>
      <c r="CF931" s="16"/>
      <c r="CG931" s="16"/>
      <c r="CH931" s="16"/>
      <c r="CI931" s="17"/>
      <c r="CM931" s="24"/>
      <c r="CN931" s="61"/>
      <c r="CO931" s="16"/>
      <c r="CP931" s="16"/>
      <c r="CQ931" s="16"/>
      <c r="CR931" s="16"/>
      <c r="CS931" s="16"/>
      <c r="CT931" s="17"/>
      <c r="CX931" s="24"/>
      <c r="CY931" s="60"/>
      <c r="CZ931" s="16"/>
      <c r="DA931" s="16"/>
      <c r="DB931" s="16"/>
      <c r="DC931" s="16"/>
      <c r="DD931" s="16"/>
      <c r="DE931" s="17"/>
      <c r="DI931" s="24"/>
      <c r="DJ931" s="60"/>
      <c r="DK931" s="16"/>
      <c r="DL931" s="16"/>
      <c r="DM931" s="16"/>
      <c r="DN931" s="16"/>
      <c r="DO931" s="16"/>
      <c r="DP931" s="17"/>
      <c r="DT931" s="24"/>
      <c r="DU931" s="60"/>
      <c r="DV931" s="16"/>
      <c r="DW931" s="16"/>
      <c r="DX931" s="16"/>
      <c r="DY931" s="16"/>
      <c r="DZ931" s="16"/>
      <c r="EA931" s="17"/>
      <c r="EE931" s="24"/>
      <c r="EF931" s="60"/>
      <c r="EG931" s="16"/>
      <c r="EH931" s="16"/>
      <c r="EI931" s="16"/>
      <c r="EJ931" s="16"/>
      <c r="EK931" s="16"/>
      <c r="EL931" s="17"/>
      <c r="EP931" s="24"/>
      <c r="EQ931" s="60"/>
      <c r="ER931" s="16"/>
      <c r="ES931" s="16"/>
      <c r="ET931" s="16"/>
      <c r="EU931" s="16"/>
      <c r="EV931" s="16"/>
      <c r="EW931" s="17"/>
      <c r="FA931" s="24"/>
      <c r="FB931" s="60"/>
      <c r="FC931" s="16"/>
      <c r="FD931" s="16"/>
      <c r="FE931" s="16"/>
      <c r="FF931" s="16"/>
      <c r="FG931" s="16"/>
      <c r="FH931" s="17"/>
      <c r="FL931" s="24"/>
      <c r="FM931" s="60"/>
      <c r="FN931" s="16"/>
      <c r="FO931" s="16"/>
      <c r="FP931" s="16"/>
      <c r="FQ931" s="16"/>
      <c r="FR931" s="16"/>
      <c r="FS931" s="17"/>
      <c r="FW931" s="24"/>
      <c r="FX931" s="60"/>
      <c r="FY931" s="16"/>
      <c r="FZ931" s="16"/>
      <c r="GA931" s="16"/>
      <c r="GB931" s="16"/>
      <c r="GC931" s="16"/>
      <c r="GD931" s="17"/>
      <c r="GH931" s="24"/>
      <c r="GI931" s="60"/>
      <c r="GJ931" s="16"/>
      <c r="GK931" s="16"/>
      <c r="GL931" s="16"/>
      <c r="GM931" s="16"/>
      <c r="GN931" s="16"/>
      <c r="GO931" s="17"/>
      <c r="GS931" s="24"/>
      <c r="GT931" s="60"/>
      <c r="GU931" s="16"/>
      <c r="GV931" s="16"/>
      <c r="GW931" s="16"/>
      <c r="GX931" s="16"/>
      <c r="GY931" s="16"/>
      <c r="GZ931" s="17"/>
      <c r="HD931" s="24"/>
      <c r="HE931" s="60"/>
      <c r="HF931" s="16"/>
      <c r="HG931" s="16"/>
      <c r="HH931" s="16"/>
      <c r="HI931" s="16"/>
      <c r="HJ931" s="16"/>
      <c r="HK931" s="17"/>
      <c r="HO931" s="24"/>
      <c r="HP931" s="60"/>
      <c r="HQ931" s="16"/>
      <c r="HR931" s="16"/>
      <c r="HS931" s="16"/>
      <c r="HT931" s="16"/>
      <c r="HU931" s="16"/>
      <c r="HV931" s="17"/>
      <c r="HZ931" s="24"/>
      <c r="IA931" s="60"/>
      <c r="IB931" s="16"/>
      <c r="IC931" s="16"/>
      <c r="ID931" s="16"/>
      <c r="IE931" s="16"/>
      <c r="IF931" s="16"/>
      <c r="IG931" s="17"/>
      <c r="IK931" s="24"/>
      <c r="IL931" s="60"/>
      <c r="IM931" s="16"/>
      <c r="IN931" s="16"/>
      <c r="IO931" s="16"/>
      <c r="IP931" s="16"/>
      <c r="IQ931" s="16"/>
      <c r="IR931" s="17"/>
      <c r="IV931" s="24"/>
      <c r="IW931" s="60"/>
      <c r="IX931" s="16"/>
      <c r="IY931" s="16"/>
      <c r="IZ931" s="16"/>
      <c r="JA931" s="16"/>
      <c r="JB931" s="16"/>
      <c r="JC931" s="17"/>
      <c r="JG931" s="24"/>
      <c r="JH931" s="60"/>
      <c r="JI931" s="16"/>
      <c r="JJ931" s="16"/>
      <c r="JK931" s="16"/>
      <c r="JL931" s="16"/>
      <c r="JM931" s="16"/>
      <c r="JN931" s="17"/>
      <c r="JR931" s="24"/>
      <c r="JS931" s="60"/>
      <c r="JT931" s="16"/>
      <c r="JU931" s="16"/>
      <c r="JV931" s="16"/>
      <c r="JW931" s="16"/>
      <c r="JX931" s="16"/>
      <c r="JY931" s="17"/>
      <c r="KC931" s="24"/>
      <c r="KD931" s="60"/>
      <c r="KE931" s="16"/>
      <c r="KF931" s="16"/>
      <c r="KG931" s="16"/>
      <c r="KH931" s="16"/>
      <c r="KI931" s="16"/>
      <c r="KJ931" s="17"/>
      <c r="KN931" s="24"/>
      <c r="KO931" s="60"/>
      <c r="KP931" s="16"/>
      <c r="KQ931" s="16"/>
      <c r="KR931" s="16"/>
      <c r="KS931" s="16"/>
      <c r="KT931" s="16"/>
      <c r="KU931" s="17"/>
      <c r="KY931" s="24"/>
      <c r="KZ931" s="60"/>
      <c r="LA931" s="16"/>
      <c r="LB931" s="16"/>
      <c r="LC931" s="16"/>
      <c r="LD931" s="16"/>
      <c r="LE931" s="16"/>
      <c r="LF931" s="17"/>
      <c r="LJ931" s="24"/>
      <c r="LK931" s="60"/>
      <c r="LL931" s="16"/>
      <c r="LM931" s="16"/>
      <c r="LN931" s="16"/>
      <c r="LO931" s="16"/>
      <c r="LP931" s="16"/>
      <c r="LQ931" s="17"/>
    </row>
    <row r="932">
      <c r="C932" s="31"/>
      <c r="D932" s="61"/>
      <c r="E932" s="16"/>
      <c r="F932" s="16"/>
      <c r="G932" s="21"/>
      <c r="H932" s="16"/>
      <c r="I932" s="16"/>
      <c r="J932" s="17"/>
      <c r="N932" s="17"/>
      <c r="O932" s="61"/>
      <c r="P932" s="16"/>
      <c r="Q932" s="16"/>
      <c r="R932" s="16"/>
      <c r="S932" s="16"/>
      <c r="T932" s="16"/>
      <c r="U932" s="17"/>
      <c r="Y932" s="24"/>
      <c r="Z932" s="61"/>
      <c r="AA932" s="16"/>
      <c r="AB932" s="16"/>
      <c r="AC932" s="16"/>
      <c r="AD932" s="16"/>
      <c r="AE932" s="16"/>
      <c r="AF932" s="17"/>
      <c r="AJ932" s="24"/>
      <c r="AK932" s="61"/>
      <c r="AL932" s="16"/>
      <c r="AM932" s="16"/>
      <c r="AN932" s="16"/>
      <c r="AO932" s="16"/>
      <c r="AP932" s="16"/>
      <c r="AQ932" s="17"/>
      <c r="AU932" s="24"/>
      <c r="AV932" s="61"/>
      <c r="AW932" s="16"/>
      <c r="AX932" s="16"/>
      <c r="AY932" s="16"/>
      <c r="AZ932" s="16"/>
      <c r="BA932" s="16"/>
      <c r="BB932" s="17"/>
      <c r="BF932" s="24"/>
      <c r="BG932" s="61"/>
      <c r="BH932" s="16"/>
      <c r="BI932" s="16"/>
      <c r="BJ932" s="16"/>
      <c r="BK932" s="16"/>
      <c r="BL932" s="16"/>
      <c r="BM932" s="17"/>
      <c r="BQ932" s="24"/>
      <c r="BR932" s="61"/>
      <c r="BS932" s="16"/>
      <c r="BT932" s="16"/>
      <c r="BU932" s="16"/>
      <c r="BV932" s="16"/>
      <c r="BW932" s="16"/>
      <c r="BX932" s="17"/>
      <c r="CB932" s="24"/>
      <c r="CC932" s="61"/>
      <c r="CD932" s="16"/>
      <c r="CE932" s="16"/>
      <c r="CF932" s="16"/>
      <c r="CG932" s="16"/>
      <c r="CH932" s="16"/>
      <c r="CI932" s="17"/>
      <c r="CM932" s="24"/>
      <c r="CN932" s="61"/>
      <c r="CO932" s="16"/>
      <c r="CP932" s="16"/>
      <c r="CQ932" s="16"/>
      <c r="CR932" s="16"/>
      <c r="CS932" s="16"/>
      <c r="CT932" s="17"/>
      <c r="CX932" s="24"/>
      <c r="CY932" s="60"/>
      <c r="CZ932" s="16"/>
      <c r="DA932" s="16"/>
      <c r="DB932" s="16"/>
      <c r="DC932" s="16"/>
      <c r="DD932" s="16"/>
      <c r="DE932" s="17"/>
      <c r="DI932" s="24"/>
      <c r="DJ932" s="60"/>
      <c r="DK932" s="16"/>
      <c r="DL932" s="16"/>
      <c r="DM932" s="16"/>
      <c r="DN932" s="16"/>
      <c r="DO932" s="16"/>
      <c r="DP932" s="17"/>
      <c r="DT932" s="24"/>
      <c r="DU932" s="60"/>
      <c r="DV932" s="16"/>
      <c r="DW932" s="16"/>
      <c r="DX932" s="16"/>
      <c r="DY932" s="16"/>
      <c r="DZ932" s="16"/>
      <c r="EA932" s="17"/>
      <c r="EE932" s="24"/>
      <c r="EF932" s="60"/>
      <c r="EG932" s="16"/>
      <c r="EH932" s="16"/>
      <c r="EI932" s="16"/>
      <c r="EJ932" s="16"/>
      <c r="EK932" s="16"/>
      <c r="EL932" s="17"/>
      <c r="EP932" s="24"/>
      <c r="EQ932" s="60"/>
      <c r="ER932" s="16"/>
      <c r="ES932" s="16"/>
      <c r="ET932" s="16"/>
      <c r="EU932" s="16"/>
      <c r="EV932" s="16"/>
      <c r="EW932" s="17"/>
      <c r="FA932" s="24"/>
      <c r="FB932" s="60"/>
      <c r="FC932" s="16"/>
      <c r="FD932" s="16"/>
      <c r="FE932" s="16"/>
      <c r="FF932" s="16"/>
      <c r="FG932" s="16"/>
      <c r="FH932" s="17"/>
      <c r="FL932" s="24"/>
      <c r="FM932" s="60"/>
      <c r="FN932" s="16"/>
      <c r="FO932" s="16"/>
      <c r="FP932" s="16"/>
      <c r="FQ932" s="16"/>
      <c r="FR932" s="16"/>
      <c r="FS932" s="17"/>
      <c r="FW932" s="24"/>
      <c r="FX932" s="60"/>
      <c r="FY932" s="16"/>
      <c r="FZ932" s="16"/>
      <c r="GA932" s="16"/>
      <c r="GB932" s="16"/>
      <c r="GC932" s="16"/>
      <c r="GD932" s="17"/>
      <c r="GH932" s="24"/>
      <c r="GI932" s="60"/>
      <c r="GJ932" s="16"/>
      <c r="GK932" s="16"/>
      <c r="GL932" s="16"/>
      <c r="GM932" s="16"/>
      <c r="GN932" s="16"/>
      <c r="GO932" s="17"/>
      <c r="GS932" s="24"/>
      <c r="GT932" s="60"/>
      <c r="GU932" s="16"/>
      <c r="GV932" s="16"/>
      <c r="GW932" s="16"/>
      <c r="GX932" s="16"/>
      <c r="GY932" s="16"/>
      <c r="GZ932" s="17"/>
      <c r="HD932" s="24"/>
      <c r="HE932" s="60"/>
      <c r="HF932" s="16"/>
      <c r="HG932" s="16"/>
      <c r="HH932" s="16"/>
      <c r="HI932" s="16"/>
      <c r="HJ932" s="16"/>
      <c r="HK932" s="17"/>
      <c r="HO932" s="24"/>
      <c r="HP932" s="60"/>
      <c r="HQ932" s="16"/>
      <c r="HR932" s="16"/>
      <c r="HS932" s="16"/>
      <c r="HT932" s="16"/>
      <c r="HU932" s="16"/>
      <c r="HV932" s="17"/>
      <c r="HZ932" s="24"/>
      <c r="IA932" s="60"/>
      <c r="IB932" s="16"/>
      <c r="IC932" s="16"/>
      <c r="ID932" s="16"/>
      <c r="IE932" s="16"/>
      <c r="IF932" s="16"/>
      <c r="IG932" s="17"/>
      <c r="IK932" s="24"/>
      <c r="IL932" s="60"/>
      <c r="IM932" s="16"/>
      <c r="IN932" s="16"/>
      <c r="IO932" s="16"/>
      <c r="IP932" s="16"/>
      <c r="IQ932" s="16"/>
      <c r="IR932" s="17"/>
      <c r="IV932" s="24"/>
      <c r="IW932" s="60"/>
      <c r="IX932" s="16"/>
      <c r="IY932" s="16"/>
      <c r="IZ932" s="16"/>
      <c r="JA932" s="16"/>
      <c r="JB932" s="16"/>
      <c r="JC932" s="17"/>
      <c r="JG932" s="24"/>
      <c r="JH932" s="60"/>
      <c r="JI932" s="16"/>
      <c r="JJ932" s="16"/>
      <c r="JK932" s="16"/>
      <c r="JL932" s="16"/>
      <c r="JM932" s="16"/>
      <c r="JN932" s="17"/>
      <c r="JR932" s="24"/>
      <c r="JS932" s="60"/>
      <c r="JT932" s="16"/>
      <c r="JU932" s="16"/>
      <c r="JV932" s="16"/>
      <c r="JW932" s="16"/>
      <c r="JX932" s="16"/>
      <c r="JY932" s="17"/>
      <c r="KC932" s="24"/>
      <c r="KD932" s="60"/>
      <c r="KE932" s="16"/>
      <c r="KF932" s="16"/>
      <c r="KG932" s="16"/>
      <c r="KH932" s="16"/>
      <c r="KI932" s="16"/>
      <c r="KJ932" s="17"/>
      <c r="KN932" s="24"/>
      <c r="KO932" s="60"/>
      <c r="KP932" s="16"/>
      <c r="KQ932" s="16"/>
      <c r="KR932" s="16"/>
      <c r="KS932" s="16"/>
      <c r="KT932" s="16"/>
      <c r="KU932" s="17"/>
      <c r="KY932" s="24"/>
      <c r="KZ932" s="60"/>
      <c r="LA932" s="16"/>
      <c r="LB932" s="16"/>
      <c r="LC932" s="16"/>
      <c r="LD932" s="16"/>
      <c r="LE932" s="16"/>
      <c r="LF932" s="17"/>
      <c r="LJ932" s="24"/>
      <c r="LK932" s="60"/>
      <c r="LL932" s="16"/>
      <c r="LM932" s="16"/>
      <c r="LN932" s="16"/>
      <c r="LO932" s="16"/>
      <c r="LP932" s="16"/>
      <c r="LQ932" s="17"/>
    </row>
    <row r="933">
      <c r="C933" s="31"/>
      <c r="D933" s="61"/>
      <c r="E933" s="16"/>
      <c r="F933" s="16"/>
      <c r="G933" s="21"/>
      <c r="H933" s="16"/>
      <c r="I933" s="16"/>
      <c r="J933" s="17"/>
      <c r="N933" s="17"/>
      <c r="O933" s="61"/>
      <c r="P933" s="16"/>
      <c r="Q933" s="16"/>
      <c r="R933" s="16"/>
      <c r="S933" s="16"/>
      <c r="T933" s="16"/>
      <c r="U933" s="17"/>
      <c r="Y933" s="24"/>
      <c r="Z933" s="61"/>
      <c r="AA933" s="16"/>
      <c r="AB933" s="16"/>
      <c r="AC933" s="16"/>
      <c r="AD933" s="16"/>
      <c r="AE933" s="16"/>
      <c r="AF933" s="17"/>
      <c r="AJ933" s="24"/>
      <c r="AK933" s="61"/>
      <c r="AL933" s="16"/>
      <c r="AM933" s="16"/>
      <c r="AN933" s="16"/>
      <c r="AO933" s="16"/>
      <c r="AP933" s="16"/>
      <c r="AQ933" s="17"/>
      <c r="AU933" s="24"/>
      <c r="AV933" s="61"/>
      <c r="AW933" s="16"/>
      <c r="AX933" s="16"/>
      <c r="AY933" s="16"/>
      <c r="AZ933" s="16"/>
      <c r="BA933" s="16"/>
      <c r="BB933" s="17"/>
      <c r="BF933" s="24"/>
      <c r="BG933" s="61"/>
      <c r="BH933" s="16"/>
      <c r="BI933" s="16"/>
      <c r="BJ933" s="16"/>
      <c r="BK933" s="16"/>
      <c r="BL933" s="16"/>
      <c r="BM933" s="17"/>
      <c r="BQ933" s="24"/>
      <c r="BR933" s="61"/>
      <c r="BS933" s="16"/>
      <c r="BT933" s="16"/>
      <c r="BU933" s="16"/>
      <c r="BV933" s="16"/>
      <c r="BW933" s="16"/>
      <c r="BX933" s="17"/>
      <c r="CB933" s="24"/>
      <c r="CC933" s="61"/>
      <c r="CD933" s="16"/>
      <c r="CE933" s="16"/>
      <c r="CF933" s="16"/>
      <c r="CG933" s="16"/>
      <c r="CH933" s="16"/>
      <c r="CI933" s="17"/>
      <c r="CM933" s="24"/>
      <c r="CN933" s="61"/>
      <c r="CO933" s="16"/>
      <c r="CP933" s="16"/>
      <c r="CQ933" s="16"/>
      <c r="CR933" s="16"/>
      <c r="CS933" s="16"/>
      <c r="CT933" s="17"/>
      <c r="CX933" s="24"/>
      <c r="CY933" s="60"/>
      <c r="CZ933" s="16"/>
      <c r="DA933" s="16"/>
      <c r="DB933" s="16"/>
      <c r="DC933" s="16"/>
      <c r="DD933" s="16"/>
      <c r="DE933" s="17"/>
      <c r="DI933" s="24"/>
      <c r="DJ933" s="60"/>
      <c r="DK933" s="16"/>
      <c r="DL933" s="16"/>
      <c r="DM933" s="16"/>
      <c r="DN933" s="16"/>
      <c r="DO933" s="16"/>
      <c r="DP933" s="17"/>
      <c r="DT933" s="24"/>
      <c r="DU933" s="60"/>
      <c r="DV933" s="16"/>
      <c r="DW933" s="16"/>
      <c r="DX933" s="16"/>
      <c r="DY933" s="16"/>
      <c r="DZ933" s="16"/>
      <c r="EA933" s="17"/>
      <c r="EE933" s="24"/>
      <c r="EF933" s="60"/>
      <c r="EG933" s="16"/>
      <c r="EH933" s="16"/>
      <c r="EI933" s="16"/>
      <c r="EJ933" s="16"/>
      <c r="EK933" s="16"/>
      <c r="EL933" s="17"/>
      <c r="EP933" s="24"/>
      <c r="EQ933" s="60"/>
      <c r="ER933" s="16"/>
      <c r="ES933" s="16"/>
      <c r="ET933" s="16"/>
      <c r="EU933" s="16"/>
      <c r="EV933" s="16"/>
      <c r="EW933" s="17"/>
      <c r="FA933" s="24"/>
      <c r="FB933" s="60"/>
      <c r="FC933" s="16"/>
      <c r="FD933" s="16"/>
      <c r="FE933" s="16"/>
      <c r="FF933" s="16"/>
      <c r="FG933" s="16"/>
      <c r="FH933" s="17"/>
      <c r="FL933" s="24"/>
      <c r="FM933" s="60"/>
      <c r="FN933" s="16"/>
      <c r="FO933" s="16"/>
      <c r="FP933" s="16"/>
      <c r="FQ933" s="16"/>
      <c r="FR933" s="16"/>
      <c r="FS933" s="17"/>
      <c r="FW933" s="24"/>
      <c r="FX933" s="60"/>
      <c r="FY933" s="16"/>
      <c r="FZ933" s="16"/>
      <c r="GA933" s="16"/>
      <c r="GB933" s="16"/>
      <c r="GC933" s="16"/>
      <c r="GD933" s="17"/>
      <c r="GH933" s="24"/>
      <c r="GI933" s="60"/>
      <c r="GJ933" s="16"/>
      <c r="GK933" s="16"/>
      <c r="GL933" s="16"/>
      <c r="GM933" s="16"/>
      <c r="GN933" s="16"/>
      <c r="GO933" s="17"/>
      <c r="GS933" s="24"/>
      <c r="GT933" s="60"/>
      <c r="GU933" s="16"/>
      <c r="GV933" s="16"/>
      <c r="GW933" s="16"/>
      <c r="GX933" s="16"/>
      <c r="GY933" s="16"/>
      <c r="GZ933" s="17"/>
      <c r="HD933" s="24"/>
      <c r="HE933" s="60"/>
      <c r="HF933" s="16"/>
      <c r="HG933" s="16"/>
      <c r="HH933" s="16"/>
      <c r="HI933" s="16"/>
      <c r="HJ933" s="16"/>
      <c r="HK933" s="17"/>
      <c r="HO933" s="24"/>
      <c r="HP933" s="60"/>
      <c r="HQ933" s="16"/>
      <c r="HR933" s="16"/>
      <c r="HS933" s="16"/>
      <c r="HT933" s="16"/>
      <c r="HU933" s="16"/>
      <c r="HV933" s="17"/>
      <c r="HZ933" s="24"/>
      <c r="IA933" s="60"/>
      <c r="IB933" s="16"/>
      <c r="IC933" s="16"/>
      <c r="ID933" s="16"/>
      <c r="IE933" s="16"/>
      <c r="IF933" s="16"/>
      <c r="IG933" s="17"/>
      <c r="IK933" s="24"/>
      <c r="IL933" s="60"/>
      <c r="IM933" s="16"/>
      <c r="IN933" s="16"/>
      <c r="IO933" s="16"/>
      <c r="IP933" s="16"/>
      <c r="IQ933" s="16"/>
      <c r="IR933" s="17"/>
      <c r="IV933" s="24"/>
      <c r="IW933" s="60"/>
      <c r="IX933" s="16"/>
      <c r="IY933" s="16"/>
      <c r="IZ933" s="16"/>
      <c r="JA933" s="16"/>
      <c r="JB933" s="16"/>
      <c r="JC933" s="17"/>
      <c r="JG933" s="24"/>
      <c r="JH933" s="60"/>
      <c r="JI933" s="16"/>
      <c r="JJ933" s="16"/>
      <c r="JK933" s="16"/>
      <c r="JL933" s="16"/>
      <c r="JM933" s="16"/>
      <c r="JN933" s="17"/>
      <c r="JR933" s="24"/>
      <c r="JS933" s="60"/>
      <c r="JT933" s="16"/>
      <c r="JU933" s="16"/>
      <c r="JV933" s="16"/>
      <c r="JW933" s="16"/>
      <c r="JX933" s="16"/>
      <c r="JY933" s="17"/>
      <c r="KC933" s="24"/>
      <c r="KD933" s="60"/>
      <c r="KE933" s="16"/>
      <c r="KF933" s="16"/>
      <c r="KG933" s="16"/>
      <c r="KH933" s="16"/>
      <c r="KI933" s="16"/>
      <c r="KJ933" s="17"/>
      <c r="KN933" s="24"/>
      <c r="KO933" s="60"/>
      <c r="KP933" s="16"/>
      <c r="KQ933" s="16"/>
      <c r="KR933" s="16"/>
      <c r="KS933" s="16"/>
      <c r="KT933" s="16"/>
      <c r="KU933" s="17"/>
      <c r="KY933" s="24"/>
      <c r="KZ933" s="60"/>
      <c r="LA933" s="16"/>
      <c r="LB933" s="16"/>
      <c r="LC933" s="16"/>
      <c r="LD933" s="16"/>
      <c r="LE933" s="16"/>
      <c r="LF933" s="17"/>
      <c r="LJ933" s="24"/>
      <c r="LK933" s="60"/>
      <c r="LL933" s="16"/>
      <c r="LM933" s="16"/>
      <c r="LN933" s="16"/>
      <c r="LO933" s="16"/>
      <c r="LP933" s="16"/>
      <c r="LQ933" s="17"/>
    </row>
    <row r="934">
      <c r="C934" s="31"/>
      <c r="D934" s="61"/>
      <c r="E934" s="16"/>
      <c r="F934" s="16"/>
      <c r="G934" s="21"/>
      <c r="H934" s="16"/>
      <c r="I934" s="16"/>
      <c r="J934" s="17"/>
      <c r="N934" s="17"/>
      <c r="O934" s="61"/>
      <c r="P934" s="16"/>
      <c r="Q934" s="16"/>
      <c r="R934" s="16"/>
      <c r="S934" s="16"/>
      <c r="T934" s="16"/>
      <c r="U934" s="17"/>
      <c r="Y934" s="24"/>
      <c r="Z934" s="61"/>
      <c r="AA934" s="16"/>
      <c r="AB934" s="16"/>
      <c r="AC934" s="16"/>
      <c r="AD934" s="16"/>
      <c r="AE934" s="16"/>
      <c r="AF934" s="17"/>
      <c r="AJ934" s="24"/>
      <c r="AK934" s="61"/>
      <c r="AL934" s="16"/>
      <c r="AM934" s="16"/>
      <c r="AN934" s="16"/>
      <c r="AO934" s="16"/>
      <c r="AP934" s="16"/>
      <c r="AQ934" s="17"/>
      <c r="AU934" s="24"/>
      <c r="AV934" s="61"/>
      <c r="AW934" s="16"/>
      <c r="AX934" s="16"/>
      <c r="AY934" s="16"/>
      <c r="AZ934" s="16"/>
      <c r="BA934" s="16"/>
      <c r="BB934" s="17"/>
      <c r="BF934" s="24"/>
      <c r="BG934" s="61"/>
      <c r="BH934" s="16"/>
      <c r="BI934" s="16"/>
      <c r="BJ934" s="16"/>
      <c r="BK934" s="16"/>
      <c r="BL934" s="16"/>
      <c r="BM934" s="17"/>
      <c r="BQ934" s="24"/>
      <c r="BR934" s="61"/>
      <c r="BS934" s="16"/>
      <c r="BT934" s="16"/>
      <c r="BU934" s="16"/>
      <c r="BV934" s="16"/>
      <c r="BW934" s="16"/>
      <c r="BX934" s="17"/>
      <c r="CB934" s="24"/>
      <c r="CC934" s="61"/>
      <c r="CD934" s="16"/>
      <c r="CE934" s="16"/>
      <c r="CF934" s="16"/>
      <c r="CG934" s="16"/>
      <c r="CH934" s="16"/>
      <c r="CI934" s="17"/>
      <c r="CM934" s="24"/>
      <c r="CN934" s="61"/>
      <c r="CO934" s="16"/>
      <c r="CP934" s="16"/>
      <c r="CQ934" s="16"/>
      <c r="CR934" s="16"/>
      <c r="CS934" s="16"/>
      <c r="CT934" s="17"/>
      <c r="CX934" s="24"/>
      <c r="CY934" s="60"/>
      <c r="CZ934" s="16"/>
      <c r="DA934" s="16"/>
      <c r="DB934" s="16"/>
      <c r="DC934" s="16"/>
      <c r="DD934" s="16"/>
      <c r="DE934" s="17"/>
      <c r="DI934" s="24"/>
      <c r="DJ934" s="60"/>
      <c r="DK934" s="16"/>
      <c r="DL934" s="16"/>
      <c r="DM934" s="16"/>
      <c r="DN934" s="16"/>
      <c r="DO934" s="16"/>
      <c r="DP934" s="17"/>
      <c r="DT934" s="24"/>
      <c r="DU934" s="60"/>
      <c r="DV934" s="16"/>
      <c r="DW934" s="16"/>
      <c r="DX934" s="16"/>
      <c r="DY934" s="16"/>
      <c r="DZ934" s="16"/>
      <c r="EA934" s="17"/>
      <c r="EE934" s="24"/>
      <c r="EF934" s="60"/>
      <c r="EG934" s="16"/>
      <c r="EH934" s="16"/>
      <c r="EI934" s="16"/>
      <c r="EJ934" s="16"/>
      <c r="EK934" s="16"/>
      <c r="EL934" s="17"/>
      <c r="EP934" s="24"/>
      <c r="EQ934" s="60"/>
      <c r="ER934" s="16"/>
      <c r="ES934" s="16"/>
      <c r="ET934" s="16"/>
      <c r="EU934" s="16"/>
      <c r="EV934" s="16"/>
      <c r="EW934" s="17"/>
      <c r="FA934" s="24"/>
      <c r="FB934" s="60"/>
      <c r="FC934" s="16"/>
      <c r="FD934" s="16"/>
      <c r="FE934" s="16"/>
      <c r="FF934" s="16"/>
      <c r="FG934" s="16"/>
      <c r="FH934" s="17"/>
      <c r="FL934" s="24"/>
      <c r="FM934" s="60"/>
      <c r="FN934" s="16"/>
      <c r="FO934" s="16"/>
      <c r="FP934" s="16"/>
      <c r="FQ934" s="16"/>
      <c r="FR934" s="16"/>
      <c r="FS934" s="17"/>
      <c r="FW934" s="24"/>
      <c r="FX934" s="60"/>
      <c r="FY934" s="16"/>
      <c r="FZ934" s="16"/>
      <c r="GA934" s="16"/>
      <c r="GB934" s="16"/>
      <c r="GC934" s="16"/>
      <c r="GD934" s="17"/>
      <c r="GH934" s="24"/>
      <c r="GI934" s="60"/>
      <c r="GJ934" s="16"/>
      <c r="GK934" s="16"/>
      <c r="GL934" s="16"/>
      <c r="GM934" s="16"/>
      <c r="GN934" s="16"/>
      <c r="GO934" s="17"/>
      <c r="GS934" s="24"/>
      <c r="GT934" s="60"/>
      <c r="GU934" s="16"/>
      <c r="GV934" s="16"/>
      <c r="GW934" s="16"/>
      <c r="GX934" s="16"/>
      <c r="GY934" s="16"/>
      <c r="GZ934" s="17"/>
      <c r="HD934" s="24"/>
      <c r="HE934" s="60"/>
      <c r="HF934" s="16"/>
      <c r="HG934" s="16"/>
      <c r="HH934" s="16"/>
      <c r="HI934" s="16"/>
      <c r="HJ934" s="16"/>
      <c r="HK934" s="17"/>
      <c r="HO934" s="24"/>
      <c r="HP934" s="60"/>
      <c r="HQ934" s="16"/>
      <c r="HR934" s="16"/>
      <c r="HS934" s="16"/>
      <c r="HT934" s="16"/>
      <c r="HU934" s="16"/>
      <c r="HV934" s="17"/>
      <c r="HZ934" s="24"/>
      <c r="IA934" s="60"/>
      <c r="IB934" s="16"/>
      <c r="IC934" s="16"/>
      <c r="ID934" s="16"/>
      <c r="IE934" s="16"/>
      <c r="IF934" s="16"/>
      <c r="IG934" s="17"/>
      <c r="IK934" s="24"/>
      <c r="IL934" s="60"/>
      <c r="IM934" s="16"/>
      <c r="IN934" s="16"/>
      <c r="IO934" s="16"/>
      <c r="IP934" s="16"/>
      <c r="IQ934" s="16"/>
      <c r="IR934" s="17"/>
      <c r="IV934" s="24"/>
      <c r="IW934" s="60"/>
      <c r="IX934" s="16"/>
      <c r="IY934" s="16"/>
      <c r="IZ934" s="16"/>
      <c r="JA934" s="16"/>
      <c r="JB934" s="16"/>
      <c r="JC934" s="17"/>
      <c r="JG934" s="24"/>
      <c r="JH934" s="60"/>
      <c r="JI934" s="16"/>
      <c r="JJ934" s="16"/>
      <c r="JK934" s="16"/>
      <c r="JL934" s="16"/>
      <c r="JM934" s="16"/>
      <c r="JN934" s="17"/>
      <c r="JR934" s="24"/>
      <c r="JS934" s="60"/>
      <c r="JT934" s="16"/>
      <c r="JU934" s="16"/>
      <c r="JV934" s="16"/>
      <c r="JW934" s="16"/>
      <c r="JX934" s="16"/>
      <c r="JY934" s="17"/>
      <c r="KC934" s="24"/>
      <c r="KD934" s="60"/>
      <c r="KE934" s="16"/>
      <c r="KF934" s="16"/>
      <c r="KG934" s="16"/>
      <c r="KH934" s="16"/>
      <c r="KI934" s="16"/>
      <c r="KJ934" s="17"/>
      <c r="KN934" s="24"/>
      <c r="KO934" s="60"/>
      <c r="KP934" s="16"/>
      <c r="KQ934" s="16"/>
      <c r="KR934" s="16"/>
      <c r="KS934" s="16"/>
      <c r="KT934" s="16"/>
      <c r="KU934" s="17"/>
      <c r="KY934" s="24"/>
      <c r="KZ934" s="60"/>
      <c r="LA934" s="16"/>
      <c r="LB934" s="16"/>
      <c r="LC934" s="16"/>
      <c r="LD934" s="16"/>
      <c r="LE934" s="16"/>
      <c r="LF934" s="17"/>
      <c r="LJ934" s="24"/>
      <c r="LK934" s="60"/>
      <c r="LL934" s="16"/>
      <c r="LM934" s="16"/>
      <c r="LN934" s="16"/>
      <c r="LO934" s="16"/>
      <c r="LP934" s="16"/>
      <c r="LQ934" s="17"/>
    </row>
    <row r="935">
      <c r="C935" s="31"/>
      <c r="D935" s="61"/>
      <c r="E935" s="16"/>
      <c r="F935" s="16"/>
      <c r="G935" s="21"/>
      <c r="H935" s="16"/>
      <c r="I935" s="16"/>
      <c r="J935" s="17"/>
      <c r="N935" s="17"/>
      <c r="O935" s="61"/>
      <c r="P935" s="16"/>
      <c r="Q935" s="16"/>
      <c r="R935" s="16"/>
      <c r="S935" s="16"/>
      <c r="T935" s="16"/>
      <c r="U935" s="17"/>
      <c r="Y935" s="24"/>
      <c r="Z935" s="61"/>
      <c r="AA935" s="16"/>
      <c r="AB935" s="16"/>
      <c r="AC935" s="16"/>
      <c r="AD935" s="16"/>
      <c r="AE935" s="16"/>
      <c r="AF935" s="17"/>
      <c r="AJ935" s="24"/>
      <c r="AK935" s="61"/>
      <c r="AL935" s="16"/>
      <c r="AM935" s="16"/>
      <c r="AN935" s="16"/>
      <c r="AO935" s="16"/>
      <c r="AP935" s="16"/>
      <c r="AQ935" s="17"/>
      <c r="AU935" s="24"/>
      <c r="AV935" s="61"/>
      <c r="AW935" s="16"/>
      <c r="AX935" s="16"/>
      <c r="AY935" s="16"/>
      <c r="AZ935" s="16"/>
      <c r="BA935" s="16"/>
      <c r="BB935" s="17"/>
      <c r="BF935" s="24"/>
      <c r="BG935" s="61"/>
      <c r="BH935" s="16"/>
      <c r="BI935" s="16"/>
      <c r="BJ935" s="16"/>
      <c r="BK935" s="16"/>
      <c r="BL935" s="16"/>
      <c r="BM935" s="17"/>
      <c r="BQ935" s="24"/>
      <c r="BR935" s="61"/>
      <c r="BS935" s="16"/>
      <c r="BT935" s="16"/>
      <c r="BU935" s="16"/>
      <c r="BV935" s="16"/>
      <c r="BW935" s="16"/>
      <c r="BX935" s="17"/>
      <c r="CB935" s="24"/>
      <c r="CC935" s="61"/>
      <c r="CD935" s="16"/>
      <c r="CE935" s="16"/>
      <c r="CF935" s="16"/>
      <c r="CG935" s="16"/>
      <c r="CH935" s="16"/>
      <c r="CI935" s="17"/>
      <c r="CM935" s="24"/>
      <c r="CN935" s="61"/>
      <c r="CO935" s="16"/>
      <c r="CP935" s="16"/>
      <c r="CQ935" s="16"/>
      <c r="CR935" s="16"/>
      <c r="CS935" s="16"/>
      <c r="CT935" s="17"/>
      <c r="CX935" s="24"/>
      <c r="CY935" s="60"/>
      <c r="CZ935" s="16"/>
      <c r="DA935" s="16"/>
      <c r="DB935" s="16"/>
      <c r="DC935" s="16"/>
      <c r="DD935" s="16"/>
      <c r="DE935" s="17"/>
      <c r="DI935" s="24"/>
      <c r="DJ935" s="60"/>
      <c r="DK935" s="16"/>
      <c r="DL935" s="16"/>
      <c r="DM935" s="16"/>
      <c r="DN935" s="16"/>
      <c r="DO935" s="16"/>
      <c r="DP935" s="17"/>
      <c r="DT935" s="24"/>
      <c r="DU935" s="60"/>
      <c r="DV935" s="16"/>
      <c r="DW935" s="16"/>
      <c r="DX935" s="16"/>
      <c r="DY935" s="16"/>
      <c r="DZ935" s="16"/>
      <c r="EA935" s="17"/>
      <c r="EE935" s="24"/>
      <c r="EF935" s="60"/>
      <c r="EG935" s="16"/>
      <c r="EH935" s="16"/>
      <c r="EI935" s="16"/>
      <c r="EJ935" s="16"/>
      <c r="EK935" s="16"/>
      <c r="EL935" s="17"/>
      <c r="EP935" s="24"/>
      <c r="EQ935" s="60"/>
      <c r="ER935" s="16"/>
      <c r="ES935" s="16"/>
      <c r="ET935" s="16"/>
      <c r="EU935" s="16"/>
      <c r="EV935" s="16"/>
      <c r="EW935" s="17"/>
      <c r="FA935" s="24"/>
      <c r="FB935" s="60"/>
      <c r="FC935" s="16"/>
      <c r="FD935" s="16"/>
      <c r="FE935" s="16"/>
      <c r="FF935" s="16"/>
      <c r="FG935" s="16"/>
      <c r="FH935" s="17"/>
      <c r="FL935" s="24"/>
      <c r="FM935" s="60"/>
      <c r="FN935" s="16"/>
      <c r="FO935" s="16"/>
      <c r="FP935" s="16"/>
      <c r="FQ935" s="16"/>
      <c r="FR935" s="16"/>
      <c r="FS935" s="17"/>
      <c r="FW935" s="24"/>
      <c r="FX935" s="60"/>
      <c r="FY935" s="16"/>
      <c r="FZ935" s="16"/>
      <c r="GA935" s="16"/>
      <c r="GB935" s="16"/>
      <c r="GC935" s="16"/>
      <c r="GD935" s="17"/>
      <c r="GH935" s="24"/>
      <c r="GI935" s="60"/>
      <c r="GJ935" s="16"/>
      <c r="GK935" s="16"/>
      <c r="GL935" s="16"/>
      <c r="GM935" s="16"/>
      <c r="GN935" s="16"/>
      <c r="GO935" s="17"/>
      <c r="GS935" s="24"/>
      <c r="GT935" s="60"/>
      <c r="GU935" s="16"/>
      <c r="GV935" s="16"/>
      <c r="GW935" s="16"/>
      <c r="GX935" s="16"/>
      <c r="GY935" s="16"/>
      <c r="GZ935" s="17"/>
      <c r="HD935" s="24"/>
      <c r="HE935" s="60"/>
      <c r="HF935" s="16"/>
      <c r="HG935" s="16"/>
      <c r="HH935" s="16"/>
      <c r="HI935" s="16"/>
      <c r="HJ935" s="16"/>
      <c r="HK935" s="17"/>
      <c r="HO935" s="24"/>
      <c r="HP935" s="60"/>
      <c r="HQ935" s="16"/>
      <c r="HR935" s="16"/>
      <c r="HS935" s="16"/>
      <c r="HT935" s="16"/>
      <c r="HU935" s="16"/>
      <c r="HV935" s="17"/>
      <c r="HZ935" s="24"/>
      <c r="IA935" s="60"/>
      <c r="IB935" s="16"/>
      <c r="IC935" s="16"/>
      <c r="ID935" s="16"/>
      <c r="IE935" s="16"/>
      <c r="IF935" s="16"/>
      <c r="IG935" s="17"/>
      <c r="IK935" s="24"/>
      <c r="IL935" s="60"/>
      <c r="IM935" s="16"/>
      <c r="IN935" s="16"/>
      <c r="IO935" s="16"/>
      <c r="IP935" s="16"/>
      <c r="IQ935" s="16"/>
      <c r="IR935" s="17"/>
      <c r="IV935" s="24"/>
      <c r="IW935" s="60"/>
      <c r="IX935" s="16"/>
      <c r="IY935" s="16"/>
      <c r="IZ935" s="16"/>
      <c r="JA935" s="16"/>
      <c r="JB935" s="16"/>
      <c r="JC935" s="17"/>
      <c r="JG935" s="24"/>
      <c r="JH935" s="60"/>
      <c r="JI935" s="16"/>
      <c r="JJ935" s="16"/>
      <c r="JK935" s="16"/>
      <c r="JL935" s="16"/>
      <c r="JM935" s="16"/>
      <c r="JN935" s="17"/>
      <c r="JR935" s="24"/>
      <c r="JS935" s="60"/>
      <c r="JT935" s="16"/>
      <c r="JU935" s="16"/>
      <c r="JV935" s="16"/>
      <c r="JW935" s="16"/>
      <c r="JX935" s="16"/>
      <c r="JY935" s="17"/>
      <c r="KC935" s="24"/>
      <c r="KD935" s="60"/>
      <c r="KE935" s="16"/>
      <c r="KF935" s="16"/>
      <c r="KG935" s="16"/>
      <c r="KH935" s="16"/>
      <c r="KI935" s="16"/>
      <c r="KJ935" s="17"/>
      <c r="KN935" s="24"/>
      <c r="KO935" s="60"/>
      <c r="KP935" s="16"/>
      <c r="KQ935" s="16"/>
      <c r="KR935" s="16"/>
      <c r="KS935" s="16"/>
      <c r="KT935" s="16"/>
      <c r="KU935" s="17"/>
      <c r="KY935" s="24"/>
      <c r="KZ935" s="60"/>
      <c r="LA935" s="16"/>
      <c r="LB935" s="16"/>
      <c r="LC935" s="16"/>
      <c r="LD935" s="16"/>
      <c r="LE935" s="16"/>
      <c r="LF935" s="17"/>
      <c r="LJ935" s="24"/>
      <c r="LK935" s="60"/>
      <c r="LL935" s="16"/>
      <c r="LM935" s="16"/>
      <c r="LN935" s="16"/>
      <c r="LO935" s="16"/>
      <c r="LP935" s="16"/>
      <c r="LQ935" s="17"/>
    </row>
    <row r="936">
      <c r="C936" s="31"/>
      <c r="D936" s="61"/>
      <c r="E936" s="16"/>
      <c r="F936" s="16"/>
      <c r="G936" s="21"/>
      <c r="H936" s="16"/>
      <c r="I936" s="16"/>
      <c r="J936" s="17"/>
      <c r="N936" s="17"/>
      <c r="O936" s="61"/>
      <c r="P936" s="16"/>
      <c r="Q936" s="16"/>
      <c r="R936" s="16"/>
      <c r="S936" s="16"/>
      <c r="T936" s="16"/>
      <c r="U936" s="17"/>
      <c r="Y936" s="24"/>
      <c r="Z936" s="61"/>
      <c r="AA936" s="16"/>
      <c r="AB936" s="16"/>
      <c r="AC936" s="16"/>
      <c r="AD936" s="16"/>
      <c r="AE936" s="16"/>
      <c r="AF936" s="17"/>
      <c r="AJ936" s="24"/>
      <c r="AK936" s="61"/>
      <c r="AL936" s="16"/>
      <c r="AM936" s="16"/>
      <c r="AN936" s="16"/>
      <c r="AO936" s="16"/>
      <c r="AP936" s="16"/>
      <c r="AQ936" s="17"/>
      <c r="AU936" s="24"/>
      <c r="AV936" s="61"/>
      <c r="AW936" s="16"/>
      <c r="AX936" s="16"/>
      <c r="AY936" s="16"/>
      <c r="AZ936" s="16"/>
      <c r="BA936" s="16"/>
      <c r="BB936" s="17"/>
      <c r="BF936" s="24"/>
      <c r="BG936" s="61"/>
      <c r="BH936" s="16"/>
      <c r="BI936" s="16"/>
      <c r="BJ936" s="16"/>
      <c r="BK936" s="16"/>
      <c r="BL936" s="16"/>
      <c r="BM936" s="17"/>
      <c r="BQ936" s="24"/>
      <c r="BR936" s="61"/>
      <c r="BS936" s="16"/>
      <c r="BT936" s="16"/>
      <c r="BU936" s="16"/>
      <c r="BV936" s="16"/>
      <c r="BW936" s="16"/>
      <c r="BX936" s="17"/>
      <c r="CB936" s="24"/>
      <c r="CC936" s="61"/>
      <c r="CD936" s="16"/>
      <c r="CE936" s="16"/>
      <c r="CF936" s="16"/>
      <c r="CG936" s="16"/>
      <c r="CH936" s="16"/>
      <c r="CI936" s="17"/>
      <c r="CM936" s="24"/>
      <c r="CN936" s="61"/>
      <c r="CO936" s="16"/>
      <c r="CP936" s="16"/>
      <c r="CQ936" s="16"/>
      <c r="CR936" s="16"/>
      <c r="CS936" s="16"/>
      <c r="CT936" s="17"/>
      <c r="CX936" s="24"/>
      <c r="CY936" s="60"/>
      <c r="CZ936" s="16"/>
      <c r="DA936" s="16"/>
      <c r="DB936" s="16"/>
      <c r="DC936" s="16"/>
      <c r="DD936" s="16"/>
      <c r="DE936" s="17"/>
      <c r="DI936" s="24"/>
      <c r="DJ936" s="60"/>
      <c r="DK936" s="16"/>
      <c r="DL936" s="16"/>
      <c r="DM936" s="16"/>
      <c r="DN936" s="16"/>
      <c r="DO936" s="16"/>
      <c r="DP936" s="17"/>
      <c r="DT936" s="24"/>
      <c r="DU936" s="60"/>
      <c r="DV936" s="16"/>
      <c r="DW936" s="16"/>
      <c r="DX936" s="16"/>
      <c r="DY936" s="16"/>
      <c r="DZ936" s="16"/>
      <c r="EA936" s="17"/>
      <c r="EE936" s="24"/>
      <c r="EF936" s="60"/>
      <c r="EG936" s="16"/>
      <c r="EH936" s="16"/>
      <c r="EI936" s="16"/>
      <c r="EJ936" s="16"/>
      <c r="EK936" s="16"/>
      <c r="EL936" s="17"/>
      <c r="EP936" s="24"/>
      <c r="EQ936" s="60"/>
      <c r="ER936" s="16"/>
      <c r="ES936" s="16"/>
      <c r="ET936" s="16"/>
      <c r="EU936" s="16"/>
      <c r="EV936" s="16"/>
      <c r="EW936" s="17"/>
      <c r="FA936" s="24"/>
      <c r="FB936" s="60"/>
      <c r="FC936" s="16"/>
      <c r="FD936" s="16"/>
      <c r="FE936" s="16"/>
      <c r="FF936" s="16"/>
      <c r="FG936" s="16"/>
      <c r="FH936" s="17"/>
      <c r="FL936" s="24"/>
      <c r="FM936" s="60"/>
      <c r="FN936" s="16"/>
      <c r="FO936" s="16"/>
      <c r="FP936" s="16"/>
      <c r="FQ936" s="16"/>
      <c r="FR936" s="16"/>
      <c r="FS936" s="17"/>
      <c r="FW936" s="24"/>
      <c r="FX936" s="60"/>
      <c r="FY936" s="16"/>
      <c r="FZ936" s="16"/>
      <c r="GA936" s="16"/>
      <c r="GB936" s="16"/>
      <c r="GC936" s="16"/>
      <c r="GD936" s="17"/>
      <c r="GH936" s="24"/>
      <c r="GI936" s="60"/>
      <c r="GJ936" s="16"/>
      <c r="GK936" s="16"/>
      <c r="GL936" s="16"/>
      <c r="GM936" s="16"/>
      <c r="GN936" s="16"/>
      <c r="GO936" s="17"/>
      <c r="GS936" s="24"/>
      <c r="GT936" s="60"/>
      <c r="GU936" s="16"/>
      <c r="GV936" s="16"/>
      <c r="GW936" s="16"/>
      <c r="GX936" s="16"/>
      <c r="GY936" s="16"/>
      <c r="GZ936" s="17"/>
      <c r="HD936" s="24"/>
      <c r="HE936" s="60"/>
      <c r="HF936" s="16"/>
      <c r="HG936" s="16"/>
      <c r="HH936" s="16"/>
      <c r="HI936" s="16"/>
      <c r="HJ936" s="16"/>
      <c r="HK936" s="17"/>
      <c r="HO936" s="24"/>
      <c r="HP936" s="60"/>
      <c r="HQ936" s="16"/>
      <c r="HR936" s="16"/>
      <c r="HS936" s="16"/>
      <c r="HT936" s="16"/>
      <c r="HU936" s="16"/>
      <c r="HV936" s="17"/>
      <c r="HZ936" s="24"/>
      <c r="IA936" s="60"/>
      <c r="IB936" s="16"/>
      <c r="IC936" s="16"/>
      <c r="ID936" s="16"/>
      <c r="IE936" s="16"/>
      <c r="IF936" s="16"/>
      <c r="IG936" s="17"/>
      <c r="IK936" s="24"/>
      <c r="IL936" s="60"/>
      <c r="IM936" s="16"/>
      <c r="IN936" s="16"/>
      <c r="IO936" s="16"/>
      <c r="IP936" s="16"/>
      <c r="IQ936" s="16"/>
      <c r="IR936" s="17"/>
      <c r="IV936" s="24"/>
      <c r="IW936" s="60"/>
      <c r="IX936" s="16"/>
      <c r="IY936" s="16"/>
      <c r="IZ936" s="16"/>
      <c r="JA936" s="16"/>
      <c r="JB936" s="16"/>
      <c r="JC936" s="17"/>
      <c r="JG936" s="24"/>
      <c r="JH936" s="60"/>
      <c r="JI936" s="16"/>
      <c r="JJ936" s="16"/>
      <c r="JK936" s="16"/>
      <c r="JL936" s="16"/>
      <c r="JM936" s="16"/>
      <c r="JN936" s="17"/>
      <c r="JR936" s="24"/>
      <c r="JS936" s="60"/>
      <c r="JT936" s="16"/>
      <c r="JU936" s="16"/>
      <c r="JV936" s="16"/>
      <c r="JW936" s="16"/>
      <c r="JX936" s="16"/>
      <c r="JY936" s="17"/>
      <c r="KC936" s="24"/>
      <c r="KD936" s="60"/>
      <c r="KE936" s="16"/>
      <c r="KF936" s="16"/>
      <c r="KG936" s="16"/>
      <c r="KH936" s="16"/>
      <c r="KI936" s="16"/>
      <c r="KJ936" s="17"/>
      <c r="KN936" s="24"/>
      <c r="KO936" s="60"/>
      <c r="KP936" s="16"/>
      <c r="KQ936" s="16"/>
      <c r="KR936" s="16"/>
      <c r="KS936" s="16"/>
      <c r="KT936" s="16"/>
      <c r="KU936" s="17"/>
      <c r="KY936" s="24"/>
      <c r="KZ936" s="60"/>
      <c r="LA936" s="16"/>
      <c r="LB936" s="16"/>
      <c r="LC936" s="16"/>
      <c r="LD936" s="16"/>
      <c r="LE936" s="16"/>
      <c r="LF936" s="17"/>
      <c r="LJ936" s="24"/>
      <c r="LK936" s="60"/>
      <c r="LL936" s="16"/>
      <c r="LM936" s="16"/>
      <c r="LN936" s="16"/>
      <c r="LO936" s="16"/>
      <c r="LP936" s="16"/>
      <c r="LQ936" s="17"/>
    </row>
    <row r="937">
      <c r="C937" s="31"/>
      <c r="D937" s="61"/>
      <c r="E937" s="16"/>
      <c r="F937" s="16"/>
      <c r="G937" s="21"/>
      <c r="H937" s="16"/>
      <c r="I937" s="16"/>
      <c r="J937" s="17"/>
      <c r="N937" s="17"/>
      <c r="O937" s="61"/>
      <c r="P937" s="16"/>
      <c r="Q937" s="16"/>
      <c r="R937" s="16"/>
      <c r="S937" s="16"/>
      <c r="T937" s="16"/>
      <c r="U937" s="17"/>
      <c r="Y937" s="24"/>
      <c r="Z937" s="61"/>
      <c r="AA937" s="16"/>
      <c r="AB937" s="16"/>
      <c r="AC937" s="16"/>
      <c r="AD937" s="16"/>
      <c r="AE937" s="16"/>
      <c r="AF937" s="17"/>
      <c r="AJ937" s="24"/>
      <c r="AK937" s="61"/>
      <c r="AL937" s="16"/>
      <c r="AM937" s="16"/>
      <c r="AN937" s="16"/>
      <c r="AO937" s="16"/>
      <c r="AP937" s="16"/>
      <c r="AQ937" s="17"/>
      <c r="AU937" s="24"/>
      <c r="AV937" s="61"/>
      <c r="AW937" s="16"/>
      <c r="AX937" s="16"/>
      <c r="AY937" s="16"/>
      <c r="AZ937" s="16"/>
      <c r="BA937" s="16"/>
      <c r="BB937" s="17"/>
      <c r="BF937" s="24"/>
      <c r="BG937" s="61"/>
      <c r="BH937" s="16"/>
      <c r="BI937" s="16"/>
      <c r="BJ937" s="16"/>
      <c r="BK937" s="16"/>
      <c r="BL937" s="16"/>
      <c r="BM937" s="17"/>
      <c r="BQ937" s="24"/>
      <c r="BR937" s="61"/>
      <c r="BS937" s="16"/>
      <c r="BT937" s="16"/>
      <c r="BU937" s="16"/>
      <c r="BV937" s="16"/>
      <c r="BW937" s="16"/>
      <c r="BX937" s="17"/>
      <c r="CB937" s="24"/>
      <c r="CC937" s="61"/>
      <c r="CD937" s="16"/>
      <c r="CE937" s="16"/>
      <c r="CF937" s="16"/>
      <c r="CG937" s="16"/>
      <c r="CH937" s="16"/>
      <c r="CI937" s="17"/>
      <c r="CM937" s="24"/>
      <c r="CN937" s="61"/>
      <c r="CO937" s="16"/>
      <c r="CP937" s="16"/>
      <c r="CQ937" s="16"/>
      <c r="CR937" s="16"/>
      <c r="CS937" s="16"/>
      <c r="CT937" s="17"/>
      <c r="CX937" s="24"/>
      <c r="CY937" s="60"/>
      <c r="CZ937" s="16"/>
      <c r="DA937" s="16"/>
      <c r="DB937" s="16"/>
      <c r="DC937" s="16"/>
      <c r="DD937" s="16"/>
      <c r="DE937" s="17"/>
      <c r="DI937" s="24"/>
      <c r="DJ937" s="60"/>
      <c r="DK937" s="16"/>
      <c r="DL937" s="16"/>
      <c r="DM937" s="16"/>
      <c r="DN937" s="16"/>
      <c r="DO937" s="16"/>
      <c r="DP937" s="17"/>
      <c r="DT937" s="24"/>
      <c r="DU937" s="60"/>
      <c r="DV937" s="16"/>
      <c r="DW937" s="16"/>
      <c r="DX937" s="16"/>
      <c r="DY937" s="16"/>
      <c r="DZ937" s="16"/>
      <c r="EA937" s="17"/>
      <c r="EE937" s="24"/>
      <c r="EF937" s="60"/>
      <c r="EG937" s="16"/>
      <c r="EH937" s="16"/>
      <c r="EI937" s="16"/>
      <c r="EJ937" s="16"/>
      <c r="EK937" s="16"/>
      <c r="EL937" s="17"/>
      <c r="EP937" s="24"/>
      <c r="EQ937" s="60"/>
      <c r="ER937" s="16"/>
      <c r="ES937" s="16"/>
      <c r="ET937" s="16"/>
      <c r="EU937" s="16"/>
      <c r="EV937" s="16"/>
      <c r="EW937" s="17"/>
      <c r="FA937" s="24"/>
      <c r="FB937" s="60"/>
      <c r="FC937" s="16"/>
      <c r="FD937" s="16"/>
      <c r="FE937" s="16"/>
      <c r="FF937" s="16"/>
      <c r="FG937" s="16"/>
      <c r="FH937" s="17"/>
      <c r="FL937" s="24"/>
      <c r="FM937" s="60"/>
      <c r="FN937" s="16"/>
      <c r="FO937" s="16"/>
      <c r="FP937" s="16"/>
      <c r="FQ937" s="16"/>
      <c r="FR937" s="16"/>
      <c r="FS937" s="17"/>
      <c r="FW937" s="24"/>
      <c r="FX937" s="60"/>
      <c r="FY937" s="16"/>
      <c r="FZ937" s="16"/>
      <c r="GA937" s="16"/>
      <c r="GB937" s="16"/>
      <c r="GC937" s="16"/>
      <c r="GD937" s="17"/>
      <c r="GH937" s="24"/>
      <c r="GI937" s="60"/>
      <c r="GJ937" s="16"/>
      <c r="GK937" s="16"/>
      <c r="GL937" s="16"/>
      <c r="GM937" s="16"/>
      <c r="GN937" s="16"/>
      <c r="GO937" s="17"/>
      <c r="GS937" s="24"/>
      <c r="GT937" s="60"/>
      <c r="GU937" s="16"/>
      <c r="GV937" s="16"/>
      <c r="GW937" s="16"/>
      <c r="GX937" s="16"/>
      <c r="GY937" s="16"/>
      <c r="GZ937" s="17"/>
      <c r="HD937" s="24"/>
      <c r="HE937" s="60"/>
      <c r="HF937" s="16"/>
      <c r="HG937" s="16"/>
      <c r="HH937" s="16"/>
      <c r="HI937" s="16"/>
      <c r="HJ937" s="16"/>
      <c r="HK937" s="17"/>
      <c r="HO937" s="24"/>
      <c r="HP937" s="60"/>
      <c r="HQ937" s="16"/>
      <c r="HR937" s="16"/>
      <c r="HS937" s="16"/>
      <c r="HT937" s="16"/>
      <c r="HU937" s="16"/>
      <c r="HV937" s="17"/>
      <c r="HZ937" s="24"/>
      <c r="IA937" s="60"/>
      <c r="IB937" s="16"/>
      <c r="IC937" s="16"/>
      <c r="ID937" s="16"/>
      <c r="IE937" s="16"/>
      <c r="IF937" s="16"/>
      <c r="IG937" s="17"/>
      <c r="IK937" s="24"/>
      <c r="IL937" s="60"/>
      <c r="IM937" s="16"/>
      <c r="IN937" s="16"/>
      <c r="IO937" s="16"/>
      <c r="IP937" s="16"/>
      <c r="IQ937" s="16"/>
      <c r="IR937" s="17"/>
      <c r="IV937" s="24"/>
      <c r="IW937" s="60"/>
      <c r="IX937" s="16"/>
      <c r="IY937" s="16"/>
      <c r="IZ937" s="16"/>
      <c r="JA937" s="16"/>
      <c r="JB937" s="16"/>
      <c r="JC937" s="17"/>
      <c r="JG937" s="24"/>
      <c r="JH937" s="60"/>
      <c r="JI937" s="16"/>
      <c r="JJ937" s="16"/>
      <c r="JK937" s="16"/>
      <c r="JL937" s="16"/>
      <c r="JM937" s="16"/>
      <c r="JN937" s="17"/>
      <c r="JR937" s="24"/>
      <c r="JS937" s="60"/>
      <c r="JT937" s="16"/>
      <c r="JU937" s="16"/>
      <c r="JV937" s="16"/>
      <c r="JW937" s="16"/>
      <c r="JX937" s="16"/>
      <c r="JY937" s="17"/>
      <c r="KC937" s="24"/>
      <c r="KD937" s="60"/>
      <c r="KE937" s="16"/>
      <c r="KF937" s="16"/>
      <c r="KG937" s="16"/>
      <c r="KH937" s="16"/>
      <c r="KI937" s="16"/>
      <c r="KJ937" s="17"/>
      <c r="KN937" s="24"/>
      <c r="KO937" s="60"/>
      <c r="KP937" s="16"/>
      <c r="KQ937" s="16"/>
      <c r="KR937" s="16"/>
      <c r="KS937" s="16"/>
      <c r="KT937" s="16"/>
      <c r="KU937" s="17"/>
      <c r="KY937" s="24"/>
      <c r="KZ937" s="60"/>
      <c r="LA937" s="16"/>
      <c r="LB937" s="16"/>
      <c r="LC937" s="16"/>
      <c r="LD937" s="16"/>
      <c r="LE937" s="16"/>
      <c r="LF937" s="17"/>
      <c r="LJ937" s="24"/>
      <c r="LK937" s="60"/>
      <c r="LL937" s="16"/>
      <c r="LM937" s="16"/>
      <c r="LN937" s="16"/>
      <c r="LO937" s="16"/>
      <c r="LP937" s="16"/>
      <c r="LQ937" s="17"/>
    </row>
    <row r="938">
      <c r="C938" s="31"/>
      <c r="D938" s="61"/>
      <c r="E938" s="16"/>
      <c r="F938" s="16"/>
      <c r="G938" s="21"/>
      <c r="H938" s="16"/>
      <c r="I938" s="16"/>
      <c r="J938" s="17"/>
      <c r="N938" s="17"/>
      <c r="O938" s="61"/>
      <c r="P938" s="16"/>
      <c r="Q938" s="16"/>
      <c r="R938" s="16"/>
      <c r="S938" s="16"/>
      <c r="T938" s="16"/>
      <c r="U938" s="17"/>
      <c r="Y938" s="24"/>
      <c r="Z938" s="61"/>
      <c r="AA938" s="16"/>
      <c r="AB938" s="16"/>
      <c r="AC938" s="16"/>
      <c r="AD938" s="16"/>
      <c r="AE938" s="16"/>
      <c r="AF938" s="17"/>
      <c r="AJ938" s="24"/>
      <c r="AK938" s="61"/>
      <c r="AL938" s="16"/>
      <c r="AM938" s="16"/>
      <c r="AN938" s="16"/>
      <c r="AO938" s="16"/>
      <c r="AP938" s="16"/>
      <c r="AQ938" s="17"/>
      <c r="AU938" s="24"/>
      <c r="AV938" s="61"/>
      <c r="AW938" s="16"/>
      <c r="AX938" s="16"/>
      <c r="AY938" s="16"/>
      <c r="AZ938" s="16"/>
      <c r="BA938" s="16"/>
      <c r="BB938" s="17"/>
      <c r="BF938" s="24"/>
      <c r="BG938" s="61"/>
      <c r="BH938" s="16"/>
      <c r="BI938" s="16"/>
      <c r="BJ938" s="16"/>
      <c r="BK938" s="16"/>
      <c r="BL938" s="16"/>
      <c r="BM938" s="17"/>
      <c r="BQ938" s="24"/>
      <c r="BR938" s="61"/>
      <c r="BS938" s="16"/>
      <c r="BT938" s="16"/>
      <c r="BU938" s="16"/>
      <c r="BV938" s="16"/>
      <c r="BW938" s="16"/>
      <c r="BX938" s="17"/>
      <c r="CB938" s="24"/>
      <c r="CC938" s="61"/>
      <c r="CD938" s="16"/>
      <c r="CE938" s="16"/>
      <c r="CF938" s="16"/>
      <c r="CG938" s="16"/>
      <c r="CH938" s="16"/>
      <c r="CI938" s="17"/>
      <c r="CM938" s="24"/>
      <c r="CN938" s="61"/>
      <c r="CO938" s="16"/>
      <c r="CP938" s="16"/>
      <c r="CQ938" s="16"/>
      <c r="CR938" s="16"/>
      <c r="CS938" s="16"/>
      <c r="CT938" s="17"/>
      <c r="CX938" s="24"/>
      <c r="CY938" s="60"/>
      <c r="CZ938" s="16"/>
      <c r="DA938" s="16"/>
      <c r="DB938" s="16"/>
      <c r="DC938" s="16"/>
      <c r="DD938" s="16"/>
      <c r="DE938" s="17"/>
      <c r="DI938" s="24"/>
      <c r="DJ938" s="60"/>
      <c r="DK938" s="16"/>
      <c r="DL938" s="16"/>
      <c r="DM938" s="16"/>
      <c r="DN938" s="16"/>
      <c r="DO938" s="16"/>
      <c r="DP938" s="17"/>
      <c r="DT938" s="24"/>
      <c r="DU938" s="60"/>
      <c r="DV938" s="16"/>
      <c r="DW938" s="16"/>
      <c r="DX938" s="16"/>
      <c r="DY938" s="16"/>
      <c r="DZ938" s="16"/>
      <c r="EA938" s="17"/>
      <c r="EE938" s="24"/>
      <c r="EF938" s="60"/>
      <c r="EG938" s="16"/>
      <c r="EH938" s="16"/>
      <c r="EI938" s="16"/>
      <c r="EJ938" s="16"/>
      <c r="EK938" s="16"/>
      <c r="EL938" s="17"/>
      <c r="EP938" s="24"/>
      <c r="EQ938" s="60"/>
      <c r="ER938" s="16"/>
      <c r="ES938" s="16"/>
      <c r="ET938" s="16"/>
      <c r="EU938" s="16"/>
      <c r="EV938" s="16"/>
      <c r="EW938" s="17"/>
      <c r="FA938" s="24"/>
      <c r="FB938" s="60"/>
      <c r="FC938" s="16"/>
      <c r="FD938" s="16"/>
      <c r="FE938" s="16"/>
      <c r="FF938" s="16"/>
      <c r="FG938" s="16"/>
      <c r="FH938" s="17"/>
      <c r="FL938" s="24"/>
      <c r="FM938" s="60"/>
      <c r="FN938" s="16"/>
      <c r="FO938" s="16"/>
      <c r="FP938" s="16"/>
      <c r="FQ938" s="16"/>
      <c r="FR938" s="16"/>
      <c r="FS938" s="17"/>
      <c r="FW938" s="24"/>
      <c r="FX938" s="60"/>
      <c r="FY938" s="16"/>
      <c r="FZ938" s="16"/>
      <c r="GA938" s="16"/>
      <c r="GB938" s="16"/>
      <c r="GC938" s="16"/>
      <c r="GD938" s="17"/>
      <c r="GH938" s="24"/>
      <c r="GI938" s="60"/>
      <c r="GJ938" s="16"/>
      <c r="GK938" s="16"/>
      <c r="GL938" s="16"/>
      <c r="GM938" s="16"/>
      <c r="GN938" s="16"/>
      <c r="GO938" s="17"/>
      <c r="GS938" s="24"/>
      <c r="GT938" s="60"/>
      <c r="GU938" s="16"/>
      <c r="GV938" s="16"/>
      <c r="GW938" s="16"/>
      <c r="GX938" s="16"/>
      <c r="GY938" s="16"/>
      <c r="GZ938" s="17"/>
      <c r="HD938" s="24"/>
      <c r="HE938" s="60"/>
      <c r="HF938" s="16"/>
      <c r="HG938" s="16"/>
      <c r="HH938" s="16"/>
      <c r="HI938" s="16"/>
      <c r="HJ938" s="16"/>
      <c r="HK938" s="17"/>
      <c r="HO938" s="24"/>
      <c r="HP938" s="60"/>
      <c r="HQ938" s="16"/>
      <c r="HR938" s="16"/>
      <c r="HS938" s="16"/>
      <c r="HT938" s="16"/>
      <c r="HU938" s="16"/>
      <c r="HV938" s="17"/>
      <c r="HZ938" s="24"/>
      <c r="IA938" s="60"/>
      <c r="IB938" s="16"/>
      <c r="IC938" s="16"/>
      <c r="ID938" s="16"/>
      <c r="IE938" s="16"/>
      <c r="IF938" s="16"/>
      <c r="IG938" s="17"/>
      <c r="IK938" s="24"/>
      <c r="IL938" s="60"/>
      <c r="IM938" s="16"/>
      <c r="IN938" s="16"/>
      <c r="IO938" s="16"/>
      <c r="IP938" s="16"/>
      <c r="IQ938" s="16"/>
      <c r="IR938" s="17"/>
      <c r="IV938" s="24"/>
      <c r="IW938" s="60"/>
      <c r="IX938" s="16"/>
      <c r="IY938" s="16"/>
      <c r="IZ938" s="16"/>
      <c r="JA938" s="16"/>
      <c r="JB938" s="16"/>
      <c r="JC938" s="17"/>
      <c r="JG938" s="24"/>
      <c r="JH938" s="60"/>
      <c r="JI938" s="16"/>
      <c r="JJ938" s="16"/>
      <c r="JK938" s="16"/>
      <c r="JL938" s="16"/>
      <c r="JM938" s="16"/>
      <c r="JN938" s="17"/>
      <c r="JR938" s="24"/>
      <c r="JS938" s="60"/>
      <c r="JT938" s="16"/>
      <c r="JU938" s="16"/>
      <c r="JV938" s="16"/>
      <c r="JW938" s="16"/>
      <c r="JX938" s="16"/>
      <c r="JY938" s="17"/>
      <c r="KC938" s="24"/>
      <c r="KD938" s="60"/>
      <c r="KE938" s="16"/>
      <c r="KF938" s="16"/>
      <c r="KG938" s="16"/>
      <c r="KH938" s="16"/>
      <c r="KI938" s="16"/>
      <c r="KJ938" s="17"/>
      <c r="KN938" s="24"/>
      <c r="KO938" s="60"/>
      <c r="KP938" s="16"/>
      <c r="KQ938" s="16"/>
      <c r="KR938" s="16"/>
      <c r="KS938" s="16"/>
      <c r="KT938" s="16"/>
      <c r="KU938" s="17"/>
      <c r="KY938" s="24"/>
      <c r="KZ938" s="60"/>
      <c r="LA938" s="16"/>
      <c r="LB938" s="16"/>
      <c r="LC938" s="16"/>
      <c r="LD938" s="16"/>
      <c r="LE938" s="16"/>
      <c r="LF938" s="17"/>
      <c r="LJ938" s="24"/>
      <c r="LK938" s="60"/>
      <c r="LL938" s="16"/>
      <c r="LM938" s="16"/>
      <c r="LN938" s="16"/>
      <c r="LO938" s="16"/>
      <c r="LP938" s="16"/>
      <c r="LQ938" s="17"/>
    </row>
    <row r="939">
      <c r="C939" s="31"/>
      <c r="D939" s="61"/>
      <c r="E939" s="16"/>
      <c r="F939" s="16"/>
      <c r="G939" s="21"/>
      <c r="H939" s="16"/>
      <c r="I939" s="16"/>
      <c r="J939" s="17"/>
      <c r="N939" s="17"/>
      <c r="O939" s="61"/>
      <c r="P939" s="16"/>
      <c r="Q939" s="16"/>
      <c r="R939" s="16"/>
      <c r="S939" s="16"/>
      <c r="T939" s="16"/>
      <c r="U939" s="17"/>
      <c r="Y939" s="24"/>
      <c r="Z939" s="61"/>
      <c r="AA939" s="16"/>
      <c r="AB939" s="16"/>
      <c r="AC939" s="16"/>
      <c r="AD939" s="16"/>
      <c r="AE939" s="16"/>
      <c r="AF939" s="17"/>
      <c r="AJ939" s="24"/>
      <c r="AK939" s="61"/>
      <c r="AL939" s="16"/>
      <c r="AM939" s="16"/>
      <c r="AN939" s="16"/>
      <c r="AO939" s="16"/>
      <c r="AP939" s="16"/>
      <c r="AQ939" s="17"/>
      <c r="AU939" s="24"/>
      <c r="AV939" s="61"/>
      <c r="AW939" s="16"/>
      <c r="AX939" s="16"/>
      <c r="AY939" s="16"/>
      <c r="AZ939" s="16"/>
      <c r="BA939" s="16"/>
      <c r="BB939" s="17"/>
      <c r="BF939" s="24"/>
      <c r="BG939" s="61"/>
      <c r="BH939" s="16"/>
      <c r="BI939" s="16"/>
      <c r="BJ939" s="16"/>
      <c r="BK939" s="16"/>
      <c r="BL939" s="16"/>
      <c r="BM939" s="17"/>
      <c r="BQ939" s="24"/>
      <c r="BR939" s="61"/>
      <c r="BS939" s="16"/>
      <c r="BT939" s="16"/>
      <c r="BU939" s="16"/>
      <c r="BV939" s="16"/>
      <c r="BW939" s="16"/>
      <c r="BX939" s="17"/>
      <c r="CB939" s="24"/>
      <c r="CC939" s="61"/>
      <c r="CD939" s="16"/>
      <c r="CE939" s="16"/>
      <c r="CF939" s="16"/>
      <c r="CG939" s="16"/>
      <c r="CH939" s="16"/>
      <c r="CI939" s="17"/>
      <c r="CM939" s="24"/>
      <c r="CN939" s="61"/>
      <c r="CO939" s="16"/>
      <c r="CP939" s="16"/>
      <c r="CQ939" s="16"/>
      <c r="CR939" s="16"/>
      <c r="CS939" s="16"/>
      <c r="CT939" s="17"/>
      <c r="CX939" s="24"/>
      <c r="CY939" s="60"/>
      <c r="CZ939" s="16"/>
      <c r="DA939" s="16"/>
      <c r="DB939" s="16"/>
      <c r="DC939" s="16"/>
      <c r="DD939" s="16"/>
      <c r="DE939" s="17"/>
      <c r="DI939" s="24"/>
      <c r="DJ939" s="60"/>
      <c r="DK939" s="16"/>
      <c r="DL939" s="16"/>
      <c r="DM939" s="16"/>
      <c r="DN939" s="16"/>
      <c r="DO939" s="16"/>
      <c r="DP939" s="17"/>
      <c r="DT939" s="24"/>
      <c r="DU939" s="60"/>
      <c r="DV939" s="16"/>
      <c r="DW939" s="16"/>
      <c r="DX939" s="16"/>
      <c r="DY939" s="16"/>
      <c r="DZ939" s="16"/>
      <c r="EA939" s="17"/>
      <c r="EE939" s="24"/>
      <c r="EF939" s="60"/>
      <c r="EG939" s="16"/>
      <c r="EH939" s="16"/>
      <c r="EI939" s="16"/>
      <c r="EJ939" s="16"/>
      <c r="EK939" s="16"/>
      <c r="EL939" s="17"/>
      <c r="EP939" s="24"/>
      <c r="EQ939" s="60"/>
      <c r="ER939" s="16"/>
      <c r="ES939" s="16"/>
      <c r="ET939" s="16"/>
      <c r="EU939" s="16"/>
      <c r="EV939" s="16"/>
      <c r="EW939" s="17"/>
      <c r="FA939" s="24"/>
      <c r="FB939" s="60"/>
      <c r="FC939" s="16"/>
      <c r="FD939" s="16"/>
      <c r="FE939" s="16"/>
      <c r="FF939" s="16"/>
      <c r="FG939" s="16"/>
      <c r="FH939" s="17"/>
      <c r="FL939" s="24"/>
      <c r="FM939" s="60"/>
      <c r="FN939" s="16"/>
      <c r="FO939" s="16"/>
      <c r="FP939" s="16"/>
      <c r="FQ939" s="16"/>
      <c r="FR939" s="16"/>
      <c r="FS939" s="17"/>
      <c r="FW939" s="24"/>
      <c r="FX939" s="60"/>
      <c r="FY939" s="16"/>
      <c r="FZ939" s="16"/>
      <c r="GA939" s="16"/>
      <c r="GB939" s="16"/>
      <c r="GC939" s="16"/>
      <c r="GD939" s="17"/>
      <c r="GH939" s="24"/>
      <c r="GI939" s="60"/>
      <c r="GJ939" s="16"/>
      <c r="GK939" s="16"/>
      <c r="GL939" s="16"/>
      <c r="GM939" s="16"/>
      <c r="GN939" s="16"/>
      <c r="GO939" s="17"/>
      <c r="GS939" s="24"/>
      <c r="GT939" s="60"/>
      <c r="GU939" s="16"/>
      <c r="GV939" s="16"/>
      <c r="GW939" s="16"/>
      <c r="GX939" s="16"/>
      <c r="GY939" s="16"/>
      <c r="GZ939" s="17"/>
      <c r="HD939" s="24"/>
      <c r="HE939" s="60"/>
      <c r="HF939" s="16"/>
      <c r="HG939" s="16"/>
      <c r="HH939" s="16"/>
      <c r="HI939" s="16"/>
      <c r="HJ939" s="16"/>
      <c r="HK939" s="17"/>
      <c r="HO939" s="24"/>
      <c r="HP939" s="60"/>
      <c r="HQ939" s="16"/>
      <c r="HR939" s="16"/>
      <c r="HS939" s="16"/>
      <c r="HT939" s="16"/>
      <c r="HU939" s="16"/>
      <c r="HV939" s="17"/>
      <c r="HZ939" s="24"/>
      <c r="IA939" s="60"/>
      <c r="IB939" s="16"/>
      <c r="IC939" s="16"/>
      <c r="ID939" s="16"/>
      <c r="IE939" s="16"/>
      <c r="IF939" s="16"/>
      <c r="IG939" s="17"/>
      <c r="IK939" s="24"/>
      <c r="IL939" s="60"/>
      <c r="IM939" s="16"/>
      <c r="IN939" s="16"/>
      <c r="IO939" s="16"/>
      <c r="IP939" s="16"/>
      <c r="IQ939" s="16"/>
      <c r="IR939" s="17"/>
      <c r="IV939" s="24"/>
      <c r="IW939" s="60"/>
      <c r="IX939" s="16"/>
      <c r="IY939" s="16"/>
      <c r="IZ939" s="16"/>
      <c r="JA939" s="16"/>
      <c r="JB939" s="16"/>
      <c r="JC939" s="17"/>
      <c r="JG939" s="24"/>
      <c r="JH939" s="60"/>
      <c r="JI939" s="16"/>
      <c r="JJ939" s="16"/>
      <c r="JK939" s="16"/>
      <c r="JL939" s="16"/>
      <c r="JM939" s="16"/>
      <c r="JN939" s="17"/>
      <c r="JR939" s="24"/>
      <c r="JS939" s="60"/>
      <c r="JT939" s="16"/>
      <c r="JU939" s="16"/>
      <c r="JV939" s="16"/>
      <c r="JW939" s="16"/>
      <c r="JX939" s="16"/>
      <c r="JY939" s="17"/>
      <c r="KC939" s="24"/>
      <c r="KD939" s="60"/>
      <c r="KE939" s="16"/>
      <c r="KF939" s="16"/>
      <c r="KG939" s="16"/>
      <c r="KH939" s="16"/>
      <c r="KI939" s="16"/>
      <c r="KJ939" s="17"/>
      <c r="KN939" s="24"/>
      <c r="KO939" s="60"/>
      <c r="KP939" s="16"/>
      <c r="KQ939" s="16"/>
      <c r="KR939" s="16"/>
      <c r="KS939" s="16"/>
      <c r="KT939" s="16"/>
      <c r="KU939" s="17"/>
      <c r="KY939" s="24"/>
      <c r="KZ939" s="60"/>
      <c r="LA939" s="16"/>
      <c r="LB939" s="16"/>
      <c r="LC939" s="16"/>
      <c r="LD939" s="16"/>
      <c r="LE939" s="16"/>
      <c r="LF939" s="17"/>
      <c r="LJ939" s="24"/>
      <c r="LK939" s="60"/>
      <c r="LL939" s="16"/>
      <c r="LM939" s="16"/>
      <c r="LN939" s="16"/>
      <c r="LO939" s="16"/>
      <c r="LP939" s="16"/>
      <c r="LQ939" s="17"/>
    </row>
    <row r="940">
      <c r="C940" s="31"/>
      <c r="D940" s="61"/>
      <c r="E940" s="16"/>
      <c r="F940" s="16"/>
      <c r="G940" s="21"/>
      <c r="H940" s="16"/>
      <c r="I940" s="16"/>
      <c r="J940" s="17"/>
      <c r="N940" s="17"/>
      <c r="O940" s="61"/>
      <c r="P940" s="16"/>
      <c r="Q940" s="16"/>
      <c r="R940" s="16"/>
      <c r="S940" s="16"/>
      <c r="T940" s="16"/>
      <c r="U940" s="17"/>
      <c r="Y940" s="24"/>
      <c r="Z940" s="61"/>
      <c r="AA940" s="16"/>
      <c r="AB940" s="16"/>
      <c r="AC940" s="16"/>
      <c r="AD940" s="16"/>
      <c r="AE940" s="16"/>
      <c r="AF940" s="17"/>
      <c r="AJ940" s="24"/>
      <c r="AK940" s="61"/>
      <c r="AL940" s="16"/>
      <c r="AM940" s="16"/>
      <c r="AN940" s="16"/>
      <c r="AO940" s="16"/>
      <c r="AP940" s="16"/>
      <c r="AQ940" s="17"/>
      <c r="AU940" s="24"/>
      <c r="AV940" s="61"/>
      <c r="AW940" s="16"/>
      <c r="AX940" s="16"/>
      <c r="AY940" s="16"/>
      <c r="AZ940" s="16"/>
      <c r="BA940" s="16"/>
      <c r="BB940" s="17"/>
      <c r="BF940" s="24"/>
      <c r="BG940" s="61"/>
      <c r="BH940" s="16"/>
      <c r="BI940" s="16"/>
      <c r="BJ940" s="16"/>
      <c r="BK940" s="16"/>
      <c r="BL940" s="16"/>
      <c r="BM940" s="17"/>
      <c r="BQ940" s="24"/>
      <c r="BR940" s="61"/>
      <c r="BS940" s="16"/>
      <c r="BT940" s="16"/>
      <c r="BU940" s="16"/>
      <c r="BV940" s="16"/>
      <c r="BW940" s="16"/>
      <c r="BX940" s="17"/>
      <c r="CB940" s="24"/>
      <c r="CC940" s="61"/>
      <c r="CD940" s="16"/>
      <c r="CE940" s="16"/>
      <c r="CF940" s="16"/>
      <c r="CG940" s="16"/>
      <c r="CH940" s="16"/>
      <c r="CI940" s="17"/>
      <c r="CM940" s="24"/>
      <c r="CN940" s="61"/>
      <c r="CO940" s="16"/>
      <c r="CP940" s="16"/>
      <c r="CQ940" s="16"/>
      <c r="CR940" s="16"/>
      <c r="CS940" s="16"/>
      <c r="CT940" s="17"/>
      <c r="CX940" s="24"/>
      <c r="CY940" s="60"/>
      <c r="CZ940" s="16"/>
      <c r="DA940" s="16"/>
      <c r="DB940" s="16"/>
      <c r="DC940" s="16"/>
      <c r="DD940" s="16"/>
      <c r="DE940" s="17"/>
      <c r="DI940" s="24"/>
      <c r="DJ940" s="60"/>
      <c r="DK940" s="16"/>
      <c r="DL940" s="16"/>
      <c r="DM940" s="16"/>
      <c r="DN940" s="16"/>
      <c r="DO940" s="16"/>
      <c r="DP940" s="17"/>
      <c r="DT940" s="24"/>
      <c r="DU940" s="60"/>
      <c r="DV940" s="16"/>
      <c r="DW940" s="16"/>
      <c r="DX940" s="16"/>
      <c r="DY940" s="16"/>
      <c r="DZ940" s="16"/>
      <c r="EA940" s="17"/>
      <c r="EE940" s="24"/>
      <c r="EF940" s="60"/>
      <c r="EG940" s="16"/>
      <c r="EH940" s="16"/>
      <c r="EI940" s="16"/>
      <c r="EJ940" s="16"/>
      <c r="EK940" s="16"/>
      <c r="EL940" s="17"/>
      <c r="EP940" s="24"/>
      <c r="EQ940" s="60"/>
      <c r="ER940" s="16"/>
      <c r="ES940" s="16"/>
      <c r="ET940" s="16"/>
      <c r="EU940" s="16"/>
      <c r="EV940" s="16"/>
      <c r="EW940" s="17"/>
      <c r="FA940" s="24"/>
      <c r="FB940" s="60"/>
      <c r="FC940" s="16"/>
      <c r="FD940" s="16"/>
      <c r="FE940" s="16"/>
      <c r="FF940" s="16"/>
      <c r="FG940" s="16"/>
      <c r="FH940" s="17"/>
      <c r="FL940" s="24"/>
      <c r="FM940" s="60"/>
      <c r="FN940" s="16"/>
      <c r="FO940" s="16"/>
      <c r="FP940" s="16"/>
      <c r="FQ940" s="16"/>
      <c r="FR940" s="16"/>
      <c r="FS940" s="17"/>
      <c r="FW940" s="24"/>
      <c r="FX940" s="60"/>
      <c r="FY940" s="16"/>
      <c r="FZ940" s="16"/>
      <c r="GA940" s="16"/>
      <c r="GB940" s="16"/>
      <c r="GC940" s="16"/>
      <c r="GD940" s="17"/>
      <c r="GH940" s="24"/>
      <c r="GI940" s="60"/>
      <c r="GJ940" s="16"/>
      <c r="GK940" s="16"/>
      <c r="GL940" s="16"/>
      <c r="GM940" s="16"/>
      <c r="GN940" s="16"/>
      <c r="GO940" s="17"/>
      <c r="GS940" s="24"/>
      <c r="GT940" s="60"/>
      <c r="GU940" s="16"/>
      <c r="GV940" s="16"/>
      <c r="GW940" s="16"/>
      <c r="GX940" s="16"/>
      <c r="GY940" s="16"/>
      <c r="GZ940" s="17"/>
      <c r="HD940" s="24"/>
      <c r="HE940" s="60"/>
      <c r="HF940" s="16"/>
      <c r="HG940" s="16"/>
      <c r="HH940" s="16"/>
      <c r="HI940" s="16"/>
      <c r="HJ940" s="16"/>
      <c r="HK940" s="17"/>
      <c r="HO940" s="24"/>
      <c r="HP940" s="60"/>
      <c r="HQ940" s="16"/>
      <c r="HR940" s="16"/>
      <c r="HS940" s="16"/>
      <c r="HT940" s="16"/>
      <c r="HU940" s="16"/>
      <c r="HV940" s="17"/>
      <c r="HZ940" s="24"/>
      <c r="IA940" s="60"/>
      <c r="IB940" s="16"/>
      <c r="IC940" s="16"/>
      <c r="ID940" s="16"/>
      <c r="IE940" s="16"/>
      <c r="IF940" s="16"/>
      <c r="IG940" s="17"/>
      <c r="IK940" s="24"/>
      <c r="IL940" s="60"/>
      <c r="IM940" s="16"/>
      <c r="IN940" s="16"/>
      <c r="IO940" s="16"/>
      <c r="IP940" s="16"/>
      <c r="IQ940" s="16"/>
      <c r="IR940" s="17"/>
      <c r="IV940" s="24"/>
      <c r="IW940" s="60"/>
      <c r="IX940" s="16"/>
      <c r="IY940" s="16"/>
      <c r="IZ940" s="16"/>
      <c r="JA940" s="16"/>
      <c r="JB940" s="16"/>
      <c r="JC940" s="17"/>
      <c r="JG940" s="24"/>
      <c r="JH940" s="60"/>
      <c r="JI940" s="16"/>
      <c r="JJ940" s="16"/>
      <c r="JK940" s="16"/>
      <c r="JL940" s="16"/>
      <c r="JM940" s="16"/>
      <c r="JN940" s="17"/>
      <c r="JR940" s="24"/>
      <c r="JS940" s="60"/>
      <c r="JT940" s="16"/>
      <c r="JU940" s="16"/>
      <c r="JV940" s="16"/>
      <c r="JW940" s="16"/>
      <c r="JX940" s="16"/>
      <c r="JY940" s="17"/>
      <c r="KC940" s="24"/>
      <c r="KD940" s="60"/>
      <c r="KE940" s="16"/>
      <c r="KF940" s="16"/>
      <c r="KG940" s="16"/>
      <c r="KH940" s="16"/>
      <c r="KI940" s="16"/>
      <c r="KJ940" s="17"/>
      <c r="KN940" s="24"/>
      <c r="KO940" s="60"/>
      <c r="KP940" s="16"/>
      <c r="KQ940" s="16"/>
      <c r="KR940" s="16"/>
      <c r="KS940" s="16"/>
      <c r="KT940" s="16"/>
      <c r="KU940" s="17"/>
      <c r="KY940" s="24"/>
      <c r="KZ940" s="60"/>
      <c r="LA940" s="16"/>
      <c r="LB940" s="16"/>
      <c r="LC940" s="16"/>
      <c r="LD940" s="16"/>
      <c r="LE940" s="16"/>
      <c r="LF940" s="17"/>
      <c r="LJ940" s="24"/>
      <c r="LK940" s="60"/>
      <c r="LL940" s="16"/>
      <c r="LM940" s="16"/>
      <c r="LN940" s="16"/>
      <c r="LO940" s="16"/>
      <c r="LP940" s="16"/>
      <c r="LQ940" s="17"/>
    </row>
    <row r="941">
      <c r="C941" s="31"/>
      <c r="D941" s="61"/>
      <c r="E941" s="16"/>
      <c r="F941" s="16"/>
      <c r="G941" s="21"/>
      <c r="H941" s="16"/>
      <c r="I941" s="16"/>
      <c r="J941" s="17"/>
      <c r="N941" s="17"/>
      <c r="O941" s="61"/>
      <c r="P941" s="16"/>
      <c r="Q941" s="16"/>
      <c r="R941" s="16"/>
      <c r="S941" s="16"/>
      <c r="T941" s="16"/>
      <c r="U941" s="17"/>
      <c r="Y941" s="24"/>
      <c r="Z941" s="61"/>
      <c r="AA941" s="16"/>
      <c r="AB941" s="16"/>
      <c r="AC941" s="16"/>
      <c r="AD941" s="16"/>
      <c r="AE941" s="16"/>
      <c r="AF941" s="17"/>
      <c r="AJ941" s="24"/>
      <c r="AK941" s="61"/>
      <c r="AL941" s="16"/>
      <c r="AM941" s="16"/>
      <c r="AN941" s="16"/>
      <c r="AO941" s="16"/>
      <c r="AP941" s="16"/>
      <c r="AQ941" s="17"/>
      <c r="AU941" s="24"/>
      <c r="AV941" s="61"/>
      <c r="AW941" s="16"/>
      <c r="AX941" s="16"/>
      <c r="AY941" s="16"/>
      <c r="AZ941" s="16"/>
      <c r="BA941" s="16"/>
      <c r="BB941" s="17"/>
      <c r="BF941" s="24"/>
      <c r="BG941" s="61"/>
      <c r="BH941" s="16"/>
      <c r="BI941" s="16"/>
      <c r="BJ941" s="16"/>
      <c r="BK941" s="16"/>
      <c r="BL941" s="16"/>
      <c r="BM941" s="17"/>
      <c r="BQ941" s="24"/>
      <c r="BR941" s="61"/>
      <c r="BS941" s="16"/>
      <c r="BT941" s="16"/>
      <c r="BU941" s="16"/>
      <c r="BV941" s="16"/>
      <c r="BW941" s="16"/>
      <c r="BX941" s="17"/>
      <c r="CB941" s="24"/>
      <c r="CC941" s="61"/>
      <c r="CD941" s="16"/>
      <c r="CE941" s="16"/>
      <c r="CF941" s="16"/>
      <c r="CG941" s="16"/>
      <c r="CH941" s="16"/>
      <c r="CI941" s="17"/>
      <c r="CM941" s="24"/>
      <c r="CN941" s="61"/>
      <c r="CO941" s="16"/>
      <c r="CP941" s="16"/>
      <c r="CQ941" s="16"/>
      <c r="CR941" s="16"/>
      <c r="CS941" s="16"/>
      <c r="CT941" s="17"/>
      <c r="CX941" s="24"/>
      <c r="CY941" s="60"/>
      <c r="CZ941" s="16"/>
      <c r="DA941" s="16"/>
      <c r="DB941" s="16"/>
      <c r="DC941" s="16"/>
      <c r="DD941" s="16"/>
      <c r="DE941" s="17"/>
      <c r="DI941" s="24"/>
      <c r="DJ941" s="60"/>
      <c r="DK941" s="16"/>
      <c r="DL941" s="16"/>
      <c r="DM941" s="16"/>
      <c r="DN941" s="16"/>
      <c r="DO941" s="16"/>
      <c r="DP941" s="17"/>
      <c r="DT941" s="24"/>
      <c r="DU941" s="60"/>
      <c r="DV941" s="16"/>
      <c r="DW941" s="16"/>
      <c r="DX941" s="16"/>
      <c r="DY941" s="16"/>
      <c r="DZ941" s="16"/>
      <c r="EA941" s="17"/>
      <c r="EE941" s="24"/>
      <c r="EF941" s="60"/>
      <c r="EG941" s="16"/>
      <c r="EH941" s="16"/>
      <c r="EI941" s="16"/>
      <c r="EJ941" s="16"/>
      <c r="EK941" s="16"/>
      <c r="EL941" s="17"/>
      <c r="EP941" s="24"/>
      <c r="EQ941" s="60"/>
      <c r="ER941" s="16"/>
      <c r="ES941" s="16"/>
      <c r="ET941" s="16"/>
      <c r="EU941" s="16"/>
      <c r="EV941" s="16"/>
      <c r="EW941" s="17"/>
      <c r="FA941" s="24"/>
      <c r="FB941" s="60"/>
      <c r="FC941" s="16"/>
      <c r="FD941" s="16"/>
      <c r="FE941" s="16"/>
      <c r="FF941" s="16"/>
      <c r="FG941" s="16"/>
      <c r="FH941" s="17"/>
      <c r="FL941" s="24"/>
      <c r="FM941" s="60"/>
      <c r="FN941" s="16"/>
      <c r="FO941" s="16"/>
      <c r="FP941" s="16"/>
      <c r="FQ941" s="16"/>
      <c r="FR941" s="16"/>
      <c r="FS941" s="17"/>
      <c r="FW941" s="24"/>
      <c r="FX941" s="60"/>
      <c r="FY941" s="16"/>
      <c r="FZ941" s="16"/>
      <c r="GA941" s="16"/>
      <c r="GB941" s="16"/>
      <c r="GC941" s="16"/>
      <c r="GD941" s="17"/>
      <c r="GH941" s="24"/>
      <c r="GI941" s="60"/>
      <c r="GJ941" s="16"/>
      <c r="GK941" s="16"/>
      <c r="GL941" s="16"/>
      <c r="GM941" s="16"/>
      <c r="GN941" s="16"/>
      <c r="GO941" s="17"/>
      <c r="GS941" s="24"/>
      <c r="GT941" s="60"/>
      <c r="GU941" s="16"/>
      <c r="GV941" s="16"/>
      <c r="GW941" s="16"/>
      <c r="GX941" s="16"/>
      <c r="GY941" s="16"/>
      <c r="GZ941" s="17"/>
      <c r="HD941" s="24"/>
      <c r="HE941" s="60"/>
      <c r="HF941" s="16"/>
      <c r="HG941" s="16"/>
      <c r="HH941" s="16"/>
      <c r="HI941" s="16"/>
      <c r="HJ941" s="16"/>
      <c r="HK941" s="17"/>
      <c r="HO941" s="24"/>
      <c r="HP941" s="60"/>
      <c r="HQ941" s="16"/>
      <c r="HR941" s="16"/>
      <c r="HS941" s="16"/>
      <c r="HT941" s="16"/>
      <c r="HU941" s="16"/>
      <c r="HV941" s="17"/>
      <c r="HZ941" s="24"/>
      <c r="IA941" s="60"/>
      <c r="IB941" s="16"/>
      <c r="IC941" s="16"/>
      <c r="ID941" s="16"/>
      <c r="IE941" s="16"/>
      <c r="IF941" s="16"/>
      <c r="IG941" s="17"/>
      <c r="IK941" s="24"/>
      <c r="IL941" s="60"/>
      <c r="IM941" s="16"/>
      <c r="IN941" s="16"/>
      <c r="IO941" s="16"/>
      <c r="IP941" s="16"/>
      <c r="IQ941" s="16"/>
      <c r="IR941" s="17"/>
      <c r="IV941" s="24"/>
      <c r="IW941" s="60"/>
      <c r="IX941" s="16"/>
      <c r="IY941" s="16"/>
      <c r="IZ941" s="16"/>
      <c r="JA941" s="16"/>
      <c r="JB941" s="16"/>
      <c r="JC941" s="17"/>
      <c r="JG941" s="24"/>
      <c r="JH941" s="60"/>
      <c r="JI941" s="16"/>
      <c r="JJ941" s="16"/>
      <c r="JK941" s="16"/>
      <c r="JL941" s="16"/>
      <c r="JM941" s="16"/>
      <c r="JN941" s="17"/>
      <c r="JR941" s="24"/>
      <c r="JS941" s="60"/>
      <c r="JT941" s="16"/>
      <c r="JU941" s="16"/>
      <c r="JV941" s="16"/>
      <c r="JW941" s="16"/>
      <c r="JX941" s="16"/>
      <c r="JY941" s="17"/>
      <c r="KC941" s="24"/>
      <c r="KD941" s="60"/>
      <c r="KE941" s="16"/>
      <c r="KF941" s="16"/>
      <c r="KG941" s="16"/>
      <c r="KH941" s="16"/>
      <c r="KI941" s="16"/>
      <c r="KJ941" s="17"/>
      <c r="KN941" s="24"/>
      <c r="KO941" s="60"/>
      <c r="KP941" s="16"/>
      <c r="KQ941" s="16"/>
      <c r="KR941" s="16"/>
      <c r="KS941" s="16"/>
      <c r="KT941" s="16"/>
      <c r="KU941" s="17"/>
      <c r="KY941" s="24"/>
      <c r="KZ941" s="60"/>
      <c r="LA941" s="16"/>
      <c r="LB941" s="16"/>
      <c r="LC941" s="16"/>
      <c r="LD941" s="16"/>
      <c r="LE941" s="16"/>
      <c r="LF941" s="17"/>
      <c r="LJ941" s="24"/>
      <c r="LK941" s="60"/>
      <c r="LL941" s="16"/>
      <c r="LM941" s="16"/>
      <c r="LN941" s="16"/>
      <c r="LO941" s="16"/>
      <c r="LP941" s="16"/>
      <c r="LQ941" s="17"/>
    </row>
    <row r="942">
      <c r="C942" s="31"/>
      <c r="D942" s="61"/>
      <c r="E942" s="16"/>
      <c r="F942" s="16"/>
      <c r="G942" s="21"/>
      <c r="H942" s="16"/>
      <c r="I942" s="16"/>
      <c r="J942" s="17"/>
      <c r="N942" s="17"/>
      <c r="O942" s="61"/>
      <c r="P942" s="16"/>
      <c r="Q942" s="16"/>
      <c r="R942" s="16"/>
      <c r="S942" s="16"/>
      <c r="T942" s="16"/>
      <c r="U942" s="17"/>
      <c r="Y942" s="24"/>
      <c r="Z942" s="61"/>
      <c r="AA942" s="16"/>
      <c r="AB942" s="16"/>
      <c r="AC942" s="16"/>
      <c r="AD942" s="16"/>
      <c r="AE942" s="16"/>
      <c r="AF942" s="17"/>
      <c r="AJ942" s="24"/>
      <c r="AK942" s="61"/>
      <c r="AL942" s="16"/>
      <c r="AM942" s="16"/>
      <c r="AN942" s="16"/>
      <c r="AO942" s="16"/>
      <c r="AP942" s="16"/>
      <c r="AQ942" s="17"/>
      <c r="AU942" s="24"/>
      <c r="AV942" s="61"/>
      <c r="AW942" s="16"/>
      <c r="AX942" s="16"/>
      <c r="AY942" s="16"/>
      <c r="AZ942" s="16"/>
      <c r="BA942" s="16"/>
      <c r="BB942" s="17"/>
      <c r="BF942" s="24"/>
      <c r="BG942" s="61"/>
      <c r="BH942" s="16"/>
      <c r="BI942" s="16"/>
      <c r="BJ942" s="16"/>
      <c r="BK942" s="16"/>
      <c r="BL942" s="16"/>
      <c r="BM942" s="17"/>
      <c r="BQ942" s="24"/>
      <c r="BR942" s="61"/>
      <c r="BS942" s="16"/>
      <c r="BT942" s="16"/>
      <c r="BU942" s="16"/>
      <c r="BV942" s="16"/>
      <c r="BW942" s="16"/>
      <c r="BX942" s="17"/>
      <c r="CB942" s="24"/>
      <c r="CC942" s="61"/>
      <c r="CD942" s="16"/>
      <c r="CE942" s="16"/>
      <c r="CF942" s="16"/>
      <c r="CG942" s="16"/>
      <c r="CH942" s="16"/>
      <c r="CI942" s="17"/>
      <c r="CM942" s="24"/>
      <c r="CN942" s="61"/>
      <c r="CO942" s="16"/>
      <c r="CP942" s="16"/>
      <c r="CQ942" s="16"/>
      <c r="CR942" s="16"/>
      <c r="CS942" s="16"/>
      <c r="CT942" s="17"/>
      <c r="CX942" s="24"/>
      <c r="CY942" s="60"/>
      <c r="CZ942" s="16"/>
      <c r="DA942" s="16"/>
      <c r="DB942" s="16"/>
      <c r="DC942" s="16"/>
      <c r="DD942" s="16"/>
      <c r="DE942" s="17"/>
      <c r="DI942" s="24"/>
      <c r="DJ942" s="60"/>
      <c r="DK942" s="16"/>
      <c r="DL942" s="16"/>
      <c r="DM942" s="16"/>
      <c r="DN942" s="16"/>
      <c r="DO942" s="16"/>
      <c r="DP942" s="17"/>
      <c r="DT942" s="24"/>
      <c r="DU942" s="60"/>
      <c r="DV942" s="16"/>
      <c r="DW942" s="16"/>
      <c r="DX942" s="16"/>
      <c r="DY942" s="16"/>
      <c r="DZ942" s="16"/>
      <c r="EA942" s="17"/>
      <c r="EE942" s="24"/>
      <c r="EF942" s="60"/>
      <c r="EG942" s="16"/>
      <c r="EH942" s="16"/>
      <c r="EI942" s="16"/>
      <c r="EJ942" s="16"/>
      <c r="EK942" s="16"/>
      <c r="EL942" s="17"/>
      <c r="EP942" s="24"/>
      <c r="EQ942" s="60"/>
      <c r="ER942" s="16"/>
      <c r="ES942" s="16"/>
      <c r="ET942" s="16"/>
      <c r="EU942" s="16"/>
      <c r="EV942" s="16"/>
      <c r="EW942" s="17"/>
      <c r="FA942" s="24"/>
      <c r="FB942" s="60"/>
      <c r="FC942" s="16"/>
      <c r="FD942" s="16"/>
      <c r="FE942" s="16"/>
      <c r="FF942" s="16"/>
      <c r="FG942" s="16"/>
      <c r="FH942" s="17"/>
      <c r="FL942" s="24"/>
      <c r="FM942" s="60"/>
      <c r="FN942" s="16"/>
      <c r="FO942" s="16"/>
      <c r="FP942" s="16"/>
      <c r="FQ942" s="16"/>
      <c r="FR942" s="16"/>
      <c r="FS942" s="17"/>
      <c r="FW942" s="24"/>
      <c r="FX942" s="60"/>
      <c r="FY942" s="16"/>
      <c r="FZ942" s="16"/>
      <c r="GA942" s="16"/>
      <c r="GB942" s="16"/>
      <c r="GC942" s="16"/>
      <c r="GD942" s="17"/>
      <c r="GH942" s="24"/>
      <c r="GI942" s="60"/>
      <c r="GJ942" s="16"/>
      <c r="GK942" s="16"/>
      <c r="GL942" s="16"/>
      <c r="GM942" s="16"/>
      <c r="GN942" s="16"/>
      <c r="GO942" s="17"/>
      <c r="GS942" s="24"/>
      <c r="GT942" s="60"/>
      <c r="GU942" s="16"/>
      <c r="GV942" s="16"/>
      <c r="GW942" s="16"/>
      <c r="GX942" s="16"/>
      <c r="GY942" s="16"/>
      <c r="GZ942" s="17"/>
      <c r="HD942" s="24"/>
      <c r="HE942" s="60"/>
      <c r="HF942" s="16"/>
      <c r="HG942" s="16"/>
      <c r="HH942" s="16"/>
      <c r="HI942" s="16"/>
      <c r="HJ942" s="16"/>
      <c r="HK942" s="17"/>
      <c r="HO942" s="24"/>
      <c r="HP942" s="60"/>
      <c r="HQ942" s="16"/>
      <c r="HR942" s="16"/>
      <c r="HS942" s="16"/>
      <c r="HT942" s="16"/>
      <c r="HU942" s="16"/>
      <c r="HV942" s="17"/>
      <c r="HZ942" s="24"/>
      <c r="IA942" s="60"/>
      <c r="IB942" s="16"/>
      <c r="IC942" s="16"/>
      <c r="ID942" s="16"/>
      <c r="IE942" s="16"/>
      <c r="IF942" s="16"/>
      <c r="IG942" s="17"/>
      <c r="IK942" s="24"/>
      <c r="IL942" s="60"/>
      <c r="IM942" s="16"/>
      <c r="IN942" s="16"/>
      <c r="IO942" s="16"/>
      <c r="IP942" s="16"/>
      <c r="IQ942" s="16"/>
      <c r="IR942" s="17"/>
      <c r="IV942" s="24"/>
      <c r="IW942" s="60"/>
      <c r="IX942" s="16"/>
      <c r="IY942" s="16"/>
      <c r="IZ942" s="16"/>
      <c r="JA942" s="16"/>
      <c r="JB942" s="16"/>
      <c r="JC942" s="17"/>
      <c r="JG942" s="24"/>
      <c r="JH942" s="60"/>
      <c r="JI942" s="16"/>
      <c r="JJ942" s="16"/>
      <c r="JK942" s="16"/>
      <c r="JL942" s="16"/>
      <c r="JM942" s="16"/>
      <c r="JN942" s="17"/>
      <c r="JR942" s="24"/>
      <c r="JS942" s="60"/>
      <c r="JT942" s="16"/>
      <c r="JU942" s="16"/>
      <c r="JV942" s="16"/>
      <c r="JW942" s="16"/>
      <c r="JX942" s="16"/>
      <c r="JY942" s="17"/>
      <c r="KC942" s="24"/>
      <c r="KD942" s="60"/>
      <c r="KE942" s="16"/>
      <c r="KF942" s="16"/>
      <c r="KG942" s="16"/>
      <c r="KH942" s="16"/>
      <c r="KI942" s="16"/>
      <c r="KJ942" s="17"/>
      <c r="KN942" s="24"/>
      <c r="KO942" s="60"/>
      <c r="KP942" s="16"/>
      <c r="KQ942" s="16"/>
      <c r="KR942" s="16"/>
      <c r="KS942" s="16"/>
      <c r="KT942" s="16"/>
      <c r="KU942" s="17"/>
      <c r="KY942" s="24"/>
      <c r="KZ942" s="60"/>
      <c r="LA942" s="16"/>
      <c r="LB942" s="16"/>
      <c r="LC942" s="16"/>
      <c r="LD942" s="16"/>
      <c r="LE942" s="16"/>
      <c r="LF942" s="17"/>
      <c r="LJ942" s="24"/>
      <c r="LK942" s="60"/>
      <c r="LL942" s="16"/>
      <c r="LM942" s="16"/>
      <c r="LN942" s="16"/>
      <c r="LO942" s="16"/>
      <c r="LP942" s="16"/>
      <c r="LQ942" s="17"/>
    </row>
    <row r="943">
      <c r="C943" s="31"/>
      <c r="D943" s="61"/>
      <c r="E943" s="16"/>
      <c r="F943" s="16"/>
      <c r="G943" s="21"/>
      <c r="H943" s="16"/>
      <c r="I943" s="16"/>
      <c r="J943" s="17"/>
      <c r="N943" s="17"/>
      <c r="O943" s="61"/>
      <c r="P943" s="16"/>
      <c r="Q943" s="16"/>
      <c r="R943" s="16"/>
      <c r="S943" s="16"/>
      <c r="T943" s="16"/>
      <c r="U943" s="17"/>
      <c r="Y943" s="24"/>
      <c r="Z943" s="61"/>
      <c r="AA943" s="16"/>
      <c r="AB943" s="16"/>
      <c r="AC943" s="16"/>
      <c r="AD943" s="16"/>
      <c r="AE943" s="16"/>
      <c r="AF943" s="17"/>
      <c r="AJ943" s="24"/>
      <c r="AK943" s="61"/>
      <c r="AL943" s="16"/>
      <c r="AM943" s="16"/>
      <c r="AN943" s="16"/>
      <c r="AO943" s="16"/>
      <c r="AP943" s="16"/>
      <c r="AQ943" s="17"/>
      <c r="AU943" s="24"/>
      <c r="AV943" s="61"/>
      <c r="AW943" s="16"/>
      <c r="AX943" s="16"/>
      <c r="AY943" s="16"/>
      <c r="AZ943" s="16"/>
      <c r="BA943" s="16"/>
      <c r="BB943" s="17"/>
      <c r="BF943" s="24"/>
      <c r="BG943" s="61"/>
      <c r="BH943" s="16"/>
      <c r="BI943" s="16"/>
      <c r="BJ943" s="16"/>
      <c r="BK943" s="16"/>
      <c r="BL943" s="16"/>
      <c r="BM943" s="17"/>
      <c r="BQ943" s="24"/>
      <c r="BR943" s="61"/>
      <c r="BS943" s="16"/>
      <c r="BT943" s="16"/>
      <c r="BU943" s="16"/>
      <c r="BV943" s="16"/>
      <c r="BW943" s="16"/>
      <c r="BX943" s="17"/>
      <c r="CB943" s="24"/>
      <c r="CC943" s="61"/>
      <c r="CD943" s="16"/>
      <c r="CE943" s="16"/>
      <c r="CF943" s="16"/>
      <c r="CG943" s="16"/>
      <c r="CH943" s="16"/>
      <c r="CI943" s="17"/>
      <c r="CM943" s="24"/>
      <c r="CN943" s="61"/>
      <c r="CO943" s="16"/>
      <c r="CP943" s="16"/>
      <c r="CQ943" s="16"/>
      <c r="CR943" s="16"/>
      <c r="CS943" s="16"/>
      <c r="CT943" s="17"/>
      <c r="CX943" s="24"/>
      <c r="CY943" s="60"/>
      <c r="CZ943" s="16"/>
      <c r="DA943" s="16"/>
      <c r="DB943" s="16"/>
      <c r="DC943" s="16"/>
      <c r="DD943" s="16"/>
      <c r="DE943" s="17"/>
      <c r="DI943" s="24"/>
      <c r="DJ943" s="60"/>
      <c r="DK943" s="16"/>
      <c r="DL943" s="16"/>
      <c r="DM943" s="16"/>
      <c r="DN943" s="16"/>
      <c r="DO943" s="16"/>
      <c r="DP943" s="17"/>
      <c r="DT943" s="24"/>
      <c r="DU943" s="60"/>
      <c r="DV943" s="16"/>
      <c r="DW943" s="16"/>
      <c r="DX943" s="16"/>
      <c r="DY943" s="16"/>
      <c r="DZ943" s="16"/>
      <c r="EA943" s="17"/>
      <c r="EE943" s="24"/>
      <c r="EF943" s="60"/>
      <c r="EG943" s="16"/>
      <c r="EH943" s="16"/>
      <c r="EI943" s="16"/>
      <c r="EJ943" s="16"/>
      <c r="EK943" s="16"/>
      <c r="EL943" s="17"/>
      <c r="EP943" s="24"/>
      <c r="EQ943" s="60"/>
      <c r="ER943" s="16"/>
      <c r="ES943" s="16"/>
      <c r="ET943" s="16"/>
      <c r="EU943" s="16"/>
      <c r="EV943" s="16"/>
      <c r="EW943" s="17"/>
      <c r="FA943" s="24"/>
      <c r="FB943" s="60"/>
      <c r="FC943" s="16"/>
      <c r="FD943" s="16"/>
      <c r="FE943" s="16"/>
      <c r="FF943" s="16"/>
      <c r="FG943" s="16"/>
      <c r="FH943" s="17"/>
      <c r="FL943" s="24"/>
      <c r="FM943" s="60"/>
      <c r="FN943" s="16"/>
      <c r="FO943" s="16"/>
      <c r="FP943" s="16"/>
      <c r="FQ943" s="16"/>
      <c r="FR943" s="16"/>
      <c r="FS943" s="17"/>
      <c r="FW943" s="24"/>
      <c r="FX943" s="60"/>
      <c r="FY943" s="16"/>
      <c r="FZ943" s="16"/>
      <c r="GA943" s="16"/>
      <c r="GB943" s="16"/>
      <c r="GC943" s="16"/>
      <c r="GD943" s="17"/>
      <c r="GH943" s="24"/>
      <c r="GI943" s="60"/>
      <c r="GJ943" s="16"/>
      <c r="GK943" s="16"/>
      <c r="GL943" s="16"/>
      <c r="GM943" s="16"/>
      <c r="GN943" s="16"/>
      <c r="GO943" s="17"/>
      <c r="GS943" s="24"/>
      <c r="GT943" s="60"/>
      <c r="GU943" s="16"/>
      <c r="GV943" s="16"/>
      <c r="GW943" s="16"/>
      <c r="GX943" s="16"/>
      <c r="GY943" s="16"/>
      <c r="GZ943" s="17"/>
      <c r="HD943" s="24"/>
      <c r="HE943" s="60"/>
      <c r="HF943" s="16"/>
      <c r="HG943" s="16"/>
      <c r="HH943" s="16"/>
      <c r="HI943" s="16"/>
      <c r="HJ943" s="16"/>
      <c r="HK943" s="17"/>
      <c r="HO943" s="24"/>
      <c r="HP943" s="60"/>
      <c r="HQ943" s="16"/>
      <c r="HR943" s="16"/>
      <c r="HS943" s="16"/>
      <c r="HT943" s="16"/>
      <c r="HU943" s="16"/>
      <c r="HV943" s="17"/>
      <c r="HZ943" s="24"/>
      <c r="IA943" s="60"/>
      <c r="IB943" s="16"/>
      <c r="IC943" s="16"/>
      <c r="ID943" s="16"/>
      <c r="IE943" s="16"/>
      <c r="IF943" s="16"/>
      <c r="IG943" s="17"/>
      <c r="IK943" s="24"/>
      <c r="IL943" s="60"/>
      <c r="IM943" s="16"/>
      <c r="IN943" s="16"/>
      <c r="IO943" s="16"/>
      <c r="IP943" s="16"/>
      <c r="IQ943" s="16"/>
      <c r="IR943" s="17"/>
      <c r="IV943" s="24"/>
      <c r="IW943" s="60"/>
      <c r="IX943" s="16"/>
      <c r="IY943" s="16"/>
      <c r="IZ943" s="16"/>
      <c r="JA943" s="16"/>
      <c r="JB943" s="16"/>
      <c r="JC943" s="17"/>
      <c r="JG943" s="24"/>
      <c r="JH943" s="60"/>
      <c r="JI943" s="16"/>
      <c r="JJ943" s="16"/>
      <c r="JK943" s="16"/>
      <c r="JL943" s="16"/>
      <c r="JM943" s="16"/>
      <c r="JN943" s="17"/>
      <c r="JR943" s="24"/>
      <c r="JS943" s="60"/>
      <c r="JT943" s="16"/>
      <c r="JU943" s="16"/>
      <c r="JV943" s="16"/>
      <c r="JW943" s="16"/>
      <c r="JX943" s="16"/>
      <c r="JY943" s="17"/>
      <c r="KC943" s="24"/>
      <c r="KD943" s="60"/>
      <c r="KE943" s="16"/>
      <c r="KF943" s="16"/>
      <c r="KG943" s="16"/>
      <c r="KH943" s="16"/>
      <c r="KI943" s="16"/>
      <c r="KJ943" s="17"/>
      <c r="KN943" s="24"/>
      <c r="KO943" s="60"/>
      <c r="KP943" s="16"/>
      <c r="KQ943" s="16"/>
      <c r="KR943" s="16"/>
      <c r="KS943" s="16"/>
      <c r="KT943" s="16"/>
      <c r="KU943" s="17"/>
      <c r="KY943" s="24"/>
      <c r="KZ943" s="60"/>
      <c r="LA943" s="16"/>
      <c r="LB943" s="16"/>
      <c r="LC943" s="16"/>
      <c r="LD943" s="16"/>
      <c r="LE943" s="16"/>
      <c r="LF943" s="17"/>
      <c r="LJ943" s="24"/>
      <c r="LK943" s="60"/>
      <c r="LL943" s="16"/>
      <c r="LM943" s="16"/>
      <c r="LN943" s="16"/>
      <c r="LO943" s="16"/>
      <c r="LP943" s="16"/>
      <c r="LQ943" s="17"/>
    </row>
    <row r="944">
      <c r="C944" s="31"/>
      <c r="D944" s="61"/>
      <c r="E944" s="16"/>
      <c r="F944" s="16"/>
      <c r="G944" s="21"/>
      <c r="H944" s="16"/>
      <c r="I944" s="16"/>
      <c r="J944" s="17"/>
      <c r="N944" s="17"/>
      <c r="O944" s="61"/>
      <c r="P944" s="16"/>
      <c r="Q944" s="16"/>
      <c r="R944" s="16"/>
      <c r="S944" s="16"/>
      <c r="T944" s="16"/>
      <c r="U944" s="17"/>
      <c r="Y944" s="24"/>
      <c r="Z944" s="61"/>
      <c r="AA944" s="16"/>
      <c r="AB944" s="16"/>
      <c r="AC944" s="16"/>
      <c r="AD944" s="16"/>
      <c r="AE944" s="16"/>
      <c r="AF944" s="17"/>
      <c r="AJ944" s="24"/>
      <c r="AK944" s="61"/>
      <c r="AL944" s="16"/>
      <c r="AM944" s="16"/>
      <c r="AN944" s="16"/>
      <c r="AO944" s="16"/>
      <c r="AP944" s="16"/>
      <c r="AQ944" s="17"/>
      <c r="AU944" s="24"/>
      <c r="AV944" s="61"/>
      <c r="AW944" s="16"/>
      <c r="AX944" s="16"/>
      <c r="AY944" s="16"/>
      <c r="AZ944" s="16"/>
      <c r="BA944" s="16"/>
      <c r="BB944" s="17"/>
      <c r="BF944" s="24"/>
      <c r="BG944" s="61"/>
      <c r="BH944" s="16"/>
      <c r="BI944" s="16"/>
      <c r="BJ944" s="16"/>
      <c r="BK944" s="16"/>
      <c r="BL944" s="16"/>
      <c r="BM944" s="17"/>
      <c r="BQ944" s="24"/>
      <c r="BR944" s="61"/>
      <c r="BS944" s="16"/>
      <c r="BT944" s="16"/>
      <c r="BU944" s="16"/>
      <c r="BV944" s="16"/>
      <c r="BW944" s="16"/>
      <c r="BX944" s="17"/>
      <c r="CB944" s="24"/>
      <c r="CC944" s="61"/>
      <c r="CD944" s="16"/>
      <c r="CE944" s="16"/>
      <c r="CF944" s="16"/>
      <c r="CG944" s="16"/>
      <c r="CH944" s="16"/>
      <c r="CI944" s="17"/>
      <c r="CM944" s="24"/>
      <c r="CN944" s="61"/>
      <c r="CO944" s="16"/>
      <c r="CP944" s="16"/>
      <c r="CQ944" s="16"/>
      <c r="CR944" s="16"/>
      <c r="CS944" s="16"/>
      <c r="CT944" s="17"/>
      <c r="CX944" s="24"/>
      <c r="CY944" s="60"/>
      <c r="CZ944" s="16"/>
      <c r="DA944" s="16"/>
      <c r="DB944" s="16"/>
      <c r="DC944" s="16"/>
      <c r="DD944" s="16"/>
      <c r="DE944" s="17"/>
      <c r="DI944" s="24"/>
      <c r="DJ944" s="60"/>
      <c r="DK944" s="16"/>
      <c r="DL944" s="16"/>
      <c r="DM944" s="16"/>
      <c r="DN944" s="16"/>
      <c r="DO944" s="16"/>
      <c r="DP944" s="17"/>
      <c r="DT944" s="24"/>
      <c r="DU944" s="60"/>
      <c r="DV944" s="16"/>
      <c r="DW944" s="16"/>
      <c r="DX944" s="16"/>
      <c r="DY944" s="16"/>
      <c r="DZ944" s="16"/>
      <c r="EA944" s="17"/>
      <c r="EE944" s="24"/>
      <c r="EF944" s="60"/>
      <c r="EG944" s="16"/>
      <c r="EH944" s="16"/>
      <c r="EI944" s="16"/>
      <c r="EJ944" s="16"/>
      <c r="EK944" s="16"/>
      <c r="EL944" s="17"/>
      <c r="EP944" s="24"/>
      <c r="EQ944" s="60"/>
      <c r="ER944" s="16"/>
      <c r="ES944" s="16"/>
      <c r="ET944" s="16"/>
      <c r="EU944" s="16"/>
      <c r="EV944" s="16"/>
      <c r="EW944" s="17"/>
      <c r="FA944" s="24"/>
      <c r="FB944" s="60"/>
      <c r="FC944" s="16"/>
      <c r="FD944" s="16"/>
      <c r="FE944" s="16"/>
      <c r="FF944" s="16"/>
      <c r="FG944" s="16"/>
      <c r="FH944" s="17"/>
      <c r="FL944" s="24"/>
      <c r="FM944" s="60"/>
      <c r="FN944" s="16"/>
      <c r="FO944" s="16"/>
      <c r="FP944" s="16"/>
      <c r="FQ944" s="16"/>
      <c r="FR944" s="16"/>
      <c r="FS944" s="17"/>
      <c r="FW944" s="24"/>
      <c r="FX944" s="60"/>
      <c r="FY944" s="16"/>
      <c r="FZ944" s="16"/>
      <c r="GA944" s="16"/>
      <c r="GB944" s="16"/>
      <c r="GC944" s="16"/>
      <c r="GD944" s="17"/>
      <c r="GH944" s="24"/>
      <c r="GI944" s="60"/>
      <c r="GJ944" s="16"/>
      <c r="GK944" s="16"/>
      <c r="GL944" s="16"/>
      <c r="GM944" s="16"/>
      <c r="GN944" s="16"/>
      <c r="GO944" s="17"/>
      <c r="GS944" s="24"/>
      <c r="GT944" s="60"/>
      <c r="GU944" s="16"/>
      <c r="GV944" s="16"/>
      <c r="GW944" s="16"/>
      <c r="GX944" s="16"/>
      <c r="GY944" s="16"/>
      <c r="GZ944" s="17"/>
      <c r="HD944" s="24"/>
      <c r="HE944" s="60"/>
      <c r="HF944" s="16"/>
      <c r="HG944" s="16"/>
      <c r="HH944" s="16"/>
      <c r="HI944" s="16"/>
      <c r="HJ944" s="16"/>
      <c r="HK944" s="17"/>
      <c r="HO944" s="24"/>
      <c r="HP944" s="60"/>
      <c r="HQ944" s="16"/>
      <c r="HR944" s="16"/>
      <c r="HS944" s="16"/>
      <c r="HT944" s="16"/>
      <c r="HU944" s="16"/>
      <c r="HV944" s="17"/>
      <c r="HZ944" s="24"/>
      <c r="IA944" s="60"/>
      <c r="IB944" s="16"/>
      <c r="IC944" s="16"/>
      <c r="ID944" s="16"/>
      <c r="IE944" s="16"/>
      <c r="IF944" s="16"/>
      <c r="IG944" s="17"/>
      <c r="IK944" s="24"/>
      <c r="IL944" s="60"/>
      <c r="IM944" s="16"/>
      <c r="IN944" s="16"/>
      <c r="IO944" s="16"/>
      <c r="IP944" s="16"/>
      <c r="IQ944" s="16"/>
      <c r="IR944" s="17"/>
      <c r="IV944" s="24"/>
      <c r="IW944" s="60"/>
      <c r="IX944" s="16"/>
      <c r="IY944" s="16"/>
      <c r="IZ944" s="16"/>
      <c r="JA944" s="16"/>
      <c r="JB944" s="16"/>
      <c r="JC944" s="17"/>
      <c r="JG944" s="24"/>
      <c r="JH944" s="60"/>
      <c r="JI944" s="16"/>
      <c r="JJ944" s="16"/>
      <c r="JK944" s="16"/>
      <c r="JL944" s="16"/>
      <c r="JM944" s="16"/>
      <c r="JN944" s="17"/>
      <c r="JR944" s="24"/>
      <c r="JS944" s="60"/>
      <c r="JT944" s="16"/>
      <c r="JU944" s="16"/>
      <c r="JV944" s="16"/>
      <c r="JW944" s="16"/>
      <c r="JX944" s="16"/>
      <c r="JY944" s="17"/>
      <c r="KC944" s="24"/>
      <c r="KD944" s="60"/>
      <c r="KE944" s="16"/>
      <c r="KF944" s="16"/>
      <c r="KG944" s="16"/>
      <c r="KH944" s="16"/>
      <c r="KI944" s="16"/>
      <c r="KJ944" s="17"/>
      <c r="KN944" s="24"/>
      <c r="KO944" s="60"/>
      <c r="KP944" s="16"/>
      <c r="KQ944" s="16"/>
      <c r="KR944" s="16"/>
      <c r="KS944" s="16"/>
      <c r="KT944" s="16"/>
      <c r="KU944" s="17"/>
      <c r="KY944" s="24"/>
      <c r="KZ944" s="60"/>
      <c r="LA944" s="16"/>
      <c r="LB944" s="16"/>
      <c r="LC944" s="16"/>
      <c r="LD944" s="16"/>
      <c r="LE944" s="16"/>
      <c r="LF944" s="17"/>
      <c r="LJ944" s="24"/>
      <c r="LK944" s="60"/>
      <c r="LL944" s="16"/>
      <c r="LM944" s="16"/>
      <c r="LN944" s="16"/>
      <c r="LO944" s="16"/>
      <c r="LP944" s="16"/>
      <c r="LQ944" s="17"/>
    </row>
    <row r="945">
      <c r="C945" s="31"/>
      <c r="D945" s="61"/>
      <c r="E945" s="16"/>
      <c r="F945" s="16"/>
      <c r="G945" s="21"/>
      <c r="H945" s="16"/>
      <c r="I945" s="16"/>
      <c r="J945" s="17"/>
      <c r="N945" s="17"/>
      <c r="O945" s="61"/>
      <c r="P945" s="16"/>
      <c r="Q945" s="16"/>
      <c r="R945" s="16"/>
      <c r="S945" s="16"/>
      <c r="T945" s="16"/>
      <c r="U945" s="17"/>
      <c r="Y945" s="24"/>
      <c r="Z945" s="61"/>
      <c r="AA945" s="16"/>
      <c r="AB945" s="16"/>
      <c r="AC945" s="16"/>
      <c r="AD945" s="16"/>
      <c r="AE945" s="16"/>
      <c r="AF945" s="17"/>
      <c r="AJ945" s="24"/>
      <c r="AK945" s="61"/>
      <c r="AL945" s="16"/>
      <c r="AM945" s="16"/>
      <c r="AN945" s="16"/>
      <c r="AO945" s="16"/>
      <c r="AP945" s="16"/>
      <c r="AQ945" s="17"/>
      <c r="AU945" s="24"/>
      <c r="AV945" s="61"/>
      <c r="AW945" s="16"/>
      <c r="AX945" s="16"/>
      <c r="AY945" s="16"/>
      <c r="AZ945" s="16"/>
      <c r="BA945" s="16"/>
      <c r="BB945" s="17"/>
      <c r="BF945" s="24"/>
      <c r="BG945" s="61"/>
      <c r="BH945" s="16"/>
      <c r="BI945" s="16"/>
      <c r="BJ945" s="16"/>
      <c r="BK945" s="16"/>
      <c r="BL945" s="16"/>
      <c r="BM945" s="17"/>
      <c r="BQ945" s="24"/>
      <c r="BR945" s="61"/>
      <c r="BS945" s="16"/>
      <c r="BT945" s="16"/>
      <c r="BU945" s="16"/>
      <c r="BV945" s="16"/>
      <c r="BW945" s="16"/>
      <c r="BX945" s="17"/>
      <c r="CB945" s="24"/>
      <c r="CC945" s="61"/>
      <c r="CD945" s="16"/>
      <c r="CE945" s="16"/>
      <c r="CF945" s="16"/>
      <c r="CG945" s="16"/>
      <c r="CH945" s="16"/>
      <c r="CI945" s="17"/>
      <c r="CM945" s="24"/>
      <c r="CN945" s="61"/>
      <c r="CO945" s="16"/>
      <c r="CP945" s="16"/>
      <c r="CQ945" s="16"/>
      <c r="CR945" s="16"/>
      <c r="CS945" s="16"/>
      <c r="CT945" s="17"/>
      <c r="CX945" s="24"/>
      <c r="CY945" s="60"/>
      <c r="CZ945" s="16"/>
      <c r="DA945" s="16"/>
      <c r="DB945" s="16"/>
      <c r="DC945" s="16"/>
      <c r="DD945" s="16"/>
      <c r="DE945" s="17"/>
      <c r="DI945" s="24"/>
      <c r="DJ945" s="60"/>
      <c r="DK945" s="16"/>
      <c r="DL945" s="16"/>
      <c r="DM945" s="16"/>
      <c r="DN945" s="16"/>
      <c r="DO945" s="16"/>
      <c r="DP945" s="17"/>
      <c r="DT945" s="24"/>
      <c r="DU945" s="60"/>
      <c r="DV945" s="16"/>
      <c r="DW945" s="16"/>
      <c r="DX945" s="16"/>
      <c r="DY945" s="16"/>
      <c r="DZ945" s="16"/>
      <c r="EA945" s="17"/>
      <c r="EE945" s="24"/>
      <c r="EF945" s="60"/>
      <c r="EG945" s="16"/>
      <c r="EH945" s="16"/>
      <c r="EI945" s="16"/>
      <c r="EJ945" s="16"/>
      <c r="EK945" s="16"/>
      <c r="EL945" s="17"/>
      <c r="EP945" s="24"/>
      <c r="EQ945" s="60"/>
      <c r="ER945" s="16"/>
      <c r="ES945" s="16"/>
      <c r="ET945" s="16"/>
      <c r="EU945" s="16"/>
      <c r="EV945" s="16"/>
      <c r="EW945" s="17"/>
      <c r="FA945" s="24"/>
      <c r="FB945" s="60"/>
      <c r="FC945" s="16"/>
      <c r="FD945" s="16"/>
      <c r="FE945" s="16"/>
      <c r="FF945" s="16"/>
      <c r="FG945" s="16"/>
      <c r="FH945" s="17"/>
      <c r="FL945" s="24"/>
      <c r="FM945" s="60"/>
      <c r="FN945" s="16"/>
      <c r="FO945" s="16"/>
      <c r="FP945" s="16"/>
      <c r="FQ945" s="16"/>
      <c r="FR945" s="16"/>
      <c r="FS945" s="17"/>
      <c r="FW945" s="24"/>
      <c r="FX945" s="60"/>
      <c r="FY945" s="16"/>
      <c r="FZ945" s="16"/>
      <c r="GA945" s="16"/>
      <c r="GB945" s="16"/>
      <c r="GC945" s="16"/>
      <c r="GD945" s="17"/>
      <c r="GH945" s="24"/>
      <c r="GI945" s="60"/>
      <c r="GJ945" s="16"/>
      <c r="GK945" s="16"/>
      <c r="GL945" s="16"/>
      <c r="GM945" s="16"/>
      <c r="GN945" s="16"/>
      <c r="GO945" s="17"/>
      <c r="GS945" s="24"/>
      <c r="GT945" s="60"/>
      <c r="GU945" s="16"/>
      <c r="GV945" s="16"/>
      <c r="GW945" s="16"/>
      <c r="GX945" s="16"/>
      <c r="GY945" s="16"/>
      <c r="GZ945" s="17"/>
      <c r="HD945" s="24"/>
      <c r="HE945" s="60"/>
      <c r="HF945" s="16"/>
      <c r="HG945" s="16"/>
      <c r="HH945" s="16"/>
      <c r="HI945" s="16"/>
      <c r="HJ945" s="16"/>
      <c r="HK945" s="17"/>
      <c r="HO945" s="24"/>
      <c r="HP945" s="60"/>
      <c r="HQ945" s="16"/>
      <c r="HR945" s="16"/>
      <c r="HS945" s="16"/>
      <c r="HT945" s="16"/>
      <c r="HU945" s="16"/>
      <c r="HV945" s="17"/>
      <c r="HZ945" s="24"/>
      <c r="IA945" s="60"/>
      <c r="IB945" s="16"/>
      <c r="IC945" s="16"/>
      <c r="ID945" s="16"/>
      <c r="IE945" s="16"/>
      <c r="IF945" s="16"/>
      <c r="IG945" s="17"/>
      <c r="IK945" s="24"/>
      <c r="IL945" s="60"/>
      <c r="IM945" s="16"/>
      <c r="IN945" s="16"/>
      <c r="IO945" s="16"/>
      <c r="IP945" s="16"/>
      <c r="IQ945" s="16"/>
      <c r="IR945" s="17"/>
      <c r="IV945" s="24"/>
      <c r="IW945" s="60"/>
      <c r="IX945" s="16"/>
      <c r="IY945" s="16"/>
      <c r="IZ945" s="16"/>
      <c r="JA945" s="16"/>
      <c r="JB945" s="16"/>
      <c r="JC945" s="17"/>
      <c r="JG945" s="24"/>
      <c r="JH945" s="60"/>
      <c r="JI945" s="16"/>
      <c r="JJ945" s="16"/>
      <c r="JK945" s="16"/>
      <c r="JL945" s="16"/>
      <c r="JM945" s="16"/>
      <c r="JN945" s="17"/>
      <c r="JR945" s="24"/>
      <c r="JS945" s="60"/>
      <c r="JT945" s="16"/>
      <c r="JU945" s="16"/>
      <c r="JV945" s="16"/>
      <c r="JW945" s="16"/>
      <c r="JX945" s="16"/>
      <c r="JY945" s="17"/>
      <c r="KC945" s="24"/>
      <c r="KD945" s="60"/>
      <c r="KE945" s="16"/>
      <c r="KF945" s="16"/>
      <c r="KG945" s="16"/>
      <c r="KH945" s="16"/>
      <c r="KI945" s="16"/>
      <c r="KJ945" s="17"/>
      <c r="KN945" s="24"/>
      <c r="KO945" s="60"/>
      <c r="KP945" s="16"/>
      <c r="KQ945" s="16"/>
      <c r="KR945" s="16"/>
      <c r="KS945" s="16"/>
      <c r="KT945" s="16"/>
      <c r="KU945" s="17"/>
      <c r="KY945" s="24"/>
      <c r="KZ945" s="60"/>
      <c r="LA945" s="16"/>
      <c r="LB945" s="16"/>
      <c r="LC945" s="16"/>
      <c r="LD945" s="16"/>
      <c r="LE945" s="16"/>
      <c r="LF945" s="17"/>
      <c r="LJ945" s="24"/>
      <c r="LK945" s="60"/>
      <c r="LL945" s="16"/>
      <c r="LM945" s="16"/>
      <c r="LN945" s="16"/>
      <c r="LO945" s="16"/>
      <c r="LP945" s="16"/>
      <c r="LQ945" s="17"/>
    </row>
    <row r="946">
      <c r="C946" s="31"/>
      <c r="D946" s="61"/>
      <c r="E946" s="16"/>
      <c r="F946" s="16"/>
      <c r="G946" s="21"/>
      <c r="H946" s="16"/>
      <c r="I946" s="16"/>
      <c r="J946" s="17"/>
      <c r="N946" s="17"/>
      <c r="O946" s="61"/>
      <c r="P946" s="16"/>
      <c r="Q946" s="16"/>
      <c r="R946" s="16"/>
      <c r="S946" s="16"/>
      <c r="T946" s="16"/>
      <c r="U946" s="17"/>
      <c r="Y946" s="24"/>
      <c r="Z946" s="61"/>
      <c r="AA946" s="16"/>
      <c r="AB946" s="16"/>
      <c r="AC946" s="16"/>
      <c r="AD946" s="16"/>
      <c r="AE946" s="16"/>
      <c r="AF946" s="17"/>
      <c r="AJ946" s="24"/>
      <c r="AK946" s="61"/>
      <c r="AL946" s="16"/>
      <c r="AM946" s="16"/>
      <c r="AN946" s="16"/>
      <c r="AO946" s="16"/>
      <c r="AP946" s="16"/>
      <c r="AQ946" s="17"/>
      <c r="AU946" s="24"/>
      <c r="AV946" s="61"/>
      <c r="AW946" s="16"/>
      <c r="AX946" s="16"/>
      <c r="AY946" s="16"/>
      <c r="AZ946" s="16"/>
      <c r="BA946" s="16"/>
      <c r="BB946" s="17"/>
      <c r="BF946" s="24"/>
      <c r="BG946" s="61"/>
      <c r="BH946" s="16"/>
      <c r="BI946" s="16"/>
      <c r="BJ946" s="16"/>
      <c r="BK946" s="16"/>
      <c r="BL946" s="16"/>
      <c r="BM946" s="17"/>
      <c r="BQ946" s="24"/>
      <c r="BR946" s="61"/>
      <c r="BS946" s="16"/>
      <c r="BT946" s="16"/>
      <c r="BU946" s="16"/>
      <c r="BV946" s="16"/>
      <c r="BW946" s="16"/>
      <c r="BX946" s="17"/>
      <c r="CB946" s="24"/>
      <c r="CC946" s="61"/>
      <c r="CD946" s="16"/>
      <c r="CE946" s="16"/>
      <c r="CF946" s="16"/>
      <c r="CG946" s="16"/>
      <c r="CH946" s="16"/>
      <c r="CI946" s="17"/>
      <c r="CM946" s="24"/>
      <c r="CN946" s="61"/>
      <c r="CO946" s="16"/>
      <c r="CP946" s="16"/>
      <c r="CQ946" s="16"/>
      <c r="CR946" s="16"/>
      <c r="CS946" s="16"/>
      <c r="CT946" s="17"/>
      <c r="CX946" s="24"/>
      <c r="CY946" s="60"/>
      <c r="CZ946" s="16"/>
      <c r="DA946" s="16"/>
      <c r="DB946" s="16"/>
      <c r="DC946" s="16"/>
      <c r="DD946" s="16"/>
      <c r="DE946" s="17"/>
      <c r="DI946" s="24"/>
      <c r="DJ946" s="60"/>
      <c r="DK946" s="16"/>
      <c r="DL946" s="16"/>
      <c r="DM946" s="16"/>
      <c r="DN946" s="16"/>
      <c r="DO946" s="16"/>
      <c r="DP946" s="17"/>
      <c r="DT946" s="24"/>
      <c r="DU946" s="60"/>
      <c r="DV946" s="16"/>
      <c r="DW946" s="16"/>
      <c r="DX946" s="16"/>
      <c r="DY946" s="16"/>
      <c r="DZ946" s="16"/>
      <c r="EA946" s="17"/>
      <c r="EE946" s="24"/>
      <c r="EF946" s="60"/>
      <c r="EG946" s="16"/>
      <c r="EH946" s="16"/>
      <c r="EI946" s="16"/>
      <c r="EJ946" s="16"/>
      <c r="EK946" s="16"/>
      <c r="EL946" s="17"/>
      <c r="EP946" s="24"/>
      <c r="EQ946" s="60"/>
      <c r="ER946" s="16"/>
      <c r="ES946" s="16"/>
      <c r="ET946" s="16"/>
      <c r="EU946" s="16"/>
      <c r="EV946" s="16"/>
      <c r="EW946" s="17"/>
      <c r="FA946" s="24"/>
      <c r="FB946" s="60"/>
      <c r="FC946" s="16"/>
      <c r="FD946" s="16"/>
      <c r="FE946" s="16"/>
      <c r="FF946" s="16"/>
      <c r="FG946" s="16"/>
      <c r="FH946" s="17"/>
      <c r="FL946" s="24"/>
      <c r="FM946" s="60"/>
      <c r="FN946" s="16"/>
      <c r="FO946" s="16"/>
      <c r="FP946" s="16"/>
      <c r="FQ946" s="16"/>
      <c r="FR946" s="16"/>
      <c r="FS946" s="17"/>
      <c r="FW946" s="24"/>
      <c r="FX946" s="60"/>
      <c r="FY946" s="16"/>
      <c r="FZ946" s="16"/>
      <c r="GA946" s="16"/>
      <c r="GB946" s="16"/>
      <c r="GC946" s="16"/>
      <c r="GD946" s="17"/>
      <c r="GH946" s="24"/>
      <c r="GI946" s="60"/>
      <c r="GJ946" s="16"/>
      <c r="GK946" s="16"/>
      <c r="GL946" s="16"/>
      <c r="GM946" s="16"/>
      <c r="GN946" s="16"/>
      <c r="GO946" s="17"/>
      <c r="GS946" s="24"/>
      <c r="GT946" s="60"/>
      <c r="GU946" s="16"/>
      <c r="GV946" s="16"/>
      <c r="GW946" s="16"/>
      <c r="GX946" s="16"/>
      <c r="GY946" s="16"/>
      <c r="GZ946" s="17"/>
      <c r="HD946" s="24"/>
      <c r="HE946" s="60"/>
      <c r="HF946" s="16"/>
      <c r="HG946" s="16"/>
      <c r="HH946" s="16"/>
      <c r="HI946" s="16"/>
      <c r="HJ946" s="16"/>
      <c r="HK946" s="17"/>
      <c r="HO946" s="24"/>
      <c r="HP946" s="60"/>
      <c r="HQ946" s="16"/>
      <c r="HR946" s="16"/>
      <c r="HS946" s="16"/>
      <c r="HT946" s="16"/>
      <c r="HU946" s="16"/>
      <c r="HV946" s="17"/>
      <c r="HZ946" s="24"/>
      <c r="IA946" s="60"/>
      <c r="IB946" s="16"/>
      <c r="IC946" s="16"/>
      <c r="ID946" s="16"/>
      <c r="IE946" s="16"/>
      <c r="IF946" s="16"/>
      <c r="IG946" s="17"/>
      <c r="IK946" s="24"/>
      <c r="IL946" s="60"/>
      <c r="IM946" s="16"/>
      <c r="IN946" s="16"/>
      <c r="IO946" s="16"/>
      <c r="IP946" s="16"/>
      <c r="IQ946" s="16"/>
      <c r="IR946" s="17"/>
      <c r="IV946" s="24"/>
      <c r="IW946" s="60"/>
      <c r="IX946" s="16"/>
      <c r="IY946" s="16"/>
      <c r="IZ946" s="16"/>
      <c r="JA946" s="16"/>
      <c r="JB946" s="16"/>
      <c r="JC946" s="17"/>
      <c r="JG946" s="24"/>
      <c r="JH946" s="60"/>
      <c r="JI946" s="16"/>
      <c r="JJ946" s="16"/>
      <c r="JK946" s="16"/>
      <c r="JL946" s="16"/>
      <c r="JM946" s="16"/>
      <c r="JN946" s="17"/>
      <c r="JR946" s="24"/>
      <c r="JS946" s="60"/>
      <c r="JT946" s="16"/>
      <c r="JU946" s="16"/>
      <c r="JV946" s="16"/>
      <c r="JW946" s="16"/>
      <c r="JX946" s="16"/>
      <c r="JY946" s="17"/>
      <c r="KC946" s="24"/>
      <c r="KD946" s="60"/>
      <c r="KE946" s="16"/>
      <c r="KF946" s="16"/>
      <c r="KG946" s="16"/>
      <c r="KH946" s="16"/>
      <c r="KI946" s="16"/>
      <c r="KJ946" s="17"/>
      <c r="KN946" s="24"/>
      <c r="KO946" s="60"/>
      <c r="KP946" s="16"/>
      <c r="KQ946" s="16"/>
      <c r="KR946" s="16"/>
      <c r="KS946" s="16"/>
      <c r="KT946" s="16"/>
      <c r="KU946" s="17"/>
      <c r="KY946" s="24"/>
      <c r="KZ946" s="60"/>
      <c r="LA946" s="16"/>
      <c r="LB946" s="16"/>
      <c r="LC946" s="16"/>
      <c r="LD946" s="16"/>
      <c r="LE946" s="16"/>
      <c r="LF946" s="17"/>
      <c r="LJ946" s="24"/>
      <c r="LK946" s="60"/>
      <c r="LL946" s="16"/>
      <c r="LM946" s="16"/>
      <c r="LN946" s="16"/>
      <c r="LO946" s="16"/>
      <c r="LP946" s="16"/>
      <c r="LQ946" s="17"/>
    </row>
    <row r="947">
      <c r="C947" s="31"/>
      <c r="D947" s="61"/>
      <c r="E947" s="16"/>
      <c r="F947" s="16"/>
      <c r="G947" s="21"/>
      <c r="H947" s="16"/>
      <c r="I947" s="16"/>
      <c r="J947" s="17"/>
      <c r="N947" s="17"/>
      <c r="O947" s="61"/>
      <c r="P947" s="16"/>
      <c r="Q947" s="16"/>
      <c r="R947" s="16"/>
      <c r="S947" s="16"/>
      <c r="T947" s="16"/>
      <c r="U947" s="17"/>
      <c r="Y947" s="24"/>
      <c r="Z947" s="61"/>
      <c r="AA947" s="16"/>
      <c r="AB947" s="16"/>
      <c r="AC947" s="16"/>
      <c r="AD947" s="16"/>
      <c r="AE947" s="16"/>
      <c r="AF947" s="17"/>
      <c r="AJ947" s="24"/>
      <c r="AK947" s="61"/>
      <c r="AL947" s="16"/>
      <c r="AM947" s="16"/>
      <c r="AN947" s="16"/>
      <c r="AO947" s="16"/>
      <c r="AP947" s="16"/>
      <c r="AQ947" s="17"/>
      <c r="AU947" s="24"/>
      <c r="AV947" s="61"/>
      <c r="AW947" s="16"/>
      <c r="AX947" s="16"/>
      <c r="AY947" s="16"/>
      <c r="AZ947" s="16"/>
      <c r="BA947" s="16"/>
      <c r="BB947" s="17"/>
      <c r="BF947" s="24"/>
      <c r="BG947" s="61"/>
      <c r="BH947" s="16"/>
      <c r="BI947" s="16"/>
      <c r="BJ947" s="16"/>
      <c r="BK947" s="16"/>
      <c r="BL947" s="16"/>
      <c r="BM947" s="17"/>
      <c r="BQ947" s="24"/>
      <c r="BR947" s="61"/>
      <c r="BS947" s="16"/>
      <c r="BT947" s="16"/>
      <c r="BU947" s="16"/>
      <c r="BV947" s="16"/>
      <c r="BW947" s="16"/>
      <c r="BX947" s="17"/>
      <c r="CB947" s="24"/>
      <c r="CC947" s="61"/>
      <c r="CD947" s="16"/>
      <c r="CE947" s="16"/>
      <c r="CF947" s="16"/>
      <c r="CG947" s="16"/>
      <c r="CH947" s="16"/>
      <c r="CI947" s="17"/>
      <c r="CM947" s="24"/>
      <c r="CN947" s="61"/>
      <c r="CO947" s="16"/>
      <c r="CP947" s="16"/>
      <c r="CQ947" s="16"/>
      <c r="CR947" s="16"/>
      <c r="CS947" s="16"/>
      <c r="CT947" s="17"/>
      <c r="CX947" s="24"/>
      <c r="CY947" s="60"/>
      <c r="CZ947" s="16"/>
      <c r="DA947" s="16"/>
      <c r="DB947" s="16"/>
      <c r="DC947" s="16"/>
      <c r="DD947" s="16"/>
      <c r="DE947" s="17"/>
      <c r="DI947" s="24"/>
      <c r="DJ947" s="60"/>
      <c r="DK947" s="16"/>
      <c r="DL947" s="16"/>
      <c r="DM947" s="16"/>
      <c r="DN947" s="16"/>
      <c r="DO947" s="16"/>
      <c r="DP947" s="17"/>
      <c r="DT947" s="24"/>
      <c r="DU947" s="60"/>
      <c r="DV947" s="16"/>
      <c r="DW947" s="16"/>
      <c r="DX947" s="16"/>
      <c r="DY947" s="16"/>
      <c r="DZ947" s="16"/>
      <c r="EA947" s="17"/>
      <c r="EE947" s="24"/>
      <c r="EF947" s="60"/>
      <c r="EG947" s="16"/>
      <c r="EH947" s="16"/>
      <c r="EI947" s="16"/>
      <c r="EJ947" s="16"/>
      <c r="EK947" s="16"/>
      <c r="EL947" s="17"/>
      <c r="EP947" s="24"/>
      <c r="EQ947" s="60"/>
      <c r="ER947" s="16"/>
      <c r="ES947" s="16"/>
      <c r="ET947" s="16"/>
      <c r="EU947" s="16"/>
      <c r="EV947" s="16"/>
      <c r="EW947" s="17"/>
      <c r="FA947" s="24"/>
      <c r="FB947" s="60"/>
      <c r="FC947" s="16"/>
      <c r="FD947" s="16"/>
      <c r="FE947" s="16"/>
      <c r="FF947" s="16"/>
      <c r="FG947" s="16"/>
      <c r="FH947" s="17"/>
      <c r="FL947" s="24"/>
      <c r="FM947" s="60"/>
      <c r="FN947" s="16"/>
      <c r="FO947" s="16"/>
      <c r="FP947" s="16"/>
      <c r="FQ947" s="16"/>
      <c r="FR947" s="16"/>
      <c r="FS947" s="17"/>
      <c r="FW947" s="24"/>
      <c r="FX947" s="60"/>
      <c r="FY947" s="16"/>
      <c r="FZ947" s="16"/>
      <c r="GA947" s="16"/>
      <c r="GB947" s="16"/>
      <c r="GC947" s="16"/>
      <c r="GD947" s="17"/>
      <c r="GH947" s="24"/>
      <c r="GI947" s="60"/>
      <c r="GJ947" s="16"/>
      <c r="GK947" s="16"/>
      <c r="GL947" s="16"/>
      <c r="GM947" s="16"/>
      <c r="GN947" s="16"/>
      <c r="GO947" s="17"/>
      <c r="GS947" s="24"/>
      <c r="GT947" s="60"/>
      <c r="GU947" s="16"/>
      <c r="GV947" s="16"/>
      <c r="GW947" s="16"/>
      <c r="GX947" s="16"/>
      <c r="GY947" s="16"/>
      <c r="GZ947" s="17"/>
      <c r="HD947" s="24"/>
      <c r="HE947" s="60"/>
      <c r="HF947" s="16"/>
      <c r="HG947" s="16"/>
      <c r="HH947" s="16"/>
      <c r="HI947" s="16"/>
      <c r="HJ947" s="16"/>
      <c r="HK947" s="17"/>
      <c r="HO947" s="24"/>
      <c r="HP947" s="60"/>
      <c r="HQ947" s="16"/>
      <c r="HR947" s="16"/>
      <c r="HS947" s="16"/>
      <c r="HT947" s="16"/>
      <c r="HU947" s="16"/>
      <c r="HV947" s="17"/>
      <c r="HZ947" s="24"/>
      <c r="IA947" s="60"/>
      <c r="IB947" s="16"/>
      <c r="IC947" s="16"/>
      <c r="ID947" s="16"/>
      <c r="IE947" s="16"/>
      <c r="IF947" s="16"/>
      <c r="IG947" s="17"/>
      <c r="IK947" s="24"/>
      <c r="IL947" s="60"/>
      <c r="IM947" s="16"/>
      <c r="IN947" s="16"/>
      <c r="IO947" s="16"/>
      <c r="IP947" s="16"/>
      <c r="IQ947" s="16"/>
      <c r="IR947" s="17"/>
      <c r="IV947" s="24"/>
      <c r="IW947" s="60"/>
      <c r="IX947" s="16"/>
      <c r="IY947" s="16"/>
      <c r="IZ947" s="16"/>
      <c r="JA947" s="16"/>
      <c r="JB947" s="16"/>
      <c r="JC947" s="17"/>
      <c r="JG947" s="24"/>
      <c r="JH947" s="60"/>
      <c r="JI947" s="16"/>
      <c r="JJ947" s="16"/>
      <c r="JK947" s="16"/>
      <c r="JL947" s="16"/>
      <c r="JM947" s="16"/>
      <c r="JN947" s="17"/>
      <c r="JR947" s="24"/>
      <c r="JS947" s="60"/>
      <c r="JT947" s="16"/>
      <c r="JU947" s="16"/>
      <c r="JV947" s="16"/>
      <c r="JW947" s="16"/>
      <c r="JX947" s="16"/>
      <c r="JY947" s="17"/>
      <c r="KC947" s="24"/>
      <c r="KD947" s="60"/>
      <c r="KE947" s="16"/>
      <c r="KF947" s="16"/>
      <c r="KG947" s="16"/>
      <c r="KH947" s="16"/>
      <c r="KI947" s="16"/>
      <c r="KJ947" s="17"/>
      <c r="KN947" s="24"/>
      <c r="KO947" s="60"/>
      <c r="KP947" s="16"/>
      <c r="KQ947" s="16"/>
      <c r="KR947" s="16"/>
      <c r="KS947" s="16"/>
      <c r="KT947" s="16"/>
      <c r="KU947" s="17"/>
      <c r="KY947" s="24"/>
      <c r="KZ947" s="60"/>
      <c r="LA947" s="16"/>
      <c r="LB947" s="16"/>
      <c r="LC947" s="16"/>
      <c r="LD947" s="16"/>
      <c r="LE947" s="16"/>
      <c r="LF947" s="17"/>
      <c r="LJ947" s="24"/>
      <c r="LK947" s="60"/>
      <c r="LL947" s="16"/>
      <c r="LM947" s="16"/>
      <c r="LN947" s="16"/>
      <c r="LO947" s="16"/>
      <c r="LP947" s="16"/>
      <c r="LQ947" s="17"/>
    </row>
    <row r="948">
      <c r="C948" s="31"/>
      <c r="D948" s="61"/>
      <c r="E948" s="16"/>
      <c r="F948" s="16"/>
      <c r="G948" s="21"/>
      <c r="H948" s="16"/>
      <c r="I948" s="16"/>
      <c r="J948" s="17"/>
      <c r="N948" s="17"/>
      <c r="O948" s="61"/>
      <c r="P948" s="16"/>
      <c r="Q948" s="16"/>
      <c r="R948" s="16"/>
      <c r="S948" s="16"/>
      <c r="T948" s="16"/>
      <c r="U948" s="17"/>
      <c r="Y948" s="24"/>
      <c r="Z948" s="61"/>
      <c r="AA948" s="16"/>
      <c r="AB948" s="16"/>
      <c r="AC948" s="16"/>
      <c r="AD948" s="16"/>
      <c r="AE948" s="16"/>
      <c r="AF948" s="17"/>
      <c r="AJ948" s="24"/>
      <c r="AK948" s="61"/>
      <c r="AL948" s="16"/>
      <c r="AM948" s="16"/>
      <c r="AN948" s="16"/>
      <c r="AO948" s="16"/>
      <c r="AP948" s="16"/>
      <c r="AQ948" s="17"/>
      <c r="AU948" s="24"/>
      <c r="AV948" s="61"/>
      <c r="AW948" s="16"/>
      <c r="AX948" s="16"/>
      <c r="AY948" s="16"/>
      <c r="AZ948" s="16"/>
      <c r="BA948" s="16"/>
      <c r="BB948" s="17"/>
      <c r="BF948" s="24"/>
      <c r="BG948" s="61"/>
      <c r="BH948" s="16"/>
      <c r="BI948" s="16"/>
      <c r="BJ948" s="16"/>
      <c r="BK948" s="16"/>
      <c r="BL948" s="16"/>
      <c r="BM948" s="17"/>
      <c r="BQ948" s="24"/>
      <c r="BR948" s="61"/>
      <c r="BS948" s="16"/>
      <c r="BT948" s="16"/>
      <c r="BU948" s="16"/>
      <c r="BV948" s="16"/>
      <c r="BW948" s="16"/>
      <c r="BX948" s="17"/>
      <c r="CB948" s="24"/>
      <c r="CC948" s="61"/>
      <c r="CD948" s="16"/>
      <c r="CE948" s="16"/>
      <c r="CF948" s="16"/>
      <c r="CG948" s="16"/>
      <c r="CH948" s="16"/>
      <c r="CI948" s="17"/>
      <c r="CM948" s="24"/>
      <c r="CN948" s="61"/>
      <c r="CO948" s="16"/>
      <c r="CP948" s="16"/>
      <c r="CQ948" s="16"/>
      <c r="CR948" s="16"/>
      <c r="CS948" s="16"/>
      <c r="CT948" s="17"/>
      <c r="CX948" s="24"/>
      <c r="CY948" s="60"/>
      <c r="CZ948" s="16"/>
      <c r="DA948" s="16"/>
      <c r="DB948" s="16"/>
      <c r="DC948" s="16"/>
      <c r="DD948" s="16"/>
      <c r="DE948" s="17"/>
      <c r="DI948" s="24"/>
      <c r="DJ948" s="60"/>
      <c r="DK948" s="16"/>
      <c r="DL948" s="16"/>
      <c r="DM948" s="16"/>
      <c r="DN948" s="16"/>
      <c r="DO948" s="16"/>
      <c r="DP948" s="17"/>
      <c r="DT948" s="24"/>
      <c r="DU948" s="60"/>
      <c r="DV948" s="16"/>
      <c r="DW948" s="16"/>
      <c r="DX948" s="16"/>
      <c r="DY948" s="16"/>
      <c r="DZ948" s="16"/>
      <c r="EA948" s="17"/>
      <c r="EE948" s="24"/>
      <c r="EF948" s="60"/>
      <c r="EG948" s="16"/>
      <c r="EH948" s="16"/>
      <c r="EI948" s="16"/>
      <c r="EJ948" s="16"/>
      <c r="EK948" s="16"/>
      <c r="EL948" s="17"/>
      <c r="EP948" s="24"/>
      <c r="EQ948" s="60"/>
      <c r="ER948" s="16"/>
      <c r="ES948" s="16"/>
      <c r="ET948" s="16"/>
      <c r="EU948" s="16"/>
      <c r="EV948" s="16"/>
      <c r="EW948" s="17"/>
      <c r="FA948" s="24"/>
      <c r="FB948" s="60"/>
      <c r="FC948" s="16"/>
      <c r="FD948" s="16"/>
      <c r="FE948" s="16"/>
      <c r="FF948" s="16"/>
      <c r="FG948" s="16"/>
      <c r="FH948" s="17"/>
      <c r="FL948" s="24"/>
      <c r="FM948" s="60"/>
      <c r="FN948" s="16"/>
      <c r="FO948" s="16"/>
      <c r="FP948" s="16"/>
      <c r="FQ948" s="16"/>
      <c r="FR948" s="16"/>
      <c r="FS948" s="17"/>
      <c r="FW948" s="24"/>
      <c r="FX948" s="60"/>
      <c r="FY948" s="16"/>
      <c r="FZ948" s="16"/>
      <c r="GA948" s="16"/>
      <c r="GB948" s="16"/>
      <c r="GC948" s="16"/>
      <c r="GD948" s="17"/>
      <c r="GH948" s="24"/>
      <c r="GI948" s="60"/>
      <c r="GJ948" s="16"/>
      <c r="GK948" s="16"/>
      <c r="GL948" s="16"/>
      <c r="GM948" s="16"/>
      <c r="GN948" s="16"/>
      <c r="GO948" s="17"/>
      <c r="GS948" s="24"/>
      <c r="GT948" s="60"/>
      <c r="GU948" s="16"/>
      <c r="GV948" s="16"/>
      <c r="GW948" s="16"/>
      <c r="GX948" s="16"/>
      <c r="GY948" s="16"/>
      <c r="GZ948" s="17"/>
      <c r="HD948" s="24"/>
      <c r="HE948" s="60"/>
      <c r="HF948" s="16"/>
      <c r="HG948" s="16"/>
      <c r="HH948" s="16"/>
      <c r="HI948" s="16"/>
      <c r="HJ948" s="16"/>
      <c r="HK948" s="17"/>
      <c r="HO948" s="24"/>
      <c r="HP948" s="60"/>
      <c r="HQ948" s="16"/>
      <c r="HR948" s="16"/>
      <c r="HS948" s="16"/>
      <c r="HT948" s="16"/>
      <c r="HU948" s="16"/>
      <c r="HV948" s="17"/>
      <c r="HZ948" s="24"/>
      <c r="IA948" s="60"/>
      <c r="IB948" s="16"/>
      <c r="IC948" s="16"/>
      <c r="ID948" s="16"/>
      <c r="IE948" s="16"/>
      <c r="IF948" s="16"/>
      <c r="IG948" s="17"/>
      <c r="IK948" s="24"/>
      <c r="IL948" s="60"/>
      <c r="IM948" s="16"/>
      <c r="IN948" s="16"/>
      <c r="IO948" s="16"/>
      <c r="IP948" s="16"/>
      <c r="IQ948" s="16"/>
      <c r="IR948" s="17"/>
      <c r="IV948" s="24"/>
      <c r="IW948" s="60"/>
      <c r="IX948" s="16"/>
      <c r="IY948" s="16"/>
      <c r="IZ948" s="16"/>
      <c r="JA948" s="16"/>
      <c r="JB948" s="16"/>
      <c r="JC948" s="17"/>
      <c r="JG948" s="24"/>
      <c r="JH948" s="60"/>
      <c r="JI948" s="16"/>
      <c r="JJ948" s="16"/>
      <c r="JK948" s="16"/>
      <c r="JL948" s="16"/>
      <c r="JM948" s="16"/>
      <c r="JN948" s="17"/>
      <c r="JR948" s="24"/>
      <c r="JS948" s="60"/>
      <c r="JT948" s="16"/>
      <c r="JU948" s="16"/>
      <c r="JV948" s="16"/>
      <c r="JW948" s="16"/>
      <c r="JX948" s="16"/>
      <c r="JY948" s="17"/>
      <c r="KC948" s="24"/>
      <c r="KD948" s="60"/>
      <c r="KE948" s="16"/>
      <c r="KF948" s="16"/>
      <c r="KG948" s="16"/>
      <c r="KH948" s="16"/>
      <c r="KI948" s="16"/>
      <c r="KJ948" s="17"/>
      <c r="KN948" s="24"/>
      <c r="KO948" s="60"/>
      <c r="KP948" s="16"/>
      <c r="KQ948" s="16"/>
      <c r="KR948" s="16"/>
      <c r="KS948" s="16"/>
      <c r="KT948" s="16"/>
      <c r="KU948" s="17"/>
      <c r="KY948" s="24"/>
      <c r="KZ948" s="60"/>
      <c r="LA948" s="16"/>
      <c r="LB948" s="16"/>
      <c r="LC948" s="16"/>
      <c r="LD948" s="16"/>
      <c r="LE948" s="16"/>
      <c r="LF948" s="17"/>
      <c r="LJ948" s="24"/>
      <c r="LK948" s="60"/>
      <c r="LL948" s="16"/>
      <c r="LM948" s="16"/>
      <c r="LN948" s="16"/>
      <c r="LO948" s="16"/>
      <c r="LP948" s="16"/>
      <c r="LQ948" s="17"/>
    </row>
    <row r="949">
      <c r="C949" s="31"/>
      <c r="D949" s="61"/>
      <c r="E949" s="16"/>
      <c r="F949" s="16"/>
      <c r="G949" s="21"/>
      <c r="H949" s="16"/>
      <c r="I949" s="16"/>
      <c r="J949" s="17"/>
      <c r="N949" s="17"/>
      <c r="O949" s="61"/>
      <c r="P949" s="16"/>
      <c r="Q949" s="16"/>
      <c r="R949" s="16"/>
      <c r="S949" s="16"/>
      <c r="T949" s="16"/>
      <c r="U949" s="17"/>
      <c r="Y949" s="24"/>
      <c r="Z949" s="61"/>
      <c r="AA949" s="16"/>
      <c r="AB949" s="16"/>
      <c r="AC949" s="16"/>
      <c r="AD949" s="16"/>
      <c r="AE949" s="16"/>
      <c r="AF949" s="17"/>
      <c r="AJ949" s="24"/>
      <c r="AK949" s="61"/>
      <c r="AL949" s="16"/>
      <c r="AM949" s="16"/>
      <c r="AN949" s="16"/>
      <c r="AO949" s="16"/>
      <c r="AP949" s="16"/>
      <c r="AQ949" s="17"/>
      <c r="AU949" s="24"/>
      <c r="AV949" s="61"/>
      <c r="AW949" s="16"/>
      <c r="AX949" s="16"/>
      <c r="AY949" s="16"/>
      <c r="AZ949" s="16"/>
      <c r="BA949" s="16"/>
      <c r="BB949" s="17"/>
      <c r="BF949" s="24"/>
      <c r="BG949" s="61"/>
      <c r="BH949" s="16"/>
      <c r="BI949" s="16"/>
      <c r="BJ949" s="16"/>
      <c r="BK949" s="16"/>
      <c r="BL949" s="16"/>
      <c r="BM949" s="17"/>
      <c r="BQ949" s="24"/>
      <c r="BR949" s="61"/>
      <c r="BS949" s="16"/>
      <c r="BT949" s="16"/>
      <c r="BU949" s="16"/>
      <c r="BV949" s="16"/>
      <c r="BW949" s="16"/>
      <c r="BX949" s="17"/>
      <c r="CB949" s="24"/>
      <c r="CC949" s="61"/>
      <c r="CD949" s="16"/>
      <c r="CE949" s="16"/>
      <c r="CF949" s="16"/>
      <c r="CG949" s="16"/>
      <c r="CH949" s="16"/>
      <c r="CI949" s="17"/>
      <c r="CM949" s="24"/>
      <c r="CN949" s="61"/>
      <c r="CO949" s="16"/>
      <c r="CP949" s="16"/>
      <c r="CQ949" s="16"/>
      <c r="CR949" s="16"/>
      <c r="CS949" s="16"/>
      <c r="CT949" s="17"/>
      <c r="CX949" s="24"/>
      <c r="CY949" s="60"/>
      <c r="CZ949" s="16"/>
      <c r="DA949" s="16"/>
      <c r="DB949" s="16"/>
      <c r="DC949" s="16"/>
      <c r="DD949" s="16"/>
      <c r="DE949" s="17"/>
      <c r="DI949" s="24"/>
      <c r="DJ949" s="60"/>
      <c r="DK949" s="16"/>
      <c r="DL949" s="16"/>
      <c r="DM949" s="16"/>
      <c r="DN949" s="16"/>
      <c r="DO949" s="16"/>
      <c r="DP949" s="17"/>
      <c r="DT949" s="24"/>
      <c r="DU949" s="60"/>
      <c r="DV949" s="16"/>
      <c r="DW949" s="16"/>
      <c r="DX949" s="16"/>
      <c r="DY949" s="16"/>
      <c r="DZ949" s="16"/>
      <c r="EA949" s="17"/>
      <c r="EE949" s="24"/>
      <c r="EF949" s="60"/>
      <c r="EG949" s="16"/>
      <c r="EH949" s="16"/>
      <c r="EI949" s="16"/>
      <c r="EJ949" s="16"/>
      <c r="EK949" s="16"/>
      <c r="EL949" s="17"/>
      <c r="EP949" s="24"/>
      <c r="EQ949" s="60"/>
      <c r="ER949" s="16"/>
      <c r="ES949" s="16"/>
      <c r="ET949" s="16"/>
      <c r="EU949" s="16"/>
      <c r="EV949" s="16"/>
      <c r="EW949" s="17"/>
      <c r="FA949" s="24"/>
      <c r="FB949" s="60"/>
      <c r="FC949" s="16"/>
      <c r="FD949" s="16"/>
      <c r="FE949" s="16"/>
      <c r="FF949" s="16"/>
      <c r="FG949" s="16"/>
      <c r="FH949" s="17"/>
      <c r="FL949" s="24"/>
      <c r="FM949" s="60"/>
      <c r="FN949" s="16"/>
      <c r="FO949" s="16"/>
      <c r="FP949" s="16"/>
      <c r="FQ949" s="16"/>
      <c r="FR949" s="16"/>
      <c r="FS949" s="17"/>
      <c r="FW949" s="24"/>
      <c r="FX949" s="60"/>
      <c r="FY949" s="16"/>
      <c r="FZ949" s="16"/>
      <c r="GA949" s="16"/>
      <c r="GB949" s="16"/>
      <c r="GC949" s="16"/>
      <c r="GD949" s="17"/>
      <c r="GH949" s="24"/>
      <c r="GI949" s="60"/>
      <c r="GJ949" s="16"/>
      <c r="GK949" s="16"/>
      <c r="GL949" s="16"/>
      <c r="GM949" s="16"/>
      <c r="GN949" s="16"/>
      <c r="GO949" s="17"/>
      <c r="GS949" s="24"/>
      <c r="GT949" s="60"/>
      <c r="GU949" s="16"/>
      <c r="GV949" s="16"/>
      <c r="GW949" s="16"/>
      <c r="GX949" s="16"/>
      <c r="GY949" s="16"/>
      <c r="GZ949" s="17"/>
      <c r="HD949" s="24"/>
      <c r="HE949" s="60"/>
      <c r="HF949" s="16"/>
      <c r="HG949" s="16"/>
      <c r="HH949" s="16"/>
      <c r="HI949" s="16"/>
      <c r="HJ949" s="16"/>
      <c r="HK949" s="17"/>
      <c r="HO949" s="24"/>
      <c r="HP949" s="60"/>
      <c r="HQ949" s="16"/>
      <c r="HR949" s="16"/>
      <c r="HS949" s="16"/>
      <c r="HT949" s="16"/>
      <c r="HU949" s="16"/>
      <c r="HV949" s="17"/>
      <c r="HZ949" s="24"/>
      <c r="IA949" s="60"/>
      <c r="IB949" s="16"/>
      <c r="IC949" s="16"/>
      <c r="ID949" s="16"/>
      <c r="IE949" s="16"/>
      <c r="IF949" s="16"/>
      <c r="IG949" s="17"/>
      <c r="IK949" s="24"/>
      <c r="IL949" s="60"/>
      <c r="IM949" s="16"/>
      <c r="IN949" s="16"/>
      <c r="IO949" s="16"/>
      <c r="IP949" s="16"/>
      <c r="IQ949" s="16"/>
      <c r="IR949" s="17"/>
      <c r="IV949" s="24"/>
      <c r="IW949" s="60"/>
      <c r="IX949" s="16"/>
      <c r="IY949" s="16"/>
      <c r="IZ949" s="16"/>
      <c r="JA949" s="16"/>
      <c r="JB949" s="16"/>
      <c r="JC949" s="17"/>
      <c r="JG949" s="24"/>
      <c r="JH949" s="60"/>
      <c r="JI949" s="16"/>
      <c r="JJ949" s="16"/>
      <c r="JK949" s="16"/>
      <c r="JL949" s="16"/>
      <c r="JM949" s="16"/>
      <c r="JN949" s="17"/>
      <c r="JR949" s="24"/>
      <c r="JS949" s="60"/>
      <c r="JT949" s="16"/>
      <c r="JU949" s="16"/>
      <c r="JV949" s="16"/>
      <c r="JW949" s="16"/>
      <c r="JX949" s="16"/>
      <c r="JY949" s="17"/>
      <c r="KC949" s="24"/>
      <c r="KD949" s="60"/>
      <c r="KE949" s="16"/>
      <c r="KF949" s="16"/>
      <c r="KG949" s="16"/>
      <c r="KH949" s="16"/>
      <c r="KI949" s="16"/>
      <c r="KJ949" s="17"/>
      <c r="KN949" s="24"/>
      <c r="KO949" s="60"/>
      <c r="KP949" s="16"/>
      <c r="KQ949" s="16"/>
      <c r="KR949" s="16"/>
      <c r="KS949" s="16"/>
      <c r="KT949" s="16"/>
      <c r="KU949" s="17"/>
      <c r="KY949" s="24"/>
      <c r="KZ949" s="60"/>
      <c r="LA949" s="16"/>
      <c r="LB949" s="16"/>
      <c r="LC949" s="16"/>
      <c r="LD949" s="16"/>
      <c r="LE949" s="16"/>
      <c r="LF949" s="17"/>
      <c r="LJ949" s="24"/>
      <c r="LK949" s="60"/>
      <c r="LL949" s="16"/>
      <c r="LM949" s="16"/>
      <c r="LN949" s="16"/>
      <c r="LO949" s="16"/>
      <c r="LP949" s="16"/>
      <c r="LQ949" s="17"/>
    </row>
    <row r="950">
      <c r="C950" s="31"/>
      <c r="D950" s="61"/>
      <c r="E950" s="16"/>
      <c r="F950" s="16"/>
      <c r="G950" s="21"/>
      <c r="H950" s="16"/>
      <c r="I950" s="16"/>
      <c r="J950" s="17"/>
      <c r="N950" s="17"/>
      <c r="O950" s="61"/>
      <c r="P950" s="16"/>
      <c r="Q950" s="16"/>
      <c r="R950" s="16"/>
      <c r="S950" s="16"/>
      <c r="T950" s="16"/>
      <c r="U950" s="17"/>
      <c r="Y950" s="24"/>
      <c r="Z950" s="61"/>
      <c r="AA950" s="16"/>
      <c r="AB950" s="16"/>
      <c r="AC950" s="16"/>
      <c r="AD950" s="16"/>
      <c r="AE950" s="16"/>
      <c r="AF950" s="17"/>
      <c r="AJ950" s="24"/>
      <c r="AK950" s="61"/>
      <c r="AL950" s="16"/>
      <c r="AM950" s="16"/>
      <c r="AN950" s="16"/>
      <c r="AO950" s="16"/>
      <c r="AP950" s="16"/>
      <c r="AQ950" s="17"/>
      <c r="AU950" s="24"/>
      <c r="AV950" s="61"/>
      <c r="AW950" s="16"/>
      <c r="AX950" s="16"/>
      <c r="AY950" s="16"/>
      <c r="AZ950" s="16"/>
      <c r="BA950" s="16"/>
      <c r="BB950" s="17"/>
      <c r="BF950" s="24"/>
      <c r="BG950" s="61"/>
      <c r="BH950" s="16"/>
      <c r="BI950" s="16"/>
      <c r="BJ950" s="16"/>
      <c r="BK950" s="16"/>
      <c r="BL950" s="16"/>
      <c r="BM950" s="17"/>
      <c r="BQ950" s="24"/>
      <c r="BR950" s="61"/>
      <c r="BS950" s="16"/>
      <c r="BT950" s="16"/>
      <c r="BU950" s="16"/>
      <c r="BV950" s="16"/>
      <c r="BW950" s="16"/>
      <c r="BX950" s="17"/>
      <c r="CB950" s="24"/>
      <c r="CC950" s="61"/>
      <c r="CD950" s="16"/>
      <c r="CE950" s="16"/>
      <c r="CF950" s="16"/>
      <c r="CG950" s="16"/>
      <c r="CH950" s="16"/>
      <c r="CI950" s="17"/>
      <c r="CM950" s="24"/>
      <c r="CN950" s="61"/>
      <c r="CO950" s="16"/>
      <c r="CP950" s="16"/>
      <c r="CQ950" s="16"/>
      <c r="CR950" s="16"/>
      <c r="CS950" s="16"/>
      <c r="CT950" s="17"/>
      <c r="CX950" s="24"/>
      <c r="CY950" s="60"/>
      <c r="CZ950" s="16"/>
      <c r="DA950" s="16"/>
      <c r="DB950" s="16"/>
      <c r="DC950" s="16"/>
      <c r="DD950" s="16"/>
      <c r="DE950" s="17"/>
      <c r="DI950" s="24"/>
      <c r="DJ950" s="60"/>
      <c r="DK950" s="16"/>
      <c r="DL950" s="16"/>
      <c r="DM950" s="16"/>
      <c r="DN950" s="16"/>
      <c r="DO950" s="16"/>
      <c r="DP950" s="17"/>
      <c r="DT950" s="24"/>
      <c r="DU950" s="60"/>
      <c r="DV950" s="16"/>
      <c r="DW950" s="16"/>
      <c r="DX950" s="16"/>
      <c r="DY950" s="16"/>
      <c r="DZ950" s="16"/>
      <c r="EA950" s="17"/>
      <c r="EE950" s="24"/>
      <c r="EF950" s="60"/>
      <c r="EG950" s="16"/>
      <c r="EH950" s="16"/>
      <c r="EI950" s="16"/>
      <c r="EJ950" s="16"/>
      <c r="EK950" s="16"/>
      <c r="EL950" s="17"/>
      <c r="EP950" s="24"/>
      <c r="EQ950" s="60"/>
      <c r="ER950" s="16"/>
      <c r="ES950" s="16"/>
      <c r="ET950" s="16"/>
      <c r="EU950" s="16"/>
      <c r="EV950" s="16"/>
      <c r="EW950" s="17"/>
      <c r="FA950" s="24"/>
      <c r="FB950" s="60"/>
      <c r="FC950" s="16"/>
      <c r="FD950" s="16"/>
      <c r="FE950" s="16"/>
      <c r="FF950" s="16"/>
      <c r="FG950" s="16"/>
      <c r="FH950" s="17"/>
      <c r="FL950" s="24"/>
      <c r="FM950" s="60"/>
      <c r="FN950" s="16"/>
      <c r="FO950" s="16"/>
      <c r="FP950" s="16"/>
      <c r="FQ950" s="16"/>
      <c r="FR950" s="16"/>
      <c r="FS950" s="17"/>
      <c r="FW950" s="24"/>
      <c r="FX950" s="60"/>
      <c r="FY950" s="16"/>
      <c r="FZ950" s="16"/>
      <c r="GA950" s="16"/>
      <c r="GB950" s="16"/>
      <c r="GC950" s="16"/>
      <c r="GD950" s="17"/>
      <c r="GH950" s="24"/>
      <c r="GI950" s="60"/>
      <c r="GJ950" s="16"/>
      <c r="GK950" s="16"/>
      <c r="GL950" s="16"/>
      <c r="GM950" s="16"/>
      <c r="GN950" s="16"/>
      <c r="GO950" s="17"/>
      <c r="GS950" s="24"/>
      <c r="GT950" s="60"/>
      <c r="GU950" s="16"/>
      <c r="GV950" s="16"/>
      <c r="GW950" s="16"/>
      <c r="GX950" s="16"/>
      <c r="GY950" s="16"/>
      <c r="GZ950" s="17"/>
      <c r="HD950" s="24"/>
      <c r="HE950" s="60"/>
      <c r="HF950" s="16"/>
      <c r="HG950" s="16"/>
      <c r="HH950" s="16"/>
      <c r="HI950" s="16"/>
      <c r="HJ950" s="16"/>
      <c r="HK950" s="17"/>
      <c r="HO950" s="24"/>
      <c r="HP950" s="60"/>
      <c r="HQ950" s="16"/>
      <c r="HR950" s="16"/>
      <c r="HS950" s="16"/>
      <c r="HT950" s="16"/>
      <c r="HU950" s="16"/>
      <c r="HV950" s="17"/>
      <c r="HZ950" s="24"/>
      <c r="IA950" s="60"/>
      <c r="IB950" s="16"/>
      <c r="IC950" s="16"/>
      <c r="ID950" s="16"/>
      <c r="IE950" s="16"/>
      <c r="IF950" s="16"/>
      <c r="IG950" s="17"/>
      <c r="IK950" s="24"/>
      <c r="IL950" s="60"/>
      <c r="IM950" s="16"/>
      <c r="IN950" s="16"/>
      <c r="IO950" s="16"/>
      <c r="IP950" s="16"/>
      <c r="IQ950" s="16"/>
      <c r="IR950" s="17"/>
      <c r="IV950" s="24"/>
      <c r="IW950" s="60"/>
      <c r="IX950" s="16"/>
      <c r="IY950" s="16"/>
      <c r="IZ950" s="16"/>
      <c r="JA950" s="16"/>
      <c r="JB950" s="16"/>
      <c r="JC950" s="17"/>
      <c r="JG950" s="24"/>
      <c r="JH950" s="60"/>
      <c r="JI950" s="16"/>
      <c r="JJ950" s="16"/>
      <c r="JK950" s="16"/>
      <c r="JL950" s="16"/>
      <c r="JM950" s="16"/>
      <c r="JN950" s="17"/>
      <c r="JR950" s="24"/>
      <c r="JS950" s="60"/>
      <c r="JT950" s="16"/>
      <c r="JU950" s="16"/>
      <c r="JV950" s="16"/>
      <c r="JW950" s="16"/>
      <c r="JX950" s="16"/>
      <c r="JY950" s="17"/>
      <c r="KC950" s="24"/>
      <c r="KD950" s="60"/>
      <c r="KE950" s="16"/>
      <c r="KF950" s="16"/>
      <c r="KG950" s="16"/>
      <c r="KH950" s="16"/>
      <c r="KI950" s="16"/>
      <c r="KJ950" s="17"/>
      <c r="KN950" s="24"/>
      <c r="KO950" s="60"/>
      <c r="KP950" s="16"/>
      <c r="KQ950" s="16"/>
      <c r="KR950" s="16"/>
      <c r="KS950" s="16"/>
      <c r="KT950" s="16"/>
      <c r="KU950" s="17"/>
      <c r="KY950" s="24"/>
      <c r="KZ950" s="60"/>
      <c r="LA950" s="16"/>
      <c r="LB950" s="16"/>
      <c r="LC950" s="16"/>
      <c r="LD950" s="16"/>
      <c r="LE950" s="16"/>
      <c r="LF950" s="17"/>
      <c r="LJ950" s="24"/>
      <c r="LK950" s="60"/>
      <c r="LL950" s="16"/>
      <c r="LM950" s="16"/>
      <c r="LN950" s="16"/>
      <c r="LO950" s="16"/>
      <c r="LP950" s="16"/>
      <c r="LQ950" s="17"/>
    </row>
    <row r="951">
      <c r="C951" s="31"/>
      <c r="D951" s="61"/>
      <c r="E951" s="16"/>
      <c r="F951" s="16"/>
      <c r="G951" s="21"/>
      <c r="H951" s="16"/>
      <c r="I951" s="16"/>
      <c r="J951" s="17"/>
      <c r="N951" s="17"/>
      <c r="O951" s="61"/>
      <c r="P951" s="16"/>
      <c r="Q951" s="16"/>
      <c r="R951" s="16"/>
      <c r="S951" s="16"/>
      <c r="T951" s="16"/>
      <c r="U951" s="17"/>
      <c r="Y951" s="24"/>
      <c r="Z951" s="61"/>
      <c r="AA951" s="16"/>
      <c r="AB951" s="16"/>
      <c r="AC951" s="16"/>
      <c r="AD951" s="16"/>
      <c r="AE951" s="16"/>
      <c r="AF951" s="17"/>
      <c r="AJ951" s="24"/>
      <c r="AK951" s="61"/>
      <c r="AL951" s="16"/>
      <c r="AM951" s="16"/>
      <c r="AN951" s="16"/>
      <c r="AO951" s="16"/>
      <c r="AP951" s="16"/>
      <c r="AQ951" s="17"/>
      <c r="AU951" s="24"/>
      <c r="AV951" s="61"/>
      <c r="AW951" s="16"/>
      <c r="AX951" s="16"/>
      <c r="AY951" s="16"/>
      <c r="AZ951" s="16"/>
      <c r="BA951" s="16"/>
      <c r="BB951" s="17"/>
      <c r="BF951" s="24"/>
      <c r="BG951" s="61"/>
      <c r="BH951" s="16"/>
      <c r="BI951" s="16"/>
      <c r="BJ951" s="16"/>
      <c r="BK951" s="16"/>
      <c r="BL951" s="16"/>
      <c r="BM951" s="17"/>
      <c r="BQ951" s="24"/>
      <c r="BR951" s="61"/>
      <c r="BS951" s="16"/>
      <c r="BT951" s="16"/>
      <c r="BU951" s="16"/>
      <c r="BV951" s="16"/>
      <c r="BW951" s="16"/>
      <c r="BX951" s="17"/>
      <c r="CB951" s="24"/>
      <c r="CC951" s="61"/>
      <c r="CD951" s="16"/>
      <c r="CE951" s="16"/>
      <c r="CF951" s="16"/>
      <c r="CG951" s="16"/>
      <c r="CH951" s="16"/>
      <c r="CI951" s="17"/>
      <c r="CM951" s="24"/>
      <c r="CN951" s="61"/>
      <c r="CO951" s="16"/>
      <c r="CP951" s="16"/>
      <c r="CQ951" s="16"/>
      <c r="CR951" s="16"/>
      <c r="CS951" s="16"/>
      <c r="CT951" s="17"/>
      <c r="CX951" s="24"/>
      <c r="CY951" s="60"/>
      <c r="CZ951" s="16"/>
      <c r="DA951" s="16"/>
      <c r="DB951" s="16"/>
      <c r="DC951" s="16"/>
      <c r="DD951" s="16"/>
      <c r="DE951" s="17"/>
      <c r="DI951" s="24"/>
      <c r="DJ951" s="60"/>
      <c r="DK951" s="16"/>
      <c r="DL951" s="16"/>
      <c r="DM951" s="16"/>
      <c r="DN951" s="16"/>
      <c r="DO951" s="16"/>
      <c r="DP951" s="17"/>
      <c r="DT951" s="24"/>
      <c r="DU951" s="60"/>
      <c r="DV951" s="16"/>
      <c r="DW951" s="16"/>
      <c r="DX951" s="16"/>
      <c r="DY951" s="16"/>
      <c r="DZ951" s="16"/>
      <c r="EA951" s="17"/>
      <c r="EE951" s="24"/>
      <c r="EF951" s="60"/>
      <c r="EG951" s="16"/>
      <c r="EH951" s="16"/>
      <c r="EI951" s="16"/>
      <c r="EJ951" s="16"/>
      <c r="EK951" s="16"/>
      <c r="EL951" s="17"/>
      <c r="EP951" s="24"/>
      <c r="EQ951" s="60"/>
      <c r="ER951" s="16"/>
      <c r="ES951" s="16"/>
      <c r="ET951" s="16"/>
      <c r="EU951" s="16"/>
      <c r="EV951" s="16"/>
      <c r="EW951" s="17"/>
      <c r="FA951" s="24"/>
      <c r="FB951" s="60"/>
      <c r="FC951" s="16"/>
      <c r="FD951" s="16"/>
      <c r="FE951" s="16"/>
      <c r="FF951" s="16"/>
      <c r="FG951" s="16"/>
      <c r="FH951" s="17"/>
      <c r="FL951" s="24"/>
      <c r="FM951" s="60"/>
      <c r="FN951" s="16"/>
      <c r="FO951" s="16"/>
      <c r="FP951" s="16"/>
      <c r="FQ951" s="16"/>
      <c r="FR951" s="16"/>
      <c r="FS951" s="17"/>
      <c r="FW951" s="24"/>
      <c r="FX951" s="60"/>
      <c r="FY951" s="16"/>
      <c r="FZ951" s="16"/>
      <c r="GA951" s="16"/>
      <c r="GB951" s="16"/>
      <c r="GC951" s="16"/>
      <c r="GD951" s="17"/>
      <c r="GH951" s="24"/>
      <c r="GI951" s="60"/>
      <c r="GJ951" s="16"/>
      <c r="GK951" s="16"/>
      <c r="GL951" s="16"/>
      <c r="GM951" s="16"/>
      <c r="GN951" s="16"/>
      <c r="GO951" s="17"/>
      <c r="GS951" s="24"/>
      <c r="GT951" s="60"/>
      <c r="GU951" s="16"/>
      <c r="GV951" s="16"/>
      <c r="GW951" s="16"/>
      <c r="GX951" s="16"/>
      <c r="GY951" s="16"/>
      <c r="GZ951" s="17"/>
      <c r="HD951" s="24"/>
      <c r="HE951" s="60"/>
      <c r="HF951" s="16"/>
      <c r="HG951" s="16"/>
      <c r="HH951" s="16"/>
      <c r="HI951" s="16"/>
      <c r="HJ951" s="16"/>
      <c r="HK951" s="17"/>
      <c r="HO951" s="24"/>
      <c r="HP951" s="60"/>
      <c r="HQ951" s="16"/>
      <c r="HR951" s="16"/>
      <c r="HS951" s="16"/>
      <c r="HT951" s="16"/>
      <c r="HU951" s="16"/>
      <c r="HV951" s="17"/>
      <c r="HZ951" s="24"/>
      <c r="IA951" s="60"/>
      <c r="IB951" s="16"/>
      <c r="IC951" s="16"/>
      <c r="ID951" s="16"/>
      <c r="IE951" s="16"/>
      <c r="IF951" s="16"/>
      <c r="IG951" s="17"/>
      <c r="IK951" s="24"/>
      <c r="IL951" s="60"/>
      <c r="IM951" s="16"/>
      <c r="IN951" s="16"/>
      <c r="IO951" s="16"/>
      <c r="IP951" s="16"/>
      <c r="IQ951" s="16"/>
      <c r="IR951" s="17"/>
      <c r="IV951" s="24"/>
      <c r="IW951" s="60"/>
      <c r="IX951" s="16"/>
      <c r="IY951" s="16"/>
      <c r="IZ951" s="16"/>
      <c r="JA951" s="16"/>
      <c r="JB951" s="16"/>
      <c r="JC951" s="17"/>
      <c r="JG951" s="24"/>
      <c r="JH951" s="60"/>
      <c r="JI951" s="16"/>
      <c r="JJ951" s="16"/>
      <c r="JK951" s="16"/>
      <c r="JL951" s="16"/>
      <c r="JM951" s="16"/>
      <c r="JN951" s="17"/>
      <c r="JR951" s="24"/>
      <c r="JS951" s="60"/>
      <c r="JT951" s="16"/>
      <c r="JU951" s="16"/>
      <c r="JV951" s="16"/>
      <c r="JW951" s="16"/>
      <c r="JX951" s="16"/>
      <c r="JY951" s="17"/>
      <c r="KC951" s="24"/>
      <c r="KD951" s="60"/>
      <c r="KE951" s="16"/>
      <c r="KF951" s="16"/>
      <c r="KG951" s="16"/>
      <c r="KH951" s="16"/>
      <c r="KI951" s="16"/>
      <c r="KJ951" s="17"/>
      <c r="KN951" s="24"/>
      <c r="KO951" s="60"/>
      <c r="KP951" s="16"/>
      <c r="KQ951" s="16"/>
      <c r="KR951" s="16"/>
      <c r="KS951" s="16"/>
      <c r="KT951" s="16"/>
      <c r="KU951" s="17"/>
      <c r="KY951" s="24"/>
      <c r="KZ951" s="60"/>
      <c r="LA951" s="16"/>
      <c r="LB951" s="16"/>
      <c r="LC951" s="16"/>
      <c r="LD951" s="16"/>
      <c r="LE951" s="16"/>
      <c r="LF951" s="17"/>
      <c r="LJ951" s="24"/>
      <c r="LK951" s="60"/>
      <c r="LL951" s="16"/>
      <c r="LM951" s="16"/>
      <c r="LN951" s="16"/>
      <c r="LO951" s="16"/>
      <c r="LP951" s="16"/>
      <c r="LQ951" s="17"/>
    </row>
    <row r="952">
      <c r="C952" s="31"/>
      <c r="D952" s="61"/>
      <c r="E952" s="16"/>
      <c r="F952" s="16"/>
      <c r="G952" s="21"/>
      <c r="H952" s="16"/>
      <c r="I952" s="16"/>
      <c r="J952" s="17"/>
      <c r="N952" s="17"/>
      <c r="O952" s="61"/>
      <c r="P952" s="16"/>
      <c r="Q952" s="16"/>
      <c r="R952" s="16"/>
      <c r="S952" s="16"/>
      <c r="T952" s="16"/>
      <c r="U952" s="17"/>
      <c r="Y952" s="24"/>
      <c r="Z952" s="61"/>
      <c r="AA952" s="16"/>
      <c r="AB952" s="16"/>
      <c r="AC952" s="16"/>
      <c r="AD952" s="16"/>
      <c r="AE952" s="16"/>
      <c r="AF952" s="17"/>
      <c r="AJ952" s="24"/>
      <c r="AK952" s="61"/>
      <c r="AL952" s="16"/>
      <c r="AM952" s="16"/>
      <c r="AN952" s="16"/>
      <c r="AO952" s="16"/>
      <c r="AP952" s="16"/>
      <c r="AQ952" s="17"/>
      <c r="AU952" s="24"/>
      <c r="AV952" s="61"/>
      <c r="AW952" s="16"/>
      <c r="AX952" s="16"/>
      <c r="AY952" s="16"/>
      <c r="AZ952" s="16"/>
      <c r="BA952" s="16"/>
      <c r="BB952" s="17"/>
      <c r="BF952" s="24"/>
      <c r="BG952" s="61"/>
      <c r="BH952" s="16"/>
      <c r="BI952" s="16"/>
      <c r="BJ952" s="16"/>
      <c r="BK952" s="16"/>
      <c r="BL952" s="16"/>
      <c r="BM952" s="17"/>
      <c r="BQ952" s="24"/>
      <c r="BR952" s="61"/>
      <c r="BS952" s="16"/>
      <c r="BT952" s="16"/>
      <c r="BU952" s="16"/>
      <c r="BV952" s="16"/>
      <c r="BW952" s="16"/>
      <c r="BX952" s="17"/>
      <c r="CB952" s="24"/>
      <c r="CC952" s="61"/>
      <c r="CD952" s="16"/>
      <c r="CE952" s="16"/>
      <c r="CF952" s="16"/>
      <c r="CG952" s="16"/>
      <c r="CH952" s="16"/>
      <c r="CI952" s="17"/>
      <c r="CM952" s="24"/>
      <c r="CN952" s="61"/>
      <c r="CO952" s="16"/>
      <c r="CP952" s="16"/>
      <c r="CQ952" s="16"/>
      <c r="CR952" s="16"/>
      <c r="CS952" s="16"/>
      <c r="CT952" s="17"/>
      <c r="CX952" s="24"/>
      <c r="CY952" s="60"/>
      <c r="CZ952" s="16"/>
      <c r="DA952" s="16"/>
      <c r="DB952" s="16"/>
      <c r="DC952" s="16"/>
      <c r="DD952" s="16"/>
      <c r="DE952" s="17"/>
      <c r="DI952" s="24"/>
      <c r="DJ952" s="60"/>
      <c r="DK952" s="16"/>
      <c r="DL952" s="16"/>
      <c r="DM952" s="16"/>
      <c r="DN952" s="16"/>
      <c r="DO952" s="16"/>
      <c r="DP952" s="17"/>
      <c r="DT952" s="24"/>
      <c r="DU952" s="60"/>
      <c r="DV952" s="16"/>
      <c r="DW952" s="16"/>
      <c r="DX952" s="16"/>
      <c r="DY952" s="16"/>
      <c r="DZ952" s="16"/>
      <c r="EA952" s="17"/>
      <c r="EE952" s="24"/>
      <c r="EF952" s="60"/>
      <c r="EG952" s="16"/>
      <c r="EH952" s="16"/>
      <c r="EI952" s="16"/>
      <c r="EJ952" s="16"/>
      <c r="EK952" s="16"/>
      <c r="EL952" s="17"/>
      <c r="EP952" s="24"/>
      <c r="EQ952" s="60"/>
      <c r="ER952" s="16"/>
      <c r="ES952" s="16"/>
      <c r="ET952" s="16"/>
      <c r="EU952" s="16"/>
      <c r="EV952" s="16"/>
      <c r="EW952" s="17"/>
      <c r="FA952" s="24"/>
      <c r="FB952" s="60"/>
      <c r="FC952" s="16"/>
      <c r="FD952" s="16"/>
      <c r="FE952" s="16"/>
      <c r="FF952" s="16"/>
      <c r="FG952" s="16"/>
      <c r="FH952" s="17"/>
      <c r="FL952" s="24"/>
      <c r="FM952" s="60"/>
      <c r="FN952" s="16"/>
      <c r="FO952" s="16"/>
      <c r="FP952" s="16"/>
      <c r="FQ952" s="16"/>
      <c r="FR952" s="16"/>
      <c r="FS952" s="17"/>
      <c r="FW952" s="24"/>
      <c r="FX952" s="60"/>
      <c r="FY952" s="16"/>
      <c r="FZ952" s="16"/>
      <c r="GA952" s="16"/>
      <c r="GB952" s="16"/>
      <c r="GC952" s="16"/>
      <c r="GD952" s="17"/>
      <c r="GH952" s="24"/>
      <c r="GI952" s="60"/>
      <c r="GJ952" s="16"/>
      <c r="GK952" s="16"/>
      <c r="GL952" s="16"/>
      <c r="GM952" s="16"/>
      <c r="GN952" s="16"/>
      <c r="GO952" s="17"/>
      <c r="GS952" s="24"/>
      <c r="GT952" s="60"/>
      <c r="GU952" s="16"/>
      <c r="GV952" s="16"/>
      <c r="GW952" s="16"/>
      <c r="GX952" s="16"/>
      <c r="GY952" s="16"/>
      <c r="GZ952" s="17"/>
      <c r="HD952" s="24"/>
      <c r="HE952" s="60"/>
      <c r="HF952" s="16"/>
      <c r="HG952" s="16"/>
      <c r="HH952" s="16"/>
      <c r="HI952" s="16"/>
      <c r="HJ952" s="16"/>
      <c r="HK952" s="17"/>
      <c r="HO952" s="24"/>
      <c r="HP952" s="60"/>
      <c r="HQ952" s="16"/>
      <c r="HR952" s="16"/>
      <c r="HS952" s="16"/>
      <c r="HT952" s="16"/>
      <c r="HU952" s="16"/>
      <c r="HV952" s="17"/>
      <c r="HZ952" s="24"/>
      <c r="IA952" s="60"/>
      <c r="IB952" s="16"/>
      <c r="IC952" s="16"/>
      <c r="ID952" s="16"/>
      <c r="IE952" s="16"/>
      <c r="IF952" s="16"/>
      <c r="IG952" s="17"/>
      <c r="IK952" s="24"/>
      <c r="IL952" s="60"/>
      <c r="IM952" s="16"/>
      <c r="IN952" s="16"/>
      <c r="IO952" s="16"/>
      <c r="IP952" s="16"/>
      <c r="IQ952" s="16"/>
      <c r="IR952" s="17"/>
      <c r="IV952" s="24"/>
      <c r="IW952" s="60"/>
      <c r="IX952" s="16"/>
      <c r="IY952" s="16"/>
      <c r="IZ952" s="16"/>
      <c r="JA952" s="16"/>
      <c r="JB952" s="16"/>
      <c r="JC952" s="17"/>
      <c r="JG952" s="24"/>
      <c r="JH952" s="60"/>
      <c r="JI952" s="16"/>
      <c r="JJ952" s="16"/>
      <c r="JK952" s="16"/>
      <c r="JL952" s="16"/>
      <c r="JM952" s="16"/>
      <c r="JN952" s="17"/>
      <c r="JR952" s="24"/>
      <c r="JS952" s="60"/>
      <c r="JT952" s="16"/>
      <c r="JU952" s="16"/>
      <c r="JV952" s="16"/>
      <c r="JW952" s="16"/>
      <c r="JX952" s="16"/>
      <c r="JY952" s="17"/>
      <c r="KC952" s="24"/>
      <c r="KD952" s="60"/>
      <c r="KE952" s="16"/>
      <c r="KF952" s="16"/>
      <c r="KG952" s="16"/>
      <c r="KH952" s="16"/>
      <c r="KI952" s="16"/>
      <c r="KJ952" s="17"/>
      <c r="KN952" s="24"/>
      <c r="KO952" s="60"/>
      <c r="KP952" s="16"/>
      <c r="KQ952" s="16"/>
      <c r="KR952" s="16"/>
      <c r="KS952" s="16"/>
      <c r="KT952" s="16"/>
      <c r="KU952" s="17"/>
      <c r="KY952" s="24"/>
      <c r="KZ952" s="60"/>
      <c r="LA952" s="16"/>
      <c r="LB952" s="16"/>
      <c r="LC952" s="16"/>
      <c r="LD952" s="16"/>
      <c r="LE952" s="16"/>
      <c r="LF952" s="17"/>
      <c r="LJ952" s="24"/>
      <c r="LK952" s="60"/>
      <c r="LL952" s="16"/>
      <c r="LM952" s="16"/>
      <c r="LN952" s="16"/>
      <c r="LO952" s="16"/>
      <c r="LP952" s="16"/>
      <c r="LQ952" s="17"/>
    </row>
    <row r="953">
      <c r="C953" s="31"/>
      <c r="D953" s="61"/>
      <c r="E953" s="16"/>
      <c r="F953" s="16"/>
      <c r="G953" s="21"/>
      <c r="H953" s="16"/>
      <c r="I953" s="16"/>
      <c r="J953" s="17"/>
      <c r="N953" s="17"/>
      <c r="O953" s="61"/>
      <c r="P953" s="16"/>
      <c r="Q953" s="16"/>
      <c r="R953" s="16"/>
      <c r="S953" s="16"/>
      <c r="T953" s="16"/>
      <c r="U953" s="17"/>
      <c r="Y953" s="24"/>
      <c r="Z953" s="61"/>
      <c r="AA953" s="16"/>
      <c r="AB953" s="16"/>
      <c r="AC953" s="16"/>
      <c r="AD953" s="16"/>
      <c r="AE953" s="16"/>
      <c r="AF953" s="17"/>
      <c r="AJ953" s="24"/>
      <c r="AK953" s="61"/>
      <c r="AL953" s="16"/>
      <c r="AM953" s="16"/>
      <c r="AN953" s="16"/>
      <c r="AO953" s="16"/>
      <c r="AP953" s="16"/>
      <c r="AQ953" s="17"/>
      <c r="AU953" s="24"/>
      <c r="AV953" s="61"/>
      <c r="AW953" s="16"/>
      <c r="AX953" s="16"/>
      <c r="AY953" s="16"/>
      <c r="AZ953" s="16"/>
      <c r="BA953" s="16"/>
      <c r="BB953" s="17"/>
      <c r="BF953" s="24"/>
      <c r="BG953" s="61"/>
      <c r="BH953" s="16"/>
      <c r="BI953" s="16"/>
      <c r="BJ953" s="16"/>
      <c r="BK953" s="16"/>
      <c r="BL953" s="16"/>
      <c r="BM953" s="17"/>
      <c r="BQ953" s="24"/>
      <c r="BR953" s="61"/>
      <c r="BS953" s="16"/>
      <c r="BT953" s="16"/>
      <c r="BU953" s="16"/>
      <c r="BV953" s="16"/>
      <c r="BW953" s="16"/>
      <c r="BX953" s="17"/>
      <c r="CB953" s="24"/>
      <c r="CC953" s="61"/>
      <c r="CD953" s="16"/>
      <c r="CE953" s="16"/>
      <c r="CF953" s="16"/>
      <c r="CG953" s="16"/>
      <c r="CH953" s="16"/>
      <c r="CI953" s="17"/>
      <c r="CM953" s="24"/>
      <c r="CN953" s="61"/>
      <c r="CO953" s="16"/>
      <c r="CP953" s="16"/>
      <c r="CQ953" s="16"/>
      <c r="CR953" s="16"/>
      <c r="CS953" s="16"/>
      <c r="CT953" s="17"/>
      <c r="CX953" s="24"/>
      <c r="CY953" s="60"/>
      <c r="CZ953" s="16"/>
      <c r="DA953" s="16"/>
      <c r="DB953" s="16"/>
      <c r="DC953" s="16"/>
      <c r="DD953" s="16"/>
      <c r="DE953" s="17"/>
      <c r="DI953" s="24"/>
      <c r="DJ953" s="60"/>
      <c r="DK953" s="16"/>
      <c r="DL953" s="16"/>
      <c r="DM953" s="16"/>
      <c r="DN953" s="16"/>
      <c r="DO953" s="16"/>
      <c r="DP953" s="17"/>
      <c r="DT953" s="24"/>
      <c r="DU953" s="60"/>
      <c r="DV953" s="16"/>
      <c r="DW953" s="16"/>
      <c r="DX953" s="16"/>
      <c r="DY953" s="16"/>
      <c r="DZ953" s="16"/>
      <c r="EA953" s="17"/>
      <c r="EE953" s="24"/>
      <c r="EF953" s="60"/>
      <c r="EG953" s="16"/>
      <c r="EH953" s="16"/>
      <c r="EI953" s="16"/>
      <c r="EJ953" s="16"/>
      <c r="EK953" s="16"/>
      <c r="EL953" s="17"/>
      <c r="EP953" s="24"/>
      <c r="EQ953" s="60"/>
      <c r="ER953" s="16"/>
      <c r="ES953" s="16"/>
      <c r="ET953" s="16"/>
      <c r="EU953" s="16"/>
      <c r="EV953" s="16"/>
      <c r="EW953" s="17"/>
      <c r="FA953" s="24"/>
      <c r="FB953" s="60"/>
      <c r="FC953" s="16"/>
      <c r="FD953" s="16"/>
      <c r="FE953" s="16"/>
      <c r="FF953" s="16"/>
      <c r="FG953" s="16"/>
      <c r="FH953" s="17"/>
      <c r="FL953" s="24"/>
      <c r="FM953" s="60"/>
      <c r="FN953" s="16"/>
      <c r="FO953" s="16"/>
      <c r="FP953" s="16"/>
      <c r="FQ953" s="16"/>
      <c r="FR953" s="16"/>
      <c r="FS953" s="17"/>
      <c r="FW953" s="24"/>
      <c r="FX953" s="60"/>
      <c r="FY953" s="16"/>
      <c r="FZ953" s="16"/>
      <c r="GA953" s="16"/>
      <c r="GB953" s="16"/>
      <c r="GC953" s="16"/>
      <c r="GD953" s="17"/>
      <c r="GH953" s="24"/>
      <c r="GI953" s="60"/>
      <c r="GJ953" s="16"/>
      <c r="GK953" s="16"/>
      <c r="GL953" s="16"/>
      <c r="GM953" s="16"/>
      <c r="GN953" s="16"/>
      <c r="GO953" s="17"/>
      <c r="GS953" s="24"/>
      <c r="GT953" s="60"/>
      <c r="GU953" s="16"/>
      <c r="GV953" s="16"/>
      <c r="GW953" s="16"/>
      <c r="GX953" s="16"/>
      <c r="GY953" s="16"/>
      <c r="GZ953" s="17"/>
      <c r="HD953" s="24"/>
      <c r="HE953" s="60"/>
      <c r="HF953" s="16"/>
      <c r="HG953" s="16"/>
      <c r="HH953" s="16"/>
      <c r="HI953" s="16"/>
      <c r="HJ953" s="16"/>
      <c r="HK953" s="17"/>
      <c r="HO953" s="24"/>
      <c r="HP953" s="60"/>
      <c r="HQ953" s="16"/>
      <c r="HR953" s="16"/>
      <c r="HS953" s="16"/>
      <c r="HT953" s="16"/>
      <c r="HU953" s="16"/>
      <c r="HV953" s="17"/>
      <c r="HZ953" s="24"/>
      <c r="IA953" s="60"/>
      <c r="IB953" s="16"/>
      <c r="IC953" s="16"/>
      <c r="ID953" s="16"/>
      <c r="IE953" s="16"/>
      <c r="IF953" s="16"/>
      <c r="IG953" s="17"/>
      <c r="IK953" s="24"/>
      <c r="IL953" s="60"/>
      <c r="IM953" s="16"/>
      <c r="IN953" s="16"/>
      <c r="IO953" s="16"/>
      <c r="IP953" s="16"/>
      <c r="IQ953" s="16"/>
      <c r="IR953" s="17"/>
      <c r="IV953" s="24"/>
      <c r="IW953" s="60"/>
      <c r="IX953" s="16"/>
      <c r="IY953" s="16"/>
      <c r="IZ953" s="16"/>
      <c r="JA953" s="16"/>
      <c r="JB953" s="16"/>
      <c r="JC953" s="17"/>
      <c r="JG953" s="24"/>
      <c r="JH953" s="60"/>
      <c r="JI953" s="16"/>
      <c r="JJ953" s="16"/>
      <c r="JK953" s="16"/>
      <c r="JL953" s="16"/>
      <c r="JM953" s="16"/>
      <c r="JN953" s="17"/>
      <c r="JR953" s="24"/>
      <c r="JS953" s="60"/>
      <c r="JT953" s="16"/>
      <c r="JU953" s="16"/>
      <c r="JV953" s="16"/>
      <c r="JW953" s="16"/>
      <c r="JX953" s="16"/>
      <c r="JY953" s="17"/>
      <c r="KC953" s="24"/>
      <c r="KD953" s="60"/>
      <c r="KE953" s="16"/>
      <c r="KF953" s="16"/>
      <c r="KG953" s="16"/>
      <c r="KH953" s="16"/>
      <c r="KI953" s="16"/>
      <c r="KJ953" s="17"/>
      <c r="KN953" s="24"/>
      <c r="KO953" s="60"/>
      <c r="KP953" s="16"/>
      <c r="KQ953" s="16"/>
      <c r="KR953" s="16"/>
      <c r="KS953" s="16"/>
      <c r="KT953" s="16"/>
      <c r="KU953" s="17"/>
      <c r="KY953" s="24"/>
      <c r="KZ953" s="60"/>
      <c r="LA953" s="16"/>
      <c r="LB953" s="16"/>
      <c r="LC953" s="16"/>
      <c r="LD953" s="16"/>
      <c r="LE953" s="16"/>
      <c r="LF953" s="17"/>
      <c r="LJ953" s="24"/>
      <c r="LK953" s="60"/>
      <c r="LL953" s="16"/>
      <c r="LM953" s="16"/>
      <c r="LN953" s="16"/>
      <c r="LO953" s="16"/>
      <c r="LP953" s="16"/>
      <c r="LQ953" s="17"/>
    </row>
    <row r="954">
      <c r="C954" s="31"/>
      <c r="D954" s="61"/>
      <c r="E954" s="16"/>
      <c r="F954" s="16"/>
      <c r="G954" s="21"/>
      <c r="H954" s="16"/>
      <c r="I954" s="16"/>
      <c r="J954" s="17"/>
      <c r="N954" s="17"/>
      <c r="O954" s="61"/>
      <c r="P954" s="16"/>
      <c r="Q954" s="16"/>
      <c r="R954" s="16"/>
      <c r="S954" s="16"/>
      <c r="T954" s="16"/>
      <c r="U954" s="17"/>
      <c r="Y954" s="24"/>
      <c r="Z954" s="61"/>
      <c r="AA954" s="16"/>
      <c r="AB954" s="16"/>
      <c r="AC954" s="16"/>
      <c r="AD954" s="16"/>
      <c r="AE954" s="16"/>
      <c r="AF954" s="17"/>
      <c r="AJ954" s="24"/>
      <c r="AK954" s="61"/>
      <c r="AL954" s="16"/>
      <c r="AM954" s="16"/>
      <c r="AN954" s="16"/>
      <c r="AO954" s="16"/>
      <c r="AP954" s="16"/>
      <c r="AQ954" s="17"/>
      <c r="AU954" s="24"/>
      <c r="AV954" s="61"/>
      <c r="AW954" s="16"/>
      <c r="AX954" s="16"/>
      <c r="AY954" s="16"/>
      <c r="AZ954" s="16"/>
      <c r="BA954" s="16"/>
      <c r="BB954" s="17"/>
      <c r="BF954" s="24"/>
      <c r="BG954" s="61"/>
      <c r="BH954" s="16"/>
      <c r="BI954" s="16"/>
      <c r="BJ954" s="16"/>
      <c r="BK954" s="16"/>
      <c r="BL954" s="16"/>
      <c r="BM954" s="17"/>
      <c r="BQ954" s="24"/>
      <c r="BR954" s="61"/>
      <c r="BS954" s="16"/>
      <c r="BT954" s="16"/>
      <c r="BU954" s="16"/>
      <c r="BV954" s="16"/>
      <c r="BW954" s="16"/>
      <c r="BX954" s="17"/>
      <c r="CB954" s="24"/>
      <c r="CC954" s="61"/>
      <c r="CD954" s="16"/>
      <c r="CE954" s="16"/>
      <c r="CF954" s="16"/>
      <c r="CG954" s="16"/>
      <c r="CH954" s="16"/>
      <c r="CI954" s="17"/>
      <c r="CM954" s="24"/>
      <c r="CN954" s="61"/>
      <c r="CO954" s="16"/>
      <c r="CP954" s="16"/>
      <c r="CQ954" s="16"/>
      <c r="CR954" s="16"/>
      <c r="CS954" s="16"/>
      <c r="CT954" s="17"/>
      <c r="CX954" s="24"/>
      <c r="CY954" s="60"/>
      <c r="CZ954" s="16"/>
      <c r="DA954" s="16"/>
      <c r="DB954" s="16"/>
      <c r="DC954" s="16"/>
      <c r="DD954" s="16"/>
      <c r="DE954" s="17"/>
      <c r="DI954" s="24"/>
      <c r="DJ954" s="60"/>
      <c r="DK954" s="16"/>
      <c r="DL954" s="16"/>
      <c r="DM954" s="16"/>
      <c r="DN954" s="16"/>
      <c r="DO954" s="16"/>
      <c r="DP954" s="17"/>
      <c r="DT954" s="24"/>
      <c r="DU954" s="60"/>
      <c r="DV954" s="16"/>
      <c r="DW954" s="16"/>
      <c r="DX954" s="16"/>
      <c r="DY954" s="16"/>
      <c r="DZ954" s="16"/>
      <c r="EA954" s="17"/>
      <c r="EE954" s="24"/>
      <c r="EF954" s="60"/>
      <c r="EG954" s="16"/>
      <c r="EH954" s="16"/>
      <c r="EI954" s="16"/>
      <c r="EJ954" s="16"/>
      <c r="EK954" s="16"/>
      <c r="EL954" s="17"/>
      <c r="EP954" s="24"/>
      <c r="EQ954" s="60"/>
      <c r="ER954" s="16"/>
      <c r="ES954" s="16"/>
      <c r="ET954" s="16"/>
      <c r="EU954" s="16"/>
      <c r="EV954" s="16"/>
      <c r="EW954" s="17"/>
      <c r="FA954" s="24"/>
      <c r="FB954" s="60"/>
      <c r="FC954" s="16"/>
      <c r="FD954" s="16"/>
      <c r="FE954" s="16"/>
      <c r="FF954" s="16"/>
      <c r="FG954" s="16"/>
      <c r="FH954" s="17"/>
      <c r="FL954" s="24"/>
      <c r="FM954" s="60"/>
      <c r="FN954" s="16"/>
      <c r="FO954" s="16"/>
      <c r="FP954" s="16"/>
      <c r="FQ954" s="16"/>
      <c r="FR954" s="16"/>
      <c r="FS954" s="17"/>
      <c r="FW954" s="24"/>
      <c r="FX954" s="60"/>
      <c r="FY954" s="16"/>
      <c r="FZ954" s="16"/>
      <c r="GA954" s="16"/>
      <c r="GB954" s="16"/>
      <c r="GC954" s="16"/>
      <c r="GD954" s="17"/>
      <c r="GH954" s="24"/>
      <c r="GI954" s="60"/>
      <c r="GJ954" s="16"/>
      <c r="GK954" s="16"/>
      <c r="GL954" s="16"/>
      <c r="GM954" s="16"/>
      <c r="GN954" s="16"/>
      <c r="GO954" s="17"/>
      <c r="GS954" s="24"/>
      <c r="GT954" s="60"/>
      <c r="GU954" s="16"/>
      <c r="GV954" s="16"/>
      <c r="GW954" s="16"/>
      <c r="GX954" s="16"/>
      <c r="GY954" s="16"/>
      <c r="GZ954" s="17"/>
      <c r="HD954" s="24"/>
      <c r="HE954" s="60"/>
      <c r="HF954" s="16"/>
      <c r="HG954" s="16"/>
      <c r="HH954" s="16"/>
      <c r="HI954" s="16"/>
      <c r="HJ954" s="16"/>
      <c r="HK954" s="17"/>
      <c r="HO954" s="24"/>
      <c r="HP954" s="60"/>
      <c r="HQ954" s="16"/>
      <c r="HR954" s="16"/>
      <c r="HS954" s="16"/>
      <c r="HT954" s="16"/>
      <c r="HU954" s="16"/>
      <c r="HV954" s="17"/>
      <c r="HZ954" s="24"/>
      <c r="IA954" s="60"/>
      <c r="IB954" s="16"/>
      <c r="IC954" s="16"/>
      <c r="ID954" s="16"/>
      <c r="IE954" s="16"/>
      <c r="IF954" s="16"/>
      <c r="IG954" s="17"/>
      <c r="IK954" s="24"/>
      <c r="IL954" s="60"/>
      <c r="IM954" s="16"/>
      <c r="IN954" s="16"/>
      <c r="IO954" s="16"/>
      <c r="IP954" s="16"/>
      <c r="IQ954" s="16"/>
      <c r="IR954" s="17"/>
      <c r="IV954" s="24"/>
      <c r="IW954" s="60"/>
      <c r="IX954" s="16"/>
      <c r="IY954" s="16"/>
      <c r="IZ954" s="16"/>
      <c r="JA954" s="16"/>
      <c r="JB954" s="16"/>
      <c r="JC954" s="17"/>
      <c r="JG954" s="24"/>
      <c r="JH954" s="60"/>
      <c r="JI954" s="16"/>
      <c r="JJ954" s="16"/>
      <c r="JK954" s="16"/>
      <c r="JL954" s="16"/>
      <c r="JM954" s="16"/>
      <c r="JN954" s="17"/>
      <c r="JR954" s="24"/>
      <c r="JS954" s="60"/>
      <c r="JT954" s="16"/>
      <c r="JU954" s="16"/>
      <c r="JV954" s="16"/>
      <c r="JW954" s="16"/>
      <c r="JX954" s="16"/>
      <c r="JY954" s="17"/>
      <c r="KC954" s="24"/>
      <c r="KD954" s="60"/>
      <c r="KE954" s="16"/>
      <c r="KF954" s="16"/>
      <c r="KG954" s="16"/>
      <c r="KH954" s="16"/>
      <c r="KI954" s="16"/>
      <c r="KJ954" s="17"/>
      <c r="KN954" s="24"/>
      <c r="KO954" s="60"/>
      <c r="KP954" s="16"/>
      <c r="KQ954" s="16"/>
      <c r="KR954" s="16"/>
      <c r="KS954" s="16"/>
      <c r="KT954" s="16"/>
      <c r="KU954" s="17"/>
      <c r="KY954" s="24"/>
      <c r="KZ954" s="60"/>
      <c r="LA954" s="16"/>
      <c r="LB954" s="16"/>
      <c r="LC954" s="16"/>
      <c r="LD954" s="16"/>
      <c r="LE954" s="16"/>
      <c r="LF954" s="17"/>
      <c r="LJ954" s="24"/>
      <c r="LK954" s="60"/>
      <c r="LL954" s="16"/>
      <c r="LM954" s="16"/>
      <c r="LN954" s="16"/>
      <c r="LO954" s="16"/>
      <c r="LP954" s="16"/>
      <c r="LQ954" s="17"/>
    </row>
    <row r="955">
      <c r="C955" s="31"/>
      <c r="D955" s="61"/>
      <c r="E955" s="16"/>
      <c r="F955" s="16"/>
      <c r="G955" s="21"/>
      <c r="H955" s="16"/>
      <c r="I955" s="16"/>
      <c r="J955" s="17"/>
      <c r="N955" s="17"/>
      <c r="O955" s="61"/>
      <c r="P955" s="16"/>
      <c r="Q955" s="16"/>
      <c r="R955" s="16"/>
      <c r="S955" s="16"/>
      <c r="T955" s="16"/>
      <c r="U955" s="17"/>
      <c r="Y955" s="24"/>
      <c r="Z955" s="61"/>
      <c r="AA955" s="16"/>
      <c r="AB955" s="16"/>
      <c r="AC955" s="16"/>
      <c r="AD955" s="16"/>
      <c r="AE955" s="16"/>
      <c r="AF955" s="17"/>
      <c r="AJ955" s="24"/>
      <c r="AK955" s="61"/>
      <c r="AL955" s="16"/>
      <c r="AM955" s="16"/>
      <c r="AN955" s="16"/>
      <c r="AO955" s="16"/>
      <c r="AP955" s="16"/>
      <c r="AQ955" s="17"/>
      <c r="AU955" s="24"/>
      <c r="AV955" s="61"/>
      <c r="AW955" s="16"/>
      <c r="AX955" s="16"/>
      <c r="AY955" s="16"/>
      <c r="AZ955" s="16"/>
      <c r="BA955" s="16"/>
      <c r="BB955" s="17"/>
      <c r="BF955" s="24"/>
      <c r="BG955" s="61"/>
      <c r="BH955" s="16"/>
      <c r="BI955" s="16"/>
      <c r="BJ955" s="16"/>
      <c r="BK955" s="16"/>
      <c r="BL955" s="16"/>
      <c r="BM955" s="17"/>
      <c r="BQ955" s="24"/>
      <c r="BR955" s="61"/>
      <c r="BS955" s="16"/>
      <c r="BT955" s="16"/>
      <c r="BU955" s="16"/>
      <c r="BV955" s="16"/>
      <c r="BW955" s="16"/>
      <c r="BX955" s="17"/>
      <c r="CB955" s="24"/>
      <c r="CC955" s="61"/>
      <c r="CD955" s="16"/>
      <c r="CE955" s="16"/>
      <c r="CF955" s="16"/>
      <c r="CG955" s="16"/>
      <c r="CH955" s="16"/>
      <c r="CI955" s="17"/>
      <c r="CM955" s="24"/>
      <c r="CN955" s="61"/>
      <c r="CO955" s="16"/>
      <c r="CP955" s="16"/>
      <c r="CQ955" s="16"/>
      <c r="CR955" s="16"/>
      <c r="CS955" s="16"/>
      <c r="CT955" s="17"/>
      <c r="CX955" s="24"/>
      <c r="CY955" s="60"/>
      <c r="CZ955" s="16"/>
      <c r="DA955" s="16"/>
      <c r="DB955" s="16"/>
      <c r="DC955" s="16"/>
      <c r="DD955" s="16"/>
      <c r="DE955" s="17"/>
      <c r="DI955" s="24"/>
      <c r="DJ955" s="60"/>
      <c r="DK955" s="16"/>
      <c r="DL955" s="16"/>
      <c r="DM955" s="16"/>
      <c r="DN955" s="16"/>
      <c r="DO955" s="16"/>
      <c r="DP955" s="17"/>
      <c r="DT955" s="24"/>
      <c r="DU955" s="60"/>
      <c r="DV955" s="16"/>
      <c r="DW955" s="16"/>
      <c r="DX955" s="16"/>
      <c r="DY955" s="16"/>
      <c r="DZ955" s="16"/>
      <c r="EA955" s="17"/>
      <c r="EE955" s="24"/>
      <c r="EF955" s="60"/>
      <c r="EG955" s="16"/>
      <c r="EH955" s="16"/>
      <c r="EI955" s="16"/>
      <c r="EJ955" s="16"/>
      <c r="EK955" s="16"/>
      <c r="EL955" s="17"/>
      <c r="EP955" s="24"/>
      <c r="EQ955" s="60"/>
      <c r="ER955" s="16"/>
      <c r="ES955" s="16"/>
      <c r="ET955" s="16"/>
      <c r="EU955" s="16"/>
      <c r="EV955" s="16"/>
      <c r="EW955" s="17"/>
      <c r="FA955" s="24"/>
      <c r="FB955" s="60"/>
      <c r="FC955" s="16"/>
      <c r="FD955" s="16"/>
      <c r="FE955" s="16"/>
      <c r="FF955" s="16"/>
      <c r="FG955" s="16"/>
      <c r="FH955" s="17"/>
      <c r="FL955" s="24"/>
      <c r="FM955" s="60"/>
      <c r="FN955" s="16"/>
      <c r="FO955" s="16"/>
      <c r="FP955" s="16"/>
      <c r="FQ955" s="16"/>
      <c r="FR955" s="16"/>
      <c r="FS955" s="17"/>
      <c r="FW955" s="24"/>
      <c r="FX955" s="60"/>
      <c r="FY955" s="16"/>
      <c r="FZ955" s="16"/>
      <c r="GA955" s="16"/>
      <c r="GB955" s="16"/>
      <c r="GC955" s="16"/>
      <c r="GD955" s="17"/>
      <c r="GH955" s="24"/>
      <c r="GI955" s="60"/>
      <c r="GJ955" s="16"/>
      <c r="GK955" s="16"/>
      <c r="GL955" s="16"/>
      <c r="GM955" s="16"/>
      <c r="GN955" s="16"/>
      <c r="GO955" s="17"/>
      <c r="GS955" s="24"/>
      <c r="GT955" s="60"/>
      <c r="GU955" s="16"/>
      <c r="GV955" s="16"/>
      <c r="GW955" s="16"/>
      <c r="GX955" s="16"/>
      <c r="GY955" s="16"/>
      <c r="GZ955" s="17"/>
      <c r="HD955" s="24"/>
      <c r="HE955" s="60"/>
      <c r="HF955" s="16"/>
      <c r="HG955" s="16"/>
      <c r="HH955" s="16"/>
      <c r="HI955" s="16"/>
      <c r="HJ955" s="16"/>
      <c r="HK955" s="17"/>
      <c r="HO955" s="24"/>
      <c r="HP955" s="60"/>
      <c r="HQ955" s="16"/>
      <c r="HR955" s="16"/>
      <c r="HS955" s="16"/>
      <c r="HT955" s="16"/>
      <c r="HU955" s="16"/>
      <c r="HV955" s="17"/>
      <c r="HZ955" s="24"/>
      <c r="IA955" s="60"/>
      <c r="IB955" s="16"/>
      <c r="IC955" s="16"/>
      <c r="ID955" s="16"/>
      <c r="IE955" s="16"/>
      <c r="IF955" s="16"/>
      <c r="IG955" s="17"/>
      <c r="IK955" s="24"/>
      <c r="IL955" s="60"/>
      <c r="IM955" s="16"/>
      <c r="IN955" s="16"/>
      <c r="IO955" s="16"/>
      <c r="IP955" s="16"/>
      <c r="IQ955" s="16"/>
      <c r="IR955" s="17"/>
      <c r="IV955" s="24"/>
      <c r="IW955" s="60"/>
      <c r="IX955" s="16"/>
      <c r="IY955" s="16"/>
      <c r="IZ955" s="16"/>
      <c r="JA955" s="16"/>
      <c r="JB955" s="16"/>
      <c r="JC955" s="17"/>
      <c r="JG955" s="24"/>
      <c r="JH955" s="60"/>
      <c r="JI955" s="16"/>
      <c r="JJ955" s="16"/>
      <c r="JK955" s="16"/>
      <c r="JL955" s="16"/>
      <c r="JM955" s="16"/>
      <c r="JN955" s="17"/>
      <c r="JR955" s="24"/>
      <c r="JS955" s="60"/>
      <c r="JT955" s="16"/>
      <c r="JU955" s="16"/>
      <c r="JV955" s="16"/>
      <c r="JW955" s="16"/>
      <c r="JX955" s="16"/>
      <c r="JY955" s="17"/>
      <c r="KC955" s="24"/>
      <c r="KD955" s="60"/>
      <c r="KE955" s="16"/>
      <c r="KF955" s="16"/>
      <c r="KG955" s="16"/>
      <c r="KH955" s="16"/>
      <c r="KI955" s="16"/>
      <c r="KJ955" s="17"/>
      <c r="KN955" s="24"/>
      <c r="KO955" s="60"/>
      <c r="KP955" s="16"/>
      <c r="KQ955" s="16"/>
      <c r="KR955" s="16"/>
      <c r="KS955" s="16"/>
      <c r="KT955" s="16"/>
      <c r="KU955" s="17"/>
      <c r="KY955" s="24"/>
      <c r="KZ955" s="60"/>
      <c r="LA955" s="16"/>
      <c r="LB955" s="16"/>
      <c r="LC955" s="16"/>
      <c r="LD955" s="16"/>
      <c r="LE955" s="16"/>
      <c r="LF955" s="17"/>
      <c r="LJ955" s="24"/>
      <c r="LK955" s="60"/>
      <c r="LL955" s="16"/>
      <c r="LM955" s="16"/>
      <c r="LN955" s="16"/>
      <c r="LO955" s="16"/>
      <c r="LP955" s="16"/>
      <c r="LQ955" s="17"/>
    </row>
    <row r="956">
      <c r="C956" s="31"/>
      <c r="D956" s="61"/>
      <c r="E956" s="16"/>
      <c r="F956" s="16"/>
      <c r="G956" s="21"/>
      <c r="H956" s="16"/>
      <c r="I956" s="16"/>
      <c r="J956" s="17"/>
      <c r="N956" s="17"/>
      <c r="O956" s="61"/>
      <c r="P956" s="16"/>
      <c r="Q956" s="16"/>
      <c r="R956" s="16"/>
      <c r="S956" s="16"/>
      <c r="T956" s="16"/>
      <c r="U956" s="17"/>
      <c r="Y956" s="24"/>
      <c r="Z956" s="61"/>
      <c r="AA956" s="16"/>
      <c r="AB956" s="16"/>
      <c r="AC956" s="16"/>
      <c r="AD956" s="16"/>
      <c r="AE956" s="16"/>
      <c r="AF956" s="17"/>
      <c r="AJ956" s="24"/>
      <c r="AK956" s="61"/>
      <c r="AL956" s="16"/>
      <c r="AM956" s="16"/>
      <c r="AN956" s="16"/>
      <c r="AO956" s="16"/>
      <c r="AP956" s="16"/>
      <c r="AQ956" s="17"/>
      <c r="AU956" s="24"/>
      <c r="AV956" s="61"/>
      <c r="AW956" s="16"/>
      <c r="AX956" s="16"/>
      <c r="AY956" s="16"/>
      <c r="AZ956" s="16"/>
      <c r="BA956" s="16"/>
      <c r="BB956" s="17"/>
      <c r="BF956" s="24"/>
      <c r="BG956" s="61"/>
      <c r="BH956" s="16"/>
      <c r="BI956" s="16"/>
      <c r="BJ956" s="16"/>
      <c r="BK956" s="16"/>
      <c r="BL956" s="16"/>
      <c r="BM956" s="17"/>
      <c r="BQ956" s="24"/>
      <c r="BR956" s="61"/>
      <c r="BS956" s="16"/>
      <c r="BT956" s="16"/>
      <c r="BU956" s="16"/>
      <c r="BV956" s="16"/>
      <c r="BW956" s="16"/>
      <c r="BX956" s="17"/>
      <c r="CB956" s="24"/>
      <c r="CC956" s="61"/>
      <c r="CD956" s="16"/>
      <c r="CE956" s="16"/>
      <c r="CF956" s="16"/>
      <c r="CG956" s="16"/>
      <c r="CH956" s="16"/>
      <c r="CI956" s="17"/>
      <c r="CM956" s="24"/>
      <c r="CN956" s="61"/>
      <c r="CO956" s="16"/>
      <c r="CP956" s="16"/>
      <c r="CQ956" s="16"/>
      <c r="CR956" s="16"/>
      <c r="CS956" s="16"/>
      <c r="CT956" s="17"/>
      <c r="CX956" s="24"/>
      <c r="CY956" s="60"/>
      <c r="CZ956" s="16"/>
      <c r="DA956" s="16"/>
      <c r="DB956" s="16"/>
      <c r="DC956" s="16"/>
      <c r="DD956" s="16"/>
      <c r="DE956" s="17"/>
      <c r="DI956" s="24"/>
      <c r="DJ956" s="60"/>
      <c r="DK956" s="16"/>
      <c r="DL956" s="16"/>
      <c r="DM956" s="16"/>
      <c r="DN956" s="16"/>
      <c r="DO956" s="16"/>
      <c r="DP956" s="17"/>
      <c r="DT956" s="24"/>
      <c r="DU956" s="60"/>
      <c r="DV956" s="16"/>
      <c r="DW956" s="16"/>
      <c r="DX956" s="16"/>
      <c r="DY956" s="16"/>
      <c r="DZ956" s="16"/>
      <c r="EA956" s="17"/>
      <c r="EE956" s="24"/>
      <c r="EF956" s="60"/>
      <c r="EG956" s="16"/>
      <c r="EH956" s="16"/>
      <c r="EI956" s="16"/>
      <c r="EJ956" s="16"/>
      <c r="EK956" s="16"/>
      <c r="EL956" s="17"/>
      <c r="EP956" s="24"/>
      <c r="EQ956" s="60"/>
      <c r="ER956" s="16"/>
      <c r="ES956" s="16"/>
      <c r="ET956" s="16"/>
      <c r="EU956" s="16"/>
      <c r="EV956" s="16"/>
      <c r="EW956" s="17"/>
      <c r="FA956" s="24"/>
      <c r="FB956" s="60"/>
      <c r="FC956" s="16"/>
      <c r="FD956" s="16"/>
      <c r="FE956" s="16"/>
      <c r="FF956" s="16"/>
      <c r="FG956" s="16"/>
      <c r="FH956" s="17"/>
      <c r="FL956" s="24"/>
      <c r="FM956" s="60"/>
      <c r="FN956" s="16"/>
      <c r="FO956" s="16"/>
      <c r="FP956" s="16"/>
      <c r="FQ956" s="16"/>
      <c r="FR956" s="16"/>
      <c r="FS956" s="17"/>
      <c r="FW956" s="24"/>
      <c r="FX956" s="60"/>
      <c r="FY956" s="16"/>
      <c r="FZ956" s="16"/>
      <c r="GA956" s="16"/>
      <c r="GB956" s="16"/>
      <c r="GC956" s="16"/>
      <c r="GD956" s="17"/>
      <c r="GH956" s="24"/>
      <c r="GI956" s="60"/>
      <c r="GJ956" s="16"/>
      <c r="GK956" s="16"/>
      <c r="GL956" s="16"/>
      <c r="GM956" s="16"/>
      <c r="GN956" s="16"/>
      <c r="GO956" s="17"/>
      <c r="GS956" s="24"/>
      <c r="GT956" s="60"/>
      <c r="GU956" s="16"/>
      <c r="GV956" s="16"/>
      <c r="GW956" s="16"/>
      <c r="GX956" s="16"/>
      <c r="GY956" s="16"/>
      <c r="GZ956" s="17"/>
      <c r="HD956" s="24"/>
      <c r="HE956" s="60"/>
      <c r="HF956" s="16"/>
      <c r="HG956" s="16"/>
      <c r="HH956" s="16"/>
      <c r="HI956" s="16"/>
      <c r="HJ956" s="16"/>
      <c r="HK956" s="17"/>
      <c r="HO956" s="24"/>
      <c r="HP956" s="60"/>
      <c r="HQ956" s="16"/>
      <c r="HR956" s="16"/>
      <c r="HS956" s="16"/>
      <c r="HT956" s="16"/>
      <c r="HU956" s="16"/>
      <c r="HV956" s="17"/>
      <c r="HZ956" s="24"/>
      <c r="IA956" s="60"/>
      <c r="IB956" s="16"/>
      <c r="IC956" s="16"/>
      <c r="ID956" s="16"/>
      <c r="IE956" s="16"/>
      <c r="IF956" s="16"/>
      <c r="IG956" s="17"/>
      <c r="IK956" s="24"/>
      <c r="IL956" s="60"/>
      <c r="IM956" s="16"/>
      <c r="IN956" s="16"/>
      <c r="IO956" s="16"/>
      <c r="IP956" s="16"/>
      <c r="IQ956" s="16"/>
      <c r="IR956" s="17"/>
      <c r="IV956" s="24"/>
      <c r="IW956" s="60"/>
      <c r="IX956" s="16"/>
      <c r="IY956" s="16"/>
      <c r="IZ956" s="16"/>
      <c r="JA956" s="16"/>
      <c r="JB956" s="16"/>
      <c r="JC956" s="17"/>
      <c r="JG956" s="24"/>
      <c r="JH956" s="60"/>
      <c r="JI956" s="16"/>
      <c r="JJ956" s="16"/>
      <c r="JK956" s="16"/>
      <c r="JL956" s="16"/>
      <c r="JM956" s="16"/>
      <c r="JN956" s="17"/>
      <c r="JR956" s="24"/>
      <c r="JS956" s="60"/>
      <c r="JT956" s="16"/>
      <c r="JU956" s="16"/>
      <c r="JV956" s="16"/>
      <c r="JW956" s="16"/>
      <c r="JX956" s="16"/>
      <c r="JY956" s="17"/>
      <c r="KC956" s="24"/>
      <c r="KD956" s="60"/>
      <c r="KE956" s="16"/>
      <c r="KF956" s="16"/>
      <c r="KG956" s="16"/>
      <c r="KH956" s="16"/>
      <c r="KI956" s="16"/>
      <c r="KJ956" s="17"/>
      <c r="KN956" s="24"/>
      <c r="KO956" s="60"/>
      <c r="KP956" s="16"/>
      <c r="KQ956" s="16"/>
      <c r="KR956" s="16"/>
      <c r="KS956" s="16"/>
      <c r="KT956" s="16"/>
      <c r="KU956" s="17"/>
      <c r="KY956" s="24"/>
      <c r="KZ956" s="60"/>
      <c r="LA956" s="16"/>
      <c r="LB956" s="16"/>
      <c r="LC956" s="16"/>
      <c r="LD956" s="16"/>
      <c r="LE956" s="16"/>
      <c r="LF956" s="17"/>
      <c r="LJ956" s="24"/>
      <c r="LK956" s="60"/>
      <c r="LL956" s="16"/>
      <c r="LM956" s="16"/>
      <c r="LN956" s="16"/>
      <c r="LO956" s="16"/>
      <c r="LP956" s="16"/>
      <c r="LQ956" s="17"/>
    </row>
    <row r="957">
      <c r="C957" s="31"/>
      <c r="D957" s="61"/>
      <c r="E957" s="16"/>
      <c r="F957" s="16"/>
      <c r="G957" s="21"/>
      <c r="H957" s="16"/>
      <c r="I957" s="16"/>
      <c r="J957" s="17"/>
      <c r="N957" s="17"/>
      <c r="O957" s="61"/>
      <c r="P957" s="16"/>
      <c r="Q957" s="16"/>
      <c r="R957" s="16"/>
      <c r="S957" s="16"/>
      <c r="T957" s="16"/>
      <c r="U957" s="17"/>
      <c r="Y957" s="24"/>
      <c r="Z957" s="61"/>
      <c r="AA957" s="16"/>
      <c r="AB957" s="16"/>
      <c r="AC957" s="16"/>
      <c r="AD957" s="16"/>
      <c r="AE957" s="16"/>
      <c r="AF957" s="17"/>
      <c r="AJ957" s="24"/>
      <c r="AK957" s="61"/>
      <c r="AL957" s="16"/>
      <c r="AM957" s="16"/>
      <c r="AN957" s="16"/>
      <c r="AO957" s="16"/>
      <c r="AP957" s="16"/>
      <c r="AQ957" s="17"/>
      <c r="AU957" s="24"/>
      <c r="AV957" s="61"/>
      <c r="AW957" s="16"/>
      <c r="AX957" s="16"/>
      <c r="AY957" s="16"/>
      <c r="AZ957" s="16"/>
      <c r="BA957" s="16"/>
      <c r="BB957" s="17"/>
      <c r="BF957" s="24"/>
      <c r="BG957" s="61"/>
      <c r="BH957" s="16"/>
      <c r="BI957" s="16"/>
      <c r="BJ957" s="16"/>
      <c r="BK957" s="16"/>
      <c r="BL957" s="16"/>
      <c r="BM957" s="17"/>
      <c r="BQ957" s="24"/>
      <c r="BR957" s="61"/>
      <c r="BS957" s="16"/>
      <c r="BT957" s="16"/>
      <c r="BU957" s="16"/>
      <c r="BV957" s="16"/>
      <c r="BW957" s="16"/>
      <c r="BX957" s="17"/>
      <c r="CB957" s="24"/>
      <c r="CC957" s="61"/>
      <c r="CD957" s="16"/>
      <c r="CE957" s="16"/>
      <c r="CF957" s="16"/>
      <c r="CG957" s="16"/>
      <c r="CH957" s="16"/>
      <c r="CI957" s="17"/>
      <c r="CM957" s="24"/>
      <c r="CN957" s="61"/>
      <c r="CO957" s="16"/>
      <c r="CP957" s="16"/>
      <c r="CQ957" s="16"/>
      <c r="CR957" s="16"/>
      <c r="CS957" s="16"/>
      <c r="CT957" s="17"/>
      <c r="CX957" s="24"/>
      <c r="CY957" s="60"/>
      <c r="CZ957" s="16"/>
      <c r="DA957" s="16"/>
      <c r="DB957" s="16"/>
      <c r="DC957" s="16"/>
      <c r="DD957" s="16"/>
      <c r="DE957" s="17"/>
      <c r="DI957" s="24"/>
      <c r="DJ957" s="60"/>
      <c r="DK957" s="16"/>
      <c r="DL957" s="16"/>
      <c r="DM957" s="16"/>
      <c r="DN957" s="16"/>
      <c r="DO957" s="16"/>
      <c r="DP957" s="17"/>
      <c r="DT957" s="24"/>
      <c r="DU957" s="60"/>
      <c r="DV957" s="16"/>
      <c r="DW957" s="16"/>
      <c r="DX957" s="16"/>
      <c r="DY957" s="16"/>
      <c r="DZ957" s="16"/>
      <c r="EA957" s="17"/>
      <c r="EE957" s="24"/>
      <c r="EF957" s="60"/>
      <c r="EG957" s="16"/>
      <c r="EH957" s="16"/>
      <c r="EI957" s="16"/>
      <c r="EJ957" s="16"/>
      <c r="EK957" s="16"/>
      <c r="EL957" s="17"/>
      <c r="EP957" s="24"/>
      <c r="EQ957" s="60"/>
      <c r="ER957" s="16"/>
      <c r="ES957" s="16"/>
      <c r="ET957" s="16"/>
      <c r="EU957" s="16"/>
      <c r="EV957" s="16"/>
      <c r="EW957" s="17"/>
      <c r="FA957" s="24"/>
      <c r="FB957" s="60"/>
      <c r="FC957" s="16"/>
      <c r="FD957" s="16"/>
      <c r="FE957" s="16"/>
      <c r="FF957" s="16"/>
      <c r="FG957" s="16"/>
      <c r="FH957" s="17"/>
      <c r="FL957" s="24"/>
      <c r="FM957" s="60"/>
      <c r="FN957" s="16"/>
      <c r="FO957" s="16"/>
      <c r="FP957" s="16"/>
      <c r="FQ957" s="16"/>
      <c r="FR957" s="16"/>
      <c r="FS957" s="17"/>
      <c r="FW957" s="24"/>
      <c r="FX957" s="60"/>
      <c r="FY957" s="16"/>
      <c r="FZ957" s="16"/>
      <c r="GA957" s="16"/>
      <c r="GB957" s="16"/>
      <c r="GC957" s="16"/>
      <c r="GD957" s="17"/>
      <c r="GH957" s="24"/>
      <c r="GI957" s="60"/>
      <c r="GJ957" s="16"/>
      <c r="GK957" s="16"/>
      <c r="GL957" s="16"/>
      <c r="GM957" s="16"/>
      <c r="GN957" s="16"/>
      <c r="GO957" s="17"/>
      <c r="GS957" s="24"/>
      <c r="GT957" s="60"/>
      <c r="GU957" s="16"/>
      <c r="GV957" s="16"/>
      <c r="GW957" s="16"/>
      <c r="GX957" s="16"/>
      <c r="GY957" s="16"/>
      <c r="GZ957" s="17"/>
      <c r="HD957" s="24"/>
      <c r="HE957" s="60"/>
      <c r="HF957" s="16"/>
      <c r="HG957" s="16"/>
      <c r="HH957" s="16"/>
      <c r="HI957" s="16"/>
      <c r="HJ957" s="16"/>
      <c r="HK957" s="17"/>
      <c r="HO957" s="24"/>
      <c r="HP957" s="60"/>
      <c r="HQ957" s="16"/>
      <c r="HR957" s="16"/>
      <c r="HS957" s="16"/>
      <c r="HT957" s="16"/>
      <c r="HU957" s="16"/>
      <c r="HV957" s="17"/>
      <c r="HZ957" s="24"/>
      <c r="IA957" s="60"/>
      <c r="IB957" s="16"/>
      <c r="IC957" s="16"/>
      <c r="ID957" s="16"/>
      <c r="IE957" s="16"/>
      <c r="IF957" s="16"/>
      <c r="IG957" s="17"/>
      <c r="IK957" s="24"/>
      <c r="IL957" s="60"/>
      <c r="IM957" s="16"/>
      <c r="IN957" s="16"/>
      <c r="IO957" s="16"/>
      <c r="IP957" s="16"/>
      <c r="IQ957" s="16"/>
      <c r="IR957" s="17"/>
      <c r="IV957" s="24"/>
      <c r="IW957" s="60"/>
      <c r="IX957" s="16"/>
      <c r="IY957" s="16"/>
      <c r="IZ957" s="16"/>
      <c r="JA957" s="16"/>
      <c r="JB957" s="16"/>
      <c r="JC957" s="17"/>
      <c r="JG957" s="24"/>
      <c r="JH957" s="60"/>
      <c r="JI957" s="16"/>
      <c r="JJ957" s="16"/>
      <c r="JK957" s="16"/>
      <c r="JL957" s="16"/>
      <c r="JM957" s="16"/>
      <c r="JN957" s="17"/>
      <c r="JR957" s="24"/>
      <c r="JS957" s="60"/>
      <c r="JT957" s="16"/>
      <c r="JU957" s="16"/>
      <c r="JV957" s="16"/>
      <c r="JW957" s="16"/>
      <c r="JX957" s="16"/>
      <c r="JY957" s="17"/>
      <c r="KC957" s="24"/>
      <c r="KD957" s="60"/>
      <c r="KE957" s="16"/>
      <c r="KF957" s="16"/>
      <c r="KG957" s="16"/>
      <c r="KH957" s="16"/>
      <c r="KI957" s="16"/>
      <c r="KJ957" s="17"/>
      <c r="KN957" s="24"/>
      <c r="KO957" s="60"/>
      <c r="KP957" s="16"/>
      <c r="KQ957" s="16"/>
      <c r="KR957" s="16"/>
      <c r="KS957" s="16"/>
      <c r="KT957" s="16"/>
      <c r="KU957" s="17"/>
      <c r="KY957" s="24"/>
      <c r="KZ957" s="60"/>
      <c r="LA957" s="16"/>
      <c r="LB957" s="16"/>
      <c r="LC957" s="16"/>
      <c r="LD957" s="16"/>
      <c r="LE957" s="16"/>
      <c r="LF957" s="17"/>
      <c r="LJ957" s="24"/>
      <c r="LK957" s="60"/>
      <c r="LL957" s="16"/>
      <c r="LM957" s="16"/>
      <c r="LN957" s="16"/>
      <c r="LO957" s="16"/>
      <c r="LP957" s="16"/>
      <c r="LQ957" s="17"/>
    </row>
    <row r="958">
      <c r="C958" s="31"/>
      <c r="D958" s="61"/>
      <c r="E958" s="16"/>
      <c r="F958" s="16"/>
      <c r="G958" s="21"/>
      <c r="H958" s="16"/>
      <c r="I958" s="16"/>
      <c r="J958" s="17"/>
      <c r="N958" s="17"/>
      <c r="O958" s="61"/>
      <c r="P958" s="16"/>
      <c r="Q958" s="16"/>
      <c r="R958" s="16"/>
      <c r="S958" s="16"/>
      <c r="T958" s="16"/>
      <c r="U958" s="17"/>
      <c r="Y958" s="24"/>
      <c r="Z958" s="61"/>
      <c r="AA958" s="16"/>
      <c r="AB958" s="16"/>
      <c r="AC958" s="16"/>
      <c r="AD958" s="16"/>
      <c r="AE958" s="16"/>
      <c r="AF958" s="17"/>
      <c r="AJ958" s="24"/>
      <c r="AK958" s="61"/>
      <c r="AL958" s="16"/>
      <c r="AM958" s="16"/>
      <c r="AN958" s="16"/>
      <c r="AO958" s="16"/>
      <c r="AP958" s="16"/>
      <c r="AQ958" s="17"/>
      <c r="AU958" s="24"/>
      <c r="AV958" s="61"/>
      <c r="AW958" s="16"/>
      <c r="AX958" s="16"/>
      <c r="AY958" s="16"/>
      <c r="AZ958" s="16"/>
      <c r="BA958" s="16"/>
      <c r="BB958" s="17"/>
      <c r="BF958" s="24"/>
      <c r="BG958" s="61"/>
      <c r="BH958" s="16"/>
      <c r="BI958" s="16"/>
      <c r="BJ958" s="16"/>
      <c r="BK958" s="16"/>
      <c r="BL958" s="16"/>
      <c r="BM958" s="17"/>
      <c r="BQ958" s="24"/>
      <c r="BR958" s="61"/>
      <c r="BS958" s="16"/>
      <c r="BT958" s="16"/>
      <c r="BU958" s="16"/>
      <c r="BV958" s="16"/>
      <c r="BW958" s="16"/>
      <c r="BX958" s="17"/>
      <c r="CB958" s="24"/>
      <c r="CC958" s="61"/>
      <c r="CD958" s="16"/>
      <c r="CE958" s="16"/>
      <c r="CF958" s="16"/>
      <c r="CG958" s="16"/>
      <c r="CH958" s="16"/>
      <c r="CI958" s="17"/>
      <c r="CM958" s="24"/>
      <c r="CN958" s="61"/>
      <c r="CO958" s="16"/>
      <c r="CP958" s="16"/>
      <c r="CQ958" s="16"/>
      <c r="CR958" s="16"/>
      <c r="CS958" s="16"/>
      <c r="CT958" s="17"/>
      <c r="CX958" s="24"/>
      <c r="CY958" s="60"/>
      <c r="CZ958" s="16"/>
      <c r="DA958" s="16"/>
      <c r="DB958" s="16"/>
      <c r="DC958" s="16"/>
      <c r="DD958" s="16"/>
      <c r="DE958" s="17"/>
      <c r="DI958" s="24"/>
      <c r="DJ958" s="60"/>
      <c r="DK958" s="16"/>
      <c r="DL958" s="16"/>
      <c r="DM958" s="16"/>
      <c r="DN958" s="16"/>
      <c r="DO958" s="16"/>
      <c r="DP958" s="17"/>
      <c r="DT958" s="24"/>
      <c r="DU958" s="60"/>
      <c r="DV958" s="16"/>
      <c r="DW958" s="16"/>
      <c r="DX958" s="16"/>
      <c r="DY958" s="16"/>
      <c r="DZ958" s="16"/>
      <c r="EA958" s="17"/>
      <c r="EE958" s="24"/>
      <c r="EF958" s="60"/>
      <c r="EG958" s="16"/>
      <c r="EH958" s="16"/>
      <c r="EI958" s="16"/>
      <c r="EJ958" s="16"/>
      <c r="EK958" s="16"/>
      <c r="EL958" s="17"/>
      <c r="EP958" s="24"/>
      <c r="EQ958" s="60"/>
      <c r="ER958" s="16"/>
      <c r="ES958" s="16"/>
      <c r="ET958" s="16"/>
      <c r="EU958" s="16"/>
      <c r="EV958" s="16"/>
      <c r="EW958" s="17"/>
      <c r="FA958" s="24"/>
      <c r="FB958" s="60"/>
      <c r="FC958" s="16"/>
      <c r="FD958" s="16"/>
      <c r="FE958" s="16"/>
      <c r="FF958" s="16"/>
      <c r="FG958" s="16"/>
      <c r="FH958" s="17"/>
      <c r="FL958" s="24"/>
      <c r="FM958" s="60"/>
      <c r="FN958" s="16"/>
      <c r="FO958" s="16"/>
      <c r="FP958" s="16"/>
      <c r="FQ958" s="16"/>
      <c r="FR958" s="16"/>
      <c r="FS958" s="17"/>
      <c r="FW958" s="24"/>
      <c r="FX958" s="60"/>
      <c r="FY958" s="16"/>
      <c r="FZ958" s="16"/>
      <c r="GA958" s="16"/>
      <c r="GB958" s="16"/>
      <c r="GC958" s="16"/>
      <c r="GD958" s="17"/>
      <c r="GH958" s="24"/>
      <c r="GI958" s="60"/>
      <c r="GJ958" s="16"/>
      <c r="GK958" s="16"/>
      <c r="GL958" s="16"/>
      <c r="GM958" s="16"/>
      <c r="GN958" s="16"/>
      <c r="GO958" s="17"/>
      <c r="GS958" s="24"/>
      <c r="GT958" s="60"/>
      <c r="GU958" s="16"/>
      <c r="GV958" s="16"/>
      <c r="GW958" s="16"/>
      <c r="GX958" s="16"/>
      <c r="GY958" s="16"/>
      <c r="GZ958" s="17"/>
      <c r="HD958" s="24"/>
      <c r="HE958" s="60"/>
      <c r="HF958" s="16"/>
      <c r="HG958" s="16"/>
      <c r="HH958" s="16"/>
      <c r="HI958" s="16"/>
      <c r="HJ958" s="16"/>
      <c r="HK958" s="17"/>
      <c r="HO958" s="24"/>
      <c r="HP958" s="60"/>
      <c r="HQ958" s="16"/>
      <c r="HR958" s="16"/>
      <c r="HS958" s="16"/>
      <c r="HT958" s="16"/>
      <c r="HU958" s="16"/>
      <c r="HV958" s="17"/>
      <c r="HZ958" s="24"/>
      <c r="IA958" s="60"/>
      <c r="IB958" s="16"/>
      <c r="IC958" s="16"/>
      <c r="ID958" s="16"/>
      <c r="IE958" s="16"/>
      <c r="IF958" s="16"/>
      <c r="IG958" s="17"/>
      <c r="IK958" s="24"/>
      <c r="IL958" s="60"/>
      <c r="IM958" s="16"/>
      <c r="IN958" s="16"/>
      <c r="IO958" s="16"/>
      <c r="IP958" s="16"/>
      <c r="IQ958" s="16"/>
      <c r="IR958" s="17"/>
      <c r="IV958" s="24"/>
      <c r="IW958" s="60"/>
      <c r="IX958" s="16"/>
      <c r="IY958" s="16"/>
      <c r="IZ958" s="16"/>
      <c r="JA958" s="16"/>
      <c r="JB958" s="16"/>
      <c r="JC958" s="17"/>
      <c r="JG958" s="24"/>
      <c r="JH958" s="60"/>
      <c r="JI958" s="16"/>
      <c r="JJ958" s="16"/>
      <c r="JK958" s="16"/>
      <c r="JL958" s="16"/>
      <c r="JM958" s="16"/>
      <c r="JN958" s="17"/>
      <c r="JR958" s="24"/>
      <c r="JS958" s="60"/>
      <c r="JT958" s="16"/>
      <c r="JU958" s="16"/>
      <c r="JV958" s="16"/>
      <c r="JW958" s="16"/>
      <c r="JX958" s="16"/>
      <c r="JY958" s="17"/>
      <c r="KC958" s="24"/>
      <c r="KD958" s="60"/>
      <c r="KE958" s="16"/>
      <c r="KF958" s="16"/>
      <c r="KG958" s="16"/>
      <c r="KH958" s="16"/>
      <c r="KI958" s="16"/>
      <c r="KJ958" s="17"/>
      <c r="KN958" s="24"/>
      <c r="KO958" s="60"/>
      <c r="KP958" s="16"/>
      <c r="KQ958" s="16"/>
      <c r="KR958" s="16"/>
      <c r="KS958" s="16"/>
      <c r="KT958" s="16"/>
      <c r="KU958" s="17"/>
      <c r="KY958" s="24"/>
      <c r="KZ958" s="60"/>
      <c r="LA958" s="16"/>
      <c r="LB958" s="16"/>
      <c r="LC958" s="16"/>
      <c r="LD958" s="16"/>
      <c r="LE958" s="16"/>
      <c r="LF958" s="17"/>
      <c r="LJ958" s="24"/>
      <c r="LK958" s="60"/>
      <c r="LL958" s="16"/>
      <c r="LM958" s="16"/>
      <c r="LN958" s="16"/>
      <c r="LO958" s="16"/>
      <c r="LP958" s="16"/>
      <c r="LQ958" s="17"/>
    </row>
    <row r="959">
      <c r="C959" s="31"/>
      <c r="D959" s="61"/>
      <c r="E959" s="16"/>
      <c r="F959" s="16"/>
      <c r="G959" s="21"/>
      <c r="H959" s="16"/>
      <c r="I959" s="16"/>
      <c r="J959" s="17"/>
      <c r="N959" s="17"/>
      <c r="O959" s="61"/>
      <c r="P959" s="16"/>
      <c r="Q959" s="16"/>
      <c r="R959" s="16"/>
      <c r="S959" s="16"/>
      <c r="T959" s="16"/>
      <c r="U959" s="17"/>
      <c r="Y959" s="24"/>
      <c r="Z959" s="61"/>
      <c r="AA959" s="16"/>
      <c r="AB959" s="16"/>
      <c r="AC959" s="16"/>
      <c r="AD959" s="16"/>
      <c r="AE959" s="16"/>
      <c r="AF959" s="17"/>
      <c r="AJ959" s="24"/>
      <c r="AK959" s="61"/>
      <c r="AL959" s="16"/>
      <c r="AM959" s="16"/>
      <c r="AN959" s="16"/>
      <c r="AO959" s="16"/>
      <c r="AP959" s="16"/>
      <c r="AQ959" s="17"/>
      <c r="AU959" s="24"/>
      <c r="AV959" s="61"/>
      <c r="AW959" s="16"/>
      <c r="AX959" s="16"/>
      <c r="AY959" s="16"/>
      <c r="AZ959" s="16"/>
      <c r="BA959" s="16"/>
      <c r="BB959" s="17"/>
      <c r="BF959" s="24"/>
      <c r="BG959" s="61"/>
      <c r="BH959" s="16"/>
      <c r="BI959" s="16"/>
      <c r="BJ959" s="16"/>
      <c r="BK959" s="16"/>
      <c r="BL959" s="16"/>
      <c r="BM959" s="17"/>
      <c r="BQ959" s="24"/>
      <c r="BR959" s="61"/>
      <c r="BS959" s="16"/>
      <c r="BT959" s="16"/>
      <c r="BU959" s="16"/>
      <c r="BV959" s="16"/>
      <c r="BW959" s="16"/>
      <c r="BX959" s="17"/>
      <c r="CB959" s="24"/>
      <c r="CC959" s="61"/>
      <c r="CD959" s="16"/>
      <c r="CE959" s="16"/>
      <c r="CF959" s="16"/>
      <c r="CG959" s="16"/>
      <c r="CH959" s="16"/>
      <c r="CI959" s="17"/>
      <c r="CM959" s="24"/>
      <c r="CN959" s="61"/>
      <c r="CO959" s="16"/>
      <c r="CP959" s="16"/>
      <c r="CQ959" s="16"/>
      <c r="CR959" s="16"/>
      <c r="CS959" s="16"/>
      <c r="CT959" s="17"/>
      <c r="CX959" s="24"/>
      <c r="CY959" s="60"/>
      <c r="CZ959" s="16"/>
      <c r="DA959" s="16"/>
      <c r="DB959" s="16"/>
      <c r="DC959" s="16"/>
      <c r="DD959" s="16"/>
      <c r="DE959" s="17"/>
      <c r="DI959" s="24"/>
      <c r="DJ959" s="60"/>
      <c r="DK959" s="16"/>
      <c r="DL959" s="16"/>
      <c r="DM959" s="16"/>
      <c r="DN959" s="16"/>
      <c r="DO959" s="16"/>
      <c r="DP959" s="17"/>
      <c r="DT959" s="24"/>
      <c r="DU959" s="60"/>
      <c r="DV959" s="16"/>
      <c r="DW959" s="16"/>
      <c r="DX959" s="16"/>
      <c r="DY959" s="16"/>
      <c r="DZ959" s="16"/>
      <c r="EA959" s="17"/>
      <c r="EE959" s="24"/>
      <c r="EF959" s="60"/>
      <c r="EG959" s="16"/>
      <c r="EH959" s="16"/>
      <c r="EI959" s="16"/>
      <c r="EJ959" s="16"/>
      <c r="EK959" s="16"/>
      <c r="EL959" s="17"/>
      <c r="EP959" s="24"/>
      <c r="EQ959" s="60"/>
      <c r="ER959" s="16"/>
      <c r="ES959" s="16"/>
      <c r="ET959" s="16"/>
      <c r="EU959" s="16"/>
      <c r="EV959" s="16"/>
      <c r="EW959" s="17"/>
      <c r="FA959" s="24"/>
      <c r="FB959" s="60"/>
      <c r="FC959" s="16"/>
      <c r="FD959" s="16"/>
      <c r="FE959" s="16"/>
      <c r="FF959" s="16"/>
      <c r="FG959" s="16"/>
      <c r="FH959" s="17"/>
      <c r="FL959" s="24"/>
      <c r="FM959" s="60"/>
      <c r="FN959" s="16"/>
      <c r="FO959" s="16"/>
      <c r="FP959" s="16"/>
      <c r="FQ959" s="16"/>
      <c r="FR959" s="16"/>
      <c r="FS959" s="17"/>
      <c r="FW959" s="24"/>
      <c r="FX959" s="60"/>
      <c r="FY959" s="16"/>
      <c r="FZ959" s="16"/>
      <c r="GA959" s="16"/>
      <c r="GB959" s="16"/>
      <c r="GC959" s="16"/>
      <c r="GD959" s="17"/>
      <c r="GH959" s="24"/>
      <c r="GI959" s="60"/>
      <c r="GJ959" s="16"/>
      <c r="GK959" s="16"/>
      <c r="GL959" s="16"/>
      <c r="GM959" s="16"/>
      <c r="GN959" s="16"/>
      <c r="GO959" s="17"/>
      <c r="GS959" s="24"/>
      <c r="GT959" s="60"/>
      <c r="GU959" s="16"/>
      <c r="GV959" s="16"/>
      <c r="GW959" s="16"/>
      <c r="GX959" s="16"/>
      <c r="GY959" s="16"/>
      <c r="GZ959" s="17"/>
      <c r="HD959" s="24"/>
      <c r="HE959" s="60"/>
      <c r="HF959" s="16"/>
      <c r="HG959" s="16"/>
      <c r="HH959" s="16"/>
      <c r="HI959" s="16"/>
      <c r="HJ959" s="16"/>
      <c r="HK959" s="17"/>
      <c r="HO959" s="24"/>
      <c r="HP959" s="60"/>
      <c r="HQ959" s="16"/>
      <c r="HR959" s="16"/>
      <c r="HS959" s="16"/>
      <c r="HT959" s="16"/>
      <c r="HU959" s="16"/>
      <c r="HV959" s="17"/>
      <c r="HZ959" s="24"/>
      <c r="IA959" s="60"/>
      <c r="IB959" s="16"/>
      <c r="IC959" s="16"/>
      <c r="ID959" s="16"/>
      <c r="IE959" s="16"/>
      <c r="IF959" s="16"/>
      <c r="IG959" s="17"/>
      <c r="IK959" s="24"/>
      <c r="IL959" s="60"/>
      <c r="IM959" s="16"/>
      <c r="IN959" s="16"/>
      <c r="IO959" s="16"/>
      <c r="IP959" s="16"/>
      <c r="IQ959" s="16"/>
      <c r="IR959" s="17"/>
      <c r="IV959" s="24"/>
      <c r="IW959" s="60"/>
      <c r="IX959" s="16"/>
      <c r="IY959" s="16"/>
      <c r="IZ959" s="16"/>
      <c r="JA959" s="16"/>
      <c r="JB959" s="16"/>
      <c r="JC959" s="17"/>
      <c r="JG959" s="24"/>
      <c r="JH959" s="60"/>
      <c r="JI959" s="16"/>
      <c r="JJ959" s="16"/>
      <c r="JK959" s="16"/>
      <c r="JL959" s="16"/>
      <c r="JM959" s="16"/>
      <c r="JN959" s="17"/>
      <c r="JR959" s="24"/>
      <c r="JS959" s="60"/>
      <c r="JT959" s="16"/>
      <c r="JU959" s="16"/>
      <c r="JV959" s="16"/>
      <c r="JW959" s="16"/>
      <c r="JX959" s="16"/>
      <c r="JY959" s="17"/>
      <c r="KC959" s="24"/>
      <c r="KD959" s="60"/>
      <c r="KE959" s="16"/>
      <c r="KF959" s="16"/>
      <c r="KG959" s="16"/>
      <c r="KH959" s="16"/>
      <c r="KI959" s="16"/>
      <c r="KJ959" s="17"/>
      <c r="KN959" s="24"/>
      <c r="KO959" s="60"/>
      <c r="KP959" s="16"/>
      <c r="KQ959" s="16"/>
      <c r="KR959" s="16"/>
      <c r="KS959" s="16"/>
      <c r="KT959" s="16"/>
      <c r="KU959" s="17"/>
      <c r="KY959" s="24"/>
      <c r="KZ959" s="60"/>
      <c r="LA959" s="16"/>
      <c r="LB959" s="16"/>
      <c r="LC959" s="16"/>
      <c r="LD959" s="16"/>
      <c r="LE959" s="16"/>
      <c r="LF959" s="17"/>
      <c r="LJ959" s="24"/>
      <c r="LK959" s="60"/>
      <c r="LL959" s="16"/>
      <c r="LM959" s="16"/>
      <c r="LN959" s="16"/>
      <c r="LO959" s="16"/>
      <c r="LP959" s="16"/>
      <c r="LQ959" s="17"/>
    </row>
    <row r="960">
      <c r="C960" s="31"/>
      <c r="D960" s="61"/>
      <c r="E960" s="16"/>
      <c r="F960" s="16"/>
      <c r="G960" s="21"/>
      <c r="H960" s="16"/>
      <c r="I960" s="16"/>
      <c r="J960" s="17"/>
      <c r="N960" s="17"/>
      <c r="O960" s="61"/>
      <c r="P960" s="16"/>
      <c r="Q960" s="16"/>
      <c r="R960" s="16"/>
      <c r="S960" s="16"/>
      <c r="T960" s="16"/>
      <c r="U960" s="17"/>
      <c r="Y960" s="24"/>
      <c r="Z960" s="61"/>
      <c r="AA960" s="16"/>
      <c r="AB960" s="16"/>
      <c r="AC960" s="16"/>
      <c r="AD960" s="16"/>
      <c r="AE960" s="16"/>
      <c r="AF960" s="17"/>
      <c r="AJ960" s="24"/>
      <c r="AK960" s="61"/>
      <c r="AL960" s="16"/>
      <c r="AM960" s="16"/>
      <c r="AN960" s="16"/>
      <c r="AO960" s="16"/>
      <c r="AP960" s="16"/>
      <c r="AQ960" s="17"/>
      <c r="AU960" s="24"/>
      <c r="AV960" s="61"/>
      <c r="AW960" s="16"/>
      <c r="AX960" s="16"/>
      <c r="AY960" s="16"/>
      <c r="AZ960" s="16"/>
      <c r="BA960" s="16"/>
      <c r="BB960" s="17"/>
      <c r="BF960" s="24"/>
      <c r="BG960" s="61"/>
      <c r="BH960" s="16"/>
      <c r="BI960" s="16"/>
      <c r="BJ960" s="16"/>
      <c r="BK960" s="16"/>
      <c r="BL960" s="16"/>
      <c r="BM960" s="17"/>
      <c r="BQ960" s="24"/>
      <c r="BR960" s="61"/>
      <c r="BS960" s="16"/>
      <c r="BT960" s="16"/>
      <c r="BU960" s="16"/>
      <c r="BV960" s="16"/>
      <c r="BW960" s="16"/>
      <c r="BX960" s="17"/>
      <c r="CB960" s="24"/>
      <c r="CC960" s="61"/>
      <c r="CD960" s="16"/>
      <c r="CE960" s="16"/>
      <c r="CF960" s="16"/>
      <c r="CG960" s="16"/>
      <c r="CH960" s="16"/>
      <c r="CI960" s="17"/>
      <c r="CM960" s="24"/>
      <c r="CN960" s="61"/>
      <c r="CO960" s="16"/>
      <c r="CP960" s="16"/>
      <c r="CQ960" s="16"/>
      <c r="CR960" s="16"/>
      <c r="CS960" s="16"/>
      <c r="CT960" s="17"/>
      <c r="CX960" s="24"/>
      <c r="CY960" s="60"/>
      <c r="CZ960" s="16"/>
      <c r="DA960" s="16"/>
      <c r="DB960" s="16"/>
      <c r="DC960" s="16"/>
      <c r="DD960" s="16"/>
      <c r="DE960" s="17"/>
      <c r="DI960" s="24"/>
      <c r="DJ960" s="60"/>
      <c r="DK960" s="16"/>
      <c r="DL960" s="16"/>
      <c r="DM960" s="16"/>
      <c r="DN960" s="16"/>
      <c r="DO960" s="16"/>
      <c r="DP960" s="17"/>
      <c r="DT960" s="24"/>
      <c r="DU960" s="60"/>
      <c r="DV960" s="16"/>
      <c r="DW960" s="16"/>
      <c r="DX960" s="16"/>
      <c r="DY960" s="16"/>
      <c r="DZ960" s="16"/>
      <c r="EA960" s="17"/>
      <c r="EE960" s="24"/>
      <c r="EF960" s="60"/>
      <c r="EG960" s="16"/>
      <c r="EH960" s="16"/>
      <c r="EI960" s="16"/>
      <c r="EJ960" s="16"/>
      <c r="EK960" s="16"/>
      <c r="EL960" s="17"/>
      <c r="EP960" s="24"/>
      <c r="EQ960" s="60"/>
      <c r="ER960" s="16"/>
      <c r="ES960" s="16"/>
      <c r="ET960" s="16"/>
      <c r="EU960" s="16"/>
      <c r="EV960" s="16"/>
      <c r="EW960" s="17"/>
      <c r="FA960" s="24"/>
      <c r="FB960" s="60"/>
      <c r="FC960" s="16"/>
      <c r="FD960" s="16"/>
      <c r="FE960" s="16"/>
      <c r="FF960" s="16"/>
      <c r="FG960" s="16"/>
      <c r="FH960" s="17"/>
      <c r="FL960" s="24"/>
      <c r="FM960" s="60"/>
      <c r="FN960" s="16"/>
      <c r="FO960" s="16"/>
      <c r="FP960" s="16"/>
      <c r="FQ960" s="16"/>
      <c r="FR960" s="16"/>
      <c r="FS960" s="17"/>
      <c r="FW960" s="24"/>
      <c r="FX960" s="60"/>
      <c r="FY960" s="16"/>
      <c r="FZ960" s="16"/>
      <c r="GA960" s="16"/>
      <c r="GB960" s="16"/>
      <c r="GC960" s="16"/>
      <c r="GD960" s="17"/>
      <c r="GH960" s="24"/>
      <c r="GI960" s="60"/>
      <c r="GJ960" s="16"/>
      <c r="GK960" s="16"/>
      <c r="GL960" s="16"/>
      <c r="GM960" s="16"/>
      <c r="GN960" s="16"/>
      <c r="GO960" s="17"/>
      <c r="GS960" s="24"/>
      <c r="GT960" s="60"/>
      <c r="GU960" s="16"/>
      <c r="GV960" s="16"/>
      <c r="GW960" s="16"/>
      <c r="GX960" s="16"/>
      <c r="GY960" s="16"/>
      <c r="GZ960" s="17"/>
      <c r="HD960" s="24"/>
      <c r="HE960" s="60"/>
      <c r="HF960" s="16"/>
      <c r="HG960" s="16"/>
      <c r="HH960" s="16"/>
      <c r="HI960" s="16"/>
      <c r="HJ960" s="16"/>
      <c r="HK960" s="17"/>
      <c r="HO960" s="24"/>
      <c r="HP960" s="60"/>
      <c r="HQ960" s="16"/>
      <c r="HR960" s="16"/>
      <c r="HS960" s="16"/>
      <c r="HT960" s="16"/>
      <c r="HU960" s="16"/>
      <c r="HV960" s="17"/>
      <c r="HZ960" s="24"/>
      <c r="IA960" s="60"/>
      <c r="IB960" s="16"/>
      <c r="IC960" s="16"/>
      <c r="ID960" s="16"/>
      <c r="IE960" s="16"/>
      <c r="IF960" s="16"/>
      <c r="IG960" s="17"/>
      <c r="IK960" s="24"/>
      <c r="IL960" s="60"/>
      <c r="IM960" s="16"/>
      <c r="IN960" s="16"/>
      <c r="IO960" s="16"/>
      <c r="IP960" s="16"/>
      <c r="IQ960" s="16"/>
      <c r="IR960" s="17"/>
      <c r="IV960" s="24"/>
      <c r="IW960" s="60"/>
      <c r="IX960" s="16"/>
      <c r="IY960" s="16"/>
      <c r="IZ960" s="16"/>
      <c r="JA960" s="16"/>
      <c r="JB960" s="16"/>
      <c r="JC960" s="17"/>
      <c r="JG960" s="24"/>
      <c r="JH960" s="60"/>
      <c r="JI960" s="16"/>
      <c r="JJ960" s="16"/>
      <c r="JK960" s="16"/>
      <c r="JL960" s="16"/>
      <c r="JM960" s="16"/>
      <c r="JN960" s="17"/>
      <c r="JR960" s="24"/>
      <c r="JS960" s="60"/>
      <c r="JT960" s="16"/>
      <c r="JU960" s="16"/>
      <c r="JV960" s="16"/>
      <c r="JW960" s="16"/>
      <c r="JX960" s="16"/>
      <c r="JY960" s="17"/>
      <c r="KC960" s="24"/>
      <c r="KD960" s="60"/>
      <c r="KE960" s="16"/>
      <c r="KF960" s="16"/>
      <c r="KG960" s="16"/>
      <c r="KH960" s="16"/>
      <c r="KI960" s="16"/>
      <c r="KJ960" s="17"/>
      <c r="KN960" s="24"/>
      <c r="KO960" s="60"/>
      <c r="KP960" s="16"/>
      <c r="KQ960" s="16"/>
      <c r="KR960" s="16"/>
      <c r="KS960" s="16"/>
      <c r="KT960" s="16"/>
      <c r="KU960" s="17"/>
      <c r="KY960" s="24"/>
      <c r="KZ960" s="60"/>
      <c r="LA960" s="16"/>
      <c r="LB960" s="16"/>
      <c r="LC960" s="16"/>
      <c r="LD960" s="16"/>
      <c r="LE960" s="16"/>
      <c r="LF960" s="17"/>
      <c r="LJ960" s="24"/>
      <c r="LK960" s="60"/>
      <c r="LL960" s="16"/>
      <c r="LM960" s="16"/>
      <c r="LN960" s="16"/>
      <c r="LO960" s="16"/>
      <c r="LP960" s="16"/>
      <c r="LQ960" s="17"/>
    </row>
    <row r="961">
      <c r="C961" s="31"/>
      <c r="D961" s="61"/>
      <c r="E961" s="16"/>
      <c r="F961" s="16"/>
      <c r="G961" s="21"/>
      <c r="H961" s="16"/>
      <c r="I961" s="16"/>
      <c r="J961" s="17"/>
      <c r="N961" s="17"/>
      <c r="O961" s="61"/>
      <c r="P961" s="16"/>
      <c r="Q961" s="16"/>
      <c r="R961" s="16"/>
      <c r="S961" s="16"/>
      <c r="T961" s="16"/>
      <c r="U961" s="17"/>
      <c r="Y961" s="24"/>
      <c r="Z961" s="61"/>
      <c r="AA961" s="16"/>
      <c r="AB961" s="16"/>
      <c r="AC961" s="16"/>
      <c r="AD961" s="16"/>
      <c r="AE961" s="16"/>
      <c r="AF961" s="17"/>
      <c r="AJ961" s="24"/>
      <c r="AK961" s="61"/>
      <c r="AL961" s="16"/>
      <c r="AM961" s="16"/>
      <c r="AN961" s="16"/>
      <c r="AO961" s="16"/>
      <c r="AP961" s="16"/>
      <c r="AQ961" s="17"/>
      <c r="AU961" s="24"/>
      <c r="AV961" s="61"/>
      <c r="AW961" s="16"/>
      <c r="AX961" s="16"/>
      <c r="AY961" s="16"/>
      <c r="AZ961" s="16"/>
      <c r="BA961" s="16"/>
      <c r="BB961" s="17"/>
      <c r="BF961" s="24"/>
      <c r="BG961" s="61"/>
      <c r="BH961" s="16"/>
      <c r="BI961" s="16"/>
      <c r="BJ961" s="16"/>
      <c r="BK961" s="16"/>
      <c r="BL961" s="16"/>
      <c r="BM961" s="17"/>
      <c r="BQ961" s="24"/>
      <c r="BR961" s="61"/>
      <c r="BS961" s="16"/>
      <c r="BT961" s="16"/>
      <c r="BU961" s="16"/>
      <c r="BV961" s="16"/>
      <c r="BW961" s="16"/>
      <c r="BX961" s="17"/>
      <c r="CB961" s="24"/>
      <c r="CC961" s="61"/>
      <c r="CD961" s="16"/>
      <c r="CE961" s="16"/>
      <c r="CF961" s="16"/>
      <c r="CG961" s="16"/>
      <c r="CH961" s="16"/>
      <c r="CI961" s="17"/>
      <c r="CM961" s="24"/>
      <c r="CN961" s="61"/>
      <c r="CO961" s="16"/>
      <c r="CP961" s="16"/>
      <c r="CQ961" s="16"/>
      <c r="CR961" s="16"/>
      <c r="CS961" s="16"/>
      <c r="CT961" s="17"/>
      <c r="CX961" s="24"/>
      <c r="CY961" s="60"/>
      <c r="CZ961" s="16"/>
      <c r="DA961" s="16"/>
      <c r="DB961" s="16"/>
      <c r="DC961" s="16"/>
      <c r="DD961" s="16"/>
      <c r="DE961" s="17"/>
      <c r="DI961" s="24"/>
      <c r="DJ961" s="60"/>
      <c r="DK961" s="16"/>
      <c r="DL961" s="16"/>
      <c r="DM961" s="16"/>
      <c r="DN961" s="16"/>
      <c r="DO961" s="16"/>
      <c r="DP961" s="17"/>
      <c r="DT961" s="24"/>
      <c r="DU961" s="60"/>
      <c r="DV961" s="16"/>
      <c r="DW961" s="16"/>
      <c r="DX961" s="16"/>
      <c r="DY961" s="16"/>
      <c r="DZ961" s="16"/>
      <c r="EA961" s="17"/>
      <c r="EE961" s="24"/>
      <c r="EF961" s="60"/>
      <c r="EG961" s="16"/>
      <c r="EH961" s="16"/>
      <c r="EI961" s="16"/>
      <c r="EJ961" s="16"/>
      <c r="EK961" s="16"/>
      <c r="EL961" s="17"/>
      <c r="EP961" s="24"/>
      <c r="EQ961" s="60"/>
      <c r="ER961" s="16"/>
      <c r="ES961" s="16"/>
      <c r="ET961" s="16"/>
      <c r="EU961" s="16"/>
      <c r="EV961" s="16"/>
      <c r="EW961" s="17"/>
      <c r="FA961" s="24"/>
      <c r="FB961" s="60"/>
      <c r="FC961" s="16"/>
      <c r="FD961" s="16"/>
      <c r="FE961" s="16"/>
      <c r="FF961" s="16"/>
      <c r="FG961" s="16"/>
      <c r="FH961" s="17"/>
      <c r="FL961" s="24"/>
      <c r="FM961" s="60"/>
      <c r="FN961" s="16"/>
      <c r="FO961" s="16"/>
      <c r="FP961" s="16"/>
      <c r="FQ961" s="16"/>
      <c r="FR961" s="16"/>
      <c r="FS961" s="17"/>
      <c r="FW961" s="24"/>
      <c r="FX961" s="60"/>
      <c r="FY961" s="16"/>
      <c r="FZ961" s="16"/>
      <c r="GA961" s="16"/>
      <c r="GB961" s="16"/>
      <c r="GC961" s="16"/>
      <c r="GD961" s="17"/>
      <c r="GH961" s="24"/>
      <c r="GI961" s="60"/>
      <c r="GJ961" s="16"/>
      <c r="GK961" s="16"/>
      <c r="GL961" s="16"/>
      <c r="GM961" s="16"/>
      <c r="GN961" s="16"/>
      <c r="GO961" s="17"/>
      <c r="GS961" s="24"/>
      <c r="GT961" s="60"/>
      <c r="GU961" s="16"/>
      <c r="GV961" s="16"/>
      <c r="GW961" s="16"/>
      <c r="GX961" s="16"/>
      <c r="GY961" s="16"/>
      <c r="GZ961" s="17"/>
      <c r="HD961" s="24"/>
      <c r="HE961" s="60"/>
      <c r="HF961" s="16"/>
      <c r="HG961" s="16"/>
      <c r="HH961" s="16"/>
      <c r="HI961" s="16"/>
      <c r="HJ961" s="16"/>
      <c r="HK961" s="17"/>
      <c r="HO961" s="24"/>
      <c r="HP961" s="60"/>
      <c r="HQ961" s="16"/>
      <c r="HR961" s="16"/>
      <c r="HS961" s="16"/>
      <c r="HT961" s="16"/>
      <c r="HU961" s="16"/>
      <c r="HV961" s="17"/>
      <c r="HZ961" s="24"/>
      <c r="IA961" s="60"/>
      <c r="IB961" s="16"/>
      <c r="IC961" s="16"/>
      <c r="ID961" s="16"/>
      <c r="IE961" s="16"/>
      <c r="IF961" s="16"/>
      <c r="IG961" s="17"/>
      <c r="IK961" s="24"/>
      <c r="IL961" s="60"/>
      <c r="IM961" s="16"/>
      <c r="IN961" s="16"/>
      <c r="IO961" s="16"/>
      <c r="IP961" s="16"/>
      <c r="IQ961" s="16"/>
      <c r="IR961" s="17"/>
      <c r="IV961" s="24"/>
      <c r="IW961" s="60"/>
      <c r="IX961" s="16"/>
      <c r="IY961" s="16"/>
      <c r="IZ961" s="16"/>
      <c r="JA961" s="16"/>
      <c r="JB961" s="16"/>
      <c r="JC961" s="17"/>
      <c r="JG961" s="24"/>
      <c r="JH961" s="60"/>
      <c r="JI961" s="16"/>
      <c r="JJ961" s="16"/>
      <c r="JK961" s="16"/>
      <c r="JL961" s="16"/>
      <c r="JM961" s="16"/>
      <c r="JN961" s="17"/>
      <c r="JR961" s="24"/>
      <c r="JS961" s="60"/>
      <c r="JT961" s="16"/>
      <c r="JU961" s="16"/>
      <c r="JV961" s="16"/>
      <c r="JW961" s="16"/>
      <c r="JX961" s="16"/>
      <c r="JY961" s="17"/>
      <c r="KC961" s="24"/>
      <c r="KD961" s="60"/>
      <c r="KE961" s="16"/>
      <c r="KF961" s="16"/>
      <c r="KG961" s="16"/>
      <c r="KH961" s="16"/>
      <c r="KI961" s="16"/>
      <c r="KJ961" s="17"/>
      <c r="KN961" s="24"/>
      <c r="KO961" s="60"/>
      <c r="KP961" s="16"/>
      <c r="KQ961" s="16"/>
      <c r="KR961" s="16"/>
      <c r="KS961" s="16"/>
      <c r="KT961" s="16"/>
      <c r="KU961" s="17"/>
      <c r="KY961" s="24"/>
      <c r="KZ961" s="60"/>
      <c r="LA961" s="16"/>
      <c r="LB961" s="16"/>
      <c r="LC961" s="16"/>
      <c r="LD961" s="16"/>
      <c r="LE961" s="16"/>
      <c r="LF961" s="17"/>
      <c r="LJ961" s="24"/>
      <c r="LK961" s="60"/>
      <c r="LL961" s="16"/>
      <c r="LM961" s="16"/>
      <c r="LN961" s="16"/>
      <c r="LO961" s="16"/>
      <c r="LP961" s="16"/>
      <c r="LQ961" s="17"/>
    </row>
    <row r="962">
      <c r="C962" s="31"/>
      <c r="D962" s="61"/>
      <c r="E962" s="16"/>
      <c r="F962" s="16"/>
      <c r="G962" s="21"/>
      <c r="H962" s="16"/>
      <c r="I962" s="16"/>
      <c r="J962" s="17"/>
      <c r="N962" s="17"/>
      <c r="O962" s="61"/>
      <c r="P962" s="16"/>
      <c r="Q962" s="16"/>
      <c r="R962" s="16"/>
      <c r="S962" s="16"/>
      <c r="T962" s="16"/>
      <c r="U962" s="17"/>
      <c r="Y962" s="24"/>
      <c r="Z962" s="61"/>
      <c r="AA962" s="16"/>
      <c r="AB962" s="16"/>
      <c r="AC962" s="16"/>
      <c r="AD962" s="16"/>
      <c r="AE962" s="16"/>
      <c r="AF962" s="17"/>
      <c r="AJ962" s="24"/>
      <c r="AK962" s="61"/>
      <c r="AL962" s="16"/>
      <c r="AM962" s="16"/>
      <c r="AN962" s="16"/>
      <c r="AO962" s="16"/>
      <c r="AP962" s="16"/>
      <c r="AQ962" s="17"/>
      <c r="AU962" s="24"/>
      <c r="AV962" s="61"/>
      <c r="AW962" s="16"/>
      <c r="AX962" s="16"/>
      <c r="AY962" s="16"/>
      <c r="AZ962" s="16"/>
      <c r="BA962" s="16"/>
      <c r="BB962" s="17"/>
      <c r="BF962" s="24"/>
      <c r="BG962" s="61"/>
      <c r="BH962" s="16"/>
      <c r="BI962" s="16"/>
      <c r="BJ962" s="16"/>
      <c r="BK962" s="16"/>
      <c r="BL962" s="16"/>
      <c r="BM962" s="17"/>
      <c r="BQ962" s="24"/>
      <c r="BR962" s="61"/>
      <c r="BS962" s="16"/>
      <c r="BT962" s="16"/>
      <c r="BU962" s="16"/>
      <c r="BV962" s="16"/>
      <c r="BW962" s="16"/>
      <c r="BX962" s="17"/>
      <c r="CB962" s="24"/>
      <c r="CC962" s="61"/>
      <c r="CD962" s="16"/>
      <c r="CE962" s="16"/>
      <c r="CF962" s="16"/>
      <c r="CG962" s="16"/>
      <c r="CH962" s="16"/>
      <c r="CI962" s="17"/>
      <c r="CM962" s="24"/>
      <c r="CN962" s="61"/>
      <c r="CO962" s="16"/>
      <c r="CP962" s="16"/>
      <c r="CQ962" s="16"/>
      <c r="CR962" s="16"/>
      <c r="CS962" s="16"/>
      <c r="CT962" s="17"/>
      <c r="CX962" s="24"/>
      <c r="CY962" s="60"/>
      <c r="CZ962" s="16"/>
      <c r="DA962" s="16"/>
      <c r="DB962" s="16"/>
      <c r="DC962" s="16"/>
      <c r="DD962" s="16"/>
      <c r="DE962" s="17"/>
      <c r="DI962" s="24"/>
      <c r="DJ962" s="60"/>
      <c r="DK962" s="16"/>
      <c r="DL962" s="16"/>
      <c r="DM962" s="16"/>
      <c r="DN962" s="16"/>
      <c r="DO962" s="16"/>
      <c r="DP962" s="17"/>
      <c r="DT962" s="24"/>
      <c r="DU962" s="60"/>
      <c r="DV962" s="16"/>
      <c r="DW962" s="16"/>
      <c r="DX962" s="16"/>
      <c r="DY962" s="16"/>
      <c r="DZ962" s="16"/>
      <c r="EA962" s="17"/>
      <c r="EE962" s="24"/>
      <c r="EF962" s="60"/>
      <c r="EG962" s="16"/>
      <c r="EH962" s="16"/>
      <c r="EI962" s="16"/>
      <c r="EJ962" s="16"/>
      <c r="EK962" s="16"/>
      <c r="EL962" s="17"/>
      <c r="EP962" s="24"/>
      <c r="EQ962" s="60"/>
      <c r="ER962" s="16"/>
      <c r="ES962" s="16"/>
      <c r="ET962" s="16"/>
      <c r="EU962" s="16"/>
      <c r="EV962" s="16"/>
      <c r="EW962" s="17"/>
      <c r="FA962" s="24"/>
      <c r="FB962" s="60"/>
      <c r="FC962" s="16"/>
      <c r="FD962" s="16"/>
      <c r="FE962" s="16"/>
      <c r="FF962" s="16"/>
      <c r="FG962" s="16"/>
      <c r="FH962" s="17"/>
      <c r="FL962" s="24"/>
      <c r="FM962" s="60"/>
      <c r="FN962" s="16"/>
      <c r="FO962" s="16"/>
      <c r="FP962" s="16"/>
      <c r="FQ962" s="16"/>
      <c r="FR962" s="16"/>
      <c r="FS962" s="17"/>
      <c r="FW962" s="24"/>
      <c r="FX962" s="60"/>
      <c r="FY962" s="16"/>
      <c r="FZ962" s="16"/>
      <c r="GA962" s="16"/>
      <c r="GB962" s="16"/>
      <c r="GC962" s="16"/>
      <c r="GD962" s="17"/>
      <c r="GH962" s="24"/>
      <c r="GI962" s="60"/>
      <c r="GJ962" s="16"/>
      <c r="GK962" s="16"/>
      <c r="GL962" s="16"/>
      <c r="GM962" s="16"/>
      <c r="GN962" s="16"/>
      <c r="GO962" s="17"/>
      <c r="GS962" s="24"/>
      <c r="GT962" s="60"/>
      <c r="GU962" s="16"/>
      <c r="GV962" s="16"/>
      <c r="GW962" s="16"/>
      <c r="GX962" s="16"/>
      <c r="GY962" s="16"/>
      <c r="GZ962" s="17"/>
      <c r="HD962" s="24"/>
      <c r="HE962" s="60"/>
      <c r="HF962" s="16"/>
      <c r="HG962" s="16"/>
      <c r="HH962" s="16"/>
      <c r="HI962" s="16"/>
      <c r="HJ962" s="16"/>
      <c r="HK962" s="17"/>
      <c r="HO962" s="24"/>
      <c r="HP962" s="60"/>
      <c r="HQ962" s="16"/>
      <c r="HR962" s="16"/>
      <c r="HS962" s="16"/>
      <c r="HT962" s="16"/>
      <c r="HU962" s="16"/>
      <c r="HV962" s="17"/>
      <c r="HZ962" s="24"/>
      <c r="IA962" s="60"/>
      <c r="IB962" s="16"/>
      <c r="IC962" s="16"/>
      <c r="ID962" s="16"/>
      <c r="IE962" s="16"/>
      <c r="IF962" s="16"/>
      <c r="IG962" s="17"/>
      <c r="IK962" s="24"/>
      <c r="IL962" s="60"/>
      <c r="IM962" s="16"/>
      <c r="IN962" s="16"/>
      <c r="IO962" s="16"/>
      <c r="IP962" s="16"/>
      <c r="IQ962" s="16"/>
      <c r="IR962" s="17"/>
      <c r="IV962" s="24"/>
      <c r="IW962" s="60"/>
      <c r="IX962" s="16"/>
      <c r="IY962" s="16"/>
      <c r="IZ962" s="16"/>
      <c r="JA962" s="16"/>
      <c r="JB962" s="16"/>
      <c r="JC962" s="17"/>
      <c r="JG962" s="24"/>
      <c r="JH962" s="60"/>
      <c r="JI962" s="16"/>
      <c r="JJ962" s="16"/>
      <c r="JK962" s="16"/>
      <c r="JL962" s="16"/>
      <c r="JM962" s="16"/>
      <c r="JN962" s="17"/>
      <c r="JR962" s="24"/>
      <c r="JS962" s="60"/>
      <c r="JT962" s="16"/>
      <c r="JU962" s="16"/>
      <c r="JV962" s="16"/>
      <c r="JW962" s="16"/>
      <c r="JX962" s="16"/>
      <c r="JY962" s="17"/>
      <c r="KC962" s="24"/>
      <c r="KD962" s="60"/>
      <c r="KE962" s="16"/>
      <c r="KF962" s="16"/>
      <c r="KG962" s="16"/>
      <c r="KH962" s="16"/>
      <c r="KI962" s="16"/>
      <c r="KJ962" s="17"/>
      <c r="KN962" s="24"/>
      <c r="KO962" s="60"/>
      <c r="KP962" s="16"/>
      <c r="KQ962" s="16"/>
      <c r="KR962" s="16"/>
      <c r="KS962" s="16"/>
      <c r="KT962" s="16"/>
      <c r="KU962" s="17"/>
      <c r="KY962" s="24"/>
      <c r="KZ962" s="60"/>
      <c r="LA962" s="16"/>
      <c r="LB962" s="16"/>
      <c r="LC962" s="16"/>
      <c r="LD962" s="16"/>
      <c r="LE962" s="16"/>
      <c r="LF962" s="17"/>
      <c r="LJ962" s="24"/>
      <c r="LK962" s="60"/>
      <c r="LL962" s="16"/>
      <c r="LM962" s="16"/>
      <c r="LN962" s="16"/>
      <c r="LO962" s="16"/>
      <c r="LP962" s="16"/>
      <c r="LQ962" s="17"/>
    </row>
    <row r="963">
      <c r="C963" s="31"/>
      <c r="D963" s="61"/>
      <c r="E963" s="16"/>
      <c r="F963" s="16"/>
      <c r="G963" s="21"/>
      <c r="H963" s="16"/>
      <c r="I963" s="16"/>
      <c r="J963" s="17"/>
      <c r="N963" s="17"/>
      <c r="O963" s="61"/>
      <c r="P963" s="16"/>
      <c r="Q963" s="16"/>
      <c r="R963" s="16"/>
      <c r="S963" s="16"/>
      <c r="T963" s="16"/>
      <c r="U963" s="17"/>
      <c r="Y963" s="24"/>
      <c r="Z963" s="61"/>
      <c r="AA963" s="16"/>
      <c r="AB963" s="16"/>
      <c r="AC963" s="16"/>
      <c r="AD963" s="16"/>
      <c r="AE963" s="16"/>
      <c r="AF963" s="17"/>
      <c r="AJ963" s="24"/>
      <c r="AK963" s="61"/>
      <c r="AL963" s="16"/>
      <c r="AM963" s="16"/>
      <c r="AN963" s="16"/>
      <c r="AO963" s="16"/>
      <c r="AP963" s="16"/>
      <c r="AQ963" s="17"/>
      <c r="AU963" s="24"/>
      <c r="AV963" s="61"/>
      <c r="AW963" s="16"/>
      <c r="AX963" s="16"/>
      <c r="AY963" s="16"/>
      <c r="AZ963" s="16"/>
      <c r="BA963" s="16"/>
      <c r="BB963" s="17"/>
      <c r="BF963" s="24"/>
      <c r="BG963" s="61"/>
      <c r="BH963" s="16"/>
      <c r="BI963" s="16"/>
      <c r="BJ963" s="16"/>
      <c r="BK963" s="16"/>
      <c r="BL963" s="16"/>
      <c r="BM963" s="17"/>
      <c r="BQ963" s="24"/>
      <c r="BR963" s="61"/>
      <c r="BS963" s="16"/>
      <c r="BT963" s="16"/>
      <c r="BU963" s="16"/>
      <c r="BV963" s="16"/>
      <c r="BW963" s="16"/>
      <c r="BX963" s="17"/>
      <c r="CB963" s="24"/>
      <c r="CC963" s="61"/>
      <c r="CD963" s="16"/>
      <c r="CE963" s="16"/>
      <c r="CF963" s="16"/>
      <c r="CG963" s="16"/>
      <c r="CH963" s="16"/>
      <c r="CI963" s="17"/>
      <c r="CM963" s="24"/>
      <c r="CN963" s="61"/>
      <c r="CO963" s="16"/>
      <c r="CP963" s="16"/>
      <c r="CQ963" s="16"/>
      <c r="CR963" s="16"/>
      <c r="CS963" s="16"/>
      <c r="CT963" s="17"/>
      <c r="CX963" s="24"/>
      <c r="CY963" s="60"/>
      <c r="CZ963" s="16"/>
      <c r="DA963" s="16"/>
      <c r="DB963" s="16"/>
      <c r="DC963" s="16"/>
      <c r="DD963" s="16"/>
      <c r="DE963" s="17"/>
      <c r="DI963" s="24"/>
      <c r="DJ963" s="60"/>
      <c r="DK963" s="16"/>
      <c r="DL963" s="16"/>
      <c r="DM963" s="16"/>
      <c r="DN963" s="16"/>
      <c r="DO963" s="16"/>
      <c r="DP963" s="17"/>
      <c r="DT963" s="24"/>
      <c r="DU963" s="60"/>
      <c r="DV963" s="16"/>
      <c r="DW963" s="16"/>
      <c r="DX963" s="16"/>
      <c r="DY963" s="16"/>
      <c r="DZ963" s="16"/>
      <c r="EA963" s="17"/>
      <c r="EE963" s="24"/>
      <c r="EF963" s="60"/>
      <c r="EG963" s="16"/>
      <c r="EH963" s="16"/>
      <c r="EI963" s="16"/>
      <c r="EJ963" s="16"/>
      <c r="EK963" s="16"/>
      <c r="EL963" s="17"/>
      <c r="EP963" s="24"/>
      <c r="EQ963" s="60"/>
      <c r="ER963" s="16"/>
      <c r="ES963" s="16"/>
      <c r="ET963" s="16"/>
      <c r="EU963" s="16"/>
      <c r="EV963" s="16"/>
      <c r="EW963" s="17"/>
      <c r="FA963" s="24"/>
      <c r="FB963" s="60"/>
      <c r="FC963" s="16"/>
      <c r="FD963" s="16"/>
      <c r="FE963" s="16"/>
      <c r="FF963" s="16"/>
      <c r="FG963" s="16"/>
      <c r="FH963" s="17"/>
      <c r="FL963" s="24"/>
      <c r="FM963" s="60"/>
      <c r="FN963" s="16"/>
      <c r="FO963" s="16"/>
      <c r="FP963" s="16"/>
      <c r="FQ963" s="16"/>
      <c r="FR963" s="16"/>
      <c r="FS963" s="17"/>
      <c r="FW963" s="24"/>
      <c r="FX963" s="60"/>
      <c r="FY963" s="16"/>
      <c r="FZ963" s="16"/>
      <c r="GA963" s="16"/>
      <c r="GB963" s="16"/>
      <c r="GC963" s="16"/>
      <c r="GD963" s="17"/>
      <c r="GH963" s="24"/>
      <c r="GI963" s="60"/>
      <c r="GJ963" s="16"/>
      <c r="GK963" s="16"/>
      <c r="GL963" s="16"/>
      <c r="GM963" s="16"/>
      <c r="GN963" s="16"/>
      <c r="GO963" s="17"/>
      <c r="GS963" s="24"/>
      <c r="GT963" s="60"/>
      <c r="GU963" s="16"/>
      <c r="GV963" s="16"/>
      <c r="GW963" s="16"/>
      <c r="GX963" s="16"/>
      <c r="GY963" s="16"/>
      <c r="GZ963" s="17"/>
      <c r="HD963" s="24"/>
      <c r="HE963" s="60"/>
      <c r="HF963" s="16"/>
      <c r="HG963" s="16"/>
      <c r="HH963" s="16"/>
      <c r="HI963" s="16"/>
      <c r="HJ963" s="16"/>
      <c r="HK963" s="17"/>
      <c r="HO963" s="24"/>
      <c r="HP963" s="60"/>
      <c r="HQ963" s="16"/>
      <c r="HR963" s="16"/>
      <c r="HS963" s="16"/>
      <c r="HT963" s="16"/>
      <c r="HU963" s="16"/>
      <c r="HV963" s="17"/>
      <c r="HZ963" s="24"/>
      <c r="IA963" s="60"/>
      <c r="IB963" s="16"/>
      <c r="IC963" s="16"/>
      <c r="ID963" s="16"/>
      <c r="IE963" s="16"/>
      <c r="IF963" s="16"/>
      <c r="IG963" s="17"/>
      <c r="IK963" s="24"/>
      <c r="IL963" s="60"/>
      <c r="IM963" s="16"/>
      <c r="IN963" s="16"/>
      <c r="IO963" s="16"/>
      <c r="IP963" s="16"/>
      <c r="IQ963" s="16"/>
      <c r="IR963" s="17"/>
      <c r="IV963" s="24"/>
      <c r="IW963" s="60"/>
      <c r="IX963" s="16"/>
      <c r="IY963" s="16"/>
      <c r="IZ963" s="16"/>
      <c r="JA963" s="16"/>
      <c r="JB963" s="16"/>
      <c r="JC963" s="17"/>
      <c r="JG963" s="24"/>
      <c r="JH963" s="60"/>
      <c r="JI963" s="16"/>
      <c r="JJ963" s="16"/>
      <c r="JK963" s="16"/>
      <c r="JL963" s="16"/>
      <c r="JM963" s="16"/>
      <c r="JN963" s="17"/>
      <c r="JR963" s="24"/>
      <c r="JS963" s="60"/>
      <c r="JT963" s="16"/>
      <c r="JU963" s="16"/>
      <c r="JV963" s="16"/>
      <c r="JW963" s="16"/>
      <c r="JX963" s="16"/>
      <c r="JY963" s="17"/>
      <c r="KC963" s="24"/>
      <c r="KD963" s="60"/>
      <c r="KE963" s="16"/>
      <c r="KF963" s="16"/>
      <c r="KG963" s="16"/>
      <c r="KH963" s="16"/>
      <c r="KI963" s="16"/>
      <c r="KJ963" s="17"/>
      <c r="KN963" s="24"/>
      <c r="KO963" s="60"/>
      <c r="KP963" s="16"/>
      <c r="KQ963" s="16"/>
      <c r="KR963" s="16"/>
      <c r="KS963" s="16"/>
      <c r="KT963" s="16"/>
      <c r="KU963" s="17"/>
      <c r="KY963" s="24"/>
      <c r="KZ963" s="60"/>
      <c r="LA963" s="16"/>
      <c r="LB963" s="16"/>
      <c r="LC963" s="16"/>
      <c r="LD963" s="16"/>
      <c r="LE963" s="16"/>
      <c r="LF963" s="17"/>
      <c r="LJ963" s="24"/>
      <c r="LK963" s="60"/>
      <c r="LL963" s="16"/>
      <c r="LM963" s="16"/>
      <c r="LN963" s="16"/>
      <c r="LO963" s="16"/>
      <c r="LP963" s="16"/>
      <c r="LQ963" s="17"/>
    </row>
    <row r="964">
      <c r="C964" s="31"/>
      <c r="D964" s="61"/>
      <c r="E964" s="16"/>
      <c r="F964" s="16"/>
      <c r="G964" s="21"/>
      <c r="H964" s="16"/>
      <c r="I964" s="16"/>
      <c r="J964" s="17"/>
      <c r="N964" s="17"/>
      <c r="O964" s="61"/>
      <c r="P964" s="16"/>
      <c r="Q964" s="16"/>
      <c r="R964" s="16"/>
      <c r="S964" s="16"/>
      <c r="T964" s="16"/>
      <c r="U964" s="17"/>
      <c r="Y964" s="24"/>
      <c r="Z964" s="61"/>
      <c r="AA964" s="16"/>
      <c r="AB964" s="16"/>
      <c r="AC964" s="16"/>
      <c r="AD964" s="16"/>
      <c r="AE964" s="16"/>
      <c r="AF964" s="17"/>
      <c r="AJ964" s="24"/>
      <c r="AK964" s="61"/>
      <c r="AL964" s="16"/>
      <c r="AM964" s="16"/>
      <c r="AN964" s="16"/>
      <c r="AO964" s="16"/>
      <c r="AP964" s="16"/>
      <c r="AQ964" s="17"/>
      <c r="AU964" s="24"/>
      <c r="AV964" s="61"/>
      <c r="AW964" s="16"/>
      <c r="AX964" s="16"/>
      <c r="AY964" s="16"/>
      <c r="AZ964" s="16"/>
      <c r="BA964" s="16"/>
      <c r="BB964" s="17"/>
      <c r="BF964" s="24"/>
      <c r="BG964" s="61"/>
      <c r="BH964" s="16"/>
      <c r="BI964" s="16"/>
      <c r="BJ964" s="16"/>
      <c r="BK964" s="16"/>
      <c r="BL964" s="16"/>
      <c r="BM964" s="17"/>
      <c r="BQ964" s="24"/>
      <c r="BR964" s="61"/>
      <c r="BS964" s="16"/>
      <c r="BT964" s="16"/>
      <c r="BU964" s="16"/>
      <c r="BV964" s="16"/>
      <c r="BW964" s="16"/>
      <c r="BX964" s="17"/>
      <c r="CB964" s="24"/>
      <c r="CC964" s="61"/>
      <c r="CD964" s="16"/>
      <c r="CE964" s="16"/>
      <c r="CF964" s="16"/>
      <c r="CG964" s="16"/>
      <c r="CH964" s="16"/>
      <c r="CI964" s="17"/>
      <c r="CM964" s="24"/>
      <c r="CN964" s="61"/>
      <c r="CO964" s="16"/>
      <c r="CP964" s="16"/>
      <c r="CQ964" s="16"/>
      <c r="CR964" s="16"/>
      <c r="CS964" s="16"/>
      <c r="CT964" s="17"/>
      <c r="CX964" s="24"/>
      <c r="CY964" s="60"/>
      <c r="CZ964" s="16"/>
      <c r="DA964" s="16"/>
      <c r="DB964" s="16"/>
      <c r="DC964" s="16"/>
      <c r="DD964" s="16"/>
      <c r="DE964" s="17"/>
      <c r="DI964" s="24"/>
      <c r="DJ964" s="60"/>
      <c r="DK964" s="16"/>
      <c r="DL964" s="16"/>
      <c r="DM964" s="16"/>
      <c r="DN964" s="16"/>
      <c r="DO964" s="16"/>
      <c r="DP964" s="17"/>
      <c r="DT964" s="24"/>
      <c r="DU964" s="60"/>
      <c r="DV964" s="16"/>
      <c r="DW964" s="16"/>
      <c r="DX964" s="16"/>
      <c r="DY964" s="16"/>
      <c r="DZ964" s="16"/>
      <c r="EA964" s="17"/>
      <c r="EE964" s="24"/>
      <c r="EF964" s="60"/>
      <c r="EG964" s="16"/>
      <c r="EH964" s="16"/>
      <c r="EI964" s="16"/>
      <c r="EJ964" s="16"/>
      <c r="EK964" s="16"/>
      <c r="EL964" s="17"/>
      <c r="EP964" s="24"/>
      <c r="EQ964" s="60"/>
      <c r="ER964" s="16"/>
      <c r="ES964" s="16"/>
      <c r="ET964" s="16"/>
      <c r="EU964" s="16"/>
      <c r="EV964" s="16"/>
      <c r="EW964" s="17"/>
      <c r="FA964" s="24"/>
      <c r="FB964" s="60"/>
      <c r="FC964" s="16"/>
      <c r="FD964" s="16"/>
      <c r="FE964" s="16"/>
      <c r="FF964" s="16"/>
      <c r="FG964" s="16"/>
      <c r="FH964" s="17"/>
      <c r="FL964" s="24"/>
      <c r="FM964" s="60"/>
      <c r="FN964" s="16"/>
      <c r="FO964" s="16"/>
      <c r="FP964" s="16"/>
      <c r="FQ964" s="16"/>
      <c r="FR964" s="16"/>
      <c r="FS964" s="17"/>
      <c r="FW964" s="24"/>
      <c r="FX964" s="60"/>
      <c r="FY964" s="16"/>
      <c r="FZ964" s="16"/>
      <c r="GA964" s="16"/>
      <c r="GB964" s="16"/>
      <c r="GC964" s="16"/>
      <c r="GD964" s="17"/>
      <c r="GH964" s="24"/>
      <c r="GI964" s="60"/>
      <c r="GJ964" s="16"/>
      <c r="GK964" s="16"/>
      <c r="GL964" s="16"/>
      <c r="GM964" s="16"/>
      <c r="GN964" s="16"/>
      <c r="GO964" s="17"/>
      <c r="GS964" s="24"/>
      <c r="GT964" s="60"/>
      <c r="GU964" s="16"/>
      <c r="GV964" s="16"/>
      <c r="GW964" s="16"/>
      <c r="GX964" s="16"/>
      <c r="GY964" s="16"/>
      <c r="GZ964" s="17"/>
      <c r="HD964" s="24"/>
      <c r="HE964" s="60"/>
      <c r="HF964" s="16"/>
      <c r="HG964" s="16"/>
      <c r="HH964" s="16"/>
      <c r="HI964" s="16"/>
      <c r="HJ964" s="16"/>
      <c r="HK964" s="17"/>
      <c r="HO964" s="24"/>
      <c r="HP964" s="60"/>
      <c r="HQ964" s="16"/>
      <c r="HR964" s="16"/>
      <c r="HS964" s="16"/>
      <c r="HT964" s="16"/>
      <c r="HU964" s="16"/>
      <c r="HV964" s="17"/>
      <c r="HZ964" s="24"/>
      <c r="IA964" s="60"/>
      <c r="IB964" s="16"/>
      <c r="IC964" s="16"/>
      <c r="ID964" s="16"/>
      <c r="IE964" s="16"/>
      <c r="IF964" s="16"/>
      <c r="IG964" s="17"/>
      <c r="IK964" s="24"/>
      <c r="IL964" s="60"/>
      <c r="IM964" s="16"/>
      <c r="IN964" s="16"/>
      <c r="IO964" s="16"/>
      <c r="IP964" s="16"/>
      <c r="IQ964" s="16"/>
      <c r="IR964" s="17"/>
      <c r="IV964" s="24"/>
      <c r="IW964" s="60"/>
      <c r="IX964" s="16"/>
      <c r="IY964" s="16"/>
      <c r="IZ964" s="16"/>
      <c r="JA964" s="16"/>
      <c r="JB964" s="16"/>
      <c r="JC964" s="17"/>
      <c r="JG964" s="24"/>
      <c r="JH964" s="60"/>
      <c r="JI964" s="16"/>
      <c r="JJ964" s="16"/>
      <c r="JK964" s="16"/>
      <c r="JL964" s="16"/>
      <c r="JM964" s="16"/>
      <c r="JN964" s="17"/>
      <c r="JR964" s="24"/>
      <c r="JS964" s="60"/>
      <c r="JT964" s="16"/>
      <c r="JU964" s="16"/>
      <c r="JV964" s="16"/>
      <c r="JW964" s="16"/>
      <c r="JX964" s="16"/>
      <c r="JY964" s="17"/>
      <c r="KC964" s="24"/>
      <c r="KD964" s="60"/>
      <c r="KE964" s="16"/>
      <c r="KF964" s="16"/>
      <c r="KG964" s="16"/>
      <c r="KH964" s="16"/>
      <c r="KI964" s="16"/>
      <c r="KJ964" s="17"/>
      <c r="KN964" s="24"/>
      <c r="KO964" s="60"/>
      <c r="KP964" s="16"/>
      <c r="KQ964" s="16"/>
      <c r="KR964" s="16"/>
      <c r="KS964" s="16"/>
      <c r="KT964" s="16"/>
      <c r="KU964" s="17"/>
      <c r="KY964" s="24"/>
      <c r="KZ964" s="60"/>
      <c r="LA964" s="16"/>
      <c r="LB964" s="16"/>
      <c r="LC964" s="16"/>
      <c r="LD964" s="16"/>
      <c r="LE964" s="16"/>
      <c r="LF964" s="17"/>
      <c r="LJ964" s="24"/>
      <c r="LK964" s="60"/>
      <c r="LL964" s="16"/>
      <c r="LM964" s="16"/>
      <c r="LN964" s="16"/>
      <c r="LO964" s="16"/>
      <c r="LP964" s="16"/>
      <c r="LQ964" s="17"/>
    </row>
    <row r="965">
      <c r="C965" s="31"/>
      <c r="D965" s="61"/>
      <c r="E965" s="16"/>
      <c r="F965" s="16"/>
      <c r="G965" s="21"/>
      <c r="H965" s="16"/>
      <c r="I965" s="16"/>
      <c r="J965" s="17"/>
      <c r="N965" s="17"/>
      <c r="O965" s="61"/>
      <c r="P965" s="16"/>
      <c r="Q965" s="16"/>
      <c r="R965" s="16"/>
      <c r="S965" s="16"/>
      <c r="T965" s="16"/>
      <c r="U965" s="17"/>
      <c r="Y965" s="24"/>
      <c r="Z965" s="61"/>
      <c r="AA965" s="16"/>
      <c r="AB965" s="16"/>
      <c r="AC965" s="16"/>
      <c r="AD965" s="16"/>
      <c r="AE965" s="16"/>
      <c r="AF965" s="17"/>
      <c r="AJ965" s="24"/>
      <c r="AK965" s="61"/>
      <c r="AL965" s="16"/>
      <c r="AM965" s="16"/>
      <c r="AN965" s="16"/>
      <c r="AO965" s="16"/>
      <c r="AP965" s="16"/>
      <c r="AQ965" s="17"/>
      <c r="AU965" s="24"/>
      <c r="AV965" s="61"/>
      <c r="AW965" s="16"/>
      <c r="AX965" s="16"/>
      <c r="AY965" s="16"/>
      <c r="AZ965" s="16"/>
      <c r="BA965" s="16"/>
      <c r="BB965" s="17"/>
      <c r="BF965" s="24"/>
      <c r="BG965" s="61"/>
      <c r="BH965" s="16"/>
      <c r="BI965" s="16"/>
      <c r="BJ965" s="16"/>
      <c r="BK965" s="16"/>
      <c r="BL965" s="16"/>
      <c r="BM965" s="17"/>
      <c r="BQ965" s="24"/>
      <c r="BR965" s="61"/>
      <c r="BS965" s="16"/>
      <c r="BT965" s="16"/>
      <c r="BU965" s="16"/>
      <c r="BV965" s="16"/>
      <c r="BW965" s="16"/>
      <c r="BX965" s="17"/>
      <c r="CB965" s="24"/>
      <c r="CC965" s="61"/>
      <c r="CD965" s="16"/>
      <c r="CE965" s="16"/>
      <c r="CF965" s="16"/>
      <c r="CG965" s="16"/>
      <c r="CH965" s="16"/>
      <c r="CI965" s="17"/>
      <c r="CM965" s="24"/>
      <c r="CN965" s="61"/>
      <c r="CO965" s="16"/>
      <c r="CP965" s="16"/>
      <c r="CQ965" s="16"/>
      <c r="CR965" s="16"/>
      <c r="CS965" s="16"/>
      <c r="CT965" s="17"/>
      <c r="CX965" s="24"/>
      <c r="CY965" s="60"/>
      <c r="CZ965" s="16"/>
      <c r="DA965" s="16"/>
      <c r="DB965" s="16"/>
      <c r="DC965" s="16"/>
      <c r="DD965" s="16"/>
      <c r="DE965" s="17"/>
      <c r="DI965" s="24"/>
      <c r="DJ965" s="60"/>
      <c r="DK965" s="16"/>
      <c r="DL965" s="16"/>
      <c r="DM965" s="16"/>
      <c r="DN965" s="16"/>
      <c r="DO965" s="16"/>
      <c r="DP965" s="17"/>
      <c r="DT965" s="24"/>
      <c r="DU965" s="60"/>
      <c r="DV965" s="16"/>
      <c r="DW965" s="16"/>
      <c r="DX965" s="16"/>
      <c r="DY965" s="16"/>
      <c r="DZ965" s="16"/>
      <c r="EA965" s="17"/>
      <c r="EE965" s="24"/>
      <c r="EF965" s="60"/>
      <c r="EG965" s="16"/>
      <c r="EH965" s="16"/>
      <c r="EI965" s="16"/>
      <c r="EJ965" s="16"/>
      <c r="EK965" s="16"/>
      <c r="EL965" s="17"/>
      <c r="EP965" s="24"/>
      <c r="EQ965" s="60"/>
      <c r="ER965" s="16"/>
      <c r="ES965" s="16"/>
      <c r="ET965" s="16"/>
      <c r="EU965" s="16"/>
      <c r="EV965" s="16"/>
      <c r="EW965" s="17"/>
      <c r="FA965" s="24"/>
      <c r="FB965" s="60"/>
      <c r="FC965" s="16"/>
      <c r="FD965" s="16"/>
      <c r="FE965" s="16"/>
      <c r="FF965" s="16"/>
      <c r="FG965" s="16"/>
      <c r="FH965" s="17"/>
      <c r="FL965" s="24"/>
      <c r="FM965" s="60"/>
      <c r="FN965" s="16"/>
      <c r="FO965" s="16"/>
      <c r="FP965" s="16"/>
      <c r="FQ965" s="16"/>
      <c r="FR965" s="16"/>
      <c r="FS965" s="17"/>
      <c r="FW965" s="24"/>
      <c r="FX965" s="60"/>
      <c r="FY965" s="16"/>
      <c r="FZ965" s="16"/>
      <c r="GA965" s="16"/>
      <c r="GB965" s="16"/>
      <c r="GC965" s="16"/>
      <c r="GD965" s="17"/>
      <c r="GH965" s="24"/>
      <c r="GI965" s="60"/>
      <c r="GJ965" s="16"/>
      <c r="GK965" s="16"/>
      <c r="GL965" s="16"/>
      <c r="GM965" s="16"/>
      <c r="GN965" s="16"/>
      <c r="GO965" s="17"/>
      <c r="GS965" s="24"/>
      <c r="GT965" s="60"/>
      <c r="GU965" s="16"/>
      <c r="GV965" s="16"/>
      <c r="GW965" s="16"/>
      <c r="GX965" s="16"/>
      <c r="GY965" s="16"/>
      <c r="GZ965" s="17"/>
      <c r="HD965" s="24"/>
      <c r="HE965" s="60"/>
      <c r="HF965" s="16"/>
      <c r="HG965" s="16"/>
      <c r="HH965" s="16"/>
      <c r="HI965" s="16"/>
      <c r="HJ965" s="16"/>
      <c r="HK965" s="17"/>
      <c r="HO965" s="24"/>
      <c r="HP965" s="60"/>
      <c r="HQ965" s="16"/>
      <c r="HR965" s="16"/>
      <c r="HS965" s="16"/>
      <c r="HT965" s="16"/>
      <c r="HU965" s="16"/>
      <c r="HV965" s="17"/>
      <c r="HZ965" s="24"/>
      <c r="IA965" s="60"/>
      <c r="IB965" s="16"/>
      <c r="IC965" s="16"/>
      <c r="ID965" s="16"/>
      <c r="IE965" s="16"/>
      <c r="IF965" s="16"/>
      <c r="IG965" s="17"/>
      <c r="IK965" s="24"/>
      <c r="IL965" s="60"/>
      <c r="IM965" s="16"/>
      <c r="IN965" s="16"/>
      <c r="IO965" s="16"/>
      <c r="IP965" s="16"/>
      <c r="IQ965" s="16"/>
      <c r="IR965" s="17"/>
      <c r="IV965" s="24"/>
      <c r="IW965" s="60"/>
      <c r="IX965" s="16"/>
      <c r="IY965" s="16"/>
      <c r="IZ965" s="16"/>
      <c r="JA965" s="16"/>
      <c r="JB965" s="16"/>
      <c r="JC965" s="17"/>
      <c r="JG965" s="24"/>
      <c r="JH965" s="60"/>
      <c r="JI965" s="16"/>
      <c r="JJ965" s="16"/>
      <c r="JK965" s="16"/>
      <c r="JL965" s="16"/>
      <c r="JM965" s="16"/>
      <c r="JN965" s="17"/>
      <c r="JR965" s="24"/>
      <c r="JS965" s="60"/>
      <c r="JT965" s="16"/>
      <c r="JU965" s="16"/>
      <c r="JV965" s="16"/>
      <c r="JW965" s="16"/>
      <c r="JX965" s="16"/>
      <c r="JY965" s="17"/>
      <c r="KC965" s="24"/>
      <c r="KD965" s="60"/>
      <c r="KE965" s="16"/>
      <c r="KF965" s="16"/>
      <c r="KG965" s="16"/>
      <c r="KH965" s="16"/>
      <c r="KI965" s="16"/>
      <c r="KJ965" s="17"/>
      <c r="KN965" s="24"/>
      <c r="KO965" s="60"/>
      <c r="KP965" s="16"/>
      <c r="KQ965" s="16"/>
      <c r="KR965" s="16"/>
      <c r="KS965" s="16"/>
      <c r="KT965" s="16"/>
      <c r="KU965" s="17"/>
      <c r="KY965" s="24"/>
      <c r="KZ965" s="60"/>
      <c r="LA965" s="16"/>
      <c r="LB965" s="16"/>
      <c r="LC965" s="16"/>
      <c r="LD965" s="16"/>
      <c r="LE965" s="16"/>
      <c r="LF965" s="17"/>
      <c r="LJ965" s="24"/>
      <c r="LK965" s="60"/>
      <c r="LL965" s="16"/>
      <c r="LM965" s="16"/>
      <c r="LN965" s="16"/>
      <c r="LO965" s="16"/>
      <c r="LP965" s="16"/>
      <c r="LQ965" s="17"/>
    </row>
    <row r="966">
      <c r="C966" s="31"/>
      <c r="D966" s="61"/>
      <c r="E966" s="16"/>
      <c r="F966" s="16"/>
      <c r="G966" s="21"/>
      <c r="H966" s="16"/>
      <c r="I966" s="16"/>
      <c r="J966" s="17"/>
      <c r="N966" s="17"/>
      <c r="O966" s="61"/>
      <c r="P966" s="16"/>
      <c r="Q966" s="16"/>
      <c r="R966" s="16"/>
      <c r="S966" s="16"/>
      <c r="T966" s="16"/>
      <c r="U966" s="17"/>
      <c r="Y966" s="24"/>
      <c r="Z966" s="61"/>
      <c r="AA966" s="16"/>
      <c r="AB966" s="16"/>
      <c r="AC966" s="16"/>
      <c r="AD966" s="16"/>
      <c r="AE966" s="16"/>
      <c r="AF966" s="17"/>
      <c r="AJ966" s="24"/>
      <c r="AK966" s="61"/>
      <c r="AL966" s="16"/>
      <c r="AM966" s="16"/>
      <c r="AN966" s="16"/>
      <c r="AO966" s="16"/>
      <c r="AP966" s="16"/>
      <c r="AQ966" s="17"/>
      <c r="AU966" s="24"/>
      <c r="AV966" s="61"/>
      <c r="AW966" s="16"/>
      <c r="AX966" s="16"/>
      <c r="AY966" s="16"/>
      <c r="AZ966" s="16"/>
      <c r="BA966" s="16"/>
      <c r="BB966" s="17"/>
      <c r="BF966" s="24"/>
      <c r="BG966" s="61"/>
      <c r="BH966" s="16"/>
      <c r="BI966" s="16"/>
      <c r="BJ966" s="16"/>
      <c r="BK966" s="16"/>
      <c r="BL966" s="16"/>
      <c r="BM966" s="17"/>
      <c r="BQ966" s="24"/>
      <c r="BR966" s="61"/>
      <c r="BS966" s="16"/>
      <c r="BT966" s="16"/>
      <c r="BU966" s="16"/>
      <c r="BV966" s="16"/>
      <c r="BW966" s="16"/>
      <c r="BX966" s="17"/>
      <c r="CB966" s="24"/>
      <c r="CC966" s="61"/>
      <c r="CD966" s="16"/>
      <c r="CE966" s="16"/>
      <c r="CF966" s="16"/>
      <c r="CG966" s="16"/>
      <c r="CH966" s="16"/>
      <c r="CI966" s="17"/>
      <c r="CM966" s="24"/>
      <c r="CN966" s="61"/>
      <c r="CO966" s="16"/>
      <c r="CP966" s="16"/>
      <c r="CQ966" s="16"/>
      <c r="CR966" s="16"/>
      <c r="CS966" s="16"/>
      <c r="CT966" s="17"/>
      <c r="CX966" s="24"/>
      <c r="CY966" s="60"/>
      <c r="CZ966" s="16"/>
      <c r="DA966" s="16"/>
      <c r="DB966" s="16"/>
      <c r="DC966" s="16"/>
      <c r="DD966" s="16"/>
      <c r="DE966" s="17"/>
      <c r="DI966" s="24"/>
      <c r="DJ966" s="60"/>
      <c r="DK966" s="16"/>
      <c r="DL966" s="16"/>
      <c r="DM966" s="16"/>
      <c r="DN966" s="16"/>
      <c r="DO966" s="16"/>
      <c r="DP966" s="17"/>
      <c r="DT966" s="24"/>
      <c r="DU966" s="60"/>
      <c r="DV966" s="16"/>
      <c r="DW966" s="16"/>
      <c r="DX966" s="16"/>
      <c r="DY966" s="16"/>
      <c r="DZ966" s="16"/>
      <c r="EA966" s="17"/>
      <c r="EE966" s="24"/>
      <c r="EF966" s="60"/>
      <c r="EG966" s="16"/>
      <c r="EH966" s="16"/>
      <c r="EI966" s="16"/>
      <c r="EJ966" s="16"/>
      <c r="EK966" s="16"/>
      <c r="EL966" s="17"/>
      <c r="EP966" s="24"/>
      <c r="EQ966" s="60"/>
      <c r="ER966" s="16"/>
      <c r="ES966" s="16"/>
      <c r="ET966" s="16"/>
      <c r="EU966" s="16"/>
      <c r="EV966" s="16"/>
      <c r="EW966" s="17"/>
      <c r="FA966" s="24"/>
      <c r="FB966" s="60"/>
      <c r="FC966" s="16"/>
      <c r="FD966" s="16"/>
      <c r="FE966" s="16"/>
      <c r="FF966" s="16"/>
      <c r="FG966" s="16"/>
      <c r="FH966" s="17"/>
      <c r="FL966" s="24"/>
      <c r="FM966" s="60"/>
      <c r="FN966" s="16"/>
      <c r="FO966" s="16"/>
      <c r="FP966" s="16"/>
      <c r="FQ966" s="16"/>
      <c r="FR966" s="16"/>
      <c r="FS966" s="17"/>
      <c r="FW966" s="24"/>
      <c r="FX966" s="60"/>
      <c r="FY966" s="16"/>
      <c r="FZ966" s="16"/>
      <c r="GA966" s="16"/>
      <c r="GB966" s="16"/>
      <c r="GC966" s="16"/>
      <c r="GD966" s="17"/>
      <c r="GH966" s="24"/>
      <c r="GI966" s="60"/>
      <c r="GJ966" s="16"/>
      <c r="GK966" s="16"/>
      <c r="GL966" s="16"/>
      <c r="GM966" s="16"/>
      <c r="GN966" s="16"/>
      <c r="GO966" s="17"/>
      <c r="GS966" s="24"/>
      <c r="GT966" s="60"/>
      <c r="GU966" s="16"/>
      <c r="GV966" s="16"/>
      <c r="GW966" s="16"/>
      <c r="GX966" s="16"/>
      <c r="GY966" s="16"/>
      <c r="GZ966" s="17"/>
      <c r="HD966" s="24"/>
      <c r="HE966" s="60"/>
      <c r="HF966" s="16"/>
      <c r="HG966" s="16"/>
      <c r="HH966" s="16"/>
      <c r="HI966" s="16"/>
      <c r="HJ966" s="16"/>
      <c r="HK966" s="17"/>
      <c r="HO966" s="24"/>
      <c r="HP966" s="60"/>
      <c r="HQ966" s="16"/>
      <c r="HR966" s="16"/>
      <c r="HS966" s="16"/>
      <c r="HT966" s="16"/>
      <c r="HU966" s="16"/>
      <c r="HV966" s="17"/>
      <c r="HZ966" s="24"/>
      <c r="IA966" s="60"/>
      <c r="IB966" s="16"/>
      <c r="IC966" s="16"/>
      <c r="ID966" s="16"/>
      <c r="IE966" s="16"/>
      <c r="IF966" s="16"/>
      <c r="IG966" s="17"/>
      <c r="IK966" s="24"/>
      <c r="IL966" s="60"/>
      <c r="IM966" s="16"/>
      <c r="IN966" s="16"/>
      <c r="IO966" s="16"/>
      <c r="IP966" s="16"/>
      <c r="IQ966" s="16"/>
      <c r="IR966" s="17"/>
      <c r="IV966" s="24"/>
      <c r="IW966" s="60"/>
      <c r="IX966" s="16"/>
      <c r="IY966" s="16"/>
      <c r="IZ966" s="16"/>
      <c r="JA966" s="16"/>
      <c r="JB966" s="16"/>
      <c r="JC966" s="17"/>
      <c r="JG966" s="24"/>
      <c r="JH966" s="60"/>
      <c r="JI966" s="16"/>
      <c r="JJ966" s="16"/>
      <c r="JK966" s="16"/>
      <c r="JL966" s="16"/>
      <c r="JM966" s="16"/>
      <c r="JN966" s="17"/>
      <c r="JR966" s="24"/>
      <c r="JS966" s="60"/>
      <c r="JT966" s="16"/>
      <c r="JU966" s="16"/>
      <c r="JV966" s="16"/>
      <c r="JW966" s="16"/>
      <c r="JX966" s="16"/>
      <c r="JY966" s="17"/>
      <c r="KC966" s="24"/>
      <c r="KD966" s="60"/>
      <c r="KE966" s="16"/>
      <c r="KF966" s="16"/>
      <c r="KG966" s="16"/>
      <c r="KH966" s="16"/>
      <c r="KI966" s="16"/>
      <c r="KJ966" s="17"/>
      <c r="KN966" s="24"/>
      <c r="KO966" s="60"/>
      <c r="KP966" s="16"/>
      <c r="KQ966" s="16"/>
      <c r="KR966" s="16"/>
      <c r="KS966" s="16"/>
      <c r="KT966" s="16"/>
      <c r="KU966" s="17"/>
      <c r="KY966" s="24"/>
      <c r="KZ966" s="60"/>
      <c r="LA966" s="16"/>
      <c r="LB966" s="16"/>
      <c r="LC966" s="16"/>
      <c r="LD966" s="16"/>
      <c r="LE966" s="16"/>
      <c r="LF966" s="17"/>
      <c r="LJ966" s="24"/>
      <c r="LK966" s="60"/>
      <c r="LL966" s="16"/>
      <c r="LM966" s="16"/>
      <c r="LN966" s="16"/>
      <c r="LO966" s="16"/>
      <c r="LP966" s="16"/>
      <c r="LQ966" s="17"/>
    </row>
    <row r="967">
      <c r="C967" s="31"/>
      <c r="D967" s="61"/>
      <c r="E967" s="16"/>
      <c r="F967" s="16"/>
      <c r="G967" s="21"/>
      <c r="H967" s="16"/>
      <c r="I967" s="16"/>
      <c r="J967" s="17"/>
      <c r="N967" s="17"/>
      <c r="O967" s="61"/>
      <c r="P967" s="16"/>
      <c r="Q967" s="16"/>
      <c r="R967" s="16"/>
      <c r="S967" s="16"/>
      <c r="T967" s="16"/>
      <c r="U967" s="17"/>
      <c r="Y967" s="24"/>
      <c r="Z967" s="61"/>
      <c r="AA967" s="16"/>
      <c r="AB967" s="16"/>
      <c r="AC967" s="16"/>
      <c r="AD967" s="16"/>
      <c r="AE967" s="16"/>
      <c r="AF967" s="17"/>
      <c r="AJ967" s="24"/>
      <c r="AK967" s="61"/>
      <c r="AL967" s="16"/>
      <c r="AM967" s="16"/>
      <c r="AN967" s="16"/>
      <c r="AO967" s="16"/>
      <c r="AP967" s="16"/>
      <c r="AQ967" s="17"/>
      <c r="AU967" s="24"/>
      <c r="AV967" s="61"/>
      <c r="AW967" s="16"/>
      <c r="AX967" s="16"/>
      <c r="AY967" s="16"/>
      <c r="AZ967" s="16"/>
      <c r="BA967" s="16"/>
      <c r="BB967" s="17"/>
      <c r="BF967" s="24"/>
      <c r="BG967" s="61"/>
      <c r="BH967" s="16"/>
      <c r="BI967" s="16"/>
      <c r="BJ967" s="16"/>
      <c r="BK967" s="16"/>
      <c r="BL967" s="16"/>
      <c r="BM967" s="17"/>
      <c r="BQ967" s="24"/>
      <c r="BR967" s="61"/>
      <c r="BS967" s="16"/>
      <c r="BT967" s="16"/>
      <c r="BU967" s="16"/>
      <c r="BV967" s="16"/>
      <c r="BW967" s="16"/>
      <c r="BX967" s="17"/>
      <c r="CB967" s="24"/>
      <c r="CC967" s="61"/>
      <c r="CD967" s="16"/>
      <c r="CE967" s="16"/>
      <c r="CF967" s="16"/>
      <c r="CG967" s="16"/>
      <c r="CH967" s="16"/>
      <c r="CI967" s="17"/>
      <c r="CM967" s="24"/>
      <c r="CN967" s="61"/>
      <c r="CO967" s="16"/>
      <c r="CP967" s="16"/>
      <c r="CQ967" s="16"/>
      <c r="CR967" s="16"/>
      <c r="CS967" s="16"/>
      <c r="CT967" s="17"/>
      <c r="CX967" s="24"/>
      <c r="CY967" s="60"/>
      <c r="CZ967" s="16"/>
      <c r="DA967" s="16"/>
      <c r="DB967" s="16"/>
      <c r="DC967" s="16"/>
      <c r="DD967" s="16"/>
      <c r="DE967" s="17"/>
      <c r="DI967" s="24"/>
      <c r="DJ967" s="60"/>
      <c r="DK967" s="16"/>
      <c r="DL967" s="16"/>
      <c r="DM967" s="16"/>
      <c r="DN967" s="16"/>
      <c r="DO967" s="16"/>
      <c r="DP967" s="17"/>
      <c r="DT967" s="24"/>
      <c r="DU967" s="60"/>
      <c r="DV967" s="16"/>
      <c r="DW967" s="16"/>
      <c r="DX967" s="16"/>
      <c r="DY967" s="16"/>
      <c r="DZ967" s="16"/>
      <c r="EA967" s="17"/>
      <c r="EE967" s="24"/>
      <c r="EF967" s="60"/>
      <c r="EG967" s="16"/>
      <c r="EH967" s="16"/>
      <c r="EI967" s="16"/>
      <c r="EJ967" s="16"/>
      <c r="EK967" s="16"/>
      <c r="EL967" s="17"/>
      <c r="EP967" s="24"/>
      <c r="EQ967" s="60"/>
      <c r="ER967" s="16"/>
      <c r="ES967" s="16"/>
      <c r="ET967" s="16"/>
      <c r="EU967" s="16"/>
      <c r="EV967" s="16"/>
      <c r="EW967" s="17"/>
      <c r="FA967" s="24"/>
      <c r="FB967" s="60"/>
      <c r="FC967" s="16"/>
      <c r="FD967" s="16"/>
      <c r="FE967" s="16"/>
      <c r="FF967" s="16"/>
      <c r="FG967" s="16"/>
      <c r="FH967" s="17"/>
      <c r="FL967" s="24"/>
      <c r="FM967" s="60"/>
      <c r="FN967" s="16"/>
      <c r="FO967" s="16"/>
      <c r="FP967" s="16"/>
      <c r="FQ967" s="16"/>
      <c r="FR967" s="16"/>
      <c r="FS967" s="17"/>
      <c r="FW967" s="24"/>
      <c r="FX967" s="60"/>
      <c r="FY967" s="16"/>
      <c r="FZ967" s="16"/>
      <c r="GA967" s="16"/>
      <c r="GB967" s="16"/>
      <c r="GC967" s="16"/>
      <c r="GD967" s="17"/>
      <c r="GH967" s="24"/>
      <c r="GI967" s="60"/>
      <c r="GJ967" s="16"/>
      <c r="GK967" s="16"/>
      <c r="GL967" s="16"/>
      <c r="GM967" s="16"/>
      <c r="GN967" s="16"/>
      <c r="GO967" s="17"/>
      <c r="GS967" s="24"/>
      <c r="GT967" s="60"/>
      <c r="GU967" s="16"/>
      <c r="GV967" s="16"/>
      <c r="GW967" s="16"/>
      <c r="GX967" s="16"/>
      <c r="GY967" s="16"/>
      <c r="GZ967" s="17"/>
      <c r="HD967" s="24"/>
      <c r="HE967" s="60"/>
      <c r="HF967" s="16"/>
      <c r="HG967" s="16"/>
      <c r="HH967" s="16"/>
      <c r="HI967" s="16"/>
      <c r="HJ967" s="16"/>
      <c r="HK967" s="17"/>
      <c r="HO967" s="24"/>
      <c r="HP967" s="60"/>
      <c r="HQ967" s="16"/>
      <c r="HR967" s="16"/>
      <c r="HS967" s="16"/>
      <c r="HT967" s="16"/>
      <c r="HU967" s="16"/>
      <c r="HV967" s="17"/>
      <c r="HZ967" s="24"/>
      <c r="IA967" s="60"/>
      <c r="IB967" s="16"/>
      <c r="IC967" s="16"/>
      <c r="ID967" s="16"/>
      <c r="IE967" s="16"/>
      <c r="IF967" s="16"/>
      <c r="IG967" s="17"/>
      <c r="IK967" s="24"/>
      <c r="IL967" s="60"/>
      <c r="IM967" s="16"/>
      <c r="IN967" s="16"/>
      <c r="IO967" s="16"/>
      <c r="IP967" s="16"/>
      <c r="IQ967" s="16"/>
      <c r="IR967" s="17"/>
      <c r="IV967" s="24"/>
      <c r="IW967" s="60"/>
      <c r="IX967" s="16"/>
      <c r="IY967" s="16"/>
      <c r="IZ967" s="16"/>
      <c r="JA967" s="16"/>
      <c r="JB967" s="16"/>
      <c r="JC967" s="17"/>
      <c r="JG967" s="24"/>
      <c r="JH967" s="60"/>
      <c r="JI967" s="16"/>
      <c r="JJ967" s="16"/>
      <c r="JK967" s="16"/>
      <c r="JL967" s="16"/>
      <c r="JM967" s="16"/>
      <c r="JN967" s="17"/>
      <c r="JR967" s="24"/>
      <c r="JS967" s="60"/>
      <c r="JT967" s="16"/>
      <c r="JU967" s="16"/>
      <c r="JV967" s="16"/>
      <c r="JW967" s="16"/>
      <c r="JX967" s="16"/>
      <c r="JY967" s="17"/>
      <c r="KC967" s="24"/>
      <c r="KD967" s="60"/>
      <c r="KE967" s="16"/>
      <c r="KF967" s="16"/>
      <c r="KG967" s="16"/>
      <c r="KH967" s="16"/>
      <c r="KI967" s="16"/>
      <c r="KJ967" s="17"/>
      <c r="KN967" s="24"/>
      <c r="KO967" s="60"/>
      <c r="KP967" s="16"/>
      <c r="KQ967" s="16"/>
      <c r="KR967" s="16"/>
      <c r="KS967" s="16"/>
      <c r="KT967" s="16"/>
      <c r="KU967" s="17"/>
      <c r="KY967" s="24"/>
      <c r="KZ967" s="60"/>
      <c r="LA967" s="16"/>
      <c r="LB967" s="16"/>
      <c r="LC967" s="16"/>
      <c r="LD967" s="16"/>
      <c r="LE967" s="16"/>
      <c r="LF967" s="17"/>
      <c r="LJ967" s="24"/>
      <c r="LK967" s="60"/>
      <c r="LL967" s="16"/>
      <c r="LM967" s="16"/>
      <c r="LN967" s="16"/>
      <c r="LO967" s="16"/>
      <c r="LP967" s="16"/>
      <c r="LQ967" s="17"/>
    </row>
    <row r="968">
      <c r="C968" s="31"/>
      <c r="D968" s="61"/>
      <c r="E968" s="16"/>
      <c r="F968" s="16"/>
      <c r="G968" s="21"/>
      <c r="H968" s="16"/>
      <c r="I968" s="16"/>
      <c r="J968" s="17"/>
      <c r="N968" s="17"/>
      <c r="O968" s="61"/>
      <c r="P968" s="16"/>
      <c r="Q968" s="16"/>
      <c r="R968" s="16"/>
      <c r="S968" s="16"/>
      <c r="T968" s="16"/>
      <c r="U968" s="17"/>
      <c r="Y968" s="24"/>
      <c r="Z968" s="61"/>
      <c r="AA968" s="16"/>
      <c r="AB968" s="16"/>
      <c r="AC968" s="16"/>
      <c r="AD968" s="16"/>
      <c r="AE968" s="16"/>
      <c r="AF968" s="17"/>
      <c r="AJ968" s="24"/>
      <c r="AK968" s="61"/>
      <c r="AL968" s="16"/>
      <c r="AM968" s="16"/>
      <c r="AN968" s="16"/>
      <c r="AO968" s="16"/>
      <c r="AP968" s="16"/>
      <c r="AQ968" s="17"/>
      <c r="AU968" s="24"/>
      <c r="AV968" s="61"/>
      <c r="AW968" s="16"/>
      <c r="AX968" s="16"/>
      <c r="AY968" s="16"/>
      <c r="AZ968" s="16"/>
      <c r="BA968" s="16"/>
      <c r="BB968" s="17"/>
      <c r="BF968" s="24"/>
      <c r="BG968" s="61"/>
      <c r="BH968" s="16"/>
      <c r="BI968" s="16"/>
      <c r="BJ968" s="16"/>
      <c r="BK968" s="16"/>
      <c r="BL968" s="16"/>
      <c r="BM968" s="17"/>
      <c r="BQ968" s="24"/>
      <c r="BR968" s="61"/>
      <c r="BS968" s="16"/>
      <c r="BT968" s="16"/>
      <c r="BU968" s="16"/>
      <c r="BV968" s="16"/>
      <c r="BW968" s="16"/>
      <c r="BX968" s="17"/>
      <c r="CB968" s="24"/>
      <c r="CC968" s="61"/>
      <c r="CD968" s="16"/>
      <c r="CE968" s="16"/>
      <c r="CF968" s="16"/>
      <c r="CG968" s="16"/>
      <c r="CH968" s="16"/>
      <c r="CI968" s="17"/>
      <c r="CM968" s="24"/>
      <c r="CN968" s="61"/>
      <c r="CO968" s="16"/>
      <c r="CP968" s="16"/>
      <c r="CQ968" s="16"/>
      <c r="CR968" s="16"/>
      <c r="CS968" s="16"/>
      <c r="CT968" s="17"/>
      <c r="CX968" s="24"/>
      <c r="CY968" s="60"/>
      <c r="CZ968" s="16"/>
      <c r="DA968" s="16"/>
      <c r="DB968" s="16"/>
      <c r="DC968" s="16"/>
      <c r="DD968" s="16"/>
      <c r="DE968" s="17"/>
      <c r="DI968" s="24"/>
      <c r="DJ968" s="60"/>
      <c r="DK968" s="16"/>
      <c r="DL968" s="16"/>
      <c r="DM968" s="16"/>
      <c r="DN968" s="16"/>
      <c r="DO968" s="16"/>
      <c r="DP968" s="17"/>
      <c r="DT968" s="24"/>
      <c r="DU968" s="60"/>
      <c r="DV968" s="16"/>
      <c r="DW968" s="16"/>
      <c r="DX968" s="16"/>
      <c r="DY968" s="16"/>
      <c r="DZ968" s="16"/>
      <c r="EA968" s="17"/>
      <c r="EE968" s="24"/>
      <c r="EF968" s="60"/>
      <c r="EG968" s="16"/>
      <c r="EH968" s="16"/>
      <c r="EI968" s="16"/>
      <c r="EJ968" s="16"/>
      <c r="EK968" s="16"/>
      <c r="EL968" s="17"/>
      <c r="EP968" s="24"/>
      <c r="EQ968" s="60"/>
      <c r="ER968" s="16"/>
      <c r="ES968" s="16"/>
      <c r="ET968" s="16"/>
      <c r="EU968" s="16"/>
      <c r="EV968" s="16"/>
      <c r="EW968" s="17"/>
      <c r="FA968" s="24"/>
      <c r="FB968" s="60"/>
      <c r="FC968" s="16"/>
      <c r="FD968" s="16"/>
      <c r="FE968" s="16"/>
      <c r="FF968" s="16"/>
      <c r="FG968" s="16"/>
      <c r="FH968" s="17"/>
      <c r="FL968" s="24"/>
      <c r="FM968" s="60"/>
      <c r="FN968" s="16"/>
      <c r="FO968" s="16"/>
      <c r="FP968" s="16"/>
      <c r="FQ968" s="16"/>
      <c r="FR968" s="16"/>
      <c r="FS968" s="17"/>
      <c r="FW968" s="24"/>
      <c r="FX968" s="60"/>
      <c r="FY968" s="16"/>
      <c r="FZ968" s="16"/>
      <c r="GA968" s="16"/>
      <c r="GB968" s="16"/>
      <c r="GC968" s="16"/>
      <c r="GD968" s="17"/>
      <c r="GH968" s="24"/>
      <c r="GI968" s="60"/>
      <c r="GJ968" s="16"/>
      <c r="GK968" s="16"/>
      <c r="GL968" s="16"/>
      <c r="GM968" s="16"/>
      <c r="GN968" s="16"/>
      <c r="GO968" s="17"/>
      <c r="GS968" s="24"/>
      <c r="GT968" s="60"/>
      <c r="GU968" s="16"/>
      <c r="GV968" s="16"/>
      <c r="GW968" s="16"/>
      <c r="GX968" s="16"/>
      <c r="GY968" s="16"/>
      <c r="GZ968" s="17"/>
      <c r="HD968" s="24"/>
      <c r="HE968" s="60"/>
      <c r="HF968" s="16"/>
      <c r="HG968" s="16"/>
      <c r="HH968" s="16"/>
      <c r="HI968" s="16"/>
      <c r="HJ968" s="16"/>
      <c r="HK968" s="17"/>
      <c r="HO968" s="24"/>
      <c r="HP968" s="60"/>
      <c r="HQ968" s="16"/>
      <c r="HR968" s="16"/>
      <c r="HS968" s="16"/>
      <c r="HT968" s="16"/>
      <c r="HU968" s="16"/>
      <c r="HV968" s="17"/>
      <c r="HZ968" s="24"/>
      <c r="IA968" s="60"/>
      <c r="IB968" s="16"/>
      <c r="IC968" s="16"/>
      <c r="ID968" s="16"/>
      <c r="IE968" s="16"/>
      <c r="IF968" s="16"/>
      <c r="IG968" s="17"/>
      <c r="IK968" s="24"/>
      <c r="IL968" s="60"/>
      <c r="IM968" s="16"/>
      <c r="IN968" s="16"/>
      <c r="IO968" s="16"/>
      <c r="IP968" s="16"/>
      <c r="IQ968" s="16"/>
      <c r="IR968" s="17"/>
      <c r="IV968" s="24"/>
      <c r="IW968" s="60"/>
      <c r="IX968" s="16"/>
      <c r="IY968" s="16"/>
      <c r="IZ968" s="16"/>
      <c r="JA968" s="16"/>
      <c r="JB968" s="16"/>
      <c r="JC968" s="17"/>
      <c r="JG968" s="24"/>
      <c r="JH968" s="60"/>
      <c r="JI968" s="16"/>
      <c r="JJ968" s="16"/>
      <c r="JK968" s="16"/>
      <c r="JL968" s="16"/>
      <c r="JM968" s="16"/>
      <c r="JN968" s="17"/>
      <c r="JR968" s="24"/>
      <c r="JS968" s="60"/>
      <c r="JT968" s="16"/>
      <c r="JU968" s="16"/>
      <c r="JV968" s="16"/>
      <c r="JW968" s="16"/>
      <c r="JX968" s="16"/>
      <c r="JY968" s="17"/>
      <c r="KC968" s="24"/>
      <c r="KD968" s="60"/>
      <c r="KE968" s="16"/>
      <c r="KF968" s="16"/>
      <c r="KG968" s="16"/>
      <c r="KH968" s="16"/>
      <c r="KI968" s="16"/>
      <c r="KJ968" s="17"/>
      <c r="KN968" s="24"/>
      <c r="KO968" s="60"/>
      <c r="KP968" s="16"/>
      <c r="KQ968" s="16"/>
      <c r="KR968" s="16"/>
      <c r="KS968" s="16"/>
      <c r="KT968" s="16"/>
      <c r="KU968" s="17"/>
      <c r="KY968" s="24"/>
      <c r="KZ968" s="60"/>
      <c r="LA968" s="16"/>
      <c r="LB968" s="16"/>
      <c r="LC968" s="16"/>
      <c r="LD968" s="16"/>
      <c r="LE968" s="16"/>
      <c r="LF968" s="17"/>
      <c r="LJ968" s="24"/>
      <c r="LK968" s="60"/>
      <c r="LL968" s="16"/>
      <c r="LM968" s="16"/>
      <c r="LN968" s="16"/>
      <c r="LO968" s="16"/>
      <c r="LP968" s="16"/>
      <c r="LQ968" s="17"/>
    </row>
    <row r="969">
      <c r="C969" s="31"/>
      <c r="D969" s="61"/>
      <c r="E969" s="16"/>
      <c r="F969" s="16"/>
      <c r="G969" s="21"/>
      <c r="H969" s="16"/>
      <c r="I969" s="16"/>
      <c r="J969" s="17"/>
      <c r="N969" s="17"/>
      <c r="O969" s="61"/>
      <c r="P969" s="16"/>
      <c r="Q969" s="16"/>
      <c r="R969" s="16"/>
      <c r="S969" s="16"/>
      <c r="T969" s="16"/>
      <c r="U969" s="17"/>
      <c r="Y969" s="24"/>
      <c r="Z969" s="61"/>
      <c r="AA969" s="16"/>
      <c r="AB969" s="16"/>
      <c r="AC969" s="16"/>
      <c r="AD969" s="16"/>
      <c r="AE969" s="16"/>
      <c r="AF969" s="17"/>
      <c r="AJ969" s="24"/>
      <c r="AK969" s="61"/>
      <c r="AL969" s="16"/>
      <c r="AM969" s="16"/>
      <c r="AN969" s="16"/>
      <c r="AO969" s="16"/>
      <c r="AP969" s="16"/>
      <c r="AQ969" s="17"/>
      <c r="AU969" s="24"/>
      <c r="AV969" s="61"/>
      <c r="AW969" s="16"/>
      <c r="AX969" s="16"/>
      <c r="AY969" s="16"/>
      <c r="AZ969" s="16"/>
      <c r="BA969" s="16"/>
      <c r="BB969" s="17"/>
      <c r="BF969" s="24"/>
      <c r="BG969" s="61"/>
      <c r="BH969" s="16"/>
      <c r="BI969" s="16"/>
      <c r="BJ969" s="16"/>
      <c r="BK969" s="16"/>
      <c r="BL969" s="16"/>
      <c r="BM969" s="17"/>
      <c r="BQ969" s="24"/>
      <c r="BR969" s="61"/>
      <c r="BS969" s="16"/>
      <c r="BT969" s="16"/>
      <c r="BU969" s="16"/>
      <c r="BV969" s="16"/>
      <c r="BW969" s="16"/>
      <c r="BX969" s="17"/>
      <c r="CB969" s="24"/>
      <c r="CC969" s="61"/>
      <c r="CD969" s="16"/>
      <c r="CE969" s="16"/>
      <c r="CF969" s="16"/>
      <c r="CG969" s="16"/>
      <c r="CH969" s="16"/>
      <c r="CI969" s="17"/>
      <c r="CM969" s="24"/>
      <c r="CN969" s="61"/>
      <c r="CO969" s="16"/>
      <c r="CP969" s="16"/>
      <c r="CQ969" s="16"/>
      <c r="CR969" s="16"/>
      <c r="CS969" s="16"/>
      <c r="CT969" s="17"/>
      <c r="CX969" s="24"/>
      <c r="CY969" s="60"/>
      <c r="CZ969" s="16"/>
      <c r="DA969" s="16"/>
      <c r="DB969" s="16"/>
      <c r="DC969" s="16"/>
      <c r="DD969" s="16"/>
      <c r="DE969" s="17"/>
      <c r="DI969" s="24"/>
      <c r="DJ969" s="60"/>
      <c r="DK969" s="16"/>
      <c r="DL969" s="16"/>
      <c r="DM969" s="16"/>
      <c r="DN969" s="16"/>
      <c r="DO969" s="16"/>
      <c r="DP969" s="17"/>
      <c r="DT969" s="24"/>
      <c r="DU969" s="60"/>
      <c r="DV969" s="16"/>
      <c r="DW969" s="16"/>
      <c r="DX969" s="16"/>
      <c r="DY969" s="16"/>
      <c r="DZ969" s="16"/>
      <c r="EA969" s="17"/>
      <c r="EE969" s="24"/>
      <c r="EF969" s="60"/>
      <c r="EG969" s="16"/>
      <c r="EH969" s="16"/>
      <c r="EI969" s="16"/>
      <c r="EJ969" s="16"/>
      <c r="EK969" s="16"/>
      <c r="EL969" s="17"/>
      <c r="EP969" s="24"/>
      <c r="EQ969" s="60"/>
      <c r="ER969" s="16"/>
      <c r="ES969" s="16"/>
      <c r="ET969" s="16"/>
      <c r="EU969" s="16"/>
      <c r="EV969" s="16"/>
      <c r="EW969" s="17"/>
      <c r="FA969" s="24"/>
      <c r="FB969" s="60"/>
      <c r="FC969" s="16"/>
      <c r="FD969" s="16"/>
      <c r="FE969" s="16"/>
      <c r="FF969" s="16"/>
      <c r="FG969" s="16"/>
      <c r="FH969" s="17"/>
      <c r="FL969" s="24"/>
      <c r="FM969" s="60"/>
      <c r="FN969" s="16"/>
      <c r="FO969" s="16"/>
      <c r="FP969" s="16"/>
      <c r="FQ969" s="16"/>
      <c r="FR969" s="16"/>
      <c r="FS969" s="17"/>
      <c r="FW969" s="24"/>
      <c r="FX969" s="60"/>
      <c r="FY969" s="16"/>
      <c r="FZ969" s="16"/>
      <c r="GA969" s="16"/>
      <c r="GB969" s="16"/>
      <c r="GC969" s="16"/>
      <c r="GD969" s="17"/>
      <c r="GH969" s="24"/>
      <c r="GI969" s="60"/>
      <c r="GJ969" s="16"/>
      <c r="GK969" s="16"/>
      <c r="GL969" s="16"/>
      <c r="GM969" s="16"/>
      <c r="GN969" s="16"/>
      <c r="GO969" s="17"/>
      <c r="GS969" s="24"/>
      <c r="GT969" s="60"/>
      <c r="GU969" s="16"/>
      <c r="GV969" s="16"/>
      <c r="GW969" s="16"/>
      <c r="GX969" s="16"/>
      <c r="GY969" s="16"/>
      <c r="GZ969" s="17"/>
      <c r="HD969" s="24"/>
      <c r="HE969" s="60"/>
      <c r="HF969" s="16"/>
      <c r="HG969" s="16"/>
      <c r="HH969" s="16"/>
      <c r="HI969" s="16"/>
      <c r="HJ969" s="16"/>
      <c r="HK969" s="17"/>
      <c r="HO969" s="24"/>
      <c r="HP969" s="60"/>
      <c r="HQ969" s="16"/>
      <c r="HR969" s="16"/>
      <c r="HS969" s="16"/>
      <c r="HT969" s="16"/>
      <c r="HU969" s="16"/>
      <c r="HV969" s="17"/>
      <c r="HZ969" s="24"/>
      <c r="IA969" s="60"/>
      <c r="IB969" s="16"/>
      <c r="IC969" s="16"/>
      <c r="ID969" s="16"/>
      <c r="IE969" s="16"/>
      <c r="IF969" s="16"/>
      <c r="IG969" s="17"/>
      <c r="IK969" s="24"/>
      <c r="IL969" s="60"/>
      <c r="IM969" s="16"/>
      <c r="IN969" s="16"/>
      <c r="IO969" s="16"/>
      <c r="IP969" s="16"/>
      <c r="IQ969" s="16"/>
      <c r="IR969" s="17"/>
      <c r="IV969" s="24"/>
      <c r="IW969" s="60"/>
      <c r="IX969" s="16"/>
      <c r="IY969" s="16"/>
      <c r="IZ969" s="16"/>
      <c r="JA969" s="16"/>
      <c r="JB969" s="16"/>
      <c r="JC969" s="17"/>
      <c r="JG969" s="24"/>
      <c r="JH969" s="60"/>
      <c r="JI969" s="16"/>
      <c r="JJ969" s="16"/>
      <c r="JK969" s="16"/>
      <c r="JL969" s="16"/>
      <c r="JM969" s="16"/>
      <c r="JN969" s="17"/>
      <c r="JR969" s="24"/>
      <c r="JS969" s="60"/>
      <c r="JT969" s="16"/>
      <c r="JU969" s="16"/>
      <c r="JV969" s="16"/>
      <c r="JW969" s="16"/>
      <c r="JX969" s="16"/>
      <c r="JY969" s="17"/>
      <c r="KC969" s="24"/>
      <c r="KD969" s="60"/>
      <c r="KE969" s="16"/>
      <c r="KF969" s="16"/>
      <c r="KG969" s="16"/>
      <c r="KH969" s="16"/>
      <c r="KI969" s="16"/>
      <c r="KJ969" s="17"/>
      <c r="KN969" s="24"/>
      <c r="KO969" s="60"/>
      <c r="KP969" s="16"/>
      <c r="KQ969" s="16"/>
      <c r="KR969" s="16"/>
      <c r="KS969" s="16"/>
      <c r="KT969" s="16"/>
      <c r="KU969" s="17"/>
      <c r="KY969" s="24"/>
      <c r="KZ969" s="60"/>
      <c r="LA969" s="16"/>
      <c r="LB969" s="16"/>
      <c r="LC969" s="16"/>
      <c r="LD969" s="16"/>
      <c r="LE969" s="16"/>
      <c r="LF969" s="17"/>
      <c r="LJ969" s="24"/>
      <c r="LK969" s="60"/>
      <c r="LL969" s="16"/>
      <c r="LM969" s="16"/>
      <c r="LN969" s="16"/>
      <c r="LO969" s="16"/>
      <c r="LP969" s="16"/>
      <c r="LQ969" s="17"/>
    </row>
    <row r="970">
      <c r="C970" s="31"/>
      <c r="D970" s="61"/>
      <c r="E970" s="16"/>
      <c r="F970" s="16"/>
      <c r="G970" s="21"/>
      <c r="H970" s="16"/>
      <c r="I970" s="16"/>
      <c r="J970" s="17"/>
      <c r="N970" s="17"/>
      <c r="O970" s="61"/>
      <c r="P970" s="16"/>
      <c r="Q970" s="16"/>
      <c r="R970" s="16"/>
      <c r="S970" s="16"/>
      <c r="T970" s="16"/>
      <c r="U970" s="17"/>
      <c r="Y970" s="24"/>
      <c r="Z970" s="61"/>
      <c r="AA970" s="16"/>
      <c r="AB970" s="16"/>
      <c r="AC970" s="16"/>
      <c r="AD970" s="16"/>
      <c r="AE970" s="16"/>
      <c r="AF970" s="17"/>
      <c r="AJ970" s="24"/>
      <c r="AK970" s="61"/>
      <c r="AL970" s="16"/>
      <c r="AM970" s="16"/>
      <c r="AN970" s="16"/>
      <c r="AO970" s="16"/>
      <c r="AP970" s="16"/>
      <c r="AQ970" s="17"/>
      <c r="AU970" s="24"/>
      <c r="AV970" s="61"/>
      <c r="AW970" s="16"/>
      <c r="AX970" s="16"/>
      <c r="AY970" s="16"/>
      <c r="AZ970" s="16"/>
      <c r="BA970" s="16"/>
      <c r="BB970" s="17"/>
      <c r="BF970" s="24"/>
      <c r="BG970" s="61"/>
      <c r="BH970" s="16"/>
      <c r="BI970" s="16"/>
      <c r="BJ970" s="16"/>
      <c r="BK970" s="16"/>
      <c r="BL970" s="16"/>
      <c r="BM970" s="17"/>
      <c r="BQ970" s="24"/>
      <c r="BR970" s="61"/>
      <c r="BS970" s="16"/>
      <c r="BT970" s="16"/>
      <c r="BU970" s="16"/>
      <c r="BV970" s="16"/>
      <c r="BW970" s="16"/>
      <c r="BX970" s="17"/>
      <c r="CB970" s="24"/>
      <c r="CC970" s="61"/>
      <c r="CD970" s="16"/>
      <c r="CE970" s="16"/>
      <c r="CF970" s="16"/>
      <c r="CG970" s="16"/>
      <c r="CH970" s="16"/>
      <c r="CI970" s="17"/>
      <c r="CM970" s="24"/>
      <c r="CN970" s="61"/>
      <c r="CO970" s="16"/>
      <c r="CP970" s="16"/>
      <c r="CQ970" s="16"/>
      <c r="CR970" s="16"/>
      <c r="CS970" s="16"/>
      <c r="CT970" s="17"/>
      <c r="CX970" s="24"/>
      <c r="CY970" s="60"/>
      <c r="CZ970" s="16"/>
      <c r="DA970" s="16"/>
      <c r="DB970" s="16"/>
      <c r="DC970" s="16"/>
      <c r="DD970" s="16"/>
      <c r="DE970" s="17"/>
      <c r="DI970" s="24"/>
      <c r="DJ970" s="60"/>
      <c r="DK970" s="16"/>
      <c r="DL970" s="16"/>
      <c r="DM970" s="16"/>
      <c r="DN970" s="16"/>
      <c r="DO970" s="16"/>
      <c r="DP970" s="17"/>
      <c r="DT970" s="24"/>
      <c r="DU970" s="60"/>
      <c r="DV970" s="16"/>
      <c r="DW970" s="16"/>
      <c r="DX970" s="16"/>
      <c r="DY970" s="16"/>
      <c r="DZ970" s="16"/>
      <c r="EA970" s="17"/>
      <c r="EE970" s="24"/>
      <c r="EF970" s="60"/>
      <c r="EG970" s="16"/>
      <c r="EH970" s="16"/>
      <c r="EI970" s="16"/>
      <c r="EJ970" s="16"/>
      <c r="EK970" s="16"/>
      <c r="EL970" s="17"/>
      <c r="EP970" s="24"/>
      <c r="EQ970" s="60"/>
      <c r="ER970" s="16"/>
      <c r="ES970" s="16"/>
      <c r="ET970" s="16"/>
      <c r="EU970" s="16"/>
      <c r="EV970" s="16"/>
      <c r="EW970" s="17"/>
      <c r="FA970" s="24"/>
      <c r="FB970" s="60"/>
      <c r="FC970" s="16"/>
      <c r="FD970" s="16"/>
      <c r="FE970" s="16"/>
      <c r="FF970" s="16"/>
      <c r="FG970" s="16"/>
      <c r="FH970" s="17"/>
      <c r="FL970" s="24"/>
      <c r="FM970" s="60"/>
      <c r="FN970" s="16"/>
      <c r="FO970" s="16"/>
      <c r="FP970" s="16"/>
      <c r="FQ970" s="16"/>
      <c r="FR970" s="16"/>
      <c r="FS970" s="17"/>
      <c r="FW970" s="24"/>
      <c r="FX970" s="60"/>
      <c r="FY970" s="16"/>
      <c r="FZ970" s="16"/>
      <c r="GA970" s="16"/>
      <c r="GB970" s="16"/>
      <c r="GC970" s="16"/>
      <c r="GD970" s="17"/>
      <c r="GH970" s="24"/>
      <c r="GI970" s="60"/>
      <c r="GJ970" s="16"/>
      <c r="GK970" s="16"/>
      <c r="GL970" s="16"/>
      <c r="GM970" s="16"/>
      <c r="GN970" s="16"/>
      <c r="GO970" s="17"/>
      <c r="GS970" s="24"/>
      <c r="GT970" s="60"/>
      <c r="GU970" s="16"/>
      <c r="GV970" s="16"/>
      <c r="GW970" s="16"/>
      <c r="GX970" s="16"/>
      <c r="GY970" s="16"/>
      <c r="GZ970" s="17"/>
      <c r="HD970" s="24"/>
      <c r="HE970" s="60"/>
      <c r="HF970" s="16"/>
      <c r="HG970" s="16"/>
      <c r="HH970" s="16"/>
      <c r="HI970" s="16"/>
      <c r="HJ970" s="16"/>
      <c r="HK970" s="17"/>
      <c r="HO970" s="24"/>
      <c r="HP970" s="60"/>
      <c r="HQ970" s="16"/>
      <c r="HR970" s="16"/>
      <c r="HS970" s="16"/>
      <c r="HT970" s="16"/>
      <c r="HU970" s="16"/>
      <c r="HV970" s="17"/>
      <c r="HZ970" s="24"/>
      <c r="IA970" s="60"/>
      <c r="IB970" s="16"/>
      <c r="IC970" s="16"/>
      <c r="ID970" s="16"/>
      <c r="IE970" s="16"/>
      <c r="IF970" s="16"/>
      <c r="IG970" s="17"/>
      <c r="IK970" s="24"/>
      <c r="IL970" s="60"/>
      <c r="IM970" s="16"/>
      <c r="IN970" s="16"/>
      <c r="IO970" s="16"/>
      <c r="IP970" s="16"/>
      <c r="IQ970" s="16"/>
      <c r="IR970" s="17"/>
      <c r="IV970" s="24"/>
      <c r="IW970" s="60"/>
      <c r="IX970" s="16"/>
      <c r="IY970" s="16"/>
      <c r="IZ970" s="16"/>
      <c r="JA970" s="16"/>
      <c r="JB970" s="16"/>
      <c r="JC970" s="17"/>
      <c r="JG970" s="24"/>
      <c r="JH970" s="60"/>
      <c r="JI970" s="16"/>
      <c r="JJ970" s="16"/>
      <c r="JK970" s="16"/>
      <c r="JL970" s="16"/>
      <c r="JM970" s="16"/>
      <c r="JN970" s="17"/>
      <c r="JR970" s="24"/>
      <c r="JS970" s="60"/>
      <c r="JT970" s="16"/>
      <c r="JU970" s="16"/>
      <c r="JV970" s="16"/>
      <c r="JW970" s="16"/>
      <c r="JX970" s="16"/>
      <c r="JY970" s="17"/>
      <c r="KC970" s="24"/>
      <c r="KD970" s="60"/>
      <c r="KE970" s="16"/>
      <c r="KF970" s="16"/>
      <c r="KG970" s="16"/>
      <c r="KH970" s="16"/>
      <c r="KI970" s="16"/>
      <c r="KJ970" s="17"/>
      <c r="KN970" s="24"/>
      <c r="KO970" s="60"/>
      <c r="KP970" s="16"/>
      <c r="KQ970" s="16"/>
      <c r="KR970" s="16"/>
      <c r="KS970" s="16"/>
      <c r="KT970" s="16"/>
      <c r="KU970" s="17"/>
      <c r="KY970" s="24"/>
      <c r="KZ970" s="60"/>
      <c r="LA970" s="16"/>
      <c r="LB970" s="16"/>
      <c r="LC970" s="16"/>
      <c r="LD970" s="16"/>
      <c r="LE970" s="16"/>
      <c r="LF970" s="17"/>
      <c r="LJ970" s="24"/>
      <c r="LK970" s="60"/>
      <c r="LL970" s="16"/>
      <c r="LM970" s="16"/>
      <c r="LN970" s="16"/>
      <c r="LO970" s="16"/>
      <c r="LP970" s="16"/>
      <c r="LQ970" s="17"/>
    </row>
    <row r="971">
      <c r="C971" s="31"/>
      <c r="D971" s="61"/>
      <c r="E971" s="16"/>
      <c r="F971" s="16"/>
      <c r="G971" s="21"/>
      <c r="H971" s="16"/>
      <c r="I971" s="16"/>
      <c r="J971" s="17"/>
      <c r="N971" s="17"/>
      <c r="O971" s="61"/>
      <c r="P971" s="16"/>
      <c r="Q971" s="16"/>
      <c r="R971" s="16"/>
      <c r="S971" s="16"/>
      <c r="T971" s="16"/>
      <c r="U971" s="17"/>
      <c r="Y971" s="24"/>
      <c r="Z971" s="61"/>
      <c r="AA971" s="16"/>
      <c r="AB971" s="16"/>
      <c r="AC971" s="16"/>
      <c r="AD971" s="16"/>
      <c r="AE971" s="16"/>
      <c r="AF971" s="17"/>
      <c r="AJ971" s="24"/>
      <c r="AK971" s="61"/>
      <c r="AL971" s="16"/>
      <c r="AM971" s="16"/>
      <c r="AN971" s="16"/>
      <c r="AO971" s="16"/>
      <c r="AP971" s="16"/>
      <c r="AQ971" s="17"/>
      <c r="AU971" s="24"/>
      <c r="AV971" s="61"/>
      <c r="AW971" s="16"/>
      <c r="AX971" s="16"/>
      <c r="AY971" s="16"/>
      <c r="AZ971" s="16"/>
      <c r="BA971" s="16"/>
      <c r="BB971" s="17"/>
      <c r="BF971" s="24"/>
      <c r="BG971" s="61"/>
      <c r="BH971" s="16"/>
      <c r="BI971" s="16"/>
      <c r="BJ971" s="16"/>
      <c r="BK971" s="16"/>
      <c r="BL971" s="16"/>
      <c r="BM971" s="17"/>
      <c r="BQ971" s="24"/>
      <c r="BR971" s="61"/>
      <c r="BS971" s="16"/>
      <c r="BT971" s="16"/>
      <c r="BU971" s="16"/>
      <c r="BV971" s="16"/>
      <c r="BW971" s="16"/>
      <c r="BX971" s="17"/>
      <c r="CB971" s="24"/>
      <c r="CC971" s="61"/>
      <c r="CD971" s="16"/>
      <c r="CE971" s="16"/>
      <c r="CF971" s="16"/>
      <c r="CG971" s="16"/>
      <c r="CH971" s="16"/>
      <c r="CI971" s="17"/>
      <c r="CM971" s="24"/>
      <c r="CN971" s="61"/>
      <c r="CO971" s="16"/>
      <c r="CP971" s="16"/>
      <c r="CQ971" s="16"/>
      <c r="CR971" s="16"/>
      <c r="CS971" s="16"/>
      <c r="CT971" s="17"/>
      <c r="CX971" s="24"/>
      <c r="CY971" s="60"/>
      <c r="CZ971" s="16"/>
      <c r="DA971" s="16"/>
      <c r="DB971" s="16"/>
      <c r="DC971" s="16"/>
      <c r="DD971" s="16"/>
      <c r="DE971" s="17"/>
      <c r="DI971" s="24"/>
      <c r="DJ971" s="60"/>
      <c r="DK971" s="16"/>
      <c r="DL971" s="16"/>
      <c r="DM971" s="16"/>
      <c r="DN971" s="16"/>
      <c r="DO971" s="16"/>
      <c r="DP971" s="17"/>
      <c r="DT971" s="24"/>
      <c r="DU971" s="60"/>
      <c r="DV971" s="16"/>
      <c r="DW971" s="16"/>
      <c r="DX971" s="16"/>
      <c r="DY971" s="16"/>
      <c r="DZ971" s="16"/>
      <c r="EA971" s="17"/>
      <c r="EE971" s="24"/>
      <c r="EF971" s="60"/>
      <c r="EG971" s="16"/>
      <c r="EH971" s="16"/>
      <c r="EI971" s="16"/>
      <c r="EJ971" s="16"/>
      <c r="EK971" s="16"/>
      <c r="EL971" s="17"/>
      <c r="EP971" s="24"/>
      <c r="EQ971" s="60"/>
      <c r="ER971" s="16"/>
      <c r="ES971" s="16"/>
      <c r="ET971" s="16"/>
      <c r="EU971" s="16"/>
      <c r="EV971" s="16"/>
      <c r="EW971" s="17"/>
      <c r="FA971" s="24"/>
      <c r="FB971" s="60"/>
      <c r="FC971" s="16"/>
      <c r="FD971" s="16"/>
      <c r="FE971" s="16"/>
      <c r="FF971" s="16"/>
      <c r="FG971" s="16"/>
      <c r="FH971" s="17"/>
      <c r="FL971" s="24"/>
      <c r="FM971" s="60"/>
      <c r="FN971" s="16"/>
      <c r="FO971" s="16"/>
      <c r="FP971" s="16"/>
      <c r="FQ971" s="16"/>
      <c r="FR971" s="16"/>
      <c r="FS971" s="17"/>
      <c r="FW971" s="24"/>
      <c r="FX971" s="60"/>
      <c r="FY971" s="16"/>
      <c r="FZ971" s="16"/>
      <c r="GA971" s="16"/>
      <c r="GB971" s="16"/>
      <c r="GC971" s="16"/>
      <c r="GD971" s="17"/>
      <c r="GH971" s="24"/>
      <c r="GI971" s="60"/>
      <c r="GJ971" s="16"/>
      <c r="GK971" s="16"/>
      <c r="GL971" s="16"/>
      <c r="GM971" s="16"/>
      <c r="GN971" s="16"/>
      <c r="GO971" s="17"/>
      <c r="GS971" s="24"/>
      <c r="GT971" s="60"/>
      <c r="GU971" s="16"/>
      <c r="GV971" s="16"/>
      <c r="GW971" s="16"/>
      <c r="GX971" s="16"/>
      <c r="GY971" s="16"/>
      <c r="GZ971" s="17"/>
      <c r="HD971" s="24"/>
      <c r="HE971" s="60"/>
      <c r="HF971" s="16"/>
      <c r="HG971" s="16"/>
      <c r="HH971" s="16"/>
      <c r="HI971" s="16"/>
      <c r="HJ971" s="16"/>
      <c r="HK971" s="17"/>
      <c r="HO971" s="24"/>
      <c r="HP971" s="60"/>
      <c r="HQ971" s="16"/>
      <c r="HR971" s="16"/>
      <c r="HS971" s="16"/>
      <c r="HT971" s="16"/>
      <c r="HU971" s="16"/>
      <c r="HV971" s="17"/>
      <c r="HZ971" s="24"/>
      <c r="IA971" s="60"/>
      <c r="IB971" s="16"/>
      <c r="IC971" s="16"/>
      <c r="ID971" s="16"/>
      <c r="IE971" s="16"/>
      <c r="IF971" s="16"/>
      <c r="IG971" s="17"/>
      <c r="IK971" s="24"/>
      <c r="IL971" s="60"/>
      <c r="IM971" s="16"/>
      <c r="IN971" s="16"/>
      <c r="IO971" s="16"/>
      <c r="IP971" s="16"/>
      <c r="IQ971" s="16"/>
      <c r="IR971" s="17"/>
      <c r="IV971" s="24"/>
      <c r="IW971" s="60"/>
      <c r="IX971" s="16"/>
      <c r="IY971" s="16"/>
      <c r="IZ971" s="16"/>
      <c r="JA971" s="16"/>
      <c r="JB971" s="16"/>
      <c r="JC971" s="17"/>
      <c r="JG971" s="24"/>
      <c r="JH971" s="60"/>
      <c r="JI971" s="16"/>
      <c r="JJ971" s="16"/>
      <c r="JK971" s="16"/>
      <c r="JL971" s="16"/>
      <c r="JM971" s="16"/>
      <c r="JN971" s="17"/>
      <c r="JR971" s="24"/>
      <c r="JS971" s="60"/>
      <c r="JT971" s="16"/>
      <c r="JU971" s="16"/>
      <c r="JV971" s="16"/>
      <c r="JW971" s="16"/>
      <c r="JX971" s="16"/>
      <c r="JY971" s="17"/>
      <c r="KC971" s="24"/>
      <c r="KD971" s="60"/>
      <c r="KE971" s="16"/>
      <c r="KF971" s="16"/>
      <c r="KG971" s="16"/>
      <c r="KH971" s="16"/>
      <c r="KI971" s="16"/>
      <c r="KJ971" s="17"/>
      <c r="KN971" s="24"/>
      <c r="KO971" s="60"/>
      <c r="KP971" s="16"/>
      <c r="KQ971" s="16"/>
      <c r="KR971" s="16"/>
      <c r="KS971" s="16"/>
      <c r="KT971" s="16"/>
      <c r="KU971" s="17"/>
      <c r="KY971" s="24"/>
      <c r="KZ971" s="60"/>
      <c r="LA971" s="16"/>
      <c r="LB971" s="16"/>
      <c r="LC971" s="16"/>
      <c r="LD971" s="16"/>
      <c r="LE971" s="16"/>
      <c r="LF971" s="17"/>
      <c r="LJ971" s="24"/>
      <c r="LK971" s="60"/>
      <c r="LL971" s="16"/>
      <c r="LM971" s="16"/>
      <c r="LN971" s="16"/>
      <c r="LO971" s="16"/>
      <c r="LP971" s="16"/>
      <c r="LQ971" s="17"/>
    </row>
    <row r="972">
      <c r="C972" s="31"/>
      <c r="D972" s="61"/>
      <c r="E972" s="16"/>
      <c r="F972" s="16"/>
      <c r="G972" s="21"/>
      <c r="H972" s="16"/>
      <c r="I972" s="16"/>
      <c r="J972" s="17"/>
      <c r="N972" s="17"/>
      <c r="O972" s="61"/>
      <c r="P972" s="16"/>
      <c r="Q972" s="16"/>
      <c r="R972" s="16"/>
      <c r="S972" s="16"/>
      <c r="T972" s="16"/>
      <c r="U972" s="17"/>
      <c r="Y972" s="24"/>
      <c r="Z972" s="61"/>
      <c r="AA972" s="16"/>
      <c r="AB972" s="16"/>
      <c r="AC972" s="16"/>
      <c r="AD972" s="16"/>
      <c r="AE972" s="16"/>
      <c r="AF972" s="17"/>
      <c r="AJ972" s="24"/>
      <c r="AK972" s="61"/>
      <c r="AL972" s="16"/>
      <c r="AM972" s="16"/>
      <c r="AN972" s="16"/>
      <c r="AO972" s="16"/>
      <c r="AP972" s="16"/>
      <c r="AQ972" s="17"/>
      <c r="AU972" s="24"/>
      <c r="AV972" s="61"/>
      <c r="AW972" s="16"/>
      <c r="AX972" s="16"/>
      <c r="AY972" s="16"/>
      <c r="AZ972" s="16"/>
      <c r="BA972" s="16"/>
      <c r="BB972" s="17"/>
      <c r="BF972" s="24"/>
      <c r="BG972" s="61"/>
      <c r="BH972" s="16"/>
      <c r="BI972" s="16"/>
      <c r="BJ972" s="16"/>
      <c r="BK972" s="16"/>
      <c r="BL972" s="16"/>
      <c r="BM972" s="17"/>
      <c r="BQ972" s="24"/>
      <c r="BR972" s="61"/>
      <c r="BS972" s="16"/>
      <c r="BT972" s="16"/>
      <c r="BU972" s="16"/>
      <c r="BV972" s="16"/>
      <c r="BW972" s="16"/>
      <c r="BX972" s="17"/>
      <c r="CB972" s="24"/>
      <c r="CC972" s="61"/>
      <c r="CD972" s="16"/>
      <c r="CE972" s="16"/>
      <c r="CF972" s="16"/>
      <c r="CG972" s="16"/>
      <c r="CH972" s="16"/>
      <c r="CI972" s="17"/>
      <c r="CM972" s="24"/>
      <c r="CN972" s="61"/>
      <c r="CO972" s="16"/>
      <c r="CP972" s="16"/>
      <c r="CQ972" s="16"/>
      <c r="CR972" s="16"/>
      <c r="CS972" s="16"/>
      <c r="CT972" s="17"/>
      <c r="CX972" s="24"/>
      <c r="CY972" s="60"/>
      <c r="CZ972" s="16"/>
      <c r="DA972" s="16"/>
      <c r="DB972" s="16"/>
      <c r="DC972" s="16"/>
      <c r="DD972" s="16"/>
      <c r="DE972" s="17"/>
      <c r="DI972" s="24"/>
      <c r="DJ972" s="60"/>
      <c r="DK972" s="16"/>
      <c r="DL972" s="16"/>
      <c r="DM972" s="16"/>
      <c r="DN972" s="16"/>
      <c r="DO972" s="16"/>
      <c r="DP972" s="17"/>
      <c r="DT972" s="24"/>
      <c r="DU972" s="60"/>
      <c r="DV972" s="16"/>
      <c r="DW972" s="16"/>
      <c r="DX972" s="16"/>
      <c r="DY972" s="16"/>
      <c r="DZ972" s="16"/>
      <c r="EA972" s="17"/>
      <c r="EE972" s="24"/>
      <c r="EF972" s="60"/>
      <c r="EG972" s="16"/>
      <c r="EH972" s="16"/>
      <c r="EI972" s="16"/>
      <c r="EJ972" s="16"/>
      <c r="EK972" s="16"/>
      <c r="EL972" s="17"/>
      <c r="EP972" s="24"/>
      <c r="EQ972" s="60"/>
      <c r="ER972" s="16"/>
      <c r="ES972" s="16"/>
      <c r="ET972" s="16"/>
      <c r="EU972" s="16"/>
      <c r="EV972" s="16"/>
      <c r="EW972" s="17"/>
      <c r="FA972" s="24"/>
      <c r="FB972" s="60"/>
      <c r="FC972" s="16"/>
      <c r="FD972" s="16"/>
      <c r="FE972" s="16"/>
      <c r="FF972" s="16"/>
      <c r="FG972" s="16"/>
      <c r="FH972" s="17"/>
      <c r="FL972" s="24"/>
      <c r="FM972" s="60"/>
      <c r="FN972" s="16"/>
      <c r="FO972" s="16"/>
      <c r="FP972" s="16"/>
      <c r="FQ972" s="16"/>
      <c r="FR972" s="16"/>
      <c r="FS972" s="17"/>
      <c r="FW972" s="24"/>
      <c r="FX972" s="60"/>
      <c r="FY972" s="16"/>
      <c r="FZ972" s="16"/>
      <c r="GA972" s="16"/>
      <c r="GB972" s="16"/>
      <c r="GC972" s="16"/>
      <c r="GD972" s="17"/>
      <c r="GH972" s="24"/>
      <c r="GI972" s="60"/>
      <c r="GJ972" s="16"/>
      <c r="GK972" s="16"/>
      <c r="GL972" s="16"/>
      <c r="GM972" s="16"/>
      <c r="GN972" s="16"/>
      <c r="GO972" s="17"/>
      <c r="GS972" s="24"/>
      <c r="GT972" s="60"/>
      <c r="GU972" s="16"/>
      <c r="GV972" s="16"/>
      <c r="GW972" s="16"/>
      <c r="GX972" s="16"/>
      <c r="GY972" s="16"/>
      <c r="GZ972" s="17"/>
      <c r="HD972" s="24"/>
      <c r="HE972" s="60"/>
      <c r="HF972" s="16"/>
      <c r="HG972" s="16"/>
      <c r="HH972" s="16"/>
      <c r="HI972" s="16"/>
      <c r="HJ972" s="16"/>
      <c r="HK972" s="17"/>
      <c r="HO972" s="24"/>
      <c r="HP972" s="60"/>
      <c r="HQ972" s="16"/>
      <c r="HR972" s="16"/>
      <c r="HS972" s="16"/>
      <c r="HT972" s="16"/>
      <c r="HU972" s="16"/>
      <c r="HV972" s="17"/>
      <c r="HZ972" s="24"/>
      <c r="IA972" s="60"/>
      <c r="IB972" s="16"/>
      <c r="IC972" s="16"/>
      <c r="ID972" s="16"/>
      <c r="IE972" s="16"/>
      <c r="IF972" s="16"/>
      <c r="IG972" s="17"/>
      <c r="IK972" s="24"/>
      <c r="IL972" s="60"/>
      <c r="IM972" s="16"/>
      <c r="IN972" s="16"/>
      <c r="IO972" s="16"/>
      <c r="IP972" s="16"/>
      <c r="IQ972" s="16"/>
      <c r="IR972" s="17"/>
      <c r="IV972" s="24"/>
      <c r="IW972" s="60"/>
      <c r="IX972" s="16"/>
      <c r="IY972" s="16"/>
      <c r="IZ972" s="16"/>
      <c r="JA972" s="16"/>
      <c r="JB972" s="16"/>
      <c r="JC972" s="17"/>
      <c r="JG972" s="24"/>
      <c r="JH972" s="60"/>
      <c r="JI972" s="16"/>
      <c r="JJ972" s="16"/>
      <c r="JK972" s="16"/>
      <c r="JL972" s="16"/>
      <c r="JM972" s="16"/>
      <c r="JN972" s="17"/>
      <c r="JR972" s="24"/>
      <c r="JS972" s="60"/>
      <c r="JT972" s="16"/>
      <c r="JU972" s="16"/>
      <c r="JV972" s="16"/>
      <c r="JW972" s="16"/>
      <c r="JX972" s="16"/>
      <c r="JY972" s="17"/>
      <c r="KC972" s="24"/>
      <c r="KD972" s="60"/>
      <c r="KE972" s="16"/>
      <c r="KF972" s="16"/>
      <c r="KG972" s="16"/>
      <c r="KH972" s="16"/>
      <c r="KI972" s="16"/>
      <c r="KJ972" s="17"/>
      <c r="KN972" s="24"/>
      <c r="KO972" s="60"/>
      <c r="KP972" s="16"/>
      <c r="KQ972" s="16"/>
      <c r="KR972" s="16"/>
      <c r="KS972" s="16"/>
      <c r="KT972" s="16"/>
      <c r="KU972" s="17"/>
      <c r="KY972" s="24"/>
      <c r="KZ972" s="60"/>
      <c r="LA972" s="16"/>
      <c r="LB972" s="16"/>
      <c r="LC972" s="16"/>
      <c r="LD972" s="16"/>
      <c r="LE972" s="16"/>
      <c r="LF972" s="17"/>
      <c r="LJ972" s="24"/>
      <c r="LK972" s="60"/>
      <c r="LL972" s="16"/>
      <c r="LM972" s="16"/>
      <c r="LN972" s="16"/>
      <c r="LO972" s="16"/>
      <c r="LP972" s="16"/>
      <c r="LQ972" s="17"/>
    </row>
    <row r="973">
      <c r="C973" s="31"/>
      <c r="D973" s="61"/>
      <c r="E973" s="16"/>
      <c r="F973" s="16"/>
      <c r="G973" s="21"/>
      <c r="H973" s="16"/>
      <c r="I973" s="16"/>
      <c r="J973" s="17"/>
      <c r="N973" s="17"/>
      <c r="O973" s="61"/>
      <c r="P973" s="16"/>
      <c r="Q973" s="16"/>
      <c r="R973" s="16"/>
      <c r="S973" s="16"/>
      <c r="T973" s="16"/>
      <c r="U973" s="17"/>
      <c r="Y973" s="24"/>
      <c r="Z973" s="61"/>
      <c r="AA973" s="16"/>
      <c r="AB973" s="16"/>
      <c r="AC973" s="16"/>
      <c r="AD973" s="16"/>
      <c r="AE973" s="16"/>
      <c r="AF973" s="17"/>
      <c r="AJ973" s="24"/>
      <c r="AK973" s="61"/>
      <c r="AL973" s="16"/>
      <c r="AM973" s="16"/>
      <c r="AN973" s="16"/>
      <c r="AO973" s="16"/>
      <c r="AP973" s="16"/>
      <c r="AQ973" s="17"/>
      <c r="AU973" s="24"/>
      <c r="AV973" s="61"/>
      <c r="AW973" s="16"/>
      <c r="AX973" s="16"/>
      <c r="AY973" s="16"/>
      <c r="AZ973" s="16"/>
      <c r="BA973" s="16"/>
      <c r="BB973" s="17"/>
      <c r="BF973" s="24"/>
      <c r="BG973" s="61"/>
      <c r="BH973" s="16"/>
      <c r="BI973" s="16"/>
      <c r="BJ973" s="16"/>
      <c r="BK973" s="16"/>
      <c r="BL973" s="16"/>
      <c r="BM973" s="17"/>
      <c r="BQ973" s="24"/>
      <c r="BR973" s="61"/>
      <c r="BS973" s="16"/>
      <c r="BT973" s="16"/>
      <c r="BU973" s="16"/>
      <c r="BV973" s="16"/>
      <c r="BW973" s="16"/>
      <c r="BX973" s="17"/>
      <c r="CB973" s="24"/>
      <c r="CC973" s="61"/>
      <c r="CD973" s="16"/>
      <c r="CE973" s="16"/>
      <c r="CF973" s="16"/>
      <c r="CG973" s="16"/>
      <c r="CH973" s="16"/>
      <c r="CI973" s="17"/>
      <c r="CM973" s="24"/>
      <c r="CN973" s="61"/>
      <c r="CO973" s="16"/>
      <c r="CP973" s="16"/>
      <c r="CQ973" s="16"/>
      <c r="CR973" s="16"/>
      <c r="CS973" s="16"/>
      <c r="CT973" s="17"/>
      <c r="CX973" s="24"/>
      <c r="CY973" s="60"/>
      <c r="CZ973" s="16"/>
      <c r="DA973" s="16"/>
      <c r="DB973" s="16"/>
      <c r="DC973" s="16"/>
      <c r="DD973" s="16"/>
      <c r="DE973" s="17"/>
      <c r="DI973" s="24"/>
      <c r="DJ973" s="60"/>
      <c r="DK973" s="16"/>
      <c r="DL973" s="16"/>
      <c r="DM973" s="16"/>
      <c r="DN973" s="16"/>
      <c r="DO973" s="16"/>
      <c r="DP973" s="17"/>
      <c r="DT973" s="24"/>
      <c r="DU973" s="60"/>
      <c r="DV973" s="16"/>
      <c r="DW973" s="16"/>
      <c r="DX973" s="16"/>
      <c r="DY973" s="16"/>
      <c r="DZ973" s="16"/>
      <c r="EA973" s="17"/>
      <c r="EE973" s="24"/>
      <c r="EF973" s="60"/>
      <c r="EG973" s="16"/>
      <c r="EH973" s="16"/>
      <c r="EI973" s="16"/>
      <c r="EJ973" s="16"/>
      <c r="EK973" s="16"/>
      <c r="EL973" s="17"/>
      <c r="EP973" s="24"/>
      <c r="EQ973" s="60"/>
      <c r="ER973" s="16"/>
      <c r="ES973" s="16"/>
      <c r="ET973" s="16"/>
      <c r="EU973" s="16"/>
      <c r="EV973" s="16"/>
      <c r="EW973" s="17"/>
      <c r="FA973" s="24"/>
      <c r="FB973" s="60"/>
      <c r="FC973" s="16"/>
      <c r="FD973" s="16"/>
      <c r="FE973" s="16"/>
      <c r="FF973" s="16"/>
      <c r="FG973" s="16"/>
      <c r="FH973" s="17"/>
      <c r="FL973" s="24"/>
      <c r="FM973" s="60"/>
      <c r="FN973" s="16"/>
      <c r="FO973" s="16"/>
      <c r="FP973" s="16"/>
      <c r="FQ973" s="16"/>
      <c r="FR973" s="16"/>
      <c r="FS973" s="17"/>
      <c r="FW973" s="24"/>
      <c r="FX973" s="60"/>
      <c r="FY973" s="16"/>
      <c r="FZ973" s="16"/>
      <c r="GA973" s="16"/>
      <c r="GB973" s="16"/>
      <c r="GC973" s="16"/>
      <c r="GD973" s="17"/>
      <c r="GH973" s="24"/>
      <c r="GI973" s="60"/>
      <c r="GJ973" s="16"/>
      <c r="GK973" s="16"/>
      <c r="GL973" s="16"/>
      <c r="GM973" s="16"/>
      <c r="GN973" s="16"/>
      <c r="GO973" s="17"/>
      <c r="GS973" s="24"/>
      <c r="GT973" s="60"/>
      <c r="GU973" s="16"/>
      <c r="GV973" s="16"/>
      <c r="GW973" s="16"/>
      <c r="GX973" s="16"/>
      <c r="GY973" s="16"/>
      <c r="GZ973" s="17"/>
      <c r="HD973" s="24"/>
      <c r="HE973" s="60"/>
      <c r="HF973" s="16"/>
      <c r="HG973" s="16"/>
      <c r="HH973" s="16"/>
      <c r="HI973" s="16"/>
      <c r="HJ973" s="16"/>
      <c r="HK973" s="17"/>
      <c r="HO973" s="24"/>
      <c r="HP973" s="60"/>
      <c r="HQ973" s="16"/>
      <c r="HR973" s="16"/>
      <c r="HS973" s="16"/>
      <c r="HT973" s="16"/>
      <c r="HU973" s="16"/>
      <c r="HV973" s="17"/>
      <c r="HZ973" s="24"/>
      <c r="IA973" s="60"/>
      <c r="IB973" s="16"/>
      <c r="IC973" s="16"/>
      <c r="ID973" s="16"/>
      <c r="IE973" s="16"/>
      <c r="IF973" s="16"/>
      <c r="IG973" s="17"/>
      <c r="IK973" s="24"/>
      <c r="IL973" s="60"/>
      <c r="IM973" s="16"/>
      <c r="IN973" s="16"/>
      <c r="IO973" s="16"/>
      <c r="IP973" s="16"/>
      <c r="IQ973" s="16"/>
      <c r="IR973" s="17"/>
      <c r="IV973" s="24"/>
      <c r="IW973" s="60"/>
      <c r="IX973" s="16"/>
      <c r="IY973" s="16"/>
      <c r="IZ973" s="16"/>
      <c r="JA973" s="16"/>
      <c r="JB973" s="16"/>
      <c r="JC973" s="17"/>
      <c r="JG973" s="24"/>
      <c r="JH973" s="60"/>
      <c r="JI973" s="16"/>
      <c r="JJ973" s="16"/>
      <c r="JK973" s="16"/>
      <c r="JL973" s="16"/>
      <c r="JM973" s="16"/>
      <c r="JN973" s="17"/>
      <c r="JR973" s="24"/>
      <c r="JS973" s="60"/>
      <c r="JT973" s="16"/>
      <c r="JU973" s="16"/>
      <c r="JV973" s="16"/>
      <c r="JW973" s="16"/>
      <c r="JX973" s="16"/>
      <c r="JY973" s="17"/>
      <c r="KC973" s="24"/>
      <c r="KD973" s="60"/>
      <c r="KE973" s="16"/>
      <c r="KF973" s="16"/>
      <c r="KG973" s="16"/>
      <c r="KH973" s="16"/>
      <c r="KI973" s="16"/>
      <c r="KJ973" s="17"/>
      <c r="KN973" s="24"/>
      <c r="KO973" s="60"/>
      <c r="KP973" s="16"/>
      <c r="KQ973" s="16"/>
      <c r="KR973" s="16"/>
      <c r="KS973" s="16"/>
      <c r="KT973" s="16"/>
      <c r="KU973" s="17"/>
      <c r="KY973" s="24"/>
      <c r="KZ973" s="60"/>
      <c r="LA973" s="16"/>
      <c r="LB973" s="16"/>
      <c r="LC973" s="16"/>
      <c r="LD973" s="16"/>
      <c r="LE973" s="16"/>
      <c r="LF973" s="17"/>
      <c r="LJ973" s="24"/>
      <c r="LK973" s="60"/>
      <c r="LL973" s="16"/>
      <c r="LM973" s="16"/>
      <c r="LN973" s="16"/>
      <c r="LO973" s="16"/>
      <c r="LP973" s="16"/>
      <c r="LQ973" s="17"/>
    </row>
    <row r="974">
      <c r="C974" s="31"/>
      <c r="D974" s="61"/>
      <c r="E974" s="16"/>
      <c r="F974" s="16"/>
      <c r="G974" s="21"/>
      <c r="H974" s="16"/>
      <c r="I974" s="16"/>
      <c r="J974" s="17"/>
      <c r="N974" s="17"/>
      <c r="O974" s="61"/>
      <c r="P974" s="16"/>
      <c r="Q974" s="16"/>
      <c r="R974" s="16"/>
      <c r="S974" s="16"/>
      <c r="T974" s="16"/>
      <c r="U974" s="17"/>
      <c r="Y974" s="24"/>
      <c r="Z974" s="61"/>
      <c r="AA974" s="16"/>
      <c r="AB974" s="16"/>
      <c r="AC974" s="16"/>
      <c r="AD974" s="16"/>
      <c r="AE974" s="16"/>
      <c r="AF974" s="17"/>
      <c r="AJ974" s="24"/>
      <c r="AK974" s="61"/>
      <c r="AL974" s="16"/>
      <c r="AM974" s="16"/>
      <c r="AN974" s="16"/>
      <c r="AO974" s="16"/>
      <c r="AP974" s="16"/>
      <c r="AQ974" s="17"/>
      <c r="AU974" s="24"/>
      <c r="AV974" s="61"/>
      <c r="AW974" s="16"/>
      <c r="AX974" s="16"/>
      <c r="AY974" s="16"/>
      <c r="AZ974" s="16"/>
      <c r="BA974" s="16"/>
      <c r="BB974" s="17"/>
      <c r="BF974" s="24"/>
      <c r="BG974" s="61"/>
      <c r="BH974" s="16"/>
      <c r="BI974" s="16"/>
      <c r="BJ974" s="16"/>
      <c r="BK974" s="16"/>
      <c r="BL974" s="16"/>
      <c r="BM974" s="17"/>
      <c r="BQ974" s="24"/>
      <c r="BR974" s="61"/>
      <c r="BS974" s="16"/>
      <c r="BT974" s="16"/>
      <c r="BU974" s="16"/>
      <c r="BV974" s="16"/>
      <c r="BW974" s="16"/>
      <c r="BX974" s="17"/>
      <c r="CB974" s="24"/>
      <c r="CC974" s="61"/>
      <c r="CD974" s="16"/>
      <c r="CE974" s="16"/>
      <c r="CF974" s="16"/>
      <c r="CG974" s="16"/>
      <c r="CH974" s="16"/>
      <c r="CI974" s="17"/>
      <c r="CM974" s="24"/>
      <c r="CN974" s="61"/>
      <c r="CO974" s="16"/>
      <c r="CP974" s="16"/>
      <c r="CQ974" s="16"/>
      <c r="CR974" s="16"/>
      <c r="CS974" s="16"/>
      <c r="CT974" s="17"/>
      <c r="CX974" s="24"/>
      <c r="CY974" s="60"/>
      <c r="CZ974" s="16"/>
      <c r="DA974" s="16"/>
      <c r="DB974" s="16"/>
      <c r="DC974" s="16"/>
      <c r="DD974" s="16"/>
      <c r="DE974" s="17"/>
      <c r="DI974" s="24"/>
      <c r="DJ974" s="60"/>
      <c r="DK974" s="16"/>
      <c r="DL974" s="16"/>
      <c r="DM974" s="16"/>
      <c r="DN974" s="16"/>
      <c r="DO974" s="16"/>
      <c r="DP974" s="17"/>
      <c r="DT974" s="24"/>
      <c r="DU974" s="60"/>
      <c r="DV974" s="16"/>
      <c r="DW974" s="16"/>
      <c r="DX974" s="16"/>
      <c r="DY974" s="16"/>
      <c r="DZ974" s="16"/>
      <c r="EA974" s="17"/>
      <c r="EE974" s="24"/>
      <c r="EF974" s="60"/>
      <c r="EG974" s="16"/>
      <c r="EH974" s="16"/>
      <c r="EI974" s="16"/>
      <c r="EJ974" s="16"/>
      <c r="EK974" s="16"/>
      <c r="EL974" s="17"/>
      <c r="EP974" s="24"/>
      <c r="EQ974" s="60"/>
      <c r="ER974" s="16"/>
      <c r="ES974" s="16"/>
      <c r="ET974" s="16"/>
      <c r="EU974" s="16"/>
      <c r="EV974" s="16"/>
      <c r="EW974" s="17"/>
      <c r="FA974" s="24"/>
      <c r="FB974" s="60"/>
      <c r="FC974" s="16"/>
      <c r="FD974" s="16"/>
      <c r="FE974" s="16"/>
      <c r="FF974" s="16"/>
      <c r="FG974" s="16"/>
      <c r="FH974" s="17"/>
      <c r="FL974" s="24"/>
      <c r="FM974" s="60"/>
      <c r="FN974" s="16"/>
      <c r="FO974" s="16"/>
      <c r="FP974" s="16"/>
      <c r="FQ974" s="16"/>
      <c r="FR974" s="16"/>
      <c r="FS974" s="17"/>
      <c r="FW974" s="24"/>
      <c r="FX974" s="60"/>
      <c r="FY974" s="16"/>
      <c r="FZ974" s="16"/>
      <c r="GA974" s="16"/>
      <c r="GB974" s="16"/>
      <c r="GC974" s="16"/>
      <c r="GD974" s="17"/>
      <c r="GH974" s="24"/>
      <c r="GI974" s="60"/>
      <c r="GJ974" s="16"/>
      <c r="GK974" s="16"/>
      <c r="GL974" s="16"/>
      <c r="GM974" s="16"/>
      <c r="GN974" s="16"/>
      <c r="GO974" s="17"/>
      <c r="GS974" s="24"/>
      <c r="GT974" s="60"/>
      <c r="GU974" s="16"/>
      <c r="GV974" s="16"/>
      <c r="GW974" s="16"/>
      <c r="GX974" s="16"/>
      <c r="GY974" s="16"/>
      <c r="GZ974" s="17"/>
      <c r="HD974" s="24"/>
      <c r="HE974" s="60"/>
      <c r="HF974" s="16"/>
      <c r="HG974" s="16"/>
      <c r="HH974" s="16"/>
      <c r="HI974" s="16"/>
      <c r="HJ974" s="16"/>
      <c r="HK974" s="17"/>
      <c r="HO974" s="24"/>
      <c r="HP974" s="60"/>
      <c r="HQ974" s="16"/>
      <c r="HR974" s="16"/>
      <c r="HS974" s="16"/>
      <c r="HT974" s="16"/>
      <c r="HU974" s="16"/>
      <c r="HV974" s="17"/>
      <c r="HZ974" s="24"/>
      <c r="IA974" s="60"/>
      <c r="IB974" s="16"/>
      <c r="IC974" s="16"/>
      <c r="ID974" s="16"/>
      <c r="IE974" s="16"/>
      <c r="IF974" s="16"/>
      <c r="IG974" s="17"/>
      <c r="IK974" s="24"/>
      <c r="IL974" s="60"/>
      <c r="IM974" s="16"/>
      <c r="IN974" s="16"/>
      <c r="IO974" s="16"/>
      <c r="IP974" s="16"/>
      <c r="IQ974" s="16"/>
      <c r="IR974" s="17"/>
      <c r="IV974" s="24"/>
      <c r="IW974" s="60"/>
      <c r="IX974" s="16"/>
      <c r="IY974" s="16"/>
      <c r="IZ974" s="16"/>
      <c r="JA974" s="16"/>
      <c r="JB974" s="16"/>
      <c r="JC974" s="17"/>
      <c r="JG974" s="24"/>
      <c r="JH974" s="60"/>
      <c r="JI974" s="16"/>
      <c r="JJ974" s="16"/>
      <c r="JK974" s="16"/>
      <c r="JL974" s="16"/>
      <c r="JM974" s="16"/>
      <c r="JN974" s="17"/>
      <c r="JR974" s="24"/>
      <c r="JS974" s="60"/>
      <c r="JT974" s="16"/>
      <c r="JU974" s="16"/>
      <c r="JV974" s="16"/>
      <c r="JW974" s="16"/>
      <c r="JX974" s="16"/>
      <c r="JY974" s="17"/>
      <c r="KC974" s="24"/>
      <c r="KD974" s="60"/>
      <c r="KE974" s="16"/>
      <c r="KF974" s="16"/>
      <c r="KG974" s="16"/>
      <c r="KH974" s="16"/>
      <c r="KI974" s="16"/>
      <c r="KJ974" s="17"/>
      <c r="KN974" s="24"/>
      <c r="KO974" s="60"/>
      <c r="KP974" s="16"/>
      <c r="KQ974" s="16"/>
      <c r="KR974" s="16"/>
      <c r="KS974" s="16"/>
      <c r="KT974" s="16"/>
      <c r="KU974" s="17"/>
      <c r="KY974" s="24"/>
      <c r="KZ974" s="60"/>
      <c r="LA974" s="16"/>
      <c r="LB974" s="16"/>
      <c r="LC974" s="16"/>
      <c r="LD974" s="16"/>
      <c r="LE974" s="16"/>
      <c r="LF974" s="17"/>
      <c r="LJ974" s="24"/>
      <c r="LK974" s="60"/>
      <c r="LL974" s="16"/>
      <c r="LM974" s="16"/>
      <c r="LN974" s="16"/>
      <c r="LO974" s="16"/>
      <c r="LP974" s="16"/>
      <c r="LQ974" s="17"/>
    </row>
    <row r="975">
      <c r="C975" s="31"/>
      <c r="D975" s="61"/>
      <c r="E975" s="16"/>
      <c r="F975" s="16"/>
      <c r="G975" s="21"/>
      <c r="H975" s="16"/>
      <c r="I975" s="16"/>
      <c r="J975" s="17"/>
      <c r="N975" s="17"/>
      <c r="O975" s="61"/>
      <c r="P975" s="16"/>
      <c r="Q975" s="16"/>
      <c r="R975" s="16"/>
      <c r="S975" s="16"/>
      <c r="T975" s="16"/>
      <c r="U975" s="17"/>
      <c r="Y975" s="24"/>
      <c r="Z975" s="61"/>
      <c r="AA975" s="16"/>
      <c r="AB975" s="16"/>
      <c r="AC975" s="16"/>
      <c r="AD975" s="16"/>
      <c r="AE975" s="16"/>
      <c r="AF975" s="17"/>
      <c r="AJ975" s="24"/>
      <c r="AK975" s="61"/>
      <c r="AL975" s="16"/>
      <c r="AM975" s="16"/>
      <c r="AN975" s="16"/>
      <c r="AO975" s="16"/>
      <c r="AP975" s="16"/>
      <c r="AQ975" s="17"/>
      <c r="AU975" s="24"/>
      <c r="AV975" s="61"/>
      <c r="AW975" s="16"/>
      <c r="AX975" s="16"/>
      <c r="AY975" s="16"/>
      <c r="AZ975" s="16"/>
      <c r="BA975" s="16"/>
      <c r="BB975" s="17"/>
      <c r="BF975" s="24"/>
      <c r="BG975" s="61"/>
      <c r="BH975" s="16"/>
      <c r="BI975" s="16"/>
      <c r="BJ975" s="16"/>
      <c r="BK975" s="16"/>
      <c r="BL975" s="16"/>
      <c r="BM975" s="17"/>
      <c r="BQ975" s="24"/>
      <c r="BR975" s="61"/>
      <c r="BS975" s="16"/>
      <c r="BT975" s="16"/>
      <c r="BU975" s="16"/>
      <c r="BV975" s="16"/>
      <c r="BW975" s="16"/>
      <c r="BX975" s="17"/>
      <c r="CB975" s="24"/>
      <c r="CC975" s="61"/>
      <c r="CD975" s="16"/>
      <c r="CE975" s="16"/>
      <c r="CF975" s="16"/>
      <c r="CG975" s="16"/>
      <c r="CH975" s="16"/>
      <c r="CI975" s="17"/>
      <c r="CM975" s="24"/>
      <c r="CN975" s="61"/>
      <c r="CO975" s="16"/>
      <c r="CP975" s="16"/>
      <c r="CQ975" s="16"/>
      <c r="CR975" s="16"/>
      <c r="CS975" s="16"/>
      <c r="CT975" s="17"/>
      <c r="CX975" s="24"/>
      <c r="CY975" s="60"/>
      <c r="CZ975" s="16"/>
      <c r="DA975" s="16"/>
      <c r="DB975" s="16"/>
      <c r="DC975" s="16"/>
      <c r="DD975" s="16"/>
      <c r="DE975" s="17"/>
      <c r="DI975" s="24"/>
      <c r="DJ975" s="60"/>
      <c r="DK975" s="16"/>
      <c r="DL975" s="16"/>
      <c r="DM975" s="16"/>
      <c r="DN975" s="16"/>
      <c r="DO975" s="16"/>
      <c r="DP975" s="17"/>
      <c r="DT975" s="24"/>
      <c r="DU975" s="60"/>
      <c r="DV975" s="16"/>
      <c r="DW975" s="16"/>
      <c r="DX975" s="16"/>
      <c r="DY975" s="16"/>
      <c r="DZ975" s="16"/>
      <c r="EA975" s="17"/>
      <c r="EE975" s="24"/>
      <c r="EF975" s="60"/>
      <c r="EG975" s="16"/>
      <c r="EH975" s="16"/>
      <c r="EI975" s="16"/>
      <c r="EJ975" s="16"/>
      <c r="EK975" s="16"/>
      <c r="EL975" s="17"/>
      <c r="EP975" s="24"/>
      <c r="EQ975" s="60"/>
      <c r="ER975" s="16"/>
      <c r="ES975" s="16"/>
      <c r="ET975" s="16"/>
      <c r="EU975" s="16"/>
      <c r="EV975" s="16"/>
      <c r="EW975" s="17"/>
      <c r="FA975" s="24"/>
      <c r="FB975" s="60"/>
      <c r="FC975" s="16"/>
      <c r="FD975" s="16"/>
      <c r="FE975" s="16"/>
      <c r="FF975" s="16"/>
      <c r="FG975" s="16"/>
      <c r="FH975" s="17"/>
      <c r="FL975" s="24"/>
      <c r="FM975" s="60"/>
      <c r="FN975" s="16"/>
      <c r="FO975" s="16"/>
      <c r="FP975" s="16"/>
      <c r="FQ975" s="16"/>
      <c r="FR975" s="16"/>
      <c r="FS975" s="17"/>
      <c r="FW975" s="24"/>
      <c r="FX975" s="60"/>
      <c r="FY975" s="16"/>
      <c r="FZ975" s="16"/>
      <c r="GA975" s="16"/>
      <c r="GB975" s="16"/>
      <c r="GC975" s="16"/>
      <c r="GD975" s="17"/>
      <c r="GH975" s="24"/>
      <c r="GI975" s="60"/>
      <c r="GJ975" s="16"/>
      <c r="GK975" s="16"/>
      <c r="GL975" s="16"/>
      <c r="GM975" s="16"/>
      <c r="GN975" s="16"/>
      <c r="GO975" s="17"/>
      <c r="GS975" s="24"/>
      <c r="GT975" s="60"/>
      <c r="GU975" s="16"/>
      <c r="GV975" s="16"/>
      <c r="GW975" s="16"/>
      <c r="GX975" s="16"/>
      <c r="GY975" s="16"/>
      <c r="GZ975" s="17"/>
      <c r="HD975" s="24"/>
      <c r="HE975" s="60"/>
      <c r="HF975" s="16"/>
      <c r="HG975" s="16"/>
      <c r="HH975" s="16"/>
      <c r="HI975" s="16"/>
      <c r="HJ975" s="16"/>
      <c r="HK975" s="17"/>
      <c r="HO975" s="24"/>
      <c r="HP975" s="60"/>
      <c r="HQ975" s="16"/>
      <c r="HR975" s="16"/>
      <c r="HS975" s="16"/>
      <c r="HT975" s="16"/>
      <c r="HU975" s="16"/>
      <c r="HV975" s="17"/>
      <c r="HZ975" s="24"/>
      <c r="IA975" s="60"/>
      <c r="IB975" s="16"/>
      <c r="IC975" s="16"/>
      <c r="ID975" s="16"/>
      <c r="IE975" s="16"/>
      <c r="IF975" s="16"/>
      <c r="IG975" s="17"/>
      <c r="IK975" s="24"/>
      <c r="IL975" s="60"/>
      <c r="IM975" s="16"/>
      <c r="IN975" s="16"/>
      <c r="IO975" s="16"/>
      <c r="IP975" s="16"/>
      <c r="IQ975" s="16"/>
      <c r="IR975" s="17"/>
      <c r="IV975" s="24"/>
      <c r="IW975" s="60"/>
      <c r="IX975" s="16"/>
      <c r="IY975" s="16"/>
      <c r="IZ975" s="16"/>
      <c r="JA975" s="16"/>
      <c r="JB975" s="16"/>
      <c r="JC975" s="17"/>
      <c r="JG975" s="24"/>
      <c r="JH975" s="60"/>
      <c r="JI975" s="16"/>
      <c r="JJ975" s="16"/>
      <c r="JK975" s="16"/>
      <c r="JL975" s="16"/>
      <c r="JM975" s="16"/>
      <c r="JN975" s="17"/>
      <c r="JR975" s="24"/>
      <c r="JS975" s="60"/>
      <c r="JT975" s="16"/>
      <c r="JU975" s="16"/>
      <c r="JV975" s="16"/>
      <c r="JW975" s="16"/>
      <c r="JX975" s="16"/>
      <c r="JY975" s="17"/>
      <c r="KC975" s="24"/>
      <c r="KD975" s="60"/>
      <c r="KE975" s="16"/>
      <c r="KF975" s="16"/>
      <c r="KG975" s="16"/>
      <c r="KH975" s="16"/>
      <c r="KI975" s="16"/>
      <c r="KJ975" s="17"/>
      <c r="KN975" s="24"/>
      <c r="KO975" s="60"/>
      <c r="KP975" s="16"/>
      <c r="KQ975" s="16"/>
      <c r="KR975" s="16"/>
      <c r="KS975" s="16"/>
      <c r="KT975" s="16"/>
      <c r="KU975" s="17"/>
      <c r="KY975" s="24"/>
      <c r="KZ975" s="60"/>
      <c r="LA975" s="16"/>
      <c r="LB975" s="16"/>
      <c r="LC975" s="16"/>
      <c r="LD975" s="16"/>
      <c r="LE975" s="16"/>
      <c r="LF975" s="17"/>
      <c r="LJ975" s="24"/>
      <c r="LK975" s="60"/>
      <c r="LL975" s="16"/>
      <c r="LM975" s="16"/>
      <c r="LN975" s="16"/>
      <c r="LO975" s="16"/>
      <c r="LP975" s="16"/>
      <c r="LQ975" s="17"/>
    </row>
    <row r="976">
      <c r="C976" s="31"/>
      <c r="D976" s="61"/>
      <c r="E976" s="16"/>
      <c r="F976" s="16"/>
      <c r="G976" s="21"/>
      <c r="H976" s="16"/>
      <c r="I976" s="16"/>
      <c r="J976" s="17"/>
      <c r="N976" s="17"/>
      <c r="O976" s="61"/>
      <c r="P976" s="16"/>
      <c r="Q976" s="16"/>
      <c r="R976" s="16"/>
      <c r="S976" s="16"/>
      <c r="T976" s="16"/>
      <c r="U976" s="17"/>
      <c r="Y976" s="24"/>
      <c r="Z976" s="61"/>
      <c r="AA976" s="16"/>
      <c r="AB976" s="16"/>
      <c r="AC976" s="16"/>
      <c r="AD976" s="16"/>
      <c r="AE976" s="16"/>
      <c r="AF976" s="17"/>
      <c r="AJ976" s="24"/>
      <c r="AK976" s="61"/>
      <c r="AL976" s="16"/>
      <c r="AM976" s="16"/>
      <c r="AN976" s="16"/>
      <c r="AO976" s="16"/>
      <c r="AP976" s="16"/>
      <c r="AQ976" s="17"/>
      <c r="AU976" s="24"/>
      <c r="AV976" s="61"/>
      <c r="AW976" s="16"/>
      <c r="AX976" s="16"/>
      <c r="AY976" s="16"/>
      <c r="AZ976" s="16"/>
      <c r="BA976" s="16"/>
      <c r="BB976" s="17"/>
      <c r="BF976" s="24"/>
      <c r="BG976" s="61"/>
      <c r="BH976" s="16"/>
      <c r="BI976" s="16"/>
      <c r="BJ976" s="16"/>
      <c r="BK976" s="16"/>
      <c r="BL976" s="16"/>
      <c r="BM976" s="17"/>
      <c r="BQ976" s="24"/>
      <c r="BR976" s="61"/>
      <c r="BS976" s="16"/>
      <c r="BT976" s="16"/>
      <c r="BU976" s="16"/>
      <c r="BV976" s="16"/>
      <c r="BW976" s="16"/>
      <c r="BX976" s="17"/>
      <c r="CB976" s="24"/>
      <c r="CC976" s="61"/>
      <c r="CD976" s="16"/>
      <c r="CE976" s="16"/>
      <c r="CF976" s="16"/>
      <c r="CG976" s="16"/>
      <c r="CH976" s="16"/>
      <c r="CI976" s="17"/>
      <c r="CM976" s="24"/>
      <c r="CN976" s="61"/>
      <c r="CO976" s="16"/>
      <c r="CP976" s="16"/>
      <c r="CQ976" s="16"/>
      <c r="CR976" s="16"/>
      <c r="CS976" s="16"/>
      <c r="CT976" s="17"/>
      <c r="CX976" s="24"/>
      <c r="CY976" s="60"/>
      <c r="CZ976" s="16"/>
      <c r="DA976" s="16"/>
      <c r="DB976" s="16"/>
      <c r="DC976" s="16"/>
      <c r="DD976" s="16"/>
      <c r="DE976" s="17"/>
      <c r="DI976" s="24"/>
      <c r="DJ976" s="60"/>
      <c r="DK976" s="16"/>
      <c r="DL976" s="16"/>
      <c r="DM976" s="16"/>
      <c r="DN976" s="16"/>
      <c r="DO976" s="16"/>
      <c r="DP976" s="17"/>
      <c r="DT976" s="24"/>
      <c r="DU976" s="60"/>
      <c r="DV976" s="16"/>
      <c r="DW976" s="16"/>
      <c r="DX976" s="16"/>
      <c r="DY976" s="16"/>
      <c r="DZ976" s="16"/>
      <c r="EA976" s="17"/>
      <c r="EE976" s="24"/>
      <c r="EF976" s="60"/>
      <c r="EG976" s="16"/>
      <c r="EH976" s="16"/>
      <c r="EI976" s="16"/>
      <c r="EJ976" s="16"/>
      <c r="EK976" s="16"/>
      <c r="EL976" s="17"/>
      <c r="EP976" s="24"/>
      <c r="EQ976" s="60"/>
      <c r="ER976" s="16"/>
      <c r="ES976" s="16"/>
      <c r="ET976" s="16"/>
      <c r="EU976" s="16"/>
      <c r="EV976" s="16"/>
      <c r="EW976" s="17"/>
      <c r="FA976" s="24"/>
      <c r="FB976" s="60"/>
      <c r="FC976" s="16"/>
      <c r="FD976" s="16"/>
      <c r="FE976" s="16"/>
      <c r="FF976" s="16"/>
      <c r="FG976" s="16"/>
      <c r="FH976" s="17"/>
      <c r="FL976" s="24"/>
      <c r="FM976" s="60"/>
      <c r="FN976" s="16"/>
      <c r="FO976" s="16"/>
      <c r="FP976" s="16"/>
      <c r="FQ976" s="16"/>
      <c r="FR976" s="16"/>
      <c r="FS976" s="17"/>
      <c r="FW976" s="24"/>
      <c r="FX976" s="60"/>
      <c r="FY976" s="16"/>
      <c r="FZ976" s="16"/>
      <c r="GA976" s="16"/>
      <c r="GB976" s="16"/>
      <c r="GC976" s="16"/>
      <c r="GD976" s="17"/>
      <c r="GH976" s="24"/>
      <c r="GI976" s="60"/>
      <c r="GJ976" s="16"/>
      <c r="GK976" s="16"/>
      <c r="GL976" s="16"/>
      <c r="GM976" s="16"/>
      <c r="GN976" s="16"/>
      <c r="GO976" s="17"/>
      <c r="GS976" s="24"/>
      <c r="GT976" s="60"/>
      <c r="GU976" s="16"/>
      <c r="GV976" s="16"/>
      <c r="GW976" s="16"/>
      <c r="GX976" s="16"/>
      <c r="GY976" s="16"/>
      <c r="GZ976" s="17"/>
      <c r="HD976" s="24"/>
      <c r="HE976" s="60"/>
      <c r="HF976" s="16"/>
      <c r="HG976" s="16"/>
      <c r="HH976" s="16"/>
      <c r="HI976" s="16"/>
      <c r="HJ976" s="16"/>
      <c r="HK976" s="17"/>
      <c r="HO976" s="24"/>
      <c r="HP976" s="60"/>
      <c r="HQ976" s="16"/>
      <c r="HR976" s="16"/>
      <c r="HS976" s="16"/>
      <c r="HT976" s="16"/>
      <c r="HU976" s="16"/>
      <c r="HV976" s="17"/>
      <c r="HZ976" s="24"/>
      <c r="IA976" s="60"/>
      <c r="IB976" s="16"/>
      <c r="IC976" s="16"/>
      <c r="ID976" s="16"/>
      <c r="IE976" s="16"/>
      <c r="IF976" s="16"/>
      <c r="IG976" s="17"/>
      <c r="IK976" s="24"/>
      <c r="IL976" s="60"/>
      <c r="IM976" s="16"/>
      <c r="IN976" s="16"/>
      <c r="IO976" s="16"/>
      <c r="IP976" s="16"/>
      <c r="IQ976" s="16"/>
      <c r="IR976" s="17"/>
      <c r="IV976" s="24"/>
      <c r="IW976" s="60"/>
      <c r="IX976" s="16"/>
      <c r="IY976" s="16"/>
      <c r="IZ976" s="16"/>
      <c r="JA976" s="16"/>
      <c r="JB976" s="16"/>
      <c r="JC976" s="17"/>
      <c r="JG976" s="24"/>
      <c r="JH976" s="60"/>
      <c r="JI976" s="16"/>
      <c r="JJ976" s="16"/>
      <c r="JK976" s="16"/>
      <c r="JL976" s="16"/>
      <c r="JM976" s="16"/>
      <c r="JN976" s="17"/>
      <c r="JR976" s="24"/>
      <c r="JS976" s="60"/>
      <c r="JT976" s="16"/>
      <c r="JU976" s="16"/>
      <c r="JV976" s="16"/>
      <c r="JW976" s="16"/>
      <c r="JX976" s="16"/>
      <c r="JY976" s="17"/>
      <c r="KC976" s="24"/>
      <c r="KD976" s="60"/>
      <c r="KE976" s="16"/>
      <c r="KF976" s="16"/>
      <c r="KG976" s="16"/>
      <c r="KH976" s="16"/>
      <c r="KI976" s="16"/>
      <c r="KJ976" s="17"/>
      <c r="KN976" s="24"/>
      <c r="KO976" s="60"/>
      <c r="KP976" s="16"/>
      <c r="KQ976" s="16"/>
      <c r="KR976" s="16"/>
      <c r="KS976" s="16"/>
      <c r="KT976" s="16"/>
      <c r="KU976" s="17"/>
      <c r="KY976" s="24"/>
      <c r="KZ976" s="60"/>
      <c r="LA976" s="16"/>
      <c r="LB976" s="16"/>
      <c r="LC976" s="16"/>
      <c r="LD976" s="16"/>
      <c r="LE976" s="16"/>
      <c r="LF976" s="17"/>
      <c r="LJ976" s="24"/>
      <c r="LK976" s="60"/>
      <c r="LL976" s="16"/>
      <c r="LM976" s="16"/>
      <c r="LN976" s="16"/>
      <c r="LO976" s="16"/>
      <c r="LP976" s="16"/>
      <c r="LQ976" s="17"/>
    </row>
    <row r="977">
      <c r="C977" s="31"/>
      <c r="D977" s="61"/>
      <c r="E977" s="16"/>
      <c r="F977" s="16"/>
      <c r="G977" s="21"/>
      <c r="H977" s="16"/>
      <c r="I977" s="16"/>
      <c r="J977" s="17"/>
      <c r="N977" s="17"/>
      <c r="O977" s="61"/>
      <c r="P977" s="16"/>
      <c r="Q977" s="16"/>
      <c r="R977" s="16"/>
      <c r="S977" s="16"/>
      <c r="T977" s="16"/>
      <c r="U977" s="17"/>
      <c r="Y977" s="24"/>
      <c r="Z977" s="61"/>
      <c r="AA977" s="16"/>
      <c r="AB977" s="16"/>
      <c r="AC977" s="16"/>
      <c r="AD977" s="16"/>
      <c r="AE977" s="16"/>
      <c r="AF977" s="17"/>
      <c r="AJ977" s="24"/>
      <c r="AK977" s="61"/>
      <c r="AL977" s="16"/>
      <c r="AM977" s="16"/>
      <c r="AN977" s="16"/>
      <c r="AO977" s="16"/>
      <c r="AP977" s="16"/>
      <c r="AQ977" s="17"/>
      <c r="AU977" s="24"/>
      <c r="AV977" s="61"/>
      <c r="AW977" s="16"/>
      <c r="AX977" s="16"/>
      <c r="AY977" s="16"/>
      <c r="AZ977" s="16"/>
      <c r="BA977" s="16"/>
      <c r="BB977" s="17"/>
      <c r="BF977" s="24"/>
      <c r="BG977" s="61"/>
      <c r="BH977" s="16"/>
      <c r="BI977" s="16"/>
      <c r="BJ977" s="16"/>
      <c r="BK977" s="16"/>
      <c r="BL977" s="16"/>
      <c r="BM977" s="17"/>
      <c r="BQ977" s="24"/>
      <c r="BR977" s="61"/>
      <c r="BS977" s="16"/>
      <c r="BT977" s="16"/>
      <c r="BU977" s="16"/>
      <c r="BV977" s="16"/>
      <c r="BW977" s="16"/>
      <c r="BX977" s="17"/>
      <c r="CB977" s="24"/>
      <c r="CC977" s="61"/>
      <c r="CD977" s="16"/>
      <c r="CE977" s="16"/>
      <c r="CF977" s="16"/>
      <c r="CG977" s="16"/>
      <c r="CH977" s="16"/>
      <c r="CI977" s="17"/>
      <c r="CM977" s="24"/>
      <c r="CN977" s="61"/>
      <c r="CO977" s="16"/>
      <c r="CP977" s="16"/>
      <c r="CQ977" s="16"/>
      <c r="CR977" s="16"/>
      <c r="CS977" s="16"/>
      <c r="CT977" s="17"/>
      <c r="CX977" s="24"/>
      <c r="CY977" s="60"/>
      <c r="CZ977" s="16"/>
      <c r="DA977" s="16"/>
      <c r="DB977" s="16"/>
      <c r="DC977" s="16"/>
      <c r="DD977" s="16"/>
      <c r="DE977" s="17"/>
      <c r="DI977" s="24"/>
      <c r="DJ977" s="60"/>
      <c r="DK977" s="16"/>
      <c r="DL977" s="16"/>
      <c r="DM977" s="16"/>
      <c r="DN977" s="16"/>
      <c r="DO977" s="16"/>
      <c r="DP977" s="17"/>
      <c r="DT977" s="24"/>
      <c r="DU977" s="60"/>
      <c r="DV977" s="16"/>
      <c r="DW977" s="16"/>
      <c r="DX977" s="16"/>
      <c r="DY977" s="16"/>
      <c r="DZ977" s="16"/>
      <c r="EA977" s="17"/>
      <c r="EE977" s="24"/>
      <c r="EF977" s="60"/>
      <c r="EG977" s="16"/>
      <c r="EH977" s="16"/>
      <c r="EI977" s="16"/>
      <c r="EJ977" s="16"/>
      <c r="EK977" s="16"/>
      <c r="EL977" s="17"/>
      <c r="EP977" s="24"/>
      <c r="EQ977" s="60"/>
      <c r="ER977" s="16"/>
      <c r="ES977" s="16"/>
      <c r="ET977" s="16"/>
      <c r="EU977" s="16"/>
      <c r="EV977" s="16"/>
      <c r="EW977" s="17"/>
      <c r="FA977" s="24"/>
      <c r="FB977" s="60"/>
      <c r="FC977" s="16"/>
      <c r="FD977" s="16"/>
      <c r="FE977" s="16"/>
      <c r="FF977" s="16"/>
      <c r="FG977" s="16"/>
      <c r="FH977" s="17"/>
      <c r="FL977" s="24"/>
      <c r="FM977" s="60"/>
      <c r="FN977" s="16"/>
      <c r="FO977" s="16"/>
      <c r="FP977" s="16"/>
      <c r="FQ977" s="16"/>
      <c r="FR977" s="16"/>
      <c r="FS977" s="17"/>
      <c r="FW977" s="24"/>
      <c r="FX977" s="60"/>
      <c r="FY977" s="16"/>
      <c r="FZ977" s="16"/>
      <c r="GA977" s="16"/>
      <c r="GB977" s="16"/>
      <c r="GC977" s="16"/>
      <c r="GD977" s="17"/>
      <c r="GH977" s="24"/>
      <c r="GI977" s="60"/>
      <c r="GJ977" s="16"/>
      <c r="GK977" s="16"/>
      <c r="GL977" s="16"/>
      <c r="GM977" s="16"/>
      <c r="GN977" s="16"/>
      <c r="GO977" s="17"/>
      <c r="GS977" s="24"/>
      <c r="GT977" s="60"/>
      <c r="GU977" s="16"/>
      <c r="GV977" s="16"/>
      <c r="GW977" s="16"/>
      <c r="GX977" s="16"/>
      <c r="GY977" s="16"/>
      <c r="GZ977" s="17"/>
      <c r="HD977" s="24"/>
      <c r="HE977" s="60"/>
      <c r="HF977" s="16"/>
      <c r="HG977" s="16"/>
      <c r="HH977" s="16"/>
      <c r="HI977" s="16"/>
      <c r="HJ977" s="16"/>
      <c r="HK977" s="17"/>
      <c r="HO977" s="24"/>
      <c r="HP977" s="60"/>
      <c r="HQ977" s="16"/>
      <c r="HR977" s="16"/>
      <c r="HS977" s="16"/>
      <c r="HT977" s="16"/>
      <c r="HU977" s="16"/>
      <c r="HV977" s="17"/>
      <c r="HZ977" s="24"/>
      <c r="IA977" s="60"/>
      <c r="IB977" s="16"/>
      <c r="IC977" s="16"/>
      <c r="ID977" s="16"/>
      <c r="IE977" s="16"/>
      <c r="IF977" s="16"/>
      <c r="IG977" s="17"/>
      <c r="IK977" s="24"/>
      <c r="IL977" s="60"/>
      <c r="IM977" s="16"/>
      <c r="IN977" s="16"/>
      <c r="IO977" s="16"/>
      <c r="IP977" s="16"/>
      <c r="IQ977" s="16"/>
      <c r="IR977" s="17"/>
      <c r="IV977" s="24"/>
      <c r="IW977" s="60"/>
      <c r="IX977" s="16"/>
      <c r="IY977" s="16"/>
      <c r="IZ977" s="16"/>
      <c r="JA977" s="16"/>
      <c r="JB977" s="16"/>
      <c r="JC977" s="17"/>
      <c r="JG977" s="24"/>
      <c r="JH977" s="60"/>
      <c r="JI977" s="16"/>
      <c r="JJ977" s="16"/>
      <c r="JK977" s="16"/>
      <c r="JL977" s="16"/>
      <c r="JM977" s="16"/>
      <c r="JN977" s="17"/>
      <c r="JR977" s="24"/>
      <c r="JS977" s="60"/>
      <c r="JT977" s="16"/>
      <c r="JU977" s="16"/>
      <c r="JV977" s="16"/>
      <c r="JW977" s="16"/>
      <c r="JX977" s="16"/>
      <c r="JY977" s="17"/>
      <c r="KC977" s="24"/>
      <c r="KD977" s="60"/>
      <c r="KE977" s="16"/>
      <c r="KF977" s="16"/>
      <c r="KG977" s="16"/>
      <c r="KH977" s="16"/>
      <c r="KI977" s="16"/>
      <c r="KJ977" s="17"/>
      <c r="KN977" s="24"/>
      <c r="KO977" s="60"/>
      <c r="KP977" s="16"/>
      <c r="KQ977" s="16"/>
      <c r="KR977" s="16"/>
      <c r="KS977" s="16"/>
      <c r="KT977" s="16"/>
      <c r="KU977" s="17"/>
      <c r="KY977" s="24"/>
      <c r="KZ977" s="60"/>
      <c r="LA977" s="16"/>
      <c r="LB977" s="16"/>
      <c r="LC977" s="16"/>
      <c r="LD977" s="16"/>
      <c r="LE977" s="16"/>
      <c r="LF977" s="17"/>
      <c r="LJ977" s="24"/>
      <c r="LK977" s="60"/>
      <c r="LL977" s="16"/>
      <c r="LM977" s="16"/>
      <c r="LN977" s="16"/>
      <c r="LO977" s="16"/>
      <c r="LP977" s="16"/>
      <c r="LQ977" s="17"/>
    </row>
    <row r="978">
      <c r="C978" s="31"/>
      <c r="D978" s="61"/>
      <c r="E978" s="16"/>
      <c r="F978" s="16"/>
      <c r="G978" s="21"/>
      <c r="H978" s="16"/>
      <c r="I978" s="16"/>
      <c r="J978" s="17"/>
      <c r="N978" s="17"/>
      <c r="O978" s="61"/>
      <c r="P978" s="16"/>
      <c r="Q978" s="16"/>
      <c r="R978" s="16"/>
      <c r="S978" s="16"/>
      <c r="T978" s="16"/>
      <c r="U978" s="17"/>
      <c r="Y978" s="24"/>
      <c r="Z978" s="61"/>
      <c r="AA978" s="16"/>
      <c r="AB978" s="16"/>
      <c r="AC978" s="16"/>
      <c r="AD978" s="16"/>
      <c r="AE978" s="16"/>
      <c r="AF978" s="17"/>
      <c r="AJ978" s="24"/>
      <c r="AK978" s="61"/>
      <c r="AL978" s="16"/>
      <c r="AM978" s="16"/>
      <c r="AN978" s="16"/>
      <c r="AO978" s="16"/>
      <c r="AP978" s="16"/>
      <c r="AQ978" s="17"/>
      <c r="AU978" s="24"/>
      <c r="AV978" s="61"/>
      <c r="AW978" s="16"/>
      <c r="AX978" s="16"/>
      <c r="AY978" s="16"/>
      <c r="AZ978" s="16"/>
      <c r="BA978" s="16"/>
      <c r="BB978" s="17"/>
      <c r="BF978" s="24"/>
      <c r="BG978" s="61"/>
      <c r="BH978" s="16"/>
      <c r="BI978" s="16"/>
      <c r="BJ978" s="16"/>
      <c r="BK978" s="16"/>
      <c r="BL978" s="16"/>
      <c r="BM978" s="17"/>
      <c r="BQ978" s="24"/>
      <c r="BR978" s="61"/>
      <c r="BS978" s="16"/>
      <c r="BT978" s="16"/>
      <c r="BU978" s="16"/>
      <c r="BV978" s="16"/>
      <c r="BW978" s="16"/>
      <c r="BX978" s="17"/>
      <c r="CB978" s="24"/>
      <c r="CC978" s="61"/>
      <c r="CD978" s="16"/>
      <c r="CE978" s="16"/>
      <c r="CF978" s="16"/>
      <c r="CG978" s="16"/>
      <c r="CH978" s="16"/>
      <c r="CI978" s="17"/>
      <c r="CM978" s="24"/>
      <c r="CN978" s="61"/>
      <c r="CO978" s="16"/>
      <c r="CP978" s="16"/>
      <c r="CQ978" s="16"/>
      <c r="CR978" s="16"/>
      <c r="CS978" s="16"/>
      <c r="CT978" s="17"/>
      <c r="CX978" s="24"/>
      <c r="CY978" s="60"/>
      <c r="CZ978" s="16"/>
      <c r="DA978" s="16"/>
      <c r="DB978" s="16"/>
      <c r="DC978" s="16"/>
      <c r="DD978" s="16"/>
      <c r="DE978" s="17"/>
      <c r="DI978" s="24"/>
      <c r="DJ978" s="60"/>
      <c r="DK978" s="16"/>
      <c r="DL978" s="16"/>
      <c r="DM978" s="16"/>
      <c r="DN978" s="16"/>
      <c r="DO978" s="16"/>
      <c r="DP978" s="17"/>
      <c r="DT978" s="24"/>
      <c r="DU978" s="60"/>
      <c r="DV978" s="16"/>
      <c r="DW978" s="16"/>
      <c r="DX978" s="16"/>
      <c r="DY978" s="16"/>
      <c r="DZ978" s="16"/>
      <c r="EA978" s="17"/>
      <c r="EE978" s="24"/>
      <c r="EF978" s="60"/>
      <c r="EG978" s="16"/>
      <c r="EH978" s="16"/>
      <c r="EI978" s="16"/>
      <c r="EJ978" s="16"/>
      <c r="EK978" s="16"/>
      <c r="EL978" s="17"/>
      <c r="EP978" s="24"/>
      <c r="EQ978" s="60"/>
      <c r="ER978" s="16"/>
      <c r="ES978" s="16"/>
      <c r="ET978" s="16"/>
      <c r="EU978" s="16"/>
      <c r="EV978" s="16"/>
      <c r="EW978" s="17"/>
      <c r="FA978" s="24"/>
      <c r="FB978" s="60"/>
      <c r="FC978" s="16"/>
      <c r="FD978" s="16"/>
      <c r="FE978" s="16"/>
      <c r="FF978" s="16"/>
      <c r="FG978" s="16"/>
      <c r="FH978" s="17"/>
      <c r="FL978" s="24"/>
      <c r="FM978" s="60"/>
      <c r="FN978" s="16"/>
      <c r="FO978" s="16"/>
      <c r="FP978" s="16"/>
      <c r="FQ978" s="16"/>
      <c r="FR978" s="16"/>
      <c r="FS978" s="17"/>
      <c r="FW978" s="24"/>
      <c r="FX978" s="60"/>
      <c r="FY978" s="16"/>
      <c r="FZ978" s="16"/>
      <c r="GA978" s="16"/>
      <c r="GB978" s="16"/>
      <c r="GC978" s="16"/>
      <c r="GD978" s="17"/>
      <c r="GH978" s="24"/>
      <c r="GI978" s="60"/>
      <c r="GJ978" s="16"/>
      <c r="GK978" s="16"/>
      <c r="GL978" s="16"/>
      <c r="GM978" s="16"/>
      <c r="GN978" s="16"/>
      <c r="GO978" s="17"/>
      <c r="GS978" s="24"/>
      <c r="GT978" s="60"/>
      <c r="GU978" s="16"/>
      <c r="GV978" s="16"/>
      <c r="GW978" s="16"/>
      <c r="GX978" s="16"/>
      <c r="GY978" s="16"/>
      <c r="GZ978" s="17"/>
      <c r="HD978" s="24"/>
      <c r="HE978" s="60"/>
      <c r="HF978" s="16"/>
      <c r="HG978" s="16"/>
      <c r="HH978" s="16"/>
      <c r="HI978" s="16"/>
      <c r="HJ978" s="16"/>
      <c r="HK978" s="17"/>
      <c r="HO978" s="24"/>
      <c r="HP978" s="60"/>
      <c r="HQ978" s="16"/>
      <c r="HR978" s="16"/>
      <c r="HS978" s="16"/>
      <c r="HT978" s="16"/>
      <c r="HU978" s="16"/>
      <c r="HV978" s="17"/>
      <c r="HZ978" s="24"/>
      <c r="IA978" s="60"/>
      <c r="IB978" s="16"/>
      <c r="IC978" s="16"/>
      <c r="ID978" s="16"/>
      <c r="IE978" s="16"/>
      <c r="IF978" s="16"/>
      <c r="IG978" s="17"/>
      <c r="IK978" s="24"/>
      <c r="IL978" s="60"/>
      <c r="IM978" s="16"/>
      <c r="IN978" s="16"/>
      <c r="IO978" s="16"/>
      <c r="IP978" s="16"/>
      <c r="IQ978" s="16"/>
      <c r="IR978" s="17"/>
      <c r="IV978" s="24"/>
      <c r="IW978" s="60"/>
      <c r="IX978" s="16"/>
      <c r="IY978" s="16"/>
      <c r="IZ978" s="16"/>
      <c r="JA978" s="16"/>
      <c r="JB978" s="16"/>
      <c r="JC978" s="17"/>
      <c r="JG978" s="24"/>
      <c r="JH978" s="60"/>
      <c r="JI978" s="16"/>
      <c r="JJ978" s="16"/>
      <c r="JK978" s="16"/>
      <c r="JL978" s="16"/>
      <c r="JM978" s="16"/>
      <c r="JN978" s="17"/>
      <c r="JR978" s="24"/>
      <c r="JS978" s="60"/>
      <c r="JT978" s="16"/>
      <c r="JU978" s="16"/>
      <c r="JV978" s="16"/>
      <c r="JW978" s="16"/>
      <c r="JX978" s="16"/>
      <c r="JY978" s="17"/>
      <c r="KC978" s="24"/>
      <c r="KD978" s="60"/>
      <c r="KE978" s="16"/>
      <c r="KF978" s="16"/>
      <c r="KG978" s="16"/>
      <c r="KH978" s="16"/>
      <c r="KI978" s="16"/>
      <c r="KJ978" s="17"/>
      <c r="KN978" s="24"/>
      <c r="KO978" s="60"/>
      <c r="KP978" s="16"/>
      <c r="KQ978" s="16"/>
      <c r="KR978" s="16"/>
      <c r="KS978" s="16"/>
      <c r="KT978" s="16"/>
      <c r="KU978" s="17"/>
      <c r="KY978" s="24"/>
      <c r="KZ978" s="60"/>
      <c r="LA978" s="16"/>
      <c r="LB978" s="16"/>
      <c r="LC978" s="16"/>
      <c r="LD978" s="16"/>
      <c r="LE978" s="16"/>
      <c r="LF978" s="17"/>
      <c r="LJ978" s="24"/>
      <c r="LK978" s="60"/>
      <c r="LL978" s="16"/>
      <c r="LM978" s="16"/>
      <c r="LN978" s="16"/>
      <c r="LO978" s="16"/>
      <c r="LP978" s="16"/>
      <c r="LQ978" s="17"/>
    </row>
    <row r="979">
      <c r="C979" s="31"/>
      <c r="D979" s="61"/>
      <c r="E979" s="16"/>
      <c r="F979" s="16"/>
      <c r="G979" s="21"/>
      <c r="H979" s="16"/>
      <c r="I979" s="16"/>
      <c r="J979" s="17"/>
      <c r="N979" s="17"/>
      <c r="O979" s="61"/>
      <c r="P979" s="16"/>
      <c r="Q979" s="16"/>
      <c r="R979" s="16"/>
      <c r="S979" s="16"/>
      <c r="T979" s="16"/>
      <c r="U979" s="17"/>
      <c r="Y979" s="24"/>
      <c r="Z979" s="61"/>
      <c r="AA979" s="16"/>
      <c r="AB979" s="16"/>
      <c r="AC979" s="16"/>
      <c r="AD979" s="16"/>
      <c r="AE979" s="16"/>
      <c r="AF979" s="17"/>
      <c r="AJ979" s="24"/>
      <c r="AK979" s="61"/>
      <c r="AL979" s="16"/>
      <c r="AM979" s="16"/>
      <c r="AN979" s="16"/>
      <c r="AO979" s="16"/>
      <c r="AP979" s="16"/>
      <c r="AQ979" s="17"/>
      <c r="AU979" s="24"/>
      <c r="AV979" s="61"/>
      <c r="AW979" s="16"/>
      <c r="AX979" s="16"/>
      <c r="AY979" s="16"/>
      <c r="AZ979" s="16"/>
      <c r="BA979" s="16"/>
      <c r="BB979" s="17"/>
      <c r="BF979" s="24"/>
      <c r="BG979" s="61"/>
      <c r="BH979" s="16"/>
      <c r="BI979" s="16"/>
      <c r="BJ979" s="16"/>
      <c r="BK979" s="16"/>
      <c r="BL979" s="16"/>
      <c r="BM979" s="17"/>
      <c r="BQ979" s="24"/>
      <c r="BR979" s="61"/>
      <c r="BS979" s="16"/>
      <c r="BT979" s="16"/>
      <c r="BU979" s="16"/>
      <c r="BV979" s="16"/>
      <c r="BW979" s="16"/>
      <c r="BX979" s="17"/>
      <c r="CB979" s="24"/>
      <c r="CC979" s="61"/>
      <c r="CD979" s="16"/>
      <c r="CE979" s="16"/>
      <c r="CF979" s="16"/>
      <c r="CG979" s="16"/>
      <c r="CH979" s="16"/>
      <c r="CI979" s="17"/>
      <c r="CM979" s="24"/>
      <c r="CN979" s="61"/>
      <c r="CO979" s="16"/>
      <c r="CP979" s="16"/>
      <c r="CQ979" s="16"/>
      <c r="CR979" s="16"/>
      <c r="CS979" s="16"/>
      <c r="CT979" s="17"/>
      <c r="CX979" s="24"/>
      <c r="CY979" s="60"/>
      <c r="CZ979" s="16"/>
      <c r="DA979" s="16"/>
      <c r="DB979" s="16"/>
      <c r="DC979" s="16"/>
      <c r="DD979" s="16"/>
      <c r="DE979" s="17"/>
      <c r="DI979" s="24"/>
      <c r="DJ979" s="60"/>
      <c r="DK979" s="16"/>
      <c r="DL979" s="16"/>
      <c r="DM979" s="16"/>
      <c r="DN979" s="16"/>
      <c r="DO979" s="16"/>
      <c r="DP979" s="17"/>
      <c r="DT979" s="24"/>
      <c r="DU979" s="60"/>
      <c r="DV979" s="16"/>
      <c r="DW979" s="16"/>
      <c r="DX979" s="16"/>
      <c r="DY979" s="16"/>
      <c r="DZ979" s="16"/>
      <c r="EA979" s="17"/>
      <c r="EE979" s="24"/>
      <c r="EF979" s="60"/>
      <c r="EG979" s="16"/>
      <c r="EH979" s="16"/>
      <c r="EI979" s="16"/>
      <c r="EJ979" s="16"/>
      <c r="EK979" s="16"/>
      <c r="EL979" s="17"/>
      <c r="EP979" s="24"/>
      <c r="EQ979" s="60"/>
      <c r="ER979" s="16"/>
      <c r="ES979" s="16"/>
      <c r="ET979" s="16"/>
      <c r="EU979" s="16"/>
      <c r="EV979" s="16"/>
      <c r="EW979" s="17"/>
      <c r="FA979" s="24"/>
      <c r="FB979" s="60"/>
      <c r="FC979" s="16"/>
      <c r="FD979" s="16"/>
      <c r="FE979" s="16"/>
      <c r="FF979" s="16"/>
      <c r="FG979" s="16"/>
      <c r="FH979" s="17"/>
      <c r="FL979" s="24"/>
      <c r="FM979" s="60"/>
      <c r="FN979" s="16"/>
      <c r="FO979" s="16"/>
      <c r="FP979" s="16"/>
      <c r="FQ979" s="16"/>
      <c r="FR979" s="16"/>
      <c r="FS979" s="17"/>
      <c r="FW979" s="24"/>
      <c r="FX979" s="60"/>
      <c r="FY979" s="16"/>
      <c r="FZ979" s="16"/>
      <c r="GA979" s="16"/>
      <c r="GB979" s="16"/>
      <c r="GC979" s="16"/>
      <c r="GD979" s="17"/>
      <c r="GH979" s="24"/>
      <c r="GI979" s="60"/>
      <c r="GJ979" s="16"/>
      <c r="GK979" s="16"/>
      <c r="GL979" s="16"/>
      <c r="GM979" s="16"/>
      <c r="GN979" s="16"/>
      <c r="GO979" s="17"/>
      <c r="GS979" s="24"/>
      <c r="GT979" s="60"/>
      <c r="GU979" s="16"/>
      <c r="GV979" s="16"/>
      <c r="GW979" s="16"/>
      <c r="GX979" s="16"/>
      <c r="GY979" s="16"/>
      <c r="GZ979" s="17"/>
      <c r="HD979" s="24"/>
      <c r="HE979" s="60"/>
      <c r="HF979" s="16"/>
      <c r="HG979" s="16"/>
      <c r="HH979" s="16"/>
      <c r="HI979" s="16"/>
      <c r="HJ979" s="16"/>
      <c r="HK979" s="17"/>
      <c r="HO979" s="24"/>
      <c r="HP979" s="60"/>
      <c r="HQ979" s="16"/>
      <c r="HR979" s="16"/>
      <c r="HS979" s="16"/>
      <c r="HT979" s="16"/>
      <c r="HU979" s="16"/>
      <c r="HV979" s="17"/>
      <c r="HZ979" s="24"/>
      <c r="IA979" s="60"/>
      <c r="IB979" s="16"/>
      <c r="IC979" s="16"/>
      <c r="ID979" s="16"/>
      <c r="IE979" s="16"/>
      <c r="IF979" s="16"/>
      <c r="IG979" s="17"/>
      <c r="IK979" s="24"/>
      <c r="IL979" s="60"/>
      <c r="IM979" s="16"/>
      <c r="IN979" s="16"/>
      <c r="IO979" s="16"/>
      <c r="IP979" s="16"/>
      <c r="IQ979" s="16"/>
      <c r="IR979" s="17"/>
      <c r="IV979" s="24"/>
      <c r="IW979" s="60"/>
      <c r="IX979" s="16"/>
      <c r="IY979" s="16"/>
      <c r="IZ979" s="16"/>
      <c r="JA979" s="16"/>
      <c r="JB979" s="16"/>
      <c r="JC979" s="17"/>
      <c r="JG979" s="24"/>
      <c r="JH979" s="60"/>
      <c r="JI979" s="16"/>
      <c r="JJ979" s="16"/>
      <c r="JK979" s="16"/>
      <c r="JL979" s="16"/>
      <c r="JM979" s="16"/>
      <c r="JN979" s="17"/>
      <c r="JR979" s="24"/>
      <c r="JS979" s="60"/>
      <c r="JT979" s="16"/>
      <c r="JU979" s="16"/>
      <c r="JV979" s="16"/>
      <c r="JW979" s="16"/>
      <c r="JX979" s="16"/>
      <c r="JY979" s="17"/>
      <c r="KC979" s="24"/>
      <c r="KD979" s="60"/>
      <c r="KE979" s="16"/>
      <c r="KF979" s="16"/>
      <c r="KG979" s="16"/>
      <c r="KH979" s="16"/>
      <c r="KI979" s="16"/>
      <c r="KJ979" s="17"/>
      <c r="KN979" s="24"/>
      <c r="KO979" s="60"/>
      <c r="KP979" s="16"/>
      <c r="KQ979" s="16"/>
      <c r="KR979" s="16"/>
      <c r="KS979" s="16"/>
      <c r="KT979" s="16"/>
      <c r="KU979" s="17"/>
      <c r="KY979" s="24"/>
      <c r="KZ979" s="60"/>
      <c r="LA979" s="16"/>
      <c r="LB979" s="16"/>
      <c r="LC979" s="16"/>
      <c r="LD979" s="16"/>
      <c r="LE979" s="16"/>
      <c r="LF979" s="17"/>
      <c r="LJ979" s="24"/>
      <c r="LK979" s="60"/>
      <c r="LL979" s="16"/>
      <c r="LM979" s="16"/>
      <c r="LN979" s="16"/>
      <c r="LO979" s="16"/>
      <c r="LP979" s="16"/>
      <c r="LQ979" s="17"/>
    </row>
    <row r="980">
      <c r="C980" s="31"/>
      <c r="D980" s="61"/>
      <c r="E980" s="16"/>
      <c r="F980" s="16"/>
      <c r="G980" s="21"/>
      <c r="H980" s="16"/>
      <c r="I980" s="16"/>
      <c r="J980" s="17"/>
      <c r="N980" s="17"/>
      <c r="O980" s="61"/>
      <c r="P980" s="16"/>
      <c r="Q980" s="16"/>
      <c r="R980" s="16"/>
      <c r="S980" s="16"/>
      <c r="T980" s="16"/>
      <c r="U980" s="17"/>
      <c r="Y980" s="24"/>
      <c r="Z980" s="61"/>
      <c r="AA980" s="16"/>
      <c r="AB980" s="16"/>
      <c r="AC980" s="16"/>
      <c r="AD980" s="16"/>
      <c r="AE980" s="16"/>
      <c r="AF980" s="17"/>
      <c r="AJ980" s="24"/>
      <c r="AK980" s="61"/>
      <c r="AL980" s="16"/>
      <c r="AM980" s="16"/>
      <c r="AN980" s="16"/>
      <c r="AO980" s="16"/>
      <c r="AP980" s="16"/>
      <c r="AQ980" s="17"/>
      <c r="AU980" s="24"/>
      <c r="AV980" s="61"/>
      <c r="AW980" s="16"/>
      <c r="AX980" s="16"/>
      <c r="AY980" s="16"/>
      <c r="AZ980" s="16"/>
      <c r="BA980" s="16"/>
      <c r="BB980" s="17"/>
      <c r="BF980" s="24"/>
      <c r="BG980" s="61"/>
      <c r="BH980" s="16"/>
      <c r="BI980" s="16"/>
      <c r="BJ980" s="16"/>
      <c r="BK980" s="16"/>
      <c r="BL980" s="16"/>
      <c r="BM980" s="17"/>
      <c r="BQ980" s="24"/>
      <c r="BR980" s="61"/>
      <c r="BS980" s="16"/>
      <c r="BT980" s="16"/>
      <c r="BU980" s="16"/>
      <c r="BV980" s="16"/>
      <c r="BW980" s="16"/>
      <c r="BX980" s="17"/>
      <c r="CB980" s="24"/>
      <c r="CC980" s="61"/>
      <c r="CD980" s="16"/>
      <c r="CE980" s="16"/>
      <c r="CF980" s="16"/>
      <c r="CG980" s="16"/>
      <c r="CH980" s="16"/>
      <c r="CI980" s="17"/>
      <c r="CM980" s="24"/>
      <c r="CN980" s="61"/>
      <c r="CO980" s="16"/>
      <c r="CP980" s="16"/>
      <c r="CQ980" s="16"/>
      <c r="CR980" s="16"/>
      <c r="CS980" s="16"/>
      <c r="CT980" s="17"/>
      <c r="CX980" s="24"/>
      <c r="CY980" s="60"/>
      <c r="CZ980" s="16"/>
      <c r="DA980" s="16"/>
      <c r="DB980" s="16"/>
      <c r="DC980" s="16"/>
      <c r="DD980" s="16"/>
      <c r="DE980" s="17"/>
      <c r="DI980" s="24"/>
      <c r="DJ980" s="60"/>
      <c r="DK980" s="16"/>
      <c r="DL980" s="16"/>
      <c r="DM980" s="16"/>
      <c r="DN980" s="16"/>
      <c r="DO980" s="16"/>
      <c r="DP980" s="17"/>
      <c r="DT980" s="24"/>
      <c r="DU980" s="60"/>
      <c r="DV980" s="16"/>
      <c r="DW980" s="16"/>
      <c r="DX980" s="16"/>
      <c r="DY980" s="16"/>
      <c r="DZ980" s="16"/>
      <c r="EA980" s="17"/>
      <c r="EE980" s="24"/>
      <c r="EF980" s="60"/>
      <c r="EG980" s="16"/>
      <c r="EH980" s="16"/>
      <c r="EI980" s="16"/>
      <c r="EJ980" s="16"/>
      <c r="EK980" s="16"/>
      <c r="EL980" s="17"/>
      <c r="EP980" s="24"/>
      <c r="EQ980" s="60"/>
      <c r="ER980" s="16"/>
      <c r="ES980" s="16"/>
      <c r="ET980" s="16"/>
      <c r="EU980" s="16"/>
      <c r="EV980" s="16"/>
      <c r="EW980" s="17"/>
      <c r="FA980" s="24"/>
      <c r="FB980" s="60"/>
      <c r="FC980" s="16"/>
      <c r="FD980" s="16"/>
      <c r="FE980" s="16"/>
      <c r="FF980" s="16"/>
      <c r="FG980" s="16"/>
      <c r="FH980" s="17"/>
      <c r="FL980" s="24"/>
      <c r="FM980" s="60"/>
      <c r="FN980" s="16"/>
      <c r="FO980" s="16"/>
      <c r="FP980" s="16"/>
      <c r="FQ980" s="16"/>
      <c r="FR980" s="16"/>
      <c r="FS980" s="17"/>
      <c r="FW980" s="24"/>
      <c r="FX980" s="60"/>
      <c r="FY980" s="16"/>
      <c r="FZ980" s="16"/>
      <c r="GA980" s="16"/>
      <c r="GB980" s="16"/>
      <c r="GC980" s="16"/>
      <c r="GD980" s="17"/>
      <c r="GH980" s="24"/>
      <c r="GI980" s="60"/>
      <c r="GJ980" s="16"/>
      <c r="GK980" s="16"/>
      <c r="GL980" s="16"/>
      <c r="GM980" s="16"/>
      <c r="GN980" s="16"/>
      <c r="GO980" s="17"/>
      <c r="GS980" s="24"/>
      <c r="GT980" s="60"/>
      <c r="GU980" s="16"/>
      <c r="GV980" s="16"/>
      <c r="GW980" s="16"/>
      <c r="GX980" s="16"/>
      <c r="GY980" s="16"/>
      <c r="GZ980" s="17"/>
      <c r="HD980" s="24"/>
      <c r="HE980" s="60"/>
      <c r="HF980" s="16"/>
      <c r="HG980" s="16"/>
      <c r="HH980" s="16"/>
      <c r="HI980" s="16"/>
      <c r="HJ980" s="16"/>
      <c r="HK980" s="17"/>
      <c r="HO980" s="24"/>
      <c r="HP980" s="60"/>
      <c r="HQ980" s="16"/>
      <c r="HR980" s="16"/>
      <c r="HS980" s="16"/>
      <c r="HT980" s="16"/>
      <c r="HU980" s="16"/>
      <c r="HV980" s="17"/>
      <c r="HZ980" s="24"/>
      <c r="IA980" s="60"/>
      <c r="IB980" s="16"/>
      <c r="IC980" s="16"/>
      <c r="ID980" s="16"/>
      <c r="IE980" s="16"/>
      <c r="IF980" s="16"/>
      <c r="IG980" s="17"/>
      <c r="IK980" s="24"/>
      <c r="IL980" s="60"/>
      <c r="IM980" s="16"/>
      <c r="IN980" s="16"/>
      <c r="IO980" s="16"/>
      <c r="IP980" s="16"/>
      <c r="IQ980" s="16"/>
      <c r="IR980" s="17"/>
      <c r="IV980" s="24"/>
      <c r="IW980" s="60"/>
      <c r="IX980" s="16"/>
      <c r="IY980" s="16"/>
      <c r="IZ980" s="16"/>
      <c r="JA980" s="16"/>
      <c r="JB980" s="16"/>
      <c r="JC980" s="17"/>
      <c r="JG980" s="24"/>
      <c r="JH980" s="60"/>
      <c r="JI980" s="16"/>
      <c r="JJ980" s="16"/>
      <c r="JK980" s="16"/>
      <c r="JL980" s="16"/>
      <c r="JM980" s="16"/>
      <c r="JN980" s="17"/>
      <c r="JR980" s="24"/>
      <c r="JS980" s="60"/>
      <c r="JT980" s="16"/>
      <c r="JU980" s="16"/>
      <c r="JV980" s="16"/>
      <c r="JW980" s="16"/>
      <c r="JX980" s="16"/>
      <c r="JY980" s="17"/>
      <c r="KC980" s="24"/>
      <c r="KD980" s="60"/>
      <c r="KE980" s="16"/>
      <c r="KF980" s="16"/>
      <c r="KG980" s="16"/>
      <c r="KH980" s="16"/>
      <c r="KI980" s="16"/>
      <c r="KJ980" s="17"/>
      <c r="KN980" s="24"/>
      <c r="KO980" s="60"/>
      <c r="KP980" s="16"/>
      <c r="KQ980" s="16"/>
      <c r="KR980" s="16"/>
      <c r="KS980" s="16"/>
      <c r="KT980" s="16"/>
      <c r="KU980" s="17"/>
      <c r="KY980" s="24"/>
      <c r="KZ980" s="60"/>
      <c r="LA980" s="16"/>
      <c r="LB980" s="16"/>
      <c r="LC980" s="16"/>
      <c r="LD980" s="16"/>
      <c r="LE980" s="16"/>
      <c r="LF980" s="17"/>
      <c r="LJ980" s="24"/>
      <c r="LK980" s="60"/>
      <c r="LL980" s="16"/>
      <c r="LM980" s="16"/>
      <c r="LN980" s="16"/>
      <c r="LO980" s="16"/>
      <c r="LP980" s="16"/>
      <c r="LQ980" s="17"/>
    </row>
    <row r="981">
      <c r="C981" s="31"/>
      <c r="D981" s="61"/>
      <c r="E981" s="16"/>
      <c r="F981" s="16"/>
      <c r="G981" s="21"/>
      <c r="H981" s="16"/>
      <c r="I981" s="16"/>
      <c r="J981" s="17"/>
      <c r="N981" s="17"/>
      <c r="O981" s="61"/>
      <c r="P981" s="16"/>
      <c r="Q981" s="16"/>
      <c r="R981" s="16"/>
      <c r="S981" s="16"/>
      <c r="T981" s="16"/>
      <c r="U981" s="17"/>
      <c r="Y981" s="24"/>
      <c r="Z981" s="61"/>
      <c r="AA981" s="16"/>
      <c r="AB981" s="16"/>
      <c r="AC981" s="16"/>
      <c r="AD981" s="16"/>
      <c r="AE981" s="16"/>
      <c r="AF981" s="17"/>
      <c r="AJ981" s="24"/>
      <c r="AK981" s="61"/>
      <c r="AL981" s="16"/>
      <c r="AM981" s="16"/>
      <c r="AN981" s="16"/>
      <c r="AO981" s="16"/>
      <c r="AP981" s="16"/>
      <c r="AQ981" s="17"/>
      <c r="AU981" s="24"/>
      <c r="AV981" s="61"/>
      <c r="AW981" s="16"/>
      <c r="AX981" s="16"/>
      <c r="AY981" s="16"/>
      <c r="AZ981" s="16"/>
      <c r="BA981" s="16"/>
      <c r="BB981" s="17"/>
      <c r="BF981" s="24"/>
      <c r="BG981" s="61"/>
      <c r="BH981" s="16"/>
      <c r="BI981" s="16"/>
      <c r="BJ981" s="16"/>
      <c r="BK981" s="16"/>
      <c r="BL981" s="16"/>
      <c r="BM981" s="17"/>
      <c r="BQ981" s="24"/>
      <c r="BR981" s="61"/>
      <c r="BS981" s="16"/>
      <c r="BT981" s="16"/>
      <c r="BU981" s="16"/>
      <c r="BV981" s="16"/>
      <c r="BW981" s="16"/>
      <c r="BX981" s="17"/>
      <c r="CB981" s="24"/>
      <c r="CC981" s="61"/>
      <c r="CD981" s="16"/>
      <c r="CE981" s="16"/>
      <c r="CF981" s="16"/>
      <c r="CG981" s="16"/>
      <c r="CH981" s="16"/>
      <c r="CI981" s="17"/>
      <c r="CM981" s="24"/>
      <c r="CN981" s="61"/>
      <c r="CO981" s="16"/>
      <c r="CP981" s="16"/>
      <c r="CQ981" s="16"/>
      <c r="CR981" s="16"/>
      <c r="CS981" s="16"/>
      <c r="CT981" s="17"/>
      <c r="CX981" s="24"/>
      <c r="CY981" s="60"/>
      <c r="CZ981" s="16"/>
      <c r="DA981" s="16"/>
      <c r="DB981" s="16"/>
      <c r="DC981" s="16"/>
      <c r="DD981" s="16"/>
      <c r="DE981" s="17"/>
      <c r="DI981" s="24"/>
      <c r="DJ981" s="60"/>
      <c r="DK981" s="16"/>
      <c r="DL981" s="16"/>
      <c r="DM981" s="16"/>
      <c r="DN981" s="16"/>
      <c r="DO981" s="16"/>
      <c r="DP981" s="17"/>
      <c r="DT981" s="24"/>
      <c r="DU981" s="60"/>
      <c r="DV981" s="16"/>
      <c r="DW981" s="16"/>
      <c r="DX981" s="16"/>
      <c r="DY981" s="16"/>
      <c r="DZ981" s="16"/>
      <c r="EA981" s="17"/>
      <c r="EE981" s="24"/>
      <c r="EF981" s="60"/>
      <c r="EG981" s="16"/>
      <c r="EH981" s="16"/>
      <c r="EI981" s="16"/>
      <c r="EJ981" s="16"/>
      <c r="EK981" s="16"/>
      <c r="EL981" s="17"/>
      <c r="EP981" s="24"/>
      <c r="EQ981" s="60"/>
      <c r="ER981" s="16"/>
      <c r="ES981" s="16"/>
      <c r="ET981" s="16"/>
      <c r="EU981" s="16"/>
      <c r="EV981" s="16"/>
      <c r="EW981" s="17"/>
      <c r="FA981" s="24"/>
      <c r="FB981" s="60"/>
      <c r="FC981" s="16"/>
      <c r="FD981" s="16"/>
      <c r="FE981" s="16"/>
      <c r="FF981" s="16"/>
      <c r="FG981" s="16"/>
      <c r="FH981" s="17"/>
      <c r="FL981" s="24"/>
      <c r="FM981" s="60"/>
      <c r="FN981" s="16"/>
      <c r="FO981" s="16"/>
      <c r="FP981" s="16"/>
      <c r="FQ981" s="16"/>
      <c r="FR981" s="16"/>
      <c r="FS981" s="17"/>
      <c r="FW981" s="24"/>
      <c r="FX981" s="60"/>
      <c r="FY981" s="16"/>
      <c r="FZ981" s="16"/>
      <c r="GA981" s="16"/>
      <c r="GB981" s="16"/>
      <c r="GC981" s="16"/>
      <c r="GD981" s="17"/>
      <c r="GH981" s="24"/>
      <c r="GI981" s="60"/>
      <c r="GJ981" s="16"/>
      <c r="GK981" s="16"/>
      <c r="GL981" s="16"/>
      <c r="GM981" s="16"/>
      <c r="GN981" s="16"/>
      <c r="GO981" s="17"/>
      <c r="GS981" s="24"/>
      <c r="GT981" s="60"/>
      <c r="GU981" s="16"/>
      <c r="GV981" s="16"/>
      <c r="GW981" s="16"/>
      <c r="GX981" s="16"/>
      <c r="GY981" s="16"/>
      <c r="GZ981" s="17"/>
      <c r="HD981" s="24"/>
      <c r="HE981" s="60"/>
      <c r="HF981" s="16"/>
      <c r="HG981" s="16"/>
      <c r="HH981" s="16"/>
      <c r="HI981" s="16"/>
      <c r="HJ981" s="16"/>
      <c r="HK981" s="17"/>
      <c r="HO981" s="24"/>
      <c r="HP981" s="60"/>
      <c r="HQ981" s="16"/>
      <c r="HR981" s="16"/>
      <c r="HS981" s="16"/>
      <c r="HT981" s="16"/>
      <c r="HU981" s="16"/>
      <c r="HV981" s="17"/>
      <c r="HZ981" s="24"/>
      <c r="IA981" s="60"/>
      <c r="IB981" s="16"/>
      <c r="IC981" s="16"/>
      <c r="ID981" s="16"/>
      <c r="IE981" s="16"/>
      <c r="IF981" s="16"/>
      <c r="IG981" s="17"/>
      <c r="IK981" s="24"/>
      <c r="IL981" s="60"/>
      <c r="IM981" s="16"/>
      <c r="IN981" s="16"/>
      <c r="IO981" s="16"/>
      <c r="IP981" s="16"/>
      <c r="IQ981" s="16"/>
      <c r="IR981" s="17"/>
      <c r="IV981" s="24"/>
      <c r="IW981" s="60"/>
      <c r="IX981" s="16"/>
      <c r="IY981" s="16"/>
      <c r="IZ981" s="16"/>
      <c r="JA981" s="16"/>
      <c r="JB981" s="16"/>
      <c r="JC981" s="17"/>
      <c r="JG981" s="24"/>
      <c r="JH981" s="60"/>
      <c r="JI981" s="16"/>
      <c r="JJ981" s="16"/>
      <c r="JK981" s="16"/>
      <c r="JL981" s="16"/>
      <c r="JM981" s="16"/>
      <c r="JN981" s="17"/>
      <c r="JR981" s="24"/>
      <c r="JS981" s="60"/>
      <c r="JT981" s="16"/>
      <c r="JU981" s="16"/>
      <c r="JV981" s="16"/>
      <c r="JW981" s="16"/>
      <c r="JX981" s="16"/>
      <c r="JY981" s="17"/>
      <c r="KC981" s="24"/>
      <c r="KD981" s="60"/>
      <c r="KE981" s="16"/>
      <c r="KF981" s="16"/>
      <c r="KG981" s="16"/>
      <c r="KH981" s="16"/>
      <c r="KI981" s="16"/>
      <c r="KJ981" s="17"/>
      <c r="KN981" s="24"/>
      <c r="KO981" s="60"/>
      <c r="KP981" s="16"/>
      <c r="KQ981" s="16"/>
      <c r="KR981" s="16"/>
      <c r="KS981" s="16"/>
      <c r="KT981" s="16"/>
      <c r="KU981" s="17"/>
      <c r="KY981" s="24"/>
      <c r="KZ981" s="60"/>
      <c r="LA981" s="16"/>
      <c r="LB981" s="16"/>
      <c r="LC981" s="16"/>
      <c r="LD981" s="16"/>
      <c r="LE981" s="16"/>
      <c r="LF981" s="17"/>
      <c r="LJ981" s="24"/>
      <c r="LK981" s="60"/>
      <c r="LL981" s="16"/>
      <c r="LM981" s="16"/>
      <c r="LN981" s="16"/>
      <c r="LO981" s="16"/>
      <c r="LP981" s="16"/>
      <c r="LQ981" s="17"/>
    </row>
    <row r="982">
      <c r="C982" s="31"/>
      <c r="D982" s="61"/>
      <c r="E982" s="16"/>
      <c r="F982" s="16"/>
      <c r="G982" s="21"/>
      <c r="H982" s="16"/>
      <c r="I982" s="16"/>
      <c r="J982" s="17"/>
      <c r="N982" s="17"/>
      <c r="O982" s="61"/>
      <c r="P982" s="16"/>
      <c r="Q982" s="16"/>
      <c r="R982" s="16"/>
      <c r="S982" s="16"/>
      <c r="T982" s="16"/>
      <c r="U982" s="17"/>
      <c r="Y982" s="24"/>
      <c r="Z982" s="61"/>
      <c r="AA982" s="16"/>
      <c r="AB982" s="16"/>
      <c r="AC982" s="16"/>
      <c r="AD982" s="16"/>
      <c r="AE982" s="16"/>
      <c r="AF982" s="17"/>
      <c r="AJ982" s="24"/>
      <c r="AK982" s="61"/>
      <c r="AL982" s="16"/>
      <c r="AM982" s="16"/>
      <c r="AN982" s="16"/>
      <c r="AO982" s="16"/>
      <c r="AP982" s="16"/>
      <c r="AQ982" s="17"/>
      <c r="AU982" s="24"/>
      <c r="AV982" s="61"/>
      <c r="AW982" s="16"/>
      <c r="AX982" s="16"/>
      <c r="AY982" s="16"/>
      <c r="AZ982" s="16"/>
      <c r="BA982" s="16"/>
      <c r="BB982" s="17"/>
      <c r="BF982" s="24"/>
      <c r="BG982" s="61"/>
      <c r="BH982" s="16"/>
      <c r="BI982" s="16"/>
      <c r="BJ982" s="16"/>
      <c r="BK982" s="16"/>
      <c r="BL982" s="16"/>
      <c r="BM982" s="17"/>
      <c r="BQ982" s="24"/>
      <c r="BR982" s="61"/>
      <c r="BS982" s="16"/>
      <c r="BT982" s="16"/>
      <c r="BU982" s="16"/>
      <c r="BV982" s="16"/>
      <c r="BW982" s="16"/>
      <c r="BX982" s="17"/>
      <c r="CB982" s="24"/>
      <c r="CC982" s="61"/>
      <c r="CD982" s="16"/>
      <c r="CE982" s="16"/>
      <c r="CF982" s="16"/>
      <c r="CG982" s="16"/>
      <c r="CH982" s="16"/>
      <c r="CI982" s="17"/>
      <c r="CM982" s="24"/>
      <c r="CN982" s="61"/>
      <c r="CO982" s="16"/>
      <c r="CP982" s="16"/>
      <c r="CQ982" s="16"/>
      <c r="CR982" s="16"/>
      <c r="CS982" s="16"/>
      <c r="CT982" s="17"/>
      <c r="CX982" s="24"/>
      <c r="CY982" s="60"/>
      <c r="CZ982" s="16"/>
      <c r="DA982" s="16"/>
      <c r="DB982" s="16"/>
      <c r="DC982" s="16"/>
      <c r="DD982" s="16"/>
      <c r="DE982" s="17"/>
      <c r="DI982" s="24"/>
      <c r="DJ982" s="60"/>
      <c r="DK982" s="16"/>
      <c r="DL982" s="16"/>
      <c r="DM982" s="16"/>
      <c r="DN982" s="16"/>
      <c r="DO982" s="16"/>
      <c r="DP982" s="17"/>
      <c r="DT982" s="24"/>
      <c r="DU982" s="60"/>
      <c r="DV982" s="16"/>
      <c r="DW982" s="16"/>
      <c r="DX982" s="16"/>
      <c r="DY982" s="16"/>
      <c r="DZ982" s="16"/>
      <c r="EA982" s="17"/>
      <c r="EE982" s="24"/>
      <c r="EF982" s="60"/>
      <c r="EG982" s="16"/>
      <c r="EH982" s="16"/>
      <c r="EI982" s="16"/>
      <c r="EJ982" s="16"/>
      <c r="EK982" s="16"/>
      <c r="EL982" s="17"/>
      <c r="EP982" s="24"/>
      <c r="EQ982" s="60"/>
      <c r="ER982" s="16"/>
      <c r="ES982" s="16"/>
      <c r="ET982" s="16"/>
      <c r="EU982" s="16"/>
      <c r="EV982" s="16"/>
      <c r="EW982" s="17"/>
      <c r="FA982" s="24"/>
      <c r="FB982" s="60"/>
      <c r="FC982" s="16"/>
      <c r="FD982" s="16"/>
      <c r="FE982" s="16"/>
      <c r="FF982" s="16"/>
      <c r="FG982" s="16"/>
      <c r="FH982" s="17"/>
      <c r="FL982" s="24"/>
      <c r="FM982" s="60"/>
      <c r="FN982" s="16"/>
      <c r="FO982" s="16"/>
      <c r="FP982" s="16"/>
      <c r="FQ982" s="16"/>
      <c r="FR982" s="16"/>
      <c r="FS982" s="17"/>
      <c r="FW982" s="24"/>
      <c r="FX982" s="60"/>
      <c r="FY982" s="16"/>
      <c r="FZ982" s="16"/>
      <c r="GA982" s="16"/>
      <c r="GB982" s="16"/>
      <c r="GC982" s="16"/>
      <c r="GD982" s="17"/>
      <c r="GH982" s="24"/>
      <c r="GI982" s="60"/>
      <c r="GJ982" s="16"/>
      <c r="GK982" s="16"/>
      <c r="GL982" s="16"/>
      <c r="GM982" s="16"/>
      <c r="GN982" s="16"/>
      <c r="GO982" s="17"/>
      <c r="GS982" s="24"/>
      <c r="GT982" s="60"/>
      <c r="GU982" s="16"/>
      <c r="GV982" s="16"/>
      <c r="GW982" s="16"/>
      <c r="GX982" s="16"/>
      <c r="GY982" s="16"/>
      <c r="GZ982" s="17"/>
      <c r="HD982" s="24"/>
      <c r="HE982" s="60"/>
      <c r="HF982" s="16"/>
      <c r="HG982" s="16"/>
      <c r="HH982" s="16"/>
      <c r="HI982" s="16"/>
      <c r="HJ982" s="16"/>
      <c r="HK982" s="17"/>
      <c r="HO982" s="24"/>
      <c r="HP982" s="60"/>
      <c r="HQ982" s="16"/>
      <c r="HR982" s="16"/>
      <c r="HS982" s="16"/>
      <c r="HT982" s="16"/>
      <c r="HU982" s="16"/>
      <c r="HV982" s="17"/>
      <c r="HZ982" s="24"/>
      <c r="IA982" s="60"/>
      <c r="IB982" s="16"/>
      <c r="IC982" s="16"/>
      <c r="ID982" s="16"/>
      <c r="IE982" s="16"/>
      <c r="IF982" s="16"/>
      <c r="IG982" s="17"/>
      <c r="IK982" s="24"/>
      <c r="IL982" s="60"/>
      <c r="IM982" s="16"/>
      <c r="IN982" s="16"/>
      <c r="IO982" s="16"/>
      <c r="IP982" s="16"/>
      <c r="IQ982" s="16"/>
      <c r="IR982" s="17"/>
      <c r="IV982" s="24"/>
      <c r="IW982" s="60"/>
      <c r="IX982" s="16"/>
      <c r="IY982" s="16"/>
      <c r="IZ982" s="16"/>
      <c r="JA982" s="16"/>
      <c r="JB982" s="16"/>
      <c r="JC982" s="17"/>
      <c r="JG982" s="24"/>
      <c r="JH982" s="60"/>
      <c r="JI982" s="16"/>
      <c r="JJ982" s="16"/>
      <c r="JK982" s="16"/>
      <c r="JL982" s="16"/>
      <c r="JM982" s="16"/>
      <c r="JN982" s="17"/>
      <c r="JR982" s="24"/>
      <c r="JS982" s="60"/>
      <c r="JT982" s="16"/>
      <c r="JU982" s="16"/>
      <c r="JV982" s="16"/>
      <c r="JW982" s="16"/>
      <c r="JX982" s="16"/>
      <c r="JY982" s="17"/>
      <c r="KC982" s="24"/>
      <c r="KD982" s="60"/>
      <c r="KE982" s="16"/>
      <c r="KF982" s="16"/>
      <c r="KG982" s="16"/>
      <c r="KH982" s="16"/>
      <c r="KI982" s="16"/>
      <c r="KJ982" s="17"/>
      <c r="KN982" s="24"/>
      <c r="KO982" s="60"/>
      <c r="KP982" s="16"/>
      <c r="KQ982" s="16"/>
      <c r="KR982" s="16"/>
      <c r="KS982" s="16"/>
      <c r="KT982" s="16"/>
      <c r="KU982" s="17"/>
      <c r="KY982" s="24"/>
      <c r="KZ982" s="60"/>
      <c r="LA982" s="16"/>
      <c r="LB982" s="16"/>
      <c r="LC982" s="16"/>
      <c r="LD982" s="16"/>
      <c r="LE982" s="16"/>
      <c r="LF982" s="17"/>
      <c r="LJ982" s="24"/>
      <c r="LK982" s="60"/>
      <c r="LL982" s="16"/>
      <c r="LM982" s="16"/>
      <c r="LN982" s="16"/>
      <c r="LO982" s="16"/>
      <c r="LP982" s="16"/>
      <c r="LQ982" s="17"/>
    </row>
    <row r="983">
      <c r="C983" s="31"/>
      <c r="D983" s="61"/>
      <c r="E983" s="16"/>
      <c r="F983" s="16"/>
      <c r="G983" s="21"/>
      <c r="H983" s="16"/>
      <c r="I983" s="16"/>
      <c r="J983" s="17"/>
      <c r="N983" s="17"/>
      <c r="O983" s="61"/>
      <c r="P983" s="16"/>
      <c r="Q983" s="16"/>
      <c r="R983" s="16"/>
      <c r="S983" s="16"/>
      <c r="T983" s="16"/>
      <c r="U983" s="17"/>
      <c r="Y983" s="24"/>
      <c r="Z983" s="61"/>
      <c r="AA983" s="16"/>
      <c r="AB983" s="16"/>
      <c r="AC983" s="16"/>
      <c r="AD983" s="16"/>
      <c r="AE983" s="16"/>
      <c r="AF983" s="17"/>
      <c r="AJ983" s="24"/>
      <c r="AK983" s="61"/>
      <c r="AL983" s="16"/>
      <c r="AM983" s="16"/>
      <c r="AN983" s="16"/>
      <c r="AO983" s="16"/>
      <c r="AP983" s="16"/>
      <c r="AQ983" s="17"/>
      <c r="AU983" s="24"/>
      <c r="AV983" s="61"/>
      <c r="AW983" s="16"/>
      <c r="AX983" s="16"/>
      <c r="AY983" s="16"/>
      <c r="AZ983" s="16"/>
      <c r="BA983" s="16"/>
      <c r="BB983" s="17"/>
      <c r="BF983" s="24"/>
      <c r="BG983" s="61"/>
      <c r="BH983" s="16"/>
      <c r="BI983" s="16"/>
      <c r="BJ983" s="16"/>
      <c r="BK983" s="16"/>
      <c r="BL983" s="16"/>
      <c r="BM983" s="17"/>
      <c r="BQ983" s="24"/>
      <c r="BR983" s="61"/>
      <c r="BS983" s="16"/>
      <c r="BT983" s="16"/>
      <c r="BU983" s="16"/>
      <c r="BV983" s="16"/>
      <c r="BW983" s="16"/>
      <c r="BX983" s="17"/>
      <c r="CB983" s="24"/>
      <c r="CC983" s="61"/>
      <c r="CD983" s="16"/>
      <c r="CE983" s="16"/>
      <c r="CF983" s="16"/>
      <c r="CG983" s="16"/>
      <c r="CH983" s="16"/>
      <c r="CI983" s="17"/>
      <c r="CM983" s="24"/>
      <c r="CN983" s="61"/>
      <c r="CO983" s="16"/>
      <c r="CP983" s="16"/>
      <c r="CQ983" s="16"/>
      <c r="CR983" s="16"/>
      <c r="CS983" s="16"/>
      <c r="CT983" s="17"/>
      <c r="CX983" s="24"/>
      <c r="CY983" s="60"/>
      <c r="CZ983" s="16"/>
      <c r="DA983" s="16"/>
      <c r="DB983" s="16"/>
      <c r="DC983" s="16"/>
      <c r="DD983" s="16"/>
      <c r="DE983" s="17"/>
      <c r="DI983" s="24"/>
      <c r="DJ983" s="60"/>
      <c r="DK983" s="16"/>
      <c r="DL983" s="16"/>
      <c r="DM983" s="16"/>
      <c r="DN983" s="16"/>
      <c r="DO983" s="16"/>
      <c r="DP983" s="17"/>
      <c r="DT983" s="24"/>
      <c r="DU983" s="60"/>
      <c r="DV983" s="16"/>
      <c r="DW983" s="16"/>
      <c r="DX983" s="16"/>
      <c r="DY983" s="16"/>
      <c r="DZ983" s="16"/>
      <c r="EA983" s="17"/>
      <c r="EE983" s="24"/>
      <c r="EF983" s="60"/>
      <c r="EG983" s="16"/>
      <c r="EH983" s="16"/>
      <c r="EI983" s="16"/>
      <c r="EJ983" s="16"/>
      <c r="EK983" s="16"/>
      <c r="EL983" s="17"/>
      <c r="EP983" s="24"/>
      <c r="EQ983" s="60"/>
      <c r="ER983" s="16"/>
      <c r="ES983" s="16"/>
      <c r="ET983" s="16"/>
      <c r="EU983" s="16"/>
      <c r="EV983" s="16"/>
      <c r="EW983" s="17"/>
      <c r="FA983" s="24"/>
      <c r="FB983" s="60"/>
      <c r="FC983" s="16"/>
      <c r="FD983" s="16"/>
      <c r="FE983" s="16"/>
      <c r="FF983" s="16"/>
      <c r="FG983" s="16"/>
      <c r="FH983" s="17"/>
      <c r="FL983" s="24"/>
      <c r="FM983" s="60"/>
      <c r="FN983" s="16"/>
      <c r="FO983" s="16"/>
      <c r="FP983" s="16"/>
      <c r="FQ983" s="16"/>
      <c r="FR983" s="16"/>
      <c r="FS983" s="17"/>
      <c r="FW983" s="24"/>
      <c r="FX983" s="60"/>
      <c r="FY983" s="16"/>
      <c r="FZ983" s="16"/>
      <c r="GA983" s="16"/>
      <c r="GB983" s="16"/>
      <c r="GC983" s="16"/>
      <c r="GD983" s="17"/>
      <c r="GH983" s="24"/>
      <c r="GI983" s="60"/>
      <c r="GJ983" s="16"/>
      <c r="GK983" s="16"/>
      <c r="GL983" s="16"/>
      <c r="GM983" s="16"/>
      <c r="GN983" s="16"/>
      <c r="GO983" s="17"/>
      <c r="GS983" s="24"/>
      <c r="GT983" s="60"/>
      <c r="GU983" s="16"/>
      <c r="GV983" s="16"/>
      <c r="GW983" s="16"/>
      <c r="GX983" s="16"/>
      <c r="GY983" s="16"/>
      <c r="GZ983" s="17"/>
      <c r="HD983" s="24"/>
      <c r="HE983" s="60"/>
      <c r="HF983" s="16"/>
      <c r="HG983" s="16"/>
      <c r="HH983" s="16"/>
      <c r="HI983" s="16"/>
      <c r="HJ983" s="16"/>
      <c r="HK983" s="17"/>
      <c r="HO983" s="24"/>
      <c r="HP983" s="60"/>
      <c r="HQ983" s="16"/>
      <c r="HR983" s="16"/>
      <c r="HS983" s="16"/>
      <c r="HT983" s="16"/>
      <c r="HU983" s="16"/>
      <c r="HV983" s="17"/>
      <c r="HZ983" s="24"/>
      <c r="IA983" s="60"/>
      <c r="IB983" s="16"/>
      <c r="IC983" s="16"/>
      <c r="ID983" s="16"/>
      <c r="IE983" s="16"/>
      <c r="IF983" s="16"/>
      <c r="IG983" s="17"/>
      <c r="IK983" s="24"/>
      <c r="IL983" s="60"/>
      <c r="IM983" s="16"/>
      <c r="IN983" s="16"/>
      <c r="IO983" s="16"/>
      <c r="IP983" s="16"/>
      <c r="IQ983" s="16"/>
      <c r="IR983" s="17"/>
      <c r="IV983" s="24"/>
      <c r="IW983" s="60"/>
      <c r="IX983" s="16"/>
      <c r="IY983" s="16"/>
      <c r="IZ983" s="16"/>
      <c r="JA983" s="16"/>
      <c r="JB983" s="16"/>
      <c r="JC983" s="17"/>
      <c r="JG983" s="24"/>
      <c r="JH983" s="60"/>
      <c r="JI983" s="16"/>
      <c r="JJ983" s="16"/>
      <c r="JK983" s="16"/>
      <c r="JL983" s="16"/>
      <c r="JM983" s="16"/>
      <c r="JN983" s="17"/>
      <c r="JR983" s="24"/>
      <c r="JS983" s="60"/>
      <c r="JT983" s="16"/>
      <c r="JU983" s="16"/>
      <c r="JV983" s="16"/>
      <c r="JW983" s="16"/>
      <c r="JX983" s="16"/>
      <c r="JY983" s="17"/>
      <c r="KC983" s="24"/>
      <c r="KD983" s="60"/>
      <c r="KE983" s="16"/>
      <c r="KF983" s="16"/>
      <c r="KG983" s="16"/>
      <c r="KH983" s="16"/>
      <c r="KI983" s="16"/>
      <c r="KJ983" s="17"/>
      <c r="KN983" s="24"/>
      <c r="KO983" s="60"/>
      <c r="KP983" s="16"/>
      <c r="KQ983" s="16"/>
      <c r="KR983" s="16"/>
      <c r="KS983" s="16"/>
      <c r="KT983" s="16"/>
      <c r="KU983" s="17"/>
      <c r="KY983" s="24"/>
      <c r="KZ983" s="60"/>
      <c r="LA983" s="16"/>
      <c r="LB983" s="16"/>
      <c r="LC983" s="16"/>
      <c r="LD983" s="16"/>
      <c r="LE983" s="16"/>
      <c r="LF983" s="17"/>
      <c r="LJ983" s="24"/>
      <c r="LK983" s="60"/>
      <c r="LL983" s="16"/>
      <c r="LM983" s="16"/>
      <c r="LN983" s="16"/>
      <c r="LO983" s="16"/>
      <c r="LP983" s="16"/>
      <c r="LQ983" s="17"/>
    </row>
    <row r="984">
      <c r="C984" s="31"/>
      <c r="D984" s="61"/>
      <c r="E984" s="16"/>
      <c r="F984" s="16"/>
      <c r="G984" s="21"/>
      <c r="H984" s="16"/>
      <c r="I984" s="16"/>
      <c r="J984" s="17"/>
      <c r="N984" s="17"/>
      <c r="O984" s="61"/>
      <c r="P984" s="16"/>
      <c r="Q984" s="16"/>
      <c r="R984" s="16"/>
      <c r="S984" s="16"/>
      <c r="T984" s="16"/>
      <c r="U984" s="17"/>
      <c r="Y984" s="24"/>
      <c r="Z984" s="61"/>
      <c r="AA984" s="16"/>
      <c r="AB984" s="16"/>
      <c r="AC984" s="16"/>
      <c r="AD984" s="16"/>
      <c r="AE984" s="16"/>
      <c r="AF984" s="17"/>
      <c r="AJ984" s="24"/>
      <c r="AK984" s="61"/>
      <c r="AL984" s="16"/>
      <c r="AM984" s="16"/>
      <c r="AN984" s="16"/>
      <c r="AO984" s="16"/>
      <c r="AP984" s="16"/>
      <c r="AQ984" s="17"/>
      <c r="AU984" s="24"/>
      <c r="AV984" s="61"/>
      <c r="AW984" s="16"/>
      <c r="AX984" s="16"/>
      <c r="AY984" s="16"/>
      <c r="AZ984" s="16"/>
      <c r="BA984" s="16"/>
      <c r="BB984" s="17"/>
      <c r="BF984" s="24"/>
      <c r="BG984" s="61"/>
      <c r="BH984" s="16"/>
      <c r="BI984" s="16"/>
      <c r="BJ984" s="16"/>
      <c r="BK984" s="16"/>
      <c r="BL984" s="16"/>
      <c r="BM984" s="17"/>
      <c r="BQ984" s="24"/>
      <c r="BR984" s="61"/>
      <c r="BS984" s="16"/>
      <c r="BT984" s="16"/>
      <c r="BU984" s="16"/>
      <c r="BV984" s="16"/>
      <c r="BW984" s="16"/>
      <c r="BX984" s="17"/>
      <c r="CB984" s="24"/>
      <c r="CC984" s="61"/>
      <c r="CD984" s="16"/>
      <c r="CE984" s="16"/>
      <c r="CF984" s="16"/>
      <c r="CG984" s="16"/>
      <c r="CH984" s="16"/>
      <c r="CI984" s="17"/>
      <c r="CM984" s="24"/>
      <c r="CN984" s="61"/>
      <c r="CO984" s="16"/>
      <c r="CP984" s="16"/>
      <c r="CQ984" s="16"/>
      <c r="CR984" s="16"/>
      <c r="CS984" s="16"/>
      <c r="CT984" s="17"/>
      <c r="CX984" s="24"/>
      <c r="CY984" s="60"/>
      <c r="CZ984" s="16"/>
      <c r="DA984" s="16"/>
      <c r="DB984" s="16"/>
      <c r="DC984" s="16"/>
      <c r="DD984" s="16"/>
      <c r="DE984" s="17"/>
      <c r="DI984" s="24"/>
      <c r="DJ984" s="60"/>
      <c r="DK984" s="16"/>
      <c r="DL984" s="16"/>
      <c r="DM984" s="16"/>
      <c r="DN984" s="16"/>
      <c r="DO984" s="16"/>
      <c r="DP984" s="17"/>
      <c r="DT984" s="24"/>
      <c r="DU984" s="60"/>
      <c r="DV984" s="16"/>
      <c r="DW984" s="16"/>
      <c r="DX984" s="16"/>
      <c r="DY984" s="16"/>
      <c r="DZ984" s="16"/>
      <c r="EA984" s="17"/>
      <c r="EE984" s="24"/>
      <c r="EF984" s="60"/>
      <c r="EG984" s="16"/>
      <c r="EH984" s="16"/>
      <c r="EI984" s="16"/>
      <c r="EJ984" s="16"/>
      <c r="EK984" s="16"/>
      <c r="EL984" s="17"/>
      <c r="EP984" s="24"/>
      <c r="EQ984" s="60"/>
      <c r="ER984" s="16"/>
      <c r="ES984" s="16"/>
      <c r="ET984" s="16"/>
      <c r="EU984" s="16"/>
      <c r="EV984" s="16"/>
      <c r="EW984" s="17"/>
      <c r="FA984" s="24"/>
      <c r="FB984" s="60"/>
      <c r="FC984" s="16"/>
      <c r="FD984" s="16"/>
      <c r="FE984" s="16"/>
      <c r="FF984" s="16"/>
      <c r="FG984" s="16"/>
      <c r="FH984" s="17"/>
      <c r="FL984" s="24"/>
      <c r="FM984" s="60"/>
      <c r="FN984" s="16"/>
      <c r="FO984" s="16"/>
      <c r="FP984" s="16"/>
      <c r="FQ984" s="16"/>
      <c r="FR984" s="16"/>
      <c r="FS984" s="17"/>
      <c r="FW984" s="24"/>
      <c r="FX984" s="60"/>
      <c r="FY984" s="16"/>
      <c r="FZ984" s="16"/>
      <c r="GA984" s="16"/>
      <c r="GB984" s="16"/>
      <c r="GC984" s="16"/>
      <c r="GD984" s="17"/>
      <c r="GH984" s="24"/>
      <c r="GI984" s="60"/>
      <c r="GJ984" s="16"/>
      <c r="GK984" s="16"/>
      <c r="GL984" s="16"/>
      <c r="GM984" s="16"/>
      <c r="GN984" s="16"/>
      <c r="GO984" s="17"/>
      <c r="GS984" s="24"/>
      <c r="GT984" s="60"/>
      <c r="GU984" s="16"/>
      <c r="GV984" s="16"/>
      <c r="GW984" s="16"/>
      <c r="GX984" s="16"/>
      <c r="GY984" s="16"/>
      <c r="GZ984" s="17"/>
      <c r="HD984" s="24"/>
      <c r="HE984" s="60"/>
      <c r="HF984" s="16"/>
      <c r="HG984" s="16"/>
      <c r="HH984" s="16"/>
      <c r="HI984" s="16"/>
      <c r="HJ984" s="16"/>
      <c r="HK984" s="17"/>
      <c r="HO984" s="24"/>
      <c r="HP984" s="60"/>
      <c r="HQ984" s="16"/>
      <c r="HR984" s="16"/>
      <c r="HS984" s="16"/>
      <c r="HT984" s="16"/>
      <c r="HU984" s="16"/>
      <c r="HV984" s="17"/>
      <c r="HZ984" s="24"/>
      <c r="IA984" s="60"/>
      <c r="IB984" s="16"/>
      <c r="IC984" s="16"/>
      <c r="ID984" s="16"/>
      <c r="IE984" s="16"/>
      <c r="IF984" s="16"/>
      <c r="IG984" s="17"/>
      <c r="IK984" s="24"/>
      <c r="IL984" s="60"/>
      <c r="IM984" s="16"/>
      <c r="IN984" s="16"/>
      <c r="IO984" s="16"/>
      <c r="IP984" s="16"/>
      <c r="IQ984" s="16"/>
      <c r="IR984" s="17"/>
      <c r="IV984" s="24"/>
      <c r="IW984" s="60"/>
      <c r="IX984" s="16"/>
      <c r="IY984" s="16"/>
      <c r="IZ984" s="16"/>
      <c r="JA984" s="16"/>
      <c r="JB984" s="16"/>
      <c r="JC984" s="17"/>
      <c r="JG984" s="24"/>
      <c r="JH984" s="60"/>
      <c r="JI984" s="16"/>
      <c r="JJ984" s="16"/>
      <c r="JK984" s="16"/>
      <c r="JL984" s="16"/>
      <c r="JM984" s="16"/>
      <c r="JN984" s="17"/>
      <c r="JR984" s="24"/>
      <c r="JS984" s="60"/>
      <c r="JT984" s="16"/>
      <c r="JU984" s="16"/>
      <c r="JV984" s="16"/>
      <c r="JW984" s="16"/>
      <c r="JX984" s="16"/>
      <c r="JY984" s="17"/>
      <c r="KC984" s="24"/>
      <c r="KD984" s="60"/>
      <c r="KE984" s="16"/>
      <c r="KF984" s="16"/>
      <c r="KG984" s="16"/>
      <c r="KH984" s="16"/>
      <c r="KI984" s="16"/>
      <c r="KJ984" s="17"/>
      <c r="KN984" s="24"/>
      <c r="KO984" s="60"/>
      <c r="KP984" s="16"/>
      <c r="KQ984" s="16"/>
      <c r="KR984" s="16"/>
      <c r="KS984" s="16"/>
      <c r="KT984" s="16"/>
      <c r="KU984" s="17"/>
      <c r="KY984" s="24"/>
      <c r="KZ984" s="60"/>
      <c r="LA984" s="16"/>
      <c r="LB984" s="16"/>
      <c r="LC984" s="16"/>
      <c r="LD984" s="16"/>
      <c r="LE984" s="16"/>
      <c r="LF984" s="17"/>
      <c r="LJ984" s="24"/>
      <c r="LK984" s="60"/>
      <c r="LL984" s="16"/>
      <c r="LM984" s="16"/>
      <c r="LN984" s="16"/>
      <c r="LO984" s="16"/>
      <c r="LP984" s="16"/>
      <c r="LQ984" s="17"/>
    </row>
    <row r="985">
      <c r="C985" s="31"/>
      <c r="D985" s="61"/>
      <c r="E985" s="16"/>
      <c r="F985" s="16"/>
      <c r="G985" s="21"/>
      <c r="H985" s="16"/>
      <c r="I985" s="16"/>
      <c r="J985" s="17"/>
      <c r="N985" s="17"/>
      <c r="O985" s="61"/>
      <c r="P985" s="16"/>
      <c r="Q985" s="16"/>
      <c r="R985" s="16"/>
      <c r="S985" s="16"/>
      <c r="T985" s="16"/>
      <c r="U985" s="17"/>
      <c r="Y985" s="24"/>
      <c r="Z985" s="61"/>
      <c r="AA985" s="16"/>
      <c r="AB985" s="16"/>
      <c r="AC985" s="16"/>
      <c r="AD985" s="16"/>
      <c r="AE985" s="16"/>
      <c r="AF985" s="17"/>
      <c r="AJ985" s="24"/>
      <c r="AK985" s="61"/>
      <c r="AL985" s="16"/>
      <c r="AM985" s="16"/>
      <c r="AN985" s="16"/>
      <c r="AO985" s="16"/>
      <c r="AP985" s="16"/>
      <c r="AQ985" s="17"/>
      <c r="AU985" s="24"/>
      <c r="AV985" s="61"/>
      <c r="AW985" s="16"/>
      <c r="AX985" s="16"/>
      <c r="AY985" s="16"/>
      <c r="AZ985" s="16"/>
      <c r="BA985" s="16"/>
      <c r="BB985" s="17"/>
      <c r="BF985" s="24"/>
      <c r="BG985" s="61"/>
      <c r="BH985" s="16"/>
      <c r="BI985" s="16"/>
      <c r="BJ985" s="16"/>
      <c r="BK985" s="16"/>
      <c r="BL985" s="16"/>
      <c r="BM985" s="17"/>
      <c r="BQ985" s="24"/>
      <c r="BR985" s="61"/>
      <c r="BS985" s="16"/>
      <c r="BT985" s="16"/>
      <c r="BU985" s="16"/>
      <c r="BV985" s="16"/>
      <c r="BW985" s="16"/>
      <c r="BX985" s="17"/>
      <c r="CB985" s="24"/>
      <c r="CC985" s="61"/>
      <c r="CD985" s="16"/>
      <c r="CE985" s="16"/>
      <c r="CF985" s="16"/>
      <c r="CG985" s="16"/>
      <c r="CH985" s="16"/>
      <c r="CI985" s="17"/>
      <c r="CM985" s="24"/>
      <c r="CN985" s="61"/>
      <c r="CO985" s="16"/>
      <c r="CP985" s="16"/>
      <c r="CQ985" s="16"/>
      <c r="CR985" s="16"/>
      <c r="CS985" s="16"/>
      <c r="CT985" s="17"/>
      <c r="CX985" s="24"/>
      <c r="CY985" s="60"/>
      <c r="CZ985" s="16"/>
      <c r="DA985" s="16"/>
      <c r="DB985" s="16"/>
      <c r="DC985" s="16"/>
      <c r="DD985" s="16"/>
      <c r="DE985" s="17"/>
      <c r="DI985" s="24"/>
      <c r="DJ985" s="60"/>
      <c r="DK985" s="16"/>
      <c r="DL985" s="16"/>
      <c r="DM985" s="16"/>
      <c r="DN985" s="16"/>
      <c r="DO985" s="16"/>
      <c r="DP985" s="17"/>
      <c r="DT985" s="24"/>
      <c r="DU985" s="60"/>
      <c r="DV985" s="16"/>
      <c r="DW985" s="16"/>
      <c r="DX985" s="16"/>
      <c r="DY985" s="16"/>
      <c r="DZ985" s="16"/>
      <c r="EA985" s="17"/>
      <c r="EE985" s="24"/>
      <c r="EF985" s="60"/>
      <c r="EG985" s="16"/>
      <c r="EH985" s="16"/>
      <c r="EI985" s="16"/>
      <c r="EJ985" s="16"/>
      <c r="EK985" s="16"/>
      <c r="EL985" s="17"/>
      <c r="EP985" s="24"/>
      <c r="EQ985" s="60"/>
      <c r="ER985" s="16"/>
      <c r="ES985" s="16"/>
      <c r="ET985" s="16"/>
      <c r="EU985" s="16"/>
      <c r="EV985" s="16"/>
      <c r="EW985" s="17"/>
      <c r="FA985" s="24"/>
      <c r="FB985" s="60"/>
      <c r="FC985" s="16"/>
      <c r="FD985" s="16"/>
      <c r="FE985" s="16"/>
      <c r="FF985" s="16"/>
      <c r="FG985" s="16"/>
      <c r="FH985" s="17"/>
      <c r="FL985" s="24"/>
      <c r="FM985" s="60"/>
      <c r="FN985" s="16"/>
      <c r="FO985" s="16"/>
      <c r="FP985" s="16"/>
      <c r="FQ985" s="16"/>
      <c r="FR985" s="16"/>
      <c r="FS985" s="17"/>
      <c r="FW985" s="24"/>
      <c r="FX985" s="60"/>
      <c r="FY985" s="16"/>
      <c r="FZ985" s="16"/>
      <c r="GA985" s="16"/>
      <c r="GB985" s="16"/>
      <c r="GC985" s="16"/>
      <c r="GD985" s="17"/>
      <c r="GH985" s="24"/>
      <c r="GI985" s="60"/>
      <c r="GJ985" s="16"/>
      <c r="GK985" s="16"/>
      <c r="GL985" s="16"/>
      <c r="GM985" s="16"/>
      <c r="GN985" s="16"/>
      <c r="GO985" s="17"/>
      <c r="GS985" s="24"/>
      <c r="GT985" s="60"/>
      <c r="GU985" s="16"/>
      <c r="GV985" s="16"/>
      <c r="GW985" s="16"/>
      <c r="GX985" s="16"/>
      <c r="GY985" s="16"/>
      <c r="GZ985" s="17"/>
      <c r="HD985" s="24"/>
      <c r="HE985" s="60"/>
      <c r="HF985" s="16"/>
      <c r="HG985" s="16"/>
      <c r="HH985" s="16"/>
      <c r="HI985" s="16"/>
      <c r="HJ985" s="16"/>
      <c r="HK985" s="17"/>
      <c r="HO985" s="24"/>
      <c r="HP985" s="60"/>
      <c r="HQ985" s="16"/>
      <c r="HR985" s="16"/>
      <c r="HS985" s="16"/>
      <c r="HT985" s="16"/>
      <c r="HU985" s="16"/>
      <c r="HV985" s="17"/>
      <c r="HZ985" s="24"/>
      <c r="IA985" s="60"/>
      <c r="IB985" s="16"/>
      <c r="IC985" s="16"/>
      <c r="ID985" s="16"/>
      <c r="IE985" s="16"/>
      <c r="IF985" s="16"/>
      <c r="IG985" s="17"/>
      <c r="IK985" s="24"/>
      <c r="IL985" s="60"/>
      <c r="IM985" s="16"/>
      <c r="IN985" s="16"/>
      <c r="IO985" s="16"/>
      <c r="IP985" s="16"/>
      <c r="IQ985" s="16"/>
      <c r="IR985" s="17"/>
      <c r="IV985" s="24"/>
      <c r="IW985" s="60"/>
      <c r="IX985" s="16"/>
      <c r="IY985" s="16"/>
      <c r="IZ985" s="16"/>
      <c r="JA985" s="16"/>
      <c r="JB985" s="16"/>
      <c r="JC985" s="17"/>
      <c r="JG985" s="24"/>
      <c r="JH985" s="60"/>
      <c r="JI985" s="16"/>
      <c r="JJ985" s="16"/>
      <c r="JK985" s="16"/>
      <c r="JL985" s="16"/>
      <c r="JM985" s="16"/>
      <c r="JN985" s="17"/>
      <c r="JR985" s="24"/>
      <c r="JS985" s="60"/>
      <c r="JT985" s="16"/>
      <c r="JU985" s="16"/>
      <c r="JV985" s="16"/>
      <c r="JW985" s="16"/>
      <c r="JX985" s="16"/>
      <c r="JY985" s="17"/>
      <c r="KC985" s="24"/>
      <c r="KD985" s="60"/>
      <c r="KE985" s="16"/>
      <c r="KF985" s="16"/>
      <c r="KG985" s="16"/>
      <c r="KH985" s="16"/>
      <c r="KI985" s="16"/>
      <c r="KJ985" s="17"/>
      <c r="KN985" s="24"/>
      <c r="KO985" s="60"/>
      <c r="KP985" s="16"/>
      <c r="KQ985" s="16"/>
      <c r="KR985" s="16"/>
      <c r="KS985" s="16"/>
      <c r="KT985" s="16"/>
      <c r="KU985" s="17"/>
      <c r="KY985" s="24"/>
      <c r="KZ985" s="60"/>
      <c r="LA985" s="16"/>
      <c r="LB985" s="16"/>
      <c r="LC985" s="16"/>
      <c r="LD985" s="16"/>
      <c r="LE985" s="16"/>
      <c r="LF985" s="17"/>
      <c r="LJ985" s="24"/>
      <c r="LK985" s="60"/>
      <c r="LL985" s="16"/>
      <c r="LM985" s="16"/>
      <c r="LN985" s="16"/>
      <c r="LO985" s="16"/>
      <c r="LP985" s="16"/>
      <c r="LQ985" s="17"/>
    </row>
    <row r="986">
      <c r="C986" s="31"/>
      <c r="D986" s="61"/>
      <c r="E986" s="16"/>
      <c r="F986" s="16"/>
      <c r="G986" s="21"/>
      <c r="H986" s="16"/>
      <c r="I986" s="16"/>
      <c r="J986" s="17"/>
      <c r="N986" s="17"/>
      <c r="O986" s="61"/>
      <c r="P986" s="16"/>
      <c r="Q986" s="16"/>
      <c r="R986" s="16"/>
      <c r="S986" s="16"/>
      <c r="T986" s="16"/>
      <c r="U986" s="17"/>
      <c r="Y986" s="24"/>
      <c r="Z986" s="61"/>
      <c r="AA986" s="16"/>
      <c r="AB986" s="16"/>
      <c r="AC986" s="16"/>
      <c r="AD986" s="16"/>
      <c r="AE986" s="16"/>
      <c r="AF986" s="17"/>
      <c r="AJ986" s="24"/>
      <c r="AK986" s="61"/>
      <c r="AL986" s="16"/>
      <c r="AM986" s="16"/>
      <c r="AN986" s="16"/>
      <c r="AO986" s="16"/>
      <c r="AP986" s="16"/>
      <c r="AQ986" s="17"/>
      <c r="AU986" s="24"/>
      <c r="AV986" s="61"/>
      <c r="AW986" s="16"/>
      <c r="AX986" s="16"/>
      <c r="AY986" s="16"/>
      <c r="AZ986" s="16"/>
      <c r="BA986" s="16"/>
      <c r="BB986" s="17"/>
      <c r="BF986" s="24"/>
      <c r="BG986" s="61"/>
      <c r="BH986" s="16"/>
      <c r="BI986" s="16"/>
      <c r="BJ986" s="16"/>
      <c r="BK986" s="16"/>
      <c r="BL986" s="16"/>
      <c r="BM986" s="17"/>
      <c r="BQ986" s="24"/>
      <c r="BR986" s="61"/>
      <c r="BS986" s="16"/>
      <c r="BT986" s="16"/>
      <c r="BU986" s="16"/>
      <c r="BV986" s="16"/>
      <c r="BW986" s="16"/>
      <c r="BX986" s="17"/>
      <c r="CB986" s="24"/>
      <c r="CC986" s="61"/>
      <c r="CD986" s="16"/>
      <c r="CE986" s="16"/>
      <c r="CF986" s="16"/>
      <c r="CG986" s="16"/>
      <c r="CH986" s="16"/>
      <c r="CI986" s="17"/>
      <c r="CM986" s="24"/>
      <c r="CN986" s="61"/>
      <c r="CO986" s="16"/>
      <c r="CP986" s="16"/>
      <c r="CQ986" s="16"/>
      <c r="CR986" s="16"/>
      <c r="CS986" s="16"/>
      <c r="CT986" s="17"/>
      <c r="CX986" s="24"/>
      <c r="CY986" s="60"/>
      <c r="CZ986" s="16"/>
      <c r="DA986" s="16"/>
      <c r="DB986" s="16"/>
      <c r="DC986" s="16"/>
      <c r="DD986" s="16"/>
      <c r="DE986" s="17"/>
      <c r="DI986" s="24"/>
      <c r="DJ986" s="60"/>
      <c r="DK986" s="16"/>
      <c r="DL986" s="16"/>
      <c r="DM986" s="16"/>
      <c r="DN986" s="16"/>
      <c r="DO986" s="16"/>
      <c r="DP986" s="17"/>
      <c r="DT986" s="24"/>
      <c r="DU986" s="60"/>
      <c r="DV986" s="16"/>
      <c r="DW986" s="16"/>
      <c r="DX986" s="16"/>
      <c r="DY986" s="16"/>
      <c r="DZ986" s="16"/>
      <c r="EA986" s="17"/>
      <c r="EE986" s="24"/>
      <c r="EF986" s="60"/>
      <c r="EG986" s="16"/>
      <c r="EH986" s="16"/>
      <c r="EI986" s="16"/>
      <c r="EJ986" s="16"/>
      <c r="EK986" s="16"/>
      <c r="EL986" s="17"/>
      <c r="EP986" s="24"/>
      <c r="EQ986" s="60"/>
      <c r="ER986" s="16"/>
      <c r="ES986" s="16"/>
      <c r="ET986" s="16"/>
      <c r="EU986" s="16"/>
      <c r="EV986" s="16"/>
      <c r="EW986" s="17"/>
      <c r="FA986" s="24"/>
      <c r="FB986" s="60"/>
      <c r="FC986" s="16"/>
      <c r="FD986" s="16"/>
      <c r="FE986" s="16"/>
      <c r="FF986" s="16"/>
      <c r="FG986" s="16"/>
      <c r="FH986" s="17"/>
      <c r="FL986" s="24"/>
      <c r="FM986" s="60"/>
      <c r="FN986" s="16"/>
      <c r="FO986" s="16"/>
      <c r="FP986" s="16"/>
      <c r="FQ986" s="16"/>
      <c r="FR986" s="16"/>
      <c r="FS986" s="17"/>
      <c r="FW986" s="24"/>
      <c r="FX986" s="60"/>
      <c r="FY986" s="16"/>
      <c r="FZ986" s="16"/>
      <c r="GA986" s="16"/>
      <c r="GB986" s="16"/>
      <c r="GC986" s="16"/>
      <c r="GD986" s="17"/>
      <c r="GH986" s="24"/>
      <c r="GI986" s="60"/>
      <c r="GJ986" s="16"/>
      <c r="GK986" s="16"/>
      <c r="GL986" s="16"/>
      <c r="GM986" s="16"/>
      <c r="GN986" s="16"/>
      <c r="GO986" s="17"/>
      <c r="GS986" s="24"/>
      <c r="GT986" s="60"/>
      <c r="GU986" s="16"/>
      <c r="GV986" s="16"/>
      <c r="GW986" s="16"/>
      <c r="GX986" s="16"/>
      <c r="GY986" s="16"/>
      <c r="GZ986" s="17"/>
      <c r="HD986" s="24"/>
      <c r="HE986" s="60"/>
      <c r="HF986" s="16"/>
      <c r="HG986" s="16"/>
      <c r="HH986" s="16"/>
      <c r="HI986" s="16"/>
      <c r="HJ986" s="16"/>
      <c r="HK986" s="17"/>
      <c r="HO986" s="24"/>
      <c r="HP986" s="60"/>
      <c r="HQ986" s="16"/>
      <c r="HR986" s="16"/>
      <c r="HS986" s="16"/>
      <c r="HT986" s="16"/>
      <c r="HU986" s="16"/>
      <c r="HV986" s="17"/>
      <c r="HZ986" s="24"/>
      <c r="IA986" s="60"/>
      <c r="IB986" s="16"/>
      <c r="IC986" s="16"/>
      <c r="ID986" s="16"/>
      <c r="IE986" s="16"/>
      <c r="IF986" s="16"/>
      <c r="IG986" s="17"/>
      <c r="IK986" s="24"/>
      <c r="IL986" s="60"/>
      <c r="IM986" s="16"/>
      <c r="IN986" s="16"/>
      <c r="IO986" s="16"/>
      <c r="IP986" s="16"/>
      <c r="IQ986" s="16"/>
      <c r="IR986" s="17"/>
      <c r="IV986" s="24"/>
      <c r="IW986" s="60"/>
      <c r="IX986" s="16"/>
      <c r="IY986" s="16"/>
      <c r="IZ986" s="16"/>
      <c r="JA986" s="16"/>
      <c r="JB986" s="16"/>
      <c r="JC986" s="17"/>
      <c r="JG986" s="24"/>
      <c r="JH986" s="60"/>
      <c r="JI986" s="16"/>
      <c r="JJ986" s="16"/>
      <c r="JK986" s="16"/>
      <c r="JL986" s="16"/>
      <c r="JM986" s="16"/>
      <c r="JN986" s="17"/>
      <c r="JR986" s="24"/>
      <c r="JS986" s="60"/>
      <c r="JT986" s="16"/>
      <c r="JU986" s="16"/>
      <c r="JV986" s="16"/>
      <c r="JW986" s="16"/>
      <c r="JX986" s="16"/>
      <c r="JY986" s="17"/>
      <c r="KC986" s="24"/>
      <c r="KD986" s="60"/>
      <c r="KE986" s="16"/>
      <c r="KF986" s="16"/>
      <c r="KG986" s="16"/>
      <c r="KH986" s="16"/>
      <c r="KI986" s="16"/>
      <c r="KJ986" s="17"/>
      <c r="KN986" s="24"/>
      <c r="KO986" s="60"/>
      <c r="KP986" s="16"/>
      <c r="KQ986" s="16"/>
      <c r="KR986" s="16"/>
      <c r="KS986" s="16"/>
      <c r="KT986" s="16"/>
      <c r="KU986" s="17"/>
      <c r="KY986" s="24"/>
      <c r="KZ986" s="60"/>
      <c r="LA986" s="16"/>
      <c r="LB986" s="16"/>
      <c r="LC986" s="16"/>
      <c r="LD986" s="16"/>
      <c r="LE986" s="16"/>
      <c r="LF986" s="17"/>
      <c r="LJ986" s="24"/>
      <c r="LK986" s="60"/>
      <c r="LL986" s="16"/>
      <c r="LM986" s="16"/>
      <c r="LN986" s="16"/>
      <c r="LO986" s="16"/>
      <c r="LP986" s="16"/>
      <c r="LQ986" s="17"/>
    </row>
    <row r="987">
      <c r="C987" s="31"/>
      <c r="D987" s="61"/>
      <c r="E987" s="16"/>
      <c r="F987" s="16"/>
      <c r="G987" s="21"/>
      <c r="H987" s="16"/>
      <c r="I987" s="16"/>
      <c r="J987" s="17"/>
      <c r="N987" s="17"/>
      <c r="O987" s="61"/>
      <c r="P987" s="16"/>
      <c r="Q987" s="16"/>
      <c r="R987" s="16"/>
      <c r="S987" s="16"/>
      <c r="T987" s="16"/>
      <c r="U987" s="17"/>
      <c r="Y987" s="24"/>
      <c r="Z987" s="61"/>
      <c r="AA987" s="16"/>
      <c r="AB987" s="16"/>
      <c r="AC987" s="16"/>
      <c r="AD987" s="16"/>
      <c r="AE987" s="16"/>
      <c r="AF987" s="17"/>
      <c r="AJ987" s="24"/>
      <c r="AK987" s="61"/>
      <c r="AL987" s="16"/>
      <c r="AM987" s="16"/>
      <c r="AN987" s="16"/>
      <c r="AO987" s="16"/>
      <c r="AP987" s="16"/>
      <c r="AQ987" s="17"/>
      <c r="AU987" s="24"/>
      <c r="AV987" s="61"/>
      <c r="AW987" s="16"/>
      <c r="AX987" s="16"/>
      <c r="AY987" s="16"/>
      <c r="AZ987" s="16"/>
      <c r="BA987" s="16"/>
      <c r="BB987" s="17"/>
      <c r="BF987" s="24"/>
      <c r="BG987" s="61"/>
      <c r="BH987" s="16"/>
      <c r="BI987" s="16"/>
      <c r="BJ987" s="16"/>
      <c r="BK987" s="16"/>
      <c r="BL987" s="16"/>
      <c r="BM987" s="17"/>
      <c r="BQ987" s="24"/>
      <c r="BR987" s="61"/>
      <c r="BS987" s="16"/>
      <c r="BT987" s="16"/>
      <c r="BU987" s="16"/>
      <c r="BV987" s="16"/>
      <c r="BW987" s="16"/>
      <c r="BX987" s="17"/>
      <c r="CB987" s="24"/>
      <c r="CC987" s="61"/>
      <c r="CD987" s="16"/>
      <c r="CE987" s="16"/>
      <c r="CF987" s="16"/>
      <c r="CG987" s="16"/>
      <c r="CH987" s="16"/>
      <c r="CI987" s="17"/>
      <c r="CM987" s="24"/>
      <c r="CN987" s="61"/>
      <c r="CO987" s="16"/>
      <c r="CP987" s="16"/>
      <c r="CQ987" s="16"/>
      <c r="CR987" s="16"/>
      <c r="CS987" s="16"/>
      <c r="CT987" s="17"/>
      <c r="CX987" s="24"/>
      <c r="CY987" s="60"/>
      <c r="CZ987" s="16"/>
      <c r="DA987" s="16"/>
      <c r="DB987" s="16"/>
      <c r="DC987" s="16"/>
      <c r="DD987" s="16"/>
      <c r="DE987" s="17"/>
      <c r="DI987" s="24"/>
      <c r="DJ987" s="60"/>
      <c r="DK987" s="16"/>
      <c r="DL987" s="16"/>
      <c r="DM987" s="16"/>
      <c r="DN987" s="16"/>
      <c r="DO987" s="16"/>
      <c r="DP987" s="17"/>
      <c r="DT987" s="24"/>
      <c r="DU987" s="60"/>
      <c r="DV987" s="16"/>
      <c r="DW987" s="16"/>
      <c r="DX987" s="16"/>
      <c r="DY987" s="16"/>
      <c r="DZ987" s="16"/>
      <c r="EA987" s="17"/>
      <c r="EE987" s="24"/>
      <c r="EF987" s="60"/>
      <c r="EG987" s="16"/>
      <c r="EH987" s="16"/>
      <c r="EI987" s="16"/>
      <c r="EJ987" s="16"/>
      <c r="EK987" s="16"/>
      <c r="EL987" s="17"/>
      <c r="EP987" s="24"/>
      <c r="EQ987" s="60"/>
      <c r="ER987" s="16"/>
      <c r="ES987" s="16"/>
      <c r="ET987" s="16"/>
      <c r="EU987" s="16"/>
      <c r="EV987" s="16"/>
      <c r="EW987" s="17"/>
      <c r="FA987" s="24"/>
      <c r="FB987" s="60"/>
      <c r="FC987" s="16"/>
      <c r="FD987" s="16"/>
      <c r="FE987" s="16"/>
      <c r="FF987" s="16"/>
      <c r="FG987" s="16"/>
      <c r="FH987" s="17"/>
      <c r="FL987" s="24"/>
      <c r="FM987" s="60"/>
      <c r="FN987" s="16"/>
      <c r="FO987" s="16"/>
      <c r="FP987" s="16"/>
      <c r="FQ987" s="16"/>
      <c r="FR987" s="16"/>
      <c r="FS987" s="17"/>
      <c r="FW987" s="24"/>
      <c r="FX987" s="60"/>
      <c r="FY987" s="16"/>
      <c r="FZ987" s="16"/>
      <c r="GA987" s="16"/>
      <c r="GB987" s="16"/>
      <c r="GC987" s="16"/>
      <c r="GD987" s="17"/>
      <c r="GH987" s="24"/>
      <c r="GI987" s="60"/>
      <c r="GJ987" s="16"/>
      <c r="GK987" s="16"/>
      <c r="GL987" s="16"/>
      <c r="GM987" s="16"/>
      <c r="GN987" s="16"/>
      <c r="GO987" s="17"/>
      <c r="GS987" s="24"/>
      <c r="GT987" s="60"/>
      <c r="GU987" s="16"/>
      <c r="GV987" s="16"/>
      <c r="GW987" s="16"/>
      <c r="GX987" s="16"/>
      <c r="GY987" s="16"/>
      <c r="GZ987" s="17"/>
      <c r="HD987" s="24"/>
      <c r="HE987" s="60"/>
      <c r="HF987" s="16"/>
      <c r="HG987" s="16"/>
      <c r="HH987" s="16"/>
      <c r="HI987" s="16"/>
      <c r="HJ987" s="16"/>
      <c r="HK987" s="17"/>
      <c r="HO987" s="24"/>
      <c r="HP987" s="60"/>
      <c r="HQ987" s="16"/>
      <c r="HR987" s="16"/>
      <c r="HS987" s="16"/>
      <c r="HT987" s="16"/>
      <c r="HU987" s="16"/>
      <c r="HV987" s="17"/>
      <c r="HZ987" s="24"/>
      <c r="IA987" s="60"/>
      <c r="IB987" s="16"/>
      <c r="IC987" s="16"/>
      <c r="ID987" s="16"/>
      <c r="IE987" s="16"/>
      <c r="IF987" s="16"/>
      <c r="IG987" s="17"/>
      <c r="IK987" s="24"/>
      <c r="IL987" s="60"/>
      <c r="IM987" s="16"/>
      <c r="IN987" s="16"/>
      <c r="IO987" s="16"/>
      <c r="IP987" s="16"/>
      <c r="IQ987" s="16"/>
      <c r="IR987" s="17"/>
      <c r="IV987" s="24"/>
      <c r="IW987" s="60"/>
      <c r="IX987" s="16"/>
      <c r="IY987" s="16"/>
      <c r="IZ987" s="16"/>
      <c r="JA987" s="16"/>
      <c r="JB987" s="16"/>
      <c r="JC987" s="17"/>
      <c r="JG987" s="24"/>
      <c r="JH987" s="60"/>
      <c r="JI987" s="16"/>
      <c r="JJ987" s="16"/>
      <c r="JK987" s="16"/>
      <c r="JL987" s="16"/>
      <c r="JM987" s="16"/>
      <c r="JN987" s="17"/>
      <c r="JR987" s="24"/>
      <c r="JS987" s="60"/>
      <c r="JT987" s="16"/>
      <c r="JU987" s="16"/>
      <c r="JV987" s="16"/>
      <c r="JW987" s="16"/>
      <c r="JX987" s="16"/>
      <c r="JY987" s="17"/>
      <c r="KC987" s="24"/>
      <c r="KD987" s="60"/>
      <c r="KE987" s="16"/>
      <c r="KF987" s="16"/>
      <c r="KG987" s="16"/>
      <c r="KH987" s="16"/>
      <c r="KI987" s="16"/>
      <c r="KJ987" s="17"/>
      <c r="KN987" s="24"/>
      <c r="KO987" s="60"/>
      <c r="KP987" s="16"/>
      <c r="KQ987" s="16"/>
      <c r="KR987" s="16"/>
      <c r="KS987" s="16"/>
      <c r="KT987" s="16"/>
      <c r="KU987" s="17"/>
      <c r="KY987" s="24"/>
      <c r="KZ987" s="60"/>
      <c r="LA987" s="16"/>
      <c r="LB987" s="16"/>
      <c r="LC987" s="16"/>
      <c r="LD987" s="16"/>
      <c r="LE987" s="16"/>
      <c r="LF987" s="17"/>
      <c r="LJ987" s="24"/>
      <c r="LK987" s="60"/>
      <c r="LL987" s="16"/>
      <c r="LM987" s="16"/>
      <c r="LN987" s="16"/>
      <c r="LO987" s="16"/>
      <c r="LP987" s="16"/>
      <c r="LQ987" s="17"/>
    </row>
    <row r="988">
      <c r="C988" s="31"/>
      <c r="D988" s="61"/>
      <c r="E988" s="16"/>
      <c r="F988" s="16"/>
      <c r="G988" s="21"/>
      <c r="H988" s="16"/>
      <c r="I988" s="16"/>
      <c r="J988" s="17"/>
      <c r="N988" s="17"/>
      <c r="O988" s="61"/>
      <c r="P988" s="16"/>
      <c r="Q988" s="16"/>
      <c r="R988" s="16"/>
      <c r="S988" s="16"/>
      <c r="T988" s="16"/>
      <c r="U988" s="17"/>
      <c r="Y988" s="24"/>
      <c r="Z988" s="61"/>
      <c r="AA988" s="16"/>
      <c r="AB988" s="16"/>
      <c r="AC988" s="16"/>
      <c r="AD988" s="16"/>
      <c r="AE988" s="16"/>
      <c r="AF988" s="17"/>
      <c r="AJ988" s="24"/>
      <c r="AK988" s="61"/>
      <c r="AL988" s="16"/>
      <c r="AM988" s="16"/>
      <c r="AN988" s="16"/>
      <c r="AO988" s="16"/>
      <c r="AP988" s="16"/>
      <c r="AQ988" s="17"/>
      <c r="AU988" s="24"/>
      <c r="AV988" s="61"/>
      <c r="AW988" s="16"/>
      <c r="AX988" s="16"/>
      <c r="AY988" s="16"/>
      <c r="AZ988" s="16"/>
      <c r="BA988" s="16"/>
      <c r="BB988" s="17"/>
      <c r="BF988" s="24"/>
      <c r="BG988" s="61"/>
      <c r="BH988" s="16"/>
      <c r="BI988" s="16"/>
      <c r="BJ988" s="16"/>
      <c r="BK988" s="16"/>
      <c r="BL988" s="16"/>
      <c r="BM988" s="17"/>
      <c r="BQ988" s="24"/>
      <c r="BR988" s="61"/>
      <c r="BS988" s="16"/>
      <c r="BT988" s="16"/>
      <c r="BU988" s="16"/>
      <c r="BV988" s="16"/>
      <c r="BW988" s="16"/>
      <c r="BX988" s="17"/>
      <c r="CB988" s="24"/>
      <c r="CC988" s="61"/>
      <c r="CD988" s="16"/>
      <c r="CE988" s="16"/>
      <c r="CF988" s="16"/>
      <c r="CG988" s="16"/>
      <c r="CH988" s="16"/>
      <c r="CI988" s="17"/>
      <c r="CM988" s="24"/>
      <c r="CN988" s="61"/>
      <c r="CO988" s="16"/>
      <c r="CP988" s="16"/>
      <c r="CQ988" s="16"/>
      <c r="CR988" s="16"/>
      <c r="CS988" s="16"/>
      <c r="CT988" s="17"/>
      <c r="CX988" s="24"/>
      <c r="CY988" s="60"/>
      <c r="CZ988" s="16"/>
      <c r="DA988" s="16"/>
      <c r="DB988" s="16"/>
      <c r="DC988" s="16"/>
      <c r="DD988" s="16"/>
      <c r="DE988" s="17"/>
      <c r="DI988" s="24"/>
      <c r="DJ988" s="60"/>
      <c r="DK988" s="16"/>
      <c r="DL988" s="16"/>
      <c r="DM988" s="16"/>
      <c r="DN988" s="16"/>
      <c r="DO988" s="16"/>
      <c r="DP988" s="17"/>
      <c r="DT988" s="24"/>
      <c r="DU988" s="60"/>
      <c r="DV988" s="16"/>
      <c r="DW988" s="16"/>
      <c r="DX988" s="16"/>
      <c r="DY988" s="16"/>
      <c r="DZ988" s="16"/>
      <c r="EA988" s="17"/>
      <c r="EE988" s="24"/>
      <c r="EF988" s="60"/>
      <c r="EG988" s="16"/>
      <c r="EH988" s="16"/>
      <c r="EI988" s="16"/>
      <c r="EJ988" s="16"/>
      <c r="EK988" s="16"/>
      <c r="EL988" s="17"/>
      <c r="EP988" s="24"/>
      <c r="EQ988" s="60"/>
      <c r="ER988" s="16"/>
      <c r="ES988" s="16"/>
      <c r="ET988" s="16"/>
      <c r="EU988" s="16"/>
      <c r="EV988" s="16"/>
      <c r="EW988" s="17"/>
      <c r="FA988" s="24"/>
      <c r="FB988" s="60"/>
      <c r="FC988" s="16"/>
      <c r="FD988" s="16"/>
      <c r="FE988" s="16"/>
      <c r="FF988" s="16"/>
      <c r="FG988" s="16"/>
      <c r="FH988" s="17"/>
      <c r="FL988" s="24"/>
      <c r="FM988" s="60"/>
      <c r="FN988" s="16"/>
      <c r="FO988" s="16"/>
      <c r="FP988" s="16"/>
      <c r="FQ988" s="16"/>
      <c r="FR988" s="16"/>
      <c r="FS988" s="17"/>
      <c r="FW988" s="24"/>
      <c r="FX988" s="60"/>
      <c r="FY988" s="16"/>
      <c r="FZ988" s="16"/>
      <c r="GA988" s="16"/>
      <c r="GB988" s="16"/>
      <c r="GC988" s="16"/>
      <c r="GD988" s="17"/>
      <c r="GH988" s="24"/>
      <c r="GI988" s="60"/>
      <c r="GJ988" s="16"/>
      <c r="GK988" s="16"/>
      <c r="GL988" s="16"/>
      <c r="GM988" s="16"/>
      <c r="GN988" s="16"/>
      <c r="GO988" s="17"/>
      <c r="GS988" s="24"/>
      <c r="GT988" s="60"/>
      <c r="GU988" s="16"/>
      <c r="GV988" s="16"/>
      <c r="GW988" s="16"/>
      <c r="GX988" s="16"/>
      <c r="GY988" s="16"/>
      <c r="GZ988" s="17"/>
      <c r="HD988" s="24"/>
      <c r="HE988" s="60"/>
      <c r="HF988" s="16"/>
      <c r="HG988" s="16"/>
      <c r="HH988" s="16"/>
      <c r="HI988" s="16"/>
      <c r="HJ988" s="16"/>
      <c r="HK988" s="17"/>
      <c r="HO988" s="24"/>
      <c r="HP988" s="60"/>
      <c r="HQ988" s="16"/>
      <c r="HR988" s="16"/>
      <c r="HS988" s="16"/>
      <c r="HT988" s="16"/>
      <c r="HU988" s="16"/>
      <c r="HV988" s="17"/>
      <c r="HZ988" s="24"/>
      <c r="IA988" s="60"/>
      <c r="IB988" s="16"/>
      <c r="IC988" s="16"/>
      <c r="ID988" s="16"/>
      <c r="IE988" s="16"/>
      <c r="IF988" s="16"/>
      <c r="IG988" s="17"/>
      <c r="IK988" s="24"/>
      <c r="IL988" s="60"/>
      <c r="IM988" s="16"/>
      <c r="IN988" s="16"/>
      <c r="IO988" s="16"/>
      <c r="IP988" s="16"/>
      <c r="IQ988" s="16"/>
      <c r="IR988" s="17"/>
      <c r="IV988" s="24"/>
      <c r="IW988" s="60"/>
      <c r="IX988" s="16"/>
      <c r="IY988" s="16"/>
      <c r="IZ988" s="16"/>
      <c r="JA988" s="16"/>
      <c r="JB988" s="16"/>
      <c r="JC988" s="17"/>
      <c r="JG988" s="24"/>
      <c r="JH988" s="60"/>
      <c r="JI988" s="16"/>
      <c r="JJ988" s="16"/>
      <c r="JK988" s="16"/>
      <c r="JL988" s="16"/>
      <c r="JM988" s="16"/>
      <c r="JN988" s="17"/>
      <c r="JR988" s="24"/>
      <c r="JS988" s="60"/>
      <c r="JT988" s="16"/>
      <c r="JU988" s="16"/>
      <c r="JV988" s="16"/>
      <c r="JW988" s="16"/>
      <c r="JX988" s="16"/>
      <c r="JY988" s="17"/>
      <c r="KC988" s="24"/>
      <c r="KD988" s="60"/>
      <c r="KE988" s="16"/>
      <c r="KF988" s="16"/>
      <c r="KG988" s="16"/>
      <c r="KH988" s="16"/>
      <c r="KI988" s="16"/>
      <c r="KJ988" s="17"/>
      <c r="KN988" s="24"/>
      <c r="KO988" s="60"/>
      <c r="KP988" s="16"/>
      <c r="KQ988" s="16"/>
      <c r="KR988" s="16"/>
      <c r="KS988" s="16"/>
      <c r="KT988" s="16"/>
      <c r="KU988" s="17"/>
      <c r="KY988" s="24"/>
      <c r="KZ988" s="60"/>
      <c r="LA988" s="16"/>
      <c r="LB988" s="16"/>
      <c r="LC988" s="16"/>
      <c r="LD988" s="16"/>
      <c r="LE988" s="16"/>
      <c r="LF988" s="17"/>
      <c r="LJ988" s="24"/>
      <c r="LK988" s="60"/>
      <c r="LL988" s="16"/>
      <c r="LM988" s="16"/>
      <c r="LN988" s="16"/>
      <c r="LO988" s="16"/>
      <c r="LP988" s="16"/>
      <c r="LQ988" s="17"/>
    </row>
    <row r="989">
      <c r="C989" s="31"/>
      <c r="D989" s="61"/>
      <c r="E989" s="16"/>
      <c r="F989" s="16"/>
      <c r="G989" s="21"/>
      <c r="H989" s="16"/>
      <c r="I989" s="16"/>
      <c r="J989" s="17"/>
      <c r="N989" s="17"/>
      <c r="O989" s="61"/>
      <c r="P989" s="16"/>
      <c r="Q989" s="16"/>
      <c r="R989" s="16"/>
      <c r="S989" s="16"/>
      <c r="T989" s="16"/>
      <c r="U989" s="17"/>
      <c r="Y989" s="24"/>
      <c r="Z989" s="61"/>
      <c r="AA989" s="16"/>
      <c r="AB989" s="16"/>
      <c r="AC989" s="16"/>
      <c r="AD989" s="16"/>
      <c r="AE989" s="16"/>
      <c r="AF989" s="17"/>
      <c r="AJ989" s="24"/>
      <c r="AK989" s="61"/>
      <c r="AL989" s="16"/>
      <c r="AM989" s="16"/>
      <c r="AN989" s="16"/>
      <c r="AO989" s="16"/>
      <c r="AP989" s="16"/>
      <c r="AQ989" s="17"/>
      <c r="AU989" s="24"/>
      <c r="AV989" s="61"/>
      <c r="AW989" s="16"/>
      <c r="AX989" s="16"/>
      <c r="AY989" s="16"/>
      <c r="AZ989" s="16"/>
      <c r="BA989" s="16"/>
      <c r="BB989" s="17"/>
      <c r="BF989" s="24"/>
      <c r="BG989" s="61"/>
      <c r="BH989" s="16"/>
      <c r="BI989" s="16"/>
      <c r="BJ989" s="16"/>
      <c r="BK989" s="16"/>
      <c r="BL989" s="16"/>
      <c r="BM989" s="17"/>
      <c r="BQ989" s="24"/>
      <c r="BR989" s="61"/>
      <c r="BS989" s="16"/>
      <c r="BT989" s="16"/>
      <c r="BU989" s="16"/>
      <c r="BV989" s="16"/>
      <c r="BW989" s="16"/>
      <c r="BX989" s="17"/>
      <c r="CB989" s="24"/>
      <c r="CC989" s="61"/>
      <c r="CD989" s="16"/>
      <c r="CE989" s="16"/>
      <c r="CF989" s="16"/>
      <c r="CG989" s="16"/>
      <c r="CH989" s="16"/>
      <c r="CI989" s="17"/>
      <c r="CM989" s="24"/>
      <c r="CN989" s="61"/>
      <c r="CO989" s="16"/>
      <c r="CP989" s="16"/>
      <c r="CQ989" s="16"/>
      <c r="CR989" s="16"/>
      <c r="CS989" s="16"/>
      <c r="CT989" s="17"/>
      <c r="CX989" s="24"/>
      <c r="CY989" s="60"/>
      <c r="CZ989" s="16"/>
      <c r="DA989" s="16"/>
      <c r="DB989" s="16"/>
      <c r="DC989" s="16"/>
      <c r="DD989" s="16"/>
      <c r="DE989" s="17"/>
      <c r="DI989" s="24"/>
      <c r="DJ989" s="60"/>
      <c r="DK989" s="16"/>
      <c r="DL989" s="16"/>
      <c r="DM989" s="16"/>
      <c r="DN989" s="16"/>
      <c r="DO989" s="16"/>
      <c r="DP989" s="17"/>
      <c r="DT989" s="24"/>
      <c r="DU989" s="60"/>
      <c r="DV989" s="16"/>
      <c r="DW989" s="16"/>
      <c r="DX989" s="16"/>
      <c r="DY989" s="16"/>
      <c r="DZ989" s="16"/>
      <c r="EA989" s="17"/>
      <c r="EE989" s="24"/>
      <c r="EF989" s="60"/>
      <c r="EG989" s="16"/>
      <c r="EH989" s="16"/>
      <c r="EI989" s="16"/>
      <c r="EJ989" s="16"/>
      <c r="EK989" s="16"/>
      <c r="EL989" s="17"/>
      <c r="EP989" s="24"/>
      <c r="EQ989" s="60"/>
      <c r="ER989" s="16"/>
      <c r="ES989" s="16"/>
      <c r="ET989" s="16"/>
      <c r="EU989" s="16"/>
      <c r="EV989" s="16"/>
      <c r="EW989" s="17"/>
      <c r="FA989" s="24"/>
      <c r="FB989" s="60"/>
      <c r="FC989" s="16"/>
      <c r="FD989" s="16"/>
      <c r="FE989" s="16"/>
      <c r="FF989" s="16"/>
      <c r="FG989" s="16"/>
      <c r="FH989" s="17"/>
      <c r="FL989" s="24"/>
      <c r="FM989" s="60"/>
      <c r="FN989" s="16"/>
      <c r="FO989" s="16"/>
      <c r="FP989" s="16"/>
      <c r="FQ989" s="16"/>
      <c r="FR989" s="16"/>
      <c r="FS989" s="17"/>
      <c r="FW989" s="24"/>
      <c r="FX989" s="60"/>
      <c r="FY989" s="16"/>
      <c r="FZ989" s="16"/>
      <c r="GA989" s="16"/>
      <c r="GB989" s="16"/>
      <c r="GC989" s="16"/>
      <c r="GD989" s="17"/>
      <c r="GH989" s="24"/>
      <c r="GI989" s="60"/>
      <c r="GJ989" s="16"/>
      <c r="GK989" s="16"/>
      <c r="GL989" s="16"/>
      <c r="GM989" s="16"/>
      <c r="GN989" s="16"/>
      <c r="GO989" s="17"/>
      <c r="GS989" s="24"/>
      <c r="GT989" s="60"/>
      <c r="GU989" s="16"/>
      <c r="GV989" s="16"/>
      <c r="GW989" s="16"/>
      <c r="GX989" s="16"/>
      <c r="GY989" s="16"/>
      <c r="GZ989" s="17"/>
      <c r="HD989" s="24"/>
      <c r="HE989" s="60"/>
      <c r="HF989" s="16"/>
      <c r="HG989" s="16"/>
      <c r="HH989" s="16"/>
      <c r="HI989" s="16"/>
      <c r="HJ989" s="16"/>
      <c r="HK989" s="17"/>
      <c r="HO989" s="24"/>
      <c r="HP989" s="60"/>
      <c r="HQ989" s="16"/>
      <c r="HR989" s="16"/>
      <c r="HS989" s="16"/>
      <c r="HT989" s="16"/>
      <c r="HU989" s="16"/>
      <c r="HV989" s="17"/>
      <c r="HZ989" s="24"/>
      <c r="IA989" s="60"/>
      <c r="IB989" s="16"/>
      <c r="IC989" s="16"/>
      <c r="ID989" s="16"/>
      <c r="IE989" s="16"/>
      <c r="IF989" s="16"/>
      <c r="IG989" s="17"/>
      <c r="IK989" s="24"/>
      <c r="IL989" s="60"/>
      <c r="IM989" s="16"/>
      <c r="IN989" s="16"/>
      <c r="IO989" s="16"/>
      <c r="IP989" s="16"/>
      <c r="IQ989" s="16"/>
      <c r="IR989" s="17"/>
      <c r="IV989" s="24"/>
      <c r="IW989" s="60"/>
      <c r="IX989" s="16"/>
      <c r="IY989" s="16"/>
      <c r="IZ989" s="16"/>
      <c r="JA989" s="16"/>
      <c r="JB989" s="16"/>
      <c r="JC989" s="17"/>
      <c r="JG989" s="24"/>
      <c r="JH989" s="60"/>
      <c r="JI989" s="16"/>
      <c r="JJ989" s="16"/>
      <c r="JK989" s="16"/>
      <c r="JL989" s="16"/>
      <c r="JM989" s="16"/>
      <c r="JN989" s="17"/>
      <c r="JR989" s="24"/>
      <c r="JS989" s="60"/>
      <c r="JT989" s="16"/>
      <c r="JU989" s="16"/>
      <c r="JV989" s="16"/>
      <c r="JW989" s="16"/>
      <c r="JX989" s="16"/>
      <c r="JY989" s="17"/>
      <c r="KC989" s="24"/>
      <c r="KD989" s="60"/>
      <c r="KE989" s="16"/>
      <c r="KF989" s="16"/>
      <c r="KG989" s="16"/>
      <c r="KH989" s="16"/>
      <c r="KI989" s="16"/>
      <c r="KJ989" s="17"/>
      <c r="KN989" s="24"/>
      <c r="KO989" s="60"/>
      <c r="KP989" s="16"/>
      <c r="KQ989" s="16"/>
      <c r="KR989" s="16"/>
      <c r="KS989" s="16"/>
      <c r="KT989" s="16"/>
      <c r="KU989" s="17"/>
      <c r="KY989" s="24"/>
      <c r="KZ989" s="60"/>
      <c r="LA989" s="16"/>
      <c r="LB989" s="16"/>
      <c r="LC989" s="16"/>
      <c r="LD989" s="16"/>
      <c r="LE989" s="16"/>
      <c r="LF989" s="17"/>
      <c r="LJ989" s="24"/>
      <c r="LK989" s="60"/>
      <c r="LL989" s="16"/>
      <c r="LM989" s="16"/>
      <c r="LN989" s="16"/>
      <c r="LO989" s="16"/>
      <c r="LP989" s="16"/>
      <c r="LQ989" s="17"/>
    </row>
    <row r="990">
      <c r="C990" s="31"/>
      <c r="D990" s="61"/>
      <c r="E990" s="16"/>
      <c r="F990" s="16"/>
      <c r="G990" s="21"/>
      <c r="H990" s="16"/>
      <c r="I990" s="16"/>
      <c r="J990" s="17"/>
      <c r="N990" s="17"/>
      <c r="O990" s="61"/>
      <c r="P990" s="16"/>
      <c r="Q990" s="16"/>
      <c r="R990" s="16"/>
      <c r="S990" s="16"/>
      <c r="T990" s="16"/>
      <c r="U990" s="17"/>
      <c r="Y990" s="24"/>
      <c r="Z990" s="61"/>
      <c r="AA990" s="16"/>
      <c r="AB990" s="16"/>
      <c r="AC990" s="16"/>
      <c r="AD990" s="16"/>
      <c r="AE990" s="16"/>
      <c r="AF990" s="17"/>
      <c r="AJ990" s="24"/>
      <c r="AK990" s="61"/>
      <c r="AL990" s="16"/>
      <c r="AM990" s="16"/>
      <c r="AN990" s="16"/>
      <c r="AO990" s="16"/>
      <c r="AP990" s="16"/>
      <c r="AQ990" s="17"/>
      <c r="AU990" s="24"/>
      <c r="AV990" s="61"/>
      <c r="AW990" s="16"/>
      <c r="AX990" s="16"/>
      <c r="AY990" s="16"/>
      <c r="AZ990" s="16"/>
      <c r="BA990" s="16"/>
      <c r="BB990" s="17"/>
      <c r="BF990" s="24"/>
      <c r="BG990" s="61"/>
      <c r="BH990" s="16"/>
      <c r="BI990" s="16"/>
      <c r="BJ990" s="16"/>
      <c r="BK990" s="16"/>
      <c r="BL990" s="16"/>
      <c r="BM990" s="17"/>
      <c r="BQ990" s="24"/>
      <c r="BR990" s="61"/>
      <c r="BS990" s="16"/>
      <c r="BT990" s="16"/>
      <c r="BU990" s="16"/>
      <c r="BV990" s="16"/>
      <c r="BW990" s="16"/>
      <c r="BX990" s="17"/>
      <c r="CB990" s="24"/>
      <c r="CC990" s="61"/>
      <c r="CD990" s="16"/>
      <c r="CE990" s="16"/>
      <c r="CF990" s="16"/>
      <c r="CG990" s="16"/>
      <c r="CH990" s="16"/>
      <c r="CI990" s="17"/>
      <c r="CM990" s="24"/>
      <c r="CN990" s="61"/>
      <c r="CO990" s="16"/>
      <c r="CP990" s="16"/>
      <c r="CQ990" s="16"/>
      <c r="CR990" s="16"/>
      <c r="CS990" s="16"/>
      <c r="CT990" s="17"/>
      <c r="CX990" s="24"/>
      <c r="CY990" s="60"/>
      <c r="CZ990" s="16"/>
      <c r="DA990" s="16"/>
      <c r="DB990" s="16"/>
      <c r="DC990" s="16"/>
      <c r="DD990" s="16"/>
      <c r="DE990" s="17"/>
      <c r="DI990" s="24"/>
      <c r="DJ990" s="60"/>
      <c r="DK990" s="16"/>
      <c r="DL990" s="16"/>
      <c r="DM990" s="16"/>
      <c r="DN990" s="16"/>
      <c r="DO990" s="16"/>
      <c r="DP990" s="17"/>
      <c r="DT990" s="24"/>
      <c r="DU990" s="60"/>
      <c r="DV990" s="16"/>
      <c r="DW990" s="16"/>
      <c r="DX990" s="16"/>
      <c r="DY990" s="16"/>
      <c r="DZ990" s="16"/>
      <c r="EA990" s="17"/>
      <c r="EE990" s="24"/>
      <c r="EF990" s="60"/>
      <c r="EG990" s="16"/>
      <c r="EH990" s="16"/>
      <c r="EI990" s="16"/>
      <c r="EJ990" s="16"/>
      <c r="EK990" s="16"/>
      <c r="EL990" s="17"/>
      <c r="EP990" s="24"/>
      <c r="EQ990" s="60"/>
      <c r="ER990" s="16"/>
      <c r="ES990" s="16"/>
      <c r="ET990" s="16"/>
      <c r="EU990" s="16"/>
      <c r="EV990" s="16"/>
      <c r="EW990" s="17"/>
      <c r="FA990" s="24"/>
      <c r="FB990" s="60"/>
      <c r="FC990" s="16"/>
      <c r="FD990" s="16"/>
      <c r="FE990" s="16"/>
      <c r="FF990" s="16"/>
      <c r="FG990" s="16"/>
      <c r="FH990" s="17"/>
      <c r="FL990" s="24"/>
      <c r="FM990" s="60"/>
      <c r="FN990" s="16"/>
      <c r="FO990" s="16"/>
      <c r="FP990" s="16"/>
      <c r="FQ990" s="16"/>
      <c r="FR990" s="16"/>
      <c r="FS990" s="17"/>
      <c r="FW990" s="24"/>
      <c r="FX990" s="60"/>
      <c r="FY990" s="16"/>
      <c r="FZ990" s="16"/>
      <c r="GA990" s="16"/>
      <c r="GB990" s="16"/>
      <c r="GC990" s="16"/>
      <c r="GD990" s="17"/>
      <c r="GH990" s="24"/>
      <c r="GI990" s="60"/>
      <c r="GJ990" s="16"/>
      <c r="GK990" s="16"/>
      <c r="GL990" s="16"/>
      <c r="GM990" s="16"/>
      <c r="GN990" s="16"/>
      <c r="GO990" s="17"/>
      <c r="GS990" s="24"/>
      <c r="GT990" s="60"/>
      <c r="GU990" s="16"/>
      <c r="GV990" s="16"/>
      <c r="GW990" s="16"/>
      <c r="GX990" s="16"/>
      <c r="GY990" s="16"/>
      <c r="GZ990" s="17"/>
      <c r="HD990" s="24"/>
      <c r="HE990" s="60"/>
      <c r="HF990" s="16"/>
      <c r="HG990" s="16"/>
      <c r="HH990" s="16"/>
      <c r="HI990" s="16"/>
      <c r="HJ990" s="16"/>
      <c r="HK990" s="17"/>
      <c r="HO990" s="24"/>
      <c r="HP990" s="60"/>
      <c r="HQ990" s="16"/>
      <c r="HR990" s="16"/>
      <c r="HS990" s="16"/>
      <c r="HT990" s="16"/>
      <c r="HU990" s="16"/>
      <c r="HV990" s="17"/>
      <c r="HZ990" s="24"/>
      <c r="IA990" s="60"/>
      <c r="IB990" s="16"/>
      <c r="IC990" s="16"/>
      <c r="ID990" s="16"/>
      <c r="IE990" s="16"/>
      <c r="IF990" s="16"/>
      <c r="IG990" s="17"/>
      <c r="IK990" s="24"/>
      <c r="IL990" s="60"/>
      <c r="IM990" s="16"/>
      <c r="IN990" s="16"/>
      <c r="IO990" s="16"/>
      <c r="IP990" s="16"/>
      <c r="IQ990" s="16"/>
      <c r="IR990" s="17"/>
      <c r="IV990" s="24"/>
      <c r="IW990" s="60"/>
      <c r="IX990" s="16"/>
      <c r="IY990" s="16"/>
      <c r="IZ990" s="16"/>
      <c r="JA990" s="16"/>
      <c r="JB990" s="16"/>
      <c r="JC990" s="17"/>
      <c r="JG990" s="24"/>
      <c r="JH990" s="60"/>
      <c r="JI990" s="16"/>
      <c r="JJ990" s="16"/>
      <c r="JK990" s="16"/>
      <c r="JL990" s="16"/>
      <c r="JM990" s="16"/>
      <c r="JN990" s="17"/>
      <c r="JR990" s="24"/>
      <c r="JS990" s="60"/>
      <c r="JT990" s="16"/>
      <c r="JU990" s="16"/>
      <c r="JV990" s="16"/>
      <c r="JW990" s="16"/>
      <c r="JX990" s="16"/>
      <c r="JY990" s="17"/>
      <c r="KC990" s="24"/>
      <c r="KD990" s="60"/>
      <c r="KE990" s="16"/>
      <c r="KF990" s="16"/>
      <c r="KG990" s="16"/>
      <c r="KH990" s="16"/>
      <c r="KI990" s="16"/>
      <c r="KJ990" s="17"/>
      <c r="KN990" s="24"/>
      <c r="KO990" s="60"/>
      <c r="KP990" s="16"/>
      <c r="KQ990" s="16"/>
      <c r="KR990" s="16"/>
      <c r="KS990" s="16"/>
      <c r="KT990" s="16"/>
      <c r="KU990" s="17"/>
      <c r="KY990" s="24"/>
      <c r="KZ990" s="60"/>
      <c r="LA990" s="16"/>
      <c r="LB990" s="16"/>
      <c r="LC990" s="16"/>
      <c r="LD990" s="16"/>
      <c r="LE990" s="16"/>
      <c r="LF990" s="17"/>
      <c r="LJ990" s="24"/>
      <c r="LK990" s="60"/>
      <c r="LL990" s="16"/>
      <c r="LM990" s="16"/>
      <c r="LN990" s="16"/>
      <c r="LO990" s="16"/>
      <c r="LP990" s="16"/>
      <c r="LQ990" s="17"/>
    </row>
    <row r="991">
      <c r="C991" s="31"/>
      <c r="D991" s="61"/>
      <c r="E991" s="16"/>
      <c r="F991" s="16"/>
      <c r="G991" s="21"/>
      <c r="H991" s="16"/>
      <c r="I991" s="16"/>
      <c r="J991" s="17"/>
      <c r="N991" s="17"/>
      <c r="O991" s="61"/>
      <c r="P991" s="16"/>
      <c r="Q991" s="16"/>
      <c r="R991" s="16"/>
      <c r="S991" s="16"/>
      <c r="T991" s="16"/>
      <c r="U991" s="17"/>
      <c r="Y991" s="24"/>
      <c r="Z991" s="61"/>
      <c r="AA991" s="16"/>
      <c r="AB991" s="16"/>
      <c r="AC991" s="16"/>
      <c r="AD991" s="16"/>
      <c r="AE991" s="16"/>
      <c r="AF991" s="17"/>
      <c r="AJ991" s="24"/>
      <c r="AK991" s="61"/>
      <c r="AL991" s="16"/>
      <c r="AM991" s="16"/>
      <c r="AN991" s="16"/>
      <c r="AO991" s="16"/>
      <c r="AP991" s="16"/>
      <c r="AQ991" s="17"/>
      <c r="AU991" s="24"/>
      <c r="AV991" s="61"/>
      <c r="AW991" s="16"/>
      <c r="AX991" s="16"/>
      <c r="AY991" s="16"/>
      <c r="AZ991" s="16"/>
      <c r="BA991" s="16"/>
      <c r="BB991" s="17"/>
      <c r="BF991" s="24"/>
      <c r="BG991" s="61"/>
      <c r="BH991" s="16"/>
      <c r="BI991" s="16"/>
      <c r="BJ991" s="16"/>
      <c r="BK991" s="16"/>
      <c r="BL991" s="16"/>
      <c r="BM991" s="17"/>
      <c r="BQ991" s="24"/>
      <c r="BR991" s="61"/>
      <c r="BS991" s="16"/>
      <c r="BT991" s="16"/>
      <c r="BU991" s="16"/>
      <c r="BV991" s="16"/>
      <c r="BW991" s="16"/>
      <c r="BX991" s="17"/>
      <c r="CB991" s="24"/>
      <c r="CC991" s="61"/>
      <c r="CD991" s="16"/>
      <c r="CE991" s="16"/>
      <c r="CF991" s="16"/>
      <c r="CG991" s="16"/>
      <c r="CH991" s="16"/>
      <c r="CI991" s="17"/>
      <c r="CM991" s="24"/>
      <c r="CN991" s="61"/>
      <c r="CO991" s="16"/>
      <c r="CP991" s="16"/>
      <c r="CQ991" s="16"/>
      <c r="CR991" s="16"/>
      <c r="CS991" s="16"/>
      <c r="CT991" s="17"/>
      <c r="CX991" s="24"/>
      <c r="CY991" s="60"/>
      <c r="CZ991" s="16"/>
      <c r="DA991" s="16"/>
      <c r="DB991" s="16"/>
      <c r="DC991" s="16"/>
      <c r="DD991" s="16"/>
      <c r="DE991" s="17"/>
      <c r="DI991" s="24"/>
      <c r="DJ991" s="60"/>
      <c r="DK991" s="16"/>
      <c r="DL991" s="16"/>
      <c r="DM991" s="16"/>
      <c r="DN991" s="16"/>
      <c r="DO991" s="16"/>
      <c r="DP991" s="17"/>
      <c r="DT991" s="24"/>
      <c r="DU991" s="60"/>
      <c r="DV991" s="16"/>
      <c r="DW991" s="16"/>
      <c r="DX991" s="16"/>
      <c r="DY991" s="16"/>
      <c r="DZ991" s="16"/>
      <c r="EA991" s="17"/>
      <c r="EE991" s="24"/>
      <c r="EF991" s="60"/>
      <c r="EG991" s="16"/>
      <c r="EH991" s="16"/>
      <c r="EI991" s="16"/>
      <c r="EJ991" s="16"/>
      <c r="EK991" s="16"/>
      <c r="EL991" s="17"/>
      <c r="EP991" s="24"/>
      <c r="EQ991" s="60"/>
      <c r="ER991" s="16"/>
      <c r="ES991" s="16"/>
      <c r="ET991" s="16"/>
      <c r="EU991" s="16"/>
      <c r="EV991" s="16"/>
      <c r="EW991" s="17"/>
      <c r="FA991" s="24"/>
      <c r="FB991" s="60"/>
      <c r="FC991" s="16"/>
      <c r="FD991" s="16"/>
      <c r="FE991" s="16"/>
      <c r="FF991" s="16"/>
      <c r="FG991" s="16"/>
      <c r="FH991" s="17"/>
      <c r="FL991" s="24"/>
      <c r="FM991" s="60"/>
      <c r="FN991" s="16"/>
      <c r="FO991" s="16"/>
      <c r="FP991" s="16"/>
      <c r="FQ991" s="16"/>
      <c r="FR991" s="16"/>
      <c r="FS991" s="17"/>
      <c r="FW991" s="24"/>
      <c r="FX991" s="60"/>
      <c r="FY991" s="16"/>
      <c r="FZ991" s="16"/>
      <c r="GA991" s="16"/>
      <c r="GB991" s="16"/>
      <c r="GC991" s="16"/>
      <c r="GD991" s="17"/>
      <c r="GH991" s="24"/>
      <c r="GI991" s="60"/>
      <c r="GJ991" s="16"/>
      <c r="GK991" s="16"/>
      <c r="GL991" s="16"/>
      <c r="GM991" s="16"/>
      <c r="GN991" s="16"/>
      <c r="GO991" s="17"/>
      <c r="GS991" s="24"/>
      <c r="GT991" s="60"/>
      <c r="GU991" s="16"/>
      <c r="GV991" s="16"/>
      <c r="GW991" s="16"/>
      <c r="GX991" s="16"/>
      <c r="GY991" s="16"/>
      <c r="GZ991" s="17"/>
      <c r="HD991" s="24"/>
      <c r="HE991" s="60"/>
      <c r="HF991" s="16"/>
      <c r="HG991" s="16"/>
      <c r="HH991" s="16"/>
      <c r="HI991" s="16"/>
      <c r="HJ991" s="16"/>
      <c r="HK991" s="17"/>
      <c r="HO991" s="24"/>
      <c r="HP991" s="60"/>
      <c r="HQ991" s="16"/>
      <c r="HR991" s="16"/>
      <c r="HS991" s="16"/>
      <c r="HT991" s="16"/>
      <c r="HU991" s="16"/>
      <c r="HV991" s="17"/>
      <c r="HZ991" s="24"/>
      <c r="IA991" s="60"/>
      <c r="IB991" s="16"/>
      <c r="IC991" s="16"/>
      <c r="ID991" s="16"/>
      <c r="IE991" s="16"/>
      <c r="IF991" s="16"/>
      <c r="IG991" s="17"/>
      <c r="IK991" s="24"/>
      <c r="IL991" s="60"/>
      <c r="IM991" s="16"/>
      <c r="IN991" s="16"/>
      <c r="IO991" s="16"/>
      <c r="IP991" s="16"/>
      <c r="IQ991" s="16"/>
      <c r="IR991" s="17"/>
      <c r="IV991" s="24"/>
      <c r="IW991" s="60"/>
      <c r="IX991" s="16"/>
      <c r="IY991" s="16"/>
      <c r="IZ991" s="16"/>
      <c r="JA991" s="16"/>
      <c r="JB991" s="16"/>
      <c r="JC991" s="17"/>
      <c r="JG991" s="24"/>
      <c r="JH991" s="60"/>
      <c r="JI991" s="16"/>
      <c r="JJ991" s="16"/>
      <c r="JK991" s="16"/>
      <c r="JL991" s="16"/>
      <c r="JM991" s="16"/>
      <c r="JN991" s="17"/>
      <c r="JR991" s="24"/>
      <c r="JS991" s="60"/>
      <c r="JT991" s="16"/>
      <c r="JU991" s="16"/>
      <c r="JV991" s="16"/>
      <c r="JW991" s="16"/>
      <c r="JX991" s="16"/>
      <c r="JY991" s="17"/>
      <c r="KC991" s="24"/>
      <c r="KD991" s="60"/>
      <c r="KE991" s="16"/>
      <c r="KF991" s="16"/>
      <c r="KG991" s="16"/>
      <c r="KH991" s="16"/>
      <c r="KI991" s="16"/>
      <c r="KJ991" s="17"/>
      <c r="KN991" s="24"/>
      <c r="KO991" s="60"/>
      <c r="KP991" s="16"/>
      <c r="KQ991" s="16"/>
      <c r="KR991" s="16"/>
      <c r="KS991" s="16"/>
      <c r="KT991" s="16"/>
      <c r="KU991" s="17"/>
      <c r="KY991" s="24"/>
      <c r="KZ991" s="60"/>
      <c r="LA991" s="16"/>
      <c r="LB991" s="16"/>
      <c r="LC991" s="16"/>
      <c r="LD991" s="16"/>
      <c r="LE991" s="16"/>
      <c r="LF991" s="17"/>
      <c r="LJ991" s="24"/>
      <c r="LK991" s="60"/>
      <c r="LL991" s="16"/>
      <c r="LM991" s="16"/>
      <c r="LN991" s="16"/>
      <c r="LO991" s="16"/>
      <c r="LP991" s="16"/>
      <c r="LQ991" s="17"/>
    </row>
    <row r="992">
      <c r="C992" s="31"/>
      <c r="D992" s="61"/>
      <c r="E992" s="16"/>
      <c r="F992" s="16"/>
      <c r="G992" s="21"/>
      <c r="H992" s="16"/>
      <c r="I992" s="16"/>
      <c r="J992" s="17"/>
      <c r="N992" s="17"/>
      <c r="O992" s="61"/>
      <c r="P992" s="16"/>
      <c r="Q992" s="16"/>
      <c r="R992" s="16"/>
      <c r="S992" s="16"/>
      <c r="T992" s="16"/>
      <c r="U992" s="17"/>
      <c r="Y992" s="24"/>
      <c r="Z992" s="61"/>
      <c r="AA992" s="16"/>
      <c r="AB992" s="16"/>
      <c r="AC992" s="16"/>
      <c r="AD992" s="16"/>
      <c r="AE992" s="16"/>
      <c r="AF992" s="17"/>
      <c r="AJ992" s="24"/>
      <c r="AK992" s="61"/>
      <c r="AL992" s="16"/>
      <c r="AM992" s="16"/>
      <c r="AN992" s="16"/>
      <c r="AO992" s="16"/>
      <c r="AP992" s="16"/>
      <c r="AQ992" s="17"/>
      <c r="AU992" s="24"/>
      <c r="AV992" s="61"/>
      <c r="AW992" s="16"/>
      <c r="AX992" s="16"/>
      <c r="AY992" s="16"/>
      <c r="AZ992" s="16"/>
      <c r="BA992" s="16"/>
      <c r="BB992" s="17"/>
      <c r="BF992" s="24"/>
      <c r="BG992" s="61"/>
      <c r="BH992" s="16"/>
      <c r="BI992" s="16"/>
      <c r="BJ992" s="16"/>
      <c r="BK992" s="16"/>
      <c r="BL992" s="16"/>
      <c r="BM992" s="17"/>
      <c r="BQ992" s="24"/>
      <c r="BR992" s="61"/>
      <c r="BS992" s="16"/>
      <c r="BT992" s="16"/>
      <c r="BU992" s="16"/>
      <c r="BV992" s="16"/>
      <c r="BW992" s="16"/>
      <c r="BX992" s="17"/>
      <c r="CB992" s="24"/>
      <c r="CC992" s="61"/>
      <c r="CD992" s="16"/>
      <c r="CE992" s="16"/>
      <c r="CF992" s="16"/>
      <c r="CG992" s="16"/>
      <c r="CH992" s="16"/>
      <c r="CI992" s="17"/>
      <c r="CM992" s="24"/>
      <c r="CN992" s="61"/>
      <c r="CO992" s="16"/>
      <c r="CP992" s="16"/>
      <c r="CQ992" s="16"/>
      <c r="CR992" s="16"/>
      <c r="CS992" s="16"/>
      <c r="CT992" s="17"/>
      <c r="CX992" s="24"/>
      <c r="CY992" s="60"/>
      <c r="CZ992" s="16"/>
      <c r="DA992" s="16"/>
      <c r="DB992" s="16"/>
      <c r="DC992" s="16"/>
      <c r="DD992" s="16"/>
      <c r="DE992" s="17"/>
      <c r="DI992" s="24"/>
      <c r="DJ992" s="60"/>
      <c r="DK992" s="16"/>
      <c r="DL992" s="16"/>
      <c r="DM992" s="16"/>
      <c r="DN992" s="16"/>
      <c r="DO992" s="16"/>
      <c r="DP992" s="17"/>
      <c r="DT992" s="24"/>
      <c r="DU992" s="60"/>
      <c r="DV992" s="16"/>
      <c r="DW992" s="16"/>
      <c r="DX992" s="16"/>
      <c r="DY992" s="16"/>
      <c r="DZ992" s="16"/>
      <c r="EA992" s="17"/>
      <c r="EE992" s="24"/>
      <c r="EF992" s="60"/>
      <c r="EG992" s="16"/>
      <c r="EH992" s="16"/>
      <c r="EI992" s="16"/>
      <c r="EJ992" s="16"/>
      <c r="EK992" s="16"/>
      <c r="EL992" s="17"/>
      <c r="EP992" s="24"/>
      <c r="EQ992" s="60"/>
      <c r="ER992" s="16"/>
      <c r="ES992" s="16"/>
      <c r="ET992" s="16"/>
      <c r="EU992" s="16"/>
      <c r="EV992" s="16"/>
      <c r="EW992" s="17"/>
      <c r="FA992" s="24"/>
      <c r="FB992" s="60"/>
      <c r="FC992" s="16"/>
      <c r="FD992" s="16"/>
      <c r="FE992" s="16"/>
      <c r="FF992" s="16"/>
      <c r="FG992" s="16"/>
      <c r="FH992" s="17"/>
      <c r="FL992" s="24"/>
      <c r="FM992" s="60"/>
      <c r="FN992" s="16"/>
      <c r="FO992" s="16"/>
      <c r="FP992" s="16"/>
      <c r="FQ992" s="16"/>
      <c r="FR992" s="16"/>
      <c r="FS992" s="17"/>
      <c r="FW992" s="24"/>
      <c r="FX992" s="60"/>
      <c r="FY992" s="16"/>
      <c r="FZ992" s="16"/>
      <c r="GA992" s="16"/>
      <c r="GB992" s="16"/>
      <c r="GC992" s="16"/>
      <c r="GD992" s="17"/>
      <c r="GH992" s="24"/>
      <c r="GI992" s="60"/>
      <c r="GJ992" s="16"/>
      <c r="GK992" s="16"/>
      <c r="GL992" s="16"/>
      <c r="GM992" s="16"/>
      <c r="GN992" s="16"/>
      <c r="GO992" s="17"/>
      <c r="GS992" s="24"/>
      <c r="GT992" s="60"/>
      <c r="GU992" s="16"/>
      <c r="GV992" s="16"/>
      <c r="GW992" s="16"/>
      <c r="GX992" s="16"/>
      <c r="GY992" s="16"/>
      <c r="GZ992" s="17"/>
      <c r="HD992" s="24"/>
      <c r="HE992" s="60"/>
      <c r="HF992" s="16"/>
      <c r="HG992" s="16"/>
      <c r="HH992" s="16"/>
      <c r="HI992" s="16"/>
      <c r="HJ992" s="16"/>
      <c r="HK992" s="17"/>
      <c r="HO992" s="24"/>
      <c r="HP992" s="60"/>
      <c r="HQ992" s="16"/>
      <c r="HR992" s="16"/>
      <c r="HS992" s="16"/>
      <c r="HT992" s="16"/>
      <c r="HU992" s="16"/>
      <c r="HV992" s="17"/>
      <c r="HZ992" s="24"/>
      <c r="IA992" s="60"/>
      <c r="IB992" s="16"/>
      <c r="IC992" s="16"/>
      <c r="ID992" s="16"/>
      <c r="IE992" s="16"/>
      <c r="IF992" s="16"/>
      <c r="IG992" s="17"/>
      <c r="IK992" s="24"/>
      <c r="IL992" s="60"/>
      <c r="IM992" s="16"/>
      <c r="IN992" s="16"/>
      <c r="IO992" s="16"/>
      <c r="IP992" s="16"/>
      <c r="IQ992" s="16"/>
      <c r="IR992" s="17"/>
      <c r="IV992" s="24"/>
      <c r="IW992" s="60"/>
      <c r="IX992" s="16"/>
      <c r="IY992" s="16"/>
      <c r="IZ992" s="16"/>
      <c r="JA992" s="16"/>
      <c r="JB992" s="16"/>
      <c r="JC992" s="17"/>
      <c r="JG992" s="24"/>
      <c r="JH992" s="60"/>
      <c r="JI992" s="16"/>
      <c r="JJ992" s="16"/>
      <c r="JK992" s="16"/>
      <c r="JL992" s="16"/>
      <c r="JM992" s="16"/>
      <c r="JN992" s="17"/>
      <c r="JR992" s="24"/>
      <c r="JS992" s="60"/>
      <c r="JT992" s="16"/>
      <c r="JU992" s="16"/>
      <c r="JV992" s="16"/>
      <c r="JW992" s="16"/>
      <c r="JX992" s="16"/>
      <c r="JY992" s="17"/>
      <c r="KC992" s="24"/>
      <c r="KD992" s="60"/>
      <c r="KE992" s="16"/>
      <c r="KF992" s="16"/>
      <c r="KG992" s="16"/>
      <c r="KH992" s="16"/>
      <c r="KI992" s="16"/>
      <c r="KJ992" s="17"/>
      <c r="KN992" s="24"/>
      <c r="KO992" s="60"/>
      <c r="KP992" s="16"/>
      <c r="KQ992" s="16"/>
      <c r="KR992" s="16"/>
      <c r="KS992" s="16"/>
      <c r="KT992" s="16"/>
      <c r="KU992" s="17"/>
      <c r="KY992" s="24"/>
      <c r="KZ992" s="60"/>
      <c r="LA992" s="16"/>
      <c r="LB992" s="16"/>
      <c r="LC992" s="16"/>
      <c r="LD992" s="16"/>
      <c r="LE992" s="16"/>
      <c r="LF992" s="17"/>
      <c r="LJ992" s="24"/>
      <c r="LK992" s="60"/>
      <c r="LL992" s="16"/>
      <c r="LM992" s="16"/>
      <c r="LN992" s="16"/>
      <c r="LO992" s="16"/>
      <c r="LP992" s="16"/>
      <c r="LQ992" s="17"/>
    </row>
    <row r="993">
      <c r="C993" s="31"/>
      <c r="D993" s="61"/>
      <c r="E993" s="16"/>
      <c r="F993" s="16"/>
      <c r="G993" s="21"/>
      <c r="H993" s="16"/>
      <c r="I993" s="16"/>
      <c r="J993" s="17"/>
      <c r="N993" s="17"/>
      <c r="O993" s="61"/>
      <c r="P993" s="16"/>
      <c r="Q993" s="16"/>
      <c r="R993" s="16"/>
      <c r="S993" s="16"/>
      <c r="T993" s="16"/>
      <c r="U993" s="17"/>
      <c r="Y993" s="24"/>
      <c r="Z993" s="61"/>
      <c r="AA993" s="16"/>
      <c r="AB993" s="16"/>
      <c r="AC993" s="16"/>
      <c r="AD993" s="16"/>
      <c r="AE993" s="16"/>
      <c r="AF993" s="17"/>
      <c r="AJ993" s="24"/>
      <c r="AK993" s="61"/>
      <c r="AL993" s="16"/>
      <c r="AM993" s="16"/>
      <c r="AN993" s="16"/>
      <c r="AO993" s="16"/>
      <c r="AP993" s="16"/>
      <c r="AQ993" s="17"/>
      <c r="AU993" s="24"/>
      <c r="AV993" s="61"/>
      <c r="AW993" s="16"/>
      <c r="AX993" s="16"/>
      <c r="AY993" s="16"/>
      <c r="AZ993" s="16"/>
      <c r="BA993" s="16"/>
      <c r="BB993" s="17"/>
      <c r="BF993" s="24"/>
      <c r="BG993" s="61"/>
      <c r="BH993" s="16"/>
      <c r="BI993" s="16"/>
      <c r="BJ993" s="16"/>
      <c r="BK993" s="16"/>
      <c r="BL993" s="16"/>
      <c r="BM993" s="17"/>
      <c r="BQ993" s="24"/>
      <c r="BR993" s="61"/>
      <c r="BS993" s="16"/>
      <c r="BT993" s="16"/>
      <c r="BU993" s="16"/>
      <c r="BV993" s="16"/>
      <c r="BW993" s="16"/>
      <c r="BX993" s="17"/>
      <c r="CB993" s="24"/>
      <c r="CC993" s="61"/>
      <c r="CD993" s="16"/>
      <c r="CE993" s="16"/>
      <c r="CF993" s="16"/>
      <c r="CG993" s="16"/>
      <c r="CH993" s="16"/>
      <c r="CI993" s="17"/>
      <c r="CM993" s="24"/>
      <c r="CN993" s="61"/>
      <c r="CO993" s="16"/>
      <c r="CP993" s="16"/>
      <c r="CQ993" s="16"/>
      <c r="CR993" s="16"/>
      <c r="CS993" s="16"/>
      <c r="CT993" s="17"/>
      <c r="CX993" s="24"/>
      <c r="CY993" s="60"/>
      <c r="CZ993" s="16"/>
      <c r="DA993" s="16"/>
      <c r="DB993" s="16"/>
      <c r="DC993" s="16"/>
      <c r="DD993" s="16"/>
      <c r="DE993" s="17"/>
      <c r="DI993" s="24"/>
      <c r="DJ993" s="60"/>
      <c r="DK993" s="16"/>
      <c r="DL993" s="16"/>
      <c r="DM993" s="16"/>
      <c r="DN993" s="16"/>
      <c r="DO993" s="16"/>
      <c r="DP993" s="17"/>
      <c r="DT993" s="24"/>
      <c r="DU993" s="60"/>
      <c r="DV993" s="16"/>
      <c r="DW993" s="16"/>
      <c r="DX993" s="16"/>
      <c r="DY993" s="16"/>
      <c r="DZ993" s="16"/>
      <c r="EA993" s="17"/>
      <c r="EE993" s="24"/>
      <c r="EF993" s="60"/>
      <c r="EG993" s="16"/>
      <c r="EH993" s="16"/>
      <c r="EI993" s="16"/>
      <c r="EJ993" s="16"/>
      <c r="EK993" s="16"/>
      <c r="EL993" s="17"/>
      <c r="EP993" s="24"/>
      <c r="EQ993" s="60"/>
      <c r="ER993" s="16"/>
      <c r="ES993" s="16"/>
      <c r="ET993" s="16"/>
      <c r="EU993" s="16"/>
      <c r="EV993" s="16"/>
      <c r="EW993" s="17"/>
      <c r="FA993" s="24"/>
      <c r="FB993" s="60"/>
      <c r="FC993" s="16"/>
      <c r="FD993" s="16"/>
      <c r="FE993" s="16"/>
      <c r="FF993" s="16"/>
      <c r="FG993" s="16"/>
      <c r="FH993" s="17"/>
      <c r="FL993" s="24"/>
      <c r="FM993" s="60"/>
      <c r="FN993" s="16"/>
      <c r="FO993" s="16"/>
      <c r="FP993" s="16"/>
      <c r="FQ993" s="16"/>
      <c r="FR993" s="16"/>
      <c r="FS993" s="17"/>
      <c r="FW993" s="24"/>
      <c r="FX993" s="60"/>
      <c r="FY993" s="16"/>
      <c r="FZ993" s="16"/>
      <c r="GA993" s="16"/>
      <c r="GB993" s="16"/>
      <c r="GC993" s="16"/>
      <c r="GD993" s="17"/>
      <c r="GH993" s="24"/>
      <c r="GI993" s="60"/>
      <c r="GJ993" s="16"/>
      <c r="GK993" s="16"/>
      <c r="GL993" s="16"/>
      <c r="GM993" s="16"/>
      <c r="GN993" s="16"/>
      <c r="GO993" s="17"/>
      <c r="GS993" s="24"/>
      <c r="GT993" s="60"/>
      <c r="GU993" s="16"/>
      <c r="GV993" s="16"/>
      <c r="GW993" s="16"/>
      <c r="GX993" s="16"/>
      <c r="GY993" s="16"/>
      <c r="GZ993" s="17"/>
      <c r="HD993" s="24"/>
      <c r="HE993" s="60"/>
      <c r="HF993" s="16"/>
      <c r="HG993" s="16"/>
      <c r="HH993" s="16"/>
      <c r="HI993" s="16"/>
      <c r="HJ993" s="16"/>
      <c r="HK993" s="17"/>
      <c r="HO993" s="24"/>
      <c r="HP993" s="60"/>
      <c r="HQ993" s="16"/>
      <c r="HR993" s="16"/>
      <c r="HS993" s="16"/>
      <c r="HT993" s="16"/>
      <c r="HU993" s="16"/>
      <c r="HV993" s="17"/>
      <c r="HZ993" s="24"/>
      <c r="IA993" s="60"/>
      <c r="IB993" s="16"/>
      <c r="IC993" s="16"/>
      <c r="ID993" s="16"/>
      <c r="IE993" s="16"/>
      <c r="IF993" s="16"/>
      <c r="IG993" s="17"/>
      <c r="IK993" s="24"/>
      <c r="IL993" s="60"/>
      <c r="IM993" s="16"/>
      <c r="IN993" s="16"/>
      <c r="IO993" s="16"/>
      <c r="IP993" s="16"/>
      <c r="IQ993" s="16"/>
      <c r="IR993" s="17"/>
      <c r="IV993" s="24"/>
      <c r="IW993" s="60"/>
      <c r="IX993" s="16"/>
      <c r="IY993" s="16"/>
      <c r="IZ993" s="16"/>
      <c r="JA993" s="16"/>
      <c r="JB993" s="16"/>
      <c r="JC993" s="17"/>
      <c r="JG993" s="24"/>
      <c r="JH993" s="60"/>
      <c r="JI993" s="16"/>
      <c r="JJ993" s="16"/>
      <c r="JK993" s="16"/>
      <c r="JL993" s="16"/>
      <c r="JM993" s="16"/>
      <c r="JN993" s="17"/>
      <c r="JR993" s="24"/>
      <c r="JS993" s="60"/>
      <c r="JT993" s="16"/>
      <c r="JU993" s="16"/>
      <c r="JV993" s="16"/>
      <c r="JW993" s="16"/>
      <c r="JX993" s="16"/>
      <c r="JY993" s="17"/>
      <c r="KC993" s="24"/>
      <c r="KD993" s="60"/>
      <c r="KE993" s="16"/>
      <c r="KF993" s="16"/>
      <c r="KG993" s="16"/>
      <c r="KH993" s="16"/>
      <c r="KI993" s="16"/>
      <c r="KJ993" s="17"/>
      <c r="KN993" s="24"/>
      <c r="KO993" s="60"/>
      <c r="KP993" s="16"/>
      <c r="KQ993" s="16"/>
      <c r="KR993" s="16"/>
      <c r="KS993" s="16"/>
      <c r="KT993" s="16"/>
      <c r="KU993" s="17"/>
      <c r="KY993" s="24"/>
      <c r="KZ993" s="60"/>
      <c r="LA993" s="16"/>
      <c r="LB993" s="16"/>
      <c r="LC993" s="16"/>
      <c r="LD993" s="16"/>
      <c r="LE993" s="16"/>
      <c r="LF993" s="17"/>
      <c r="LJ993" s="24"/>
      <c r="LK993" s="60"/>
      <c r="LL993" s="16"/>
      <c r="LM993" s="16"/>
      <c r="LN993" s="16"/>
      <c r="LO993" s="16"/>
      <c r="LP993" s="16"/>
      <c r="LQ993" s="17"/>
    </row>
    <row r="994">
      <c r="C994" s="31"/>
      <c r="D994" s="61"/>
      <c r="E994" s="16"/>
      <c r="F994" s="16"/>
      <c r="G994" s="21"/>
      <c r="H994" s="16"/>
      <c r="I994" s="16"/>
      <c r="J994" s="17"/>
      <c r="N994" s="17"/>
      <c r="O994" s="61"/>
      <c r="P994" s="16"/>
      <c r="Q994" s="16"/>
      <c r="R994" s="16"/>
      <c r="S994" s="16"/>
      <c r="T994" s="16"/>
      <c r="U994" s="17"/>
      <c r="Y994" s="24"/>
      <c r="Z994" s="61"/>
      <c r="AA994" s="16"/>
      <c r="AB994" s="16"/>
      <c r="AC994" s="16"/>
      <c r="AD994" s="16"/>
      <c r="AE994" s="16"/>
      <c r="AF994" s="17"/>
      <c r="AJ994" s="24"/>
      <c r="AK994" s="61"/>
      <c r="AL994" s="16"/>
      <c r="AM994" s="16"/>
      <c r="AN994" s="16"/>
      <c r="AO994" s="16"/>
      <c r="AP994" s="16"/>
      <c r="AQ994" s="17"/>
      <c r="AU994" s="24"/>
      <c r="AV994" s="61"/>
      <c r="AW994" s="16"/>
      <c r="AX994" s="16"/>
      <c r="AY994" s="16"/>
      <c r="AZ994" s="16"/>
      <c r="BA994" s="16"/>
      <c r="BB994" s="17"/>
      <c r="BF994" s="24"/>
      <c r="BG994" s="61"/>
      <c r="BH994" s="16"/>
      <c r="BI994" s="16"/>
      <c r="BJ994" s="16"/>
      <c r="BK994" s="16"/>
      <c r="BL994" s="16"/>
      <c r="BM994" s="17"/>
      <c r="BQ994" s="24"/>
      <c r="BR994" s="61"/>
      <c r="BS994" s="16"/>
      <c r="BT994" s="16"/>
      <c r="BU994" s="16"/>
      <c r="BV994" s="16"/>
      <c r="BW994" s="16"/>
      <c r="BX994" s="17"/>
      <c r="CB994" s="24"/>
      <c r="CC994" s="61"/>
      <c r="CD994" s="16"/>
      <c r="CE994" s="16"/>
      <c r="CF994" s="16"/>
      <c r="CG994" s="16"/>
      <c r="CH994" s="16"/>
      <c r="CI994" s="17"/>
      <c r="CM994" s="24"/>
      <c r="CN994" s="61"/>
      <c r="CO994" s="16"/>
      <c r="CP994" s="16"/>
      <c r="CQ994" s="16"/>
      <c r="CR994" s="16"/>
      <c r="CS994" s="16"/>
      <c r="CT994" s="17"/>
      <c r="CX994" s="24"/>
      <c r="CY994" s="60"/>
      <c r="CZ994" s="16"/>
      <c r="DA994" s="16"/>
      <c r="DB994" s="16"/>
      <c r="DC994" s="16"/>
      <c r="DD994" s="16"/>
      <c r="DE994" s="17"/>
      <c r="DI994" s="24"/>
      <c r="DJ994" s="60"/>
      <c r="DK994" s="16"/>
      <c r="DL994" s="16"/>
      <c r="DM994" s="16"/>
      <c r="DN994" s="16"/>
      <c r="DO994" s="16"/>
      <c r="DP994" s="17"/>
      <c r="DT994" s="24"/>
      <c r="DU994" s="60"/>
      <c r="DV994" s="16"/>
      <c r="DW994" s="16"/>
      <c r="DX994" s="16"/>
      <c r="DY994" s="16"/>
      <c r="DZ994" s="16"/>
      <c r="EA994" s="17"/>
      <c r="EE994" s="24"/>
      <c r="EF994" s="60"/>
      <c r="EG994" s="16"/>
      <c r="EH994" s="16"/>
      <c r="EI994" s="16"/>
      <c r="EJ994" s="16"/>
      <c r="EK994" s="16"/>
      <c r="EL994" s="17"/>
      <c r="EP994" s="24"/>
      <c r="EQ994" s="60"/>
      <c r="ER994" s="16"/>
      <c r="ES994" s="16"/>
      <c r="ET994" s="16"/>
      <c r="EU994" s="16"/>
      <c r="EV994" s="16"/>
      <c r="EW994" s="17"/>
      <c r="FA994" s="24"/>
      <c r="FB994" s="60"/>
      <c r="FC994" s="16"/>
      <c r="FD994" s="16"/>
      <c r="FE994" s="16"/>
      <c r="FF994" s="16"/>
      <c r="FG994" s="16"/>
      <c r="FH994" s="17"/>
      <c r="FL994" s="24"/>
      <c r="FM994" s="60"/>
      <c r="FN994" s="16"/>
      <c r="FO994" s="16"/>
      <c r="FP994" s="16"/>
      <c r="FQ994" s="16"/>
      <c r="FR994" s="16"/>
      <c r="FS994" s="17"/>
      <c r="FW994" s="24"/>
      <c r="FX994" s="60"/>
      <c r="FY994" s="16"/>
      <c r="FZ994" s="16"/>
      <c r="GA994" s="16"/>
      <c r="GB994" s="16"/>
      <c r="GC994" s="16"/>
      <c r="GD994" s="17"/>
      <c r="GH994" s="24"/>
      <c r="GI994" s="60"/>
      <c r="GJ994" s="16"/>
      <c r="GK994" s="16"/>
      <c r="GL994" s="16"/>
      <c r="GM994" s="16"/>
      <c r="GN994" s="16"/>
      <c r="GO994" s="17"/>
      <c r="GS994" s="24"/>
      <c r="GT994" s="60"/>
      <c r="GU994" s="16"/>
      <c r="GV994" s="16"/>
      <c r="GW994" s="16"/>
      <c r="GX994" s="16"/>
      <c r="GY994" s="16"/>
      <c r="GZ994" s="17"/>
      <c r="HD994" s="24"/>
      <c r="HE994" s="60"/>
      <c r="HF994" s="16"/>
      <c r="HG994" s="16"/>
      <c r="HH994" s="16"/>
      <c r="HI994" s="16"/>
      <c r="HJ994" s="16"/>
      <c r="HK994" s="17"/>
      <c r="HO994" s="24"/>
      <c r="HP994" s="60"/>
      <c r="HQ994" s="16"/>
      <c r="HR994" s="16"/>
      <c r="HS994" s="16"/>
      <c r="HT994" s="16"/>
      <c r="HU994" s="16"/>
      <c r="HV994" s="17"/>
      <c r="HZ994" s="24"/>
      <c r="IA994" s="60"/>
      <c r="IB994" s="16"/>
      <c r="IC994" s="16"/>
      <c r="ID994" s="16"/>
      <c r="IE994" s="16"/>
      <c r="IF994" s="16"/>
      <c r="IG994" s="17"/>
      <c r="IK994" s="24"/>
      <c r="IL994" s="60"/>
      <c r="IM994" s="16"/>
      <c r="IN994" s="16"/>
      <c r="IO994" s="16"/>
      <c r="IP994" s="16"/>
      <c r="IQ994" s="16"/>
      <c r="IR994" s="17"/>
      <c r="IV994" s="24"/>
      <c r="IW994" s="60"/>
      <c r="IX994" s="16"/>
      <c r="IY994" s="16"/>
      <c r="IZ994" s="16"/>
      <c r="JA994" s="16"/>
      <c r="JB994" s="16"/>
      <c r="JC994" s="17"/>
      <c r="JG994" s="24"/>
      <c r="JH994" s="60"/>
      <c r="JI994" s="16"/>
      <c r="JJ994" s="16"/>
      <c r="JK994" s="16"/>
      <c r="JL994" s="16"/>
      <c r="JM994" s="16"/>
      <c r="JN994" s="17"/>
      <c r="JR994" s="24"/>
      <c r="JS994" s="60"/>
      <c r="JT994" s="16"/>
      <c r="JU994" s="16"/>
      <c r="JV994" s="16"/>
      <c r="JW994" s="16"/>
      <c r="JX994" s="16"/>
      <c r="JY994" s="17"/>
      <c r="KC994" s="24"/>
      <c r="KD994" s="60"/>
      <c r="KE994" s="16"/>
      <c r="KF994" s="16"/>
      <c r="KG994" s="16"/>
      <c r="KH994" s="16"/>
      <c r="KI994" s="16"/>
      <c r="KJ994" s="17"/>
      <c r="KN994" s="24"/>
      <c r="KO994" s="60"/>
      <c r="KP994" s="16"/>
      <c r="KQ994" s="16"/>
      <c r="KR994" s="16"/>
      <c r="KS994" s="16"/>
      <c r="KT994" s="16"/>
      <c r="KU994" s="17"/>
      <c r="KY994" s="24"/>
      <c r="KZ994" s="60"/>
      <c r="LA994" s="16"/>
      <c r="LB994" s="16"/>
      <c r="LC994" s="16"/>
      <c r="LD994" s="16"/>
      <c r="LE994" s="16"/>
      <c r="LF994" s="17"/>
      <c r="LJ994" s="24"/>
      <c r="LK994" s="60"/>
      <c r="LL994" s="16"/>
      <c r="LM994" s="16"/>
      <c r="LN994" s="16"/>
      <c r="LO994" s="16"/>
      <c r="LP994" s="16"/>
      <c r="LQ994" s="17"/>
    </row>
    <row r="995">
      <c r="C995" s="31"/>
      <c r="D995" s="61"/>
      <c r="E995" s="16"/>
      <c r="F995" s="16"/>
      <c r="G995" s="21"/>
      <c r="H995" s="16"/>
      <c r="I995" s="16"/>
      <c r="J995" s="17"/>
      <c r="N995" s="17"/>
      <c r="O995" s="61"/>
      <c r="P995" s="16"/>
      <c r="Q995" s="16"/>
      <c r="R995" s="16"/>
      <c r="S995" s="16"/>
      <c r="T995" s="16"/>
      <c r="U995" s="17"/>
      <c r="Y995" s="24"/>
      <c r="Z995" s="61"/>
      <c r="AA995" s="16"/>
      <c r="AB995" s="16"/>
      <c r="AC995" s="16"/>
      <c r="AD995" s="16"/>
      <c r="AE995" s="16"/>
      <c r="AF995" s="17"/>
      <c r="AJ995" s="24"/>
      <c r="AK995" s="61"/>
      <c r="AL995" s="16"/>
      <c r="AM995" s="16"/>
      <c r="AN995" s="16"/>
      <c r="AO995" s="16"/>
      <c r="AP995" s="16"/>
      <c r="AQ995" s="17"/>
      <c r="AU995" s="24"/>
      <c r="AV995" s="61"/>
      <c r="AW995" s="16"/>
      <c r="AX995" s="16"/>
      <c r="AY995" s="16"/>
      <c r="AZ995" s="16"/>
      <c r="BA995" s="16"/>
      <c r="BB995" s="17"/>
      <c r="BF995" s="24"/>
      <c r="BG995" s="61"/>
      <c r="BH995" s="16"/>
      <c r="BI995" s="16"/>
      <c r="BJ995" s="16"/>
      <c r="BK995" s="16"/>
      <c r="BL995" s="16"/>
      <c r="BM995" s="17"/>
      <c r="BQ995" s="24"/>
      <c r="BR995" s="61"/>
      <c r="BS995" s="16"/>
      <c r="BT995" s="16"/>
      <c r="BU995" s="16"/>
      <c r="BV995" s="16"/>
      <c r="BW995" s="16"/>
      <c r="BX995" s="17"/>
      <c r="CB995" s="24"/>
      <c r="CC995" s="61"/>
      <c r="CD995" s="16"/>
      <c r="CE995" s="16"/>
      <c r="CF995" s="16"/>
      <c r="CG995" s="16"/>
      <c r="CH995" s="16"/>
      <c r="CI995" s="17"/>
      <c r="CM995" s="24"/>
      <c r="CN995" s="61"/>
      <c r="CO995" s="16"/>
      <c r="CP995" s="16"/>
      <c r="CQ995" s="16"/>
      <c r="CR995" s="16"/>
      <c r="CS995" s="16"/>
      <c r="CT995" s="17"/>
      <c r="CX995" s="24"/>
      <c r="CY995" s="60"/>
      <c r="CZ995" s="16"/>
      <c r="DA995" s="16"/>
      <c r="DB995" s="16"/>
      <c r="DC995" s="16"/>
      <c r="DD995" s="16"/>
      <c r="DE995" s="17"/>
      <c r="DI995" s="24"/>
      <c r="DJ995" s="60"/>
      <c r="DK995" s="16"/>
      <c r="DL995" s="16"/>
      <c r="DM995" s="16"/>
      <c r="DN995" s="16"/>
      <c r="DO995" s="16"/>
      <c r="DP995" s="17"/>
      <c r="DT995" s="24"/>
      <c r="DU995" s="60"/>
      <c r="DV995" s="16"/>
      <c r="DW995" s="16"/>
      <c r="DX995" s="16"/>
      <c r="DY995" s="16"/>
      <c r="DZ995" s="16"/>
      <c r="EA995" s="17"/>
      <c r="EE995" s="24"/>
      <c r="EF995" s="60"/>
      <c r="EG995" s="16"/>
      <c r="EH995" s="16"/>
      <c r="EI995" s="16"/>
      <c r="EJ995" s="16"/>
      <c r="EK995" s="16"/>
      <c r="EL995" s="17"/>
      <c r="EP995" s="24"/>
      <c r="EQ995" s="60"/>
      <c r="ER995" s="16"/>
      <c r="ES995" s="16"/>
      <c r="ET995" s="16"/>
      <c r="EU995" s="16"/>
      <c r="EV995" s="16"/>
      <c r="EW995" s="17"/>
      <c r="FA995" s="24"/>
      <c r="FB995" s="60"/>
      <c r="FC995" s="16"/>
      <c r="FD995" s="16"/>
      <c r="FE995" s="16"/>
      <c r="FF995" s="16"/>
      <c r="FG995" s="16"/>
      <c r="FH995" s="17"/>
      <c r="FL995" s="24"/>
      <c r="FM995" s="60"/>
      <c r="FN995" s="16"/>
      <c r="FO995" s="16"/>
      <c r="FP995" s="16"/>
      <c r="FQ995" s="16"/>
      <c r="FR995" s="16"/>
      <c r="FS995" s="17"/>
      <c r="FW995" s="24"/>
      <c r="FX995" s="60"/>
      <c r="FY995" s="16"/>
      <c r="FZ995" s="16"/>
      <c r="GA995" s="16"/>
      <c r="GB995" s="16"/>
      <c r="GC995" s="16"/>
      <c r="GD995" s="17"/>
      <c r="GH995" s="24"/>
      <c r="GI995" s="60"/>
      <c r="GJ995" s="16"/>
      <c r="GK995" s="16"/>
      <c r="GL995" s="16"/>
      <c r="GM995" s="16"/>
      <c r="GN995" s="16"/>
      <c r="GO995" s="17"/>
      <c r="GS995" s="24"/>
      <c r="GT995" s="60"/>
      <c r="GU995" s="16"/>
      <c r="GV995" s="16"/>
      <c r="GW995" s="16"/>
      <c r="GX995" s="16"/>
      <c r="GY995" s="16"/>
      <c r="GZ995" s="17"/>
      <c r="HD995" s="24"/>
      <c r="HE995" s="60"/>
      <c r="HF995" s="16"/>
      <c r="HG995" s="16"/>
      <c r="HH995" s="16"/>
      <c r="HI995" s="16"/>
      <c r="HJ995" s="16"/>
      <c r="HK995" s="17"/>
      <c r="HO995" s="24"/>
      <c r="HP995" s="60"/>
      <c r="HQ995" s="16"/>
      <c r="HR995" s="16"/>
      <c r="HS995" s="16"/>
      <c r="HT995" s="16"/>
      <c r="HU995" s="16"/>
      <c r="HV995" s="17"/>
      <c r="HZ995" s="24"/>
      <c r="IA995" s="60"/>
      <c r="IB995" s="16"/>
      <c r="IC995" s="16"/>
      <c r="ID995" s="16"/>
      <c r="IE995" s="16"/>
      <c r="IF995" s="16"/>
      <c r="IG995" s="17"/>
      <c r="IK995" s="24"/>
      <c r="IL995" s="60"/>
      <c r="IM995" s="16"/>
      <c r="IN995" s="16"/>
      <c r="IO995" s="16"/>
      <c r="IP995" s="16"/>
      <c r="IQ995" s="16"/>
      <c r="IR995" s="17"/>
      <c r="IV995" s="24"/>
      <c r="IW995" s="60"/>
      <c r="IX995" s="16"/>
      <c r="IY995" s="16"/>
      <c r="IZ995" s="16"/>
      <c r="JA995" s="16"/>
      <c r="JB995" s="16"/>
      <c r="JC995" s="17"/>
      <c r="JG995" s="24"/>
      <c r="JH995" s="60"/>
      <c r="JI995" s="16"/>
      <c r="JJ995" s="16"/>
      <c r="JK995" s="16"/>
      <c r="JL995" s="16"/>
      <c r="JM995" s="16"/>
      <c r="JN995" s="17"/>
      <c r="JR995" s="24"/>
      <c r="JS995" s="60"/>
      <c r="JT995" s="16"/>
      <c r="JU995" s="16"/>
      <c r="JV995" s="16"/>
      <c r="JW995" s="16"/>
      <c r="JX995" s="16"/>
      <c r="JY995" s="17"/>
      <c r="KC995" s="24"/>
      <c r="KD995" s="60"/>
      <c r="KE995" s="16"/>
      <c r="KF995" s="16"/>
      <c r="KG995" s="16"/>
      <c r="KH995" s="16"/>
      <c r="KI995" s="16"/>
      <c r="KJ995" s="17"/>
      <c r="KN995" s="24"/>
      <c r="KO995" s="60"/>
      <c r="KP995" s="16"/>
      <c r="KQ995" s="16"/>
      <c r="KR995" s="16"/>
      <c r="KS995" s="16"/>
      <c r="KT995" s="16"/>
      <c r="KU995" s="17"/>
      <c r="KY995" s="24"/>
      <c r="KZ995" s="60"/>
      <c r="LA995" s="16"/>
      <c r="LB995" s="16"/>
      <c r="LC995" s="16"/>
      <c r="LD995" s="16"/>
      <c r="LE995" s="16"/>
      <c r="LF995" s="17"/>
      <c r="LJ995" s="24"/>
      <c r="LK995" s="60"/>
      <c r="LL995" s="16"/>
      <c r="LM995" s="16"/>
      <c r="LN995" s="16"/>
      <c r="LO995" s="16"/>
      <c r="LP995" s="16"/>
      <c r="LQ995" s="17"/>
    </row>
    <row r="996">
      <c r="C996" s="31"/>
      <c r="D996" s="61"/>
      <c r="E996" s="16"/>
      <c r="F996" s="16"/>
      <c r="G996" s="21"/>
      <c r="H996" s="16"/>
      <c r="I996" s="16"/>
      <c r="J996" s="17"/>
      <c r="N996" s="17"/>
      <c r="O996" s="61"/>
      <c r="P996" s="16"/>
      <c r="Q996" s="16"/>
      <c r="R996" s="16"/>
      <c r="S996" s="16"/>
      <c r="T996" s="16"/>
      <c r="U996" s="17"/>
      <c r="Y996" s="24"/>
      <c r="Z996" s="61"/>
      <c r="AA996" s="16"/>
      <c r="AB996" s="16"/>
      <c r="AC996" s="16"/>
      <c r="AD996" s="16"/>
      <c r="AE996" s="16"/>
      <c r="AF996" s="17"/>
      <c r="AJ996" s="24"/>
      <c r="AK996" s="61"/>
      <c r="AL996" s="16"/>
      <c r="AM996" s="16"/>
      <c r="AN996" s="16"/>
      <c r="AO996" s="16"/>
      <c r="AP996" s="16"/>
      <c r="AQ996" s="17"/>
      <c r="AU996" s="24"/>
      <c r="AV996" s="61"/>
      <c r="AW996" s="16"/>
      <c r="AX996" s="16"/>
      <c r="AY996" s="16"/>
      <c r="AZ996" s="16"/>
      <c r="BA996" s="16"/>
      <c r="BB996" s="17"/>
      <c r="BF996" s="24"/>
      <c r="BG996" s="61"/>
      <c r="BH996" s="16"/>
      <c r="BI996" s="16"/>
      <c r="BJ996" s="16"/>
      <c r="BK996" s="16"/>
      <c r="BL996" s="16"/>
      <c r="BM996" s="17"/>
      <c r="BQ996" s="24"/>
      <c r="BR996" s="61"/>
      <c r="BS996" s="16"/>
      <c r="BT996" s="16"/>
      <c r="BU996" s="16"/>
      <c r="BV996" s="16"/>
      <c r="BW996" s="16"/>
      <c r="BX996" s="17"/>
      <c r="CB996" s="24"/>
      <c r="CC996" s="61"/>
      <c r="CD996" s="16"/>
      <c r="CE996" s="16"/>
      <c r="CF996" s="16"/>
      <c r="CG996" s="16"/>
      <c r="CH996" s="16"/>
      <c r="CI996" s="17"/>
      <c r="CM996" s="24"/>
      <c r="CN996" s="61"/>
      <c r="CO996" s="16"/>
      <c r="CP996" s="16"/>
      <c r="CQ996" s="16"/>
      <c r="CR996" s="16"/>
      <c r="CS996" s="16"/>
      <c r="CT996" s="17"/>
      <c r="CX996" s="24"/>
      <c r="CY996" s="60"/>
      <c r="CZ996" s="16"/>
      <c r="DA996" s="16"/>
      <c r="DB996" s="16"/>
      <c r="DC996" s="16"/>
      <c r="DD996" s="16"/>
      <c r="DE996" s="17"/>
      <c r="DI996" s="24"/>
      <c r="DJ996" s="60"/>
      <c r="DK996" s="16"/>
      <c r="DL996" s="16"/>
      <c r="DM996" s="16"/>
      <c r="DN996" s="16"/>
      <c r="DO996" s="16"/>
      <c r="DP996" s="17"/>
      <c r="DT996" s="24"/>
      <c r="DU996" s="60"/>
      <c r="DV996" s="16"/>
      <c r="DW996" s="16"/>
      <c r="DX996" s="16"/>
      <c r="DY996" s="16"/>
      <c r="DZ996" s="16"/>
      <c r="EA996" s="17"/>
      <c r="EE996" s="24"/>
      <c r="EF996" s="60"/>
      <c r="EG996" s="16"/>
      <c r="EH996" s="16"/>
      <c r="EI996" s="16"/>
      <c r="EJ996" s="16"/>
      <c r="EK996" s="16"/>
      <c r="EL996" s="17"/>
      <c r="EP996" s="24"/>
      <c r="EQ996" s="60"/>
      <c r="ER996" s="16"/>
      <c r="ES996" s="16"/>
      <c r="ET996" s="16"/>
      <c r="EU996" s="16"/>
      <c r="EV996" s="16"/>
      <c r="EW996" s="17"/>
      <c r="FA996" s="24"/>
      <c r="FB996" s="60"/>
      <c r="FC996" s="16"/>
      <c r="FD996" s="16"/>
      <c r="FE996" s="16"/>
      <c r="FF996" s="16"/>
      <c r="FG996" s="16"/>
      <c r="FH996" s="17"/>
      <c r="FL996" s="24"/>
      <c r="FM996" s="60"/>
      <c r="FN996" s="16"/>
      <c r="FO996" s="16"/>
      <c r="FP996" s="16"/>
      <c r="FQ996" s="16"/>
      <c r="FR996" s="16"/>
      <c r="FS996" s="17"/>
      <c r="FW996" s="24"/>
      <c r="FX996" s="60"/>
      <c r="FY996" s="16"/>
      <c r="FZ996" s="16"/>
      <c r="GA996" s="16"/>
      <c r="GB996" s="16"/>
      <c r="GC996" s="16"/>
      <c r="GD996" s="17"/>
      <c r="GH996" s="24"/>
      <c r="GI996" s="60"/>
      <c r="GJ996" s="16"/>
      <c r="GK996" s="16"/>
      <c r="GL996" s="16"/>
      <c r="GM996" s="16"/>
      <c r="GN996" s="16"/>
      <c r="GO996" s="17"/>
      <c r="GS996" s="24"/>
      <c r="GT996" s="60"/>
      <c r="GU996" s="16"/>
      <c r="GV996" s="16"/>
      <c r="GW996" s="16"/>
      <c r="GX996" s="16"/>
      <c r="GY996" s="16"/>
      <c r="GZ996" s="17"/>
      <c r="HD996" s="24"/>
      <c r="HE996" s="60"/>
      <c r="HF996" s="16"/>
      <c r="HG996" s="16"/>
      <c r="HH996" s="16"/>
      <c r="HI996" s="16"/>
      <c r="HJ996" s="16"/>
      <c r="HK996" s="17"/>
      <c r="HO996" s="24"/>
      <c r="HP996" s="60"/>
      <c r="HQ996" s="16"/>
      <c r="HR996" s="16"/>
      <c r="HS996" s="16"/>
      <c r="HT996" s="16"/>
      <c r="HU996" s="16"/>
      <c r="HV996" s="17"/>
      <c r="HZ996" s="24"/>
      <c r="IA996" s="60"/>
      <c r="IB996" s="16"/>
      <c r="IC996" s="16"/>
      <c r="ID996" s="16"/>
      <c r="IE996" s="16"/>
      <c r="IF996" s="16"/>
      <c r="IG996" s="17"/>
      <c r="IK996" s="24"/>
      <c r="IL996" s="60"/>
      <c r="IM996" s="16"/>
      <c r="IN996" s="16"/>
      <c r="IO996" s="16"/>
      <c r="IP996" s="16"/>
      <c r="IQ996" s="16"/>
      <c r="IR996" s="17"/>
      <c r="IV996" s="24"/>
      <c r="IW996" s="60"/>
      <c r="IX996" s="16"/>
      <c r="IY996" s="16"/>
      <c r="IZ996" s="16"/>
      <c r="JA996" s="16"/>
      <c r="JB996" s="16"/>
      <c r="JC996" s="17"/>
      <c r="JG996" s="24"/>
      <c r="JH996" s="60"/>
      <c r="JI996" s="16"/>
      <c r="JJ996" s="16"/>
      <c r="JK996" s="16"/>
      <c r="JL996" s="16"/>
      <c r="JM996" s="16"/>
      <c r="JN996" s="17"/>
      <c r="JR996" s="24"/>
      <c r="JS996" s="60"/>
      <c r="JT996" s="16"/>
      <c r="JU996" s="16"/>
      <c r="JV996" s="16"/>
      <c r="JW996" s="16"/>
      <c r="JX996" s="16"/>
      <c r="JY996" s="17"/>
      <c r="KC996" s="24"/>
      <c r="KD996" s="60"/>
      <c r="KE996" s="16"/>
      <c r="KF996" s="16"/>
      <c r="KG996" s="16"/>
      <c r="KH996" s="16"/>
      <c r="KI996" s="16"/>
      <c r="KJ996" s="17"/>
      <c r="KN996" s="24"/>
      <c r="KO996" s="60"/>
      <c r="KP996" s="16"/>
      <c r="KQ996" s="16"/>
      <c r="KR996" s="16"/>
      <c r="KS996" s="16"/>
      <c r="KT996" s="16"/>
      <c r="KU996" s="17"/>
      <c r="KY996" s="24"/>
      <c r="KZ996" s="60"/>
      <c r="LA996" s="16"/>
      <c r="LB996" s="16"/>
      <c r="LC996" s="16"/>
      <c r="LD996" s="16"/>
      <c r="LE996" s="16"/>
      <c r="LF996" s="17"/>
      <c r="LJ996" s="24"/>
      <c r="LK996" s="60"/>
      <c r="LL996" s="16"/>
      <c r="LM996" s="16"/>
      <c r="LN996" s="16"/>
      <c r="LO996" s="16"/>
      <c r="LP996" s="16"/>
      <c r="LQ996" s="17"/>
    </row>
    <row r="997">
      <c r="C997" s="31"/>
      <c r="D997" s="61"/>
      <c r="E997" s="16"/>
      <c r="F997" s="16"/>
      <c r="G997" s="21"/>
      <c r="H997" s="16"/>
      <c r="I997" s="16"/>
      <c r="J997" s="17"/>
      <c r="N997" s="17"/>
      <c r="O997" s="61"/>
      <c r="P997" s="16"/>
      <c r="Q997" s="16"/>
      <c r="R997" s="16"/>
      <c r="S997" s="16"/>
      <c r="T997" s="16"/>
      <c r="U997" s="17"/>
      <c r="Y997" s="24"/>
      <c r="Z997" s="61"/>
      <c r="AA997" s="16"/>
      <c r="AB997" s="16"/>
      <c r="AC997" s="16"/>
      <c r="AD997" s="16"/>
      <c r="AE997" s="16"/>
      <c r="AF997" s="17"/>
      <c r="AJ997" s="24"/>
      <c r="AK997" s="61"/>
      <c r="AL997" s="16"/>
      <c r="AM997" s="16"/>
      <c r="AN997" s="16"/>
      <c r="AO997" s="16"/>
      <c r="AP997" s="16"/>
      <c r="AQ997" s="17"/>
      <c r="AU997" s="24"/>
      <c r="AV997" s="61"/>
      <c r="AW997" s="16"/>
      <c r="AX997" s="16"/>
      <c r="AY997" s="16"/>
      <c r="AZ997" s="16"/>
      <c r="BA997" s="16"/>
      <c r="BB997" s="17"/>
      <c r="BF997" s="24"/>
      <c r="BG997" s="61"/>
      <c r="BH997" s="16"/>
      <c r="BI997" s="16"/>
      <c r="BJ997" s="16"/>
      <c r="BK997" s="16"/>
      <c r="BL997" s="16"/>
      <c r="BM997" s="17"/>
      <c r="BQ997" s="24"/>
      <c r="BR997" s="61"/>
      <c r="BS997" s="16"/>
      <c r="BT997" s="16"/>
      <c r="BU997" s="16"/>
      <c r="BV997" s="16"/>
      <c r="BW997" s="16"/>
      <c r="BX997" s="17"/>
      <c r="CB997" s="24"/>
      <c r="CC997" s="61"/>
      <c r="CD997" s="16"/>
      <c r="CE997" s="16"/>
      <c r="CF997" s="16"/>
      <c r="CG997" s="16"/>
      <c r="CH997" s="16"/>
      <c r="CI997" s="17"/>
      <c r="CM997" s="24"/>
      <c r="CN997" s="61"/>
      <c r="CO997" s="16"/>
      <c r="CP997" s="16"/>
      <c r="CQ997" s="16"/>
      <c r="CR997" s="16"/>
      <c r="CS997" s="16"/>
      <c r="CT997" s="17"/>
      <c r="CX997" s="24"/>
      <c r="CY997" s="60"/>
      <c r="CZ997" s="16"/>
      <c r="DA997" s="16"/>
      <c r="DB997" s="16"/>
      <c r="DC997" s="16"/>
      <c r="DD997" s="16"/>
      <c r="DE997" s="17"/>
      <c r="DI997" s="24"/>
      <c r="DJ997" s="60"/>
      <c r="DK997" s="16"/>
      <c r="DL997" s="16"/>
      <c r="DM997" s="16"/>
      <c r="DN997" s="16"/>
      <c r="DO997" s="16"/>
      <c r="DP997" s="17"/>
      <c r="DT997" s="24"/>
      <c r="DU997" s="60"/>
      <c r="DV997" s="16"/>
      <c r="DW997" s="16"/>
      <c r="DX997" s="16"/>
      <c r="DY997" s="16"/>
      <c r="DZ997" s="16"/>
      <c r="EA997" s="17"/>
      <c r="EE997" s="24"/>
      <c r="EF997" s="60"/>
      <c r="EG997" s="16"/>
      <c r="EH997" s="16"/>
      <c r="EI997" s="16"/>
      <c r="EJ997" s="16"/>
      <c r="EK997" s="16"/>
      <c r="EL997" s="17"/>
      <c r="EP997" s="24"/>
      <c r="EQ997" s="60"/>
      <c r="ER997" s="16"/>
      <c r="ES997" s="16"/>
      <c r="ET997" s="16"/>
      <c r="EU997" s="16"/>
      <c r="EV997" s="16"/>
      <c r="EW997" s="17"/>
      <c r="FA997" s="24"/>
      <c r="FB997" s="60"/>
      <c r="FC997" s="16"/>
      <c r="FD997" s="16"/>
      <c r="FE997" s="16"/>
      <c r="FF997" s="16"/>
      <c r="FG997" s="16"/>
      <c r="FH997" s="17"/>
      <c r="FL997" s="24"/>
      <c r="FM997" s="60"/>
      <c r="FN997" s="16"/>
      <c r="FO997" s="16"/>
      <c r="FP997" s="16"/>
      <c r="FQ997" s="16"/>
      <c r="FR997" s="16"/>
      <c r="FS997" s="17"/>
      <c r="FW997" s="24"/>
      <c r="FX997" s="60"/>
      <c r="FY997" s="16"/>
      <c r="FZ997" s="16"/>
      <c r="GA997" s="16"/>
      <c r="GB997" s="16"/>
      <c r="GC997" s="16"/>
      <c r="GD997" s="17"/>
      <c r="GH997" s="24"/>
      <c r="GI997" s="60"/>
      <c r="GJ997" s="16"/>
      <c r="GK997" s="16"/>
      <c r="GL997" s="16"/>
      <c r="GM997" s="16"/>
      <c r="GN997" s="16"/>
      <c r="GO997" s="17"/>
      <c r="GS997" s="24"/>
      <c r="GT997" s="60"/>
      <c r="GU997" s="16"/>
      <c r="GV997" s="16"/>
      <c r="GW997" s="16"/>
      <c r="GX997" s="16"/>
      <c r="GY997" s="16"/>
      <c r="GZ997" s="17"/>
      <c r="HD997" s="24"/>
      <c r="HE997" s="60"/>
      <c r="HF997" s="16"/>
      <c r="HG997" s="16"/>
      <c r="HH997" s="16"/>
      <c r="HI997" s="16"/>
      <c r="HJ997" s="16"/>
      <c r="HK997" s="17"/>
      <c r="HO997" s="24"/>
      <c r="HP997" s="60"/>
      <c r="HQ997" s="16"/>
      <c r="HR997" s="16"/>
      <c r="HS997" s="16"/>
      <c r="HT997" s="16"/>
      <c r="HU997" s="16"/>
      <c r="HV997" s="17"/>
      <c r="HZ997" s="24"/>
      <c r="IA997" s="60"/>
      <c r="IB997" s="16"/>
      <c r="IC997" s="16"/>
      <c r="ID997" s="16"/>
      <c r="IE997" s="16"/>
      <c r="IF997" s="16"/>
      <c r="IG997" s="17"/>
      <c r="IK997" s="24"/>
      <c r="IL997" s="60"/>
      <c r="IM997" s="16"/>
      <c r="IN997" s="16"/>
      <c r="IO997" s="16"/>
      <c r="IP997" s="16"/>
      <c r="IQ997" s="16"/>
      <c r="IR997" s="17"/>
      <c r="IV997" s="24"/>
      <c r="IW997" s="60"/>
      <c r="IX997" s="16"/>
      <c r="IY997" s="16"/>
      <c r="IZ997" s="16"/>
      <c r="JA997" s="16"/>
      <c r="JB997" s="16"/>
      <c r="JC997" s="17"/>
      <c r="JG997" s="24"/>
      <c r="JH997" s="60"/>
      <c r="JI997" s="16"/>
      <c r="JJ997" s="16"/>
      <c r="JK997" s="16"/>
      <c r="JL997" s="16"/>
      <c r="JM997" s="16"/>
      <c r="JN997" s="17"/>
      <c r="JR997" s="24"/>
      <c r="JS997" s="60"/>
      <c r="JT997" s="16"/>
      <c r="JU997" s="16"/>
      <c r="JV997" s="16"/>
      <c r="JW997" s="16"/>
      <c r="JX997" s="16"/>
      <c r="JY997" s="17"/>
      <c r="KC997" s="24"/>
      <c r="KD997" s="60"/>
      <c r="KE997" s="16"/>
      <c r="KF997" s="16"/>
      <c r="KG997" s="16"/>
      <c r="KH997" s="16"/>
      <c r="KI997" s="16"/>
      <c r="KJ997" s="17"/>
      <c r="KN997" s="24"/>
      <c r="KO997" s="60"/>
      <c r="KP997" s="16"/>
      <c r="KQ997" s="16"/>
      <c r="KR997" s="16"/>
      <c r="KS997" s="16"/>
      <c r="KT997" s="16"/>
      <c r="KU997" s="17"/>
      <c r="KY997" s="24"/>
      <c r="KZ997" s="60"/>
      <c r="LA997" s="16"/>
      <c r="LB997" s="16"/>
      <c r="LC997" s="16"/>
      <c r="LD997" s="16"/>
      <c r="LE997" s="16"/>
      <c r="LF997" s="17"/>
      <c r="LJ997" s="24"/>
      <c r="LK997" s="60"/>
      <c r="LL997" s="16"/>
      <c r="LM997" s="16"/>
      <c r="LN997" s="16"/>
      <c r="LO997" s="16"/>
      <c r="LP997" s="16"/>
      <c r="LQ997" s="17"/>
    </row>
    <row r="998">
      <c r="C998" s="31"/>
      <c r="D998" s="61"/>
      <c r="E998" s="16"/>
      <c r="F998" s="16"/>
      <c r="G998" s="21"/>
      <c r="H998" s="16"/>
      <c r="I998" s="16"/>
      <c r="J998" s="17"/>
      <c r="N998" s="17"/>
      <c r="O998" s="61"/>
      <c r="P998" s="16"/>
      <c r="Q998" s="16"/>
      <c r="R998" s="16"/>
      <c r="S998" s="16"/>
      <c r="T998" s="16"/>
      <c r="U998" s="17"/>
      <c r="Y998" s="24"/>
      <c r="Z998" s="61"/>
      <c r="AA998" s="16"/>
      <c r="AB998" s="16"/>
      <c r="AC998" s="16"/>
      <c r="AD998" s="16"/>
      <c r="AE998" s="16"/>
      <c r="AF998" s="17"/>
      <c r="AJ998" s="24"/>
      <c r="AK998" s="61"/>
      <c r="AL998" s="16"/>
      <c r="AM998" s="16"/>
      <c r="AN998" s="16"/>
      <c r="AO998" s="16"/>
      <c r="AP998" s="16"/>
      <c r="AQ998" s="17"/>
      <c r="AU998" s="24"/>
      <c r="AV998" s="61"/>
      <c r="AW998" s="16"/>
      <c r="AX998" s="16"/>
      <c r="AY998" s="16"/>
      <c r="AZ998" s="16"/>
      <c r="BA998" s="16"/>
      <c r="BB998" s="17"/>
      <c r="BF998" s="24"/>
      <c r="BG998" s="61"/>
      <c r="BH998" s="16"/>
      <c r="BI998" s="16"/>
      <c r="BJ998" s="16"/>
      <c r="BK998" s="16"/>
      <c r="BL998" s="16"/>
      <c r="BM998" s="17"/>
      <c r="BQ998" s="24"/>
      <c r="BR998" s="61"/>
      <c r="BS998" s="16"/>
      <c r="BT998" s="16"/>
      <c r="BU998" s="16"/>
      <c r="BV998" s="16"/>
      <c r="BW998" s="16"/>
      <c r="BX998" s="17"/>
      <c r="CB998" s="24"/>
      <c r="CC998" s="61"/>
      <c r="CD998" s="16"/>
      <c r="CE998" s="16"/>
      <c r="CF998" s="16"/>
      <c r="CG998" s="16"/>
      <c r="CH998" s="16"/>
      <c r="CI998" s="17"/>
      <c r="CM998" s="24"/>
      <c r="CN998" s="61"/>
      <c r="CO998" s="16"/>
      <c r="CP998" s="16"/>
      <c r="CQ998" s="16"/>
      <c r="CR998" s="16"/>
      <c r="CS998" s="16"/>
      <c r="CT998" s="17"/>
      <c r="CX998" s="24"/>
      <c r="CY998" s="60"/>
      <c r="CZ998" s="16"/>
      <c r="DA998" s="16"/>
      <c r="DB998" s="16"/>
      <c r="DC998" s="16"/>
      <c r="DD998" s="16"/>
      <c r="DE998" s="17"/>
      <c r="DI998" s="24"/>
      <c r="DJ998" s="60"/>
      <c r="DK998" s="16"/>
      <c r="DL998" s="16"/>
      <c r="DM998" s="16"/>
      <c r="DN998" s="16"/>
      <c r="DO998" s="16"/>
      <c r="DP998" s="17"/>
      <c r="DT998" s="24"/>
      <c r="DU998" s="60"/>
      <c r="DV998" s="16"/>
      <c r="DW998" s="16"/>
      <c r="DX998" s="16"/>
      <c r="DY998" s="16"/>
      <c r="DZ998" s="16"/>
      <c r="EA998" s="17"/>
      <c r="EE998" s="24"/>
      <c r="EF998" s="60"/>
      <c r="EG998" s="16"/>
      <c r="EH998" s="16"/>
      <c r="EI998" s="16"/>
      <c r="EJ998" s="16"/>
      <c r="EK998" s="16"/>
      <c r="EL998" s="17"/>
      <c r="EP998" s="24"/>
      <c r="EQ998" s="60"/>
      <c r="ER998" s="16"/>
      <c r="ES998" s="16"/>
      <c r="ET998" s="16"/>
      <c r="EU998" s="16"/>
      <c r="EV998" s="16"/>
      <c r="EW998" s="17"/>
      <c r="FA998" s="24"/>
      <c r="FB998" s="60"/>
      <c r="FC998" s="16"/>
      <c r="FD998" s="16"/>
      <c r="FE998" s="16"/>
      <c r="FF998" s="16"/>
      <c r="FG998" s="16"/>
      <c r="FH998" s="17"/>
      <c r="FL998" s="24"/>
      <c r="FM998" s="60"/>
      <c r="FN998" s="16"/>
      <c r="FO998" s="16"/>
      <c r="FP998" s="16"/>
      <c r="FQ998" s="16"/>
      <c r="FR998" s="16"/>
      <c r="FS998" s="17"/>
      <c r="FW998" s="24"/>
      <c r="FX998" s="60"/>
      <c r="FY998" s="16"/>
      <c r="FZ998" s="16"/>
      <c r="GA998" s="16"/>
      <c r="GB998" s="16"/>
      <c r="GC998" s="16"/>
      <c r="GD998" s="17"/>
      <c r="GH998" s="24"/>
      <c r="GI998" s="60"/>
      <c r="GJ998" s="16"/>
      <c r="GK998" s="16"/>
      <c r="GL998" s="16"/>
      <c r="GM998" s="16"/>
      <c r="GN998" s="16"/>
      <c r="GO998" s="17"/>
      <c r="GS998" s="24"/>
      <c r="GT998" s="60"/>
      <c r="GU998" s="16"/>
      <c r="GV998" s="16"/>
      <c r="GW998" s="16"/>
      <c r="GX998" s="16"/>
      <c r="GY998" s="16"/>
      <c r="GZ998" s="17"/>
      <c r="HD998" s="24"/>
      <c r="HE998" s="60"/>
      <c r="HF998" s="16"/>
      <c r="HG998" s="16"/>
      <c r="HH998" s="16"/>
      <c r="HI998" s="16"/>
      <c r="HJ998" s="16"/>
      <c r="HK998" s="17"/>
      <c r="HO998" s="24"/>
      <c r="HP998" s="60"/>
      <c r="HQ998" s="16"/>
      <c r="HR998" s="16"/>
      <c r="HS998" s="16"/>
      <c r="HT998" s="16"/>
      <c r="HU998" s="16"/>
      <c r="HV998" s="17"/>
      <c r="HZ998" s="24"/>
      <c r="IA998" s="60"/>
      <c r="IB998" s="16"/>
      <c r="IC998" s="16"/>
      <c r="ID998" s="16"/>
      <c r="IE998" s="16"/>
      <c r="IF998" s="16"/>
      <c r="IG998" s="17"/>
      <c r="IK998" s="24"/>
      <c r="IL998" s="60"/>
      <c r="IM998" s="16"/>
      <c r="IN998" s="16"/>
      <c r="IO998" s="16"/>
      <c r="IP998" s="16"/>
      <c r="IQ998" s="16"/>
      <c r="IR998" s="17"/>
      <c r="IV998" s="24"/>
      <c r="IW998" s="60"/>
      <c r="IX998" s="16"/>
      <c r="IY998" s="16"/>
      <c r="IZ998" s="16"/>
      <c r="JA998" s="16"/>
      <c r="JB998" s="16"/>
      <c r="JC998" s="17"/>
      <c r="JG998" s="24"/>
      <c r="JH998" s="60"/>
      <c r="JI998" s="16"/>
      <c r="JJ998" s="16"/>
      <c r="JK998" s="16"/>
      <c r="JL998" s="16"/>
      <c r="JM998" s="16"/>
      <c r="JN998" s="17"/>
      <c r="JR998" s="24"/>
      <c r="JS998" s="60"/>
      <c r="JT998" s="16"/>
      <c r="JU998" s="16"/>
      <c r="JV998" s="16"/>
      <c r="JW998" s="16"/>
      <c r="JX998" s="16"/>
      <c r="JY998" s="17"/>
      <c r="KC998" s="24"/>
      <c r="KD998" s="60"/>
      <c r="KE998" s="16"/>
      <c r="KF998" s="16"/>
      <c r="KG998" s="16"/>
      <c r="KH998" s="16"/>
      <c r="KI998" s="16"/>
      <c r="KJ998" s="17"/>
      <c r="KN998" s="24"/>
      <c r="KO998" s="60"/>
      <c r="KP998" s="16"/>
      <c r="KQ998" s="16"/>
      <c r="KR998" s="16"/>
      <c r="KS998" s="16"/>
      <c r="KT998" s="16"/>
      <c r="KU998" s="17"/>
      <c r="KY998" s="24"/>
      <c r="KZ998" s="60"/>
      <c r="LA998" s="16"/>
      <c r="LB998" s="16"/>
      <c r="LC998" s="16"/>
      <c r="LD998" s="16"/>
      <c r="LE998" s="16"/>
      <c r="LF998" s="17"/>
      <c r="LJ998" s="24"/>
      <c r="LK998" s="60"/>
      <c r="LL998" s="16"/>
      <c r="LM998" s="16"/>
      <c r="LN998" s="16"/>
      <c r="LO998" s="16"/>
      <c r="LP998" s="16"/>
      <c r="LQ998" s="17"/>
    </row>
    <row r="999">
      <c r="C999" s="31"/>
      <c r="D999" s="61"/>
      <c r="E999" s="16"/>
      <c r="F999" s="16"/>
      <c r="G999" s="21"/>
      <c r="H999" s="16"/>
      <c r="I999" s="16"/>
      <c r="J999" s="17"/>
      <c r="N999" s="17"/>
      <c r="O999" s="61"/>
      <c r="P999" s="16"/>
      <c r="Q999" s="16"/>
      <c r="R999" s="16"/>
      <c r="S999" s="16"/>
      <c r="T999" s="16"/>
      <c r="U999" s="17"/>
      <c r="Y999" s="24"/>
      <c r="Z999" s="61"/>
      <c r="AA999" s="16"/>
      <c r="AB999" s="16"/>
      <c r="AC999" s="16"/>
      <c r="AD999" s="16"/>
      <c r="AE999" s="16"/>
      <c r="AF999" s="17"/>
      <c r="AJ999" s="24"/>
      <c r="AK999" s="61"/>
      <c r="AL999" s="16"/>
      <c r="AM999" s="16"/>
      <c r="AN999" s="16"/>
      <c r="AO999" s="16"/>
      <c r="AP999" s="16"/>
      <c r="AQ999" s="17"/>
      <c r="AU999" s="24"/>
      <c r="AV999" s="61"/>
      <c r="AW999" s="16"/>
      <c r="AX999" s="16"/>
      <c r="AY999" s="16"/>
      <c r="AZ999" s="16"/>
      <c r="BA999" s="16"/>
      <c r="BB999" s="17"/>
      <c r="BF999" s="24"/>
      <c r="BG999" s="61"/>
      <c r="BH999" s="16"/>
      <c r="BI999" s="16"/>
      <c r="BJ999" s="16"/>
      <c r="BK999" s="16"/>
      <c r="BL999" s="16"/>
      <c r="BM999" s="17"/>
      <c r="BQ999" s="24"/>
      <c r="BR999" s="61"/>
      <c r="BS999" s="16"/>
      <c r="BT999" s="16"/>
      <c r="BU999" s="16"/>
      <c r="BV999" s="16"/>
      <c r="BW999" s="16"/>
      <c r="BX999" s="17"/>
      <c r="CB999" s="24"/>
      <c r="CC999" s="61"/>
      <c r="CD999" s="16"/>
      <c r="CE999" s="16"/>
      <c r="CF999" s="16"/>
      <c r="CG999" s="16"/>
      <c r="CH999" s="16"/>
      <c r="CI999" s="17"/>
      <c r="CM999" s="24"/>
      <c r="CN999" s="61"/>
      <c r="CO999" s="16"/>
      <c r="CP999" s="16"/>
      <c r="CQ999" s="16"/>
      <c r="CR999" s="16"/>
      <c r="CS999" s="16"/>
      <c r="CT999" s="17"/>
      <c r="CX999" s="24"/>
      <c r="CY999" s="60"/>
      <c r="CZ999" s="16"/>
      <c r="DA999" s="16"/>
      <c r="DB999" s="16"/>
      <c r="DC999" s="16"/>
      <c r="DD999" s="16"/>
      <c r="DE999" s="17"/>
      <c r="DI999" s="24"/>
      <c r="DJ999" s="60"/>
      <c r="DK999" s="16"/>
      <c r="DL999" s="16"/>
      <c r="DM999" s="16"/>
      <c r="DN999" s="16"/>
      <c r="DO999" s="16"/>
      <c r="DP999" s="17"/>
      <c r="DT999" s="24"/>
      <c r="DU999" s="60"/>
      <c r="DV999" s="16"/>
      <c r="DW999" s="16"/>
      <c r="DX999" s="16"/>
      <c r="DY999" s="16"/>
      <c r="DZ999" s="16"/>
      <c r="EA999" s="17"/>
      <c r="EE999" s="24"/>
      <c r="EF999" s="60"/>
      <c r="EG999" s="16"/>
      <c r="EH999" s="16"/>
      <c r="EI999" s="16"/>
      <c r="EJ999" s="16"/>
      <c r="EK999" s="16"/>
      <c r="EL999" s="17"/>
      <c r="EP999" s="24"/>
      <c r="EQ999" s="60"/>
      <c r="ER999" s="16"/>
      <c r="ES999" s="16"/>
      <c r="ET999" s="16"/>
      <c r="EU999" s="16"/>
      <c r="EV999" s="16"/>
      <c r="EW999" s="17"/>
      <c r="FA999" s="24"/>
      <c r="FB999" s="60"/>
      <c r="FC999" s="16"/>
      <c r="FD999" s="16"/>
      <c r="FE999" s="16"/>
      <c r="FF999" s="16"/>
      <c r="FG999" s="16"/>
      <c r="FH999" s="17"/>
      <c r="FL999" s="24"/>
      <c r="FM999" s="60"/>
      <c r="FN999" s="16"/>
      <c r="FO999" s="16"/>
      <c r="FP999" s="16"/>
      <c r="FQ999" s="16"/>
      <c r="FR999" s="16"/>
      <c r="FS999" s="17"/>
      <c r="FW999" s="24"/>
      <c r="FX999" s="60"/>
      <c r="FY999" s="16"/>
      <c r="FZ999" s="16"/>
      <c r="GA999" s="16"/>
      <c r="GB999" s="16"/>
      <c r="GC999" s="16"/>
      <c r="GD999" s="17"/>
      <c r="GH999" s="24"/>
      <c r="GI999" s="60"/>
      <c r="GJ999" s="16"/>
      <c r="GK999" s="16"/>
      <c r="GL999" s="16"/>
      <c r="GM999" s="16"/>
      <c r="GN999" s="16"/>
      <c r="GO999" s="17"/>
      <c r="GS999" s="24"/>
      <c r="GT999" s="60"/>
      <c r="GU999" s="16"/>
      <c r="GV999" s="16"/>
      <c r="GW999" s="16"/>
      <c r="GX999" s="16"/>
      <c r="GY999" s="16"/>
      <c r="GZ999" s="17"/>
      <c r="HD999" s="24"/>
      <c r="HE999" s="60"/>
      <c r="HF999" s="16"/>
      <c r="HG999" s="16"/>
      <c r="HH999" s="16"/>
      <c r="HI999" s="16"/>
      <c r="HJ999" s="16"/>
      <c r="HK999" s="17"/>
      <c r="HO999" s="24"/>
      <c r="HP999" s="60"/>
      <c r="HQ999" s="16"/>
      <c r="HR999" s="16"/>
      <c r="HS999" s="16"/>
      <c r="HT999" s="16"/>
      <c r="HU999" s="16"/>
      <c r="HV999" s="17"/>
      <c r="HZ999" s="24"/>
      <c r="IA999" s="60"/>
      <c r="IB999" s="16"/>
      <c r="IC999" s="16"/>
      <c r="ID999" s="16"/>
      <c r="IE999" s="16"/>
      <c r="IF999" s="16"/>
      <c r="IG999" s="17"/>
      <c r="IK999" s="24"/>
      <c r="IL999" s="60"/>
      <c r="IM999" s="16"/>
      <c r="IN999" s="16"/>
      <c r="IO999" s="16"/>
      <c r="IP999" s="16"/>
      <c r="IQ999" s="16"/>
      <c r="IR999" s="17"/>
      <c r="IV999" s="24"/>
      <c r="IW999" s="60"/>
      <c r="IX999" s="16"/>
      <c r="IY999" s="16"/>
      <c r="IZ999" s="16"/>
      <c r="JA999" s="16"/>
      <c r="JB999" s="16"/>
      <c r="JC999" s="17"/>
      <c r="JG999" s="24"/>
      <c r="JH999" s="60"/>
      <c r="JI999" s="16"/>
      <c r="JJ999" s="16"/>
      <c r="JK999" s="16"/>
      <c r="JL999" s="16"/>
      <c r="JM999" s="16"/>
      <c r="JN999" s="17"/>
      <c r="JR999" s="24"/>
      <c r="JS999" s="60"/>
      <c r="JT999" s="16"/>
      <c r="JU999" s="16"/>
      <c r="JV999" s="16"/>
      <c r="JW999" s="16"/>
      <c r="JX999" s="16"/>
      <c r="JY999" s="17"/>
      <c r="KC999" s="24"/>
      <c r="KD999" s="60"/>
      <c r="KE999" s="16"/>
      <c r="KF999" s="16"/>
      <c r="KG999" s="16"/>
      <c r="KH999" s="16"/>
      <c r="KI999" s="16"/>
      <c r="KJ999" s="17"/>
      <c r="KN999" s="24"/>
      <c r="KO999" s="60"/>
      <c r="KP999" s="16"/>
      <c r="KQ999" s="16"/>
      <c r="KR999" s="16"/>
      <c r="KS999" s="16"/>
      <c r="KT999" s="16"/>
      <c r="KU999" s="17"/>
      <c r="KY999" s="24"/>
      <c r="KZ999" s="60"/>
      <c r="LA999" s="16"/>
      <c r="LB999" s="16"/>
      <c r="LC999" s="16"/>
      <c r="LD999" s="16"/>
      <c r="LE999" s="16"/>
      <c r="LF999" s="17"/>
      <c r="LJ999" s="24"/>
      <c r="LK999" s="60"/>
      <c r="LL999" s="16"/>
      <c r="LM999" s="16"/>
      <c r="LN999" s="16"/>
      <c r="LO999" s="16"/>
      <c r="LP999" s="16"/>
      <c r="LQ999" s="17"/>
    </row>
    <row r="1000">
      <c r="C1000" s="31"/>
      <c r="D1000" s="61"/>
      <c r="E1000" s="16"/>
      <c r="F1000" s="16"/>
      <c r="G1000" s="21"/>
      <c r="H1000" s="16"/>
      <c r="I1000" s="16"/>
      <c r="J1000" s="17"/>
      <c r="N1000" s="17"/>
      <c r="O1000" s="61"/>
      <c r="P1000" s="16"/>
      <c r="Q1000" s="16"/>
      <c r="R1000" s="16"/>
      <c r="S1000" s="16"/>
      <c r="T1000" s="16"/>
      <c r="U1000" s="17"/>
      <c r="Y1000" s="24"/>
      <c r="Z1000" s="61"/>
      <c r="AA1000" s="16"/>
      <c r="AB1000" s="16"/>
      <c r="AC1000" s="16"/>
      <c r="AD1000" s="16"/>
      <c r="AE1000" s="16"/>
      <c r="AF1000" s="17"/>
      <c r="AJ1000" s="24"/>
      <c r="AK1000" s="61"/>
      <c r="AL1000" s="16"/>
      <c r="AM1000" s="16"/>
      <c r="AN1000" s="16"/>
      <c r="AO1000" s="16"/>
      <c r="AP1000" s="16"/>
      <c r="AQ1000" s="17"/>
      <c r="AU1000" s="24"/>
      <c r="AV1000" s="61"/>
      <c r="AW1000" s="16"/>
      <c r="AX1000" s="16"/>
      <c r="AY1000" s="16"/>
      <c r="AZ1000" s="16"/>
      <c r="BA1000" s="16"/>
      <c r="BB1000" s="17"/>
      <c r="BF1000" s="24"/>
      <c r="BG1000" s="61"/>
      <c r="BH1000" s="16"/>
      <c r="BI1000" s="16"/>
      <c r="BJ1000" s="16"/>
      <c r="BK1000" s="16"/>
      <c r="BL1000" s="16"/>
      <c r="BM1000" s="17"/>
      <c r="BQ1000" s="24"/>
      <c r="BR1000" s="61"/>
      <c r="BS1000" s="16"/>
      <c r="BT1000" s="16"/>
      <c r="BU1000" s="16"/>
      <c r="BV1000" s="16"/>
      <c r="BW1000" s="16"/>
      <c r="BX1000" s="17"/>
      <c r="CB1000" s="24"/>
      <c r="CC1000" s="61"/>
      <c r="CD1000" s="16"/>
      <c r="CE1000" s="16"/>
      <c r="CF1000" s="16"/>
      <c r="CG1000" s="16"/>
      <c r="CH1000" s="16"/>
      <c r="CI1000" s="17"/>
      <c r="CM1000" s="24"/>
      <c r="CN1000" s="61"/>
      <c r="CO1000" s="16"/>
      <c r="CP1000" s="16"/>
      <c r="CQ1000" s="16"/>
      <c r="CR1000" s="16"/>
      <c r="CS1000" s="16"/>
      <c r="CT1000" s="17"/>
      <c r="CX1000" s="24"/>
      <c r="CY1000" s="60"/>
      <c r="CZ1000" s="16"/>
      <c r="DA1000" s="16"/>
      <c r="DB1000" s="16"/>
      <c r="DC1000" s="16"/>
      <c r="DD1000" s="16"/>
      <c r="DE1000" s="17"/>
      <c r="DI1000" s="24"/>
      <c r="DJ1000" s="60"/>
      <c r="DK1000" s="16"/>
      <c r="DL1000" s="16"/>
      <c r="DM1000" s="16"/>
      <c r="DN1000" s="16"/>
      <c r="DO1000" s="16"/>
      <c r="DP1000" s="17"/>
      <c r="DT1000" s="24"/>
      <c r="DU1000" s="60"/>
      <c r="DV1000" s="16"/>
      <c r="DW1000" s="16"/>
      <c r="DX1000" s="16"/>
      <c r="DY1000" s="16"/>
      <c r="DZ1000" s="16"/>
      <c r="EA1000" s="17"/>
      <c r="EE1000" s="24"/>
      <c r="EF1000" s="60"/>
      <c r="EG1000" s="16"/>
      <c r="EH1000" s="16"/>
      <c r="EI1000" s="16"/>
      <c r="EJ1000" s="16"/>
      <c r="EK1000" s="16"/>
      <c r="EL1000" s="17"/>
      <c r="EP1000" s="24"/>
      <c r="EQ1000" s="60"/>
      <c r="ER1000" s="16"/>
      <c r="ES1000" s="16"/>
      <c r="ET1000" s="16"/>
      <c r="EU1000" s="16"/>
      <c r="EV1000" s="16"/>
      <c r="EW1000" s="17"/>
      <c r="FA1000" s="24"/>
      <c r="FB1000" s="60"/>
      <c r="FC1000" s="16"/>
      <c r="FD1000" s="16"/>
      <c r="FE1000" s="16"/>
      <c r="FF1000" s="16"/>
      <c r="FG1000" s="16"/>
      <c r="FH1000" s="17"/>
      <c r="FL1000" s="24"/>
      <c r="FM1000" s="60"/>
      <c r="FN1000" s="16"/>
      <c r="FO1000" s="16"/>
      <c r="FP1000" s="16"/>
      <c r="FQ1000" s="16"/>
      <c r="FR1000" s="16"/>
      <c r="FS1000" s="17"/>
      <c r="FW1000" s="24"/>
      <c r="FX1000" s="60"/>
      <c r="FY1000" s="16"/>
      <c r="FZ1000" s="16"/>
      <c r="GA1000" s="16"/>
      <c r="GB1000" s="16"/>
      <c r="GC1000" s="16"/>
      <c r="GD1000" s="17"/>
      <c r="GH1000" s="24"/>
      <c r="GI1000" s="60"/>
      <c r="GJ1000" s="16"/>
      <c r="GK1000" s="16"/>
      <c r="GL1000" s="16"/>
      <c r="GM1000" s="16"/>
      <c r="GN1000" s="16"/>
      <c r="GO1000" s="17"/>
      <c r="GS1000" s="24"/>
      <c r="GT1000" s="60"/>
      <c r="GU1000" s="16"/>
      <c r="GV1000" s="16"/>
      <c r="GW1000" s="16"/>
      <c r="GX1000" s="16"/>
      <c r="GY1000" s="16"/>
      <c r="GZ1000" s="17"/>
      <c r="HD1000" s="24"/>
      <c r="HE1000" s="60"/>
      <c r="HF1000" s="16"/>
      <c r="HG1000" s="16"/>
      <c r="HH1000" s="16"/>
      <c r="HI1000" s="16"/>
      <c r="HJ1000" s="16"/>
      <c r="HK1000" s="17"/>
      <c r="HO1000" s="24"/>
      <c r="HP1000" s="60"/>
      <c r="HQ1000" s="16"/>
      <c r="HR1000" s="16"/>
      <c r="HS1000" s="16"/>
      <c r="HT1000" s="16"/>
      <c r="HU1000" s="16"/>
      <c r="HV1000" s="17"/>
      <c r="HZ1000" s="24"/>
      <c r="IA1000" s="60"/>
      <c r="IB1000" s="16"/>
      <c r="IC1000" s="16"/>
      <c r="ID1000" s="16"/>
      <c r="IE1000" s="16"/>
      <c r="IF1000" s="16"/>
      <c r="IG1000" s="17"/>
      <c r="IK1000" s="24"/>
      <c r="IL1000" s="60"/>
      <c r="IM1000" s="16"/>
      <c r="IN1000" s="16"/>
      <c r="IO1000" s="16"/>
      <c r="IP1000" s="16"/>
      <c r="IQ1000" s="16"/>
      <c r="IR1000" s="17"/>
      <c r="IV1000" s="24"/>
      <c r="IW1000" s="60"/>
      <c r="IX1000" s="16"/>
      <c r="IY1000" s="16"/>
      <c r="IZ1000" s="16"/>
      <c r="JA1000" s="16"/>
      <c r="JB1000" s="16"/>
      <c r="JC1000" s="17"/>
      <c r="JG1000" s="24"/>
      <c r="JH1000" s="60"/>
      <c r="JI1000" s="16"/>
      <c r="JJ1000" s="16"/>
      <c r="JK1000" s="16"/>
      <c r="JL1000" s="16"/>
      <c r="JM1000" s="16"/>
      <c r="JN1000" s="17"/>
      <c r="JR1000" s="24"/>
      <c r="JS1000" s="60"/>
      <c r="JT1000" s="16"/>
      <c r="JU1000" s="16"/>
      <c r="JV1000" s="16"/>
      <c r="JW1000" s="16"/>
      <c r="JX1000" s="16"/>
      <c r="JY1000" s="17"/>
      <c r="KC1000" s="24"/>
      <c r="KD1000" s="60"/>
      <c r="KE1000" s="16"/>
      <c r="KF1000" s="16"/>
      <c r="KG1000" s="16"/>
      <c r="KH1000" s="16"/>
      <c r="KI1000" s="16"/>
      <c r="KJ1000" s="17"/>
      <c r="KN1000" s="24"/>
      <c r="KO1000" s="60"/>
      <c r="KP1000" s="16"/>
      <c r="KQ1000" s="16"/>
      <c r="KR1000" s="16"/>
      <c r="KS1000" s="16"/>
      <c r="KT1000" s="16"/>
      <c r="KU1000" s="17"/>
      <c r="KY1000" s="24"/>
      <c r="KZ1000" s="60"/>
      <c r="LA1000" s="16"/>
      <c r="LB1000" s="16"/>
      <c r="LC1000" s="16"/>
      <c r="LD1000" s="16"/>
      <c r="LE1000" s="16"/>
      <c r="LF1000" s="17"/>
      <c r="LJ1000" s="24"/>
      <c r="LK1000" s="60"/>
      <c r="LL1000" s="16"/>
      <c r="LM1000" s="16"/>
      <c r="LN1000" s="16"/>
      <c r="LO1000" s="16"/>
      <c r="LP1000" s="16"/>
      <c r="LQ1000" s="17"/>
    </row>
  </sheetData>
  <dataConsolidate/>
  <mergeCells>
    <mergeCell ref="KW4:LE4"/>
    <mergeCell ref="LH4:LP4"/>
    <mergeCell ref="KY5:LE5"/>
    <mergeCell ref="LJ5:LP5"/>
    <mergeCell ref="JP4:JX4"/>
    <mergeCell ref="KA4:KI4"/>
    <mergeCell ref="KL4:KT4"/>
    <mergeCell ref="JR5:JX5"/>
    <mergeCell ref="KC5:KI5"/>
    <mergeCell ref="KN5:KT5"/>
    <mergeCell ref="II4:IQ4"/>
    <mergeCell ref="IT4:JB4"/>
    <mergeCell ref="JE4:JM4"/>
    <mergeCell ref="IK5:IQ5"/>
    <mergeCell ref="IV5:JB5"/>
    <mergeCell ref="JG5:JM5"/>
    <mergeCell ref="HB4:HJ4"/>
    <mergeCell ref="HD5:HJ5"/>
    <mergeCell ref="HM4:HU4"/>
    <mergeCell ref="HX4:IF4"/>
    <mergeCell ref="HO5:HU5"/>
    <mergeCell ref="HZ5:IF5"/>
    <mergeCell ref="FU4:GC4"/>
    <mergeCell ref="FW5:GC5"/>
    <mergeCell ref="GF4:GN4"/>
    <mergeCell ref="GH5:GN5"/>
    <mergeCell ref="GQ4:GY4"/>
    <mergeCell ref="GS5:GY5"/>
    <mergeCell ref="EN4:EV4"/>
    <mergeCell ref="EP5:EV5"/>
    <mergeCell ref="EY4:FG4"/>
    <mergeCell ref="FA5:FG5"/>
    <mergeCell ref="FJ4:FR4"/>
    <mergeCell ref="FL5:FR5"/>
    <mergeCell ref="DG4:DO4"/>
    <mergeCell ref="DI5:DO5"/>
    <mergeCell ref="DR4:DZ4"/>
    <mergeCell ref="DT5:DZ5"/>
    <mergeCell ref="EC4:EK4"/>
    <mergeCell ref="EE5:EK5"/>
    <mergeCell ref="CK4:CS4"/>
    <mergeCell ref="CM5:CS5"/>
    <mergeCell ref="CV4:DD4"/>
    <mergeCell ref="CX5:DD5"/>
    <mergeCell ref="BD4:BL4"/>
    <mergeCell ref="BF5:BL5"/>
    <mergeCell ref="BO4:BW4"/>
    <mergeCell ref="BZ4:CH4"/>
    <mergeCell ref="CB5:CH5"/>
    <mergeCell ref="BQ5:BW5"/>
    <mergeCell ref="AH4:AP4"/>
    <mergeCell ref="AJ5:AP5"/>
    <mergeCell ref="AS4:BA4"/>
    <mergeCell ref="AU5:BA5"/>
    <mergeCell ref="C5:I5"/>
    <mergeCell ref="A4:I4"/>
    <mergeCell ref="L4:T4"/>
    <mergeCell ref="N5:T5"/>
    <mergeCell ref="W4:AE4"/>
    <mergeCell ref="Y5:AE5"/>
  </mergeCells>
  <dataValidations xWindow="2257" yWindow="404" count="6">
    <dataValidation type="list" allowBlank="1" sqref="AI27 X27 M27 GG27 B27 AT27 BP27 CA27 CL27 BE27 CW27 DH27 DS27 ED27 EO27 EZ27 FK27 FV27 GR27 HN27 HC27 HY27 IU27 IJ27 JF27 KB27 JQ27 KM27 KX27 LI27" xr:uid="{00000000-0002-0000-0100-000001000000}">
      <formula1>"Delaware, Midland"</formula1>
    </dataValidation>
    <dataValidation type="list" allowBlank="1" sqref="M11 X11 CL11 B11 AT11 BP11 CA11 BE11 AI11 CW11 DH11 DS11 ED11 EO11 EZ11 FK11 FV11 GG11 GR11 HC11 HN11 HY11 IJ11 IU11 JF11 JQ11 KB11 KM11 KX11 LI11" xr:uid="{00000000-0002-0000-0100-000003000000}">
      <formula1>INDIRECT(B27)</formula1>
    </dataValidation>
    <dataValidation type="decimal" showInputMessage="1" showErrorMessage="1" errorTitle="Incorrect decimal" error="Please enter correct decimal value. The value is required. _x000d_Value should be between 5000 and 35000" prompt="Enter decimal. _x000d_Value should be between 5000 and 35000" sqref="AK7:AK14 Z62:Z72" xr:uid="{00000000-0002-0000-0100-000004000000}">
      <formula1>5000</formula1>
      <formula2>35000</formula2>
    </dataValidation>
    <dataValidation type="decimal" showInputMessage="1" showErrorMessage="1" errorTitle="Incorrect decimal" error="Please enter correct decimal value. The value is required. _x000d_Value should be between 0 and 90" prompt="Enter decimal. _x000d_Value should be between 0 and 90" sqref="AL7:AL55 AA62:AA72" xr:uid="{00000000-0002-0000-0100-000005000000}">
      <formula1>0</formula1>
      <formula2>90</formula2>
    </dataValidation>
    <dataValidation type="decimal" operator="greaterThan" showInputMessage="1" showErrorMessage="1" errorTitle="Incorrect decimal" error="Please enter correct decimal value. The value is required." prompt="Enter decimal." sqref="AM7:AM64 AK15:AK63" xr:uid="{00000000-0002-0000-0100-000006000000}">
      <formula1>-100000000</formula1>
    </dataValidation>
    <dataValidation type="decimal" showInputMessage="1" showErrorMessage="1" errorTitle="Incorrect decimal" error="Please enter correct decimal value. The value is required. _x000d_Value should be between 0 and 10" prompt="Enter decimal. _x000d_Value should be between 0 and 10" sqref="AD62:AD72 AO7:AO58 AP7:AP60" xr:uid="{00000000-0002-0000-0100-000007000000}">
      <formula1>0</formula1>
      <formula2>10</formula2>
    </dataValidation>
  </dataValidations>
  <pageMargins left="0.7" right="0.7" top="0.75" bottom="0.75" header="0.3" footer="0.3"/>
  <pageSetup orientation="portrait"/>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37BB10-1B55-45D1-9A7A-79CFCDDC3ACA}">
  <sheetPr codeName="Sheet6"/>
  <dimension ref="A1:W31"/>
  <sheetViews>
    <sheetView zoomScale="80" zoomScaleNormal="80" workbookViewId="0" tabSelected="0">
      <selection activeCell="B5" sqref="B5"/>
    </sheetView>
  </sheetViews>
  <sheetFormatPr defaultRowHeight="15" x14ac:dyDescent="0.25"/>
  <cols>
    <col min="1" max="1" width="24.140625" customWidth="1"/>
    <col min="2" max="2" width="21" customWidth="1"/>
    <col min="3" max="3" width="14.140625" customWidth="1"/>
    <col min="4" max="4" width="24.140625" customWidth="1"/>
    <col min="5" max="5" width="21" customWidth="1"/>
    <col min="6" max="6" width="14.140625" customWidth="1"/>
    <col min="7" max="7" width="24.140625" customWidth="1"/>
    <col min="8" max="8" width="21" customWidth="1"/>
    <col min="9" max="9" width="14.140625" customWidth="1"/>
    <col min="10" max="10" width="24.140625" customWidth="1"/>
    <col min="11" max="11" width="21" customWidth="1"/>
    <col min="12" max="12" width="14.140625" customWidth="1"/>
    <col min="13" max="13" width="24.140625" customWidth="1"/>
    <col min="14" max="14" width="21" customWidth="1"/>
    <col min="15" max="15" width="14.140625" customWidth="1"/>
    <col min="16" max="16" width="24.140625" customWidth="1"/>
    <col min="17" max="17" width="21" customWidth="1"/>
    <col min="18" max="18" width="14.140625" customWidth="1"/>
    <col min="19" max="19" width="24.140625" customWidth="1"/>
    <col min="20" max="20" width="21" customWidth="1"/>
    <col min="21" max="21" width="14.140625" customWidth="1"/>
    <col min="22" max="22" width="24.140625" customWidth="1"/>
    <col min="23" max="23" width="21" customWidth="1"/>
  </cols>
  <sheetData>
    <row r="1">
      <c r="A1" s="0" t="s">
        <v>62</v>
      </c>
      <c r="B1" s="18">
        <v>46275.25</v>
      </c>
    </row>
    <row r="2">
      <c r="B2" s="0">
        <f>COLUMN()</f>
        <v>2</v>
      </c>
      <c r="E2" s="0">
        <f>COLUMN()</f>
        <v>5</v>
      </c>
      <c r="H2" s="0">
        <f>COLUMN()</f>
        <v>8</v>
      </c>
      <c r="K2" s="0">
        <f>COLUMN()</f>
        <v>11</v>
      </c>
      <c r="N2" s="0">
        <f>COLUMN()</f>
        <v>14</v>
      </c>
      <c r="Q2" s="0">
        <f>COLUMN()</f>
        <v>17</v>
      </c>
      <c r="T2" s="0">
        <f>COLUMN()</f>
        <v>20</v>
      </c>
      <c r="W2" s="0">
        <f>COLUMN()</f>
        <v>23</v>
      </c>
    </row>
    <row r="4">
      <c r="A4" s="208" t="s">
        <v>285</v>
      </c>
      <c r="B4" s="208"/>
      <c r="D4" s="208" t="s">
        <v>286</v>
      </c>
      <c r="E4" s="208"/>
      <c r="G4" s="208" t="s">
        <v>287</v>
      </c>
      <c r="H4" s="208"/>
      <c r="J4" s="208" t="s">
        <v>288</v>
      </c>
      <c r="K4" s="208"/>
      <c r="M4" s="208" t="s">
        <v>289</v>
      </c>
      <c r="N4" s="208"/>
      <c r="P4" s="208" t="s">
        <v>290</v>
      </c>
      <c r="Q4" s="208"/>
      <c r="S4" s="208" t="s">
        <v>291</v>
      </c>
      <c r="T4" s="208"/>
      <c r="V4" s="208" t="s">
        <v>292</v>
      </c>
      <c r="W4" s="208"/>
    </row>
    <row r="5">
      <c r="A5" s="15" t="s">
        <v>93</v>
      </c>
      <c r="B5" s="15" t="s">
        <v>94</v>
      </c>
      <c r="D5" s="15" t="s">
        <v>93</v>
      </c>
      <c r="E5" s="15" t="s">
        <v>94</v>
      </c>
      <c r="G5" s="15" t="s">
        <v>93</v>
      </c>
      <c r="H5" s="15" t="s">
        <v>94</v>
      </c>
      <c r="J5" s="15" t="s">
        <v>93</v>
      </c>
      <c r="K5" s="15" t="s">
        <v>94</v>
      </c>
      <c r="M5" s="15" t="s">
        <v>93</v>
      </c>
      <c r="N5" s="15" t="s">
        <v>94</v>
      </c>
      <c r="P5" s="15" t="s">
        <v>93</v>
      </c>
      <c r="Q5" s="15" t="s">
        <v>94</v>
      </c>
      <c r="S5" s="15" t="s">
        <v>93</v>
      </c>
      <c r="T5" s="15" t="s">
        <v>94</v>
      </c>
      <c r="V5" s="15" t="s">
        <v>93</v>
      </c>
      <c r="W5" s="15" t="s">
        <v>94</v>
      </c>
    </row>
    <row r="6">
      <c r="A6" s="15" t="s">
        <v>96</v>
      </c>
      <c r="B6" s="48"/>
      <c r="D6" s="15" t="s">
        <v>96</v>
      </c>
      <c r="E6" s="48"/>
      <c r="G6" s="15" t="s">
        <v>96</v>
      </c>
      <c r="H6" s="48"/>
      <c r="J6" s="15" t="s">
        <v>96</v>
      </c>
      <c r="K6" s="48"/>
      <c r="M6" s="15" t="s">
        <v>96</v>
      </c>
      <c r="N6" s="48"/>
      <c r="P6" s="15" t="s">
        <v>96</v>
      </c>
      <c r="Q6" s="48"/>
      <c r="S6" s="15" t="s">
        <v>96</v>
      </c>
      <c r="T6" s="48"/>
      <c r="V6" s="15" t="s">
        <v>96</v>
      </c>
      <c r="W6" s="48"/>
    </row>
    <row r="7">
      <c r="A7" s="15" t="s">
        <v>106</v>
      </c>
      <c r="B7" s="48" t="s">
        <v>107</v>
      </c>
      <c r="D7" s="15" t="s">
        <v>106</v>
      </c>
      <c r="E7" s="48" t="s">
        <v>107</v>
      </c>
      <c r="G7" s="15" t="s">
        <v>106</v>
      </c>
      <c r="H7" s="48"/>
      <c r="J7" s="15" t="s">
        <v>106</v>
      </c>
      <c r="K7" s="48"/>
      <c r="M7" s="15" t="s">
        <v>106</v>
      </c>
      <c r="N7" s="48"/>
      <c r="P7" s="15" t="s">
        <v>106</v>
      </c>
      <c r="Q7" s="48"/>
      <c r="S7" s="15" t="s">
        <v>106</v>
      </c>
      <c r="T7" s="48"/>
      <c r="V7" s="15" t="s">
        <v>106</v>
      </c>
      <c r="W7" s="48"/>
    </row>
    <row r="8">
      <c r="A8" s="15" t="s">
        <v>109</v>
      </c>
      <c r="B8" s="48" t="s">
        <v>293</v>
      </c>
      <c r="D8" s="15" t="s">
        <v>109</v>
      </c>
      <c r="E8" s="48" t="s">
        <v>293</v>
      </c>
      <c r="G8" s="15" t="s">
        <v>109</v>
      </c>
      <c r="H8" s="48"/>
      <c r="J8" s="15" t="s">
        <v>109</v>
      </c>
      <c r="K8" s="48"/>
      <c r="M8" s="15" t="s">
        <v>109</v>
      </c>
      <c r="N8" s="48"/>
      <c r="P8" s="15" t="s">
        <v>109</v>
      </c>
      <c r="Q8" s="48"/>
      <c r="S8" s="15" t="s">
        <v>109</v>
      </c>
      <c r="T8" s="48"/>
      <c r="V8" s="15" t="s">
        <v>109</v>
      </c>
      <c r="W8" s="48"/>
    </row>
    <row r="9">
      <c r="A9" s="15" t="s">
        <v>115</v>
      </c>
      <c r="B9" s="48" t="s">
        <v>294</v>
      </c>
      <c r="D9" s="15" t="s">
        <v>115</v>
      </c>
      <c r="E9" s="48" t="s">
        <v>295</v>
      </c>
      <c r="G9" s="15" t="s">
        <v>115</v>
      </c>
      <c r="H9" s="48"/>
      <c r="J9" s="15" t="s">
        <v>115</v>
      </c>
      <c r="K9" s="48"/>
      <c r="M9" s="15" t="s">
        <v>115</v>
      </c>
      <c r="N9" s="48"/>
      <c r="P9" s="15" t="s">
        <v>115</v>
      </c>
      <c r="Q9" s="48"/>
      <c r="S9" s="15" t="s">
        <v>115</v>
      </c>
      <c r="T9" s="48"/>
      <c r="V9" s="15" t="s">
        <v>115</v>
      </c>
      <c r="W9" s="48"/>
    </row>
    <row r="10">
      <c r="A10" s="15" t="s">
        <v>130</v>
      </c>
      <c r="B10" s="48" t="s">
        <v>296</v>
      </c>
      <c r="D10" s="15" t="s">
        <v>130</v>
      </c>
      <c r="E10" s="48" t="s">
        <v>297</v>
      </c>
      <c r="G10" s="15" t="s">
        <v>130</v>
      </c>
      <c r="H10" s="48"/>
      <c r="J10" s="15" t="s">
        <v>130</v>
      </c>
      <c r="K10" s="48"/>
      <c r="M10" s="15" t="s">
        <v>130</v>
      </c>
      <c r="N10" s="48"/>
      <c r="P10" s="15" t="s">
        <v>130</v>
      </c>
      <c r="Q10" s="48"/>
      <c r="S10" s="15" t="s">
        <v>130</v>
      </c>
      <c r="T10" s="48"/>
      <c r="V10" s="15" t="s">
        <v>130</v>
      </c>
      <c r="W10" s="48"/>
    </row>
    <row r="11">
      <c r="A11" s="15" t="s">
        <v>21</v>
      </c>
      <c r="B11" s="92" t="s">
        <v>298</v>
      </c>
      <c r="D11" s="15" t="s">
        <v>21</v>
      </c>
      <c r="E11" s="92" t="s">
        <v>150</v>
      </c>
      <c r="G11" s="15" t="s">
        <v>21</v>
      </c>
      <c r="H11" s="92"/>
      <c r="J11" s="15" t="s">
        <v>21</v>
      </c>
      <c r="K11" s="92"/>
      <c r="M11" s="15" t="s">
        <v>21</v>
      </c>
      <c r="N11" s="92"/>
      <c r="P11" s="15" t="s">
        <v>21</v>
      </c>
      <c r="Q11" s="92"/>
      <c r="S11" s="15" t="s">
        <v>21</v>
      </c>
      <c r="T11" s="92"/>
      <c r="V11" s="15" t="s">
        <v>21</v>
      </c>
      <c r="W11" s="92"/>
    </row>
    <row r="12">
      <c r="A12" s="15" t="s">
        <v>158</v>
      </c>
      <c r="B12" s="92">
        <v>8683</v>
      </c>
      <c r="D12" s="15" t="s">
        <v>158</v>
      </c>
      <c r="E12" s="92">
        <v>8103</v>
      </c>
      <c r="G12" s="15" t="s">
        <v>158</v>
      </c>
      <c r="H12" s="92"/>
      <c r="J12" s="15" t="s">
        <v>158</v>
      </c>
      <c r="K12" s="92"/>
      <c r="M12" s="15" t="s">
        <v>158</v>
      </c>
      <c r="N12" s="92"/>
      <c r="P12" s="15" t="s">
        <v>158</v>
      </c>
      <c r="Q12" s="92"/>
      <c r="S12" s="15" t="s">
        <v>158</v>
      </c>
      <c r="T12" s="92"/>
      <c r="V12" s="15" t="s">
        <v>158</v>
      </c>
      <c r="W12" s="92"/>
    </row>
    <row r="13">
      <c r="A13" s="15" t="s">
        <v>159</v>
      </c>
      <c r="B13" s="48">
        <v>19039</v>
      </c>
      <c r="D13" s="15" t="s">
        <v>159</v>
      </c>
      <c r="E13" s="48">
        <v>18605</v>
      </c>
      <c r="G13" s="15" t="s">
        <v>159</v>
      </c>
      <c r="H13" s="48"/>
      <c r="J13" s="15" t="s">
        <v>159</v>
      </c>
      <c r="K13" s="48"/>
      <c r="M13" s="15" t="s">
        <v>159</v>
      </c>
      <c r="N13" s="48"/>
      <c r="P13" s="15" t="s">
        <v>159</v>
      </c>
      <c r="Q13" s="48"/>
      <c r="S13" s="15" t="s">
        <v>159</v>
      </c>
      <c r="T13" s="48"/>
      <c r="V13" s="15" t="s">
        <v>159</v>
      </c>
      <c r="W13" s="48"/>
    </row>
    <row r="14">
      <c r="A14" s="15" t="s">
        <v>30</v>
      </c>
      <c r="B14" s="93" t="s">
        <v>299</v>
      </c>
      <c r="D14" s="15" t="s">
        <v>30</v>
      </c>
      <c r="E14" s="93" t="s">
        <v>300</v>
      </c>
      <c r="G14" s="15" t="s">
        <v>30</v>
      </c>
      <c r="H14" s="93"/>
      <c r="J14" s="15" t="s">
        <v>30</v>
      </c>
      <c r="K14" s="93"/>
      <c r="M14" s="15" t="s">
        <v>30</v>
      </c>
      <c r="N14" s="93"/>
      <c r="P14" s="15" t="s">
        <v>30</v>
      </c>
      <c r="Q14" s="93"/>
      <c r="S14" s="15" t="s">
        <v>30</v>
      </c>
      <c r="T14" s="93"/>
      <c r="V14" s="15" t="s">
        <v>30</v>
      </c>
      <c r="W14" s="93"/>
    </row>
    <row r="15">
      <c r="A15" s="15" t="s">
        <v>9</v>
      </c>
      <c r="B15" s="94">
        <v>46243.9583333333</v>
      </c>
      <c r="D15" s="15" t="s">
        <v>9</v>
      </c>
      <c r="E15" s="94">
        <v>46269.75</v>
      </c>
      <c r="G15" s="15" t="s">
        <v>9</v>
      </c>
      <c r="H15" s="94"/>
      <c r="J15" s="15" t="s">
        <v>9</v>
      </c>
      <c r="K15" s="94"/>
      <c r="M15" s="15" t="s">
        <v>9</v>
      </c>
      <c r="N15" s="94"/>
      <c r="P15" s="15" t="s">
        <v>9</v>
      </c>
      <c r="Q15" s="94"/>
      <c r="S15" s="15" t="s">
        <v>9</v>
      </c>
      <c r="T15" s="94"/>
      <c r="V15" s="15" t="s">
        <v>9</v>
      </c>
      <c r="W15" s="94"/>
    </row>
    <row r="16">
      <c r="A16" s="15" t="s">
        <v>18</v>
      </c>
      <c r="B16" s="94" t="s">
        <v>20</v>
      </c>
      <c r="D16" s="15" t="s">
        <v>18</v>
      </c>
      <c r="E16" s="94">
        <v>46275.25</v>
      </c>
      <c r="G16" s="15" t="s">
        <v>18</v>
      </c>
      <c r="H16" s="94"/>
      <c r="J16" s="15" t="s">
        <v>18</v>
      </c>
      <c r="K16" s="94"/>
      <c r="M16" s="15" t="s">
        <v>18</v>
      </c>
      <c r="N16" s="94"/>
      <c r="P16" s="15" t="s">
        <v>18</v>
      </c>
      <c r="Q16" s="94"/>
      <c r="S16" s="15" t="s">
        <v>18</v>
      </c>
      <c r="T16" s="94"/>
      <c r="V16" s="15" t="s">
        <v>18</v>
      </c>
      <c r="W16" s="94"/>
    </row>
    <row r="17">
      <c r="A17" s="15" t="s">
        <v>49</v>
      </c>
      <c r="B17" s="95" t="s">
        <v>20</v>
      </c>
      <c r="D17" s="15" t="s">
        <v>49</v>
      </c>
      <c r="E17" s="95" t="s">
        <v>20</v>
      </c>
      <c r="G17" s="15" t="s">
        <v>49</v>
      </c>
      <c r="H17" s="95"/>
      <c r="J17" s="15" t="s">
        <v>49</v>
      </c>
      <c r="K17" s="95"/>
      <c r="M17" s="15" t="s">
        <v>49</v>
      </c>
      <c r="N17" s="95"/>
      <c r="P17" s="15" t="s">
        <v>49</v>
      </c>
      <c r="Q17" s="95"/>
      <c r="S17" s="15" t="s">
        <v>49</v>
      </c>
      <c r="T17" s="95"/>
      <c r="V17" s="15" t="s">
        <v>49</v>
      </c>
      <c r="W17" s="95"/>
    </row>
    <row r="18">
      <c r="A18" s="15" t="s">
        <v>50</v>
      </c>
      <c r="B18" s="95" t="s">
        <v>20</v>
      </c>
      <c r="D18" s="15" t="s">
        <v>50</v>
      </c>
      <c r="E18" s="95" t="s">
        <v>20</v>
      </c>
      <c r="G18" s="15" t="s">
        <v>50</v>
      </c>
      <c r="H18" s="95"/>
      <c r="J18" s="15" t="s">
        <v>50</v>
      </c>
      <c r="K18" s="95"/>
      <c r="M18" s="15" t="s">
        <v>50</v>
      </c>
      <c r="N18" s="95"/>
      <c r="P18" s="15" t="s">
        <v>50</v>
      </c>
      <c r="Q18" s="95"/>
      <c r="S18" s="15" t="s">
        <v>50</v>
      </c>
      <c r="T18" s="95"/>
      <c r="V18" s="15" t="s">
        <v>50</v>
      </c>
      <c r="W18" s="95"/>
    </row>
    <row r="19">
      <c r="A19" s="15" t="s">
        <v>51</v>
      </c>
      <c r="B19" s="95" t="s">
        <v>20</v>
      </c>
      <c r="D19" s="15" t="s">
        <v>51</v>
      </c>
      <c r="E19" s="95" t="s">
        <v>20</v>
      </c>
      <c r="G19" s="15" t="s">
        <v>51</v>
      </c>
      <c r="H19" s="95"/>
      <c r="J19" s="15" t="s">
        <v>51</v>
      </c>
      <c r="K19" s="95"/>
      <c r="M19" s="15" t="s">
        <v>51</v>
      </c>
      <c r="N19" s="95"/>
      <c r="P19" s="15" t="s">
        <v>51</v>
      </c>
      <c r="Q19" s="95"/>
      <c r="S19" s="15" t="s">
        <v>51</v>
      </c>
      <c r="T19" s="95"/>
      <c r="V19" s="15" t="s">
        <v>51</v>
      </c>
      <c r="W19" s="95"/>
    </row>
    <row r="20">
      <c r="A20" s="15" t="s">
        <v>52</v>
      </c>
      <c r="B20" s="95" t="s">
        <v>20</v>
      </c>
      <c r="D20" s="15" t="s">
        <v>52</v>
      </c>
      <c r="E20" s="95" t="s">
        <v>20</v>
      </c>
      <c r="G20" s="15" t="s">
        <v>52</v>
      </c>
      <c r="H20" s="95"/>
      <c r="J20" s="15" t="s">
        <v>52</v>
      </c>
      <c r="K20" s="95"/>
      <c r="M20" s="15" t="s">
        <v>52</v>
      </c>
      <c r="N20" s="95"/>
      <c r="P20" s="15" t="s">
        <v>52</v>
      </c>
      <c r="Q20" s="95"/>
      <c r="S20" s="15" t="s">
        <v>52</v>
      </c>
      <c r="T20" s="95"/>
      <c r="V20" s="15" t="s">
        <v>52</v>
      </c>
      <c r="W20" s="95"/>
    </row>
    <row r="21">
      <c r="A21" s="15" t="s">
        <v>176</v>
      </c>
      <c r="B21" s="48">
        <v>2.25</v>
      </c>
      <c r="D21" s="15" t="s">
        <v>176</v>
      </c>
      <c r="E21" s="48">
        <v>5.500000000000008</v>
      </c>
      <c r="G21" s="15" t="s">
        <v>176</v>
      </c>
      <c r="H21" s="48"/>
      <c r="J21" s="15" t="s">
        <v>176</v>
      </c>
      <c r="K21" s="48"/>
      <c r="M21" s="15" t="s">
        <v>176</v>
      </c>
      <c r="N21" s="48"/>
      <c r="P21" s="15" t="s">
        <v>176</v>
      </c>
      <c r="Q21" s="48"/>
      <c r="S21" s="15" t="s">
        <v>176</v>
      </c>
      <c r="T21" s="48"/>
      <c r="V21" s="15" t="s">
        <v>176</v>
      </c>
      <c r="W21" s="48"/>
    </row>
    <row r="22">
      <c r="A22" s="15" t="s">
        <v>17</v>
      </c>
      <c r="B22" s="48">
        <v>9.2500000000000089</v>
      </c>
      <c r="D22" s="15" t="s">
        <v>17</v>
      </c>
      <c r="E22" s="48">
        <v>31.5</v>
      </c>
      <c r="G22" s="15" t="s">
        <v>17</v>
      </c>
      <c r="H22" s="48"/>
      <c r="J22" s="15" t="s">
        <v>17</v>
      </c>
      <c r="K22" s="48"/>
      <c r="M22" s="15" t="s">
        <v>17</v>
      </c>
      <c r="N22" s="48"/>
      <c r="P22" s="15" t="s">
        <v>17</v>
      </c>
      <c r="Q22" s="48"/>
      <c r="S22" s="15" t="s">
        <v>17</v>
      </c>
      <c r="T22" s="48"/>
      <c r="V22" s="15" t="s">
        <v>17</v>
      </c>
      <c r="W22" s="48"/>
    </row>
    <row r="30">
      <c r="A30" s="0" t="s">
        <v>255</v>
      </c>
      <c r="D30" s="0" t="s">
        <v>255</v>
      </c>
      <c r="G30" s="0" t="s">
        <v>255</v>
      </c>
      <c r="J30" s="0" t="s">
        <v>255</v>
      </c>
      <c r="M30" s="0" t="s">
        <v>255</v>
      </c>
      <c r="P30" s="0" t="s">
        <v>255</v>
      </c>
      <c r="S30" s="0" t="s">
        <v>255</v>
      </c>
      <c r="V30" s="0" t="s">
        <v>255</v>
      </c>
    </row>
    <row r="31">
      <c r="A31" s="0" t="s">
        <v>274</v>
      </c>
      <c r="B31" s="72">
        <f>(B13-B12)</f>
        <v>0</v>
      </c>
      <c r="D31" s="0" t="s">
        <v>274</v>
      </c>
      <c r="E31" s="72">
        <f>(E13-E12)</f>
        <v>0</v>
      </c>
      <c r="G31" s="0" t="s">
        <v>274</v>
      </c>
      <c r="H31" s="72">
        <f>(H13-H12)</f>
        <v>0</v>
      </c>
      <c r="J31" s="0" t="s">
        <v>274</v>
      </c>
      <c r="K31" s="72">
        <f>(K13-K12)</f>
        <v>0</v>
      </c>
      <c r="M31" s="0" t="s">
        <v>274</v>
      </c>
      <c r="N31" s="72">
        <f>(N13-N12)</f>
        <v>0</v>
      </c>
      <c r="P31" s="0" t="s">
        <v>274</v>
      </c>
      <c r="Q31" s="72">
        <f>(Q13-Q12)</f>
        <v>0</v>
      </c>
      <c r="S31" s="0" t="s">
        <v>274</v>
      </c>
      <c r="T31" s="72">
        <f>(T13-T12)</f>
        <v>0</v>
      </c>
      <c r="V31" s="0" t="s">
        <v>274</v>
      </c>
      <c r="W31" s="72">
        <f>(W13-W12)</f>
        <v>0</v>
      </c>
    </row>
  </sheetData>
  <mergeCells>
    <mergeCell ref="P4:Q4"/>
    <mergeCell ref="S4:T4"/>
    <mergeCell ref="V4:W4"/>
    <mergeCell ref="A4:B4"/>
    <mergeCell ref="D4:E4"/>
    <mergeCell ref="G4:H4"/>
    <mergeCell ref="J4:K4"/>
    <mergeCell ref="M4:N4"/>
  </mergeCells>
  <pageMargins left="0.7" right="0.7" top="0.75" bottom="0.75" header="0.3" footer="0.3"/>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1:X100"/>
  <sheetViews>
    <sheetView zoomScaleNormal="100" workbookViewId="0" tabSelected="0">
      <pane xSplit="3" ySplit="2" topLeftCell="D45" activePane="bottomRight" state="frozen"/>
      <selection pane="topRight" activeCell="D1" sqref="D1"/>
      <selection pane="bottomLeft" activeCell="A3" sqref="A3"/>
      <selection pane="bottomRight" activeCell="C62" sqref="C62"/>
    </sheetView>
  </sheetViews>
  <sheetFormatPr defaultColWidth="9.140625" defaultRowHeight="15" x14ac:dyDescent="0.25"/>
  <cols>
    <col min="2" max="2" width="15" customWidth="1"/>
    <col min="3" max="3" bestFit="1" width="32.85546875" customWidth="1"/>
    <col min="4" max="4" hidden="1" width="34.5703125" customWidth="1"/>
    <col min="5" max="5" width="9.140625" customWidth="1" style="70"/>
    <col min="6" max="14" width="10.140625" customWidth="1" style="28"/>
    <col min="15" max="15" width="6.85546875" customWidth="1" style="28"/>
    <col min="16" max="23" width="9.140625" customWidth="1" style="28"/>
    <col min="24" max="24" bestFit="1" width="9.5703125" customWidth="1" style="70"/>
  </cols>
  <sheetData>
    <row r="1">
      <c r="A1" s="210" t="s">
        <v>106</v>
      </c>
      <c r="B1" s="210" t="s">
        <v>301</v>
      </c>
      <c r="C1" s="210" t="s">
        <v>21</v>
      </c>
      <c r="D1" s="210" t="s">
        <v>302</v>
      </c>
      <c r="E1" s="57" t="s">
        <v>19</v>
      </c>
      <c r="F1" s="209" t="s">
        <v>303</v>
      </c>
      <c r="G1" s="209"/>
      <c r="H1" s="209"/>
      <c r="I1" s="209"/>
      <c r="J1" s="209"/>
      <c r="K1" s="209"/>
      <c r="L1" s="209"/>
      <c r="M1" s="209"/>
      <c r="N1" s="209" t="s">
        <v>304</v>
      </c>
      <c r="O1" s="209"/>
      <c r="P1" s="209"/>
      <c r="Q1" s="209"/>
      <c r="R1" s="209"/>
      <c r="S1" s="209"/>
      <c r="T1" s="209"/>
      <c r="U1" s="209"/>
      <c r="V1" s="209"/>
      <c r="W1" s="209"/>
      <c r="X1" s="57" t="s">
        <v>27</v>
      </c>
    </row>
    <row r="2">
      <c r="A2" s="210"/>
      <c r="B2" s="210"/>
      <c r="C2" s="210"/>
      <c r="D2" s="210"/>
      <c r="E2" s="57" t="s">
        <v>305</v>
      </c>
      <c r="F2" s="76" t="s">
        <v>306</v>
      </c>
      <c r="G2" s="76" t="s">
        <v>307</v>
      </c>
      <c r="H2" s="76" t="s">
        <v>308</v>
      </c>
      <c r="I2" s="76" t="s">
        <v>309</v>
      </c>
      <c r="J2" s="76" t="s">
        <v>310</v>
      </c>
      <c r="K2" s="76" t="s">
        <v>311</v>
      </c>
      <c r="L2" s="76" t="s">
        <v>312</v>
      </c>
      <c r="M2" s="76" t="s">
        <v>313</v>
      </c>
      <c r="N2" s="76" t="s">
        <v>314</v>
      </c>
      <c r="O2" s="76" t="s">
        <v>115</v>
      </c>
      <c r="P2" s="76" t="s">
        <v>315</v>
      </c>
      <c r="Q2" s="76" t="s">
        <v>316</v>
      </c>
      <c r="R2" s="76" t="s">
        <v>317</v>
      </c>
      <c r="S2" s="76" t="s">
        <v>318</v>
      </c>
      <c r="T2" s="76" t="s">
        <v>319</v>
      </c>
      <c r="U2" s="76" t="s">
        <v>320</v>
      </c>
      <c r="V2" s="76" t="s">
        <v>321</v>
      </c>
      <c r="W2" s="76" t="s">
        <v>322</v>
      </c>
      <c r="X2" s="57" t="s">
        <v>305</v>
      </c>
    </row>
    <row r="3">
      <c r="A3" s="73" t="s">
        <v>107</v>
      </c>
      <c r="B3" s="73" t="s">
        <v>323</v>
      </c>
      <c r="C3" s="74" t="s">
        <v>324</v>
      </c>
      <c r="D3" s="74" t="str">
        <f>LOWER(SUBSTITUTE(_xlfn.CONCAT(A3:C3), " ", ""))</f>
        <v>hpdxmidlanddepthranges</v>
      </c>
      <c r="E3" s="75"/>
      <c r="F3" s="77">
        <v>0</v>
      </c>
      <c r="G3" s="77">
        <v>8500</v>
      </c>
      <c r="H3" s="77">
        <v>11500</v>
      </c>
      <c r="I3" s="77">
        <v>13500</v>
      </c>
      <c r="J3" s="77">
        <v>17500</v>
      </c>
      <c r="K3" s="77"/>
      <c r="L3" s="77"/>
      <c r="M3" s="77"/>
      <c r="N3" s="77" t="s">
        <v>325</v>
      </c>
      <c r="O3" s="77" t="s">
        <v>326</v>
      </c>
      <c r="P3" s="77">
        <v>0</v>
      </c>
      <c r="Q3" s="77">
        <v>18000</v>
      </c>
      <c r="R3" s="77">
        <v>20000</v>
      </c>
      <c r="S3" s="77">
        <v>22000</v>
      </c>
      <c r="T3" s="77">
        <v>30000</v>
      </c>
      <c r="U3" s="77"/>
      <c r="V3" s="77"/>
      <c r="W3" s="77"/>
      <c r="X3" s="75"/>
    </row>
    <row r="4">
      <c r="A4" s="0" t="s">
        <v>107</v>
      </c>
      <c r="B4" s="73" t="s">
        <v>323</v>
      </c>
      <c r="C4" s="0" t="s">
        <v>327</v>
      </c>
      <c r="D4" s="69" t="str">
        <f ref="D4:D68" t="shared" si="0">LOWER(SUBSTITUTE(_xlfn.CONCAT(A4:C4), " ", ""))</f>
        <v>hpdxmidlandatoka</v>
      </c>
      <c r="E4" s="70">
        <v>7</v>
      </c>
      <c r="F4" s="28">
        <v>8500</v>
      </c>
      <c r="G4" s="28">
        <v>8500</v>
      </c>
      <c r="H4" s="28">
        <v>8000</v>
      </c>
      <c r="I4" s="28">
        <v>7500</v>
      </c>
      <c r="J4" s="28">
        <v>6000</v>
      </c>
      <c r="P4" s="28">
        <v>1900</v>
      </c>
      <c r="Q4" s="28">
        <v>1750</v>
      </c>
      <c r="R4" s="28">
        <v>1750</v>
      </c>
      <c r="S4" s="28">
        <v>1550</v>
      </c>
      <c r="T4" s="28">
        <v>1550</v>
      </c>
      <c r="X4" s="70">
        <v>24</v>
      </c>
    </row>
    <row r="5">
      <c r="A5" s="0" t="s">
        <v>107</v>
      </c>
      <c r="B5" s="73" t="s">
        <v>323</v>
      </c>
      <c r="C5" s="0" t="s">
        <v>328</v>
      </c>
      <c r="D5" s="69" t="str">
        <f t="shared" si="0"/>
        <v>hpdxmidlandatokaberry</v>
      </c>
      <c r="E5" s="70">
        <v>7</v>
      </c>
      <c r="F5" s="28">
        <v>8500</v>
      </c>
      <c r="G5" s="28">
        <v>8500</v>
      </c>
      <c r="H5" s="28">
        <v>8000</v>
      </c>
      <c r="I5" s="28">
        <v>7500</v>
      </c>
      <c r="J5" s="28">
        <v>6000</v>
      </c>
      <c r="P5" s="28">
        <v>1900</v>
      </c>
      <c r="Q5" s="28">
        <v>1750</v>
      </c>
      <c r="R5" s="28">
        <v>1750</v>
      </c>
      <c r="S5" s="28">
        <v>1550</v>
      </c>
      <c r="T5" s="28">
        <v>1550</v>
      </c>
      <c r="X5" s="70">
        <v>24</v>
      </c>
    </row>
    <row r="6">
      <c r="A6" s="0" t="s">
        <v>107</v>
      </c>
      <c r="B6" s="73" t="s">
        <v>323</v>
      </c>
      <c r="C6" s="0" t="s">
        <v>329</v>
      </c>
      <c r="D6" s="69" t="str">
        <f t="shared" si="0"/>
        <v>hpdxmidlandbonespring1(bspg1)</v>
      </c>
      <c r="E6" s="70">
        <v>7</v>
      </c>
      <c r="F6" s="28">
        <v>8500</v>
      </c>
      <c r="G6" s="28">
        <v>8500</v>
      </c>
      <c r="H6" s="28">
        <v>8000</v>
      </c>
      <c r="I6" s="28">
        <v>7500</v>
      </c>
      <c r="J6" s="28">
        <v>6000</v>
      </c>
      <c r="P6" s="28">
        <v>1900</v>
      </c>
      <c r="Q6" s="28">
        <v>1750</v>
      </c>
      <c r="R6" s="28">
        <v>1750</v>
      </c>
      <c r="S6" s="28">
        <v>1550</v>
      </c>
      <c r="T6" s="28">
        <v>1550</v>
      </c>
      <c r="X6" s="70">
        <v>24</v>
      </c>
    </row>
    <row r="7">
      <c r="A7" s="0" t="s">
        <v>107</v>
      </c>
      <c r="B7" s="73" t="s">
        <v>323</v>
      </c>
      <c r="C7" s="0" t="s">
        <v>330</v>
      </c>
      <c r="D7" s="69" t="str">
        <f t="shared" si="0"/>
        <v>hpdxmidlandbonespring2(bspg2)</v>
      </c>
      <c r="E7" s="70">
        <v>7</v>
      </c>
      <c r="F7" s="28">
        <v>8500</v>
      </c>
      <c r="G7" s="28">
        <v>8500</v>
      </c>
      <c r="H7" s="28">
        <v>8000</v>
      </c>
      <c r="I7" s="28">
        <v>7500</v>
      </c>
      <c r="J7" s="28">
        <v>6000</v>
      </c>
      <c r="P7" s="28">
        <v>1900</v>
      </c>
      <c r="Q7" s="28">
        <v>1750</v>
      </c>
      <c r="R7" s="28">
        <v>1750</v>
      </c>
      <c r="S7" s="28">
        <v>1550</v>
      </c>
      <c r="T7" s="28">
        <v>1550</v>
      </c>
      <c r="X7" s="70">
        <v>24</v>
      </c>
    </row>
    <row r="8">
      <c r="A8" s="0" t="s">
        <v>107</v>
      </c>
      <c r="B8" s="73" t="s">
        <v>323</v>
      </c>
      <c r="C8" s="0" t="s">
        <v>331</v>
      </c>
      <c r="D8" s="69" t="str">
        <f t="shared" si="0"/>
        <v>hpdxmidlandbonespring3(bspg3)</v>
      </c>
      <c r="E8" s="70">
        <v>7</v>
      </c>
      <c r="F8" s="28">
        <v>8500</v>
      </c>
      <c r="G8" s="28">
        <v>8500</v>
      </c>
      <c r="H8" s="28">
        <v>8000</v>
      </c>
      <c r="I8" s="28">
        <v>7500</v>
      </c>
      <c r="J8" s="28">
        <v>6000</v>
      </c>
      <c r="P8" s="28">
        <v>1900</v>
      </c>
      <c r="Q8" s="28">
        <v>1750</v>
      </c>
      <c r="R8" s="28">
        <v>1750</v>
      </c>
      <c r="S8" s="28">
        <v>1550</v>
      </c>
      <c r="T8" s="28">
        <v>1550</v>
      </c>
      <c r="X8" s="70">
        <v>24</v>
      </c>
    </row>
    <row r="9">
      <c r="A9" s="0" t="s">
        <v>107</v>
      </c>
      <c r="B9" s="73" t="s">
        <v>323</v>
      </c>
      <c r="C9" s="0" t="s">
        <v>332</v>
      </c>
      <c r="D9" s="69" t="str">
        <f t="shared" si="0"/>
        <v>hpdxmidlandclearfork(clfk)</v>
      </c>
      <c r="E9" s="70">
        <v>7</v>
      </c>
      <c r="F9" s="28">
        <v>8500</v>
      </c>
      <c r="G9" s="28">
        <v>8500</v>
      </c>
      <c r="H9" s="28">
        <v>8000</v>
      </c>
      <c r="I9" s="28">
        <v>7500</v>
      </c>
      <c r="J9" s="28">
        <v>6000</v>
      </c>
      <c r="P9" s="28">
        <v>1900</v>
      </c>
      <c r="Q9" s="28">
        <v>1750</v>
      </c>
      <c r="R9" s="28">
        <v>1750</v>
      </c>
      <c r="S9" s="28">
        <v>1550</v>
      </c>
      <c r="T9" s="28">
        <v>1550</v>
      </c>
      <c r="X9" s="70">
        <v>24</v>
      </c>
    </row>
    <row r="10">
      <c r="A10" s="0" t="s">
        <v>107</v>
      </c>
      <c r="B10" s="73" t="s">
        <v>323</v>
      </c>
      <c r="C10" s="0" t="s">
        <v>151</v>
      </c>
      <c r="D10" s="69" t="str">
        <f t="shared" si="0"/>
        <v>hpdxmidlanddean</v>
      </c>
      <c r="E10" s="70">
        <v>7</v>
      </c>
      <c r="F10" s="28">
        <v>8500</v>
      </c>
      <c r="G10" s="28">
        <v>8500</v>
      </c>
      <c r="H10" s="28">
        <v>8000</v>
      </c>
      <c r="I10" s="28">
        <v>7500</v>
      </c>
      <c r="J10" s="28">
        <v>6000</v>
      </c>
      <c r="P10" s="28">
        <v>1900</v>
      </c>
      <c r="Q10" s="28">
        <v>1750</v>
      </c>
      <c r="R10" s="28">
        <v>1750</v>
      </c>
      <c r="S10" s="28">
        <v>1550</v>
      </c>
      <c r="T10" s="28">
        <v>1550</v>
      </c>
      <c r="X10" s="70">
        <v>24</v>
      </c>
    </row>
    <row r="11">
      <c r="A11" s="0" t="s">
        <v>107</v>
      </c>
      <c r="B11" s="73" t="s">
        <v>323</v>
      </c>
      <c r="C11" s="0" t="s">
        <v>333</v>
      </c>
      <c r="D11" s="69" t="str">
        <f t="shared" si="0"/>
        <v>hpdxmidlanddevonian</v>
      </c>
      <c r="E11" s="70">
        <v>7</v>
      </c>
      <c r="F11" s="28">
        <v>8500</v>
      </c>
      <c r="G11" s="28">
        <v>8500</v>
      </c>
      <c r="H11" s="28">
        <v>8000</v>
      </c>
      <c r="I11" s="28">
        <v>7500</v>
      </c>
      <c r="J11" s="28">
        <v>6000</v>
      </c>
      <c r="P11" s="28">
        <v>1900</v>
      </c>
      <c r="Q11" s="28">
        <v>1750</v>
      </c>
      <c r="R11" s="28">
        <v>1750</v>
      </c>
      <c r="S11" s="28">
        <v>1550</v>
      </c>
      <c r="T11" s="28">
        <v>1550</v>
      </c>
      <c r="X11" s="70">
        <v>24</v>
      </c>
    </row>
    <row r="12">
      <c r="A12" s="0" t="s">
        <v>107</v>
      </c>
      <c r="B12" s="73" t="s">
        <v>323</v>
      </c>
      <c r="C12" s="0" t="s">
        <v>334</v>
      </c>
      <c r="D12" s="69" t="str">
        <f t="shared" si="0"/>
        <v>hpdxmidlandellenburger</v>
      </c>
      <c r="E12" s="70">
        <v>7</v>
      </c>
      <c r="F12" s="28">
        <v>8500</v>
      </c>
      <c r="G12" s="28">
        <v>8500</v>
      </c>
      <c r="H12" s="28">
        <v>8000</v>
      </c>
      <c r="I12" s="28">
        <v>7500</v>
      </c>
      <c r="J12" s="28">
        <v>6000</v>
      </c>
      <c r="P12" s="28">
        <v>1900</v>
      </c>
      <c r="Q12" s="28">
        <v>1750</v>
      </c>
      <c r="R12" s="28">
        <v>1750</v>
      </c>
      <c r="S12" s="28">
        <v>1550</v>
      </c>
      <c r="T12" s="28">
        <v>1550</v>
      </c>
      <c r="X12" s="70">
        <v>24</v>
      </c>
    </row>
    <row r="13">
      <c r="A13" s="0" t="s">
        <v>107</v>
      </c>
      <c r="B13" s="73" t="s">
        <v>323</v>
      </c>
      <c r="C13" s="0" t="s">
        <v>335</v>
      </c>
      <c r="D13" s="69" t="str">
        <f t="shared" si="0"/>
        <v>hpdxmidlandfusselman</v>
      </c>
      <c r="E13" s="70">
        <v>7</v>
      </c>
      <c r="F13" s="28">
        <v>8500</v>
      </c>
      <c r="G13" s="28">
        <v>8500</v>
      </c>
      <c r="H13" s="28">
        <v>8000</v>
      </c>
      <c r="I13" s="28">
        <v>7500</v>
      </c>
      <c r="J13" s="28">
        <v>6000</v>
      </c>
      <c r="P13" s="28">
        <v>1900</v>
      </c>
      <c r="Q13" s="28">
        <v>1750</v>
      </c>
      <c r="R13" s="28">
        <v>1750</v>
      </c>
      <c r="S13" s="28">
        <v>1550</v>
      </c>
      <c r="T13" s="28">
        <v>1550</v>
      </c>
      <c r="X13" s="70">
        <v>24</v>
      </c>
    </row>
    <row r="14">
      <c r="A14" s="0" t="s">
        <v>107</v>
      </c>
      <c r="B14" s="73" t="s">
        <v>323</v>
      </c>
      <c r="C14" s="0" t="s">
        <v>336</v>
      </c>
      <c r="D14" s="69" t="str">
        <f t="shared" si="0"/>
        <v>hpdxmidlandgrayberg</v>
      </c>
      <c r="E14" s="70">
        <v>7</v>
      </c>
      <c r="F14" s="28">
        <v>8500</v>
      </c>
      <c r="G14" s="28">
        <v>8500</v>
      </c>
      <c r="H14" s="28">
        <v>8000</v>
      </c>
      <c r="I14" s="28">
        <v>7500</v>
      </c>
      <c r="J14" s="28">
        <v>6000</v>
      </c>
      <c r="P14" s="28">
        <v>1900</v>
      </c>
      <c r="Q14" s="28">
        <v>1750</v>
      </c>
      <c r="R14" s="28">
        <v>1750</v>
      </c>
      <c r="S14" s="28">
        <v>1550</v>
      </c>
      <c r="T14" s="28">
        <v>1550</v>
      </c>
      <c r="X14" s="70">
        <v>24</v>
      </c>
    </row>
    <row r="15">
      <c r="A15" s="0" t="s">
        <v>107</v>
      </c>
      <c r="B15" s="73" t="s">
        <v>323</v>
      </c>
      <c r="C15" s="0" t="s">
        <v>337</v>
      </c>
      <c r="D15" s="69" t="str">
        <f t="shared" si="0"/>
        <v>hpdxmidlandjomill(spbyla1)</v>
      </c>
      <c r="E15" s="70">
        <v>7</v>
      </c>
      <c r="F15" s="28">
        <v>8500</v>
      </c>
      <c r="G15" s="28">
        <v>8500</v>
      </c>
      <c r="H15" s="28">
        <v>8000</v>
      </c>
      <c r="I15" s="28">
        <v>7500</v>
      </c>
      <c r="J15" s="28">
        <v>6000</v>
      </c>
      <c r="P15" s="28">
        <v>1900</v>
      </c>
      <c r="Q15" s="28">
        <v>1750</v>
      </c>
      <c r="R15" s="28">
        <v>1750</v>
      </c>
      <c r="S15" s="28">
        <v>1550</v>
      </c>
      <c r="T15" s="28">
        <v>1550</v>
      </c>
      <c r="X15" s="70">
        <v>24</v>
      </c>
    </row>
    <row r="16">
      <c r="A16" s="0" t="s">
        <v>107</v>
      </c>
      <c r="B16" s="73" t="s">
        <v>323</v>
      </c>
      <c r="C16" s="0" t="s">
        <v>150</v>
      </c>
      <c r="D16" s="69" t="str">
        <f t="shared" si="0"/>
        <v>hpdxmidlandjomill(spbylb1)</v>
      </c>
      <c r="E16" s="70">
        <v>7</v>
      </c>
      <c r="F16" s="28">
        <v>8500</v>
      </c>
      <c r="G16" s="28">
        <v>8500</v>
      </c>
      <c r="H16" s="28">
        <v>8000</v>
      </c>
      <c r="I16" s="28">
        <v>7500</v>
      </c>
      <c r="J16" s="28">
        <v>6000</v>
      </c>
      <c r="P16" s="28">
        <v>1900</v>
      </c>
      <c r="Q16" s="28">
        <v>1750</v>
      </c>
      <c r="R16" s="28">
        <v>1750</v>
      </c>
      <c r="S16" s="28">
        <v>1550</v>
      </c>
      <c r="T16" s="28">
        <v>1550</v>
      </c>
      <c r="X16" s="70">
        <v>24</v>
      </c>
    </row>
    <row r="17">
      <c r="A17" s="0" t="s">
        <v>107</v>
      </c>
      <c r="B17" s="73" t="s">
        <v>323</v>
      </c>
      <c r="C17" s="0" t="s">
        <v>338</v>
      </c>
      <c r="D17" s="69" t="str">
        <f t="shared" si="0"/>
        <v>hpdxmidlandlowerspraberry</v>
      </c>
      <c r="E17" s="70">
        <v>7</v>
      </c>
      <c r="F17" s="28">
        <v>8500</v>
      </c>
      <c r="G17" s="28">
        <v>8500</v>
      </c>
      <c r="H17" s="28">
        <v>8000</v>
      </c>
      <c r="I17" s="28">
        <v>7500</v>
      </c>
      <c r="J17" s="28">
        <v>6000</v>
      </c>
      <c r="P17" s="28">
        <v>1900</v>
      </c>
      <c r="Q17" s="28">
        <v>1750</v>
      </c>
      <c r="R17" s="28">
        <v>1750</v>
      </c>
      <c r="S17" s="28">
        <v>1550</v>
      </c>
      <c r="T17" s="28">
        <v>1550</v>
      </c>
      <c r="X17" s="70">
        <v>24</v>
      </c>
    </row>
    <row r="18">
      <c r="A18" s="0" t="s">
        <v>107</v>
      </c>
      <c r="B18" s="73" t="s">
        <v>323</v>
      </c>
      <c r="C18" s="0" t="s">
        <v>339</v>
      </c>
      <c r="D18" s="69" t="str">
        <f t="shared" si="0"/>
        <v>hpdxmidlandlowerspraberrya3(spbyla3)</v>
      </c>
      <c r="E18" s="70">
        <v>7</v>
      </c>
      <c r="F18" s="28">
        <v>8500</v>
      </c>
      <c r="G18" s="28">
        <v>8500</v>
      </c>
      <c r="H18" s="28">
        <v>8000</v>
      </c>
      <c r="I18" s="28">
        <v>7500</v>
      </c>
      <c r="J18" s="28">
        <v>6000</v>
      </c>
      <c r="P18" s="28">
        <v>1900</v>
      </c>
      <c r="Q18" s="28">
        <v>1750</v>
      </c>
      <c r="R18" s="28">
        <v>1750</v>
      </c>
      <c r="S18" s="28">
        <v>1550</v>
      </c>
      <c r="T18" s="28">
        <v>1550</v>
      </c>
      <c r="X18" s="70">
        <v>24</v>
      </c>
    </row>
    <row r="19">
      <c r="A19" s="0" t="s">
        <v>107</v>
      </c>
      <c r="B19" s="73" t="s">
        <v>323</v>
      </c>
      <c r="C19" s="0" t="s">
        <v>340</v>
      </c>
      <c r="D19" s="69" t="str">
        <f t="shared" si="0"/>
        <v>hpdxmidlandlowerspraberrya5(sbpyla5)</v>
      </c>
      <c r="E19" s="70">
        <v>7</v>
      </c>
      <c r="F19" s="28">
        <v>8500</v>
      </c>
      <c r="G19" s="28">
        <v>8500</v>
      </c>
      <c r="H19" s="28">
        <v>8000</v>
      </c>
      <c r="I19" s="28">
        <v>7500</v>
      </c>
      <c r="J19" s="28">
        <v>6000</v>
      </c>
      <c r="P19" s="28">
        <v>1900</v>
      </c>
      <c r="Q19" s="28">
        <v>1750</v>
      </c>
      <c r="R19" s="28">
        <v>1750</v>
      </c>
      <c r="S19" s="28">
        <v>1550</v>
      </c>
      <c r="T19" s="28">
        <v>1550</v>
      </c>
      <c r="X19" s="70">
        <v>24</v>
      </c>
    </row>
    <row r="20">
      <c r="A20" s="0" t="s">
        <v>107</v>
      </c>
      <c r="B20" s="73" t="s">
        <v>323</v>
      </c>
      <c r="C20" s="0" t="s">
        <v>341</v>
      </c>
      <c r="D20" s="69" t="str">
        <f t="shared" si="0"/>
        <v>hpdxmidlandlowerspraberrya7(sbpyla7)</v>
      </c>
      <c r="E20" s="70">
        <v>7</v>
      </c>
      <c r="F20" s="28">
        <v>8500</v>
      </c>
      <c r="G20" s="28">
        <v>8500</v>
      </c>
      <c r="H20" s="28">
        <v>8000</v>
      </c>
      <c r="I20" s="28">
        <v>7500</v>
      </c>
      <c r="J20" s="28">
        <v>6000</v>
      </c>
      <c r="P20" s="28">
        <v>1900</v>
      </c>
      <c r="Q20" s="28">
        <v>1750</v>
      </c>
      <c r="R20" s="28">
        <v>1750</v>
      </c>
      <c r="S20" s="28">
        <v>1550</v>
      </c>
      <c r="T20" s="28">
        <v>1550</v>
      </c>
      <c r="X20" s="70">
        <v>24</v>
      </c>
    </row>
    <row r="21">
      <c r="A21" s="0" t="s">
        <v>107</v>
      </c>
      <c r="B21" s="73" t="s">
        <v>323</v>
      </c>
      <c r="C21" s="0" t="s">
        <v>342</v>
      </c>
      <c r="D21" s="69" t="str">
        <f t="shared" si="0"/>
        <v>hpdxmidlandlowerspraberryshale(spbylc1)</v>
      </c>
      <c r="E21" s="70">
        <v>7</v>
      </c>
      <c r="F21" s="28">
        <v>8500</v>
      </c>
      <c r="G21" s="28">
        <v>8500</v>
      </c>
      <c r="H21" s="28">
        <v>8000</v>
      </c>
      <c r="I21" s="28">
        <v>7500</v>
      </c>
      <c r="J21" s="28">
        <v>6000</v>
      </c>
      <c r="P21" s="28">
        <v>1900</v>
      </c>
      <c r="Q21" s="28">
        <v>1750</v>
      </c>
      <c r="R21" s="28">
        <v>1750</v>
      </c>
      <c r="S21" s="28">
        <v>1550</v>
      </c>
      <c r="T21" s="28">
        <v>1550</v>
      </c>
      <c r="X21" s="70">
        <v>24</v>
      </c>
    </row>
    <row r="22">
      <c r="A22" s="0" t="s">
        <v>107</v>
      </c>
      <c r="B22" s="73" t="s">
        <v>323</v>
      </c>
      <c r="C22" s="0" t="s">
        <v>156</v>
      </c>
      <c r="D22" s="69" t="str">
        <f t="shared" si="0"/>
        <v>hpdxmidlandmiddlespraberry(spbyma1)</v>
      </c>
      <c r="E22" s="70">
        <v>7</v>
      </c>
      <c r="F22" s="28">
        <v>8500</v>
      </c>
      <c r="G22" s="28">
        <v>8500</v>
      </c>
      <c r="H22" s="28">
        <v>8000</v>
      </c>
      <c r="I22" s="28">
        <v>7500</v>
      </c>
      <c r="J22" s="28">
        <v>6000</v>
      </c>
      <c r="P22" s="28">
        <v>1900</v>
      </c>
      <c r="Q22" s="28">
        <v>1750</v>
      </c>
      <c r="R22" s="28">
        <v>1750</v>
      </c>
      <c r="S22" s="28">
        <v>1550</v>
      </c>
      <c r="T22" s="28">
        <v>1550</v>
      </c>
      <c r="X22" s="70">
        <v>24</v>
      </c>
    </row>
    <row r="23">
      <c r="A23" s="0" t="s">
        <v>107</v>
      </c>
      <c r="B23" s="73" t="s">
        <v>323</v>
      </c>
      <c r="C23" s="0" t="s">
        <v>343</v>
      </c>
      <c r="D23" s="69" t="str">
        <f t="shared" si="0"/>
        <v>hpdxmidlandmissberry</v>
      </c>
      <c r="E23" s="70">
        <v>7</v>
      </c>
      <c r="F23" s="28">
        <v>8500</v>
      </c>
      <c r="G23" s="28">
        <v>8500</v>
      </c>
      <c r="H23" s="28">
        <v>8000</v>
      </c>
      <c r="I23" s="28">
        <v>7500</v>
      </c>
      <c r="J23" s="28">
        <v>6000</v>
      </c>
      <c r="P23" s="28">
        <v>1900</v>
      </c>
      <c r="Q23" s="28">
        <v>1750</v>
      </c>
      <c r="R23" s="28">
        <v>1750</v>
      </c>
      <c r="S23" s="28">
        <v>1550</v>
      </c>
      <c r="T23" s="28">
        <v>1550</v>
      </c>
      <c r="X23" s="70">
        <v>24</v>
      </c>
    </row>
    <row r="24">
      <c r="A24" s="0" t="s">
        <v>107</v>
      </c>
      <c r="B24" s="73" t="s">
        <v>323</v>
      </c>
      <c r="C24" s="0" t="s">
        <v>344</v>
      </c>
      <c r="D24" s="69" t="str">
        <f t="shared" si="0"/>
        <v>hpdxmidlandmississippian</v>
      </c>
      <c r="E24" s="70">
        <v>7</v>
      </c>
      <c r="F24" s="28">
        <v>8500</v>
      </c>
      <c r="G24" s="28">
        <v>8500</v>
      </c>
      <c r="H24" s="28">
        <v>8000</v>
      </c>
      <c r="I24" s="28">
        <v>7500</v>
      </c>
      <c r="J24" s="28">
        <v>6000</v>
      </c>
      <c r="P24" s="28">
        <v>1900</v>
      </c>
      <c r="Q24" s="28">
        <v>1750</v>
      </c>
      <c r="R24" s="28">
        <v>1750</v>
      </c>
      <c r="S24" s="28">
        <v>1550</v>
      </c>
      <c r="T24" s="28">
        <v>1550</v>
      </c>
      <c r="X24" s="70">
        <v>24</v>
      </c>
    </row>
    <row r="25">
      <c r="A25" s="0" t="s">
        <v>107</v>
      </c>
      <c r="B25" s="73" t="s">
        <v>323</v>
      </c>
      <c r="C25" s="0" t="s">
        <v>345</v>
      </c>
      <c r="D25" s="69" t="str">
        <f t="shared" si="0"/>
        <v>hpdxmidlandpre-woodfordformations</v>
      </c>
      <c r="E25" s="70">
        <v>7</v>
      </c>
      <c r="F25" s="28">
        <v>8500</v>
      </c>
      <c r="G25" s="28">
        <v>8500</v>
      </c>
      <c r="H25" s="28">
        <v>8000</v>
      </c>
      <c r="I25" s="28">
        <v>7500</v>
      </c>
      <c r="J25" s="28">
        <v>6000</v>
      </c>
      <c r="P25" s="28">
        <v>1900</v>
      </c>
      <c r="Q25" s="28">
        <v>1750</v>
      </c>
      <c r="R25" s="28">
        <v>1750</v>
      </c>
      <c r="S25" s="28">
        <v>1550</v>
      </c>
      <c r="T25" s="28">
        <v>1550</v>
      </c>
      <c r="X25" s="70">
        <v>24</v>
      </c>
    </row>
    <row r="26">
      <c r="A26" s="0" t="s">
        <v>107</v>
      </c>
      <c r="B26" s="73" t="s">
        <v>323</v>
      </c>
      <c r="C26" s="0" t="s">
        <v>346</v>
      </c>
      <c r="D26" s="69" t="str">
        <f t="shared" si="0"/>
        <v>hpdxmidlandsanandres</v>
      </c>
      <c r="E26" s="70">
        <v>7</v>
      </c>
      <c r="F26" s="28">
        <v>8500</v>
      </c>
      <c r="G26" s="28">
        <v>8500</v>
      </c>
      <c r="H26" s="28">
        <v>8000</v>
      </c>
      <c r="I26" s="28">
        <v>7500</v>
      </c>
      <c r="J26" s="28">
        <v>6000</v>
      </c>
      <c r="P26" s="28">
        <v>1900</v>
      </c>
      <c r="Q26" s="28">
        <v>1750</v>
      </c>
      <c r="R26" s="28">
        <v>1750</v>
      </c>
      <c r="S26" s="28">
        <v>1550</v>
      </c>
      <c r="T26" s="28">
        <v>1550</v>
      </c>
      <c r="X26" s="70">
        <v>24</v>
      </c>
    </row>
    <row r="27">
      <c r="A27" s="0" t="s">
        <v>107</v>
      </c>
      <c r="B27" s="73" t="s">
        <v>323</v>
      </c>
      <c r="C27" s="0" t="s">
        <v>347</v>
      </c>
      <c r="D27" s="69" t="str">
        <f t="shared" si="0"/>
        <v>hpdxmidlandspraberry</v>
      </c>
      <c r="E27" s="70">
        <v>7</v>
      </c>
      <c r="F27" s="28">
        <v>8500</v>
      </c>
      <c r="G27" s="28">
        <v>8500</v>
      </c>
      <c r="H27" s="28">
        <v>8000</v>
      </c>
      <c r="I27" s="28">
        <v>7500</v>
      </c>
      <c r="J27" s="28">
        <v>6000</v>
      </c>
      <c r="P27" s="28">
        <v>1900</v>
      </c>
      <c r="Q27" s="28">
        <v>1750</v>
      </c>
      <c r="R27" s="28">
        <v>1750</v>
      </c>
      <c r="S27" s="28">
        <v>1550</v>
      </c>
      <c r="T27" s="28">
        <v>1550</v>
      </c>
      <c r="X27" s="70">
        <v>24</v>
      </c>
    </row>
    <row r="28">
      <c r="A28" s="0" t="s">
        <v>107</v>
      </c>
      <c r="B28" s="73" t="s">
        <v>323</v>
      </c>
      <c r="C28" s="0" t="s">
        <v>348</v>
      </c>
      <c r="D28" s="69" t="str">
        <f t="shared" si="0"/>
        <v>hpdxmidlandstrawberry</v>
      </c>
      <c r="E28" s="70">
        <v>7</v>
      </c>
      <c r="F28" s="28">
        <v>8500</v>
      </c>
      <c r="G28" s="28">
        <v>8500</v>
      </c>
      <c r="H28" s="28">
        <v>8000</v>
      </c>
      <c r="I28" s="28">
        <v>7500</v>
      </c>
      <c r="J28" s="28">
        <v>6000</v>
      </c>
      <c r="P28" s="28">
        <v>1900</v>
      </c>
      <c r="Q28" s="28">
        <v>1750</v>
      </c>
      <c r="R28" s="28">
        <v>1750</v>
      </c>
      <c r="S28" s="28">
        <v>1550</v>
      </c>
      <c r="T28" s="28">
        <v>1550</v>
      </c>
      <c r="X28" s="70">
        <v>24</v>
      </c>
    </row>
    <row r="29">
      <c r="A29" s="0" t="s">
        <v>107</v>
      </c>
      <c r="B29" s="73" t="s">
        <v>323</v>
      </c>
      <c r="C29" s="0" t="s">
        <v>349</v>
      </c>
      <c r="D29" s="69" t="str">
        <f t="shared" si="0"/>
        <v>hpdxmidlandstrawn</v>
      </c>
      <c r="E29" s="70">
        <v>7</v>
      </c>
      <c r="F29" s="28">
        <v>8500</v>
      </c>
      <c r="G29" s="28">
        <v>8500</v>
      </c>
      <c r="H29" s="28">
        <v>8000</v>
      </c>
      <c r="I29" s="28">
        <v>7500</v>
      </c>
      <c r="J29" s="28">
        <v>6000</v>
      </c>
      <c r="P29" s="28">
        <v>1900</v>
      </c>
      <c r="Q29" s="28">
        <v>1750</v>
      </c>
      <c r="R29" s="28">
        <v>1750</v>
      </c>
      <c r="S29" s="28">
        <v>1550</v>
      </c>
      <c r="T29" s="28">
        <v>1550</v>
      </c>
      <c r="X29" s="70">
        <v>24</v>
      </c>
    </row>
    <row r="30">
      <c r="A30" s="0" t="s">
        <v>107</v>
      </c>
      <c r="B30" s="73" t="s">
        <v>323</v>
      </c>
      <c r="C30" s="0" t="s">
        <v>350</v>
      </c>
      <c r="D30" s="69" t="str">
        <f t="shared" si="0"/>
        <v>hpdxmidlandupperspraberry</v>
      </c>
      <c r="E30" s="70">
        <v>7</v>
      </c>
      <c r="F30" s="28">
        <v>8500</v>
      </c>
      <c r="G30" s="28">
        <v>8500</v>
      </c>
      <c r="H30" s="28">
        <v>8000</v>
      </c>
      <c r="I30" s="28">
        <v>7500</v>
      </c>
      <c r="J30" s="28">
        <v>6000</v>
      </c>
      <c r="P30" s="28">
        <v>1900</v>
      </c>
      <c r="Q30" s="28">
        <v>1750</v>
      </c>
      <c r="R30" s="28">
        <v>1750</v>
      </c>
      <c r="S30" s="28">
        <v>1550</v>
      </c>
      <c r="T30" s="28">
        <v>1550</v>
      </c>
      <c r="X30" s="70">
        <v>24</v>
      </c>
    </row>
    <row r="31">
      <c r="A31" s="0" t="s">
        <v>107</v>
      </c>
      <c r="B31" s="73" t="s">
        <v>323</v>
      </c>
      <c r="C31" s="0" t="s">
        <v>351</v>
      </c>
      <c r="D31" s="69" t="str">
        <f t="shared" si="0"/>
        <v>hpdxmidlandwolfberry</v>
      </c>
      <c r="E31" s="70">
        <v>7</v>
      </c>
      <c r="F31" s="28">
        <v>8500</v>
      </c>
      <c r="G31" s="28">
        <v>8500</v>
      </c>
      <c r="H31" s="28">
        <v>8000</v>
      </c>
      <c r="I31" s="28">
        <v>7500</v>
      </c>
      <c r="J31" s="28">
        <v>6000</v>
      </c>
      <c r="P31" s="28">
        <v>1900</v>
      </c>
      <c r="Q31" s="28">
        <v>1750</v>
      </c>
      <c r="R31" s="28">
        <v>1750</v>
      </c>
      <c r="S31" s="28">
        <v>1550</v>
      </c>
      <c r="T31" s="28">
        <v>1550</v>
      </c>
      <c r="X31" s="70">
        <v>24</v>
      </c>
    </row>
    <row r="32">
      <c r="A32" s="0" t="s">
        <v>107</v>
      </c>
      <c r="B32" s="73" t="s">
        <v>323</v>
      </c>
      <c r="C32" s="0" t="s">
        <v>352</v>
      </c>
      <c r="D32" s="69" t="str">
        <f t="shared" si="0"/>
        <v>hpdxmidlandwolfcamp</v>
      </c>
      <c r="E32" s="70">
        <v>7</v>
      </c>
      <c r="F32" s="28">
        <v>8500</v>
      </c>
      <c r="G32" s="28">
        <v>8500</v>
      </c>
      <c r="H32" s="28">
        <v>8000</v>
      </c>
      <c r="I32" s="28">
        <v>7500</v>
      </c>
      <c r="J32" s="28">
        <v>6000</v>
      </c>
      <c r="P32" s="28">
        <v>1900</v>
      </c>
      <c r="Q32" s="28">
        <v>1750</v>
      </c>
      <c r="R32" s="28">
        <v>1750</v>
      </c>
      <c r="S32" s="28">
        <v>1550</v>
      </c>
      <c r="T32" s="28">
        <v>1550</v>
      </c>
      <c r="X32" s="70">
        <v>24</v>
      </c>
    </row>
    <row r="33">
      <c r="A33" s="0" t="s">
        <v>107</v>
      </c>
      <c r="B33" s="73" t="s">
        <v>323</v>
      </c>
      <c r="C33" s="0" t="s">
        <v>353</v>
      </c>
      <c r="D33" s="69" t="str">
        <f t="shared" si="0"/>
        <v>hpdxmidlandwolfcampa1(wfmpa1)</v>
      </c>
      <c r="E33" s="70">
        <v>7</v>
      </c>
      <c r="F33" s="28">
        <v>8500</v>
      </c>
      <c r="G33" s="28">
        <v>8500</v>
      </c>
      <c r="H33" s="28">
        <v>8500</v>
      </c>
      <c r="I33" s="28">
        <v>7500</v>
      </c>
      <c r="J33" s="28">
        <v>7000</v>
      </c>
      <c r="P33" s="28">
        <v>1900</v>
      </c>
      <c r="Q33" s="28">
        <v>1750</v>
      </c>
      <c r="R33" s="28">
        <v>1750</v>
      </c>
      <c r="S33" s="28">
        <v>1550</v>
      </c>
      <c r="T33" s="28">
        <v>1550</v>
      </c>
      <c r="X33" s="70">
        <v>24</v>
      </c>
    </row>
    <row r="34">
      <c r="A34" s="0" t="s">
        <v>107</v>
      </c>
      <c r="B34" s="73" t="s">
        <v>323</v>
      </c>
      <c r="C34" s="0" t="s">
        <v>155</v>
      </c>
      <c r="D34" s="69" t="str">
        <f t="shared" si="0"/>
        <v>hpdxmidlandwolfcampa2(wfmpa2)</v>
      </c>
      <c r="E34" s="70">
        <v>7</v>
      </c>
      <c r="F34" s="28">
        <v>8500</v>
      </c>
      <c r="G34" s="28">
        <v>8500</v>
      </c>
      <c r="H34" s="28">
        <v>8500</v>
      </c>
      <c r="I34" s="28">
        <v>7500</v>
      </c>
      <c r="J34" s="28">
        <v>7000</v>
      </c>
      <c r="P34" s="28">
        <v>1900</v>
      </c>
      <c r="Q34" s="28">
        <v>1750</v>
      </c>
      <c r="R34" s="28">
        <v>1750</v>
      </c>
      <c r="S34" s="28">
        <v>1550</v>
      </c>
      <c r="T34" s="28">
        <v>1550</v>
      </c>
      <c r="X34" s="70">
        <v>24</v>
      </c>
    </row>
    <row r="35">
      <c r="A35" s="0" t="s">
        <v>107</v>
      </c>
      <c r="B35" s="73" t="s">
        <v>323</v>
      </c>
      <c r="C35" s="0" t="s">
        <v>354</v>
      </c>
      <c r="D35" s="69" t="str">
        <f t="shared" si="0"/>
        <v>hpdxmidlandwolfcampa3(wfmpa3)</v>
      </c>
      <c r="E35" s="70">
        <v>7</v>
      </c>
      <c r="F35" s="28">
        <v>8500</v>
      </c>
      <c r="G35" s="28">
        <v>8500</v>
      </c>
      <c r="H35" s="28">
        <v>8500</v>
      </c>
      <c r="I35" s="28">
        <v>7500</v>
      </c>
      <c r="J35" s="28">
        <v>7000</v>
      </c>
      <c r="P35" s="28">
        <v>1900</v>
      </c>
      <c r="Q35" s="28">
        <v>1750</v>
      </c>
      <c r="R35" s="28">
        <v>1750</v>
      </c>
      <c r="S35" s="28">
        <v>1550</v>
      </c>
      <c r="T35" s="28">
        <v>1550</v>
      </c>
      <c r="X35" s="70">
        <v>24</v>
      </c>
    </row>
    <row r="36">
      <c r="A36" s="0" t="s">
        <v>107</v>
      </c>
      <c r="B36" s="73" t="s">
        <v>323</v>
      </c>
      <c r="C36" s="0" t="s">
        <v>355</v>
      </c>
      <c r="D36" s="69" t="str">
        <f t="shared" si="0"/>
        <v>hpdxmidlandwolfcampb1(wfmpb1)</v>
      </c>
      <c r="E36" s="70">
        <v>7</v>
      </c>
      <c r="F36" s="28">
        <v>8500</v>
      </c>
      <c r="G36" s="28">
        <v>8500</v>
      </c>
      <c r="H36" s="28">
        <v>8500</v>
      </c>
      <c r="I36" s="28">
        <v>7500</v>
      </c>
      <c r="J36" s="28">
        <v>7500</v>
      </c>
      <c r="P36" s="28">
        <v>1900</v>
      </c>
      <c r="Q36" s="28">
        <v>1750</v>
      </c>
      <c r="R36" s="28">
        <v>1750</v>
      </c>
      <c r="S36" s="28">
        <v>1550</v>
      </c>
      <c r="T36" s="28">
        <v>1550</v>
      </c>
      <c r="X36" s="70">
        <v>24</v>
      </c>
    </row>
    <row r="37">
      <c r="A37" s="0" t="s">
        <v>107</v>
      </c>
      <c r="B37" s="73" t="s">
        <v>323</v>
      </c>
      <c r="C37" s="0" t="s">
        <v>154</v>
      </c>
      <c r="D37" s="69" t="str">
        <f t="shared" si="0"/>
        <v>hpdxmidlandwolfcampb2(wfmpb2)</v>
      </c>
      <c r="E37" s="70">
        <v>7</v>
      </c>
      <c r="F37" s="28">
        <v>8500</v>
      </c>
      <c r="G37" s="28">
        <v>8500</v>
      </c>
      <c r="H37" s="28">
        <v>8500</v>
      </c>
      <c r="I37" s="28">
        <v>7500</v>
      </c>
      <c r="J37" s="28">
        <v>7500</v>
      </c>
      <c r="P37" s="28">
        <v>1900</v>
      </c>
      <c r="Q37" s="28">
        <v>1750</v>
      </c>
      <c r="R37" s="28">
        <v>1750</v>
      </c>
      <c r="S37" s="28">
        <v>1550</v>
      </c>
      <c r="T37" s="28">
        <v>1550</v>
      </c>
      <c r="X37" s="70">
        <v>24</v>
      </c>
    </row>
    <row r="38">
      <c r="A38" s="0" t="s">
        <v>107</v>
      </c>
      <c r="B38" s="73" t="s">
        <v>323</v>
      </c>
      <c r="C38" s="0" t="s">
        <v>149</v>
      </c>
      <c r="D38" s="69" t="str">
        <f t="shared" si="0"/>
        <v>hpdxmidlandwolfcampb3(wfmpb3)</v>
      </c>
      <c r="E38" s="70">
        <v>7</v>
      </c>
      <c r="F38" s="28">
        <v>8500</v>
      </c>
      <c r="G38" s="28">
        <v>8500</v>
      </c>
      <c r="H38" s="28">
        <v>8500</v>
      </c>
      <c r="I38" s="28">
        <v>7500</v>
      </c>
      <c r="J38" s="28">
        <v>7500</v>
      </c>
      <c r="P38" s="28">
        <v>1900</v>
      </c>
      <c r="Q38" s="28">
        <v>1750</v>
      </c>
      <c r="R38" s="28">
        <v>1750</v>
      </c>
      <c r="S38" s="28">
        <v>1550</v>
      </c>
      <c r="T38" s="28">
        <v>1550</v>
      </c>
      <c r="X38" s="70">
        <v>24</v>
      </c>
    </row>
    <row r="39">
      <c r="A39" s="0" t="s">
        <v>107</v>
      </c>
      <c r="B39" s="73" t="s">
        <v>323</v>
      </c>
      <c r="C39" s="0" t="s">
        <v>356</v>
      </c>
      <c r="D39" s="69" t="str">
        <f t="shared" si="0"/>
        <v>hpdxmidlandwolfcampc1(wfmpc1)</v>
      </c>
      <c r="E39" s="70">
        <v>3</v>
      </c>
      <c r="F39" s="28">
        <v>12500</v>
      </c>
      <c r="G39" s="28">
        <v>12500</v>
      </c>
      <c r="H39" s="28">
        <v>10000</v>
      </c>
      <c r="I39" s="28">
        <v>7500</v>
      </c>
      <c r="J39" s="28">
        <v>4500</v>
      </c>
      <c r="P39" s="28">
        <v>1900</v>
      </c>
      <c r="Q39" s="28">
        <v>1750</v>
      </c>
      <c r="R39" s="28">
        <v>1750</v>
      </c>
      <c r="S39" s="28">
        <v>1550</v>
      </c>
      <c r="T39" s="28">
        <v>1550</v>
      </c>
      <c r="X39" s="70">
        <v>24</v>
      </c>
    </row>
    <row r="40">
      <c r="A40" s="0" t="s">
        <v>107</v>
      </c>
      <c r="B40" s="73" t="s">
        <v>323</v>
      </c>
      <c r="C40" s="0" t="s">
        <v>357</v>
      </c>
      <c r="D40" s="69" t="str">
        <f t="shared" si="0"/>
        <v>hpdxmidlandwolfcampc2(wfmpc2)</v>
      </c>
      <c r="E40" s="70">
        <v>3</v>
      </c>
      <c r="F40" s="28">
        <v>12500</v>
      </c>
      <c r="G40" s="28">
        <v>12500</v>
      </c>
      <c r="H40" s="28">
        <v>10000</v>
      </c>
      <c r="I40" s="28">
        <v>7500</v>
      </c>
      <c r="J40" s="28">
        <v>4500</v>
      </c>
      <c r="P40" s="28">
        <v>1900</v>
      </c>
      <c r="Q40" s="28">
        <v>1750</v>
      </c>
      <c r="R40" s="28">
        <v>1750</v>
      </c>
      <c r="S40" s="28">
        <v>1550</v>
      </c>
      <c r="T40" s="28">
        <v>1550</v>
      </c>
      <c r="X40" s="70">
        <v>24</v>
      </c>
    </row>
    <row r="41">
      <c r="A41" s="0" t="s">
        <v>107</v>
      </c>
      <c r="B41" s="73" t="s">
        <v>323</v>
      </c>
      <c r="C41" s="0" t="s">
        <v>157</v>
      </c>
      <c r="D41" s="69" t="str">
        <f t="shared" si="0"/>
        <v>hpdxmidlandwolfcampd(wfmpd)</v>
      </c>
      <c r="E41" s="70">
        <v>3</v>
      </c>
      <c r="F41" s="28">
        <v>12500</v>
      </c>
      <c r="G41" s="28">
        <v>12500</v>
      </c>
      <c r="H41" s="28">
        <v>10000</v>
      </c>
      <c r="I41" s="28">
        <v>7500</v>
      </c>
      <c r="J41" s="28">
        <v>4500</v>
      </c>
      <c r="P41" s="28">
        <v>1900</v>
      </c>
      <c r="Q41" s="28">
        <v>1750</v>
      </c>
      <c r="R41" s="28">
        <v>1750</v>
      </c>
      <c r="S41" s="28">
        <v>1550</v>
      </c>
      <c r="T41" s="28">
        <v>1550</v>
      </c>
      <c r="X41" s="70">
        <v>24</v>
      </c>
    </row>
    <row r="42">
      <c r="A42" s="0" t="s">
        <v>107</v>
      </c>
      <c r="B42" s="73" t="s">
        <v>323</v>
      </c>
      <c r="C42" s="0" t="s">
        <v>358</v>
      </c>
      <c r="D42" s="69" t="str">
        <f t="shared" si="0"/>
        <v>hpdxmidlandwoodford(wfrd)</v>
      </c>
      <c r="E42" s="70">
        <v>3</v>
      </c>
      <c r="F42" s="28">
        <v>12500</v>
      </c>
      <c r="G42" s="28">
        <v>12500</v>
      </c>
      <c r="H42" s="28">
        <v>10000</v>
      </c>
      <c r="I42" s="28">
        <v>7500</v>
      </c>
      <c r="J42" s="28">
        <v>4500</v>
      </c>
      <c r="P42" s="28">
        <v>1900</v>
      </c>
      <c r="Q42" s="28">
        <v>1750</v>
      </c>
      <c r="R42" s="28">
        <v>1750</v>
      </c>
      <c r="S42" s="28">
        <v>1550</v>
      </c>
      <c r="T42" s="28">
        <v>1550</v>
      </c>
      <c r="X42" s="70">
        <v>24</v>
      </c>
    </row>
    <row r="43">
      <c r="A43" s="73" t="s">
        <v>108</v>
      </c>
      <c r="B43" s="73" t="s">
        <v>196</v>
      </c>
      <c r="C43" s="74" t="s">
        <v>324</v>
      </c>
      <c r="D43" s="74" t="str">
        <f>LOWER(SUBSTITUTE(_xlfn.CONCAT(A43:C43), " ", ""))</f>
        <v>hxtomidlanddepthranges</v>
      </c>
      <c r="E43" s="75"/>
      <c r="F43" s="77">
        <v>0</v>
      </c>
      <c r="G43" s="77">
        <v>8500</v>
      </c>
      <c r="H43" s="77">
        <v>11500</v>
      </c>
      <c r="I43" s="77">
        <v>13500</v>
      </c>
      <c r="J43" s="77">
        <v>17500</v>
      </c>
      <c r="K43" s="77"/>
      <c r="L43" s="77"/>
      <c r="M43" s="77"/>
      <c r="N43" s="77" t="s">
        <v>325</v>
      </c>
      <c r="O43" s="77" t="s">
        <v>326</v>
      </c>
      <c r="P43" s="77">
        <v>0</v>
      </c>
      <c r="Q43" s="77">
        <v>18000</v>
      </c>
      <c r="R43" s="77">
        <v>20000</v>
      </c>
      <c r="S43" s="77">
        <v>22000</v>
      </c>
      <c r="T43" s="77">
        <v>30000</v>
      </c>
      <c r="U43" s="77"/>
      <c r="V43" s="77"/>
      <c r="W43" s="77"/>
      <c r="X43" s="75"/>
    </row>
    <row r="44">
      <c r="A44" s="0" t="s">
        <v>108</v>
      </c>
      <c r="B44" s="0" t="s">
        <v>196</v>
      </c>
      <c r="C44" s="0" t="s">
        <v>359</v>
      </c>
      <c r="D44" s="69" t="str">
        <f t="shared" si="0"/>
        <v>hxtomidlandjomill</v>
      </c>
      <c r="E44" s="70">
        <v>7</v>
      </c>
      <c r="F44" s="28">
        <v>8500</v>
      </c>
      <c r="G44" s="28">
        <v>8500</v>
      </c>
      <c r="H44" s="28">
        <v>8000</v>
      </c>
      <c r="I44" s="28">
        <v>7500</v>
      </c>
      <c r="J44" s="28">
        <v>6000</v>
      </c>
      <c r="P44" s="28">
        <v>1900</v>
      </c>
      <c r="Q44" s="28">
        <v>1750</v>
      </c>
      <c r="R44" s="28">
        <v>1750</v>
      </c>
      <c r="S44" s="28">
        <v>1550</v>
      </c>
      <c r="T44" s="28">
        <v>1550</v>
      </c>
      <c r="X44" s="70">
        <v>24</v>
      </c>
    </row>
    <row r="45">
      <c r="A45" s="0" t="s">
        <v>108</v>
      </c>
      <c r="B45" s="0" t="s">
        <v>196</v>
      </c>
      <c r="C45" s="0" t="s">
        <v>360</v>
      </c>
      <c r="D45" s="69" t="str">
        <f t="shared" si="0"/>
        <v>hxtomidlandlss</v>
      </c>
      <c r="E45" s="70">
        <v>7</v>
      </c>
      <c r="F45" s="28">
        <v>8500</v>
      </c>
      <c r="G45" s="28">
        <v>8500</v>
      </c>
      <c r="H45" s="28">
        <v>8000</v>
      </c>
      <c r="I45" s="28">
        <v>7500</v>
      </c>
      <c r="J45" s="28">
        <v>6000</v>
      </c>
      <c r="P45" s="28">
        <v>1900</v>
      </c>
      <c r="Q45" s="28">
        <v>1750</v>
      </c>
      <c r="R45" s="28">
        <v>1750</v>
      </c>
      <c r="S45" s="28">
        <v>1550</v>
      </c>
      <c r="T45" s="28">
        <v>1550</v>
      </c>
      <c r="X45" s="70">
        <v>24</v>
      </c>
    </row>
    <row r="46">
      <c r="A46" s="0" t="s">
        <v>108</v>
      </c>
      <c r="B46" s="0" t="s">
        <v>196</v>
      </c>
      <c r="C46" s="0" t="s">
        <v>361</v>
      </c>
      <c r="D46" s="69" t="str">
        <f t="shared" si="0"/>
        <v>hxtomidlanddean</v>
      </c>
      <c r="E46" s="70">
        <v>7</v>
      </c>
      <c r="F46" s="28">
        <v>8500</v>
      </c>
      <c r="G46" s="28">
        <v>8500</v>
      </c>
      <c r="H46" s="28">
        <v>8000</v>
      </c>
      <c r="I46" s="28">
        <v>7500</v>
      </c>
      <c r="J46" s="28">
        <v>6000</v>
      </c>
      <c r="P46" s="28">
        <v>1900</v>
      </c>
      <c r="Q46" s="28">
        <v>1750</v>
      </c>
      <c r="R46" s="28">
        <v>1750</v>
      </c>
      <c r="S46" s="28">
        <v>1550</v>
      </c>
      <c r="T46" s="28">
        <v>1550</v>
      </c>
      <c r="X46" s="70">
        <v>24</v>
      </c>
    </row>
    <row r="47">
      <c r="A47" s="0" t="s">
        <v>108</v>
      </c>
      <c r="B47" s="0" t="s">
        <v>196</v>
      </c>
      <c r="C47" s="0" t="s">
        <v>362</v>
      </c>
      <c r="D47" s="69" t="str">
        <f t="shared" si="0"/>
        <v>hxtomidlandmss</v>
      </c>
      <c r="E47" s="70">
        <v>7</v>
      </c>
      <c r="F47" s="28">
        <v>8500</v>
      </c>
      <c r="G47" s="28">
        <v>8500</v>
      </c>
      <c r="H47" s="28">
        <v>8000</v>
      </c>
      <c r="I47" s="28">
        <v>7500</v>
      </c>
      <c r="J47" s="28">
        <v>6000</v>
      </c>
      <c r="P47" s="28">
        <v>1900</v>
      </c>
      <c r="Q47" s="28">
        <v>1750</v>
      </c>
      <c r="R47" s="28">
        <v>1750</v>
      </c>
      <c r="S47" s="28">
        <v>1550</v>
      </c>
      <c r="T47" s="28">
        <v>1550</v>
      </c>
      <c r="X47" s="70">
        <v>24</v>
      </c>
    </row>
    <row r="48">
      <c r="A48" s="0" t="s">
        <v>108</v>
      </c>
      <c r="B48" s="0" t="s">
        <v>196</v>
      </c>
      <c r="C48" s="0" t="s">
        <v>363</v>
      </c>
      <c r="D48" s="69" t="str">
        <f t="shared" si="0"/>
        <v>hxtomidlandwolfcampa</v>
      </c>
      <c r="E48" s="70">
        <v>7</v>
      </c>
      <c r="F48" s="28">
        <v>8500</v>
      </c>
      <c r="G48" s="28">
        <v>8500</v>
      </c>
      <c r="H48" s="28">
        <v>8500</v>
      </c>
      <c r="I48" s="28">
        <v>7500</v>
      </c>
      <c r="J48" s="28">
        <v>7000</v>
      </c>
      <c r="P48" s="28">
        <v>1900</v>
      </c>
      <c r="Q48" s="28">
        <v>1750</v>
      </c>
      <c r="R48" s="28">
        <v>1750</v>
      </c>
      <c r="S48" s="28">
        <v>1550</v>
      </c>
      <c r="T48" s="28">
        <v>1550</v>
      </c>
      <c r="X48" s="70">
        <v>24</v>
      </c>
    </row>
    <row r="49">
      <c r="A49" s="0" t="s">
        <v>108</v>
      </c>
      <c r="B49" s="0" t="s">
        <v>196</v>
      </c>
      <c r="C49" s="0" t="s">
        <v>364</v>
      </c>
      <c r="D49" s="69" t="str">
        <f t="shared" si="0"/>
        <v>hxtomidlandwolfcampb</v>
      </c>
      <c r="E49" s="70">
        <v>7</v>
      </c>
      <c r="F49" s="28">
        <v>8500</v>
      </c>
      <c r="G49" s="28">
        <v>8500</v>
      </c>
      <c r="H49" s="28">
        <v>8500</v>
      </c>
      <c r="I49" s="28">
        <v>7500</v>
      </c>
      <c r="J49" s="28">
        <v>7500</v>
      </c>
      <c r="P49" s="28">
        <v>1900</v>
      </c>
      <c r="Q49" s="28">
        <v>1750</v>
      </c>
      <c r="R49" s="28">
        <v>1750</v>
      </c>
      <c r="S49" s="28">
        <v>1550</v>
      </c>
      <c r="T49" s="28">
        <v>1550</v>
      </c>
      <c r="X49" s="70">
        <v>24</v>
      </c>
    </row>
    <row r="50">
      <c r="A50" s="0" t="s">
        <v>108</v>
      </c>
      <c r="B50" s="0" t="s">
        <v>196</v>
      </c>
      <c r="C50" s="0" t="s">
        <v>365</v>
      </c>
      <c r="D50" s="69" t="str">
        <f t="shared" si="0"/>
        <v>hxtomidlandwolfcampc</v>
      </c>
      <c r="E50" s="70">
        <v>3</v>
      </c>
      <c r="F50" s="28">
        <v>12500</v>
      </c>
      <c r="G50" s="28">
        <v>12500</v>
      </c>
      <c r="H50" s="28">
        <v>10000</v>
      </c>
      <c r="I50" s="28">
        <v>7500</v>
      </c>
      <c r="J50" s="28">
        <v>4500</v>
      </c>
      <c r="P50" s="28">
        <v>1900</v>
      </c>
      <c r="Q50" s="28">
        <v>1750</v>
      </c>
      <c r="R50" s="28">
        <v>1750</v>
      </c>
      <c r="S50" s="28">
        <v>1550</v>
      </c>
      <c r="T50" s="28">
        <v>1550</v>
      </c>
      <c r="X50" s="70">
        <v>24</v>
      </c>
    </row>
    <row r="51">
      <c r="A51" s="0" t="s">
        <v>108</v>
      </c>
      <c r="B51" s="0" t="s">
        <v>196</v>
      </c>
      <c r="C51" s="0" t="s">
        <v>366</v>
      </c>
      <c r="D51" s="69" t="str">
        <f t="shared" si="0"/>
        <v>hxtomidlandwolfcampd</v>
      </c>
      <c r="E51" s="70">
        <v>3</v>
      </c>
      <c r="F51" s="28">
        <v>12500</v>
      </c>
      <c r="G51" s="28">
        <v>12500</v>
      </c>
      <c r="H51" s="28">
        <v>10000</v>
      </c>
      <c r="I51" s="28">
        <v>7500</v>
      </c>
      <c r="J51" s="28">
        <v>4500</v>
      </c>
      <c r="P51" s="28">
        <v>1900</v>
      </c>
      <c r="Q51" s="28">
        <v>1750</v>
      </c>
      <c r="R51" s="28">
        <v>1750</v>
      </c>
      <c r="S51" s="28">
        <v>1550</v>
      </c>
      <c r="T51" s="28">
        <v>1550</v>
      </c>
      <c r="X51" s="70">
        <v>24</v>
      </c>
    </row>
    <row r="52">
      <c r="A52" s="0" t="s">
        <v>108</v>
      </c>
      <c r="B52" s="0" t="s">
        <v>196</v>
      </c>
      <c r="C52" s="0" t="s">
        <v>367</v>
      </c>
      <c r="D52" s="69" t="str">
        <f ref="D52:D53" t="shared" si="2">LOWER(SUBSTITUTE(_xlfn.CONCAT(A52:C52), " ", ""))</f>
        <v>hxtomidlandbarnett</v>
      </c>
      <c r="E52" s="70">
        <v>3</v>
      </c>
      <c r="F52" s="28">
        <v>12500</v>
      </c>
      <c r="G52" s="28">
        <v>12500</v>
      </c>
      <c r="H52" s="28">
        <v>10000</v>
      </c>
      <c r="I52" s="28">
        <v>7500</v>
      </c>
      <c r="J52" s="28">
        <v>4500</v>
      </c>
      <c r="P52" s="28">
        <v>1900</v>
      </c>
      <c r="Q52" s="28">
        <v>1750</v>
      </c>
      <c r="R52" s="28">
        <v>1750</v>
      </c>
      <c r="S52" s="28">
        <v>1550</v>
      </c>
      <c r="T52" s="28">
        <v>1550</v>
      </c>
      <c r="X52" s="70">
        <v>24</v>
      </c>
    </row>
    <row r="53">
      <c r="A53" s="0" t="s">
        <v>108</v>
      </c>
      <c r="B53" s="0" t="s">
        <v>196</v>
      </c>
      <c r="C53" s="0" t="s">
        <v>368</v>
      </c>
      <c r="D53" s="69" t="str">
        <f t="shared" si="2"/>
        <v>hxtomidlandwoodford</v>
      </c>
      <c r="E53" s="70">
        <v>3</v>
      </c>
      <c r="F53" s="28">
        <v>12500</v>
      </c>
      <c r="G53" s="28">
        <v>12500</v>
      </c>
      <c r="H53" s="28">
        <v>10000</v>
      </c>
      <c r="I53" s="28">
        <v>7500</v>
      </c>
      <c r="J53" s="28">
        <v>4500</v>
      </c>
      <c r="P53" s="28">
        <v>1900</v>
      </c>
      <c r="Q53" s="28">
        <v>1750</v>
      </c>
      <c r="R53" s="28">
        <v>1750</v>
      </c>
      <c r="S53" s="28">
        <v>1550</v>
      </c>
      <c r="T53" s="28">
        <v>1550</v>
      </c>
      <c r="X53" s="70">
        <v>24</v>
      </c>
    </row>
    <row r="54">
      <c r="A54" s="73" t="s">
        <v>108</v>
      </c>
      <c r="B54" s="73" t="s">
        <v>197</v>
      </c>
      <c r="C54" s="74" t="s">
        <v>324</v>
      </c>
      <c r="D54" s="74" t="str">
        <f>LOWER(SUBSTITUTE(_xlfn.CONCAT(A54:C54), " ", ""))</f>
        <v>hxtodelawaredepthranges</v>
      </c>
      <c r="E54" s="75"/>
      <c r="F54" s="77">
        <v>0</v>
      </c>
      <c r="G54" s="77">
        <v>8500</v>
      </c>
      <c r="H54" s="77">
        <v>11500</v>
      </c>
      <c r="I54" s="77">
        <v>13500</v>
      </c>
      <c r="J54" s="77">
        <v>17500</v>
      </c>
      <c r="K54" s="77"/>
      <c r="L54" s="77"/>
      <c r="M54" s="77"/>
      <c r="N54" s="77" t="s">
        <v>369</v>
      </c>
      <c r="O54" s="77" t="s">
        <v>370</v>
      </c>
      <c r="P54" s="77">
        <v>0</v>
      </c>
      <c r="Q54" s="77">
        <v>8500</v>
      </c>
      <c r="R54" s="77">
        <v>11500</v>
      </c>
      <c r="S54" s="77">
        <v>13500</v>
      </c>
      <c r="T54" s="77">
        <v>17500</v>
      </c>
      <c r="U54" s="77"/>
      <c r="V54" s="77"/>
      <c r="W54" s="77"/>
      <c r="X54" s="75"/>
    </row>
    <row r="55">
      <c r="A55" s="0" t="s">
        <v>108</v>
      </c>
      <c r="B55" s="0" t="s">
        <v>197</v>
      </c>
      <c r="C55" s="0" t="s">
        <v>371</v>
      </c>
      <c r="D55" s="69" t="str">
        <f t="shared" si="0"/>
        <v>hxtodelawarebonespring(avalon)</v>
      </c>
      <c r="E55" s="70">
        <v>2.5</v>
      </c>
      <c r="F55" s="28">
        <v>9000</v>
      </c>
      <c r="G55" s="28">
        <v>9000</v>
      </c>
      <c r="H55" s="28">
        <v>8500</v>
      </c>
      <c r="I55" s="28">
        <v>6000</v>
      </c>
      <c r="J55" s="28">
        <v>5000</v>
      </c>
      <c r="P55" s="28">
        <v>8</v>
      </c>
      <c r="Q55" s="28">
        <v>8</v>
      </c>
      <c r="R55" s="28">
        <v>9</v>
      </c>
      <c r="S55" s="28">
        <v>11</v>
      </c>
      <c r="T55" s="28">
        <v>12.5</v>
      </c>
    </row>
    <row r="56">
      <c r="A56" s="0" t="s">
        <v>108</v>
      </c>
      <c r="B56" s="0" t="s">
        <v>197</v>
      </c>
      <c r="C56" s="0" t="s">
        <v>372</v>
      </c>
      <c r="D56" s="69" t="str">
        <f>LOWER(SUBSTITUTE(_xlfn.CONCAT(A56:C56), " ", ""))</f>
        <v>hxtodelaware1stbonespring</v>
      </c>
      <c r="E56" s="70">
        <v>2.5</v>
      </c>
      <c r="F56" s="28">
        <v>9000</v>
      </c>
      <c r="G56" s="28">
        <v>9000</v>
      </c>
      <c r="H56" s="28">
        <v>8500</v>
      </c>
      <c r="I56" s="28">
        <v>6000</v>
      </c>
      <c r="J56" s="28">
        <v>5000</v>
      </c>
      <c r="P56" s="28">
        <v>8</v>
      </c>
      <c r="Q56" s="28">
        <v>8</v>
      </c>
      <c r="R56" s="28">
        <v>9</v>
      </c>
      <c r="S56" s="28">
        <v>11</v>
      </c>
      <c r="T56" s="28">
        <v>12.5</v>
      </c>
    </row>
    <row r="57">
      <c r="A57" s="0" t="s">
        <v>108</v>
      </c>
      <c r="B57" s="0" t="s">
        <v>197</v>
      </c>
      <c r="C57" s="0" t="s">
        <v>373</v>
      </c>
      <c r="D57" s="69" t="str">
        <f t="shared" si="0"/>
        <v>hxtodelaware2ndbonespring</v>
      </c>
      <c r="E57" s="70">
        <v>2.5</v>
      </c>
      <c r="F57" s="28">
        <v>9000</v>
      </c>
      <c r="G57" s="28">
        <v>9000</v>
      </c>
      <c r="H57" s="28">
        <v>8500</v>
      </c>
      <c r="I57" s="28">
        <v>6000</v>
      </c>
      <c r="J57" s="28">
        <v>5000</v>
      </c>
      <c r="P57" s="28">
        <v>8</v>
      </c>
      <c r="Q57" s="28">
        <v>8</v>
      </c>
      <c r="R57" s="28">
        <v>9</v>
      </c>
      <c r="S57" s="28">
        <v>11</v>
      </c>
      <c r="T57" s="28">
        <v>12.5</v>
      </c>
    </row>
    <row r="58">
      <c r="A58" s="0" t="s">
        <v>108</v>
      </c>
      <c r="B58" s="0" t="s">
        <v>197</v>
      </c>
      <c r="C58" s="0" t="s">
        <v>374</v>
      </c>
      <c r="D58" s="69" t="str">
        <f t="shared" si="0"/>
        <v>hxtodelaware3rdbonespring</v>
      </c>
      <c r="E58" s="70">
        <v>2.5</v>
      </c>
      <c r="F58" s="28">
        <v>9000</v>
      </c>
      <c r="G58" s="28">
        <v>9000</v>
      </c>
      <c r="H58" s="28">
        <v>8500</v>
      </c>
      <c r="I58" s="28">
        <v>6000</v>
      </c>
      <c r="J58" s="28">
        <v>5000</v>
      </c>
      <c r="P58" s="28">
        <v>8</v>
      </c>
      <c r="Q58" s="28">
        <v>8</v>
      </c>
      <c r="R58" s="28">
        <v>9</v>
      </c>
      <c r="S58" s="28">
        <v>11</v>
      </c>
      <c r="T58" s="28">
        <v>12.5</v>
      </c>
    </row>
    <row r="59">
      <c r="A59" s="0" t="s">
        <v>108</v>
      </c>
      <c r="B59" s="0" t="s">
        <v>197</v>
      </c>
      <c r="C59" s="0" t="s">
        <v>375</v>
      </c>
      <c r="D59" s="69" t="str">
        <f t="shared" si="0"/>
        <v>hxtodelaware3rdbonespringshale</v>
      </c>
      <c r="E59" s="70">
        <v>2.5</v>
      </c>
      <c r="F59" s="28">
        <v>9000</v>
      </c>
      <c r="G59" s="28">
        <v>9000</v>
      </c>
      <c r="H59" s="28">
        <v>8500</v>
      </c>
      <c r="I59" s="28">
        <v>6000</v>
      </c>
      <c r="J59" s="28">
        <v>5000</v>
      </c>
      <c r="P59" s="28">
        <v>8</v>
      </c>
      <c r="Q59" s="28">
        <v>8</v>
      </c>
      <c r="R59" s="28">
        <v>9</v>
      </c>
      <c r="S59" s="28">
        <v>11</v>
      </c>
      <c r="T59" s="28">
        <v>12.5</v>
      </c>
    </row>
    <row r="60">
      <c r="A60" s="0" t="s">
        <v>108</v>
      </c>
      <c r="B60" s="0" t="s">
        <v>197</v>
      </c>
      <c r="C60" s="0" t="s">
        <v>360</v>
      </c>
      <c r="D60" s="69" t="str">
        <f t="shared" si="0"/>
        <v>hxtodelawarelss</v>
      </c>
      <c r="E60" s="70">
        <v>2.5</v>
      </c>
      <c r="F60" s="28">
        <v>9000</v>
      </c>
      <c r="G60" s="28">
        <v>9000</v>
      </c>
      <c r="H60" s="28">
        <v>8500</v>
      </c>
      <c r="I60" s="28">
        <v>6000</v>
      </c>
      <c r="J60" s="28">
        <v>5000</v>
      </c>
      <c r="P60" s="28">
        <v>8</v>
      </c>
      <c r="Q60" s="28">
        <v>8</v>
      </c>
      <c r="R60" s="28">
        <v>9</v>
      </c>
      <c r="S60" s="28">
        <v>11</v>
      </c>
      <c r="T60" s="28">
        <v>12.5</v>
      </c>
    </row>
    <row r="61">
      <c r="A61" s="0" t="s">
        <v>108</v>
      </c>
      <c r="B61" s="0" t="s">
        <v>197</v>
      </c>
      <c r="C61" s="0" t="s">
        <v>363</v>
      </c>
      <c r="D61" s="69" t="str">
        <f t="shared" si="0"/>
        <v>hxtodelawarewolfcampa</v>
      </c>
      <c r="E61" s="70">
        <v>2.5</v>
      </c>
      <c r="F61" s="28">
        <v>9000</v>
      </c>
      <c r="G61" s="28">
        <v>9000</v>
      </c>
      <c r="H61" s="28">
        <v>8500</v>
      </c>
      <c r="I61" s="28">
        <v>6000</v>
      </c>
      <c r="J61" s="28">
        <v>5000</v>
      </c>
      <c r="P61" s="28">
        <v>8</v>
      </c>
      <c r="Q61" s="28">
        <v>8</v>
      </c>
      <c r="R61" s="28">
        <v>9</v>
      </c>
      <c r="S61" s="28">
        <v>11</v>
      </c>
      <c r="T61" s="28">
        <v>12.5</v>
      </c>
    </row>
    <row r="62">
      <c r="A62" s="0" t="s">
        <v>108</v>
      </c>
      <c r="B62" s="0" t="s">
        <v>197</v>
      </c>
      <c r="C62" s="0" t="s">
        <v>365</v>
      </c>
      <c r="D62" s="69" t="str">
        <f t="shared" si="0"/>
        <v>hxtodelawarewolfcampc</v>
      </c>
      <c r="E62" s="70">
        <v>3</v>
      </c>
      <c r="F62" s="28">
        <v>9000</v>
      </c>
      <c r="G62" s="28">
        <v>9000</v>
      </c>
      <c r="H62" s="28">
        <v>8500</v>
      </c>
      <c r="I62" s="28">
        <v>6000</v>
      </c>
      <c r="J62" s="28">
        <v>5000</v>
      </c>
      <c r="P62" s="28">
        <v>8</v>
      </c>
      <c r="Q62" s="28">
        <v>8</v>
      </c>
      <c r="R62" s="28">
        <v>9</v>
      </c>
      <c r="S62" s="28">
        <v>11</v>
      </c>
      <c r="T62" s="28">
        <v>12.5</v>
      </c>
    </row>
    <row r="63">
      <c r="A63" s="0" t="s">
        <v>108</v>
      </c>
      <c r="B63" s="0" t="s">
        <v>197</v>
      </c>
      <c r="C63" s="0" t="s">
        <v>366</v>
      </c>
      <c r="D63" s="69" t="str">
        <f t="shared" si="0"/>
        <v>hxtodelawarewolfcampd</v>
      </c>
      <c r="E63" s="70">
        <v>3.5</v>
      </c>
      <c r="F63" s="28">
        <v>9000</v>
      </c>
      <c r="G63" s="28">
        <v>9000</v>
      </c>
      <c r="H63" s="28">
        <v>8500</v>
      </c>
      <c r="I63" s="28">
        <v>6000</v>
      </c>
      <c r="J63" s="28">
        <v>5000</v>
      </c>
      <c r="P63" s="28">
        <v>8</v>
      </c>
      <c r="Q63" s="28">
        <v>8</v>
      </c>
      <c r="R63" s="28">
        <v>9</v>
      </c>
      <c r="S63" s="28">
        <v>11</v>
      </c>
      <c r="T63" s="28">
        <v>12.5</v>
      </c>
    </row>
    <row r="64">
      <c r="A64" s="0" t="s">
        <v>108</v>
      </c>
      <c r="B64" s="0" t="s">
        <v>197</v>
      </c>
      <c r="C64" s="0" t="s">
        <v>376</v>
      </c>
      <c r="D64" s="69" t="str">
        <f t="shared" si="0"/>
        <v>hxtodelawarewolfcampx</v>
      </c>
      <c r="E64" s="70">
        <v>3.5</v>
      </c>
      <c r="F64" s="28">
        <v>9000</v>
      </c>
      <c r="G64" s="28">
        <v>9000</v>
      </c>
      <c r="H64" s="28">
        <v>8500</v>
      </c>
      <c r="I64" s="28">
        <v>6000</v>
      </c>
      <c r="J64" s="28">
        <v>5000</v>
      </c>
      <c r="P64" s="28">
        <v>8</v>
      </c>
      <c r="Q64" s="28">
        <v>8</v>
      </c>
      <c r="R64" s="28">
        <v>9</v>
      </c>
      <c r="S64" s="28">
        <v>11</v>
      </c>
      <c r="T64" s="28">
        <v>12.5</v>
      </c>
    </row>
    <row r="65">
      <c r="A65" s="0" t="s">
        <v>108</v>
      </c>
      <c r="B65" s="0" t="s">
        <v>197</v>
      </c>
      <c r="C65" s="0" t="s">
        <v>377</v>
      </c>
      <c r="D65" s="69" t="str">
        <f t="shared" si="0"/>
        <v>hxtodelawarewolfcampy</v>
      </c>
      <c r="E65" s="70">
        <v>3.5</v>
      </c>
      <c r="F65" s="28">
        <v>9000</v>
      </c>
      <c r="G65" s="28">
        <v>9000</v>
      </c>
      <c r="H65" s="28">
        <v>8500</v>
      </c>
      <c r="I65" s="28">
        <v>6000</v>
      </c>
      <c r="J65" s="28">
        <v>5000</v>
      </c>
      <c r="P65" s="28">
        <v>8</v>
      </c>
      <c r="Q65" s="28">
        <v>8</v>
      </c>
      <c r="R65" s="28">
        <v>9</v>
      </c>
      <c r="S65" s="28">
        <v>11</v>
      </c>
      <c r="T65" s="28">
        <v>12.5</v>
      </c>
    </row>
    <row r="66">
      <c r="A66" s="0" t="s">
        <v>108</v>
      </c>
      <c r="B66" s="0" t="s">
        <v>197</v>
      </c>
      <c r="C66" s="0" t="s">
        <v>378</v>
      </c>
      <c r="D66" s="69" t="str">
        <f t="shared" si="0"/>
        <v>hxtodelawarewolfcampxy</v>
      </c>
      <c r="E66" s="70">
        <v>3.5</v>
      </c>
      <c r="F66" s="28">
        <v>9000</v>
      </c>
      <c r="G66" s="28">
        <v>9000</v>
      </c>
      <c r="H66" s="28">
        <v>8500</v>
      </c>
      <c r="I66" s="28">
        <v>6000</v>
      </c>
      <c r="J66" s="28">
        <v>5000</v>
      </c>
      <c r="P66" s="28">
        <v>8</v>
      </c>
      <c r="Q66" s="28">
        <v>8</v>
      </c>
      <c r="R66" s="28">
        <v>9</v>
      </c>
      <c r="S66" s="28">
        <v>11</v>
      </c>
      <c r="T66" s="28">
        <v>12.5</v>
      </c>
    </row>
    <row r="67">
      <c r="A67" s="0" t="s">
        <v>108</v>
      </c>
      <c r="B67" s="0" t="s">
        <v>197</v>
      </c>
      <c r="C67" s="0" t="s">
        <v>152</v>
      </c>
      <c r="D67" s="69" t="str">
        <f t="shared" si="0"/>
        <v>hxtodelawarebonespring(bonespring2sand)</v>
      </c>
      <c r="E67" s="70">
        <v>3.5</v>
      </c>
      <c r="F67" s="28">
        <v>9000</v>
      </c>
      <c r="G67" s="28">
        <v>9000</v>
      </c>
      <c r="H67" s="28">
        <v>8500</v>
      </c>
      <c r="I67" s="28">
        <v>6000</v>
      </c>
      <c r="J67" s="28">
        <v>5000</v>
      </c>
      <c r="P67" s="28">
        <v>8</v>
      </c>
      <c r="Q67" s="28">
        <v>8</v>
      </c>
      <c r="R67" s="28">
        <v>9</v>
      </c>
      <c r="S67" s="28">
        <v>11</v>
      </c>
      <c r="T67" s="28">
        <v>12.5</v>
      </c>
    </row>
    <row r="68">
      <c r="A68" s="0" t="s">
        <v>108</v>
      </c>
      <c r="B68" s="0" t="s">
        <v>197</v>
      </c>
      <c r="C68" s="0" t="s">
        <v>153</v>
      </c>
      <c r="D68" s="69" t="str">
        <f t="shared" si="0"/>
        <v>hxtodelawarewolfcamp(wolfcampxy)</v>
      </c>
      <c r="E68" s="70">
        <v>3.5</v>
      </c>
      <c r="F68" s="28">
        <v>9000</v>
      </c>
      <c r="G68" s="28">
        <v>9000</v>
      </c>
      <c r="H68" s="28">
        <v>8500</v>
      </c>
      <c r="I68" s="28">
        <v>6000</v>
      </c>
      <c r="J68" s="28">
        <v>5000</v>
      </c>
      <c r="P68" s="28">
        <v>8</v>
      </c>
      <c r="Q68" s="28">
        <v>8</v>
      </c>
      <c r="R68" s="28">
        <v>9</v>
      </c>
      <c r="S68" s="28">
        <v>11</v>
      </c>
      <c r="T68" s="28">
        <v>12.5</v>
      </c>
    </row>
    <row r="69">
      <c r="A69" s="0" t="s">
        <v>108</v>
      </c>
      <c r="B69" s="0" t="s">
        <v>197</v>
      </c>
      <c r="C69" s="0" t="s">
        <v>379</v>
      </c>
      <c r="D69" s="69" t="str">
        <f ref="D69:D100" t="shared" si="5">LOWER(SUBSTITUTE(_xlfn.CONCAT(A69:C69), " ", ""))</f>
        <v>hxtodelawarewolfcamp(wolfcampde)</v>
      </c>
      <c r="E69" s="70">
        <v>3.5</v>
      </c>
      <c r="F69" s="28">
        <v>9000</v>
      </c>
      <c r="G69" s="28">
        <v>9000</v>
      </c>
      <c r="H69" s="28">
        <v>8500</v>
      </c>
      <c r="I69" s="28">
        <v>6000</v>
      </c>
      <c r="J69" s="28">
        <v>5000</v>
      </c>
      <c r="P69" s="28">
        <v>8</v>
      </c>
      <c r="Q69" s="28">
        <v>8</v>
      </c>
      <c r="R69" s="28">
        <v>9</v>
      </c>
      <c r="S69" s="28">
        <v>11</v>
      </c>
      <c r="T69" s="28">
        <v>12.5</v>
      </c>
    </row>
    <row r="70">
      <c r="D70" s="69" t="str">
        <f t="shared" si="5"/>
      </c>
    </row>
    <row r="71">
      <c r="D71" s="69" t="str">
        <f t="shared" si="5"/>
      </c>
    </row>
    <row r="72">
      <c r="D72" s="69" t="str">
        <f t="shared" si="5"/>
      </c>
    </row>
    <row r="73">
      <c r="D73" s="69" t="str">
        <f t="shared" si="5"/>
      </c>
    </row>
    <row r="74">
      <c r="D74" s="69" t="str">
        <f t="shared" si="5"/>
      </c>
    </row>
    <row r="75">
      <c r="D75" s="69" t="str">
        <f t="shared" si="5"/>
      </c>
    </row>
    <row r="76">
      <c r="D76" s="69" t="str">
        <f t="shared" si="5"/>
      </c>
    </row>
    <row r="77">
      <c r="D77" s="69" t="str">
        <f t="shared" si="5"/>
      </c>
    </row>
    <row r="78">
      <c r="D78" s="69" t="str">
        <f t="shared" si="5"/>
      </c>
    </row>
    <row r="79">
      <c r="D79" s="69" t="str">
        <f t="shared" si="5"/>
      </c>
    </row>
    <row r="80">
      <c r="D80" s="69" t="str">
        <f t="shared" si="5"/>
      </c>
    </row>
    <row r="81">
      <c r="D81" s="69" t="str">
        <f t="shared" si="5"/>
      </c>
    </row>
    <row r="82">
      <c r="D82" s="69" t="str">
        <f t="shared" si="5"/>
      </c>
    </row>
    <row r="83">
      <c r="D83" s="69" t="str">
        <f t="shared" si="5"/>
      </c>
    </row>
    <row r="84">
      <c r="D84" s="69" t="str">
        <f t="shared" si="5"/>
      </c>
    </row>
    <row r="85">
      <c r="D85" s="69" t="str">
        <f t="shared" si="5"/>
      </c>
    </row>
    <row r="86">
      <c r="D86" s="69" t="str">
        <f t="shared" si="5"/>
      </c>
    </row>
    <row r="87">
      <c r="D87" s="69" t="str">
        <f t="shared" si="5"/>
      </c>
    </row>
    <row r="88">
      <c r="D88" s="69" t="str">
        <f t="shared" si="5"/>
      </c>
    </row>
    <row r="89">
      <c r="D89" s="69" t="str">
        <f t="shared" si="5"/>
      </c>
    </row>
    <row r="90">
      <c r="D90" s="69" t="str">
        <f t="shared" si="5"/>
      </c>
    </row>
    <row r="91">
      <c r="D91" s="69" t="str">
        <f t="shared" si="5"/>
      </c>
    </row>
    <row r="92">
      <c r="D92" s="69" t="str">
        <f t="shared" si="5"/>
      </c>
    </row>
    <row r="93">
      <c r="D93" s="69" t="str">
        <f t="shared" si="5"/>
      </c>
    </row>
    <row r="94">
      <c r="D94" s="69" t="str">
        <f t="shared" si="5"/>
      </c>
    </row>
    <row r="95">
      <c r="D95" s="69" t="str">
        <f t="shared" si="5"/>
      </c>
    </row>
    <row r="96">
      <c r="D96" s="69" t="str">
        <f t="shared" si="5"/>
      </c>
    </row>
    <row r="97">
      <c r="D97" s="69" t="str">
        <f t="shared" si="5"/>
      </c>
    </row>
    <row r="98">
      <c r="D98" s="69" t="str">
        <f t="shared" si="5"/>
      </c>
    </row>
    <row r="99">
      <c r="D99" s="69" t="str">
        <f t="shared" si="5"/>
      </c>
    </row>
    <row r="100">
      <c r="D100" s="69" t="str">
        <f t="shared" si="5"/>
      </c>
    </row>
  </sheetData>
  <sortState xmlns:xlrd2="http://schemas.microsoft.com/office/spreadsheetml/2017/richdata2" ref="G3:G14">
    <sortCondition ref="G3"/>
  </sortState>
  <mergeCells>
    <mergeCell ref="N1:W1"/>
    <mergeCell ref="F1:M1"/>
    <mergeCell ref="C1:C2"/>
    <mergeCell ref="A1:A2"/>
    <mergeCell ref="B1:B2"/>
    <mergeCell ref="D1:D2"/>
  </mergeCells>
  <pageMargins left="0.7" right="0.7" top="0.75" bottom="0.75" header="0.3" footer="0.3"/>
  <pageSetup orientation="portrait"/>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A41785-8ACC-4D2F-9B89-E21B7483E4AE}">
  <sheetPr codeName="Sheet3"/>
  <sheetViews>
    <sheetView workbookViewId="0" tabSelected="0">
      <selection activeCell="H37" sqref="H37"/>
    </sheetView>
  </sheetViews>
  <sheetFormatPr defaultRowHeight="15" x14ac:dyDescent="0.25"/>
  <sheetData/>
  <pageMargins left="0.7" right="0.7" top="0.75" bottom="0.75" header="0.3" footer="0.3"/>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112A23-BCA7-4499-ABC0-FD89C22C3F53}">
  <sheetPr codeName="Sheet4"/>
  <dimension ref="A1:B6"/>
  <sheetViews>
    <sheetView topLeftCell="A5" workbookViewId="0" tabSelected="0">
      <selection activeCell="F5" sqref="F5"/>
    </sheetView>
  </sheetViews>
  <sheetFormatPr defaultRowHeight="15" x14ac:dyDescent="0.25"/>
  <cols>
    <col min="1" max="1" width="16.42578125" customWidth="1"/>
    <col min="2" max="2" width="184.5703125" customWidth="1"/>
  </cols>
  <sheetData>
    <row r="1">
      <c r="A1" s="0" t="s">
        <v>380</v>
      </c>
      <c r="B1" s="0" t="s">
        <v>381</v>
      </c>
    </row>
    <row r="2">
      <c r="A2" s="0" t="s">
        <v>382</v>
      </c>
      <c r="B2" s="0" t="s">
        <v>0</v>
      </c>
    </row>
    <row r="3">
      <c r="A3" s="0" t="s">
        <v>383</v>
      </c>
      <c r="B3" s="0" t="s">
        <v>384</v>
      </c>
    </row>
    <row r="4">
      <c r="A4" s="0" t="s">
        <v>385</v>
      </c>
      <c r="B4" s="0" t="s">
        <v>386</v>
      </c>
    </row>
    <row r="5" ht="409.5" customHeight="1">
      <c r="A5" s="46" t="s">
        <v>387</v>
      </c>
      <c r="B5" s="47" t="s">
        <v>388</v>
      </c>
    </row>
    <row r="6" ht="300">
      <c r="A6" s="46" t="s">
        <v>389</v>
      </c>
      <c r="B6" s="47" t="s">
        <v>390</v>
      </c>
    </row>
  </sheetData>
  <pageMargins left="0.7" right="0.7" top="0.75" bottom="0.75" header="0.3" footer="0.3"/>
  <headerFooter/>
</worksheet>
</file>

<file path=docMetadata/LabelInfo.xml><?xml version="1.0" encoding="utf-8"?>
<clbl:labelList xmlns:clbl="http://schemas.microsoft.com/office/2020/mipLabelMetadata">
  <clbl:label id="{092277f7-5f06-4209-8c6b-d3f322455381}" enabled="1" method="Standard" siteId="{d1ee1acd-bc7a-4bc4-a787-938c49a83906}" contentBits="0"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9</vt:i4>
      </vt:variant>
    </vt:vector>
  </HeadingPairs>
  <TitlesOfParts>
    <vt:vector size="16" baseType="lpstr">
      <vt:lpstr>Report</vt:lpstr>
      <vt:lpstr>Summary</vt:lpstr>
      <vt:lpstr>Inputs</vt:lpstr>
      <vt:lpstr>Cleanout Inputs</vt:lpstr>
      <vt:lpstr>Target Attainment</vt:lpstr>
      <vt:lpstr>Dropdown Lists</vt:lpstr>
      <vt:lpstr>_TemplateInfo</vt:lpstr>
      <vt:lpstr>Date</vt:lpstr>
      <vt:lpstr>DOLOADER1</vt:lpstr>
      <vt:lpstr>DOLOADERURL1</vt:lpstr>
      <vt:lpstr>DOLOADERURL2</vt:lpstr>
      <vt:lpstr>DOLOADERURL3</vt:lpstr>
      <vt:lpstr>DOLOADERURL4</vt:lpstr>
      <vt:lpstr>MyDate</vt:lpstr>
      <vt:lpstr>Report!Print_Area</vt:lpstr>
      <vt:lpstr>visible</vt:lpstr>
    </vt:vector>
  </TitlesOfParts>
  <Company>ExxonMobil</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DOPOD1</dc:creator>
  <cp:lastModifiedBy>DOPOD2 DrillOutSupport</cp:lastModifiedBy>
  <cp:lastPrinted>2026-07-28T17:28:24Z</cp:lastPrinted>
  <dcterms:created xsi:type="dcterms:W3CDTF">2024-07-26T00:05:47Z</dcterms:created>
  <dcterms:modified xsi:type="dcterms:W3CDTF">2026-09-09T12:37:03Z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MSIP_Label_092277f7-5f06-4209-8c6b-d3f322455381_Enabled">
    <vt:lpwstr>true</vt:lpwstr>
  </property>
  <property fmtid="{D5CDD505-2E9C-101B-9397-08002B2CF9AE}" pid="4" name="MSIP_Label_092277f7-5f06-4209-8c6b-d3f322455381_SetDate">
    <vt:lpwstr>2026-06-15T15:11:16Z</vt:lpwstr>
  </property>
  <property fmtid="{D5CDD505-2E9C-101B-9397-08002B2CF9AE}" pid="5" name="MSIP_Label_092277f7-5f06-4209-8c6b-d3f322455381_Method">
    <vt:lpwstr>Standard</vt:lpwstr>
  </property>
  <property fmtid="{D5CDD505-2E9C-101B-9397-08002B2CF9AE}" pid="6" name="MSIP_Label_092277f7-5f06-4209-8c6b-d3f322455381_Name">
    <vt:lpwstr>Unclassified</vt:lpwstr>
  </property>
  <property fmtid="{D5CDD505-2E9C-101B-9397-08002B2CF9AE}" pid="7" name="MSIP_Label_092277f7-5f06-4209-8c6b-d3f322455381_SiteId">
    <vt:lpwstr>d1ee1acd-bc7a-4bc4-a787-938c49a83906</vt:lpwstr>
  </property>
  <property fmtid="{D5CDD505-2E9C-101B-9397-08002B2CF9AE}" pid="8" name="MSIP_Label_092277f7-5f06-4209-8c6b-d3f322455381_ActionId">
    <vt:lpwstr>574a54e9-3dba-450d-8c85-f439c9cc794a</vt:lpwstr>
  </property>
  <property fmtid="{D5CDD505-2E9C-101B-9397-08002B2CF9AE}" pid="9" name="MSIP_Label_092277f7-5f06-4209-8c6b-d3f322455381_ContentBits">
    <vt:lpwstr>0</vt:lpwstr>
  </property>
  <property fmtid="{D5CDD505-2E9C-101B-9397-08002B2CF9AE}" pid="10" name="MSIP_Label_092277f7-5f06-4209-8c6b-d3f322455381_Tag">
    <vt:lpwstr>10, 3, 0, 1</vt:lpwstr>
  </property>
  <property fmtid="{D5CDD505-2E9C-101B-9397-08002B2CF9AE}" pid="11" name="_AdHocReviewCycleID">
    <vt:i4>1145770724</vt:i4>
  </property>
  <property fmtid="{D5CDD505-2E9C-101B-9397-08002B2CF9AE}" pid="12" name="_EmailSubject">
    <vt:lpwstr/>
  </property>
  <property fmtid="{D5CDD505-2E9C-101B-9397-08002B2CF9AE}" pid="13" name="_AuthorEmail">
    <vt:lpwstr>cody.martin@exxonmobil.com</vt:lpwstr>
  </property>
  <property fmtid="{D5CDD505-2E9C-101B-9397-08002B2CF9AE}" pid="14" name="_AuthorEmailDisplayName">
    <vt:lpwstr>Martin, Cody B</vt:lpwstr>
  </property>
</Properties>
</file>