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Well Servicing Performance Engineer\Target Attainment\"/>
    </mc:Choice>
  </mc:AlternateContent>
  <xr:revisionPtr revIDLastSave="0" documentId="13_ncr:1_{C93F7EF4-A08F-408B-BBDC-9122B4F37F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w Tar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1" l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W25" i="1"/>
  <c r="W26" i="1"/>
  <c r="W27" i="1"/>
  <c r="W24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M40" i="1"/>
  <c r="M41" i="1"/>
  <c r="M42" i="1"/>
  <c r="M39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B40" i="1"/>
  <c r="B41" i="1"/>
  <c r="B42" i="1"/>
  <c r="B39" i="1"/>
  <c r="B24" i="1"/>
  <c r="B25" i="1"/>
  <c r="F32" i="1" s="1"/>
  <c r="B26" i="1"/>
  <c r="B27" i="1"/>
  <c r="C24" i="1"/>
  <c r="C25" i="1"/>
  <c r="C26" i="1"/>
  <c r="C27" i="1"/>
  <c r="G34" i="1" s="1"/>
  <c r="D24" i="1"/>
  <c r="D25" i="1"/>
  <c r="D26" i="1"/>
  <c r="H33" i="1" s="1"/>
  <c r="D27" i="1"/>
  <c r="E24" i="1"/>
  <c r="E25" i="1"/>
  <c r="E26" i="1"/>
  <c r="E27" i="1"/>
  <c r="F24" i="1"/>
  <c r="F25" i="1"/>
  <c r="F26" i="1"/>
  <c r="J33" i="1" s="1"/>
  <c r="F27" i="1"/>
  <c r="H32" i="1"/>
  <c r="G33" i="1"/>
  <c r="H34" i="1"/>
  <c r="G31" i="1"/>
  <c r="J34" i="1"/>
  <c r="F31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W19" i="1"/>
  <c r="W20" i="1"/>
  <c r="W21" i="1"/>
  <c r="W22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W13" i="1"/>
  <c r="W14" i="1"/>
  <c r="W15" i="1"/>
  <c r="W12" i="1"/>
  <c r="Y5" i="1"/>
  <c r="Y6" i="1"/>
  <c r="Y7" i="1"/>
  <c r="Y8" i="1"/>
  <c r="Y4" i="1"/>
  <c r="Q27" i="1"/>
  <c r="O27" i="1"/>
  <c r="O26" i="1"/>
  <c r="N24" i="1"/>
  <c r="N25" i="1"/>
  <c r="N26" i="1"/>
  <c r="M26" i="1"/>
  <c r="M27" i="1"/>
  <c r="N27" i="1"/>
  <c r="P27" i="1"/>
  <c r="F33" i="1"/>
  <c r="F34" i="1"/>
  <c r="I31" i="1"/>
  <c r="J31" i="1"/>
  <c r="M25" i="1"/>
  <c r="O25" i="1"/>
  <c r="P26" i="1"/>
  <c r="P25" i="1"/>
  <c r="Q26" i="1"/>
  <c r="Q25" i="1"/>
  <c r="Q24" i="1"/>
  <c r="P24" i="1"/>
  <c r="O24" i="1"/>
  <c r="M24" i="1"/>
  <c r="J32" i="1" l="1"/>
  <c r="I34" i="1"/>
  <c r="AB25" i="1"/>
  <c r="I33" i="1"/>
  <c r="I32" i="1"/>
  <c r="G32" i="1"/>
  <c r="K32" i="1" s="1"/>
  <c r="K33" i="1"/>
  <c r="AB27" i="1"/>
  <c r="AB26" i="1"/>
  <c r="AB24" i="1"/>
  <c r="K34" i="1"/>
  <c r="H31" i="1"/>
  <c r="K31" i="1" s="1"/>
</calcChain>
</file>

<file path=xl/sharedStrings.xml><?xml version="1.0" encoding="utf-8"?>
<sst xmlns="http://schemas.openxmlformats.org/spreadsheetml/2006/main" count="148" uniqueCount="24">
  <si>
    <t>TIH Array - Formation (hrs)
Current Target</t>
  </si>
  <si>
    <t>TIH Array - Formation (hrs)
New Target</t>
  </si>
  <si>
    <t>Formation</t>
  </si>
  <si>
    <t>TIH Duration (hrs)</t>
  </si>
  <si>
    <t>MSS, JM, LSS, Dean</t>
  </si>
  <si>
    <t>WCA</t>
  </si>
  <si>
    <t>Set Prod</t>
  </si>
  <si>
    <t>WCB</t>
  </si>
  <si>
    <t>JM,LSS,MSS, Dean</t>
  </si>
  <si>
    <t>WCC</t>
  </si>
  <si>
    <t>WCD, Barnett, Woodford</t>
  </si>
  <si>
    <t>WCC, WCD , Barnett &amp; Woodford</t>
  </si>
  <si>
    <t>TOOH Hrs</t>
  </si>
  <si>
    <t>&lt;8.5k</t>
  </si>
  <si>
    <t>8.5-11.5k</t>
  </si>
  <si>
    <t>11.5-13.5k</t>
  </si>
  <si>
    <t>13.5-17.5k</t>
  </si>
  <si>
    <t>17.5k+</t>
  </si>
  <si>
    <t>Drillout Array - Formation and LL (ft/day)</t>
  </si>
  <si>
    <t>Midland Current Targets</t>
  </si>
  <si>
    <t>Midland (New Targets)</t>
  </si>
  <si>
    <t>Total Days Difference</t>
  </si>
  <si>
    <t>Midland (New TA Goal)</t>
  </si>
  <si>
    <t>*TA Does not include Set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</si>
</sst>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4" fontId="0" fillId="0" borderId="4" xfId="0" applyNumberFormat="1" applyBorder="1"/>
    <xf numFmtId="0" fontId="0" fillId="2" borderId="4" xfId="0" applyFill="1" applyBorder="1"/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0" borderId="0" xfId="0" applyNumberFormat="1"/>
    <xf numFmtId="2" fontId="0" fillId="2" borderId="1" xfId="0" applyNumberFormat="1" applyFill="1" applyBorder="1"/>
    <xf numFmtId="0" fontId="0" fillId="0" borderId="1" xfId="0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tabSelected="1" topLeftCell="B1" zoomScale="70" zoomScaleNormal="70" workbookViewId="0">
      <selection activeCell="R31" sqref="R31"/>
    </sheetView>
  </sheetViews>
  <sheetFormatPr defaultRowHeight="15" x14ac:dyDescent="0.25"/>
  <cols>
    <col min="1" max="1" width="31" bestFit="1" customWidth="1"/>
    <col min="2" max="4" width="16.7109375" bestFit="1" customWidth="1"/>
    <col min="5" max="6" width="12" bestFit="1" customWidth="1"/>
    <col min="12" max="12" width="31" bestFit="1" customWidth="1"/>
    <col min="13" max="15" width="16.7109375" bestFit="1" customWidth="1"/>
    <col min="16" max="17" width="13.42578125" bestFit="1" customWidth="1"/>
    <col min="22" max="22" width="31" bestFit="1" customWidth="1"/>
    <col min="23" max="23" width="7.140625" bestFit="1" customWidth="1"/>
    <col min="24" max="24" width="21.7109375" bestFit="1" customWidth="1"/>
    <col min="25" max="25" width="17.85546875" bestFit="1" customWidth="1"/>
    <col min="26" max="27" width="12.28515625" bestFit="1" customWidth="1"/>
  </cols>
  <sheetData>
    <row r="1" spans="1:27" x14ac:dyDescent="0.25">
      <c r="C1" s="1" t="s">
        <v>19</v>
      </c>
      <c r="N1" s="1" t="s">
        <v>20</v>
      </c>
      <c r="X1" s="1" t="s">
        <v>22</v>
      </c>
    </row>
    <row r="2" spans="1:27" ht="90" x14ac:dyDescent="0.25">
      <c r="A2" s="21" t="s">
        <v>0</v>
      </c>
      <c r="B2" s="21"/>
      <c r="C2" s="2"/>
      <c r="D2" s="3" t="s">
        <v>1</v>
      </c>
      <c r="F2" s="4"/>
      <c r="L2" s="21" t="s">
        <v>0</v>
      </c>
      <c r="M2" s="21"/>
      <c r="N2" s="2"/>
      <c r="O2" s="3" t="s">
        <v>1</v>
      </c>
      <c r="Q2" s="4"/>
      <c r="V2" s="21" t="s">
        <v>0</v>
      </c>
      <c r="W2" s="21"/>
      <c r="X2" s="2"/>
      <c r="Y2" s="3" t="s">
        <v>1</v>
      </c>
      <c r="AA2" s="4"/>
    </row>
    <row r="3" spans="1:27" x14ac:dyDescent="0.25">
      <c r="A3" s="5" t="s">
        <v>2</v>
      </c>
      <c r="B3" s="5"/>
      <c r="C3" s="5"/>
      <c r="D3" s="6" t="s">
        <v>3</v>
      </c>
      <c r="E3" s="7"/>
      <c r="L3" s="5" t="s">
        <v>2</v>
      </c>
      <c r="M3" s="5"/>
      <c r="N3" s="5"/>
      <c r="O3" s="6" t="s">
        <v>3</v>
      </c>
      <c r="P3" s="7"/>
      <c r="V3" s="5" t="s">
        <v>2</v>
      </c>
      <c r="W3" s="5"/>
      <c r="X3" s="5"/>
      <c r="Y3" s="6" t="s">
        <v>3</v>
      </c>
      <c r="Z3" s="7" t="s">
        <v>23</v>
      </c>
    </row>
    <row r="4" spans="1:27" x14ac:dyDescent="0.25">
      <c r="A4" s="5" t="s">
        <v>4</v>
      </c>
      <c r="B4" s="5"/>
      <c r="C4" s="8"/>
      <c r="D4" s="6">
        <v>7</v>
      </c>
      <c r="L4" s="5" t="s">
        <v>4</v>
      </c>
      <c r="M4" s="5"/>
      <c r="N4" s="8"/>
      <c r="O4" s="6">
        <v>9</v>
      </c>
      <c r="V4" s="5" t="s">
        <v>4</v>
      </c>
      <c r="W4" s="5"/>
      <c r="X4" s="8"/>
      <c r="Y4" s="20">
        <f>D4/O4</f>
        <v>0.77777777777777779</v>
      </c>
    </row>
    <row r="5" spans="1:27" x14ac:dyDescent="0.25">
      <c r="A5" s="5" t="s">
        <v>5</v>
      </c>
      <c r="B5" s="5"/>
      <c r="C5" s="8"/>
      <c r="D5" s="6">
        <v>7</v>
      </c>
      <c r="I5" t="s">
        <v>6</v>
      </c>
      <c r="L5" s="5" t="s">
        <v>5</v>
      </c>
      <c r="M5" s="5"/>
      <c r="N5" s="8"/>
      <c r="O5" s="6">
        <v>9</v>
      </c>
      <c r="T5" t="s">
        <v>6</v>
      </c>
      <c r="V5" s="5" t="s">
        <v>5</v>
      </c>
      <c r="W5" s="5"/>
      <c r="X5" s="8"/>
      <c r="Y5" s="20">
        <f t="shared" ref="Y5:Y8" si="0">D5/O5</f>
        <v>0.77777777777777779</v>
      </c>
    </row>
    <row r="6" spans="1:27" x14ac:dyDescent="0.25">
      <c r="A6" s="5" t="s">
        <v>7</v>
      </c>
      <c r="B6" s="5"/>
      <c r="C6" s="8"/>
      <c r="D6" s="6">
        <v>7</v>
      </c>
      <c r="I6" s="9" t="s">
        <v>8</v>
      </c>
      <c r="J6">
        <v>0.75</v>
      </c>
      <c r="L6" s="5" t="s">
        <v>7</v>
      </c>
      <c r="M6" s="5"/>
      <c r="N6" s="8"/>
      <c r="O6" s="6">
        <v>9</v>
      </c>
      <c r="T6" s="9" t="s">
        <v>8</v>
      </c>
      <c r="U6">
        <v>1</v>
      </c>
      <c r="V6" s="5" t="s">
        <v>7</v>
      </c>
      <c r="W6" s="5"/>
      <c r="X6" s="8"/>
      <c r="Y6" s="20">
        <f t="shared" si="0"/>
        <v>0.77777777777777779</v>
      </c>
    </row>
    <row r="7" spans="1:27" x14ac:dyDescent="0.25">
      <c r="A7" s="5" t="s">
        <v>9</v>
      </c>
      <c r="B7" s="5"/>
      <c r="C7" s="8"/>
      <c r="D7" s="6">
        <v>3</v>
      </c>
      <c r="I7" s="9" t="s">
        <v>5</v>
      </c>
      <c r="J7">
        <v>0.75</v>
      </c>
      <c r="L7" s="5" t="s">
        <v>9</v>
      </c>
      <c r="M7" s="5"/>
      <c r="N7" s="8"/>
      <c r="O7" s="6">
        <v>3</v>
      </c>
      <c r="T7" s="9" t="s">
        <v>5</v>
      </c>
      <c r="U7">
        <v>1</v>
      </c>
      <c r="V7" s="5" t="s">
        <v>9</v>
      </c>
      <c r="W7" s="5"/>
      <c r="X7" s="8"/>
      <c r="Y7" s="20">
        <f t="shared" si="0"/>
        <v>1</v>
      </c>
    </row>
    <row r="8" spans="1:27" x14ac:dyDescent="0.25">
      <c r="A8" s="5" t="s">
        <v>10</v>
      </c>
      <c r="B8" s="5"/>
      <c r="C8" s="8"/>
      <c r="D8" s="6">
        <v>3</v>
      </c>
      <c r="I8" s="9" t="s">
        <v>7</v>
      </c>
      <c r="J8">
        <v>0.75</v>
      </c>
      <c r="L8" s="5" t="s">
        <v>10</v>
      </c>
      <c r="M8" s="5"/>
      <c r="N8" s="8"/>
      <c r="O8" s="6">
        <v>3</v>
      </c>
      <c r="T8" s="9" t="s">
        <v>7</v>
      </c>
      <c r="U8">
        <v>1</v>
      </c>
      <c r="V8" s="5" t="s">
        <v>10</v>
      </c>
      <c r="W8" s="5"/>
      <c r="X8" s="8"/>
      <c r="Y8" s="20">
        <f t="shared" si="0"/>
        <v>1</v>
      </c>
    </row>
    <row r="9" spans="1:27" x14ac:dyDescent="0.25">
      <c r="A9" s="10"/>
      <c r="B9" s="11"/>
      <c r="C9" s="12"/>
      <c r="D9" s="13"/>
      <c r="I9" s="14" t="s">
        <v>11</v>
      </c>
      <c r="J9">
        <v>0.75</v>
      </c>
      <c r="L9" s="10"/>
      <c r="M9" s="11"/>
      <c r="N9" s="12"/>
      <c r="O9" s="13"/>
      <c r="T9" s="14" t="s">
        <v>11</v>
      </c>
      <c r="U9">
        <v>1</v>
      </c>
      <c r="V9" s="10"/>
      <c r="W9" s="11"/>
      <c r="X9" s="12"/>
      <c r="Y9" s="13"/>
    </row>
    <row r="10" spans="1:27" x14ac:dyDescent="0.25">
      <c r="A10" s="22" t="s">
        <v>12</v>
      </c>
      <c r="B10" s="23"/>
      <c r="C10" s="23"/>
      <c r="D10" s="23"/>
      <c r="E10" s="23"/>
      <c r="F10" s="24"/>
      <c r="L10" s="22" t="s">
        <v>12</v>
      </c>
      <c r="M10" s="23"/>
      <c r="N10" s="23"/>
      <c r="O10" s="23"/>
      <c r="P10" s="23"/>
      <c r="Q10" s="24"/>
      <c r="V10" s="22" t="s">
        <v>12</v>
      </c>
      <c r="W10" s="23"/>
      <c r="X10" s="23"/>
      <c r="Y10" s="23"/>
      <c r="Z10" s="23"/>
      <c r="AA10" s="24"/>
    </row>
    <row r="11" spans="1:27" x14ac:dyDescent="0.25">
      <c r="A11" s="9" t="s">
        <v>2</v>
      </c>
      <c r="B11" s="9" t="s">
        <v>13</v>
      </c>
      <c r="C11" s="9" t="s">
        <v>14</v>
      </c>
      <c r="D11" s="9" t="s">
        <v>15</v>
      </c>
      <c r="E11" s="9" t="s">
        <v>16</v>
      </c>
      <c r="F11" s="9" t="s">
        <v>17</v>
      </c>
      <c r="L11" s="9" t="s">
        <v>2</v>
      </c>
      <c r="M11" s="9" t="s">
        <v>13</v>
      </c>
      <c r="N11" s="9" t="s">
        <v>14</v>
      </c>
      <c r="O11" s="9" t="s">
        <v>15</v>
      </c>
      <c r="P11" s="9" t="s">
        <v>16</v>
      </c>
      <c r="Q11" s="9" t="s">
        <v>17</v>
      </c>
      <c r="V11" s="9" t="s">
        <v>2</v>
      </c>
      <c r="W11" s="9" t="s">
        <v>13</v>
      </c>
      <c r="X11" s="9" t="s">
        <v>14</v>
      </c>
      <c r="Y11" s="9" t="s">
        <v>15</v>
      </c>
      <c r="Z11" s="9" t="s">
        <v>16</v>
      </c>
      <c r="AA11" s="9" t="s">
        <v>17</v>
      </c>
    </row>
    <row r="12" spans="1:27" x14ac:dyDescent="0.25">
      <c r="A12" s="9" t="s">
        <v>8</v>
      </c>
      <c r="B12" s="15">
        <v>9.3000000000000007</v>
      </c>
      <c r="C12" s="15">
        <v>9.3000000000000007</v>
      </c>
      <c r="D12" s="15">
        <v>10.8</v>
      </c>
      <c r="E12" s="15">
        <v>11.9</v>
      </c>
      <c r="F12" s="15">
        <v>14</v>
      </c>
      <c r="L12" s="9" t="s">
        <v>8</v>
      </c>
      <c r="M12" s="15">
        <v>9.3000000000000007</v>
      </c>
      <c r="N12" s="15">
        <v>12</v>
      </c>
      <c r="O12" s="15">
        <v>15</v>
      </c>
      <c r="P12" s="15">
        <v>17</v>
      </c>
      <c r="Q12" s="15">
        <v>21</v>
      </c>
      <c r="V12" s="9" t="s">
        <v>8</v>
      </c>
      <c r="W12" s="20">
        <f>B12/M12</f>
        <v>1</v>
      </c>
      <c r="X12" s="20">
        <f t="shared" ref="X12:AA15" si="1">C12/N12</f>
        <v>0.77500000000000002</v>
      </c>
      <c r="Y12" s="20">
        <f t="shared" si="1"/>
        <v>0.72000000000000008</v>
      </c>
      <c r="Z12" s="20">
        <f t="shared" si="1"/>
        <v>0.70000000000000007</v>
      </c>
      <c r="AA12" s="20">
        <f t="shared" si="1"/>
        <v>0.66666666666666663</v>
      </c>
    </row>
    <row r="13" spans="1:27" x14ac:dyDescent="0.25">
      <c r="A13" s="9" t="s">
        <v>5</v>
      </c>
      <c r="B13" s="15">
        <v>9.3000000000000007</v>
      </c>
      <c r="C13" s="15">
        <v>9.3000000000000007</v>
      </c>
      <c r="D13" s="15">
        <v>10.8</v>
      </c>
      <c r="E13" s="15">
        <v>11.9</v>
      </c>
      <c r="F13" s="15">
        <v>14</v>
      </c>
      <c r="L13" s="9" t="s">
        <v>5</v>
      </c>
      <c r="M13" s="15">
        <v>9.3000000000000007</v>
      </c>
      <c r="N13" s="15">
        <v>13</v>
      </c>
      <c r="O13" s="15">
        <v>16</v>
      </c>
      <c r="P13" s="15">
        <v>18</v>
      </c>
      <c r="Q13" s="15">
        <v>22</v>
      </c>
      <c r="V13" s="9" t="s">
        <v>5</v>
      </c>
      <c r="W13" s="20">
        <f t="shared" ref="W13:W15" si="2">B13/M13</f>
        <v>1</v>
      </c>
      <c r="X13" s="20">
        <f t="shared" si="1"/>
        <v>0.7153846153846154</v>
      </c>
      <c r="Y13" s="20">
        <f t="shared" si="1"/>
        <v>0.67500000000000004</v>
      </c>
      <c r="Z13" s="20">
        <f t="shared" si="1"/>
        <v>0.66111111111111109</v>
      </c>
      <c r="AA13" s="20">
        <f t="shared" si="1"/>
        <v>0.63636363636363635</v>
      </c>
    </row>
    <row r="14" spans="1:27" x14ac:dyDescent="0.25">
      <c r="A14" s="9" t="s">
        <v>7</v>
      </c>
      <c r="B14" s="15">
        <v>9.3000000000000007</v>
      </c>
      <c r="C14" s="15">
        <v>9.3000000000000007</v>
      </c>
      <c r="D14" s="15">
        <v>10.8</v>
      </c>
      <c r="E14" s="15">
        <v>11.9</v>
      </c>
      <c r="F14" s="15">
        <v>14</v>
      </c>
      <c r="L14" s="9" t="s">
        <v>7</v>
      </c>
      <c r="M14" s="15">
        <v>9.3000000000000007</v>
      </c>
      <c r="N14" s="15">
        <v>14</v>
      </c>
      <c r="O14" s="15">
        <v>16</v>
      </c>
      <c r="P14" s="15">
        <v>20</v>
      </c>
      <c r="Q14" s="15">
        <v>24</v>
      </c>
      <c r="V14" s="9" t="s">
        <v>7</v>
      </c>
      <c r="W14" s="20">
        <f t="shared" si="2"/>
        <v>1</v>
      </c>
      <c r="X14" s="20">
        <f t="shared" si="1"/>
        <v>0.66428571428571437</v>
      </c>
      <c r="Y14" s="20">
        <f t="shared" si="1"/>
        <v>0.67500000000000004</v>
      </c>
      <c r="Z14" s="20">
        <f t="shared" si="1"/>
        <v>0.59499999999999997</v>
      </c>
      <c r="AA14" s="20">
        <f t="shared" si="1"/>
        <v>0.58333333333333337</v>
      </c>
    </row>
    <row r="15" spans="1:27" x14ac:dyDescent="0.25">
      <c r="A15" s="14" t="s">
        <v>11</v>
      </c>
      <c r="B15" s="15">
        <v>9.3000000000000007</v>
      </c>
      <c r="C15" s="15">
        <v>9.3000000000000007</v>
      </c>
      <c r="D15" s="15">
        <v>10.8</v>
      </c>
      <c r="E15" s="15">
        <v>11.9</v>
      </c>
      <c r="F15" s="15">
        <v>14</v>
      </c>
      <c r="L15" s="14" t="s">
        <v>11</v>
      </c>
      <c r="M15" s="15">
        <v>9</v>
      </c>
      <c r="N15" s="15">
        <v>9</v>
      </c>
      <c r="O15" s="15">
        <v>12</v>
      </c>
      <c r="P15" s="15">
        <v>14</v>
      </c>
      <c r="Q15" s="15">
        <v>20</v>
      </c>
      <c r="V15" s="14" t="s">
        <v>11</v>
      </c>
      <c r="W15" s="20">
        <f t="shared" si="2"/>
        <v>1.0333333333333334</v>
      </c>
      <c r="X15" s="20">
        <f t="shared" si="1"/>
        <v>1.0333333333333334</v>
      </c>
      <c r="Y15" s="20">
        <f t="shared" si="1"/>
        <v>0.9</v>
      </c>
      <c r="Z15" s="20">
        <f t="shared" si="1"/>
        <v>0.85</v>
      </c>
      <c r="AA15" s="20">
        <f t="shared" si="1"/>
        <v>0.7</v>
      </c>
    </row>
    <row r="16" spans="1:27" x14ac:dyDescent="0.25">
      <c r="A16" s="16"/>
      <c r="B16" s="17"/>
      <c r="C16" s="17"/>
      <c r="D16" s="17"/>
      <c r="E16" s="17"/>
      <c r="F16" s="17"/>
      <c r="L16" s="16"/>
      <c r="M16" s="17"/>
      <c r="N16" s="17"/>
      <c r="O16" s="17"/>
      <c r="P16" s="17"/>
      <c r="Q16" s="17"/>
      <c r="V16" s="16"/>
      <c r="W16" s="17"/>
      <c r="X16" s="17"/>
      <c r="Y16" s="17"/>
      <c r="Z16" s="17"/>
      <c r="AA16" s="17"/>
    </row>
    <row r="17" spans="1:28" x14ac:dyDescent="0.25">
      <c r="A17" s="22" t="s">
        <v>18</v>
      </c>
      <c r="B17" s="23"/>
      <c r="C17" s="23"/>
      <c r="D17" s="23"/>
      <c r="E17" s="23"/>
      <c r="F17" s="24"/>
      <c r="L17" s="22" t="s">
        <v>18</v>
      </c>
      <c r="M17" s="23"/>
      <c r="N17" s="23"/>
      <c r="O17" s="23"/>
      <c r="P17" s="23"/>
      <c r="Q17" s="24"/>
      <c r="V17" s="22" t="s">
        <v>18</v>
      </c>
      <c r="W17" s="23"/>
      <c r="X17" s="23"/>
      <c r="Y17" s="23"/>
      <c r="Z17" s="23"/>
      <c r="AA17" s="24"/>
    </row>
    <row r="18" spans="1:28" x14ac:dyDescent="0.25">
      <c r="A18" s="9" t="s">
        <v>2</v>
      </c>
      <c r="B18" s="9" t="s">
        <v>13</v>
      </c>
      <c r="C18" s="9" t="s">
        <v>14</v>
      </c>
      <c r="D18" s="9" t="s">
        <v>15</v>
      </c>
      <c r="E18" s="9" t="s">
        <v>16</v>
      </c>
      <c r="F18" s="9" t="s">
        <v>17</v>
      </c>
      <c r="L18" s="9" t="s">
        <v>2</v>
      </c>
      <c r="M18" s="9" t="s">
        <v>13</v>
      </c>
      <c r="N18" s="9" t="s">
        <v>14</v>
      </c>
      <c r="O18" s="9" t="s">
        <v>15</v>
      </c>
      <c r="P18" s="9" t="s">
        <v>16</v>
      </c>
      <c r="Q18" s="9" t="s">
        <v>17</v>
      </c>
      <c r="V18" s="9" t="s">
        <v>2</v>
      </c>
      <c r="W18" s="9" t="s">
        <v>13</v>
      </c>
      <c r="X18" s="9" t="s">
        <v>14</v>
      </c>
      <c r="Y18" s="9" t="s">
        <v>15</v>
      </c>
      <c r="Z18" s="9" t="s">
        <v>16</v>
      </c>
      <c r="AA18" s="9" t="s">
        <v>17</v>
      </c>
    </row>
    <row r="19" spans="1:28" x14ac:dyDescent="0.25">
      <c r="A19" s="9" t="s">
        <v>8</v>
      </c>
      <c r="B19" s="15">
        <v>8500</v>
      </c>
      <c r="C19" s="15">
        <v>8500</v>
      </c>
      <c r="D19" s="15">
        <v>8000</v>
      </c>
      <c r="E19" s="15">
        <v>7500</v>
      </c>
      <c r="F19" s="15">
        <v>6000</v>
      </c>
      <c r="L19" s="9" t="s">
        <v>8</v>
      </c>
      <c r="M19" s="15">
        <v>8500</v>
      </c>
      <c r="N19" s="15">
        <v>6500</v>
      </c>
      <c r="O19" s="15">
        <v>6500</v>
      </c>
      <c r="P19" s="15">
        <v>6500</v>
      </c>
      <c r="Q19" s="15">
        <v>6500</v>
      </c>
      <c r="V19" s="9" t="s">
        <v>8</v>
      </c>
      <c r="W19" s="20">
        <f t="shared" ref="W19:W21" si="3">M19/B19</f>
        <v>1</v>
      </c>
      <c r="X19" s="20">
        <f t="shared" ref="X19:X22" si="4">N19/C19</f>
        <v>0.76470588235294112</v>
      </c>
      <c r="Y19" s="20">
        <f t="shared" ref="Y19:Y22" si="5">O19/D19</f>
        <v>0.8125</v>
      </c>
      <c r="Z19" s="20">
        <f t="shared" ref="Z19:Z22" si="6">P19/E19</f>
        <v>0.8666666666666667</v>
      </c>
      <c r="AA19" s="20">
        <f t="shared" ref="AA19:AA22" si="7">Q19/F19</f>
        <v>1.0833333333333333</v>
      </c>
    </row>
    <row r="20" spans="1:28" x14ac:dyDescent="0.25">
      <c r="A20" s="9" t="s">
        <v>5</v>
      </c>
      <c r="B20" s="15">
        <v>8500</v>
      </c>
      <c r="C20" s="15">
        <v>8500</v>
      </c>
      <c r="D20" s="15">
        <v>8500</v>
      </c>
      <c r="E20" s="15">
        <v>7500</v>
      </c>
      <c r="F20" s="15">
        <v>7000</v>
      </c>
      <c r="L20" s="9" t="s">
        <v>5</v>
      </c>
      <c r="M20" s="15">
        <v>8500</v>
      </c>
      <c r="N20" s="15">
        <v>7500</v>
      </c>
      <c r="O20" s="15">
        <v>7000</v>
      </c>
      <c r="P20" s="15">
        <v>7000</v>
      </c>
      <c r="Q20" s="15">
        <v>7000</v>
      </c>
      <c r="V20" s="9" t="s">
        <v>5</v>
      </c>
      <c r="W20" s="20">
        <f t="shared" si="3"/>
        <v>1</v>
      </c>
      <c r="X20" s="20">
        <f t="shared" si="4"/>
        <v>0.88235294117647056</v>
      </c>
      <c r="Y20" s="20">
        <f t="shared" si="5"/>
        <v>0.82352941176470584</v>
      </c>
      <c r="Z20" s="20">
        <f t="shared" si="6"/>
        <v>0.93333333333333335</v>
      </c>
      <c r="AA20" s="20">
        <f t="shared" si="7"/>
        <v>1</v>
      </c>
    </row>
    <row r="21" spans="1:28" x14ac:dyDescent="0.25">
      <c r="A21" s="9" t="s">
        <v>7</v>
      </c>
      <c r="B21" s="15">
        <v>8500</v>
      </c>
      <c r="C21" s="15">
        <v>8500</v>
      </c>
      <c r="D21" s="15">
        <v>8500</v>
      </c>
      <c r="E21" s="15">
        <v>7500</v>
      </c>
      <c r="F21" s="15">
        <v>7500</v>
      </c>
      <c r="L21" s="9" t="s">
        <v>7</v>
      </c>
      <c r="M21" s="15">
        <v>8500</v>
      </c>
      <c r="N21" s="15">
        <v>8000</v>
      </c>
      <c r="O21" s="15">
        <v>8000</v>
      </c>
      <c r="P21" s="15">
        <v>7000</v>
      </c>
      <c r="Q21" s="15">
        <v>7000</v>
      </c>
      <c r="V21" s="9" t="s">
        <v>7</v>
      </c>
      <c r="W21" s="20">
        <f t="shared" si="3"/>
        <v>1</v>
      </c>
      <c r="X21" s="20">
        <f t="shared" si="4"/>
        <v>0.94117647058823528</v>
      </c>
      <c r="Y21" s="20">
        <f t="shared" si="5"/>
        <v>0.94117647058823528</v>
      </c>
      <c r="Z21" s="20">
        <f t="shared" si="6"/>
        <v>0.93333333333333335</v>
      </c>
      <c r="AA21" s="20">
        <f t="shared" si="7"/>
        <v>0.93333333333333335</v>
      </c>
    </row>
    <row r="22" spans="1:28" x14ac:dyDescent="0.25">
      <c r="A22" s="14" t="s">
        <v>11</v>
      </c>
      <c r="B22" s="18">
        <v>12500</v>
      </c>
      <c r="C22" s="18">
        <v>12500</v>
      </c>
      <c r="D22" s="18">
        <v>10000</v>
      </c>
      <c r="E22" s="18">
        <v>7500</v>
      </c>
      <c r="F22" s="18">
        <v>4500</v>
      </c>
      <c r="L22" s="14" t="s">
        <v>11</v>
      </c>
      <c r="M22" s="18">
        <v>10000</v>
      </c>
      <c r="N22" s="18">
        <v>10000</v>
      </c>
      <c r="O22" s="18">
        <v>10000</v>
      </c>
      <c r="P22" s="18">
        <v>8000</v>
      </c>
      <c r="Q22" s="18">
        <v>5000</v>
      </c>
      <c r="V22" s="14" t="s">
        <v>11</v>
      </c>
      <c r="W22" s="20">
        <f>M22/B22</f>
        <v>0.8</v>
      </c>
      <c r="X22" s="20">
        <f t="shared" si="4"/>
        <v>0.8</v>
      </c>
      <c r="Y22" s="20">
        <f t="shared" si="5"/>
        <v>1</v>
      </c>
      <c r="Z22" s="20">
        <f t="shared" si="6"/>
        <v>1.0666666666666667</v>
      </c>
      <c r="AA22" s="20">
        <f t="shared" si="7"/>
        <v>1.1111111111111112</v>
      </c>
    </row>
    <row r="23" spans="1:28" x14ac:dyDescent="0.25">
      <c r="A23" s="9" t="s">
        <v>2</v>
      </c>
      <c r="B23" s="9" t="s">
        <v>13</v>
      </c>
      <c r="C23" s="9" t="s">
        <v>14</v>
      </c>
      <c r="D23" s="9" t="s">
        <v>15</v>
      </c>
      <c r="E23" s="9" t="s">
        <v>16</v>
      </c>
      <c r="F23" s="9" t="s">
        <v>17</v>
      </c>
      <c r="L23" s="9" t="s">
        <v>2</v>
      </c>
      <c r="M23" s="9" t="s">
        <v>13</v>
      </c>
      <c r="N23" s="9" t="s">
        <v>14</v>
      </c>
      <c r="O23" s="9" t="s">
        <v>15</v>
      </c>
      <c r="P23" s="9" t="s">
        <v>16</v>
      </c>
      <c r="Q23" s="9" t="s">
        <v>17</v>
      </c>
      <c r="V23" s="9" t="s">
        <v>2</v>
      </c>
      <c r="W23" s="9" t="s">
        <v>13</v>
      </c>
      <c r="X23" s="9" t="s">
        <v>14</v>
      </c>
      <c r="Y23" s="9" t="s">
        <v>15</v>
      </c>
      <c r="Z23" s="9" t="s">
        <v>16</v>
      </c>
      <c r="AA23" s="9" t="s">
        <v>17</v>
      </c>
    </row>
    <row r="24" spans="1:28" x14ac:dyDescent="0.25">
      <c r="A24" s="9" t="s">
        <v>8</v>
      </c>
      <c r="B24">
        <f>8500/B19+($D$4/24)+(B12/24)+$J$6</f>
        <v>2.4291666666666667</v>
      </c>
      <c r="C24">
        <f>11500/C19+($D$4/24)+(C12/24)+$J$6</f>
        <v>2.782107843137255</v>
      </c>
      <c r="D24">
        <f>13500/D19+($D$4/24)+(D12/24)+$J$6</f>
        <v>3.1791666666666667</v>
      </c>
      <c r="E24">
        <f>17500/E19+($D$4/24)+(E12/24)+$J$6</f>
        <v>3.8708333333333336</v>
      </c>
      <c r="F24">
        <f>20000/F19+($D$4/24)+(F12/24)+$J$6</f>
        <v>4.958333333333333</v>
      </c>
      <c r="L24" s="9" t="s">
        <v>8</v>
      </c>
      <c r="M24">
        <f>8500/M19+($O$4/24)+(M12/24)+$U$6</f>
        <v>2.7625000000000002</v>
      </c>
      <c r="N24">
        <f>11500/N19+($O$4/24)+(N12/24)+$U$6</f>
        <v>3.6442307692307692</v>
      </c>
      <c r="O24">
        <f>13500/O19+($O$4/24)+(O12/24)+$U$6</f>
        <v>4.0769230769230766</v>
      </c>
      <c r="P24">
        <f>17500/P19+($O$4/24)+(P12/24)+$U$6</f>
        <v>4.7756410256410255</v>
      </c>
      <c r="Q24">
        <f>20000/Q19+($O$4/24)+(Q12/24)+$U$6</f>
        <v>5.3269230769230766</v>
      </c>
      <c r="V24" s="9" t="s">
        <v>8</v>
      </c>
      <c r="W24">
        <f>B39/M39</f>
        <v>0.95271867612293137</v>
      </c>
      <c r="X24">
        <f>C39/N39</f>
        <v>0.76850623885918012</v>
      </c>
      <c r="Y24">
        <f t="shared" ref="X24:AA27" si="8">D39/O39</f>
        <v>0.78947916666666673</v>
      </c>
      <c r="Z24">
        <f t="shared" si="8"/>
        <v>0.82657045840407484</v>
      </c>
      <c r="AA24">
        <f t="shared" si="8"/>
        <v>0.97259259259259256</v>
      </c>
      <c r="AB24">
        <f>SUM(X24:AA24)/4</f>
        <v>0.83928711413062851</v>
      </c>
    </row>
    <row r="25" spans="1:28" x14ac:dyDescent="0.25">
      <c r="A25" s="9" t="s">
        <v>5</v>
      </c>
      <c r="B25">
        <f>8500/B20+($D$5/24)+(B13/24)+$J$7</f>
        <v>2.4291666666666667</v>
      </c>
      <c r="C25">
        <f>11500/C20+($D$5/24)+(C13/24)+$J$7</f>
        <v>2.782107843137255</v>
      </c>
      <c r="D25">
        <f>13500/D20+($D$5/24)+(D13/24)+$J$7</f>
        <v>3.0799019607843139</v>
      </c>
      <c r="E25">
        <f>17500/E20+($D$5/24)+(E13/24)+$J$7</f>
        <v>3.8708333333333336</v>
      </c>
      <c r="F25">
        <f>20000/F20+($D$5/24)+(F13/24)+$J$7</f>
        <v>4.4821428571428577</v>
      </c>
      <c r="L25" s="9" t="s">
        <v>5</v>
      </c>
      <c r="M25">
        <f>8500/M20+($O$5/24)+(M13/24)+$U$7</f>
        <v>2.7625000000000002</v>
      </c>
      <c r="N25">
        <f>11500/N20+($O$5/24)+(N13/24)+$U$7</f>
        <v>3.45</v>
      </c>
      <c r="O25">
        <f>13500/O20+($O$5/24)+(O13/24)+$U$7</f>
        <v>3.9702380952380953</v>
      </c>
      <c r="P25">
        <f>17500/P20+($O$5/24)+(P13/24)+$U$7</f>
        <v>4.625</v>
      </c>
      <c r="Q25">
        <f>20000/Q20+($O$5/24)+(Q13/24)+$U$7</f>
        <v>5.1488095238095237</v>
      </c>
      <c r="V25" s="9" t="s">
        <v>5</v>
      </c>
      <c r="W25">
        <f t="shared" ref="W25:W27" si="9">B40/M40</f>
        <v>0.95271867612293137</v>
      </c>
      <c r="X25">
        <f t="shared" si="8"/>
        <v>0.82943177270908364</v>
      </c>
      <c r="Y25">
        <f t="shared" si="8"/>
        <v>0.78441589060473893</v>
      </c>
      <c r="Z25">
        <f t="shared" si="8"/>
        <v>0.86091954022988515</v>
      </c>
      <c r="AA25">
        <f t="shared" si="8"/>
        <v>0.89956958393113362</v>
      </c>
      <c r="AB25">
        <f t="shared" ref="AB25:AB27" si="10">SUM(X25:AA25)/4</f>
        <v>0.84358419686871033</v>
      </c>
    </row>
    <row r="26" spans="1:28" x14ac:dyDescent="0.25">
      <c r="A26" s="9" t="s">
        <v>7</v>
      </c>
      <c r="B26">
        <f>8500/B21+($D$6/24)+(B14/24)+$J$8</f>
        <v>2.4291666666666667</v>
      </c>
      <c r="C26">
        <f>11500/C21+($D$6/24)+(C14/24)+$J$8</f>
        <v>2.782107843137255</v>
      </c>
      <c r="D26">
        <f>13500/D21+($D$6/24)+(D14/24)+$J$8</f>
        <v>3.0799019607843139</v>
      </c>
      <c r="E26">
        <f>17500/E21+($D$6/24)+(E14/24)+$J$8</f>
        <v>3.8708333333333336</v>
      </c>
      <c r="F26">
        <f>20000/F21+($D$6/24)+(F14/24)+$J$8</f>
        <v>4.2916666666666661</v>
      </c>
      <c r="L26" s="9" t="s">
        <v>7</v>
      </c>
      <c r="M26">
        <f>8500/M21+($O$6/24)+(M14/24)+$U$8</f>
        <v>2.7625000000000002</v>
      </c>
      <c r="N26">
        <f>11500/N21+($O$6/24)+(N14/24)+$U$8</f>
        <v>3.3958333333333335</v>
      </c>
      <c r="O26">
        <f>13500/O21+($O$6/24)+(O14/24)+$U$8</f>
        <v>3.7291666666666665</v>
      </c>
      <c r="P26">
        <f>17500/P21+($O$6/24)+(P14/24)+$U$8</f>
        <v>4.7083333333333339</v>
      </c>
      <c r="Q26">
        <f>20000/Q21+($O$6/24)+(Q14/24)+$U$8</f>
        <v>5.2321428571428577</v>
      </c>
      <c r="V26" s="9" t="s">
        <v>7</v>
      </c>
      <c r="W26">
        <f t="shared" si="9"/>
        <v>0.95271867612293137</v>
      </c>
      <c r="X26">
        <f t="shared" si="8"/>
        <v>0.84818414322250635</v>
      </c>
      <c r="Y26">
        <f t="shared" si="8"/>
        <v>0.8537045352492143</v>
      </c>
      <c r="Z26">
        <f t="shared" si="8"/>
        <v>0.84157303370786507</v>
      </c>
      <c r="AA26">
        <f t="shared" si="8"/>
        <v>0.83684950773558342</v>
      </c>
      <c r="AB26">
        <f t="shared" si="10"/>
        <v>0.84507780497879226</v>
      </c>
    </row>
    <row r="27" spans="1:28" x14ac:dyDescent="0.25">
      <c r="A27" s="14" t="s">
        <v>11</v>
      </c>
      <c r="B27">
        <f>8500/B22+($D$7/24)+(B15/24)+$J$9</f>
        <v>1.9425000000000001</v>
      </c>
      <c r="C27">
        <f>11500/C22+($D$7/24)+(C15/24)+$J$9</f>
        <v>2.1825000000000001</v>
      </c>
      <c r="D27">
        <f>13500/D22+($D$7/24)+(D15/24)+$J$9</f>
        <v>2.6749999999999998</v>
      </c>
      <c r="E27">
        <f>17500/E22+($D$7/24)+(E15/24)+$J$9</f>
        <v>3.7041666666666666</v>
      </c>
      <c r="F27">
        <f>20000/F22+($D$7/24)+(F15/24)+$J$9</f>
        <v>5.9027777777777777</v>
      </c>
      <c r="L27" s="14" t="s">
        <v>11</v>
      </c>
      <c r="M27">
        <f>8500/M22+($O$7/24)+(M15/24)+$U$9</f>
        <v>2.35</v>
      </c>
      <c r="N27">
        <f>11500/N22+($O$7/24)+(N15/24)+$U$9</f>
        <v>2.65</v>
      </c>
      <c r="O27">
        <f>13500/O22+($O$7/24)+(O15/24)+$U$9</f>
        <v>2.9750000000000001</v>
      </c>
      <c r="P27">
        <f>17500/P22+($O$7/24)+(P15/24)+$U$9</f>
        <v>3.8958333333333335</v>
      </c>
      <c r="Q27">
        <f>20000/Q22+($O$7/24)+(Q15/24)+$U$9</f>
        <v>5.958333333333333</v>
      </c>
      <c r="V27" s="14" t="s">
        <v>11</v>
      </c>
      <c r="W27">
        <f t="shared" si="9"/>
        <v>0.88333333333333341</v>
      </c>
      <c r="X27">
        <f t="shared" si="8"/>
        <v>0.86818181818181828</v>
      </c>
      <c r="Y27">
        <f t="shared" si="8"/>
        <v>0.97468354430379733</v>
      </c>
      <c r="Z27">
        <f t="shared" si="8"/>
        <v>1.0201438848920863</v>
      </c>
      <c r="AA27">
        <f t="shared" si="8"/>
        <v>1.0392156862745099</v>
      </c>
      <c r="AB27">
        <f t="shared" si="10"/>
        <v>0.97555623341305298</v>
      </c>
    </row>
    <row r="29" spans="1:28" x14ac:dyDescent="0.25">
      <c r="H29" s="1" t="s">
        <v>21</v>
      </c>
    </row>
    <row r="30" spans="1:28" x14ac:dyDescent="0.25">
      <c r="E30" s="9" t="s">
        <v>2</v>
      </c>
      <c r="F30" s="9" t="s">
        <v>13</v>
      </c>
      <c r="G30" s="9" t="s">
        <v>14</v>
      </c>
      <c r="H30" s="9" t="s">
        <v>15</v>
      </c>
      <c r="I30" s="9" t="s">
        <v>16</v>
      </c>
      <c r="J30" s="9" t="s">
        <v>17</v>
      </c>
    </row>
    <row r="31" spans="1:28" x14ac:dyDescent="0.25">
      <c r="E31" s="9" t="s">
        <v>8</v>
      </c>
      <c r="F31">
        <f>M24-B24</f>
        <v>0.33333333333333348</v>
      </c>
      <c r="G31">
        <f t="shared" ref="G31:J31" si="11">N24-C24</f>
        <v>0.86212292609351415</v>
      </c>
      <c r="H31">
        <f t="shared" si="11"/>
        <v>0.89775641025640995</v>
      </c>
      <c r="I31">
        <f t="shared" si="11"/>
        <v>0.90480769230769198</v>
      </c>
      <c r="J31">
        <f t="shared" si="11"/>
        <v>0.36858974358974361</v>
      </c>
      <c r="K31" s="19">
        <f>SUM(G31:J31)/4</f>
        <v>0.75831919306183992</v>
      </c>
    </row>
    <row r="32" spans="1:28" x14ac:dyDescent="0.25">
      <c r="E32" s="9" t="s">
        <v>5</v>
      </c>
      <c r="F32">
        <f t="shared" ref="F32:F34" si="12">M25-B25</f>
        <v>0.33333333333333348</v>
      </c>
      <c r="G32">
        <f t="shared" ref="G32:G34" si="13">N25-C25</f>
        <v>0.66789215686274517</v>
      </c>
      <c r="H32">
        <f t="shared" ref="H32:H34" si="14">O25-D25</f>
        <v>0.89033613445378146</v>
      </c>
      <c r="I32">
        <f t="shared" ref="I32:I34" si="15">P25-E25</f>
        <v>0.75416666666666643</v>
      </c>
      <c r="J32">
        <f t="shared" ref="J32:J34" si="16">Q25-F25</f>
        <v>0.66666666666666607</v>
      </c>
      <c r="K32" s="19">
        <f t="shared" ref="K32:K34" si="17">SUM(G32:J32)/4</f>
        <v>0.74476540616246478</v>
      </c>
    </row>
    <row r="33" spans="2:17" x14ac:dyDescent="0.25">
      <c r="E33" s="9" t="s">
        <v>7</v>
      </c>
      <c r="F33">
        <f t="shared" si="12"/>
        <v>0.33333333333333348</v>
      </c>
      <c r="G33">
        <f t="shared" si="13"/>
        <v>0.61372549019607847</v>
      </c>
      <c r="H33">
        <f t="shared" si="14"/>
        <v>0.64926470588235263</v>
      </c>
      <c r="I33">
        <f t="shared" si="15"/>
        <v>0.83750000000000036</v>
      </c>
      <c r="J33">
        <f t="shared" si="16"/>
        <v>0.94047619047619158</v>
      </c>
      <c r="K33" s="19">
        <f t="shared" si="17"/>
        <v>0.76024159663865576</v>
      </c>
    </row>
    <row r="34" spans="2:17" x14ac:dyDescent="0.25">
      <c r="E34" s="14" t="s">
        <v>11</v>
      </c>
      <c r="F34">
        <f t="shared" si="12"/>
        <v>0.40749999999999997</v>
      </c>
      <c r="G34">
        <f t="shared" si="13"/>
        <v>0.4674999999999998</v>
      </c>
      <c r="H34">
        <f t="shared" si="14"/>
        <v>0.30000000000000027</v>
      </c>
      <c r="I34">
        <f t="shared" si="15"/>
        <v>0.19166666666666687</v>
      </c>
      <c r="J34">
        <f t="shared" si="16"/>
        <v>5.5555555555555358E-2</v>
      </c>
      <c r="K34" s="19">
        <f t="shared" si="17"/>
        <v>0.25368055555555558</v>
      </c>
    </row>
    <row r="39" spans="2:17" x14ac:dyDescent="0.25">
      <c r="B39">
        <f>B24-0.75</f>
        <v>1.6791666666666667</v>
      </c>
      <c r="C39">
        <f t="shared" ref="C39:F39" si="18">C24-0.75</f>
        <v>2.032107843137255</v>
      </c>
      <c r="D39">
        <f t="shared" si="18"/>
        <v>2.4291666666666667</v>
      </c>
      <c r="E39">
        <f t="shared" si="18"/>
        <v>3.1208333333333336</v>
      </c>
      <c r="F39">
        <f t="shared" si="18"/>
        <v>4.208333333333333</v>
      </c>
      <c r="M39">
        <f>M24-1</f>
        <v>1.7625000000000002</v>
      </c>
      <c r="N39">
        <f t="shared" ref="N39:Q39" si="19">N24-1</f>
        <v>2.6442307692307692</v>
      </c>
      <c r="O39">
        <f t="shared" si="19"/>
        <v>3.0769230769230766</v>
      </c>
      <c r="P39">
        <f t="shared" si="19"/>
        <v>3.7756410256410255</v>
      </c>
      <c r="Q39">
        <f t="shared" si="19"/>
        <v>4.3269230769230766</v>
      </c>
    </row>
    <row r="40" spans="2:17" x14ac:dyDescent="0.25">
      <c r="B40">
        <f t="shared" ref="B40:F42" si="20">B25-0.75</f>
        <v>1.6791666666666667</v>
      </c>
      <c r="C40">
        <f t="shared" si="20"/>
        <v>2.032107843137255</v>
      </c>
      <c r="D40">
        <f t="shared" si="20"/>
        <v>2.3299019607843139</v>
      </c>
      <c r="E40">
        <f t="shared" si="20"/>
        <v>3.1208333333333336</v>
      </c>
      <c r="F40">
        <f t="shared" si="20"/>
        <v>3.7321428571428577</v>
      </c>
      <c r="M40">
        <f t="shared" ref="M40:Q42" si="21">M25-1</f>
        <v>1.7625000000000002</v>
      </c>
      <c r="N40">
        <f t="shared" si="21"/>
        <v>2.4500000000000002</v>
      </c>
      <c r="O40">
        <f t="shared" si="21"/>
        <v>2.9702380952380953</v>
      </c>
      <c r="P40">
        <f t="shared" si="21"/>
        <v>3.625</v>
      </c>
      <c r="Q40">
        <f t="shared" si="21"/>
        <v>4.1488095238095237</v>
      </c>
    </row>
    <row r="41" spans="2:17" x14ac:dyDescent="0.25">
      <c r="B41">
        <f t="shared" si="20"/>
        <v>1.6791666666666667</v>
      </c>
      <c r="C41">
        <f t="shared" si="20"/>
        <v>2.032107843137255</v>
      </c>
      <c r="D41">
        <f t="shared" si="20"/>
        <v>2.3299019607843139</v>
      </c>
      <c r="E41">
        <f t="shared" si="20"/>
        <v>3.1208333333333336</v>
      </c>
      <c r="F41">
        <f t="shared" si="20"/>
        <v>3.5416666666666661</v>
      </c>
      <c r="M41">
        <f t="shared" si="21"/>
        <v>1.7625000000000002</v>
      </c>
      <c r="N41">
        <f t="shared" si="21"/>
        <v>2.3958333333333335</v>
      </c>
      <c r="O41">
        <f t="shared" si="21"/>
        <v>2.7291666666666665</v>
      </c>
      <c r="P41">
        <f t="shared" si="21"/>
        <v>3.7083333333333339</v>
      </c>
      <c r="Q41">
        <f t="shared" si="21"/>
        <v>4.2321428571428577</v>
      </c>
    </row>
    <row r="42" spans="2:17" x14ac:dyDescent="0.25">
      <c r="B42">
        <f t="shared" si="20"/>
        <v>1.1925000000000001</v>
      </c>
      <c r="C42">
        <f t="shared" si="20"/>
        <v>1.4325000000000001</v>
      </c>
      <c r="D42">
        <f t="shared" si="20"/>
        <v>1.9249999999999998</v>
      </c>
      <c r="E42">
        <f t="shared" si="20"/>
        <v>2.9541666666666666</v>
      </c>
      <c r="F42">
        <f t="shared" si="20"/>
        <v>5.1527777777777777</v>
      </c>
      <c r="M42">
        <f t="shared" si="21"/>
        <v>1.35</v>
      </c>
      <c r="N42">
        <f t="shared" si="21"/>
        <v>1.65</v>
      </c>
      <c r="O42">
        <f t="shared" si="21"/>
        <v>1.9750000000000001</v>
      </c>
      <c r="P42">
        <f t="shared" si="21"/>
        <v>2.8958333333333335</v>
      </c>
      <c r="Q42">
        <f t="shared" si="21"/>
        <v>4.958333333333333</v>
      </c>
    </row>
  </sheetData>
  <mergeCells count="9">
    <mergeCell ref="V2:W2"/>
    <mergeCell ref="V10:AA10"/>
    <mergeCell ref="V17:AA17"/>
    <mergeCell ref="A2:B2"/>
    <mergeCell ref="A10:F10"/>
    <mergeCell ref="A17:F17"/>
    <mergeCell ref="L2:M2"/>
    <mergeCell ref="L10:Q10"/>
    <mergeCell ref="L17:Q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B2EFCB4ADBDC45A69C46B8A506A6BE" ma:contentTypeVersion="5" ma:contentTypeDescription="Create a new document." ma:contentTypeScope="" ma:versionID="1c871f9b767cfe9aaf4a739e00706bb0">
  <xsd:schema xmlns:xsd="http://www.w3.org/2001/XMLSchema" xmlns:xs="http://www.w3.org/2001/XMLSchema" xmlns:p="http://schemas.microsoft.com/office/2006/metadata/properties" xmlns:ns2="e8603a38-485b-48b9-ad05-52333bba088e" xmlns:ns3="0cb0cc7e-f613-4128-800d-bad57da45006" targetNamespace="http://schemas.microsoft.com/office/2006/metadata/properties" ma:root="true" ma:fieldsID="c0505a2bf389b8801f78c1fac3972d08" ns2:_="" ns3:_="">
    <xsd:import namespace="e8603a38-485b-48b9-ad05-52333bba088e"/>
    <xsd:import namespace="0cb0cc7e-f613-4128-800d-bad57da450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Basi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03a38-485b-48b9-ad05-52333bba08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0cc7e-f613-4128-800d-bad57da45006" elementFormDefault="qualified">
    <xsd:import namespace="http://schemas.microsoft.com/office/2006/documentManagement/types"/>
    <xsd:import namespace="http://schemas.microsoft.com/office/infopath/2007/PartnerControls"/>
    <xsd:element name="Basin" ma:index="9" nillable="true" ma:displayName="Basin" ma:format="Dropdown" ma:internalName="Basin">
      <xsd:simpleType>
        <xsd:restriction base="dms:Choice">
          <xsd:enumeration value="CBP"/>
          <xsd:enumeration value="Midland"/>
          <xsd:enumeration value="Delaware - NM"/>
          <xsd:enumeration value="Delaware - TX"/>
          <xsd:enumeration value="Permian - ALL"/>
          <xsd:enumeration value="Other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sin xmlns="0cb0cc7e-f613-4128-800d-bad57da45006" xsi:nil="true"/>
  </documentManagement>
</p:properties>
</file>

<file path=customXml/itemProps1.xml><?xml version="1.0" encoding="utf-8"?>
<ds:datastoreItem xmlns:ds="http://schemas.openxmlformats.org/officeDocument/2006/customXml" ds:itemID="{5996F84A-AB40-4D94-A590-E2AE0786B1DD}"/>
</file>

<file path=customXml/itemProps2.xml><?xml version="1.0" encoding="utf-8"?>
<ds:datastoreItem xmlns:ds="http://schemas.openxmlformats.org/officeDocument/2006/customXml" ds:itemID="{F9171D37-8EA6-44E1-862B-7661672032E7}"/>
</file>

<file path=customXml/itemProps3.xml><?xml version="1.0" encoding="utf-8"?>
<ds:datastoreItem xmlns:ds="http://schemas.openxmlformats.org/officeDocument/2006/customXml" ds:itemID="{8A128B5B-F7CE-41CC-9C64-D32C790DC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Gregory, Andrew R</dc:creator>
  <cp:lastModifiedBy>Gregory, Andrew R</cp:lastModifiedBy>
  <dcterms:created xsi:type="dcterms:W3CDTF">2015-06-05T18:17:20Z</dcterms:created>
  <dcterms:modified xsi:type="dcterms:W3CDTF">2026-08-11T15:18:20Z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0x010100CFB2EFCB4ADBDC45A69C46B8A506A6BE</vt:lpwstr>
  </property>
  <property fmtid="{D5CDD505-2E9C-101B-9397-08002B2CF9AE}" pid="3" name="_AdHocReviewCycleID">
    <vt:i4>-2064896899</vt:i4>
  </property>
  <property fmtid="{D5CDD505-2E9C-101B-9397-08002B2CF9AE}" pid="4" name="_NewReviewCycle">
    <vt:lpwstr/>
  </property>
  <property fmtid="{D5CDD505-2E9C-101B-9397-08002B2CF9AE}" pid="5" name="_EmailSubject">
    <vt:lpwstr/>
  </property>
  <property fmtid="{D5CDD505-2E9C-101B-9397-08002B2CF9AE}" pid="6" name="_AuthorEmail">
    <vt:lpwstr>cody.martin@exxonmobil.com</vt:lpwstr>
  </property>
  <property fmtid="{D5CDD505-2E9C-101B-9397-08002B2CF9AE}" pid="7" name="_AuthorEmailDisplayName">
    <vt:lpwstr>Martin, Cody B</vt:lpwstr>
  </property>
</Properties>
</file>